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mc:AlternateContent xmlns:mc="http://schemas.openxmlformats.org/markup-compatibility/2006">
    <mc:Choice Requires="x15">
      <x15ac:absPath xmlns:x15ac="http://schemas.microsoft.com/office/spreadsheetml/2010/11/ac" url="C:\Users\DGC\Downloads\"/>
    </mc:Choice>
  </mc:AlternateContent>
  <xr:revisionPtr revIDLastSave="0" documentId="8_{37A282A2-D861-4361-97A8-4FAF285C455A}" xr6:coauthVersionLast="47" xr6:coauthVersionMax="47" xr10:uidLastSave="{00000000-0000-0000-0000-000000000000}"/>
  <bookViews>
    <workbookView xWindow="-96" yWindow="-96" windowWidth="23232" windowHeight="13872" firstSheet="3" activeTab="3" xr2:uid="{00000000-000D-0000-FFFF-FFFF00000000}"/>
  </bookViews>
  <sheets>
    <sheet name="Report" sheetId="6" r:id="rId1"/>
    <sheet name="API Sàng Lọc" sheetId="1" r:id="rId2"/>
    <sheet name="API Search" sheetId="4" r:id="rId3"/>
    <sheet name="API Callback" sheetId="5" r:id="rId4"/>
    <sheet name="Backup" sheetId="3" r:id="rId5"/>
  </sheets>
  <externalReferences>
    <externalReference r:id="rId6"/>
  </externalReferences>
  <definedNames>
    <definedName name="_xlnm._FilterDatabase" localSheetId="4" hidden="1">Backup!$A$11:$K$11</definedName>
    <definedName name="_xlnm._FilterDatabase" localSheetId="2" hidden="1">'API Search'!$A$20:$N$20</definedName>
    <definedName name="_xlnm._FilterDatabase" localSheetId="1" hidden="1">'API Sàng Lọc'!$A$11:$K$365</definedName>
    <definedName name="_xlnm._FilterDatabase" localSheetId="3" hidden="1">'API Callback'!$A$12:$M$34</definedName>
    <definedName name="AUTO">#REF!</definedName>
    <definedName name="nj">#REF!</definedName>
    <definedName name="PRIORITY">#REF!</definedName>
    <definedName name="STATU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6" l="1"/>
  <c r="D5" i="6"/>
  <c r="E5" i="6"/>
  <c r="F5" i="6"/>
  <c r="G5" i="6"/>
  <c r="B5" i="6"/>
  <c r="H5" i="6" s="1"/>
  <c r="C4" i="6"/>
  <c r="D4" i="6"/>
  <c r="E4" i="6"/>
  <c r="F4" i="6"/>
  <c r="G4" i="6"/>
  <c r="B4" i="6"/>
  <c r="H4" i="6" s="1"/>
  <c r="G3" i="6"/>
  <c r="G6" i="6" s="1"/>
  <c r="C3" i="6"/>
  <c r="C6" i="6" s="1"/>
  <c r="D3" i="6"/>
  <c r="D6" i="6" s="1"/>
  <c r="E3" i="6"/>
  <c r="E6" i="6" s="1"/>
  <c r="F3" i="6"/>
  <c r="F6" i="6" s="1"/>
  <c r="B3" i="6"/>
  <c r="D8" i="1"/>
  <c r="D7" i="1"/>
  <c r="D6" i="1"/>
  <c r="D4" i="1"/>
  <c r="D3" i="1"/>
  <c r="D5" i="1"/>
  <c r="C8" i="1"/>
  <c r="C7" i="1"/>
  <c r="C6" i="1"/>
  <c r="C5" i="1"/>
  <c r="C4" i="1"/>
  <c r="C3" i="1"/>
  <c r="B8" i="1"/>
  <c r="B7" i="1"/>
  <c r="B6" i="1"/>
  <c r="B5" i="1"/>
  <c r="B4" i="1"/>
  <c r="B3" i="1"/>
  <c r="C17" i="4"/>
  <c r="D17" i="4"/>
  <c r="B17" i="4"/>
  <c r="E17" i="4" s="1"/>
  <c r="C16" i="4"/>
  <c r="D16" i="4"/>
  <c r="B16" i="4"/>
  <c r="E16" i="4" s="1"/>
  <c r="C15" i="4"/>
  <c r="D15" i="4"/>
  <c r="B15" i="4"/>
  <c r="E15" i="4" s="1"/>
  <c r="C14" i="4"/>
  <c r="D14" i="4"/>
  <c r="B14" i="4"/>
  <c r="E14" i="4" s="1"/>
  <c r="C13" i="4"/>
  <c r="D13" i="4"/>
  <c r="D10" i="5"/>
  <c r="C10" i="5"/>
  <c r="B10" i="5"/>
  <c r="E10" i="5" s="1"/>
  <c r="D9" i="5"/>
  <c r="C9" i="5"/>
  <c r="B9" i="5"/>
  <c r="E9" i="5" s="1"/>
  <c r="D8" i="5"/>
  <c r="C8" i="5"/>
  <c r="B8" i="5"/>
  <c r="E8" i="5" s="1"/>
  <c r="D7" i="5"/>
  <c r="C7" i="5"/>
  <c r="B7" i="5"/>
  <c r="E7" i="5" s="1"/>
  <c r="D6" i="5"/>
  <c r="D5" i="5" s="1"/>
  <c r="C6" i="5"/>
  <c r="C5" i="5" s="1"/>
  <c r="B6" i="5"/>
  <c r="E6" i="5" s="1"/>
  <c r="B1" i="5"/>
  <c r="D10" i="4"/>
  <c r="C10" i="4"/>
  <c r="B10" i="4"/>
  <c r="D9" i="4"/>
  <c r="C9" i="4"/>
  <c r="B9" i="4"/>
  <c r="D8" i="4"/>
  <c r="C8" i="4"/>
  <c r="B8" i="4"/>
  <c r="D7" i="4"/>
  <c r="C7" i="4"/>
  <c r="B7" i="4"/>
  <c r="D6" i="4"/>
  <c r="C6" i="4"/>
  <c r="B6" i="4"/>
  <c r="B1" i="4"/>
  <c r="B6" i="6" l="1"/>
  <c r="H6" i="6" s="1"/>
  <c r="H7" i="6" s="1"/>
  <c r="H3" i="6"/>
  <c r="C7" i="6"/>
  <c r="D7" i="6"/>
  <c r="E7" i="6"/>
  <c r="F7" i="6"/>
  <c r="G7" i="6"/>
  <c r="B7" i="6"/>
  <c r="E6" i="4"/>
  <c r="E8" i="4"/>
  <c r="C5" i="4"/>
  <c r="E7" i="4"/>
  <c r="D5" i="4"/>
  <c r="E9" i="4"/>
  <c r="E10" i="4"/>
  <c r="B5" i="5"/>
  <c r="E5" i="5" s="1"/>
  <c r="B5" i="4"/>
  <c r="D8" i="3"/>
  <c r="C8" i="3"/>
  <c r="B8" i="3"/>
  <c r="E8" i="3" s="1"/>
  <c r="D7" i="3"/>
  <c r="C7" i="3"/>
  <c r="B7" i="3"/>
  <c r="E7" i="3" s="1"/>
  <c r="D6" i="3"/>
  <c r="C6" i="3"/>
  <c r="B6" i="3"/>
  <c r="E6" i="3" s="1"/>
  <c r="D5" i="3"/>
  <c r="C5" i="3"/>
  <c r="B5" i="3"/>
  <c r="E5" i="3" s="1"/>
  <c r="D4" i="3"/>
  <c r="C4" i="3"/>
  <c r="B4" i="3"/>
  <c r="E4" i="3" s="1"/>
  <c r="D3" i="3"/>
  <c r="C3" i="3"/>
  <c r="B3" i="3"/>
  <c r="E3" i="3" s="1"/>
  <c r="E9" i="3" s="1"/>
  <c r="E5" i="4" l="1"/>
  <c r="E8" i="1"/>
  <c r="E4" i="1"/>
  <c r="E5" i="1"/>
  <c r="E3" i="1"/>
  <c r="E6" i="1"/>
  <c r="E7" i="1"/>
  <c r="E9" i="1" l="1"/>
  <c r="B13" i="4"/>
  <c r="E13" i="4" s="1"/>
</calcChain>
</file>

<file path=xl/sharedStrings.xml><?xml version="1.0" encoding="utf-8"?>
<sst xmlns="http://schemas.openxmlformats.org/spreadsheetml/2006/main" count="8238" uniqueCount="3397">
  <si>
    <t>Pass</t>
  </si>
  <si>
    <t>Fail</t>
  </si>
  <si>
    <t>Pending</t>
  </si>
  <si>
    <t>Cancel</t>
  </si>
  <si>
    <t>Untested</t>
  </si>
  <si>
    <t>Next</t>
  </si>
  <si>
    <t>API Sàng Lọc</t>
  </si>
  <si>
    <t>API Search</t>
  </si>
  <si>
    <t>API Callback</t>
  </si>
  <si>
    <t>Tổng</t>
  </si>
  <si>
    <t xml:space="preserve">DỰ ÁN TRIỂN KHAI BẢN QUYỀN PHẦN MỀM HỆ THỐNG AML MỚI												</t>
  </si>
  <si>
    <t>High</t>
  </si>
  <si>
    <t>Medium</t>
  </si>
  <si>
    <t>Low</t>
  </si>
  <si>
    <t>Total R1</t>
  </si>
  <si>
    <t>đang retest</t>
  </si>
  <si>
    <t>Liên quan đến điện customize</t>
  </si>
  <si>
    <t>ID Testcase</t>
  </si>
  <si>
    <t>Test case Title</t>
  </si>
  <si>
    <t>Pre-conditions</t>
  </si>
  <si>
    <t>Test Steps</t>
  </si>
  <si>
    <t>Test Datas</t>
  </si>
  <si>
    <t>Expected result</t>
  </si>
  <si>
    <t>Test Environment</t>
  </si>
  <si>
    <t>Priority</t>
  </si>
  <si>
    <t>Automation Status</t>
  </si>
  <si>
    <t>1st Test Results</t>
  </si>
  <si>
    <t>2st Test Results</t>
  </si>
  <si>
    <t xml:space="preserve"> II. Endpoint &amp; HTTP Method</t>
  </si>
  <si>
    <t xml:space="preserve">  AML_API_EP Kiểm tra endpoint và phương thức HTTP</t>
  </si>
  <si>
    <t>AML_API_EP_01</t>
  </si>
  <si>
    <t>Kiểm tra thông tin API khi gọi đúng endpoint với method POST</t>
  </si>
  <si>
    <t>Server đang chạy;
Auth hợp lệ</t>
  </si>
  <si>
    <t>1. Gửi POST request đến:
https://10.0.137.75:7001/transaction-screening/v1/transaction-screening
2. Body là điện MT hợp lệ
3. Kiểm tra HTTP 200 và response body</t>
  </si>
  <si>
    <t>Headers:
Authorization:  Basic a3ljYWRtbjphYmMxMjM=    (Username and password to login)
Content-Type: application/json
 transactionId: TF_EP_001
 requestId: REQ_TF_EP_001
 transactionType: MT
 branchCd: HN
 channel: T24
 isCallBack: N
Body:
{1:F01BFICCUHHAXXX0000000000}
{2:I195BFICCUHHXXXXN}
{3:{108:MT195TEST0001}}
{4:
:20:QRY2607240001
:21:NONREF
:75:PLEASE CONFIRM
-}{5:{MAC:00000000}{CHK:1A2B3C4D5E6F}}</t>
  </si>
  <si>
    <t>Kiểm tra thông tin HTTP Status trả về : 200 OK
"result": No-HIT hoặc HIT
  "transactionType": "transactionType",
  "score": score,
  "groupMessageId": "groupMessageId",
  "requestId": "requestId",
  "processDate": "processDate",
  "channel": "channel",
  "errorCode": null,
  "errorDetail": null,
  "alertId": "alertId",
  "transactionId": "transactionId",
  "branchCd": "branchCd"</t>
  </si>
  <si>
    <t>SIT</t>
  </si>
  <si>
    <t>Manual</t>
  </si>
  <si>
    <t>AML_API_EP_02</t>
  </si>
  <si>
    <t>Kiểm tra thông tin API khi gọi sai endpoint URL</t>
  </si>
  <si>
    <t>1. Gửi POST request đến URL sai:
/wrong-path/v1/transaction-screening
2. Kiểm tra HTTP status trả về</t>
  </si>
  <si>
    <t>POST https://10.0.137.75:7001/transaction-screening/v1/transaction-screening
Authorization:  Basic a3ljYWRtbjphYmMxMjM=    (Username and password to login)
Content-Type: application/json</t>
  </si>
  <si>
    <t xml:space="preserve">Kiểm tra thông tin HTTP Status trả về : 404 Not Found
</t>
  </si>
  <si>
    <t>AML_API_EP_03</t>
  </si>
  <si>
    <t>Kiểm tra thông tin API khi gọi đúng endpoint nhưng dùng method GET</t>
  </si>
  <si>
    <t>1. Gửi GET request đến đúng endpoint
2. Không có body
3. Kiểm tra HTTP status trả về</t>
  </si>
  <si>
    <t>GET https://10.0.137.75:7001/transaction-screening/v1/transaction-screening
Authorization:  Basic a3ljYWRtbjphYmMxMjM=    (Username and password to login)
Content-Type: application/json</t>
  </si>
  <si>
    <t>Kiểm tra thông tin HTTP Status trả về : 405 Method Not Allowed
(Không có body nghiệp vụ)</t>
  </si>
  <si>
    <t xml:space="preserve"> III. Validation - Header Parameters</t>
  </si>
  <si>
    <t xml:space="preserve">  AML_API_HDR Kiểm tra các trường bắt buộc / optional trong request params</t>
  </si>
  <si>
    <t>AML_API_HDR_01</t>
  </si>
  <si>
    <t xml:space="preserve">Request đầy đủ tất cả field bắt buộc </t>
  </si>
  <si>
    <t>Auth hợp lệ;
MT body đúng format</t>
  </si>
  <si>
    <t>1. Gửi POST với đủ 7 fields:
transactionId, requestId, transactionType=MT,
branchCd, channel, isCallBack, requestUserId
2. Kiểm tra xử lý thành công</t>
  </si>
  <si>
    <t>Headers:
Authorization:  Basic a3ljYWRtbjphYmMxMjM=    (Username and password to login)
Content-Type: application/json
 transactionId: TF_HDR_001
 requestId: REQ_TF_HDR_001
 transactionType: MT
 branchCd: HN
 channel: T24
 isCallBack: N
Body:
{1:F01BFICCUHHAXXX0000000000}
{2:I195BFICCUHHXXXXN}
{3:{108:MT195TEST0001}}
{4:
:20:QRY2607240001
:21:NONREF
:75:PLEASE CONFIRM
-}{5:{MAC:00000000}{CHK:1A2B3C4D5E6F}}</t>
  </si>
  <si>
    <t>AML_API_HDR_02</t>
  </si>
  <si>
    <t>Thiếu transactionId (Mandatory)</t>
  </si>
  <si>
    <t>Auth hợp lệ</t>
  </si>
  <si>
    <t>1. Gửi POST KHÔNG có transactionId
2. Các field khác đầy đủ
3. Kiểm tra errorCode trong response</t>
  </si>
  <si>
    <t>Headers:
Authorization:  Basic a3ljYWRtbjphYmMxMjM=    (Username and password to login)
Content-Type: application/json
 requestId: REQ_HDR_002
 transactionType: MT
 branchCd: HN
 channel: T24
 isCallBack: N
Body:
{1:F01BFICCUHHAXXX0000000000}
{2:I195BFICCUHHXXXXN}
{3:{108:MT195TEST0001}}
{4:
:20:QRY2607240001
:21:NONREF
:75:PLEASE CONFIRM
-}{5:{MAC:00000000}{CHK:1A2B3C4D5E6F}}</t>
  </si>
  <si>
    <t>Kiểm tra thông tin HTTP Status trả về : 200 OK
 "transactionType": "transactionType",
  "result": null,
  "score": null,
  "groupMessageId": null,
  "requestId": "requestId",
  "processDate": null,
  "channel": "channel",
  "errorCode": "01",
  "errorDetail": "Missing Parameter",
  "alertId": null,
  "transactionId": "",
  "branchCd": "branchCd"</t>
  </si>
  <si>
    <t>AML_API_HDR_03</t>
  </si>
  <si>
    <t>Thiếu requestId (Mandatory)</t>
  </si>
  <si>
    <t>1. Gửi POST KHÔNG có requestId
2. Các field khác đầy đủ
3. Kiểm tra errorCode</t>
  </si>
  <si>
    <t>Headers:
Authorization:  Basic a3ljYWRtbjphYmMxMjM=    (Username and password to login)
Content-Type: application/json
 transactionId: TF_HDR_003
 transactionType: MT
 branchCd: HN
 channel: T24
 isCallBack: N
Body:
{1:F01BFICCUHHAXXX0000000000}
{2:I195BFICCUHHXXXXN}
{3:{108:MT195TEST0001}}
{4:
:20:QRY2607240001
:21:NONREF
:75:PLEASE CONFIRM
-}{5:{MAC:00000000}{CHK:1A2B3C4D5E6F}}</t>
  </si>
  <si>
    <t>Kiểm tra thông tin HTTP Status trả về : 200 OK
 "transactionType": "transactionType",
  "result": null,
  "score": null,
  "groupMessageId": null,
  "requestId": "",
  "processDate": null,
  "channel": "channel",
  "errorCode": "01",
  "errorDetail": "Missing Parameter",
  "alertId": null,
  "transactionId": "transactionId",
  "branchCd": "branchCd"</t>
  </si>
  <si>
    <t>AML_API_HDR_04</t>
  </si>
  <si>
    <t>Thiếu transactionType (Mandatory)</t>
  </si>
  <si>
    <t>1. Gửi POST KHÔNG có transactionType
2. Các field khác đầy đủ
3. Kiểm tra errorCode</t>
  </si>
  <si>
    <t>Headers:
Authorization:  Basic a3ljYWRtbjphYmMxMjM=    (Username and password to login)
Content-Type: application/json
 transactionId: TF_HDR_004
 requestId: REQ_HDR_004
 branchCd: HN
 channel: T24
 isCallBack: N
Body:
{1:F01BFICCUHHAXXX0000000000}
{2:I195BFICCUHHXXXXN}
{3:{108:MT195TEST0001}}
{4:
:20:QRY2607240001
:21:NONREF
:75:PLEASE CONFIRM
-}{5:{MAC:00000000}{CHK:1A2B3C4D5E6F}}</t>
  </si>
  <si>
    <t>Kiểm tra thông tin HTTP Status trả về : 200 OK
 "transactionType": "",
  "result": null,
  "score": null,
  "groupMessageId": null,
  "requestId": "requestId",
  "processDate": null,
  "channel": "channel",
  "errorCode": "01",
  "errorDetail": "Missing Parameter",
  "alertId": null,
  "transactionId": "transactionId",
  "branchCd": "branchCd"</t>
  </si>
  <si>
    <t>AML_API_HDR_05</t>
  </si>
  <si>
    <t>Thiếu branchCd (Mandatory)</t>
  </si>
  <si>
    <t>1. Gửi POST KHÔNG có branchCd
2. Các field khác đầy đủ
3. Kiểm tra errorCode</t>
  </si>
  <si>
    <t>Headers:
Authorization:  Basic a3ljYWRtbjphYmMxMjM=    (Username and password to login)
Content-Type: application/json
 transactionId: TF_HDR_005
 requestId: REQ_HDR_005
 transactionType: MT
 channel: T24
 isCallBack: N
Body:
{1:F01BFICCUHHAXXX0000000000}
{2:I195BFICCUHHXXXXN}
{3:{108:MT195TEST0001}}
{4:
:20:QRY2607240001
:21:NONREF
:75:PLEASE CONFIRM
-}{5:{MAC:00000000}{CHK:1A2B3C4D5E6F}}</t>
  </si>
  <si>
    <t>Kiểm tra thông tin HTTP Status trả về : 200 OK
 "transactionType": "transactionType",
  "result": null,
  "score": null,
  "groupMessageId": null,
  "requestId": "requestId",
  "processDate": null,
  "channel": "channel",
  "errorCode": "01",
  "errorDetail": "Missing Parameter",
  "alertId": null,
  "transactionId": "transactionId",
  "branchCd": ""</t>
  </si>
  <si>
    <t>AML_API_HDR_06</t>
  </si>
  <si>
    <t>Thiếu channel (Mandatory)</t>
  </si>
  <si>
    <t>1. Gửi POST KHÔNG có channel
2. Các field khác đầy đủ
3. Kiểm tra errorCode</t>
  </si>
  <si>
    <t>Headers:
Authorization:  Basic a3ljYWRtbjphYmMxMjM=    (Username and password to login)
Content-Type: application/json
 transactionId: TF_HDR_006
 requestId: REQ_HDR_006
 transactionType: MT
 branchCd: HN
 isCallBack: N
Body:
{1:F01BFICCUHHAXXX0000000000}
{2:I195BFICCUHHXXXXN}
{3:{108:MT195TEST0001}}
{4:
:20:QRY2607240001
:21:NONREF
:75:PLEASE CONFIRM
-}{5:{MAC:00000000}{CHK:1A2B3C4D5E6F}}</t>
  </si>
  <si>
    <t>Kiểm tra thông tin HTTP Status trả về : 200 OK
 "transactionType": "transactionType",
  "result": null,
  "score": null,
  "groupMessageId": null,
  "requestId": "requestId",
  "processDate": null,
  "channel": "",
  "errorCode": "01",
  "errorDetail": "Missing Parameter",
  "alertId": null,
  "transactionId": "transactionId",
  "branchCd": "branchCd"</t>
  </si>
  <si>
    <t>AML_API_HDR_07</t>
  </si>
  <si>
    <t>Thiếu isCallBack (Mandatory)</t>
  </si>
  <si>
    <t>1. Gửi POST KHÔNG có isCallBack
2. Các field khác đầy đủ
3. Kiểm tra errorCode</t>
  </si>
  <si>
    <t>Headers:
Authorization:  Basic a3ljYWRtbjphYmMxMjM=    (Username and password to login)
Content-Type: application/json
 transactionId: TF_HDR_007
 requestId: REQ_HDR_007
 transactionType: MT
 branchCd: HN
 channel: T24
Body:
{1:F01BFICCUHHAXXX0000000000}
{2:I195BFICCUHHXXXXN}
{3:{108:MT195TEST0001}}
{4:
:20:QRY2607240001
:21:NONREF
:75:PLEASE CONFIRM
-}{5:{MAC:00000000}{CHK:1A2B3C4D5E6F}}</t>
  </si>
  <si>
    <t>Kiểm tra thông tin HTTP Status trả về : 200 OK
result: ERROR
errorCode: 01
errorDetail: Missing parameter
score: (rỗng)
alertId: (rỗng)
processDate: null</t>
  </si>
  <si>
    <t>AML_API_HDR_08</t>
  </si>
  <si>
    <t>requestUserId là Optional – không truyền vẫn hợp lệ</t>
  </si>
  <si>
    <t>Auth hợp lệ;
Không truyền requestUserId</t>
  </si>
  <si>
    <t>1. Gửi POST đầy đủ 6 fields bắt buộc
2. Không có requestUserId (Optional)
3. Kiểm tra xử lý thành công</t>
  </si>
  <si>
    <t>Headers:
Authorization:  Basic a3ljYWRtbjphYmMxMjM=    (Username and password to login)
Content-Type: application/json
 transactionId: TF_HDR_008
 requestId: REQ_TF_HDR_008
 transactionType: MT
 branchCd: HN
 channel: T24
 isCallBack: N
Body:
{1:F01BFICCUHHAXXX0000000000}
{2:I195BFICCUHHXXXXN}
{3:{108:MT195TEST0001}}
{4:
:20:QRY2607240001
:21:NONREF
:75:PLEASE CONFIRM
-}{5:{MAC:00000000}{CHK:1A2B3C4D5E6F}}</t>
  </si>
  <si>
    <t>AML_API_HDR_09</t>
  </si>
  <si>
    <t>isCallBack = Y – AML cần callback sau khi Alert hoàn thành</t>
  </si>
  <si>
    <t>Auth hợp lệ;
Hệ thống có endpoint nhận callback</t>
  </si>
  <si>
    <t>1. Gửi POST với isCallBack=Y
2. Body là điện MT có HIT
3. Kiểm tra:
  a. Response trả ngay (HTTP 200)
  b. Sau khi Alert xử lý xong: AML callback về hệ thống</t>
  </si>
  <si>
    <t>Headers:
Authorization:  Basic a3ljYWRtbjphYmMxMjM=    (Username and password to login)
Content-Type: application/json
 transactionId: TF_HDR_009
 requestId: REQ_TF_HDR_009
 transactionType: MT
 branchCd: HN
 channel: T24
 isCallBack: Y
Body:
{1:F01BFICCUHHAXXX0000000000}
{2:I195BFICCUHHXXXXN}
{3:{108:MT195TEST0001}}
{4:
:20:QRY2607240001
:21:NONREF
:75:PLEASE CONFIRM
-}{5:{MAC:00000000}{CHK:1A2B3C4D5E6F}}</t>
  </si>
  <si>
    <t>Kiểm tra thông tin HTTP Status trả về : 200 OK
result: HIT hoặc No-HIT
errorCode: 00
Verify callback:
- AML gọi callback URL với alertId và kết quả
- Hệ thống nguồn nhận được callback</t>
  </si>
  <si>
    <t>AML_API_HDR_10</t>
  </si>
  <si>
    <t>isCallBack = N – AML không callback</t>
  </si>
  <si>
    <t>1. Gửi POST với isCallBack=N
2. Body là điện MT
3. Kiểm tra không có callback</t>
  </si>
  <si>
    <t>Headers:
Authorization:  Basic a3ljYWRtbjphYmMxMjM=    (Username and password to login)
Content-Type: application/json
 transactionId: TF_HDR_010
 requestId: REQ_TF_HDR_010
 transactionType: MT
 branchCd: HN
 channel: T24
 isCallBack: N
Body:
{1:F01BFICCUHHAXXX0000000000}
{2:I195BFICCUHHXXXXN}
{3:{108:MT195TEST0001}}
{4:
:20:QRY2607240001
:21:NONREF
:75:PLEASE CONFIRM
-}{5:{MAC:00000000}{CHK:1A2B3C4D5E6F}}</t>
  </si>
  <si>
    <t>AML_API_HDR_11</t>
  </si>
  <si>
    <t>isCallBack giá trị không hợp lệ (khác Y/N)</t>
  </si>
  <si>
    <t>1. Gửi POST với isCallBack='X'
2. Kiểm tra response lỗi</t>
  </si>
  <si>
    <t>Headers:
Authorization:  Basic a3ljYWRtbjphYmMxMjM=    (Username and password to login)
Content-Type: application/json
 transactionId: TF_HDR_011
 requestId: REQ_TF_HDR_011
 transactionType: MT
 branchCd: HN
 channel: T24
 isCallBack: X
Body:
{1:F01BFICCUHHAXXX0000000000}
{2:I195BFICCUHHXXXXN}
{3:{108:MT195TEST0001}}
{4:
:20:QRY2607240001
:21:NONREF
:75:PLEASE CONFIRM
-}{5:{MAC:00000000}{CHK:1A2B3C4D5E6F}}</t>
  </si>
  <si>
    <t>Kiểm tra thông tin HTTP Status trả về : 200 OK
 "transactionType": "transactionType",
  "result": null,
  "score": null,
  "groupMessageId": null,
  "requestId": "requestId",
  "processDate": null,
  "channel": "channel",
  "errorCode": "01",
  "errorDetail": "Missing Parameter",
  "alertId": null,
  "transactionId": "transactionId",
  "branchCd": "branchCd"</t>
  </si>
  <si>
    <t>AML_API_HDR_12</t>
  </si>
  <si>
    <t>transactionId vượt độ dài tối đa (&gt;100 ký tự)</t>
  </si>
  <si>
    <t>1. Gửi POST với transactionId dài 101 ký tự
2. Kiểm tra response lỗi</t>
  </si>
  <si>
    <t xml:space="preserve">
 transactionId: TF_AAAAAAAAAAAAAAAAAAAAAAAAAAAAAAAAAAAAAAAAAAAAAAAAAAAAAAAAAAAAAAAAAAAAAAAAAAAAAAAAAAAAAAAAAAAAAAAAA
 (độ dài=101, vượt varchar2(100))</t>
  </si>
  <si>
    <t>AML_API_HDR_13</t>
  </si>
  <si>
    <t>transactionType không hợp lệ (giá trị không được hỗ trợ)</t>
  </si>
  <si>
    <t>1. Gửi POST với transactionType='UNKNOWN_TYPE'
2. Kiểm tra response lỗi</t>
  </si>
  <si>
    <t>Headers:
Authorization:  Basic a3ljYWRtbjphYmMxMjM=    (Username and password to login)
Content-Type: application/json
 transactionId: TF_HDR_013
 requestId: REQ_TF_HDR_013
 transactionType: UNKNOWN_TYPE
 branchCd: HN
 channel: T24
 isCallBack: N
Body:
{1:F01BFICCUHHAXXX0000000000}
{2:I195BFICCUHHXXXXN}
{3:{108:MT195TEST0001}}
{4:
:20:QRY2607240001
:21:NONREF
:75:PLEASE CONFIRM
-}{5:{MAC:00000000}{CHK:1A2B3C4D5E6F}}</t>
  </si>
  <si>
    <t xml:space="preserve"> IV. Sàng lọc điện MT Standard</t>
  </si>
  <si>
    <t xml:space="preserve">  AML_API_MT Kiểm tra sàng lọc với điện SWIFT MT Standard</t>
  </si>
  <si>
    <t>AML_API_MT_01</t>
  </si>
  <si>
    <t>MT hợp lệ – kết quả No-HIT</t>
  </si>
  <si>
    <t>Auth hợp lệ;
Body MT đúng format SWIFT;
Thông tin điện không có match cấm vận</t>
  </si>
  <si>
    <t>1. Gửi POST với transactionType=MT
2. Body là điện SWIFT MT chuẩn
3. Kiểm tra result=No-HIT
4. Verify các fields response</t>
  </si>
  <si>
    <t>Headers:
Authorization:  Basic a3ljYWRtbjphYmMxMjM=    (Username and password to login)
Content-Type: application/json
 transactionId: TF_MT_001
 requestId: REQ_TF_MT_001
 transactionType: MT
 branchCd: HN
 channel: T24
 isCallBack: N
Body:
{1:F01SCBLSGSGAXXX0000000000}
{2:I196MCOBVNVXXXXXN}
{3:{108:MT196TEST0002}}
{4:
:20:ANS2607240002
:21:NONREF
:76:00998877663
:77A:00998877663
:79:00998877663
-}{5:{MAC:00000000}{CHK:1A2B3C4D5E6F}}</t>
  </si>
  <si>
    <t>{
  "transactionType": "transactionType",
  "result": "NO HIT",
  "score": 0,
  "groupMessageId": "groupMessageId",
  "requestId": "requestId",
  "processDate": dd-mm-yyyy hh:mi:ss,
  "channel": "channel",
  "errorCode": null,
  "errorDetail": null,
  "alertId": "alertId",
  "transactionId": "transactionId",
  "branchCd": "branchCd"</t>
  </si>
  <si>
    <t>AML_API_MT_02</t>
  </si>
  <si>
    <t>MT hợp lệ – kết quả HIT (có match cấm vận)</t>
  </si>
  <si>
    <t>Auth hợp lệ;
Body MT có tên/thông tin nằm trong danh sách cấm vận;
(Không phải Knock-out country)</t>
  </si>
  <si>
    <t>1. Gửi POST với transactionType=MT
2. Body điện MT có tên match danh sách cấm vận
3. Kiểm tra result=HIT
4. Verify alertId được sinh</t>
  </si>
  <si>
    <t>Headers:
Authorization:  Basic a3ljYWRtbjphYmMxMjM=    (Username and password to login)
Content-Type: application/json
 transactionId: TF_MT_002
 requestId: REQ_TF_MT_002
 transactionType: MT
 branchCd: HN
 channel: T24
 isCallBack: N
Body:
{1:F01SCBLSGSGAXXX0000000000}
{2:I196MCOBIRVXXXXXN}
{3:{108:MT196TEST0002}}
{4:
:20:ANS2607240002
:21:NONREF
:76:00998877663
:77A:00998877663
:79:00998877663
-}{5:{MAC:00000000}{CHK:1A2B3C4D5E6F}}</t>
  </si>
  <si>
    <t>{
  "transactionType": "transactionType",
  "result": "HIT",
  "score": score,
  "groupMessageId": "groupMessageId",
  "requestId": "requestId",
  "processDate": dd-mm-yyyy hh:mi:ss,
  "channel": "channel",
  "errorCode": null,
  "errorDetail": null,
  "alertId": "alertId",
  "transactionId": "transactionId",
  "branchCd": "branchCd"</t>
  </si>
  <si>
    <t>AML_API_MT_03</t>
  </si>
  <si>
    <t>MT hợp lệ – kết quả KNOCKED-OUT (quốc gia Knock-out)</t>
  </si>
  <si>
    <t>Auth hợp lệ;
Body MT có quốc gia nằm trong danh sách Knock-out;
(Ví dụ: CUBA trong :58D)</t>
  </si>
  <si>
    <t>1. Gửi POST với transactionType=MT
2. Body điện MT có quốc gia Knock-out (vd: CUBA)
3. Kiểm tra result=KNOCKED-OUT</t>
  </si>
  <si>
    <t>Headers:
Authorization:  Basic a3ljYWRtbjphYmMxMjM=    (Username and password to login)
Content-Type: application/json
 transactionId: TF_MT_003
 requestId: REQ_TF_MT_003
 transactionType: MT
 branchCd: HN
 channel: T24
 isCallBack: N
Body:
{1:F01SIIBSYDAXXXX0000000000}
{2:I202ESSESESSXXXXN}
{4:
:20:MT202
:21:SENDEREFERENC001
:32A:170623CNY5000
:58D:/B/BENEFICIARYINST
MAJESTUALIDAQ
CUBA
:72:PHONBEN
-}
{5:{MAC:12345678}{CHK:123456789ABC}}</t>
  </si>
  <si>
    <t>Kiểm tra thông tin HTTP Status trả về : 200 OK
  "transactionType": "transactionType",
  "result": "KNOCKED-OUT",
  "score": score,
  "groupMessageId": "groupMessageId",
  "requestId": "requestId",
  "processDate": "processDate",
  "channel": "channel",
  "errorCode": "00",
  "errorDetail": "No error",
  "alertId": "alertId",
  "transactionId": "transactionId",
  "branchCd": "branchCd"</t>
  </si>
  <si>
    <t>AML_API_MT_04</t>
  </si>
  <si>
    <t>MT – body điện sai format (không phải SWIFT MT)</t>
  </si>
  <si>
    <t>1. Gửi POST với transactionType=MT
2. Body KHÔNG phải SWIFT MT (plain text)
3. Kiểm tra errorCode=03</t>
  </si>
  <si>
    <t>Headers:
Authorization:  Basic a3ljYWRtbjphYmMxMjM=    (Username and password to login)
Content-Type: application/json
 transactionId: TF_MT_004
 requestId: REQ_TF_MT_004
 transactionType: MT
 branchCd: HN
 channel: T24
 isCallBack: N
Body:
INVALID_MT_BODY_NOT_SWIFT</t>
  </si>
  <si>
    <t xml:space="preserve"> "result": null,
  "score": null,
  "groupMessageId": null,
  "requestId": "requestId",
  "processDate": null,
  "channel": "T24",
  "errorCode": "03",
  "errorDetail": "Invalid message format",
  "alertId": null,
  "transactionId": "transactionId"</t>
  </si>
  <si>
    <t>AML_API_MT_05</t>
  </si>
  <si>
    <t>MT – body rỗng</t>
  </si>
  <si>
    <t>1. Gửi POST với transactionType=MT
2. Body = empty string
3. Kiểm tra errorCode</t>
  </si>
  <si>
    <t xml:space="preserve">Headers:
Authorization:  Basic a3ljYWRtbjphYmMxMjM=    (Username and password to login)
Content-Type: application/json
 transactionId: TF_MT_005
 requestId: REQ_TF_MT_005
 transactionType: MT
 branchCd: HN
 channel: T24
 isCallBack: N
Body:
</t>
  </si>
  <si>
    <t>Kiểm tra thông tin HTTP Status trả về : 400
 {
  "timestamp": "timestamp UTC",
  "status": 400,
  "error": "Bad Request",
  "path": "/transaction-screening/v1/transaction-screening"
}</t>
  </si>
  <si>
    <t>AML_API_MT_06</t>
  </si>
  <si>
    <t>MT – transactionId trùng lặp (duplicate)</t>
  </si>
  <si>
    <t>Auth hợp lệ;
Đã tồn tại giao dịch với transactionId=TF_MT_DUP_001</t>
  </si>
  <si>
    <t>1. Gửi POST lần 1 với transactionId=TF_MT_DUP_001 → ghi nhận kết quả
2. Gửi POST lần 2 với cùng transactionId=TF_MT_DUP_001
3. So sánh kết quả 2 lần</t>
  </si>
  <si>
    <t>Headers:
Authorization:  Basic a3ljYWRtbjphYmMxMjM=    (Username and password to login)
Content-Type: application/json
 transactionId: TF_MT_DUP_001
 requestId: REQ_TF_MT_DUP_001
 transactionType: MT
 branchCd: HN
 channel: T24
 isCallBack: N
Body:
{1:F01SIIBSYDAXXXX0000000000}
{2:I202ESSESESSXXXXN}
{4:
:20:MT202
:21:SENDEREFERENC001
:32A:170623CNY5000
:58D:/B/BENEFICIARYINST
MAJESTUALIDAQ
CUBA
:72:PHONBEN
-}
{5:{MAC:12345678}{CHK:123456789ABC}}</t>
  </si>
  <si>
    <t>Hệ thống không ghi nhận lỗi. Trả kết quả phù hợp cho mỗi lần chạy</t>
  </si>
  <si>
    <t>AML_API_MT_07</t>
  </si>
  <si>
    <t>MT – isCallBack=Y, verify callback sau khi Alert hoàn thành</t>
  </si>
  <si>
    <t>Auth hợp lệ;
Body MT có HIT;
Hệ thống có endpoint nhận callback</t>
  </si>
  <si>
    <t>1. Gửi POST MT với isCallBack=Y
2. Nhận response HTTP 200 (result=HIT)
3. Chờ Alert được xử lý hoàn thành
4. Kiểm tra AML đã gọi callback về hệ thống</t>
  </si>
  <si>
    <t>Headers:
Authorization:  Basic a3ljYWRtbjphYmMxMjM=    (Username and password to login)
Content-Type: application/json
 transactionId: TF_MT_007
 requestId: REQ_TF_MT_007
 transactionType: MT
 branchCd: HN
 channel: T24
 isCallBack: Y
Body:
{1:F01SIIBSYDAXXXX0000000000}
{2:I202ESSESESSXXXXN}
{4:
:20:MT202
:21:SENDEREFERENC001
:32A:170623CNY5000
:58D:/B/BENEFICIARYINST
MAJESTUALIDAQ
CUBA
:72:PHONBEN
-}
{5:{MAC:12345678}{CHK:123456789ABC}}</t>
  </si>
  <si>
    <t>Kiểm tra thông tin HTTP Status trả về : 200 OK
result: HIT
errorCode: 00
Verify callback:
- Hệ thống nguồn nhận callback từ AML
- Callback chứa alertId và kết quả xử lý Alert</t>
  </si>
  <si>
    <t>Hiện tại trên UAT chưa có đầu kênh để check call back</t>
  </si>
  <si>
    <t xml:space="preserve"> V. Sàng lọc điện MX Standard (ISO 20022)</t>
  </si>
  <si>
    <t xml:space="preserve">  AML_API_MX Kiểm tra sàng lọc với điện ISO 20022 MX Standard</t>
  </si>
  <si>
    <t>AML_API_MX_01</t>
  </si>
  <si>
    <t>MX_IN hợp lệ – kết quả No-HIT</t>
  </si>
  <si>
    <t>Auth hợp lệ;
XML MX đúng schema ISO 20022;
Không có match cấm vận</t>
  </si>
  <si>
    <t>1. Gửi POST với transactionType=MX_IN
2. Body là phần &lt;Document&gt; XML MX
3. Kiểm tra result=No-HIT</t>
  </si>
  <si>
    <t>Headers:
Authorization:  Basic a3ljYWRtbjphYmMxMjM=    (Username and password to login)
Content-Type: application/json
 transactionId: TF_MX_001
 requestId: REQ_TF_MX_001
 transactionType: MX_IN
 branchCd: HN
 channel: T24
 isCallBack: N
Body:
&lt;?xml version="1.0" encoding="UTF-8"?&gt;
&lt;Document xmlns="urn:iso:std:iso:20022:tech:xsd:pacs.004.001.09"&gt;
 &lt;PmtRtr&gt;
  &lt;GrpHdr&gt;
   &lt;MsgId&gt;REF2607240001&lt;/MsgId&gt;
   &lt;CreDtTm&gt;2026-07-24T10:00:00&lt;/CreDtTm&gt;
   &lt;NbOfTxs&gt;1&lt;/NbOfTxs&gt;
   &lt;SttlmInf&gt;
    &lt;SttlmMtd&gt;INDA&lt;/SttlmMtd&gt;
   &lt;/SttlmInf&gt;
  &lt;/GrpHdr&gt;
  &lt;TxInf&gt;
   &lt;RtrdIntrBkSttlmAmt Ccy="USD"&gt;50000.00&lt;/RtrdIntrBkSttlmAmt&gt;
   &lt;RtrChain&gt;
    &lt;UltmtDbtr&gt;
     &lt;Pty&gt;
      &lt;Nm&gt;EMBEREMBER&lt;/Nm&gt;
     &lt;/Pty&gt;
    &lt;/UltmtDbtr&gt;
    &lt;Dbtr&gt;
     &lt;Pty&gt;
      &lt;Nm&gt;MEKONG TRADING JOINT STOCK CO&lt;/Nm&gt;
     &lt;/Pty&gt;
    &lt;/Dbtr&gt;
    &lt;Cdtr&gt;
     &lt;Pty&gt;
      &lt;Nm&gt;SUNRISE IMPORT EXPORT PTE LTD&lt;/Nm&gt;
     &lt;/Pty&gt;
    &lt;/Cdtr&gt;
   &lt;/RtrChain&gt;
  &lt;/TxInf&gt;
 &lt;/PmtRtr&gt;
&lt;/Document&gt;</t>
  </si>
  <si>
    <t xml:space="preserve">  "transactionType": "transactionType",
  "result": "NO HIT",
  "score": 0,
  "groupMessageId": null,
  "requestId": "requestId",
  "processDate": "processDate",
  "channel": "channel",
  "errorCode": null,
  "errorDetail": null,
  "alertId": null,
  "transactionId": "transactionId",
  "branchCd": "branchCd"</t>
  </si>
  <si>
    <t>AML_API_MX_02</t>
  </si>
  <si>
    <t>MX_OUT hợp lệ – kết quả No-HIT</t>
  </si>
  <si>
    <t>1. Gửi POST với transactionType=MX_OUT
2. Body là phần &lt;Document&gt; XML MX
3. Kiểm tra result=No-HIT</t>
  </si>
  <si>
    <t>Headers:
Authorization:  Basic a3ljYWRtbjphYmMxMjM=    (Username and password to login)
Content-Type: application/json
 transactionId: TF_MX_002
 requestId: REQ_TF_MX_002
 transactionType: MX_OUT
 branchCd: HN
 channel: T24
 isCallBack: N
Body:
&lt;?xml version="1.0" encoding="UTF-8"?&gt;
&lt;Document xmlns="urn:iso:std:iso:20022:tech:xsd:pacs.004.001.09"&gt;
 &lt;PmtRtr&gt;
  &lt;GrpHdr&gt;
   &lt;MsgId&gt;REF2607240001&lt;/MsgId&gt;
   &lt;CreDtTm&gt;2026-07-24T10:00:00&lt;/CreDtTm&gt;
   &lt;NbOfTxs&gt;1&lt;/NbOfTxs&gt;
   &lt;SttlmInf&gt;
    &lt;SttlmMtd&gt;INDA&lt;/SttlmMtd&gt;
   &lt;/SttlmInf&gt;
  &lt;/GrpHdr&gt;
  &lt;TxInf&gt;
   &lt;RtrdIntrBkSttlmAmt Ccy="USD"&gt;50000.00&lt;/RtrdIntrBkSttlmAmt&gt;
   &lt;RtrChain&gt;
    &lt;UltmtDbtr&gt;
     &lt;Pty&gt;
      &lt;Nm&gt;EMBEREMBER&lt;/Nm&gt;
     &lt;/Pty&gt;
    &lt;/UltmtDbtr&gt;
    &lt;Dbtr&gt;
     &lt;Pty&gt;
      &lt;Nm&gt;MEKONG TRADING JOINT STOCK CO&lt;/Nm&gt;
     &lt;/Pty&gt;
    &lt;/Dbtr&gt;
    &lt;Cdtr&gt;
     &lt;Pty&gt;
      &lt;Nm&gt;SUNRISE IMPORT EXPORT PTE LTD&lt;/Nm&gt;
     &lt;/Pty&gt;
    &lt;/Cdtr&gt;
   &lt;/RtrChain&gt;
  &lt;/TxInf&gt;
 &lt;/PmtRtr&gt;
&lt;/Document&gt;</t>
  </si>
  <si>
    <t>AML_API_MX_03</t>
  </si>
  <si>
    <t>MX_IN hợp lệ – kết quả HIT</t>
  </si>
  <si>
    <t>Auth hợp lệ;
XML có tên match danh sách cấm vận</t>
  </si>
  <si>
    <t>1. Gửi POST với transactionType=MX_IN
2. Body MX có thông tin match cấm vận
3. Kiểm tra result=HIT, alertId được sinh</t>
  </si>
  <si>
    <t>Headers:
Authorization:  Basic a3ljYWRtbjphYmMxMjM=    (Username and password to login)
Content-Type: application/json
 transactionId: TF_MX_003
 requestId: REQ_TF_MX_003
 transactionType: MX_IN
 branchCd: HN
 channel: T24
 isCallBack: N
Body:
&lt;?xml version="1.0" encoding="UTF-8"?&gt;
&lt;Document xmlns="urn:iso:std:iso:20022:tech:xsd:pacs.004.001.09"&gt;
 &lt;PmtRtr&gt;
  &lt;GrpHdr&gt;
   &lt;MsgId&gt;REF2607240001&lt;/MsgId&gt;
   &lt;CreDtTm&gt;2026-07-24T10:00:00&lt;/CreDtTm&gt;
   &lt;NbOfTxs&gt;1&lt;/NbOfTxs&gt;
   &lt;SttlmInf&gt;
    &lt;SttlmMtd&gt;INDA&lt;/SttlmMtd&gt;
   &lt;/SttlmInf&gt;
  &lt;/GrpHdr&gt;
  &lt;TxInf&gt;
   &lt;RtrdIntrBkSttlmAmt Ccy="USD"&gt;50000.00&lt;/RtrdIntrBkSttlmAmt&gt;
   &lt;RtrChain&gt;
    &lt;UltmtDbtr&gt;
     &lt;Pty&gt;
      &lt;Nm&gt;SUMMIT EMBER&lt;/Nm&gt;
     &lt;/Pty&gt;
    &lt;/UltmtDbtr&gt;
    &lt;Dbtr&gt;
     &lt;Pty&gt;
      &lt;Nm&gt;MEKONG TRADING JOINT STOCK CO&lt;/Nm&gt;
     &lt;/Pty&gt;
    &lt;/Dbtr&gt;
    &lt;Cdtr&gt;
     &lt;Pty&gt;
      &lt;Nm&gt;SUNRISE IMPORT EXPORT PTE LTD&lt;/Nm&gt;
     &lt;/Pty&gt;
    &lt;/Cdtr&gt;
   &lt;/RtrChain&gt;
  &lt;/TxInf&gt;
 &lt;/PmtRtr&gt;
&lt;/Document&gt;</t>
  </si>
  <si>
    <t xml:space="preserve">  "transactionType": "transactionType",
  "result": "HIT",
  "score": 0,
  "groupMessageId": null,
  "requestId": "requestId",
  "processDate": "processDate",
  "channel": "channel",
  "errorCode": null,
  "errorDetail": null,
  "alertId": null,
  "transactionId": "transactionId",
  "branchCd": "branchCd"</t>
  </si>
  <si>
    <t>AML_API_MX_04</t>
  </si>
  <si>
    <t>MX_IN hợp lệ – kết quả KNOCKED-OUT</t>
  </si>
  <si>
    <t>Auth hợp lệ;
XML có Ctry thuộc Knock-out list</t>
  </si>
  <si>
    <t>1. Gửi POST với transactionType=MX_IN
2. Body MX có quốc gia Knock-out trong &lt;Ctry&gt;
3. Kiểm tra result=KNOCKED-OUT</t>
  </si>
  <si>
    <t>Headers:
Authorization:  Basic a3ljYWRtbjphYmMxMjM=    (Username and password to login)
Content-Type: application/json
 transactionId: TF_MX_004
 requestId: REQ_TF_MX_004
 transactionType: MX_IN
 branchCd: HN
 channel: T24
 isCallBack: N
Body:
&lt;?xml version='1.0' encoding='UTF-8'?&gt;
&lt;Document xmlns="urn:iso:std:iso:20022:tech:xsd:pacs.004.001.09"&gt;
 &lt;PmtRtr&gt;
  &lt;GrpHdr&gt;
   &lt;MsgId&gt;SE-MSG-004-PTY&lt;/MsgId&gt;
   &lt;CreDtTm&gt;2026-07-28T13:31:41&lt;/CreDtTm&gt;
   &lt;NbOfTxs&gt;1&lt;/NbOfTxs&gt;
   &lt;SttlmInf&gt;
    &lt;SttlmMtd&gt;INDA&lt;/SttlmMtd&gt;
   &lt;/SttlmInf&gt;
  &lt;/GrpHdr&gt;
  &lt;TxInf&gt;
   &lt;RtrdIntrBkSttlmAmt Ccy="USD"&gt;1000.00&lt;/RtrdIntrBkSttlmAmt&gt;
   &lt;ChrgsInf&gt;
    &lt;Amt Ccy="USD"&gt;10.00&lt;/Amt&gt;
    &lt;Agt&gt;
     &lt;FinInstnId&gt;
      &lt;BICFI&gt;BFICCUHH&lt;/BICFI&gt;
     &lt;/FinInstnId&gt;
    &lt;/Agt&gt;
   &lt;/ChrgsInf&gt;
   &lt;InstgAgt&gt;
    &lt;FinInstnId&gt;
     &lt;BICFI&gt;BFICCUHH&lt;/BICFI&gt;
    &lt;/FinInstnId&gt;
   &lt;/InstgAgt&gt;
   &lt;InstdAgt&gt;
    &lt;FinInstnId&gt;
     &lt;BICFI&gt;BFICCUHH&lt;/BICFI&gt;
    &lt;/FinInstnId&gt;
   &lt;/InstdAgt&gt;
   &lt;RtrChain&gt;
    &lt;UltmtDbtr&gt;
     &lt;Pty&gt;
      &lt;Id&gt;
       &lt;OrgId&gt;
        &lt;AnyBIC&gt;BFICCUHH&lt;/AnyBIC&gt;
       &lt;/OrgId&gt;
      &lt;/Id&gt;
     &lt;/Pty&gt;
    &lt;/UltmtDbtr&gt;
    &lt;Dbtr&gt;
     &lt;Pty&gt;
      &lt;Id&gt;
       &lt;OrgId&gt;
        &lt;AnyBIC&gt;BFICCUHH&lt;/AnyBIC&gt;
       &lt;/OrgId&gt;
      &lt;/Id&gt;
     &lt;/Pty&gt;
    &lt;/Dbtr&gt;
    &lt;InitgPty&gt;
     &lt;Pty&gt;
      &lt;Id&gt;
       &lt;OrgId&gt;
        &lt;AnyBIC&gt;BFICCUHH&lt;/AnyBIC&gt;
       &lt;/OrgId&gt;
      &lt;/Id&gt;
     &lt;/Pty&gt;
    &lt;/InitgPty&gt;
    &lt;DbtrAgt&gt;
     &lt;FinInstnId&gt;
      &lt;BICFI&gt;BFICCUHH&lt;/BICFI&gt;
     &lt;/FinInstnId&gt;
    &lt;/DbtrAgt&gt;
    &lt;PrvsInstgAgt1&gt;
     &lt;FinInstnId&gt;
      &lt;BICFI&gt;BFICCUHH&lt;/BICFI&gt;
     &lt;/FinInstnId&gt;
    &lt;/PrvsInstgAgt1&gt;
    &lt;PrvsInstgAgt2&gt;
     &lt;FinInstnId&gt;
      &lt;BICFI&gt;BFICCUHH&lt;/BICFI&gt;
     &lt;/FinInstnId&gt;
    &lt;/PrvsInstgAgt2&gt;
    &lt;PrvsInstgAgt3&gt;
     &lt;FinInstnId&gt;
      &lt;BICFI&gt;BFICCUHH&lt;/BICFI&gt;
     &lt;/FinInstnId&gt;
    &lt;/PrvsInstgAgt3&gt;
    &lt;IntrmyAgt1&gt;
     &lt;FinInstnId&gt;
      &lt;BICFI&gt;BFICCUHH&lt;/BICFI&gt;
     &lt;/FinInstnId&gt;
    &lt;/IntrmyAgt1&gt;
    &lt;IntrmyAgt2&gt;
     &lt;FinInstnId&gt;
      &lt;BICFI&gt;BFICCUHH&lt;/BICFI&gt;
     &lt;/FinInstnId&gt;
    &lt;/IntrmyAgt2&gt;
    &lt;IntrmyAgt3&gt;
     &lt;FinInstnId&gt;
      &lt;BICFI&gt;BFICCUHH&lt;/BICFI&gt;
     &lt;/FinInstnId&gt;
    &lt;/IntrmyAgt3&gt;
    &lt;CdtrAgt&gt;
     &lt;FinInstnId&gt;
      &lt;BICFI&gt;BFICCUHH&lt;/BICFI&gt;
     &lt;/FinInstnId&gt;
    &lt;/CdtrAgt&gt;
    &lt;Cdtr&gt;
     &lt;Pty&gt;
      &lt;Id&gt;
       &lt;OrgId&gt;
        &lt;AnyBIC&gt;BFICCUHH&lt;/AnyBIC&gt;
       &lt;/OrgId&gt;
      &lt;/Id&gt;
     &lt;/Pty&gt;
    &lt;/Cdtr&gt;
    &lt;UltmtCdtr&gt;
     &lt;Pty&gt;
      &lt;Id&gt;
       &lt;OrgId&gt;
        &lt;AnyBIC&gt;BFICCUHH&lt;/AnyBIC&gt;
       &lt;/OrgId&gt;
      &lt;/Id&gt;
     &lt;/Pty&gt;
    &lt;/UltmtCdtr&gt;
   &lt;/RtrChain&gt;
   &lt;RtrRsnInf&gt;
    &lt;Orgtr&gt;
     &lt;Id&gt;
      &lt;OrgId&gt;
       &lt;AnyBIC&gt;BFICCUHH&lt;/AnyBIC&gt;
      &lt;/OrgId&gt;
     &lt;/Id&gt;
    &lt;/Orgtr&gt;
   &lt;/RtrRsnInf&gt;
   &lt;OrgnlTxRef&gt;
    &lt;CdtrSchmeId&gt;
     &lt;Id&gt;
      &lt;OrgId&gt;
       &lt;AnyBIC&gt;BFICCUHH&lt;/AnyBIC&gt;
      &lt;/OrgId&gt;
     &lt;/Id&gt;
    &lt;/CdtrSchmeId&gt;
    &lt;SttlmInf&gt;
     &lt;SttlmMtd&gt;INDA&lt;/SttlmMtd&gt;
     &lt;InstgRmbrsmntAgt&gt;
      &lt;FinInstnId&gt;
       &lt;BICFI&gt;BFICCUHH&lt;/BICFI&gt;
      &lt;/FinInstnId&gt;
     &lt;/InstgRmbrsmntAgt&gt;
     &lt;InstdRmbrsmntAgt&gt;
      &lt;FinInstnId&gt;
       &lt;BICFI&gt;BFICCUHH&lt;/BICFI&gt;
      &lt;/FinInstnId&gt;
     &lt;/InstdRmbrsmntAgt&gt;
     &lt;ThrdRmbrsmntAgt&gt;
      &lt;FinInstnId&gt;
       &lt;BICFI&gt;BFICCUHH&lt;/BICFI&gt;
      &lt;/FinInstnId&gt;
     &lt;/ThrdRmbrsmntAgt&gt;
    &lt;/SttlmInf&gt;
    &lt;RmtInf&gt;
     &lt;Strd&gt;
      &lt;Invcr&gt;
       &lt;Id&gt;
        &lt;OrgId&gt;
         &lt;AnyBIC&gt;BFICCUHH&lt;/AnyBIC&gt;
        &lt;/OrgId&gt;
       &lt;/Id&gt;
      &lt;/Invcr&gt;
      &lt;Invcee&gt;
       &lt;Id&gt;
        &lt;OrgId&gt;
         &lt;AnyBIC&gt;BFICCUHH&lt;/AnyBIC&gt;
        &lt;/OrgId&gt;
       &lt;/Id&gt;
      &lt;/Invcee&gt;
      &lt;GrnshmtRmt&gt;
       &lt;Tp&gt;
        &lt;CdOrPrtry&gt;
         &lt;Prtry&gt;GARNISHMENT&lt;/Prtry&gt;
        &lt;/CdOrPrtry&gt;
       &lt;/Tp&gt;
       &lt;Grnshee&gt;
        &lt;Id&gt;
         &lt;OrgId&gt;
          &lt;AnyBIC&gt;BFICCUHH&lt;/AnyBIC&gt;
         &lt;/OrgId&gt;
        &lt;/Id&gt;
       &lt;/Grnshee&gt;
       &lt;GrnshmtAdmstr&gt;
        &lt;Id&gt;
         &lt;OrgId&gt;
          &lt;AnyBIC&gt;BFICCUHH&lt;/AnyBIC&gt;
         &lt;/OrgId&gt;
        &lt;/Id&gt;
       &lt;/GrnshmtAdmstr&gt;
      &lt;/GrnshmtRmt&gt;
     &lt;/Strd&gt;
    &lt;/RmtInf&gt;
    &lt;UltmtDbtr&gt;
     &lt;Pty&gt;
      &lt;Id&gt;
       &lt;OrgId&gt;
        &lt;AnyBIC&gt;BFICCUHH&lt;/AnyBIC&gt;
       &lt;/OrgId&gt;
      &lt;/Id&gt;
     &lt;/Pty&gt;
    &lt;/UltmtDbtr&gt;
    &lt;Dbtr&gt;
     &lt;Pty&gt;
      &lt;Id&gt;
       &lt;OrgId&gt;
        &lt;AnyBIC&gt;BFICCUHH&lt;/AnyBIC&gt;
       &lt;/OrgId&gt;
      &lt;/Id&gt;
     &lt;/Pty&gt;
    &lt;/Dbtr&gt;
    &lt;DbtrAgt&gt;
     &lt;FinInstnId&gt;
      &lt;BICFI&gt;BFICCUHH&lt;/BICFI&gt;
     &lt;/FinInstnId&gt;
    &lt;/DbtrAgt&gt;
    &lt;CdtrAgt&gt;
     &lt;FinInstnId&gt;
      &lt;BICFI&gt;BFICCUHH&lt;/BICFI&gt;
     &lt;/FinInstnId&gt;
    &lt;/CdtrAgt&gt;
    &lt;Cdtr&gt;
     &lt;Pty&gt;
      &lt;Id&gt;
       &lt;OrgId&gt;
        &lt;AnyBIC&gt;BFICCUHH&lt;/AnyBIC&gt;
       &lt;/OrgId&gt;
      &lt;/Id&gt;
     &lt;/Pty&gt;
    &lt;/Cdtr&gt;
    &lt;UltmtCdtr&gt;
     &lt;Pty&gt;
      &lt;Id&gt;
       &lt;OrgId&gt;
        &lt;AnyBIC&gt;BFICCUHH&lt;/AnyBIC&gt;
       &lt;/OrgId&gt;
      &lt;/Id&gt;
     &lt;/Pty&gt;
    &lt;/UltmtCdtr&gt;
   &lt;/OrgnlTxRef&gt;
  &lt;/TxInf&gt;
 &lt;/PmtRtr&gt;
&lt;/Document&gt;</t>
  </si>
  <si>
    <t>AML_API_MX_05</t>
  </si>
  <si>
    <t>MX – body XML sai cấu trúc (không đúng schema ISO 20022)</t>
  </si>
  <si>
    <t>1. Gửi POST với transactionType=MX_IN
2. Body là XML sai cấu trúc
3. Kiểm tra errorCode=03</t>
  </si>
  <si>
    <t>Headers:
Authorization:  Basic a3ljYWRtbjphYmMxMjM=    (Username and password to login)
Content-Type: application/json
 transactionId: TF_MX_005
 requestId: REQ_TF_MX_005
 transactionType: MX_IN
 branchCd: HN
 channel: T24
 isCallBack: N
Body:
&lt;Document&gt;&lt;INVALID&gt;&lt;/Document&gt;</t>
  </si>
  <si>
    <t>Kiểm tra thông tin HTTP Status trả về : 200 OK
result: ERROR
errorCode: 03
errorDetail: Invalid message format
score: (rỗng)
alertId: (rỗng)
processDate: null
XML không đúng schema ISO 20022 pacs.009</t>
  </si>
  <si>
    <t>AML_API_MX_06</t>
  </si>
  <si>
    <t>MX – mismatch: MT body nhưng transactionType=MX_IN</t>
  </si>
  <si>
    <t>1. Gửi POST với transactionType=MX_IN
2. Body là điện SWIFT MT (không phải XML MX)
3. Kiểm tra errorCode=03</t>
  </si>
  <si>
    <t>Headers:
Authorization:  Basic a3ljYWRtbjphYmMxMjM=    (Username and password to login)
Content-Type: application/json
 transactionId: TF_MX_006
 requestId: REQ_TF_MX_006
 transactionType: MX_IN
 branchCd: HN
 channel: T24
 isCallBack: N
Body:
{1:F01SIIBSYDAXXXX0000000000}
{2:I202ESSESESSXXXXN}
{4:
:20:MT202
:21:SENDEREFERENC001
:32A:170623CNY5000
:58D:/B/BENEFICIARYINST
MAJESTUALIDAQ
CUBA
:72:PHONBEN
-}
{5:{MAC:12345678}{CHK:123456789ABC}}</t>
  </si>
  <si>
    <t>Kiểm tra thông tin HTTP Status trả về : 200 OK
result: ERROR
errorCode: 03
errorDetail: Invalid message format
score: (rỗng)
alertId: (rỗng)
processDate: null
Mismatch: transactionType=MX_IN nhưng body là MT format</t>
  </si>
  <si>
    <t>MX – body rỗng</t>
  </si>
  <si>
    <t>1. Gửi POST với transactionType=MX
2. Body = empty string
3. Kiểm tra errorCode</t>
  </si>
  <si>
    <t>Headers:
Authorization:  Basic a3ljYWRtbjphYmMxMjM=    (Username and password to login)
Content-Type: application/json
 transactionId: TF_MX_006
 requestId: REQ_TF_MX_006
 transactionType: MX_IN
 branchCd: HN
 channel: T24
 isCallBack: N
Body:</t>
  </si>
  <si>
    <t xml:space="preserve"> VI. Sàng lọc Custom Message Non-Swift 1 (MSB001)</t>
  </si>
  <si>
    <t xml:space="preserve">  AML_API_MSB001 Kiểm tra sàng lọc với Custom Message MSB001</t>
  </si>
  <si>
    <t>AML_API_MSB001_01</t>
  </si>
  <si>
    <t>MSB001 hợp lệ – kết quả No-HIT</t>
  </si>
  <si>
    <t>Auth hợp lệ;
JSON MSB001 đúng cấu trúc Bank01.MSB001;
Không có match cấm vận</t>
  </si>
  <si>
    <t>1. Gửi POST với transactionType=MSB001
2. Body JSON theo cấu trúc Bank01.MSB001
3. Kiểm tra result=No-HIT</t>
  </si>
  <si>
    <t>Headers:
Authorization:  Basic a3ljYWRtbjphYmMxMjM=    (Username and password to login)
Content-Type: application/json
 transactionId: TF_MSB001_001
 requestId: REQ_TF_MSB001_001
 transactionType: MSB001
 branchCd: HN
 channel: T24
 isCallBack: N
Body:
{
 "Bank01": {
  "MSB001": {
   "Sender": {"FullName":"TRAN VAN SENDER","DOB":"1985-05-20",
    "Nationalities":[{"SenderCitizenship":"VN"}],
    "Id":[{"IdNumber":"037085001234"}],
    "ResidenceAddress":[{"Address":"123 Nguyen Trai, Ha Noi","Country":"VN"}]},
   "Receiver": {"FullName":"JOHN RECEIVER SMITH","DOB":"1990-11-12",
    "Nationalities":[{"Citizenship":"US"}],
    "Id":[{"IdNumber":"A12345678"}],
    "ResidenceAddress":[{"Address":"456 Broadway, New York","Country":"US"}]},
   "BeneficiaryBankName":"VIETCOMBANK HO CHI MINH",
   "BeneficiaryBankBicCode":"BFTVBNVX002","BeneficiaryBankCountry":"VN",
   "RemittingBankName":"CITIBANK NEW YORK",
   "RemittingBankBicCode":"CITIUS33XXX","RemittingBankCountry":"US"
  }
 }
}</t>
  </si>
  <si>
    <t>Kiểm tra thông tin HTTP Status trả về : 200 OK
  "transactionType": "transactionType",
  "result": "NO HIT",
  "score": 0,
  "groupMessageId": "groupMessageId",
  "requestId": "requestId",
  "processDate": "processDate",
  "channel": "channel,
  "errorCode": "00",
  "errorDetail": "No error",
  "alertId": null,
  "transactionId": "transactionId",
  "branchCd": "branchCd"</t>
  </si>
  <si>
    <t>AML_API_MSB001_02</t>
  </si>
  <si>
    <t>MSB001 hợp lệ – kết quả HIT</t>
  </si>
  <si>
    <t>Auth hợp lệ;
Sender/Receiver có tên match danh sách cấm vận</t>
  </si>
  <si>
    <t>1. Gửi POST với transactionType=MSB001
2. Body có FullName match danh sách cấm vận
3. Kiểm tra result=HIT, alertId được sinh</t>
  </si>
  <si>
    <t>Headers:
Authorization:  Basic a3ljYWRtbjphYmMxMjM=    (Username and password to login)
Content-Type: application/json
 transactionId: TF_MSB001_002
 requestId: REQ_TF_MSB001_002
 transactionType: MSB001
 branchCd: HN
 channel: T24
 isCallBack: N
Body:
{
 "Bank01": {
  "MSB001": {
   "Sender": {"FullName":"TRAN VAN SENDER","DOB":"1985-05-20",
    "Nationalities":[{"SenderCitizenship":"VN"}],
    "Id":[{"IdNumber":"037085001234"}],
    "ResidenceAddress":[{"Address":"123 Nguyen Trai, Ha Noi","Country":"VN"}]},
   "Receiver": {"FullName":"JOHN RECEIVER SMITH","DOB":"1990-11-12",
    "Nationalities":[{"Citizenship":"US"}],
    "Id":[{"IdNumber":"A12345678"}],
    "ResidenceAddress":[{"Address":"456 Broadway, New York","Country":"US"}]},
   "BeneficiaryBankName":"VIETCOMBANK HO CHI MINH",
   "BeneficiaryBankBicCode":"BFTVBNVX002","BeneficiaryBankCountry":"VN",
   "RemittingBankName":"CITIBANK NEW YORK",
   "RemittingBankBicCode":"CITIUS33XXX","RemittingBankCountry":"US"
  }
 }
}</t>
  </si>
  <si>
    <t>Kiểm tra thông tin HTTP Status trả về : 200 OK
result: HIT
errorCode: 00
errorDetail: No Error
score: &gt; 0
alertId: (not null)</t>
  </si>
  <si>
    <t>AML_API_MSB001_03</t>
  </si>
  <si>
    <t>MSB001 hợp lệ – kết quả KNOCKED-OUT</t>
  </si>
  <si>
    <t>Auth hợp lệ;
Sender/Receiver có Country thuộc Knock-out list</t>
  </si>
  <si>
    <t>1. Gửi POST với transactionType=MSB001
2. Body có Country thuộc Knock-out
3. Kiểm tra result=KNOCKED-OUT, score=100</t>
  </si>
  <si>
    <t xml:space="preserve">Headers:
Authorization:  Basic a3ljYWRtbjphYmMxMjM=    (Username and password to login)
Content-Type: application/json
 transactionId: TF_MSB001_003
 requestId: REQ_TF_MSB001_003
 transactionType: MSB001
 branchCd: HN
 channel: T24
 isCallBack: N
Body:
{
  "MSB001": {
   "Sender": {
    "FullName": "TRAN VAN SENDER",
    "DOB": "1985-05-20",
    "Nationalities": [
     {
      "Citizenship": "IR"
     }
    ],
    "Id": [
     {
      "IdNumber": "037085001234"
     }
    ],
    "ResidenceAddress": [
     {
      "Address": "123 Nguyen Trai, Thanh Xuan, Ha Noi",
      "Country": "IR"
     }
    ]
   },
   "Receiver": {
    "FullName": "JOHN RECEIVER SMITH",
    "DOB": "1990-11-12",
    "Nationalities": [
     {
      "Citizenship": "US"
     }
    ],
    "Id": [
     {
      "IdNumber": "A12345678"
     }
    ],
    "ResidenceAddress": [
     {
      "Address": "456 Broadway, New York, NY 10013",
      "Country": "US"
     }
    ]
   },
   "SenderOrg": {
    "VnName": "Cong ty Co phan Xuat nhap khau ABC",
    "EngName": "ABC Import Export Joint Stock Company",
    "ShortName": "ABC IMPEX",
    "HeadquartersAddress": "789 Le Lai, District 1, Ho Chi Minh City",
    "HeadquartersCountry": "IR",
    "IncorporationDate": "2010-03-15",
    "Documents": [
     {
      "DocumentNumber": "0102030405"
     }
    ]
   },
   "ReceiverOrg": {
    "VnName": "Cong ty TNHH Giao nhan Toan Cau XYZ",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"IR",
   "RemittingBankName": "CITIBANK NEW YORK",
   "RemittingBankBicCode": "CITIUS33XXX",
   "RemittingBankAddress": "399 Park Avenue, New York, NY 10022",
   "RemittingBankCountry": "US"
  }
 }
</t>
  </si>
  <si>
    <t>Kiểm tra thông tin HTTP Status trả về : 200 OK
  "transactionType": "transactionType",
  "result": "KNOCKED-OUT",
  "score": 0,
  "groupMessageId": "groupMessageId",
  "requestId": "requestId",
  "processDate": "processDate",
  "channel": "channel,
  "errorCode": "00",
  "errorDetail": "No error",
  "alertId": null,
  "transactionId": "transactionId",
  "branchCd": "branchCd"</t>
  </si>
  <si>
    <t>AML_API_MSB001_04</t>
  </si>
  <si>
    <t>MSB001 – body JSON sai cấu trúc</t>
  </si>
  <si>
    <t>1. Gửi POST với transactionType=MSB001
2. Body JSON không đúng cấu trúc Bank01.MSB001
3. Kiểm tra errorCode=03</t>
  </si>
  <si>
    <t>Headers:
Authorization:  Basic a3ljYWRtbjphYmMxMjM=    (Username and password to login)
Content-Type: application/json
 transactionId: TF_MSB001_004
 requestId: REQ_TF_MSB001_004
 transactionType: MSB001
 branchCd: HN
 channel: T24
 isCallBack: N
Body:
{"invalid_key": "wrong_structure"}</t>
  </si>
  <si>
    <t>Kiểm tra thông tin HTTP Status trả về : 200 OK
result: ERROR
errorCode: 03
errorDetail: Invalid message format
score: (rỗng)
alertId: (rỗng)
processDate: null
JSON không khớp cấu trúc Bank01.MSB001</t>
  </si>
  <si>
    <t>AML_API_MSB001_05</t>
  </si>
  <si>
    <t>MSB001 – mismatch: MT body nhưng transactionType=MSB001</t>
  </si>
  <si>
    <t>1. Gửi POST với transactionType=MSB001
2. Body là điện SWIFT MT
3. Kiểm tra errorCode=03</t>
  </si>
  <si>
    <t xml:space="preserve">Headers:
Authorization:  Basic a3ljYWRtbjphYmMxMjM=    (Username and password to login)
Content-Type: application/json
 transactionId: TF_MSB001_005
 requestId: REQ_TF_MSB001_005
 transactionType: MSB001
 branchCd: HN
 channel: T24
 isCallBack: N
Body:
</t>
  </si>
  <si>
    <t>Kiểm tra thông tin HTTP Status trả về : 200 OK
result: ERROR
errorCode: 03
errorDetail: Invalid message format
score: (rỗng)
alertId: (rỗng)
processDate: null
Mismatch: transactionType=MSB001 nhưng body là MT format</t>
  </si>
  <si>
    <t xml:space="preserve"> VII. Sàng lọc Custom Message Non-Swift 2 (MSB002)</t>
  </si>
  <si>
    <t xml:space="preserve">  AML_API_MSB002 Kiểm tra sàng lọc với Custom Message MSB002</t>
  </si>
  <si>
    <t>AML_API_MSB002_01</t>
  </si>
  <si>
    <t>MSB002 hợp lệ – kết quả No-HIT</t>
  </si>
  <si>
    <t>Auth hợp lệ;
JSON MSB002 đúng cấu trúc;
Không có match cấm vận</t>
  </si>
  <si>
    <t>1. Gửi POST với transactionType=MSB002
2. Body JSON theo cấu trúc Bank01.MSB002
3. Kiểm tra result=No-HIT</t>
  </si>
  <si>
    <t xml:space="preserve">Headers:
Authorization:  Basic a3ljYWRtbjphYmMxMjM=    (Username and password to login)
Content-Type: application/json
 transactionId: TF_MSB002_001
 requestId: REQ_TF_MSB002_001
 transactionType: MSB002
 branchCd: HN
 channel: T24
 isCallBack: N
Body:
{
  "MSB002": {
   "Sender": {
    "FullName": "TRAN VAN SENDER",
    "DOB": "1985-05-20",
    "Nationalities": [
     {
      "Citizenship": "VN"
     }
    ],
    "Id": [
     {
      "IdNumber": "037085001234"
     }
    ],
    "ResidenceAddress": [
     {
      "Address": "123 Nguyen Trai, Thanh Xuan, Ha Noi",
      "Country": "VN"
     }
    ]
   },
   "Receiver": {
    "FullName": "JOHN RECEIVER SMITH",
    "DOB": "1990-11-12",
    "Nationalities": [
     {
      "Citizenship": "US"
     }
    ],
    "Id": [
     {
      "IdNumber": "A12345678"
     }
    ],
    "ResidenceAddress": [
     {
      "Address": "456 Broadway, New York, NY 10013",
      "Country": "US"
     }
    ]
   },
   "SenderOrg": {
    "VnName": "Cong ty Co phan Xuat nhap khau ABC",
    "EngName": "ABC Import Export Joint Stock Company",
    "ShortName": "ABC IMPEX",
    "HeadquartersAddress": "789 Le Lai, District 1, Ho Chi Minh City",
    "HeadquartersCountry": "VN",
    "IncorporationDate": "2010-03-15",
    "Documents": [
     {
      "DocumentNumber": "0102030405"
     }
    ]
   },
   "ReceiverOrg": {
    "VnName": "Cong ty TNHH Giao nhan Toan Cau XYZ",
    "EngName": "XYZ Global Logistics Company Limited",
    "ShortName": "XYZ LOGISTICS",
    "HeadquartersAddress": "101 Marina Boulevard, Singapore 018989",
    "HeadquartersCountry": "SG",
    "IncorporationDate": "2015-08-22",
    "Documents": [
     {
      "DocumentNumber": "REG987654"
     }
    ]
   },
   "BeneficiaryBankName": "VIETCOMBANK HO CHI MINH",
   "BeneficiaryBankBicCode": "BFTVBNVX002",
   "BeneficiaryBankAddress": "29 Ben Chuong Duong, District 1, Ho Chi Minh City",
   "BeneficiaryBankCountry": "VN",
   "RemittingBankName": "CITIBANK NEW YORK",
   "RemittingBankBicCode": "CITIUS33XXX",
   "RemittingBankAddress": "399 Park Avenue, New York, NY 10022",
   "RemittingBankCountry": "US"
  }
 }
</t>
  </si>
  <si>
    <t>AML_API_MSB002_02</t>
  </si>
  <si>
    <t>MSB002 hợp lệ – kết quả HIT</t>
  </si>
  <si>
    <t>Auth hợp lệ;
Sender/Receiver match danh sách cấm vận</t>
  </si>
  <si>
    <t>1. Gửi POST với transactionType=MSB002
2. Body có thông tin match cấm vận
3. Kiểm tra result=HIT</t>
  </si>
  <si>
    <t>Headers:
Authorization:  Basic a3ljYWRtbjphYmMxMjM=    (Username and password to login)
Content-Type: application/json
 transactionId: TF_MSB002_002
 requestId: REQ_TF_MSB002_002
 transactionType: MSB002
 branchCd: HN
 channel: T24
 isCallBack: N
Body:
{
 "Bank01": {
  "MSB002": {
   "Sender": {"FullName":"TRAN VAN SENDER","DOB":"1985-05-20",
    "Nationalities":[{"SenderCitizenship":"VN"}],
    "Id":[{"IdNumber":"037085001234"}],
    "ResidenceAddress":[{"Address":"123 Nguyen Trai, Ha Noi","Country":"VN"}]},
   "Receiver": {"FullName":"JOHN RECEIVER SMITH","DOB":"1990-11-12",
    "Nationalities":[{"Citizenship":"US"}],
    "Id":[{"IdNumber":"A12345678"}],
    "ResidenceAddress":[{"Address":"456 Broadway, New York","Country":"US"}]},
   "BeneficiaryBankName":"VIETCOMBANK HO CHI MINH",
   "BeneficiaryBankBicCode":"BFTVBNVX002","BeneficiaryBankCountry":"VN",
   "RemittingBankName":"CITIBANK NEW YORK",
   "RemittingBankBicCode":"CITIUS33XXX","RemittingBankCountry":"US"
  }
 }
}</t>
  </si>
  <si>
    <t>AML_API_MSB002_03</t>
  </si>
  <si>
    <t>MSB002 hợp lệ – kết quả KNOCKED-OUT</t>
  </si>
  <si>
    <t>Auth hợp lệ;
Country thuộc Knock-out list</t>
  </si>
  <si>
    <t>1. Gửi POST với transactionType=MSB002
2. Body có Country thuộc Knock-out
3. Kiểm tra result=KNOCKED-OUT</t>
  </si>
  <si>
    <t xml:space="preserve">Headers:
Authorization:  Basic a3ljYWRtbjphYmMxMjM=    (Username and password to login)
Content-Type: application/json
 transactionId: TF_MSB002_003
 requestId: REQ_TF_MSB002_003
 transactionType: MSB002
 branchCd: HN
 channel: T24
 isCallBack: N
Body:
</t>
  </si>
  <si>
    <t>AML_API_MSB002_04</t>
  </si>
  <si>
    <t>MSB002 – body JSON sai cấu trúc</t>
  </si>
  <si>
    <t>1. Gửi POST với transactionType=MSB002
2. Body JSON sai cấu trúc MSB002
3. Kiểm tra errorCode=03</t>
  </si>
  <si>
    <t>Headers:
Authorization:  Basic a3ljYWRtbjphYmMxMjM=    (Username and password to login)
Content-Type: application/json
 transactionId: TF_MSB002_004
 requestId: REQ_TF_MSB002_004
 transactionType: MSB002
 branchCd: HN
 channel: T24
 isCallBack: N
Body:
{"wrong_key": "value"}</t>
  </si>
  <si>
    <t>Kiểm tra thông tin HTTP Status trả về : 200 OK
result: ERROR
errorCode: 03
errorDetail: Invalid message format
score: (rỗng)
alertId: (rỗng)
processDate: null</t>
  </si>
  <si>
    <t xml:space="preserve"> VIII. Sàng lọc Custom Message Non-Swift 3 (MSB003)</t>
  </si>
  <si>
    <t xml:space="preserve">  AML_API_MSB003 Kiểm tra sàng lọc với Custom Message MSB003 (JSON Array)</t>
  </si>
  <si>
    <t>AML_API_MSB003_01</t>
  </si>
  <si>
    <t>MSB003 hợp lệ – kết quả No-HIT</t>
  </si>
  <si>
    <t>Auth hợp lệ;
JSON Array MSB003 đúng cấu trúc;
Không có match cấm vận</t>
  </si>
  <si>
    <t>1. Gửi POST với transactionType=MSB003
2. Body là JSON Array chứa object MSB003
3. Kiểm tra result=No-HIT</t>
  </si>
  <si>
    <t>Headers:
Authorization:  Basic a3ljYWRtbjphYmMxMjM=    (Username and password to login)
Content-Type: application/json
 transactionId: TF_MSB003_001
 requestId: REQ_TF_MSB003_001
 transactionType: MSB003
 branchCd: HN
 channel: T24
 isCallBack: N
Body:
{
 "MSB003": {
  "Debtor": {
   "Name": "CONG TY TNHH THUONG MAI VA XUAT NHAP KHAU ABC",
   "Identifier": "0101234567",
   "Address": {
    "FullAddress": "So 12 Duong Lang Ha, Phuong Thanh Cong, Quan Ba Dinh, Ha Noi, Viet Nam",
    "CountryInAddress": "VN"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"VN"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"VN"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"VN"
    }
   },
   {
    "PartyType": "Party_08",
    "Role": "Ben lien quan khac (Others)",
    "Name": "CUSTOMS BROKER TRANG AN CO., LTD",
    "Identifier": "0201889900",
    "Address": {
     "FullAddress": "So 8 Le Thanh Tong, Ngo Quyen, Hai Phong, Viet Nam",
     "CountryInAddress": "VN"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"VN"
   }
  ],
  "PlaceOfDischarge": [
   {
    "PlaceTypeD": "PlaceOfDischarge_01",
    "FullAddress": "Kho ngoai quan Dinh Vu, Hai Phong, Viet Nam",
    "CountryInAddress": "VN"
   }
  ],
  "Transportation": [
   {
    "TransportationType": "Transportation_01",
    "Name": "MV OCEAN STAR",
    "Identifier": "IMO9345678",
    "Flag": "PA"
   }
  ],
  "Goods": [
   {
    "GoodsType": "Goods_01",
    "ImportCountry": "CN",
    "ExportCountry": "HK"
   }
  ]
 }
}</t>
  </si>
  <si>
    <t>Kiểm tra thông tin HTTP Status trả về : 200 OK
result: No-HIT
errorCode: 00
errorDetail: No Error
score: 0
alertId: (rỗng)</t>
  </si>
  <si>
    <t>AML_API_MSB003_02</t>
  </si>
  <si>
    <t>MSB003 hợp lệ – kết quả HIT (Debtor/Creditor/InvolvedParty match cấm vận)</t>
  </si>
  <si>
    <t>Auth hợp lệ;
Tên Debtor hoặc Creditor hoặc InvolvedParty match cấm vận</t>
  </si>
  <si>
    <t>1. Gửi POST với transactionType=MSB003
2. Body MSB003 có tên match cấm vận
3. Kiểm tra result=HIT
4. Verify sàng lọc tất cả InvolvedParty</t>
  </si>
  <si>
    <t>Headers:
Authorization:  Basic a3ljYWRtbjphYmMxMjM=    (Username and password to login)
Content-Type: application/json
 transactionId: TF_MSB003_002
 requestId: REQ_TF_MSB003_002
 transactionType: MSB003
 branchCd: HN
 channel: T24
 isCallBack: N
Body:
[
 {
  "MSB003": {
   "Debtor":{"Name":"CONG TY TNHH THUONG MAI VA XUAT NHAP KHAU ABC",
    "FullAddress":"So 12 Duong Lang Ha, Ba Dinh, Ha Noi, Viet Nam",
    "CountryInAddress":"VNM","Identifier":"0101234567"},
   "Creditor":{"Name":"SHENZHEN GLOBAL ELECTRONICS CO., LTD",
    "FullAddress":"No. 88 Huaqiang North Road, Shenzhen, China",
    "CountryInAddress":"CHN","Identifier":"91440300MA5XXXXX1K"},
   "InvolvedParty":[{"PartyType":"PARTY_01","Role":"Exporter",
    "Name":"SHENZHEN GLOBAL ELECTRONICS","CountryInAddress":"CHN",
    "Identifier":"91440300MA5XXXXX1K"}]
  }
 }
]</t>
  </si>
  <si>
    <t>Kiểm tra thông tin HTTP Status trả về : 200 OK
result: HIT
errorCode: 00
errorDetail: No Error
score: &gt; 0
alertId: (not null)
Verify: tất cả InvolvedParty đều được sàng lọc</t>
  </si>
  <si>
    <t>AML_API_MSB003_03</t>
  </si>
  <si>
    <t>MSB003 hợp lệ – kết quả KNOCKED-OUT</t>
  </si>
  <si>
    <t>Auth hợp lệ;
CountryInAddress thuộc Knock-out list</t>
  </si>
  <si>
    <t>1. Gửi POST với transactionType=MSB003
2. Body có CountryInAddress thuộc Knock-out
3. Kiểm tra result=KNOCKED-OUT</t>
  </si>
  <si>
    <t>Headers:
Authorization:  Basic a3ljYWRtbjphYmMxMjM=    (Username and password to login)
Content-Type: application/json
 transactionId: TF_MSB003_003
 requestId: REQ_TF_MSB003_003
 transactionType: MSB003
 branchCd: HN
 channel: T24
 isCallBack: N
Body:
{
 "MSB003": {
  "Debtor": {
   "Name": "CONG TY TNHH THUONG MAI VA XUAT NHAP KHAU ABC",
   "Identifier": "0101234567",
   "Address": {
    "FullAddress": "So 12 Duong Lang Ha, Phuong Thanh Cong, Quan Ba Dinh, Ha Noi, Viet Nam",
    "CountryInAddress": "IR"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"IR"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"IR"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"IR"
    }
   },
   {
    "PartyType": "Party_08",
    "Role": "Ben lien quan khac (Others)",
    "Name": "CUSTOMS BROKER TRANG AN CO., LTD",
    "Identifier": "0201889900",
    "Address": {
     "FullAddress": "So 8 Le Thanh Tong, Ngo Quyen, Hai Phong, Viet Nam",
     "CountryInAddress": "IR"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
    "PortTypeD": "PortOfDischarge_01",
    "Name": "Hai Phong Port",
    "Country": "IR"
   }
  ],
  "PlaceOfDischarge": [
   {
    "PlaceTypeD": "PlaceOfDischarge_01",
    "FullAddress": "Kho ngoai quan Dinh Vu, Hai Phong, Viet Nam",
    "CountryInAddress": "IR"
   }
  ],
  "Transportation": [
   {
    "TransportationType": "Transportation_01",
    "Name": "MV OCEAN STAR",
    "Identifier": "IMO9345678",
    "Flag": "PA"
   }
  ],
  "Goods": [
   {
    "GoodsType": "Goods_01",
    "ImportCountry": "CN",
    "ExportCountry": "HK"
   }
  ]
 }
}</t>
  </si>
  <si>
    <t>Kiểm tra thông tin HTTP Status trả về : 200 OK
result: KNOCKED-OUT
errorCode: 00
errorDetail: No Error
score: 100
alertId: (not null)</t>
  </si>
  <si>
    <t>AML_API_MSB003_04</t>
  </si>
  <si>
    <t>MSB003 – body JSON Object thay vì JSON Array</t>
  </si>
  <si>
    <t>1. Gửi POST với transactionType=MSB003
2. Body là JSON Object ({})
  thay vì JSON Array ([{}])
3. Kiểm tra errorCode=03</t>
  </si>
  <si>
    <t>Headers:
Authorization:  Basic a3ljYWRtbjphYmMxMjM=    (Username and password to login)
Content-Type: application/json
 transactionId: TF_MSB003_004
 requestId: REQ_TF_MSB003_004
 transactionType: MSB003
 branchCd: HN
 channel: T24
 isCallBack: N
Body:
{
 "MSB003": {
  "Debtor": {
   "Name": "CONG TY TNHH THUONG MAI VA XUAT NHAP KHAU ABC",
   "Identifier": "0101234567",
   "Address": {
    "FullAddress": "So 12 Duong Lang Ha, Phuong Thanh Cong, Quan Ba Dinh, Ha Noi, Viet Nam",
    "CountryInAddress": "IR"
   }
  },
  "Creditor": {
   "Name": "SHENZHEN GLOBAL ELECTRONICS CO., LTD",
   "Identifier": "91440300MA5XXXXX1K",
   "Address": {
    "FullAddress": "No. 88 Huaqiang North Road, Futian District, Shenzhen, Guangdong, China",
    "CountryInAddress": "CN"
   }
  },
  "InvolvedParty": [
   {
    "PartyType": "Party_01",
    "Role": "Nguoi xuat khau (Exporter)",
    "Name": "SHENZHEN GLOBAL ELECTRONICS CO., LTD",
    "Identifier": "91440300MA5XXXXX1K",
    "Address": {
     "FullAddress": "No. 88 Huaqiang North Road, Futian District, Shenzhen, China",
     "CountryInAddress": "CN"
    }
   },
   {
    "PartyType": "Party_02",
    "Role": "Nguoi nhap khau (Importer)",
    "Name": "CONG TY TNHH THUONG MAI VA XUAT NHAP KHAU ABC",
    "Identifier": "0101234567",
    "Address": {
     "FullAddress": "So 12 Duong Lang Ha, Quan Ba Dinh, Ha Noi, Viet Nam",
     "CountryInAddress": "IR"
    }
   },
   {
    "PartyType": "Party_03",
    "Role": "Cong ty van tai (Transportation Company)",
    "Name": "OCEAN LINE SHIPPING PTE LTD",
    "Identifier": "SG201512345R",
    "Address": {
     "FullAddress": "10 Marina Boulevard, Singapore",
     "CountryInAddress": "SG"
    }
   },
   {
    "PartyType": "Party_04",
    "Role": "Cong ty bao hiem (Insurance Company)",
    "Name": "BAO VIET INSURANCE CORPORATION",
    "Identifier": "0100111333",
    "Address": {
     "FullAddress": "So 7 Ly Thuong Kiet, Hoan Kiem, Ha Noi, Viet Nam",
     "CountryInAddress": "IR"
    }
   },
   {
    "PartyType": "Party_05",
    "Role": "Nha san xuat (Manufacturer)",
    "Name": "DONGGUAN PRECISION MANUFACTURING LTD",
    "Identifier": "91441900MA4YYYYY2L",
    "Address": {
     "FullAddress": "Industrial Zone, Chang'an Town, Dongguan, China",
     "CountryInAddress": "CN"
    }
   },
   {
    "PartyType": "Party_06",
    "Role": "Ben lien quan khac (Others)",
    "Name": "GLOBAL INSPECTION SERVICES LTD",
    "Identifier": "HK-CR-2233445",
    "Address": {
     "FullAddress": "Room 501, Nathan Road, Kowloon, Hong Kong",
     "CountryInAddress": "HK"
    }
   },
   {
    "PartyType": "Party_07",
    "Role": "Ben lien quan khac (Others)",
    "Name": "ASIA FREIGHT FORWARDING JSC",
    "Identifier": "0312556677",
    "Address": {
     "FullAddress": "So 25 Nguyen Van Linh, Quan 7, TP Ho Chi Minh, Viet Nam",
     "CountryInAddress": "IR"
    }
   },
   {
    "PartyType": "Party_08",
    "Role": "Ben lien quan khac (Others)",
    "Name": "CUSTOMS BROKER TRANG AN CO., LTD",
    "Identifier": "0201889900",
    "Address": {
     "FullAddress": "So 8 Le Thanh Tong, Ngo Quyen, Hai Phong, Viet Nam",
     "CountryInAddress": "IR"
    }
   }
  ],
  "BeneficiaryBank": {
   "Name": "BANK OF CHINA, SHENZHEN BRANCH",
   "BIC": "BKCHCNBJ45A",
   "Address": {
    "FullAddress": "1088 Shennan Road, Futian District, Shenzhen, China",
    "CountryInAddress": "CN"
   }
  },
  "InvolvedBank": [
   {
    "BankType": "Bank_01",
    "Role": "Ngan hang xac nhan (Confirming)",
    "Name": "HSBC HONG KONG",
    "BIC": "HSBCHKHHHKH",
    "Address": {
     "FullAddress": "1 Queen's Road Central, Hong Kong",
     "CountryInAddress": "HK"
    }
   },
   {
    "BankType": "Bank_02",
    "Role": "Ngan hang hoan tra (Reimbursing)",
    "Name": "CITIBANK N.A., NEW YORK",
    "BIC": "CITIUS33XXX",
    "Address": {
     "FullAddress": "388 Greenwich Street, New York, NY, USA",
     "CountryInAddress": "US"
    }
   }
  ],
  "PortOfLoading": [
   {
    "PortTypeL": "PortOfLoading_01",
    "Name": "Yantian International Container Terminal",
    "Country": "CN"
   }
  ],
  "PlaceOfLoading": [
   {
    "PlaceTypeL": "PlaceOfLoading_01",
    "FullAddress": "Yantian Bonded Warehouse, Shenzhen, China",
    "CountryInAddress": "CN"
   }
  ],
  "PortOfTransshipment": [
   {
    "PortTypeT": "PortOfTransshipment_01",
    "Name": "Hong Kong Kwai Chung Terminal",
    "Country": "HK"
   }
  ],
  "PortOfDischarge": 
   {
    "PortTypeD": "PortOfDischarge_01",
    "Name": "Hai Phong Port",
    "Country": "IR"
   }
  ],
  "PlaceOfDischarge": 
   {
    "PlaceTypeD": "PlaceOfDischarge_01",
    "FullAddress": "Kho ngoai quan Dinh Vu, Hai Phong, Viet Nam",
    "CountryInAddress": "IR"
   }
  ],
  "Transportation": 
   {
    "TransportationType": "Transportation_01",
    "Name": "MV OCEAN STAR",
    "Identifier": "IMO9345678",
    "Flag": "PA"
   }
  ,
  "Goods": 
   {
    "GoodsType": "Goods_01",
    "ImportCountry": "CN",
    "ExportCountry": "HK"
   }
 }
}</t>
  </si>
  <si>
    <t>Kiểm tra thông tin HTTP Status trả về : 200 OK
result: ERROR
errorCode: 03
errorDetail: Invalid message format
score: (rỗng)
alertId: (rỗng)
processDate: null
MSB003 yêu cầu JSON Array;
JSON Object phải bị từ chối</t>
  </si>
  <si>
    <t xml:space="preserve"> IX. Verify Response Body – Kiểm tra đầy đủ các fields</t>
  </si>
  <si>
    <t xml:space="preserve">  AML_API_RESP Kiểm tra cấu trúc và giá trị response body</t>
  </si>
  <si>
    <t>AML_API_RESP_01</t>
  </si>
  <si>
    <t>Response HIT – verify đầy đủ 12 fields</t>
  </si>
  <si>
    <t>Auth hợp lệ;
Request MT có HIT</t>
  </si>
  <si>
    <t>1. Gửi POST MT hợp lệ, có HIT
2. Nhận response
3. Verify lần lượt tất cả fields:
  transactionId, transactionType, result,
  requestId, errorCode, errorDetail,
  score, groupMessageId, alertId,
  processDate, branchCd, channel</t>
  </si>
  <si>
    <t>Headers:
Authorization:  Basic a3ljYWRtbjphYmMxMjM=    (Username and password to login)
Content-Type: application/json
 transactionId: TF_RESP_001
 requestId: REQ_TF_RESP_001
 transactionType: MT
 branchCd: HN
 channel: T24
 isCallBack: N
Body:
{1:F01SIIBSYDAXXXX0000000000}
{2:I202ESSESESSXXXXN}
{4:
:20:MT202
:21:SENDEREFERENC001
:32A:170623CNY5000
:58D:/B/BENEFICIARYINST
MAJESTUALIDAQ
CUBA
:72:PHONBEN
-}
{5:{MAC:12345678}{CHK:123456789ABC}}</t>
  </si>
  <si>
    <t>Kiểm tra thông tin HTTP Status trả về: 200
result: HIT
transactionId == TF_RESP_001 (echo)
requestId == REQ_TF_RESP_001 (echo)
transactionType == MT (echo)
errorCode: null
errorDetail: null
score: &gt; 0 (số nguyên)
groupMessageId: not null (Number)
alertId: not null (Number)
processDate: format dd-mm-yyyy hh:mi:ss
branchCd == HN (echo)
channel == T24 (echo)</t>
  </si>
  <si>
    <t>AML_API_RESP_02</t>
  </si>
  <si>
    <t>Response No-HIT – alertId rỗng, score=0</t>
  </si>
  <si>
    <t>Auth hợp lệ;
Request MT, kết quả No-HIT</t>
  </si>
  <si>
    <t>1. Gửi POST MT không match cấm vận
2. Nhận response No-HIT
3. Verify: alertId='' và score=0</t>
  </si>
  <si>
    <t>Headers:
Authorization:  Basic a3ljYWRtbjphYmMxMjM=    (Username and password to login)
Content-Type: application/json
 transactionId: TF_RESP_002
 requestId: REQ_TF_RESP_002
 transactionType: MT
 branchCd: HN
 channel: T24
 isCallBack: N
Body:
{1:F01SIIBSYDAXXXX0000000000}
{2:I202ESSESESSXXXXN}
{4:
:20:MT202
:21:SENDEREFERENC001
:32A:170623CNY5000
:58D:/B/BENEFICIARYINST
MAJESTUALIDAQ
CUBA
:72:PHONBEN
-}
{5:{MAC:12345678}{CHK:123456789ABC}}</t>
  </si>
  <si>
    <t>Kiểm tra thông tin HTTP Status trả về: 200
result: NO HIT
transactionId == TF_RESP_001 (echo)
requestId == REQ_TF_RESP_001 (echo)
transactionType == MT (echo)
errorCode: null
errorDetail: null
score: &gt; 0 (số nguyên)
groupMessageId: not null (Number)
alertId: not null (Number)
processDate: format dd-mm-yyyy hh:mi:ss
branchCd == HN (echo)
channel == T24 (echo)</t>
  </si>
  <si>
    <t>AML_API_RESP_03</t>
  </si>
  <si>
    <t>Response KNOCKED-OUT, alertId not null</t>
  </si>
  <si>
    <t>Auth hợp lệ;
Request MT có Knock-out country</t>
  </si>
  <si>
    <t>1. Gửi POST MT với Knock-out country
2. Nhận response KNOCKED-OUT
3. Verify: alertId not null</t>
  </si>
  <si>
    <t>Headers:
Authorization:  Basic a3ljYWRtbjphYmMxMjM=    (Username and password to login)
Content-Type: application/json
 transactionId: TF_RESP_003
 requestId: REQ_TF_RESP_003
 transactionType: MT
 branchCd: HN
 channel: T24
 isCallBack: N
Body:
{1:F01SIIBSYDAXXXX0000000000}
{2:I202ESSESESSXXXXN}
{4:
:20:MT202
:21:SENDEREFERENC001
:32A:170623CNY5000
:58D:/B/BENEFICIARYINST
MAJESTUALIDAQ
CUBA
:72:PHONBEN
-}
{5:{MAC:12345678}{CHK:123456789ABC}}</t>
  </si>
  <si>
    <t>AML_API_RESP_04</t>
  </si>
  <si>
    <t>Response ERROR – score rỗng, alertId rỗng, processDate null</t>
  </si>
  <si>
    <t>Auth hợp lệ;
Request MT body sai format</t>
  </si>
  <si>
    <t>1. Gửi POST MT với body sai format
2. Nhận response ERROR
3. Verify: score='', alertId='', processDate=null</t>
  </si>
  <si>
    <t>Headers:
Authorization:  Basic a3ljYWRtbjphYmMxMjM=    (Username and password to login)
Content-Type: application/json
 transactionId: TF_RESP_004
 requestId: REQ_TF_RESP_004
 transactionType: MT
 branchCd: HN
 channel: T24
 isCallBack: N
Body:
INVALID_MT_BODY_NOT_SWIFT</t>
  </si>
  <si>
    <t xml:space="preserve"> "result": null,
  "score": null,
  "groupMessageId": null,
  "requestId": "requestId",
  "processDate": null,
  "channel": "channel",
  "errorCode": "03",
  "errorDetail": "Invalid message format",
  "alertId": null,
  "transactionId": "transactionId"</t>
  </si>
  <si>
    <t>AML_API_RESP_05</t>
  </si>
  <si>
    <t>HTTP Status luôn là 200 kể cả khi nghiệp vụ ERROR</t>
  </si>
  <si>
    <t>Auth hợp lệ;
Request body sai format để trigger ERROR</t>
  </si>
  <si>
    <t>1. Gửi POST với body sai format
2. Kiểm tra HTTP Status Code trong response header
3. Verify HTTP = 200 (không phải 4xx hay 5xx)</t>
  </si>
  <si>
    <t>Headers:
Authorization:  Basic a3ljYWRtbjphYmMxMjM=    (Username and password to login)
Content-Type: application/json
 transactionId: TF_RESP_005
 requestId: REQ_TF_RESP_005
 transactionType: MT
 branchCd: HN
 channel: T24
 isCallBack: N
Body:
INVALID_MT_BODY_NOT_SWIFT</t>
  </si>
  <si>
    <t>Kiểm tra thông tin HTTP Status trả về : 200 OK ← LUÔN LUÔN
Trạng thái nghiệp vụ phân biệt qua:
 result: ERROR
 errorCode: 03
KHÔNG phải qua HTTP 4xx/5xx</t>
  </si>
  <si>
    <t>AML_API_RESP_06</t>
  </si>
  <si>
    <t>transactionId trong response cho đúng giá trị đã gửi</t>
  </si>
  <si>
    <t>1. Gửi POST với transactionId='TF_ECHO_CHECK_001'
2. Kiểm tra response.transactionId</t>
  </si>
  <si>
    <t>Headers:
Authorization:  Basic a3ljYWRtbjphYmMxMjM=    (Username and password to login)
Content-Type: application/json
 transactionId: TF_ECHO_CHECK_001
 requestId: REQ_TF_ECHO_CHECK_001
 transactionType: MT
 branchCd: HN
 channel: T24
 isCallBack: N
Body:
{1:F01BFICCUHHAXXX0000000000}
{2:I767BFICCUHHXXXXN}
{3:{108:MT767TEST0001}}
{4:
:15A:
:27:1/1
:21:LC26001234567890
:22A:ISSU
:15B:
:20:GAM2607240001
:26E:1
:30:260415
:52A:BFICCUHH
:59E:BFICCUHH
-}{5:{MAC:00000000}{CHK:1A2B3C4D5E6F}}</t>
  </si>
  <si>
    <t>Kiểm tra thông tin HTTP Status trả về: 200
response.transactionId == 'TF_ECHO_CHECK_001'
(phản hồi lại đúng giá trị đã gửi)</t>
  </si>
  <si>
    <t>AML_API_RESP_07</t>
  </si>
  <si>
    <t>requestId trong response echo đúng giá trị đã gửi</t>
  </si>
  <si>
    <t>1. Gửi POST với requestId='REQ_ECHO_CHECK_001'
2. Kiểm tra response.requestId</t>
  </si>
  <si>
    <t>Headers:
Authorization:  Basic a3ljYWRtbjphYmMxMjM=    (Username and password to login)
Content-Type: application/json
 transactionId: TF_RESP_007
 requestId: REQ_TF_RESP_007
 transactionType: MT
 branchCd: HN
 channel: T24
 isCallBack: N
Body:
{1:F01BFICCUHHAXXX0000000000}
{2:I767BFICCUHHXXXXN}
{3:{108:MT767TEST0001}}
{4:
:15A:
:27:1/1
:21:LC26001234567890
:22A:ISSU
:15B:
:20:GAM2607240001
:26E:1
:30:260415
:52A:BFICCUHH
:59E:BFICCUHH
-}{5:{MAC:00000000}{CHK:1A2B3C4D5E6F}}
{5:{MAC:12345678}{CHK:123456789ABC}}</t>
  </si>
  <si>
    <t>Kiểm tra thông tin HTTP Status trả về: 200
response.requestId == 'REQ_TF_RESP_007'
(phản hồi lại đúng giá trị đã gửi)</t>
  </si>
  <si>
    <t>AML_API_RESP_08</t>
  </si>
  <si>
    <t>processDate đúng format dd-mm-yyyy hh:mi:ss</t>
  </si>
  <si>
    <t>Auth hợp lệ;
Request MT có kết quả HIT hoặc No-HIT</t>
  </si>
  <si>
    <t>1. Gửi POST MT hợp lệ
2. Nhận response
3. Parse processDate
4. Verify đúng pattern: dd-mm-yyyy hh:mi:ss</t>
  </si>
  <si>
    <t>Headers:
Authorization:  Basic a3ljYWRtbjphYmMxMjM=    (Username and password to login)
Content-Type: application/json
 transactionId: TF_RESP_008
 requestId: REQ_TF_RESP_008
 transactionType: MT
 branchCd: HN
 channel: T24
 isCallBack: N
Body:
{1:F01SIIBSYDAXXXX0000000000}
{2:I202ESSESESSXXXXN}
{4:
:20:MT202
:21:SENDEREFERENC001
:32A:170623CNY5000
:58D:/B/BENEFICIARYINST
MAJESTUALIDAQ
CUBA
:72:PHONBEN
-}
{5:{MAC:12345678}{CHK:123456789ABC}}</t>
  </si>
  <si>
    <t>Thông tin trả về :
processDate match regex:
^\d{2}-\d{2}-\d{4} \d{2}:\d{2}:\d{2}$
Ví dụ hợp lệ: 11-06-2026 14:35:22
Ví dụ KHÔNG hợp lệ: 2026-06-11 / 11/06/2026</t>
  </si>
  <si>
    <t>AML_API_RESP_09</t>
  </si>
  <si>
    <t>branchCd và channel echo đúng giá trị đã gửi</t>
  </si>
  <si>
    <t>1. Gửi POST với branchCd='SGN' và channel='IB'
2. Kiểm tra response.branchCd và response.channel</t>
  </si>
  <si>
    <t>Headers:
Authorization:  Basic a3ljYWRtbjphYmMxMjM=    (Username and password to login)
Content-Type: application/json
 transactionId: TF_RESP_009
 requestId: REQ_TF_RESP_009
 transactionType: MT
 branchCd: SGN
 channel: IB
 isCallBack: N
Body:
{1:F01SIIBSYDAXXXX0000000000}
{2:I202ESSESESSXXXXN}
{4:
:20:MT202
:21:SENDEREFERENC001
:32A:170623CNY5000
:58D:/B/BENEFICIARYINST
MAJESTUALIDAQ
CUBA
:72:PHONBEN
-}
{5:{MAC:12345678}{CHK:123456789ABC}}</t>
  </si>
  <si>
    <t>Kiểm tra thông tin HTTP Status trả về: 200
response.branchCd == 'SGN'
response.channel == 'IB'
(cả 2 phải echo đúng giá trị request)</t>
  </si>
  <si>
    <t>AML_API_RESP_10</t>
  </si>
  <si>
    <t>groupMessageId là số nguyên duy nhất cho mỗi request</t>
  </si>
  <si>
    <t>Auth hợp lệ;
Gửi 2 request riêng biệt</t>
  </si>
  <si>
    <t>1. Gửi POST request lần 1 → ghi nhận groupMessageId
2. Gửi POST request lần 2 (transactionId khác)
3. Verify groupMessageId hai lần KHÁC nhau</t>
  </si>
  <si>
    <t>Headers:
Authorization:  Basic a3ljYWRtbjphYmMxMjM=    (Username and password to login)
Content-Type: application/json
 transactionId: TF_RESP_010
 requestId: REQ_TF_RESP_010
 transactionType: MT
 branchCd: HN
 channel: T24
 isCallBack: N
Body:
{1:F01SIIBSYDAXXXX0000000000}
{2:I202ESSESESSXXXXN}
{4:
:20:MT202
:21:SENDEREFERENC001
:32A:170623CNY5000
:58D:/B/BENEFICIARYINST
MAJESTUALIDAQ
CUBA
:72:PHONBEN
-}
{5:{MAC:12345678}{CHK:123456789ABC}}</t>
  </si>
  <si>
    <t>Kiểm tra thông tin trả về
Lần 1: groupMessageId = X (Number &gt; 0)
Lần 2: groupMessageId = Y (Number &gt; 0)
Verify: X ≠ Y (unique per request)</t>
  </si>
  <si>
    <t xml:space="preserve"> X. Verify Error Codes (Bảng mã lỗi)</t>
  </si>
  <si>
    <t xml:space="preserve">  AML_API_ERR Kiểm tra các mã lỗi trả về trong response</t>
  </si>
  <si>
    <t>AML_API_ERR_01</t>
  </si>
  <si>
    <t>errorCode=00 – Xử lý thành công (No Error)</t>
  </si>
  <si>
    <t>Auth hợp lệ;
Request hoàn toàn hợp lệ</t>
  </si>
  <si>
    <t>1. Gửi POST request hợp lệ (MT)
2. Verify errorCode=00 trong response
3. Verify errorDetail='No Error'</t>
  </si>
  <si>
    <t>Headers:
Authorization:  Basic a3ljYWRtbjphYmMxMjM=    (Username and password to login)
Content-Type: application/json
 transactionId: TF_ERR_001
 requestId: REQ_TF_ERR_001
 transactionType: MT
 branchCd: HN
 channel: T24
 isCallBack: N
Body:
{1:F01SIIBSYDAXXXX0000000000}
{2:I202ESSESESSXXXXN}
{4:
:20:MT202
:21:SENDEREFERENC001
:32A:170623CNY5000
:58D:/B/BENEFICIARYINST
MAJESTUALIDAQ
CUBA
:72:PHONBEN
-}
{5:{MAC:12345678}{CHK:123456789ABC}}</t>
  </si>
  <si>
    <t>Kiểm tra thông tin HTTP Status trả về: 200
result: HIT hoặc No-HIT
errorCode: '00'
errorDetail: 'No Error'
(Không có lỗi nào trong quá trình xử lý)</t>
  </si>
  <si>
    <t>AML_API_ERR_02</t>
  </si>
  <si>
    <t>errorCode=01 – Missing parameter (thiếu field bắt buộc)</t>
  </si>
  <si>
    <t>Auth hợp lệ;
Gửi request thiếu transactionId</t>
  </si>
  <si>
    <t>1. Gửi POST thiếu transactionId
2. Kiểm tra response:
  result=ERROR, errorCode=01
3. Verify errorDetail mô tả field bị thiếu</t>
  </si>
  <si>
    <t>Headers:
Authorization:  Basic a3ljYWRtbjphYmMxMjM=    (Username and password to login)
Content-Type: application/json
Params (thiếu transactionId):
 requestId: REQ_ERR_002
 transactionType: MT
 branchCd: HN
 channel: T24
 isCallBack: N
Body:
{1:F01SIIBSYDAXXXX0000000000}
{2:I202ESSESESSXXXXN}
{4:
:20:MT202
:21:SENDEREFERENC001
:32A:170623CNY5000
:58D:/B/BENEFICIARYINST
MAJESTUALIDAQ
CUBA
:72:PHONBEN
-}
{5:{MAC:12345678}{CHK:123456789ABC}}</t>
  </si>
  <si>
    <t>Kiểm tra thông tin HTTP Status trả về: 200
result: ERROR
errorCode: '01'
errorDetail: 'Missing parameter'
score: null
alertId: null
processDate: null</t>
  </si>
  <si>
    <t>AML_API_ERR_03</t>
  </si>
  <si>
    <t>errorCode=03 – Invalid message format (sai format điện)</t>
  </si>
  <si>
    <t>Auth hợp lệ;
Body MT sai chuẩn SWIFT</t>
  </si>
  <si>
    <t>1. Gửi POST với transactionType=MT
2. Body: 'INVALID_MT_BODY'
3. Verify errorCode=03</t>
  </si>
  <si>
    <t>Headers:
Authorization:  Basic a3ljYWRtbjphYmMxMjM=    (Username and password to login)
Content-Type: application/json
 transactionId: TF_ERR_003
 requestId: REQ_TF_ERR_003
 transactionType: MT
 branchCd: HN
 channel: T24
 isCallBack: N
Body:
INVALID_MT_BODY_NOT_SWIFT</t>
  </si>
  <si>
    <t>Kiểm tra thông tin HTTP Status trả về: 200
result: ERROR
errorCode: '03'
errorDetail: 'Invalid message format'
score: null
alertId: null
processDate: null</t>
  </si>
  <si>
    <t>AML_API_ERR_04</t>
  </si>
  <si>
    <t>errorCode=05 – Webservices not responding (EDQ service down)</t>
  </si>
  <si>
    <t>Auth hợp lệ;
EDQ/screening service bị tắt hoặc quá tải</t>
  </si>
  <si>
    <t>1. Tắt EDQ service (hoặc giả lập)
2. Gửi POST request hợp lệ
3. Verify errorCode=05</t>
  </si>
  <si>
    <t>Headers:
Authorization:  Basic a3ljYWRtbjphYmMxMjM=    (Username and password to login)
Content-Type: application/json
 transactionId: TF_ERR_004
 requestId: REQ_TF_ERR_004
 transactionType: MT
 branchCd: HN
 channel: T24
 isCallBack: N
Body:
{1:F01SIIBSYDAXXXX0000000000}
{2:I202ESSESESSXXXXN}
{4:
:20:MT202
:21:SENDEREFERENC001
:32A:170623CNY5000
:58D:/B/BENEFICIARYINST
MAJESTUALIDAQ
CUBA
:72:PHONBEN
-}
{5:{MAC:12345678}{CHK:123456789ABC}}</t>
  </si>
  <si>
    <t>Kiểm tra thông tin HTTP Status trả về: 200
result: ERROR
errorCode: '05'
errorDetail: 'Webservices are not responding'
score: null
alertId: null
processDate: null
Precondition: Cần môi trường test với EDQ down</t>
  </si>
  <si>
    <t>off server</t>
  </si>
  <si>
    <t>AML_API_ERR_05</t>
  </si>
  <si>
    <t>errorCode=07 – Others exception (lỗi ngoài kịch bản)</t>
  </si>
  <si>
    <t>Auth hợp lệ;
Điều kiện đặc biệt để trigger lỗi ngoài kịch bản</t>
  </si>
  <si>
    <t>1. Tạo điều kiện gây lỗi không xác định
2. Gửi POST request
3. Verify errorCode=07</t>
  </si>
  <si>
    <t>Headers:
Authorization:  Basic a3ljYWRtbjphYmMxMjM=    (Username and password to login)
Content-Type: application/json
 transactionId: TF_ERR_005
 requestId: REQ_TF_ERR_005
 transactionType: MT
 branchCd: HN
 channel: T24
 isCallBack: N
Body:
{1:F01SIIBSYDAXXXX0000000000}
{2:I202ESSESESSXXXXN}
{4:
:20:MT202
:21:SENDEREFERENC001
:32A:170623CNY5000
:58D:/B/BENEFICIARYINST
MAJESTUALIDAQ
CUBA
:72:PHONBEN
-}
{5:{MAC:12345678}{CHK:123456789ABC}}</t>
  </si>
  <si>
    <t>Kiểm tra thông tin HTTP Status trả về: 200
result: ERROR
errorCode: '07'
errorDetail: 'Others exception'
score: null
alertId: null
processDate: null
Note: Cần môi trường đặc biệt để trigger lỗi 07</t>
  </si>
  <si>
    <t>AML_API_ERR_06</t>
  </si>
  <si>
    <t>errorCode=08 – Request Timeout (EDQ xử lý &gt;30 giây)</t>
  </si>
  <si>
    <t>Auth hợp lệ;
EDQ service phản hồi chậm &gt;30 giây</t>
  </si>
  <si>
    <t>1. Giả lập EDQ delay &gt;30 giây
2. Gửi POST request hợp lệ
3. Verify errorCode=08 sau 30 giây</t>
  </si>
  <si>
    <t>Headers:
Authorization:  Basic a3ljYWRtbjphYmMxMjM=    (Username and password to login)
Content-Type: application/json
 transactionId: TF_ERR_006
 requestId: REQ_TF_ERR_006
 transactionType: MT
 branchCd: HN
 channel: T24
 isCallBack: N
Body:
{1:F01SIIBSYDAXXXX0000000000}
{2:I202ESSESESSXXXXN}
{4:
:20:MT202
:21:SENDEREFERENC001
:32A:170623CNY5000
:58D:/B/BENEFICIARYINST
MAJESTUALIDAQ
CUBA
:72:PHONBEN
-}
{5:{MAC:12345678}{CHK:123456789ABC}}</t>
  </si>
  <si>
    <t>Kiểm tra thông tin HTTP Status trả về: 200
result: ERROR
errorCode: '08'
errorDetail: 'Request Timeout'
score: null
alertId: null
processDate: null
Timeout config: 30 giây</t>
  </si>
  <si>
    <t xml:space="preserve"> XI. Verify HTTP Status Codes</t>
  </si>
  <si>
    <t xml:space="preserve">  AML_API_HTTP Kiểm tra HTTP Status Code trả về</t>
  </si>
  <si>
    <t>AML_API_HTTP_01</t>
  </si>
  <si>
    <t>HTTP 200 – Request hợp lệ (mọi kết quả nghiệp vụ)</t>
  </si>
  <si>
    <t>Auth hợp lệ;
Request đầy đủ, hợp lệ</t>
  </si>
  <si>
    <t>1. Gửi POST request hợp lệ
2. Kiểm tra HTTP Status Code trong response header
3. Verify HTTP = 200 cho cả HIT / No-HIT / KNOCKED-OUT / ERROR</t>
  </si>
  <si>
    <t>Headers:
Authorization:  Basic a3ljYWRtbjphYmMxMjM=    (Username and password to login)
Content-Type: application/json
 transactionId: TF_HTTP_001
 requestId: REQ_TF_HTTP_001
 transactionType: MT
 branchCd: HN
 channel: T24
 isCallBack: N
Body:
{1:F01SIIBSYDAXXXX0000000000}
{2:I202ESSESESSXXXXN}
{4:
:20:MT202
:21:SENDEREFERENC001
:32A:170623CNY5000
:58D:/B/BENEFICIARYINST
MAJESTUALIDAQ
CUBA
:72:PHONBEN
-}
{5:{MAC:12345678}{CHK:123456789ABC}}</t>
  </si>
  <si>
    <t>Kiểm tra thông tin HTTP Status trả về : 200 OK
Áp dụng cho mọi kết quả nghiệp vụ:
 HIT → HTTP 200
 No-HIT → HTTP 200
 KNOCKED-OUT → HTTP 200
 ERROR → HTTP 200</t>
  </si>
  <si>
    <t>AML_API_HTTP_02</t>
  </si>
  <si>
    <t>HTTP 400 – Request không hợp lệ ở tầng HTTP</t>
  </si>
  <si>
    <t>Auth hợp lệ;
Request body malformed (không phải JSON/text hợp lệ)</t>
  </si>
  <si>
    <t>1. Gửi POST với body không hợp lệ ở tầng HTTP
2. Kiểm tra HTTP Status Code</t>
  </si>
  <si>
    <t>POST POST https://10.0.137.75:7001/transaction-screening/v1/transaction-screening
Authorization:  Basic a3ljYWRtbjphYmMxMjM=    (Username and password to login)
Content-Type: application/json
Body: %%%MALFORMED%%%</t>
  </si>
  <si>
    <t>Kiểm tra thông tin HTTP Status trả về : 200 OK
  "errorCode": "03",
  "errorDetail": "Invalid message format",</t>
  </si>
  <si>
    <t>AML_API_HTTP_03</t>
  </si>
  <si>
    <t>HTTP 401 – Unauthorized (thiếu hoặc sai auth)</t>
  </si>
  <si>
    <t>Server đang chạy;
Không có Authorization header</t>
  </si>
  <si>
    <t>1. Gửi POST không có Authorization header
2. Kiểm tra HTTP Status Code = 401</t>
  </si>
  <si>
    <t>POST POST https://10.0.137.75:7001/transaction-screening/v1/transaction-screening
Content-Type: application/json
Body:
{1:F01SIIBSYDAXXXX0000000000}
{2:I202ESSESESSXXXXN}
{4:
:20:MT202
:21:SENDEREFERENC001
:32A:170623CNY5000
:58D:/B/BENEFICIARYINST
MAJESTUALIDAQ
CUBA
:72:PHONBEN
-}
{5:{MAC:12345678}{CHK:123456789ABC}}</t>
  </si>
  <si>
    <t>Kiểm tra thông tin HTTP Status trả về : 401 Unauthorized
(Không có body nghiệp vụ)</t>
  </si>
  <si>
    <t>AML_API_HTTP_04</t>
  </si>
  <si>
    <t>HTTP 404 – Not Found (sai endpoint URL)</t>
  </si>
  <si>
    <t>1. Gửi POST đến URL sai:
/wrong-endpoint
2. Kiểm tra HTTP Status Code = 404</t>
  </si>
  <si>
    <t>POST http://server:port/wrong-endpoint
Authorization:  Basic a3ljYWRtbjphYmMxMjM=    (Username and password to login)
Content-Type: application/json</t>
  </si>
  <si>
    <t>Kiểm tra thông tin HTTP Status trả về : 404 Not Found
(Không có body nghiệp vụ)</t>
  </si>
  <si>
    <t>AML_API_HTTP_05</t>
  </si>
  <si>
    <t>HTTP 500 – Internal Server Error</t>
  </si>
  <si>
    <t>Server gặp lỗi nội bộ không xử lý được;
(Cần môi trường test đặc biệt)</t>
  </si>
  <si>
    <t>1. Giả lập lỗi nội bộ server
2. Gửi POST request
3. Kiểm tra HTTP Status Code = 500</t>
  </si>
  <si>
    <t>Headers:
Authorization:  Basic a3ljYWRtbjphYmMxMjM=    (Username and password to login)
Content-Type: application/json
 transactionId: TF_HTTP_005
 requestId: REQ_TF_HTTP_005
 transactionType: MT
 branchCd: HN
 channel: T24
 isCallBack: N
Body:
{1:F01SIIBSYDAXXXX0000000000}
{2:I202ESSESESSXXXXN}
{4:
:20:MT202
:21:SENDEREFERENC001
:32A:170623CNY5000
:58D:/B/BENEFICIARYINST
MAJESTUALIDAQ
CUBA
:72:PHONBEN
-}
{5:{MAC:12345678}{CHK:123456789ABC}}</t>
  </si>
  <si>
    <t>Kiểm tra thông tin HTTP Status trả về : 500 Internal Server Error
(Không có body nghiệp vụ)</t>
  </si>
  <si>
    <t xml:space="preserve"> XII. Non-Functional &amp; Edge Cases</t>
  </si>
  <si>
    <t xml:space="preserve">  AML_API_NF Kiểm tra các trường hợp đặc biệt và phi chức năng</t>
  </si>
  <si>
    <t>AML_API_NF_01</t>
  </si>
  <si>
    <t>channel đúng độ dài tối đa (100 ký tự)</t>
  </si>
  <si>
    <t>1. Gửi POST với channel = chuỗi 100 ký tự
2. Verify request được chấp nhận</t>
  </si>
  <si>
    <t>Headers:
Authorization:  Basic a3ljYWRtbjphYmMxMjM=    (Username and password to login)
Content-Type: application/json
 transactionId: TF_NF_003
 requestId: REQ_TF_NF_003
 transactionType: MT
 branchCd: HN
 channel: CCCCCCCCCCCCCCCCCCCCCCCCCCCCCCCCCCCCCCCCCCCCCCCCCCCCCCCCCCCCCCCCCCCCCCCCCCCCCCCCCCCCCCCCCCCCCCCCCCCC
 isCallBack: N
Body:
{1:F01SIIBSYDAXXXX0000000000}
{2:I202ESSESESSXXXXN}
{4:
:20:MT202
:21:SENDEREFERENC001
:32A:170623CNY5000
:58D:/B/BENEFICIARYINST
MAJESTUALIDAQ
CUBA
:72:PHONBEN
-}
{5:{MAC:12345678}{CHK:123456789ABC}}</t>
  </si>
  <si>
    <t>Kiểm tra thông tin HTTP Status trả về: 200
result: No-HIT hoặc HIT
errorCode: 00
varchar2(100): giá trị tối đa được chấp nhận</t>
  </si>
  <si>
    <t>AML_API_NF_02</t>
  </si>
  <si>
    <t>channel vượt độ dài tối đa (101 ký tự)</t>
  </si>
  <si>
    <t>1. Gửi POST với channel = chuỗi 101 ký tự
2. Verify response lỗi</t>
  </si>
  <si>
    <t>Headers:
Authorization:  Basic a3ljYWRtbjphYmMxMjM=    (Username and password to login)
Content-Type: application/json
 transactionId: TF_NF_004
 requestId: REQ_TF_NF_004
 transactionType: MT
 branchCd: HN
 channel: CCCCCCCCCCCCCCCCCCCCCCCCCCCCCCCCCCCCCCCCCCCCCCCCCCCCCCCCCCCCCCCCCCCCCCCCCCCCCCCCCCCCCCCCCCCCCCCCCCCCC
 isCallBack: N
Body:
{1:F01SIIBSYDAXXXX0000000000}
{2:I202ESSESESSXXXXN}
{4:
:20:MT202
:21:SENDEREFERENC001
:32A:170623CNY5000
:58D:/B/BENEFICIARYINST
MAJESTUALIDAQ
CUBA
:72:PHONBEN
-}
{5:{MAC:12345678}{CHK:123456789ABC}}</t>
  </si>
  <si>
    <t>Kiểm tra thông tin HTTP Status trả về : 200 OK
result: ERROR
errorCode: 01
errorDetail: Missing parameter
score: (rỗng)
alertId: (rỗng)
processDate: null
varchar2(100): quá độ dài tối đa → lỗi</t>
  </si>
  <si>
    <t>AML_API_NF_03</t>
  </si>
  <si>
    <t>Ký tự đặc biệt trong transactionId</t>
  </si>
  <si>
    <t>1. Gửi POST với transactionId='TF-001@#$%&amp;'
2. Kiểm tra hành vi hệ thống</t>
  </si>
  <si>
    <t>Headers:
Authorization:  Basic a3ljYWRtbjphYmMxMjM=    (Username and password to login)
Content-Type: application/json
 transactionId: TF-001@#$%&amp;
 requestId: REQ_TF-001@#$%&amp;
 transactionType: MT
 branchCd: HN
 channel: T24
 isCallBack: N
Body:
{1:F01SIIBSYDAXXXX0000000000}
{2:I202ESSESESSXXXXN}
{4:
:20:MT202
:21:SENDEREFERENC001
:32A:170623CNY5000
:58D:/B/BENEFICIARYINST
MAJESTUALIDAQ
CUBA
:72:PHONBEN
-}
{5:{MAC:12345678}{CHK:123456789ABC}}</t>
  </si>
  <si>
    <t>Kiểm tra thông tin HTTP Status trả về: 200
 errorCode=07</t>
  </si>
  <si>
    <t>AML_API_NF_04</t>
  </si>
  <si>
    <t>Gửi nhiều request với cùng requestId (idempotency check)</t>
  </si>
  <si>
    <t>1. Gửi POST lần 1 với requestId='REQ_IDEMPOTENT_001'
2. Gửi POST lần 2 với cùng requestId nhưng transactionId khác
3. So sánh 2 response</t>
  </si>
  <si>
    <t>Headers:
Authorization:  Basic a3ljYWRtbjphYmMxMjM=    (Username and password to login)
Content-Type: application/json
 transactionId: TF_NF_006_A
 requestId: REQ_TF_NF_006_A
 transactionType: MT
 branchCd: HN
 channel: T24
 isCallBack: N
Body:
{1:F01SIIBSYDAXXXX0000000000}
{2:I202ESSESESSXXXXN}
{4:
:20:MT202
:21:SENDEREFERENC001
:32A:170623CNY5000
:58D:/B/BENEFICIARYINST
MAJESTUALIDAQ
CUBA
:72:PHONBEN
-}
{5:{MAC:12345678}{CHK:123456789ABC}}</t>
  </si>
  <si>
    <t>AML_API_NF_05</t>
  </si>
  <si>
    <t>processDate null khi result=ERROR</t>
  </si>
  <si>
    <t>Auth hợp lệ;
Request gây ra ERROR</t>
  </si>
  <si>
    <t>1. Gửi POST với body sai format → ERROR
2. Kiểm tra processDate trong response</t>
  </si>
  <si>
    <t>Headers:
Authorization:  Basic a3ljYWRtbjphYmMxMjM=    (Username and password to login)
Content-Type: application/json
 transactionId: TF_NF_007
 requestId: REQ_TF_NF_007
 transactionType: MT
 branchCd: HN
 channel: T24
 isCallBack: N
Body:
INVALID_MT_BODY_NOT_SWIFT</t>
  </si>
  <si>
    <t>Kiểm tra thông tin HTTP Status trả về: 200
processDate: null (KHÔNG có giá trị)
Ngược lại:
result=HIT/No-HIT/KNOCKED-OUT
→ processDate: not null (có giá trị thời gian)</t>
  </si>
  <si>
    <t>AML_API_NF_06</t>
  </si>
  <si>
    <t>MSB001 &amp; MSB002 – Cùng cấu trúc, khác transactionType</t>
  </si>
  <si>
    <t>Auth hợp lệ;
Body MSB001 và MSB002 có cùng schema nhưng key khác</t>
  </si>
  <si>
    <t>1. Gửi POST với transactionType=MSB001, body MSB001
2. Gửi POST với transactionType=MSB002, body MSB002
3. Verify cả 2 đều xử lý thành công</t>
  </si>
  <si>
    <t>Headers:
Authorization:  Basic a3ljYWRtbjphYmMxMjM=    (Username and password to login)
Content-Type: application/json
 transactionId: TF_NF_008
 requestId: REQ_TF_NF_008
 transactionType: MSB001
 branchCd: HN
 channel: T24
 isCallBack: N
Body:
{
 "Bank01": {
  "MSB001": {
   "Sender": {"FullName":"TRAN VAN SENDER","DOB":"1985-05-20",
    "Nationalities":[{"SenderCitizenship":"VN"}],
    "Id":[{"IdNumber":"037085001234"}],
    "ResidenceAddress":[{"Address":"123 Nguyen Trai, Ha Noi","Country":"VN"}]},
   "Receiver": {"FullName":"JOHN RECEIVER SMITH","DOB":"1990-11-12",
    "Nationalities":[{"Citizenship":"US"}],
    "Id":[{"IdNumber":"A12345678"}],
    "ResidenceAddress":[{"Address":"456 Broadway, New York","Country":"US"}]},
   "BeneficiaryBankName":"VIETCOMBANK HO CHI MINH",
   "BeneficiaryBankBicCode":"BFTVBNVX002","BeneficiaryBankCountry":"VN",
   "RemittingBankName":"CITIBANK NEW YORK",
   "RemittingBankBicCode":"CITIUS33XXX","RemittingBankCountry":"US"
  }
 }
}</t>
  </si>
  <si>
    <t>Kiểm tra thông tin HTTP Status trả về: 200 (cả 2 lần)
Lần 1 (MSB001): result=No-HIT/HIT, errorCode=00
Lần 2 (MSB002): result=No-HIT/HIT, errorCode=00
Verify: transactionType echo đúng trong mỗi response</t>
  </si>
  <si>
    <t>AML_API_NF_07</t>
  </si>
  <si>
    <t>Gửi MT body nhưng transactionType=MSB002</t>
  </si>
  <si>
    <t>1. Gửi POST với transactionType=MSB002
2. Body là điện SWIFT MT
3. Verify errorCode=03</t>
  </si>
  <si>
    <t>Headers:
Authorization:  Basic a3ljYWRtbjphYmMxMjM=    (Username and password to login)
Content-Type: application/json
 transactionId: TF_NF_009
 requestId: REQ_TF_NF_009
 transactionType: MSB002
 branchCd: HN
 channel: T24
 isCallBack: N
Body:
{1:F01SIIBSYDAXXXX0000000000}
{2:I202ESSESESSXXXXN}
{4:
:20:MT202
:21:SENDEREFERENC001
:32A:170623CNY5000
:58D:/B/BENEFICIARYINST
MAJESTUALIDAQ
CUBA
:72:PHONBEN
-}
{5:{MAC:12345678}{CHK:123456789ABC}}</t>
  </si>
  <si>
    <t>Kiểm tra thông tin HTTP Status trả về : 200 OK
result: ERROR
errorCode: 03
errorDetail: Invalid message format
score: (rỗng)
alertId: (rỗng)
processDate: null
Mismatch: transactionType=MSB002 nhưng body là MT SWIFT format</t>
  </si>
  <si>
    <t>AML_API_NF_08</t>
  </si>
  <si>
    <t>Verify tất cả 5 loại transactionType được xử lý (smoke test)</t>
  </si>
  <si>
    <t>Auth hợp lệ;
Body hợp lệ cho từng loại</t>
  </si>
  <si>
    <t>1. Gửi lần lượt 5 request:
  a. transactionType=MT
  b. transactionType=MX_IN
  c. transactionType=MX_OUT
  d. transactionType=MSB001
  e. transactionType=MSB002
  f. transactionType=MSB003
2. Verify tất cả đều trả HTTP 200</t>
  </si>
  <si>
    <t>6 requests riêng biệt:
 MT: body SWIFT MT
 MX_IN: body XML MX
 MX_OUT: body XML MX
 MSB001: body JSON MSB001
 MSB002: body JSON MSB002
 MSB003: body JSON Array MSB003</t>
  </si>
  <si>
    <t>Kiểm tra thông tin HTTP Status trả về: 200 cho cả 6 requests
errorCode: 00 cho cả 6
transactionType echo đúng trong mỗi response
Smoke test: hệ thống xử lý được tất cả loại điện</t>
  </si>
  <si>
    <t xml:space="preserve"> XIII. Verify Mandatory Fields – Kiem tra field bat buoc trong body dien (errorCode=03)</t>
  </si>
  <si>
    <t xml:space="preserve">  AML_MT195_MND Kiem tra field mandatory cho dien MT195 (3 field: :20:, :21:, :75:)</t>
  </si>
  <si>
    <t>AML_MT195_MND_01</t>
  </si>
  <si>
    <t>MT195 – Kiểm tra thông tin Khi thiếu trường thông tin :20: (Transaction Reference Number (mã tham chiếu giao dịch)) → errorCode=03</t>
  </si>
  <si>
    <t xml:space="preserve">Auth hợp lệ và còn hạn;
Body MT195 KHÔNG có thông tin tag :20:
Format thông tin yêu cầu: Tối đa 16 ký tự alphanumeric
Các thông tin mandatory khác vẫn đủ thông tin </t>
  </si>
  <si>
    <t>1. Chuẩn bị body điện MT195 đúng chuẩn SWIFT theo dạng JSON hoặc XML
2. XÓA tag :20:  khỏi body điện
  (các trường thông tin khác vẫn giữ nguyên)
3. Gửi POST request voi transactionType=MT195
4. Verify: HTTP 200, result=ERROR, errorCode=03</t>
  </si>
  <si>
    <t>Headers:
Authorization:  Basic a3ljYWRtbjphYmMxMjM=    (Username and password to login)
Content-Type: application/json
 transactionId: TF_AML_MT195_MND_03
 requestId:   REQ_AML_MT195_MND_03
 transactionType: MT195
 branchCd: HN
 channel: T24
 isCallBack: N
Body: Dien MT195 đúng chuẩn SWIFT theo dạng JSON hoặc XML
Field bi THIEU: :20: (Transaction Reference Number (mã tham chiếu giao dịch))
Format thông tin yêu cầu: Tối đa 16 ký tự alphanumeric
Vi du: Dien MT195 hop le nhung KHÔNG có thông tin tag :20:</t>
  </si>
  <si>
    <t>Kiểm tra thông tin HTTP Status trả về : 200 OK
result: ERROR
errorCode: "03"
errorDetail: "Message is not valid.
Please correct the message and repost it"
score: null
alertId: null
processDate: null</t>
  </si>
  <si>
    <t>x</t>
  </si>
  <si>
    <t>AML_MT195_MND_02</t>
  </si>
  <si>
    <t>MT195 – Kiểm tra thông tin Khi thiếu trường thông tin :21: (Related Reference (tham chiếu liên quan)) → errorCode=03</t>
  </si>
  <si>
    <t xml:space="preserve">Auth hợp lệ và còn hạn;
Body MT195 KHÔNG có thông tin tag :21:
Format thông tin yêu cầu: Tối đa 16 ký tự alphanumeric
Các thông tin mandatory khác vẫn đủ thông tin </t>
  </si>
  <si>
    <t>1. Chuẩn bị body điện MT195 đúng chuẩn SWIFT theo dạng JSON hoặc XML
2. XÓA tag :21:  khỏi body điện
  (các trường thông tin khác vẫn giữ nguyên)
3. Gửi POST request voi transactionType=MT195
4. Verify: HTTP 200, result=ERROR, errorCode=03</t>
  </si>
  <si>
    <t>Headers:
Authorization:  Basic a3ljYWRtbjphYmMxMjM=    (Username and password to login)
Content-Type: application/json
 transactionId: TF_AML_MT195_MND_05
 requestId:   REQ_AML_MT195_MND_05
 transactionType: MT195
 branchCd: HN
 channel: T24
 isCallBack: N
Body: Dien MT195 đúng chuẩn SWIFT theo dạng JSON hoặc XML
Field bi THIEU: :21: (Related Reference (tham chiếu liên quan))
Format thông tin yêu cầu: Tối đa 16 ký tự alphanumeric
Vi du: Dien MT195 hop le nhung KHÔNG có thông tin tag :21:</t>
  </si>
  <si>
    <t>AML_MT195_MND_03</t>
  </si>
  <si>
    <t>MT195 – Kiểm tra thông tin Khi thiếu trường thông tin :75: (Queries (nội dung câu hỏi/truy vấn)) → errorCode=03</t>
  </si>
  <si>
    <t xml:space="preserve">Auth hợp lệ và còn hạn;
Body MT195 KHÔNG có thông tin tag :75:
Format thông tin yêu cầu: Tối đa 6 dòng × 35 ký tự
Các thông tin mandatory khác vẫn đủ thông tin </t>
  </si>
  <si>
    <t>1. Chuẩn bị body điện MT195 đúng chuẩn SWIFT theo dạng JSON hoặc XML
2. XÓA tag :75:  khỏi body điện
  (các trường thông tin khác vẫn giữ nguyên)
3. Gửi POST request voi transactionType=MT195
4. Verify: HTTP 200, result=ERROR, errorCode=03</t>
  </si>
  <si>
    <t>Headers:
Authorization:  Basic a3ljYWRtbjphYmMxMjM=    (Username and password to login)
Content-Type: application/json
 transactionId: TF_AML_MT195_MND_07
 requestId:   REQ_AML_MT195_MND_07
 transactionType: MT195
 branchCd: HN
 channel: T24
 isCallBack: N
Body: Dien MT195 đúng chuẩn SWIFT theo dạng JSON hoặc XML
Field bi THIEU: :75: (Queries (nội dung câu hỏi/truy vấn))
Format thông tin yêu cầu: Tối đa 6 dòng × 35 ký tự
Vi du: Dien MT195 hop le nhung KHÔNG có thông tin tag :75:</t>
  </si>
  <si>
    <t xml:space="preserve">  AML_MT196_MND Kiem tra field mandatory cho dien MT196 (1 field: :20:)</t>
  </si>
  <si>
    <t>AML_MT196_MND_01</t>
  </si>
  <si>
    <t>MT196 – Kiểm tra thông tin Khi thiếu trường thông tin :20: (Transaction Reference Number (mã tham chiếu giao dịch)) → errorCode=03</t>
  </si>
  <si>
    <t xml:space="preserve">Auth hợp lệ và còn hạn;
Body MT196 KHÔNG có thông tin tag :20:
Format thông tin yêu cầu: Tối đa 16 ký tự alphanumeric
Các thông tin mandatory khác vẫn đủ thông tin </t>
  </si>
  <si>
    <t>1. Chuẩn bị body điện MT196 đúng chuẩn SWIFT theo dạng JSON hoặc XML
2. XÓA tag :20:  khỏi body điện
  (các trường thông tin khác vẫn giữ nguyên)
3. Gửi POST request voi transactionType=MT196
4. Verify: HTTP 200, result=ERROR, errorCode=03</t>
  </si>
  <si>
    <t>Headers:
Authorization:  Basic a3ljYWRtbjphYmMxMjM=    (Username and password to login)
Content-Type: application/json
 transactionId: TF_AML_MT196_MND_03
 requestId:   REQ_AML_MT196_MND_03
 transactionType: MT196
 branchCd: HN
 channel: T24
 isCallBack: N
Body: Dien MT196 đúng chuẩn SWIFT theo dạng JSON hoặc XML
Field bi THIEU: :20: (Transaction Reference Number (mã tham chiếu giao dịch))
Format thông tin yêu cầu: Tối đa 16 ký tự alphanumeric
Vi du: Dien MT196 hop le nhung KHÔNG có thông tin tag :20:</t>
  </si>
  <si>
    <t xml:space="preserve">  AML_MT199_MND Kiem tra field mandatory cho dien MT199 (2 field: :20:, :79:)</t>
  </si>
  <si>
    <t>AML_MT199_MND_01</t>
  </si>
  <si>
    <t>MT199 – Kiểm tra thông tin Khi thiếu trường thông tin :20: (Transaction Reference Number (mã tham chiếu giao dịch)) → errorCode=03</t>
  </si>
  <si>
    <t xml:space="preserve">Auth hợp lệ và còn hạn;
Body MT199 KHÔNG có thông tin tag :20:
Format thông tin yêu cầu: Tối đa 16 ký tự alphanumeric
Các thông tin mandatory khác vẫn đủ thông tin </t>
  </si>
  <si>
    <t>1. Chuẩn bị body điện MT199 đúng chuẩn SWIFT theo dạng JSON hoặc XML
2. XÓA tag :20:  khỏi body điện
  (các trường thông tin khác vẫn giữ nguyên)
3. Gửi POST request voi transactionType=MT199
4. Verify: HTTP 200, result=ERROR, errorCode=03</t>
  </si>
  <si>
    <t>Headers:
Authorization:  Basic a3ljYWRtbjphYmMxMjM=    (Username and password to login)
Content-Type: application/json
 transactionId: TF_AML_MT199_MND_03
 requestId:   REQ_AML_MT199_MND_03
 transactionType: MT199
 branchCd: HN
 channel: T24
 isCallBack: N
Body: Dien MT199 đúng chuẩn SWIFT theo dạng JSON hoặc XML
Field bi THIEU: :20: (Transaction Reference Number (mã tham chiếu giao dịch))
Format thông tin yêu cầu: Tối đa 16 ký tự alphanumeric
Vi du: Dien MT199 hop le nhung KHÔNG có thông tin tag :20:</t>
  </si>
  <si>
    <t>AML_MT199_MND_02</t>
  </si>
  <si>
    <t>MT199 – Kiểm tra thông tin Khi thiếu trường thông tin :79: (Narrative (nội dung thông báo tự do)) → errorCode=03</t>
  </si>
  <si>
    <t xml:space="preserve">Auth hợp lệ và còn hạn;
Body MT199 KHÔNG có thông tin tag :79:
Format thông tin yêu cầu: Tối đa 35 dòng × 50 ký tự
Các thông tin mandatory khác vẫn đủ thông tin </t>
  </si>
  <si>
    <t>1. Chuẩn bị body điện MT199 đúng chuẩn SWIFT theo dạng JSON hoặc XML
2. XÓA tag :79:  khỏi body điện
  (các trường thông tin khác vẫn giữ nguyên)
3. Gửi POST request voi transactionType=MT199
4. Verify: HTTP 200, result=ERROR, errorCode=03</t>
  </si>
  <si>
    <t>Headers:
Authorization:  Basic a3ljYWRtbjphYmMxMjM=    (Username and password to login)
Content-Type: application/json
 transactionId: TF_AML_MT199_MND_05
 requestId:   REQ_AML_MT199_MND_05
 transactionType: MT199
 branchCd: HN
 channel: T24
 isCallBack: N
Body: Dien MT199 đúng chuẩn SWIFT theo dạng JSON hoặc XML
Field bi THIEU: :79: (Narrative (nội dung thông báo tự do))
Format thông tin yêu cầu: Tối đa 35 dòng × 50 ký tự
Vi du: Dien MT199 hop le nhung KHÔNG có thông tin tag :79:</t>
  </si>
  <si>
    <t xml:space="preserve">  AML_MT295_MND Kiem tra field mandatory cho dien MT295 (3 field: :20:, :21:, :75:)</t>
  </si>
  <si>
    <t>AML_MT295_MND_01</t>
  </si>
  <si>
    <t>MT295 – Kiểm tra thông tin Khi thiếu trường thông tin :20: (Transaction Reference Number (mã tham chiếu giao dịch)) → errorCode=03</t>
  </si>
  <si>
    <t xml:space="preserve">Auth hợp lệ và còn hạn;
Body MT295 KHÔNG có thông tin tag :20:
Format thông tin yêu cầu: Tối đa 16 ký tự alphanumeric
Các thông tin mandatory khác vẫn đủ thông tin </t>
  </si>
  <si>
    <t>1. Chuẩn bị body điện MT295 đúng chuẩn SWIFT theo dạng JSON hoặc XML
2. XÓA tag :20:  khỏi body điện
  (các trường thông tin khác vẫn giữ nguyên)
3. Gửi POST request voi transactionType=MT295
4. Verify: HTTP 200, result=ERROR, errorCode=03</t>
  </si>
  <si>
    <t>Headers:
Authorization:  Basic a3ljYWRtbjphYmMxMjM=    (Username and password to login)
Content-Type: application/json
 transactionId: TF_AML_MT295_MND_03
 requestId:   REQ_AML_MT295_MND_03
 transactionType: MT295
 branchCd: HN
 channel: T24
 isCallBack: N
Body: Dien MT295 đúng chuẩn SWIFT theo dạng JSON hoặc XML
Field bi THIEU: :20: (Transaction Reference Number (mã tham chiếu giao dịch))
Format thông tin yêu cầu: Tối đa 16 ký tự alphanumeric
Vi du: Dien MT295 hop le nhung KHÔNG có thông tin tag :20:</t>
  </si>
  <si>
    <t>AML_MT295_MND_02</t>
  </si>
  <si>
    <t>MT295 – Kiểm tra thông tin Khi thiếu trường thông tin :21: (Related Reference (tham chiếu liên quan)) → errorCode=03</t>
  </si>
  <si>
    <t xml:space="preserve">Auth hợp lệ và còn hạn;
Body MT295 KHÔNG có thông tin tag :21:
Format thông tin yêu cầu: Tối đa 16 ký tự alphanumeric
Các thông tin mandatory khác vẫn đủ thông tin </t>
  </si>
  <si>
    <t>1. Chuẩn bị body điện MT295 đúng chuẩn SWIFT theo dạng JSON hoặc XML
2. XÓA tag :21:  khỏi body điện
  (các trường thông tin khác vẫn giữ nguyên)
3. Gửi POST request voi transactionType=MT295
4. Verify: HTTP 200, result=ERROR, errorCode=03</t>
  </si>
  <si>
    <t>Headers:
Authorization:  Basic a3ljYWRtbjphYmMxMjM=    (Username and password to login)
Content-Type: application/json
 transactionId: TF_AML_MT295_MND_05
 requestId:   REQ_AML_MT295_MND_05
 transactionType: MT295
 branchCd: HN
 channel: T24
 isCallBack: N
Body: Dien MT295 đúng chuẩn SWIFT theo dạng JSON hoặc XML
Field bi THIEU: :21: (Related Reference (tham chiếu liên quan))
Format thông tin yêu cầu: Tối đa 16 ký tự alphanumeric
Vi du: Dien MT295 hop le nhung KHÔNG có thông tin tag :21:</t>
  </si>
  <si>
    <t>AML_MT295_MND_03</t>
  </si>
  <si>
    <t>MT295 – Kiểm tra thông tin Khi thiếu trường thông tin :75: (Queries (nội dung câu hỏi/truy vấn)) → errorCode=03</t>
  </si>
  <si>
    <t xml:space="preserve">Auth hợp lệ và còn hạn;
Body MT295 KHÔNG có thông tin tag :75:
Format thông tin yêu cầu: Tối đa 6 dòng × 35 ký tự
Các thông tin mandatory khác vẫn đủ thông tin </t>
  </si>
  <si>
    <t>1. Chuẩn bị body điện MT295 đúng chuẩn SWIFT theo dạng JSON hoặc XML
2. XÓA tag :75:  khỏi body điện
  (các trường thông tin khác vẫn giữ nguyên)
3. Gửi POST request voi transactionType=MT295
4. Verify: HTTP 200, result=ERROR, errorCode=03</t>
  </si>
  <si>
    <t>Headers:
Authorization:  Basic a3ljYWRtbjphYmMxMjM=    (Username and password to login)
Content-Type: application/json
 transactionId: TF_AML_MT295_MND_07
 requestId:   REQ_AML_MT295_MND_07
 transactionType: MT295
 branchCd: HN
 channel: T24
 isCallBack: N
Body: Dien MT295 đúng chuẩn SWIFT theo dạng JSON hoặc XML
Field bi THIEU: :75: (Queries (nội dung câu hỏi/truy vấn))
Format thông tin yêu cầu: Tối đa 6 dòng × 35 ký tự
Vi du: Dien MT295 hop le nhung KHÔNG có thông tin tag :75:</t>
  </si>
  <si>
    <t xml:space="preserve">  AML_MT296_MND Kiem tra field mandatory cho dien MT296 (3 field: :20:, :21:, :76:)</t>
  </si>
  <si>
    <t>AML_MT296_MND_01</t>
  </si>
  <si>
    <t>MT296 – Kiểm tra thông tin Khi thiếu trường thông tin :20: (Transaction Reference Number (mã tham chiếu giao dịch)) → errorCode=03</t>
  </si>
  <si>
    <t xml:space="preserve">Auth hợp lệ và còn hạn;
Body MT296 KHÔNG có thông tin tag :20:
Format thông tin yêu cầu: Tối đa 16 ký tự alphanumeric
Các thông tin mandatory khác vẫn đủ thông tin </t>
  </si>
  <si>
    <t>1. Chuẩn bị body điện MT296 đúng chuẩn SWIFT theo dạng JSON hoặc XML
2. XÓA tag :20:  khỏi body điện
  (các trường thông tin khác vẫn giữ nguyên)
3. Gửi POST request voi transactionType=MT296
4. Verify: HTTP 200, result=ERROR, errorCode=03</t>
  </si>
  <si>
    <t>Headers:
Authorization:  Basic a3ljYWRtbjphYmMxMjM=    (Username and password to login)
Content-Type: application/json
 transactionId: TF_AML_MT296_MND_03
 requestId:   REQ_AML_MT296_MND_03
 transactionType: MT296
 branchCd: HN
 channel: T24
 isCallBack: N
Body: Dien MT296 đúng chuẩn SWIFT theo dạng JSON hoặc XML
Field bi THIEU: :20: (Transaction Reference Number (mã tham chiếu giao dịch))
Format thông tin yêu cầu: Tối đa 16 ký tự alphanumeric
Vi du: Dien MT296 hop le nhung KHÔNG có thông tin tag :20:</t>
  </si>
  <si>
    <t>AML_MT296_MND_02</t>
  </si>
  <si>
    <t>MT296 – Kiểm tra thông tin Khi thiếu trường thông tin :21: (Related Reference (tham chiếu liên quan)) → errorCode=03</t>
  </si>
  <si>
    <t xml:space="preserve">Auth hợp lệ và còn hạn;
Body MT296 KHÔNG có thông tin tag :21:
Format thông tin yêu cầu: Tối đa 16 ký tự alphanumeric
Các thông tin mandatory khác vẫn đủ thông tin </t>
  </si>
  <si>
    <t>1. Chuẩn bị body điện MT296 đúng chuẩn SWIFT theo dạng JSON hoặc XML
2. XÓA tag :21:  khỏi body điện
  (các trường thông tin khác vẫn giữ nguyên)
3. Gửi POST request voi transactionType=MT296
4. Verify: HTTP 200, result=ERROR, errorCode=03</t>
  </si>
  <si>
    <t>Headers:
Authorization:  Basic a3ljYWRtbjphYmMxMjM=    (Username and password to login)
Content-Type: application/json
 transactionId: TF_AML_MT296_MND_05
 requestId:   REQ_AML_MT296_MND_05
 transactionType: MT296
 branchCd: HN
 channel: T24
 isCallBack: N
Body: Dien MT296 đúng chuẩn SWIFT theo dạng JSON hoặc XML
Field bi THIEU: :21: (Related Reference (tham chiếu liên quan))
Format thông tin yêu cầu: Tối đa 16 ký tự alphanumeric
Vi du: Dien MT296 hop le nhung KHÔNG có thông tin tag :21:</t>
  </si>
  <si>
    <t>AML_MT296_MND_03</t>
  </si>
  <si>
    <t>MT296 – Kiểm tra thông tin Khi thiếu trường thông tin :76: (Answers (nội dung trả lời)) → errorCode=03</t>
  </si>
  <si>
    <t xml:space="preserve">Auth hợp lệ và còn hạn;
Body MT296 KHÔNG có thông tin tag :76:
Format thông tin yêu cầu: Tối đa 6 dòng × 35 ký tự
Các thông tin mandatory khác vẫn đủ thông tin </t>
  </si>
  <si>
    <t>1. Chuẩn bị body điện MT296 đúng chuẩn SWIFT theo dạng JSON hoặc XML
2. XÓA tag :76:  khỏi body điện
  (các trường thông tin khác vẫn giữ nguyên)
3. Gửi POST request voi transactionType=MT296
4. Verify: HTTP 200, result=ERROR, errorCode=03</t>
  </si>
  <si>
    <t>Headers:
Authorization:  Basic a3ljYWRtbjphYmMxMjM=    (Username and password to login)
Content-Type: application/json
 transactionId: TF_AML_MT296_MND_07
 requestId:   REQ_AML_MT296_MND_07
 transactionType: MT296
 branchCd: HN
 channel: T24
 isCallBack: N
Body: Dien MT296 đúng chuẩn SWIFT theo dạng JSON hoặc XML
Field bi THIEU: :76: (Answers (nội dung trả lời))
Format thông tin yêu cầu: Tối đa 6 dòng × 35 ký tự
Vi du: Dien MT296 hop le nhung KHÔNG có thông tin tag :76:</t>
  </si>
  <si>
    <t xml:space="preserve">  AML_MT299_MND Kiem tra field mandatory cho dien MT299 (2 field: :20:, :79:)</t>
  </si>
  <si>
    <t>AML_MT299_MND_01</t>
  </si>
  <si>
    <t>MT299 – Kiểm tra thông tin Khi thiếu trường thông tin :20: (Transaction Reference Number (mã tham chiếu giao dịch)) → errorCode=03</t>
  </si>
  <si>
    <t xml:space="preserve">Auth hợp lệ và còn hạn;
Body MT299 KHÔNG có thông tin tag :20:
Format thông tin yêu cầu: Tối đa 16 ký tự alphanumeric
Các thông tin mandatory khác vẫn đủ thông tin </t>
  </si>
  <si>
    <t>1. Chuẩn bị body điện MT299 đúng chuẩn SWIFT theo dạng JSON hoặc XML
2. XÓA tag :20:  khỏi body điện
  (các trường thông tin khác vẫn giữ nguyên)
3. Gửi POST request voi transactionType=MT299
4. Verify: HTTP 200, result=ERROR, errorCode=03</t>
  </si>
  <si>
    <t>Headers:
Authorization:  Basic a3ljYWRtbjphYmMxMjM=    (Username and password to login)
Content-Type: application/json
 transactionId: TF_AML_MT299_MND_03
 requestId:   REQ_AML_MT299_MND_03
 transactionType: MT299
 branchCd: HN
 channel: T24
 isCallBack: N
Body: Dien MT299 đúng chuẩn SWIFT theo dạng JSON hoặc XML
Field bi THIEU: :20: (Transaction Reference Number (mã tham chiếu giao dịch))
Format thông tin yêu cầu: Tối đa 16 ký tự alphanumeric
Vi du: Dien MT299 hop le nhung KHÔNG có thông tin tag :20:</t>
  </si>
  <si>
    <t>AML_MT299_MND_02</t>
  </si>
  <si>
    <t>MT299 – Kiểm tra thông tin Khi thiếu trường thông tin :79: (Narrative (nội dung thông báo tự do)) → errorCode=03</t>
  </si>
  <si>
    <t xml:space="preserve">Auth hợp lệ và còn hạn;
Body MT299 KHÔNG có thông tin tag :79:
Format thông tin yêu cầu: Tối đa 35 dòng × 50 ký tự
Các thông tin mandatory khác vẫn đủ thông tin </t>
  </si>
  <si>
    <t>1. Chuẩn bị body điện MT299 đúng chuẩn SWIFT theo dạng JSON hoặc XML
2. XÓA tag :79:  khỏi body điện
  (các trường thông tin khác vẫn giữ nguyên)
3. Gửi POST request voi transactionType=MT299
4. Verify: HTTP 200, result=ERROR, errorCode=03</t>
  </si>
  <si>
    <t>Headers:
Authorization:  Basic a3ljYWRtbjphYmMxMjM=    (Username and password to login)
Content-Type: application/json
 transactionId: TF_AML_MT299_MND_05
 requestId:   REQ_AML_MT299_MND_05
 transactionType: MT299
 branchCd: HN
 channel: T24
 isCallBack: N
Body: Dien MT299 đúng chuẩn SWIFT theo dạng JSON hoặc XML
Field bi THIEU: :79: (Narrative (nội dung thông báo tự do))
Format thông tin yêu cầu: Tối đa 35 dòng × 50 ký tự
Vi du: Dien MT299 hop le nhung KHÔNG có thông tin tag :79:</t>
  </si>
  <si>
    <t xml:space="preserve">  AML_MT499_MND Kiem tra field mandatory cho dien MT499 (2 field: :20:, :79:)</t>
  </si>
  <si>
    <t>AML_MT499_MND_01</t>
  </si>
  <si>
    <t>MT499 – Kiểm tra thông tin Khi thiếu trường thông tin :20: (Transaction Reference Number (mã tham chiếu giao dịch)) → errorCode=03</t>
  </si>
  <si>
    <t xml:space="preserve">Auth hợp lệ và còn hạn;
Body MT499 KHÔNG có thông tin tag :20:
Format thông tin yêu cầu: Tối đa 16 ký tự alphanumeric
Các thông tin mandatory khác vẫn đủ thông tin </t>
  </si>
  <si>
    <t>1. Chuẩn bị body điện MT499 đúng chuẩn SWIFT theo dạng JSON hoặc XML
2. XÓA tag :20:  khỏi body điện
  (các trường thông tin khác vẫn giữ nguyên)
3. Gửi POST request voi transactionType=MT499
4. Verify: HTTP 200, result=ERROR, errorCode=03</t>
  </si>
  <si>
    <t>Headers:
Authorization:  Basic a3ljYWRtbjphYmMxMjM=    (Username and password to login)
Content-Type: application/json
 transactionId: TF_AML_MT499_MND_03
 requestId:   REQ_AML_MT499_MND_03
 transactionType: MT499
 branchCd: HN
 channel: T24
 isCallBack: N
Body: Dien MT499 đúng chuẩn SWIFT theo dạng JSON hoặc XML
Field bi THIEU: :20: (Transaction Reference Number (mã tham chiếu giao dịch))
Format thông tin yêu cầu: Tối đa 16 ký tự alphanumeric
Vi du: Dien MT499 hop le nhung KHÔNG có thông tin tag :20:</t>
  </si>
  <si>
    <t>AML_MT499_MND_02</t>
  </si>
  <si>
    <t>MT499 – Kiểm tra thông tin Khi thiếu trường thông tin :79: (Narrative (nội dung thông báo tự do)) → errorCode=03</t>
  </si>
  <si>
    <t xml:space="preserve">Auth hợp lệ và còn hạn;
Body MT499 KHÔNG có thông tin tag :79:
Format thông tin yêu cầu: Tối đa 35 dòng × 50 ký tự
Các thông tin mandatory khác vẫn đủ thông tin </t>
  </si>
  <si>
    <t>1. Chuẩn bị body điện MT499 đúng chuẩn SWIFT theo dạng JSON hoặc XML
2. XÓA tag :79:  khỏi body điện
  (các trường thông tin khác vẫn giữ nguyên)
3. Gửi POST request voi transactionType=MT499
4. Verify: HTTP 200, result=ERROR, errorCode=03</t>
  </si>
  <si>
    <t>Headers:
Authorization:  Basic a3ljYWRtbjphYmMxMjM=    (Username and password to login)
Content-Type: application/json
 transactionId: TF_AML_MT499_MND_05
 requestId:   REQ_AML_MT499_MND_05
 transactionType: MT499
 branchCd: HN
 channel: T24
 isCallBack: N
Body: Dien MT499 đúng chuẩn SWIFT theo dạng JSON hoặc XML
Field bi THIEU: :79: (Narrative (nội dung thông báo tự do))
Format thông tin yêu cầu: Tối đa 35 dòng × 50 ký tự
Vi du: Dien MT499 hop le nhung KHÔNG có thông tin tag :79:</t>
  </si>
  <si>
    <t xml:space="preserve">  AML_MT700_MND Kiem tra field mandatory cho dien MT700 (12 field: :20:, :27:, :31C:, :31D:, :32B:, :40A:, :40E:, :41A:, :41D:, :49:, :50:, :59:)</t>
  </si>
  <si>
    <t>AML_MT700_MND_01</t>
  </si>
  <si>
    <t>MT700 – Kiểm tra thông tin Khi thiếu trường thông tin :20: (Transaction Reference Number (mã tham chiếu giao dịch)) → errorCode=03</t>
  </si>
  <si>
    <t xml:space="preserve">Auth hợp lệ và còn hạn;
Body MT700 KHÔNG có thông tin tag :20:
Format thông tin yêu cầu: Tối đa 16 ký tự alphanumeric
Các thông tin mandatory khác vẫn đủ thông tin </t>
  </si>
  <si>
    <t>1. Chuẩn bị body điện MT700 đúng chuẩn SWIFT theo dạng JSON hoặc XML
2. XÓA tag :20:  khỏi body điện
  (các trường thông tin khác vẫn giữ nguyên)
3. Gửi POST request voi transactionType=MT700
4. Verify: HTTP 200, result=ERROR, errorCode=03</t>
  </si>
  <si>
    <t>Headers:
Authorization:  Basic a3ljYWRtbjphYmMxMjM=    (Username and password to login)
Content-Type: application/json
 transactionId: TF_AML_MT700_MND_03
 requestId:   REQ_AML_MT700_MND_03
 transactionType: MT700
 branchCd: HN
 channel: T24
 isCallBack: N
Body: Dien MT700 đúng chuẩn SWIFT theo dạng JSON hoặc XML
Field bi THIEU: :20: (Transaction Reference Number (mã tham chiếu giao dịch))
Format thông tin yêu cầu: Tối đa 16 ký tự alphanumeric
Vi du: Dien MT700 hop le nhung KHÔNG có thông tin tag :20:</t>
  </si>
  <si>
    <t>AML_MT700_MND_02</t>
  </si>
  <si>
    <t>MT700 – Kiểm tra thông tin Khi thiếu trường thông tin :27: (Sequence of Total (thứ tự / tổng số điện)) → errorCode=03</t>
  </si>
  <si>
    <t xml:space="preserve">Auth hợp lệ và còn hạn;
Body MT700 KHÔNG có thông tin tag :27:
Format thông tin yêu cầu: Định dạng số/số (ví dụ: 1/1)
Các thông tin mandatory khác vẫn đủ thông tin </t>
  </si>
  <si>
    <t>1. Chuẩn bị body điện MT700 đúng chuẩn SWIFT theo dạng JSON hoặc XML
2. XÓA tag :27:  khỏi body điện
  (các trường thông tin khác vẫn giữ nguyên)
3. Gửi POST request voi transactionType=MT700
4. Verify: HTTP 200, result=ERROR, errorCode=03</t>
  </si>
  <si>
    <t>Headers:
Authorization:  Basic a3ljYWRtbjphYmMxMjM=    (Username and password to login)
Content-Type: application/json
 transactionId: TF_AML_MT700_MND_05
 requestId:   REQ_AML_MT700_MND_05
 transactionType: MT700
 branchCd: HN
 channel: T24
 isCallBack: N
Body: Dien MT700 đúng chuẩn SWIFT theo dạng JSON hoặc XML
Field bi THIEU: :27: (Sequence of Total (thứ tự / tổng số điện))
Format thông tin yêu cầu: Định dạng số/số (ví dụ: 1/1)
Vi du: Dien MT700 hop le nhung KHÔNG có thông tin tag :27:</t>
  </si>
  <si>
    <t>AML_MT700_MND_03</t>
  </si>
  <si>
    <t>MT700 – Kiểm tra thông tin Khi thiếu trường thông tin :31C: (Date of Issue (ngày phát hành)) → errorCode=03</t>
  </si>
  <si>
    <t xml:space="preserve">Auth hợp lệ và còn hạn;
Body MT700 KHÔNG có thông tin tag :31C:
Format thông tin yêu cầu: 6 chữ số – định dạng ngày YYMMDD
Các thông tin mandatory khác vẫn đủ thông tin </t>
  </si>
  <si>
    <t>1. Chuẩn bị body điện MT700 đúng chuẩn SWIFT theo dạng JSON hoặc XML
2. XÓA tag :31C:  khỏi body điện
  (các trường thông tin khác vẫn giữ nguyên)
3. Gửi POST request voi transactionType=MT700
4. Verify: HTTP 200, result=ERROR, errorCode=03</t>
  </si>
  <si>
    <t>Headers:
Authorization:  Basic a3ljYWRtbjphYmMxMjM=    (Username and password to login)
Content-Type: application/json
 transactionId: TF_AML_MT700_MND_07
 requestId:   REQ_AML_MT700_MND_07
 transactionType: MT700
 branchCd: HN
 channel: T24
 isCallBack: N
Body: Dien MT700 đúng chuẩn SWIFT theo dạng JSON hoặc XML
Field bi THIEU: :31C: (Date of Issue (ngày phát hành))
Format thông tin yêu cầu: 6 chữ số – định dạng ngày YYMMDD
Vi du: Dien MT700 hop le nhung KHÔNG có thông tin tag :31C:</t>
  </si>
  <si>
    <t>AML_MT700_MND_04</t>
  </si>
  <si>
    <t>MT700 – Kiểm tra thông tin Khi thiếu trường thông tin :31D: (Date and Place of Expiry (ngày và nơi hết hạn)) → errorCode=03</t>
  </si>
  <si>
    <t xml:space="preserve">Auth hợp lệ và còn hạn;
Body MT700 KHÔNG có thông tin tag :31D:
Format thông tin yêu cầu: 6 chữ số ngày + tối đa 29 ký tự địa điểm
Các thông tin mandatory khác vẫn đủ thông tin </t>
  </si>
  <si>
    <t>1. Chuẩn bị body điện MT700 đúng chuẩn SWIFT theo dạng JSON hoặc XML
2. XÓA tag :31D:  khỏi body điện
  (các trường thông tin khác vẫn giữ nguyên)
3. Gửi POST request voi transactionType=MT700
4. Verify: HTTP 200, result=ERROR, errorCode=03</t>
  </si>
  <si>
    <t>Headers:
Authorization:  Basic a3ljYWRtbjphYmMxMjM=    (Username and password to login)
Content-Type: application/json
 transactionId: TF_AML_MT700_MND_09
 requestId:   REQ_AML_MT700_MND_09
 transactionType: MT700
 branchCd: HN
 channel: T24
 isCallBack: N
Body: Dien MT700 đúng chuẩn SWIFT theo dạng JSON hoặc XML
Field bi THIEU: :31D: (Date and Place of Expiry (ngày và nơi hết hạn))
Format thông tin yêu cầu: 6 chữ số ngày + tối đa 29 ký tự địa điểm
Vi du: Dien MT700 hop le nhung KHÔNG có thông tin tag :31D:</t>
  </si>
  <si>
    <t>AML_MT700_MND_05</t>
  </si>
  <si>
    <t>MT700 – Kiểm tra thông tin Khi thiếu trường thông tin :32B: (Currency Code, Amount (mã tiền tệ và số tiền)) → errorCode=03</t>
  </si>
  <si>
    <t xml:space="preserve">Auth hợp lệ và còn hạn;
Body MT700 KHÔNG có thông tin tag :32B:
Format thông tin yêu cầu: 3 ký tự mã tiền tệ ISO + tối đa 15 chữ số
Các thông tin mandatory khác vẫn đủ thông tin </t>
  </si>
  <si>
    <t>1. Chuẩn bị body điện MT700 đúng chuẩn SWIFT theo dạng JSON hoặc XML
2. XÓA tag :32B:  khỏi body điện
  (các trường thông tin khác vẫn giữ nguyên)
3. Gửi POST request voi transactionType=MT700
4. Verify: HTTP 200, result=ERROR, errorCode=03</t>
  </si>
  <si>
    <t>Headers:
Authorization:  Basic a3ljYWRtbjphYmMxMjM=    (Username and password to login)
Content-Type: application/json
 transactionId: TF_AML_MT700_MND_11
 requestId:   REQ_AML_MT700_MND_11
 transactionType: MT700
 branchCd: HN
 channel: T24
 isCallBack: N
Body: Dien MT700 đúng chuẩn SWIFT theo dạng JSON hoặc XML
Field bi THIEU: :32B: (Currency Code, Amount (mã tiền tệ và số tiền))
Format thông tin yêu cầu: 3 ký tự mã tiền tệ ISO + tối đa 15 chữ số
Vi du: Dien MT700 hop le nhung KHÔNG có thông tin tag :32B:</t>
  </si>
  <si>
    <t>AML_MT700_MND_06</t>
  </si>
  <si>
    <t>MT700 – Kiểm tra thông tin Khi thiếu trường thông tin :40A: (Form of Documentary Credit (hình thức tín dụng chứng từ)) → errorCode=03</t>
  </si>
  <si>
    <t xml:space="preserve">Auth hợp lệ và còn hạn;
Body MT700 KHÔNG có thông tin tag :40A:
Format thông tin yêu cầu: Tối đa 24 ký tự
Các thông tin mandatory khác vẫn đủ thông tin </t>
  </si>
  <si>
    <t>1. Chuẩn bị body điện MT700 đúng chuẩn SWIFT theo dạng JSON hoặc XML
2. XÓA tag :40A:  khỏi body điện
  (các trường thông tin khác vẫn giữ nguyên)
3. Gửi POST request voi transactionType=MT700
4. Verify: HTTP 200, result=ERROR, errorCode=03</t>
  </si>
  <si>
    <t>Headers:
Authorization:  Basic a3ljYWRtbjphYmMxMjM=    (Username and password to login)
Content-Type: application/json
 transactionId: TF_AML_MT700_MND_13
 requestId:   REQ_AML_MT700_MND_13
 transactionType: MT700
 branchCd: HN
 channel: T24
 isCallBack: N
Body: Dien MT700 đúng chuẩn SWIFT theo dạng JSON hoặc XML
Field bi THIEU: :40A: (Form of Documentary Credit (hình thức tín dụng chứng từ))
Format thông tin yêu cầu: Tối đa 24 ký tự
Vi du: Dien MT700 hop le nhung KHÔNG có thông tin tag :40A:</t>
  </si>
  <si>
    <t>AML_MT700_MND_07</t>
  </si>
  <si>
    <t>MT700 – Kiểm tra thông tin Khi thiếu trường thông tin :40E: (Applicable Rules (quy tắc áp dụng)) → errorCode=03</t>
  </si>
  <si>
    <t xml:space="preserve">Auth hợp lệ và còn hạn;
Body MT700 KHÔNG có thông tin tag :40E:
Format thông tin yêu cầu: Tối đa 30 ký tự [/35 ký tự tùy chọn]
Các thông tin mandatory khác vẫn đủ thông tin </t>
  </si>
  <si>
    <t>1. Chuẩn bị body điện MT700 đúng chuẩn SWIFT theo dạng JSON hoặc XML
2. XÓA tag :40E:  khỏi body điện
  (các trường thông tin khác vẫn giữ nguyên)
3. Gửi POST request voi transactionType=MT700
4. Verify: HTTP 200, result=ERROR, errorCode=03</t>
  </si>
  <si>
    <t>Headers:
Authorization:  Basic a3ljYWRtbjphYmMxMjM=    (Username and password to login)
Content-Type: application/json
 transactionId: TF_AML_MT700_MND_15
 requestId:   REQ_AML_MT700_MND_15
 transactionType: MT700
 branchCd: HN
 channel: T24
 isCallBack: N
Body: Dien MT700 đúng chuẩn SWIFT theo dạng JSON hoặc XML
Field bi THIEU: :40E: (Applicable Rules (quy tắc áp dụng))
Format thông tin yêu cầu: Tối đa 30 ký tự [/35 ký tự tùy chọn]
Vi du: Dien MT700 hop le nhung KHÔNG có thông tin tag :40E:</t>
  </si>
  <si>
    <t>AML_MT700_MND_08</t>
  </si>
  <si>
    <t>MT700 – Kiểm tra thông tin Khi thiếu trường thông tin :41A: (Available With... By... (ngân hàng &amp; phương thức thanh toán - loại A)) → errorCode=03</t>
  </si>
  <si>
    <t xml:space="preserve">Auth hợp lệ và còn hạn;
Body MT700 KHÔNG có thông tin tag :41A:
Format thông tin yêu cầu: Xem SWIFT standard (format phụ thuộc subfield)
Các thông tin mandatory khác vẫn đủ thông tin </t>
  </si>
  <si>
    <t>1. Chuẩn bị body điện MT700 đúng chuẩn SWIFT theo dạng JSON hoặc XML
2. XÓA tag :41A:  khỏi body điện
  (các trường thông tin khác vẫn giữ nguyên)
3. Gửi POST request voi transactionType=MT700
4. Verify: HTTP 200, result=ERROR, errorCode=03</t>
  </si>
  <si>
    <t>Headers:
Authorization:  Basic a3ljYWRtbjphYmMxMjM=    (Username and password to login)
Content-Type: application/json
 transactionId: TF_AML_MT700_MND_17
 requestId:   REQ_AML_MT700_MND_17
 transactionType: MT700
 branchCd: HN
 channel: T24
 isCallBack: N
Body: Dien MT700 đúng chuẩn SWIFT theo dạng JSON hoặc XML
Field bi THIEU: :41A: (Available With... By... (ngân hàng &amp; phương thức thanh toán - loại A))
Format thông tin yêu cầu: Xem SWIFT standard (format phụ thuộc subfield)
Vi du: Dien MT700 hop le nhung KHÔNG có thông tin tag :41A:</t>
  </si>
  <si>
    <t>AML_MT700_MND_09</t>
  </si>
  <si>
    <t>MT700 – Kiểm tra thông tin Khi thiếu trường thông tin :41D: (Available With... By... (ngân hàng &amp; phương thức thanh toán - loại D)) → errorCode=03</t>
  </si>
  <si>
    <t xml:space="preserve">Auth hợp lệ và còn hạn;
Body MT700 KHÔNG có thông tin tag :41D:
Format thông tin yêu cầu: Xem SWIFT standard (format phụ thuộc subfield)
Các thông tin mandatory khác vẫn đủ thông tin </t>
  </si>
  <si>
    <t>1. Chuẩn bị body điện MT700 đúng chuẩn SWIFT theo dạng JSON hoặc XML
2. XÓA tag :41D:  khỏi body điện
  (các trường thông tin khác vẫn giữ nguyên)
3. Gửi POST request voi transactionType=MT700
4. Verify: HTTP 200, result=ERROR, errorCode=03</t>
  </si>
  <si>
    <t>Headers:
Authorization:  Basic a3ljYWRtbjphYmMxMjM=    (Username and password to login)
Content-Type: application/json
 transactionId: TF_AML_MT700_MND_19
 requestId:   REQ_AML_MT700_MND_19
 transactionType: MT700
 branchCd: HN
 channel: T24
 isCallBack: N
Body: Dien MT700 đúng chuẩn SWIFT theo dạng JSON hoặc XML
Field bi THIEU: :41D: (Available With... By... (ngân hàng &amp; phương thức thanh toán - loại D))
Format thông tin yêu cầu: Xem SWIFT standard (format phụ thuộc subfield)
Vi du: Dien MT700 hop le nhung KHÔNG có thông tin tag :41D:</t>
  </si>
  <si>
    <t>AML_MT700_MND_10</t>
  </si>
  <si>
    <t>MT700 – Kiểm tra thông tin Khi thiếu trường thông tin :49: (Confirmation Instructions (hướng dẫn xác nhận)) → errorCode=03</t>
  </si>
  <si>
    <t xml:space="preserve">Auth hợp lệ và còn hạn;
Body MT700 KHÔNG có thông tin tag :49:
Format thông tin yêu cầu: Đúng 7 ký tự
Các thông tin mandatory khác vẫn đủ thông tin </t>
  </si>
  <si>
    <t>1. Chuẩn bị body điện MT700 đúng chuẩn SWIFT theo dạng JSON hoặc XML
2. XÓA tag :49:  khỏi body điện
  (các trường thông tin khác vẫn giữ nguyên)
3. Gửi POST request voi transactionType=MT700
4. Verify: HTTP 200, result=ERROR, errorCode=03</t>
  </si>
  <si>
    <t>Headers:
Authorization:  Basic a3ljYWRtbjphYmMxMjM=    (Username and password to login)
Content-Type: application/json
 transactionId: TF_AML_MT700_MND_21
 requestId:   REQ_AML_MT700_MND_21
 transactionType: MT700
 branchCd: HN
 channel: T24
 isCallBack: N
Body: Dien MT700 đúng chuẩn SWIFT theo dạng JSON hoặc XML
Field bi THIEU: :49: (Confirmation Instructions (hướng dẫn xác nhận))
Format thông tin yêu cầu: Đúng 7 ký tự
Vi du: Dien MT700 hop le nhung KHÔNG có thông tin tag :49:</t>
  </si>
  <si>
    <t>AML_MT700_MND_11</t>
  </si>
  <si>
    <t>MT700 – Kiểm tra thông tin Khi thiếu trường thông tin :50: (Applicant (người yêu cầu mở L/C / người đề nghị)) → errorCode=03</t>
  </si>
  <si>
    <t xml:space="preserve">Auth hợp lệ và còn hạn;
Body MT700 KHÔNG có thông tin tag :50:
Format thông tin yêu cầu: Tối đa 4 dòng × 35 ký tự
Các thông tin mandatory khác vẫn đủ thông tin </t>
  </si>
  <si>
    <t>1. Chuẩn bị body điện MT700 đúng chuẩn SWIFT theo dạng JSON hoặc XML
2. XÓA tag :50:  khỏi body điện
  (các trường thông tin khác vẫn giữ nguyên)
3. Gửi POST request voi transactionType=MT700
4. Verify: HTTP 200, result=ERROR, errorCode=03</t>
  </si>
  <si>
    <t>Headers:
Authorization:  Basic a3ljYWRtbjphYmMxMjM=    (Username and password to login)
Content-Type: application/json
 transactionId: TF_AML_MT700_MND_23
 requestId:   REQ_AML_MT700_MND_23
 transactionType: MT700
 branchCd: HN
 channel: T24
 isCallBack: N
Body: Dien MT700 đúng chuẩn SWIFT theo dạng JSON hoặc XML
Field bi THIEU: :50: (Applicant (người yêu cầu mở L/C / người đề nghị))
Format thông tin yêu cầu: Tối đa 4 dòng × 35 ký tự
Vi du: Dien MT700 hop le nhung KHÔNG có thông tin tag :50:</t>
  </si>
  <si>
    <t>AML_MT700_MND_12</t>
  </si>
  <si>
    <t>MT700 – Kiểm tra thông tin Khi thiếu trường thông tin :59: (Beneficiary (người thụ hưởng)) → errorCode=03</t>
  </si>
  <si>
    <t xml:space="preserve">Auth hợp lệ và còn hạn;
Body MT700 KHÔNG có thông tin tag :59:
Format thông tin yêu cầu: Xem SWIFT standard (format phụ thuộc subfield)
Các thông tin mandatory khác vẫn đủ thông tin </t>
  </si>
  <si>
    <t>1. Chuẩn bị body điện MT700 đúng chuẩn SWIFT theo dạng JSON hoặc XML
2. XÓA tag :59:  khỏi body điện
  (các trường thông tin khác vẫn giữ nguyên)
3. Gửi POST request voi transactionType=MT700
4. Verify: HTTP 200, result=ERROR, errorCode=03</t>
  </si>
  <si>
    <t>Headers:
Authorization:  Basic a3ljYWRtbjphYmMxMjM=    (Username and password to login)
Content-Type: application/json
 transactionId: TF_AML_MT700_MND_25
 requestId:   REQ_AML_MT700_MND_25
 transactionType: MT700
 branchCd: HN
 channel: T24
 isCallBack: N
Body: Dien MT700 đúng chuẩn SWIFT theo dạng JSON hoặc XML
Field bi THIEU: :59: (Beneficiary (người thụ hưởng))
Format thông tin yêu cầu: Xem SWIFT standard (format phụ thuộc subfield)
Vi du: Dien MT700 hop le nhung KHÔNG có thông tin tag :59:</t>
  </si>
  <si>
    <t xml:space="preserve">  AML_MT701_MND Kiem tra field mandatory cho dien MT701 (2 field: :20:, :27:)</t>
  </si>
  <si>
    <t>AML_MT701_MND_01</t>
  </si>
  <si>
    <t>MT701 – Kiểm tra thông tin Khi thiếu trường thông tin :20: (Transaction Reference Number (mã tham chiếu giao dịch)) → errorCode=03</t>
  </si>
  <si>
    <t xml:space="preserve">Auth hợp lệ và còn hạn;
Body MT701 KHÔNG có thông tin tag :20:
Format thông tin yêu cầu: Tối đa 16 ký tự alphanumeric
Các thông tin mandatory khác vẫn đủ thông tin </t>
  </si>
  <si>
    <t>1. Chuẩn bị body điện MT701 đúng chuẩn SWIFT theo dạng JSON hoặc XML
2. XÓA tag :20:  khỏi body điện
  (các trường thông tin khác vẫn giữ nguyên)
3. Gửi POST request voi transactionType=MT701
4. Verify: HTTP 200, result=ERROR, errorCode=03</t>
  </si>
  <si>
    <t>Headers:
Authorization:  Basic a3ljYWRtbjphYmMxMjM=    (Username and password to login)
Content-Type: application/json
 transactionId: TF_AML_MT701_MND_03
 requestId:   REQ_AML_MT701_MND_03
 transactionType: MT701
 branchCd: HN
 channel: T24
 isCallBack: N
Body: Dien MT701 đúng chuẩn SWIFT theo dạng JSON hoặc XML
Field bi THIEU: :20: (Transaction Reference Number (mã tham chiếu giao dịch))
Format thông tin yêu cầu: Tối đa 16 ký tự alphanumeric
Vi du: Dien MT701 hop le nhung KHÔNG có thông tin tag :20:</t>
  </si>
  <si>
    <t>AML_MT701_MND_02</t>
  </si>
  <si>
    <t>MT701 – Kiểm tra thông tin Khi thiếu trường thông tin :27: (Sequence of Total (thứ tự / tổng số điện)) → errorCode=03</t>
  </si>
  <si>
    <t xml:space="preserve">Auth hợp lệ và còn hạn;
Body MT701 KHÔNG có thông tin tag :27:
Format thông tin yêu cầu: Định dạng số/số (ví dụ: 1/1)
Các thông tin mandatory khác vẫn đủ thông tin </t>
  </si>
  <si>
    <t>1. Chuẩn bị body điện MT701 đúng chuẩn SWIFT theo dạng JSON hoặc XML
2. XÓA tag :27:  khỏi body điện
  (các trường thông tin khác vẫn giữ nguyên)
3. Gửi POST request voi transactionType=MT701
4. Verify: HTTP 200, result=ERROR, errorCode=03</t>
  </si>
  <si>
    <t>Headers:
Authorization:  Basic a3ljYWRtbjphYmMxMjM=    (Username and password to login)
Content-Type: application/json
 transactionId: TF_AML_MT701_MND_05
 requestId:   REQ_AML_MT701_MND_05
 transactionType: MT701
 branchCd: HN
 channel: T24
 isCallBack: N
Body: Dien MT701 đúng chuẩn SWIFT theo dạng JSON hoặc XML
Field bi THIEU: :27: (Sequence of Total (thứ tự / tổng số điện))
Format thông tin yêu cầu: Định dạng số/số (ví dụ: 1/1)
Vi du: Dien MT701 hop le nhung KHÔNG có thông tin tag :27:</t>
  </si>
  <si>
    <t xml:space="preserve">  AML_MT707_MND Kiem tra field mandatory cho dien MT707 (8 field: :20:, :21:, :22A:, :23:, :26E:, :27:, :30:, :31C:)</t>
  </si>
  <si>
    <t>AML_MT707_MND_01</t>
  </si>
  <si>
    <t>MT707 – Kiểm tra thông tin Khi thiếu trường thông tin :20: (Transaction Reference Number (mã tham chiếu giao dịch)) → errorCode=03</t>
  </si>
  <si>
    <t xml:space="preserve">Auth hợp lệ và còn hạn;
Body MT707 KHÔNG có thông tin tag :20:
Format thông tin yêu cầu: Tối đa 16 ký tự alphanumeric
Các thông tin mandatory khác vẫn đủ thông tin </t>
  </si>
  <si>
    <t>1. Chuẩn bị body điện MT707 đúng chuẩn SWIFT theo dạng JSON hoặc XML
2. XÓA tag :20:  khỏi body điện
  (các trường thông tin khác vẫn giữ nguyên)
3. Gửi POST request voi transactionType=MT707
4. Verify: HTTP 200, result=ERROR, errorCode=03</t>
  </si>
  <si>
    <t>Headers:
Authorization:  Basic a3ljYWRtbjphYmMxMjM=    (Username and password to login)
Content-Type: application/json
 transactionId: TF_AML_MT707_MND_03
 requestId:   REQ_AML_MT707_MND_03
 transactionType: MT707
 branchCd: HN
 channel: T24
 isCallBack: N
Body: Dien MT707 đúng chuẩn SWIFT theo dạng JSON hoặc XML
Field bi THIEU: :20: (Transaction Reference Number (mã tham chiếu giao dịch))
Format thông tin yêu cầu: Tối đa 16 ký tự alphanumeric
Vi du: Dien MT707 hop le nhung KHÔNG có thông tin tag :20:</t>
  </si>
  <si>
    <t>AML_MT707_MND_02</t>
  </si>
  <si>
    <t>MT707 – Kiểm tra thông tin Khi thiếu trường thông tin :21: (Related Reference (tham chiếu liên quan)) → errorCode=03</t>
  </si>
  <si>
    <t xml:space="preserve">Auth hợp lệ và còn hạn;
Body MT707 KHÔNG có thông tin tag :21:
Format thông tin yêu cầu: Tối đa 16 ký tự alphanumeric
Các thông tin mandatory khác vẫn đủ thông tin </t>
  </si>
  <si>
    <t>1. Chuẩn bị body điện MT707 đúng chuẩn SWIFT theo dạng JSON hoặc XML
2. XÓA tag :21:  khỏi body điện
  (các trường thông tin khác vẫn giữ nguyên)
3. Gửi POST request voi transactionType=MT707
4. Verify: HTTP 200, result=ERROR, errorCode=03</t>
  </si>
  <si>
    <t>Headers:
Authorization:  Basic a3ljYWRtbjphYmMxMjM=    (Username and password to login)
Content-Type: application/json
 transactionId: TF_AML_MT707_MND_05
 requestId:   REQ_AML_MT707_MND_05
 transactionType: MT707
 branchCd: HN
 channel: T24
 isCallBack: N
Body: Dien MT707 đúng chuẩn SWIFT theo dạng JSON hoặc XML
Field bi THIEU: :21: (Related Reference (tham chiếu liên quan))
Format thông tin yêu cầu: Tối đa 16 ký tự alphanumeric
Vi du: Dien MT707 hop le nhung KHÔNG có thông tin tag :21:</t>
  </si>
  <si>
    <t>AML_MT707_MND_03</t>
  </si>
  <si>
    <t>MT707 – Kiểm tra thông tin Khi thiếu trường thông tin :22A: (Form of Documentary Credit / Type of Undertaking (hình thức L/C / loại bảo lãnh)) → errorCode=03</t>
  </si>
  <si>
    <t xml:space="preserve">Auth hợp lệ và còn hạn;
Body MT707 KHÔNG có thông tin tag :22A:
Format thông tin yêu cầu: Đúng 4 ký tự chữ hoa
Các thông tin mandatory khác vẫn đủ thông tin </t>
  </si>
  <si>
    <t>1. Chuẩn bị body điện MT707 đúng chuẩn SWIFT theo dạng JSON hoặc XML
2. XÓA tag :22A:  khỏi body điện
  (các trường thông tin khác vẫn giữ nguyên)
3. Gửi POST request voi transactionType=MT707
4. Verify: HTTP 200, result=ERROR, errorCode=03</t>
  </si>
  <si>
    <t>Headers:
Authorization:  Basic a3ljYWRtbjphYmMxMjM=    (Username and password to login)
Content-Type: application/json
 transactionId: TF_AML_MT707_MND_07
 requestId:   REQ_AML_MT707_MND_07
 transactionType: MT707
 branchCd: HN
 channel: T24
 isCallBack: N
Body: Dien MT707 đúng chuẩn SWIFT theo dạng JSON hoặc XML
Field bi THIEU: :22A: (Form of Documentary Credit / Type of Undertaking (hình thức L/C / loại bảo lãnh))
Format thông tin yêu cầu: Đúng 4 ký tự chữ hoa
Vi du: Dien MT707 hop le nhung KHÔNG có thông tin tag :22A:</t>
  </si>
  <si>
    <t>AML_MT707_MND_04</t>
  </si>
  <si>
    <t>MT707 – Kiểm tra thông tin Khi thiếu trường thông tin :23: (Reference to Pre-Advice (tham chiếu pre-advice)) → errorCode=03</t>
  </si>
  <si>
    <t xml:space="preserve">Auth hợp lệ và còn hạn;
Body MT707 KHÔNG có thông tin tag :23:
Format thông tin yêu cầu: Tối đa 16 ký tự alphanumeric
Các thông tin mandatory khác vẫn đủ thông tin </t>
  </si>
  <si>
    <t>1. Chuẩn bị body điện MT707 đúng chuẩn SWIFT theo dạng JSON hoặc XML
2. XÓA tag :23:  khỏi body điện
  (các trường thông tin khác vẫn giữ nguyên)
3. Gửi POST request voi transactionType=MT707
4. Verify: HTTP 200, result=ERROR, errorCode=03</t>
  </si>
  <si>
    <t>Headers:
Authorization:  Basic a3ljYWRtbjphYmMxMjM=    (Username and password to login)
Content-Type: application/json
 transactionId: TF_AML_MT707_MND_09
 requestId:   REQ_AML_MT707_MND_09
 transactionType: MT707
 branchCd: HN
 channel: T24
 isCallBack: N
Body: Dien MT707 đúng chuẩn SWIFT theo dạng JSON hoặc XML
Field bi THIEU: :23: (Reference to Pre-Advice (tham chiếu pre-advice))
Format thông tin yêu cầu: Tối đa 16 ký tự alphanumeric
Vi du: Dien MT707 hop le nhung KHÔNG có thông tin tag :23:</t>
  </si>
  <si>
    <t>AML_MT707_MND_05</t>
  </si>
  <si>
    <t>MT707 – Kiểm tra thông tin Khi thiếu trường thông tin :26E: (Number of Amendment (số lần sửa đổi)) → errorCode=03</t>
  </si>
  <si>
    <t xml:space="preserve">Auth hợp lệ và còn hạn;
Body MT707 KHÔNG có thông tin tag :26E:
Format thông tin yêu cầu: Tối đa 3 chữ số
Các thông tin mandatory khác vẫn đủ thông tin </t>
  </si>
  <si>
    <t>1. Chuẩn bị body điện MT707 đúng chuẩn SWIFT theo dạng JSON hoặc XML
2. XÓA tag :26E:  khỏi body điện
  (các trường thông tin khác vẫn giữ nguyên)
3. Gửi POST request voi transactionType=MT707
4. Verify: HTTP 200, result=ERROR, errorCode=03</t>
  </si>
  <si>
    <t>Headers:
Authorization:  Basic a3ljYWRtbjphYmMxMjM=    (Username and password to login)
Content-Type: application/json
 transactionId: TF_AML_MT707_MND_11
 requestId:   REQ_AML_MT707_MND_11
 transactionType: MT707
 branchCd: HN
 channel: T24
 isCallBack: N
Body: Dien MT707 đúng chuẩn SWIFT theo dạng JSON hoặc XML
Field bi THIEU: :26E: (Number of Amendment (số lần sửa đổi))
Format thông tin yêu cầu: Tối đa 3 chữ số
Vi du: Dien MT707 hop le nhung KHÔNG có thông tin tag :26E:</t>
  </si>
  <si>
    <t>AML_MT707_MND_06</t>
  </si>
  <si>
    <t>MT707 – Kiểm tra thông tin Khi thiếu trường thông tin :27: (Sequence of Total (thứ tự / tổng số điện)) → errorCode=03</t>
  </si>
  <si>
    <t xml:space="preserve">Auth hợp lệ và còn hạn;
Body MT707 KHÔNG có thông tin tag :27:
Format thông tin yêu cầu: Định dạng số/số (ví dụ: 1/1)
Các thông tin mandatory khác vẫn đủ thông tin </t>
  </si>
  <si>
    <t>1. Chuẩn bị body điện MT707 đúng chuẩn SWIFT theo dạng JSON hoặc XML
2. XÓA tag :27:  khỏi body điện
  (các trường thông tin khác vẫn giữ nguyên)
3. Gửi POST request voi transactionType=MT707
4. Verify: HTTP 200, result=ERROR, errorCode=03</t>
  </si>
  <si>
    <t>Headers:
Authorization:  Basic a3ljYWRtbjphYmMxMjM=    (Username and password to login)
Content-Type: application/json
 transactionId: TF_AML_MT707_MND_13
 requestId:   REQ_AML_MT707_MND_13
 transactionType: MT707
 branchCd: HN
 channel: T24
 isCallBack: N
Body: Dien MT707 đúng chuẩn SWIFT theo dạng JSON hoặc XML
Field bi THIEU: :27: (Sequence of Total (thứ tự / tổng số điện))
Format thông tin yêu cầu: Định dạng số/số (ví dụ: 1/1)
Vi du: Dien MT707 hop le nhung KHÔNG có thông tin tag :27:</t>
  </si>
  <si>
    <t>AML_MT707_MND_07</t>
  </si>
  <si>
    <t>MT707 – Kiểm tra thông tin Khi thiếu trường thông tin :30: (Date of Amendment / Issue Date (ngày sửa đổi / ngày phát hành)) → errorCode=03</t>
  </si>
  <si>
    <t xml:space="preserve">Auth hợp lệ và còn hạn;
Body MT707 KHÔNG có thông tin tag :30:
Format thông tin yêu cầu: 6 chữ số – định dạng ngày YYMMDD
Các thông tin mandatory khác vẫn đủ thông tin </t>
  </si>
  <si>
    <t>1. Chuẩn bị body điện MT707 đúng chuẩn SWIFT theo dạng JSON hoặc XML
2. XÓA tag :30:  khỏi body điện
  (các trường thông tin khác vẫn giữ nguyên)
3. Gửi POST request voi transactionType=MT707
4. Verify: HTTP 200, result=ERROR, errorCode=03</t>
  </si>
  <si>
    <t>Headers:
Authorization:  Basic a3ljYWRtbjphYmMxMjM=    (Username and password to login)
Content-Type: application/json
 transactionId: TF_AML_MT707_MND_15
 requestId:   REQ_AML_MT707_MND_15
 transactionType: MT707
 branchCd: HN
 channel: T24
 isCallBack: N
Body: Dien MT707 đúng chuẩn SWIFT theo dạng JSON hoặc XML
Field bi THIEU: :30: (Date of Amendment / Issue Date (ngày sửa đổi / ngày phát hành))
Format thông tin yêu cầu: 6 chữ số – định dạng ngày YYMMDD
Vi du: Dien MT707 hop le nhung KHÔNG có thông tin tag :30:</t>
  </si>
  <si>
    <t>AML_MT707_MND_08</t>
  </si>
  <si>
    <t>MT707 – Kiểm tra thông tin Khi thiếu trường thông tin :31C: (Date of Issue (ngày phát hành)) → errorCode=03</t>
  </si>
  <si>
    <t xml:space="preserve">Auth hợp lệ và còn hạn;
Body MT707 KHÔNG có thông tin tag :31C:
Format thông tin yêu cầu: 6 chữ số – định dạng ngày YYMMDD
Các thông tin mandatory khác vẫn đủ thông tin </t>
  </si>
  <si>
    <t>1. Chuẩn bị body điện MT707 đúng chuẩn SWIFT theo dạng JSON hoặc XML
2. XÓA tag :31C:  khỏi body điện
  (các trường thông tin khác vẫn giữ nguyên)
3. Gửi POST request voi transactionType=MT707
4. Verify: HTTP 200, result=ERROR, errorCode=03</t>
  </si>
  <si>
    <t>Headers:
Authorization:  Basic a3ljYWRtbjphYmMxMjM=    (Username and password to login)
Content-Type: application/json
 transactionId: TF_AML_MT707_MND_17
 requestId:   REQ_AML_MT707_MND_17
 transactionType: MT707
 branchCd: HN
 channel: T24
 isCallBack: N
Body: Dien MT707 đúng chuẩn SWIFT theo dạng JSON hoặc XML
Field bi THIEU: :31C: (Date of Issue (ngày phát hành))
Format thông tin yêu cầu: 6 chữ số – định dạng ngày YYMMDD
Vi du: Dien MT707 hop le nhung KHÔNG có thông tin tag :31C:</t>
  </si>
  <si>
    <t xml:space="preserve">  AML_MT710_MND Kiem tra field mandatory cho dien MT710 (13 field: :20:, :21:, :27:, :31C:, :31D:, :32B:, :40B:, :40E:, :41A:, :41D:, :49:, :50:, :59:)</t>
  </si>
  <si>
    <t>AML_MT710_MND_01</t>
  </si>
  <si>
    <t>MT710 – Kiểm tra thông tin Khi thiếu trường thông tin :20: (Transaction Reference Number (mã tham chiếu giao dịch)) → errorCode=03</t>
  </si>
  <si>
    <t xml:space="preserve">Auth hợp lệ và còn hạn;
Body MT710 KHÔNG có thông tin tag :20:
Format thông tin yêu cầu: Tối đa 16 ký tự alphanumeric
Các thông tin mandatory khác vẫn đủ thông tin </t>
  </si>
  <si>
    <t>1. Chuẩn bị body điện MT710 đúng chuẩn SWIFT theo dạng JSON hoặc XML
2. XÓA tag :20:  khỏi body điện
  (các trường thông tin khác vẫn giữ nguyên)
3. Gửi POST request voi transactionType=MT710
4. Verify: HTTP 200, result=ERROR, errorCode=03</t>
  </si>
  <si>
    <t>Headers:
Authorization:  Basic a3ljYWRtbjphYmMxMjM=    (Username and password to login)
Content-Type: application/json
 transactionId: TF_AML_MT710_MND_03
 requestId:   REQ_AML_MT710_MND_03
 transactionType: MT710
 branchCd: HN
 channel: T24
 isCallBack: N
Body: Dien MT710 đúng chuẩn SWIFT theo dạng JSON hoặc XML
Field bi THIEU: :20: (Transaction Reference Number (mã tham chiếu giao dịch))
Format thông tin yêu cầu: Tối đa 16 ký tự alphanumeric
Vi du: Dien MT710 hop le nhung KHÔNG có thông tin tag :20:</t>
  </si>
  <si>
    <t>AML_MT710_MND_02</t>
  </si>
  <si>
    <t>MT710 – Kiểm tra thông tin Khi thiếu trường thông tin :21: (Related Reference (tham chiếu liên quan)) → errorCode=03</t>
  </si>
  <si>
    <t xml:space="preserve">Auth hợp lệ và còn hạn;
Body MT710 KHÔNG có thông tin tag :21:
Format thông tin yêu cầu: Tối đa 16 ký tự alphanumeric
Các thông tin mandatory khác vẫn đủ thông tin </t>
  </si>
  <si>
    <t>1. Chuẩn bị body điện MT710 đúng chuẩn SWIFT theo dạng JSON hoặc XML
2. XÓA tag :21:  khỏi body điện
  (các trường thông tin khác vẫn giữ nguyên)
3. Gửi POST request voi transactionType=MT710
4. Verify: HTTP 200, result=ERROR, errorCode=03</t>
  </si>
  <si>
    <t>Headers:
Authorization:  Basic a3ljYWRtbjphYmMxMjM=    (Username and password to login)
Content-Type: application/json
 transactionId: TF_AML_MT710_MND_05
 requestId:   REQ_AML_MT710_MND_05
 transactionType: MT710
 branchCd: HN
 channel: T24
 isCallBack: N
Body: Dien MT710 đúng chuẩn SWIFT theo dạng JSON hoặc XML
Field bi THIEU: :21: (Related Reference (tham chiếu liên quan))
Format thông tin yêu cầu: Tối đa 16 ký tự alphanumeric
Vi du: Dien MT710 hop le nhung KHÔNG có thông tin tag :21:</t>
  </si>
  <si>
    <t>AML_MT710_MND_03</t>
  </si>
  <si>
    <t>MT710 – Kiểm tra thông tin Khi thiếu trường thông tin :27: (Sequence of Total (thứ tự / tổng số điện)) → errorCode=03</t>
  </si>
  <si>
    <t xml:space="preserve">Auth hợp lệ và còn hạn;
Body MT710 KHÔNG có thông tin tag :27:
Format thông tin yêu cầu: Định dạng số/số (ví dụ: 1/1)
Các thông tin mandatory khác vẫn đủ thông tin </t>
  </si>
  <si>
    <t>1. Chuẩn bị body điện MT710 đúng chuẩn SWIFT theo dạng JSON hoặc XML
2. XÓA tag :27:  khỏi body điện
  (các trường thông tin khác vẫn giữ nguyên)
3. Gửi POST request voi transactionType=MT710
4. Verify: HTTP 200, result=ERROR, errorCode=03</t>
  </si>
  <si>
    <t>Headers:
Authorization:  Basic a3ljYWRtbjphYmMxMjM=    (Username and password to login)
Content-Type: application/json
 transactionId: TF_AML_MT710_MND_07
 requestId:   REQ_AML_MT710_MND_07
 transactionType: MT710
 branchCd: HN
 channel: T24
 isCallBack: N
Body: Dien MT710 đúng chuẩn SWIFT theo dạng JSON hoặc XML
Field bi THIEU: :27: (Sequence of Total (thứ tự / tổng số điện))
Format thông tin yêu cầu: Định dạng số/số (ví dụ: 1/1)
Vi du: Dien MT710 hop le nhung KHÔNG có thông tin tag :27:</t>
  </si>
  <si>
    <t>AML_MT710_MND_04</t>
  </si>
  <si>
    <t>MT710 – Kiểm tra thông tin Khi thiếu trường thông tin :31C: (Date of Issue (ngày phát hành)) → errorCode=03</t>
  </si>
  <si>
    <t xml:space="preserve">Auth hợp lệ và còn hạn;
Body MT710 KHÔNG có thông tin tag :31C:
Format thông tin yêu cầu: 6 chữ số – định dạng ngày YYMMDD
Các thông tin mandatory khác vẫn đủ thông tin </t>
  </si>
  <si>
    <t>1. Chuẩn bị body điện MT710 đúng chuẩn SWIFT theo dạng JSON hoặc XML
2. XÓA tag :31C:  khỏi body điện
  (các trường thông tin khác vẫn giữ nguyên)
3. Gửi POST request voi transactionType=MT710
4. Verify: HTTP 200, result=ERROR, errorCode=03</t>
  </si>
  <si>
    <t>Headers:
Authorization:  Basic a3ljYWRtbjphYmMxMjM=    (Username and password to login)
Content-Type: application/json
 transactionId: TF_AML_MT710_MND_09
 requestId:   REQ_AML_MT710_MND_09
 transactionType: MT710
 branchCd: HN
 channel: T24
 isCallBack: N
Body: Dien MT710 đúng chuẩn SWIFT theo dạng JSON hoặc XML
Field bi THIEU: :31C: (Date of Issue (ngày phát hành))
Format thông tin yêu cầu: 6 chữ số – định dạng ngày YYMMDD
Vi du: Dien MT710 hop le nhung KHÔNG có thông tin tag :31C:</t>
  </si>
  <si>
    <t>AML_MT710_MND_05</t>
  </si>
  <si>
    <t>MT710 – Kiểm tra thông tin Khi thiếu trường thông tin :31D: (Date and Place of Expiry (ngày và nơi hết hạn)) → errorCode=03</t>
  </si>
  <si>
    <t xml:space="preserve">Auth hợp lệ và còn hạn;
Body MT710 KHÔNG có thông tin tag :31D:
Format thông tin yêu cầu: 6 chữ số ngày + tối đa 29 ký tự địa điểm
Các thông tin mandatory khác vẫn đủ thông tin </t>
  </si>
  <si>
    <t>1. Chuẩn bị body điện MT710 đúng chuẩn SWIFT theo dạng JSON hoặc XML
2. XÓA tag :31D:  khỏi body điện
  (các trường thông tin khác vẫn giữ nguyên)
3. Gửi POST request voi transactionType=MT710
4. Verify: HTTP 200, result=ERROR, errorCode=03</t>
  </si>
  <si>
    <t>Headers:
Authorization:  Basic a3ljYWRtbjphYmMxMjM=    (Username and password to login)
Content-Type: application/json
 transactionId: TF_AML_MT710_MND_11
 requestId:   REQ_AML_MT710_MND_11
 transactionType: MT710
 branchCd: HN
 channel: T24
 isCallBack: N
Body: Dien MT710 đúng chuẩn SWIFT theo dạng JSON hoặc XML
Field bi THIEU: :31D: (Date and Place of Expiry (ngày và nơi hết hạn))
Format thông tin yêu cầu: 6 chữ số ngày + tối đa 29 ký tự địa điểm
Vi du: Dien MT710 hop le nhung KHÔNG có thông tin tag :31D:</t>
  </si>
  <si>
    <t>AML_MT710_MND_06</t>
  </si>
  <si>
    <t>MT710 – Kiểm tra thông tin Khi thiếu trường thông tin :32B: (Currency Code, Amount (mã tiền tệ và số tiền)) → errorCode=03</t>
  </si>
  <si>
    <t xml:space="preserve">Auth hợp lệ và còn hạn;
Body MT710 KHÔNG có thông tin tag :32B:
Format thông tin yêu cầu: 3 ký tự mã tiền tệ ISO + tối đa 15 chữ số
Các thông tin mandatory khác vẫn đủ thông tin </t>
  </si>
  <si>
    <t>1. Chuẩn bị body điện MT710 đúng chuẩn SWIFT theo dạng JSON hoặc XML
2. XÓA tag :32B:  khỏi body điện
  (các trường thông tin khác vẫn giữ nguyên)
3. Gửi POST request voi transactionType=MT710
4. Verify: HTTP 200, result=ERROR, errorCode=03</t>
  </si>
  <si>
    <t>Headers:
Authorization:  Basic a3ljYWRtbjphYmMxMjM=    (Username and password to login)
Content-Type: application/json
 transactionId: TF_AML_MT710_MND_13
 requestId:   REQ_AML_MT710_MND_13
 transactionType: MT710
 branchCd: HN
 channel: T24
 isCallBack: N
Body: Dien MT710 đúng chuẩn SWIFT theo dạng JSON hoặc XML
Field bi THIEU: :32B: (Currency Code, Amount (mã tiền tệ và số tiền))
Format thông tin yêu cầu: 3 ký tự mã tiền tệ ISO + tối đa 15 chữ số
Vi du: Dien MT710 hop le nhung KHÔNG có thông tin tag :32B:</t>
  </si>
  <si>
    <t>AML_MT710_MND_07</t>
  </si>
  <si>
    <t>MT710 – Kiểm tra thông tin Khi thiếu trường thông tin :40B: (Form of Documentary Credit – loại B) → errorCode=03</t>
  </si>
  <si>
    <t xml:space="preserve">Auth hợp lệ và còn hạn;
Body MT710 KHÔNG có thông tin tag :40B:
Format thông tin yêu cầu: Xem SWIFT standard (format phụ thuộc subfield)
Các thông tin mandatory khác vẫn đủ thông tin </t>
  </si>
  <si>
    <t>1. Chuẩn bị body điện MT710 đúng chuẩn SWIFT theo dạng JSON hoặc XML
2. XÓA tag :40B:  khỏi body điện
  (các trường thông tin khác vẫn giữ nguyên)
3. Gửi POST request voi transactionType=MT710
4. Verify: HTTP 200, result=ERROR, errorCode=03</t>
  </si>
  <si>
    <t>Headers:
Authorization:  Basic a3ljYWRtbjphYmMxMjM=    (Username and password to login)
Content-Type: application/json
 transactionId: TF_AML_MT710_MND_15
 requestId:   REQ_AML_MT710_MND_15
 transactionType: MT710
 branchCd: HN
 channel: T24
 isCallBack: N
Body: Dien MT710 đúng chuẩn SWIFT theo dạng JSON hoặc XML
Field bi THIEU: :40B: (Form of Documentary Credit – loại B)
Format thông tin yêu cầu: Xem SWIFT standard (format phụ thuộc subfield)
Vi du: Dien MT710 hop le nhung KHÔNG có thông tin tag :40B:</t>
  </si>
  <si>
    <t>AML_MT710_MND_08</t>
  </si>
  <si>
    <t>MT710 – Kiểm tra thông tin Khi thiếu trường thông tin :40E: (Applicable Rules (quy tắc áp dụng)) → errorCode=03</t>
  </si>
  <si>
    <t xml:space="preserve">Auth hợp lệ và còn hạn;
Body MT710 KHÔNG có thông tin tag :40E:
Format thông tin yêu cầu: Tối đa 30 ký tự [/35 ký tự tùy chọn]
Các thông tin mandatory khác vẫn đủ thông tin </t>
  </si>
  <si>
    <t>1. Chuẩn bị body điện MT710 đúng chuẩn SWIFT theo dạng JSON hoặc XML
2. XÓA tag :40E:  khỏi body điện
  (các trường thông tin khác vẫn giữ nguyên)
3. Gửi POST request voi transactionType=MT710
4. Verify: HTTP 200, result=ERROR, errorCode=03</t>
  </si>
  <si>
    <t>Headers:
Authorization:  Basic a3ljYWRtbjphYmMxMjM=    (Username and password to login)
Content-Type: application/json
 transactionId: TF_AML_MT710_MND_17
 requestId:   REQ_AML_MT710_MND_17
 transactionType: MT710
 branchCd: HN
 channel: T24
 isCallBack: N
Body: Dien MT710 đúng chuẩn SWIFT theo dạng JSON hoặc XML
Field bi THIEU: :40E: (Applicable Rules (quy tắc áp dụng))
Format thông tin yêu cầu: Tối đa 30 ký tự [/35 ký tự tùy chọn]
Vi du: Dien MT710 hop le nhung KHÔNG có thông tin tag :40E:</t>
  </si>
  <si>
    <t>AML_MT710_MND_09</t>
  </si>
  <si>
    <t>MT710 – Kiểm tra thông tin Khi thiếu trường thông tin :41A: (Available With... By... (ngân hàng &amp; phương thức thanh toán - loại A)) → errorCode=03</t>
  </si>
  <si>
    <t xml:space="preserve">Auth hợp lệ và còn hạn;
Body MT710 KHÔNG có thông tin tag :41A:
Format thông tin yêu cầu: Xem SWIFT standard (format phụ thuộc subfield)
Các thông tin mandatory khác vẫn đủ thông tin </t>
  </si>
  <si>
    <t>1. Chuẩn bị body điện MT710 đúng chuẩn SWIFT theo dạng JSON hoặc XML
2. XÓA tag :41A:  khỏi body điện
  (các trường thông tin khác vẫn giữ nguyên)
3. Gửi POST request voi transactionType=MT710
4. Verify: HTTP 200, result=ERROR, errorCode=03</t>
  </si>
  <si>
    <t>Headers:
Authorization:  Basic a3ljYWRtbjphYmMxMjM=    (Username and password to login)
Content-Type: application/json
 transactionId: TF_AML_MT710_MND_19
 requestId:   REQ_AML_MT710_MND_19
 transactionType: MT710
 branchCd: HN
 channel: T24
 isCallBack: N
Body: Dien MT710 đúng chuẩn SWIFT theo dạng JSON hoặc XML
Field bi THIEU: :41A: (Available With... By... (ngân hàng &amp; phương thức thanh toán - loại A))
Format thông tin yêu cầu: Xem SWIFT standard (format phụ thuộc subfield)
Vi du: Dien MT710 hop le nhung KHÔNG có thông tin tag :41A:</t>
  </si>
  <si>
    <t>AML_MT710_MND_10</t>
  </si>
  <si>
    <t>MT710 – Kiểm tra thông tin Khi thiếu trường thông tin :41D: (Available With... By... (ngân hàng &amp; phương thức thanh toán - loại D)) → errorCode=03</t>
  </si>
  <si>
    <t xml:space="preserve">Auth hợp lệ và còn hạn;
Body MT710 KHÔNG có thông tin tag :41D:
Format thông tin yêu cầu: Xem SWIFT standard (format phụ thuộc subfield)
Các thông tin mandatory khác vẫn đủ thông tin </t>
  </si>
  <si>
    <t>1. Chuẩn bị body điện MT710 đúng chuẩn SWIFT theo dạng JSON hoặc XML
2. XÓA tag :41D:  khỏi body điện
  (các trường thông tin khác vẫn giữ nguyên)
3. Gửi POST request voi transactionType=MT710
4. Verify: HTTP 200, result=ERROR, errorCode=03</t>
  </si>
  <si>
    <t>Headers:
Authorization:  Basic a3ljYWRtbjphYmMxMjM=    (Username and password to login)
Content-Type: application/json
 transactionId: TF_AML_MT710_MND_21
 requestId:   REQ_AML_MT710_MND_21
 transactionType: MT710
 branchCd: HN
 channel: T24
 isCallBack: N
Body: Dien MT710 đúng chuẩn SWIFT theo dạng JSON hoặc XML
Field bi THIEU: :41D: (Available With... By... (ngân hàng &amp; phương thức thanh toán - loại D))
Format thông tin yêu cầu: Xem SWIFT standard (format phụ thuộc subfield)
Vi du: Dien MT710 hop le nhung KHÔNG có thông tin tag :41D:</t>
  </si>
  <si>
    <t>AML_MT710_MND_11</t>
  </si>
  <si>
    <t>MT710 – Kiểm tra thông tin Khi thiếu trường thông tin :49: (Confirmation Instructions (hướng dẫn xác nhận)) → errorCode=03</t>
  </si>
  <si>
    <t xml:space="preserve">Auth hợp lệ và còn hạn;
Body MT710 KHÔNG có thông tin tag :49:
Format thông tin yêu cầu: Đúng 7 ký tự
Các thông tin mandatory khác vẫn đủ thông tin </t>
  </si>
  <si>
    <t>1. Chuẩn bị body điện MT710 đúng chuẩn SWIFT theo dạng JSON hoặc XML
2. XÓA tag :49:  khỏi body điện
  (các trường thông tin khác vẫn giữ nguyên)
3. Gửi POST request voi transactionType=MT710
4. Verify: HTTP 200, result=ERROR, errorCode=03</t>
  </si>
  <si>
    <t>Headers:
Authorization:  Basic a3ljYWRtbjphYmMxMjM=    (Username and password to login)
Content-Type: application/json
 transactionId: TF_AML_MT710_MND_23
 requestId:   REQ_AML_MT710_MND_23
 transactionType: MT710
 branchCd: HN
 channel: T24
 isCallBack: N
Body: Dien MT710 đúng chuẩn SWIFT theo dạng JSON hoặc XML
Field bi THIEU: :49: (Confirmation Instructions (hướng dẫn xác nhận))
Format thông tin yêu cầu: Đúng 7 ký tự
Vi du: Dien MT710 hop le nhung KHÔNG có thông tin tag :49:</t>
  </si>
  <si>
    <t>AML_MT710_MND_12</t>
  </si>
  <si>
    <t>MT710 – Kiểm tra thông tin Khi thiếu trường thông tin :50: (Applicant (người yêu cầu mở L/C / người đề nghị)) → errorCode=03</t>
  </si>
  <si>
    <t xml:space="preserve">Auth hợp lệ và còn hạn;
Body MT710 KHÔNG có thông tin tag :50:
Format thông tin yêu cầu: Tối đa 4 dòng × 35 ký tự
Các thông tin mandatory khác vẫn đủ thông tin </t>
  </si>
  <si>
    <t>1. Chuẩn bị body điện MT710 đúng chuẩn SWIFT theo dạng JSON hoặc XML
2. XÓA tag :50:  khỏi body điện
  (các trường thông tin khác vẫn giữ nguyên)
3. Gửi POST request voi transactionType=MT710
4. Verify: HTTP 200, result=ERROR, errorCode=03</t>
  </si>
  <si>
    <t>Headers:
Authorization:  Basic a3ljYWRtbjphYmMxMjM=    (Username and password to login)
Content-Type: application/json
 transactionId: TF_AML_MT710_MND_25
 requestId:   REQ_AML_MT710_MND_25
 transactionType: MT710
 branchCd: HN
 channel: T24
 isCallBack: N
Body: Dien MT710 đúng chuẩn SWIFT theo dạng JSON hoặc XML
Field bi THIEU: :50: (Applicant (người yêu cầu mở L/C / người đề nghị))
Format thông tin yêu cầu: Tối đa 4 dòng × 35 ký tự
Vi du: Dien MT710 hop le nhung KHÔNG có thông tin tag :50:</t>
  </si>
  <si>
    <t>AML_MT710_MND_13</t>
  </si>
  <si>
    <t>MT710 – Kiểm tra thông tin Khi thiếu trường thông tin :59: (Beneficiary (người thụ hưởng)) → errorCode=03</t>
  </si>
  <si>
    <t xml:space="preserve">Auth hợp lệ và còn hạn;
Body MT710 KHÔNG có thông tin tag :59:
Format thông tin yêu cầu: Xem SWIFT standard (format phụ thuộc subfield)
Các thông tin mandatory khác vẫn đủ thông tin </t>
  </si>
  <si>
    <t>1. Chuẩn bị body điện MT710 đúng chuẩn SWIFT theo dạng JSON hoặc XML
2. XÓA tag :59:  khỏi body điện
  (các trường thông tin khác vẫn giữ nguyên)
3. Gửi POST request voi transactionType=MT710
4. Verify: HTTP 200, result=ERROR, errorCode=03</t>
  </si>
  <si>
    <t>Headers:
Authorization:  Basic a3ljYWRtbjphYmMxMjM=    (Username and password to login)
Content-Type: application/json
 transactionId: TF_AML_MT710_MND_27
 requestId:   REQ_AML_MT710_MND_27
 transactionType: MT710
 branchCd: HN
 channel: T24
 isCallBack: N
Body: Dien MT710 đúng chuẩn SWIFT theo dạng JSON hoặc XML
Field bi THIEU: :59: (Beneficiary (người thụ hưởng))
Format thông tin yêu cầu: Xem SWIFT standard (format phụ thuộc subfield)
Vi du: Dien MT710 hop le nhung KHÔNG có thông tin tag :59:</t>
  </si>
  <si>
    <t xml:space="preserve">  AML_MT711_MND Kiem tra field mandatory cho dien MT711 (3 field: :20:, :21:, :27:)</t>
  </si>
  <si>
    <t>AML_MT711_MND_01</t>
  </si>
  <si>
    <t>MT711 – Kiểm tra thông tin Khi thiếu trường thông tin :20: (Transaction Reference Number (mã tham chiếu giao dịch)) → errorCode=03</t>
  </si>
  <si>
    <t xml:space="preserve">Auth hợp lệ và còn hạn;
Body MT711 KHÔNG có thông tin tag :20:
Format thông tin yêu cầu: Tối đa 16 ký tự alphanumeric
Các thông tin mandatory khác vẫn đủ thông tin </t>
  </si>
  <si>
    <t>1. Chuẩn bị body điện MT711 đúng chuẩn SWIFT theo dạng JSON hoặc XML
2. XÓA tag :20:  khỏi body điện
  (các trường thông tin khác vẫn giữ nguyên)
3. Gửi POST request voi transactionType=MT711
4. Verify: HTTP 200, result=ERROR, errorCode=03</t>
  </si>
  <si>
    <t>Headers:
Authorization:  Basic a3ljYWRtbjphYmMxMjM=    (Username and password to login)
Content-Type: application/json
 transactionId: TF_AML_MT711_MND_03
 requestId:   REQ_AML_MT711_MND_03
 transactionType: MT711
 branchCd: HN
 channel: T24
 isCallBack: N
Body: Dien MT711 đúng chuẩn SWIFT theo dạng JSON hoặc XML
Field bi THIEU: :20: (Transaction Reference Number (mã tham chiếu giao dịch))
Format thông tin yêu cầu: Tối đa 16 ký tự alphanumeric
Vi du: Dien MT711 hop le nhung KHÔNG có thông tin tag :20:</t>
  </si>
  <si>
    <t>AML_MT711_MND_02</t>
  </si>
  <si>
    <t>MT711 – Kiểm tra thông tin Khi thiếu trường thông tin :21: (Related Reference (tham chiếu liên quan)) → errorCode=03</t>
  </si>
  <si>
    <t xml:space="preserve">Auth hợp lệ và còn hạn;
Body MT711 KHÔNG có thông tin tag :21:
Format thông tin yêu cầu: Tối đa 16 ký tự alphanumeric
Các thông tin mandatory khác vẫn đủ thông tin </t>
  </si>
  <si>
    <t>1. Chuẩn bị body điện MT711 đúng chuẩn SWIFT theo dạng JSON hoặc XML
2. XÓA tag :21:  khỏi body điện
  (các trường thông tin khác vẫn giữ nguyên)
3. Gửi POST request voi transactionType=MT711
4. Verify: HTTP 200, result=ERROR, errorCode=03</t>
  </si>
  <si>
    <t>Headers:
Authorization:  Basic a3ljYWRtbjphYmMxMjM=    (Username and password to login)
Content-Type: application/json
 transactionId: TF_AML_MT711_MND_05
 requestId:   REQ_AML_MT711_MND_05
 transactionType: MT711
 branchCd: HN
 channel: T24
 isCallBack: N
Body: Dien MT711 đúng chuẩn SWIFT theo dạng JSON hoặc XML
Field bi THIEU: :21: (Related Reference (tham chiếu liên quan))
Format thông tin yêu cầu: Tối đa 16 ký tự alphanumeric
Vi du: Dien MT711 hop le nhung KHÔNG có thông tin tag :21:</t>
  </si>
  <si>
    <t>AML_MT711_MND_03</t>
  </si>
  <si>
    <t>MT711 – Kiểm tra thông tin Khi thiếu trường thông tin :27: (Sequence of Total (thứ tự / tổng số điện)) → errorCode=03</t>
  </si>
  <si>
    <t xml:space="preserve">Auth hợp lệ và còn hạn;
Body MT711 KHÔNG có thông tin tag :27:
Format thông tin yêu cầu: Định dạng số/số (ví dụ: 1/1)
Các thông tin mandatory khác vẫn đủ thông tin </t>
  </si>
  <si>
    <t>1. Chuẩn bị body điện MT711 đúng chuẩn SWIFT theo dạng JSON hoặc XML
2. XÓA tag :27:  khỏi body điện
  (các trường thông tin khác vẫn giữ nguyên)
3. Gửi POST request voi transactionType=MT711
4. Verify: HTTP 200, result=ERROR, errorCode=03</t>
  </si>
  <si>
    <t>Headers:
Authorization:  Basic a3ljYWRtbjphYmMxMjM=    (Username and password to login)
Content-Type: application/json
 transactionId: TF_AML_MT711_MND_07
 requestId:   REQ_AML_MT711_MND_07
 transactionType: MT711
 branchCd: HN
 channel: T24
 isCallBack: N
Body: Dien MT711 đúng chuẩn SWIFT theo dạng JSON hoặc XML
Field bi THIEU: :27: (Sequence of Total (thứ tự / tổng số điện))
Format thông tin yêu cầu: Định dạng số/số (ví dụ: 1/1)
Vi du: Dien MT711 hop le nhung KHÔNG có thông tin tag :27:</t>
  </si>
  <si>
    <t xml:space="preserve">  AML_MT720_MND Kiem tra field mandatory cho dien MT720 (13 field: :20:, :21:, :27:, :31C:, :31D:, :32B:, :40B:, :40E:, :41A:, :41D:, :49:, :50:, :59:)</t>
  </si>
  <si>
    <t>AML_MT720_MND_01</t>
  </si>
  <si>
    <t>MT720 – Kiểm tra thông tin Khi thiếu trường thông tin :20: (Transaction Reference Number (mã tham chiếu giao dịch)) → errorCode=03</t>
  </si>
  <si>
    <t xml:space="preserve">Auth hợp lệ và còn hạn;
Body MT720 KHÔNG có thông tin tag :20:
Format thông tin yêu cầu: Tối đa 16 ký tự alphanumeric
Các thông tin mandatory khác vẫn đủ thông tin </t>
  </si>
  <si>
    <t>1. Chuẩn bị body điện MT720 đúng chuẩn SWIFT theo dạng JSON hoặc XML
2. XÓA tag :20:  khỏi body điện
  (các trường thông tin khác vẫn giữ nguyên)
3. Gửi POST request voi transactionType=MT720
4. Verify: HTTP 200, result=ERROR, errorCode=03</t>
  </si>
  <si>
    <t>Headers:
Authorization:  Basic a3ljYWRtbjphYmMxMjM=    (Username and password to login)
Content-Type: application/json
 transactionId: TF_AML_MT720_MND_03
 requestId:   REQ_AML_MT720_MND_03
 transactionType: MT720
 branchCd: HN
 channel: T24
 isCallBack: N
Body: Dien MT720 đúng chuẩn SWIFT theo dạng JSON hoặc XML
Field bi THIEU: :20: (Transaction Reference Number (mã tham chiếu giao dịch))
Format thông tin yêu cầu: Tối đa 16 ký tự alphanumeric
Vi du: Dien MT720 hop le nhung KHÔNG có thông tin tag :20:</t>
  </si>
  <si>
    <t>AML_MT720_MND_02</t>
  </si>
  <si>
    <t>MT720 – Kiểm tra thông tin Khi thiếu trường thông tin :21: (Related Reference (tham chiếu liên quan)) → errorCode=03</t>
  </si>
  <si>
    <t xml:space="preserve">Auth hợp lệ và còn hạn;
Body MT720 KHÔNG có thông tin tag :21:
Format thông tin yêu cầu: Tối đa 16 ký tự alphanumeric
Các thông tin mandatory khác vẫn đủ thông tin </t>
  </si>
  <si>
    <t>1. Chuẩn bị body điện MT720 đúng chuẩn SWIFT theo dạng JSON hoặc XML
2. XÓA tag :21:  khỏi body điện
  (các trường thông tin khác vẫn giữ nguyên)
3. Gửi POST request voi transactionType=MT720
4. Verify: HTTP 200, result=ERROR, errorCode=03</t>
  </si>
  <si>
    <t>Headers:
Authorization:  Basic a3ljYWRtbjphYmMxMjM=    (Username and password to login)
Content-Type: application/json
 transactionId: TF_AML_MT720_MND_05
 requestId:   REQ_AML_MT720_MND_05
 transactionType: MT720
 branchCd: HN
 channel: T24
 isCallBack: N
Body: Dien MT720 đúng chuẩn SWIFT theo dạng JSON hoặc XML
Field bi THIEU: :21: (Related Reference (tham chiếu liên quan))
Format thông tin yêu cầu: Tối đa 16 ký tự alphanumeric
Vi du: Dien MT720 hop le nhung KHÔNG có thông tin tag :21:</t>
  </si>
  <si>
    <t>AML_MT720_MND_03</t>
  </si>
  <si>
    <t>MT720 – Kiểm tra thông tin Khi thiếu trường thông tin :27: (Sequence of Total (thứ tự / tổng số điện)) → errorCode=03</t>
  </si>
  <si>
    <t xml:space="preserve">Auth hợp lệ và còn hạn;
Body MT720 KHÔNG có thông tin tag :27:
Format thông tin yêu cầu: Định dạng số/số (ví dụ: 1/1)
Các thông tin mandatory khác vẫn đủ thông tin </t>
  </si>
  <si>
    <t>1. Chuẩn bị body điện MT720 đúng chuẩn SWIFT theo dạng JSON hoặc XML
2. XÓA tag :27:  khỏi body điện
  (các trường thông tin khác vẫn giữ nguyên)
3. Gửi POST request voi transactionType=MT720
4. Verify: HTTP 200, result=ERROR, errorCode=03</t>
  </si>
  <si>
    <t>Headers:
Authorization:  Basic a3ljYWRtbjphYmMxMjM=    (Username and password to login)
Content-Type: application/json
 transactionId: TF_AML_MT720_MND_07
 requestId:   REQ_AML_MT720_MND_07
 transactionType: MT720
 branchCd: HN
 channel: T24
 isCallBack: N
Body: Dien MT720 đúng chuẩn SWIFT theo dạng JSON hoặc XML
Field bi THIEU: :27: (Sequence of Total (thứ tự / tổng số điện))
Format thông tin yêu cầu: Định dạng số/số (ví dụ: 1/1)
Vi du: Dien MT720 hop le nhung KHÔNG có thông tin tag :27:</t>
  </si>
  <si>
    <t>AML_MT720_MND_04</t>
  </si>
  <si>
    <t>MT720 – Kiểm tra thông tin Khi thiếu trường thông tin :31C: (Date of Issue (ngày phát hành)) → errorCode=03</t>
  </si>
  <si>
    <t xml:space="preserve">Auth hợp lệ và còn hạn;
Body MT720 KHÔNG có thông tin tag :31C:
Format thông tin yêu cầu: 6 chữ số – định dạng ngày YYMMDD
Các thông tin mandatory khác vẫn đủ thông tin </t>
  </si>
  <si>
    <t>1. Chuẩn bị body điện MT720 đúng chuẩn SWIFT theo dạng JSON hoặc XML
2. XÓA tag :31C:  khỏi body điện
  (các trường thông tin khác vẫn giữ nguyên)
3. Gửi POST request voi transactionType=MT720
4. Verify: HTTP 200, result=ERROR, errorCode=03</t>
  </si>
  <si>
    <t>Headers:
Authorization:  Basic a3ljYWRtbjphYmMxMjM=    (Username and password to login)
Content-Type: application/json
 transactionId: TF_AML_MT720_MND_09
 requestId:   REQ_AML_MT720_MND_09
 transactionType: MT720
 branchCd: HN
 channel: T24
 isCallBack: N
Body: Dien MT720 đúng chuẩn SWIFT theo dạng JSON hoặc XML
Field bi THIEU: :31C: (Date of Issue (ngày phát hành))
Format thông tin yêu cầu: 6 chữ số – định dạng ngày YYMMDD
Vi du: Dien MT720 hop le nhung KHÔNG có thông tin tag :31C:</t>
  </si>
  <si>
    <t>AML_MT720_MND_05</t>
  </si>
  <si>
    <t>MT720 – Kiểm tra thông tin Khi thiếu trường thông tin :31D: (Date and Place of Expiry (ngày và nơi hết hạn)) → errorCode=03</t>
  </si>
  <si>
    <t xml:space="preserve">Auth hợp lệ và còn hạn;
Body MT720 KHÔNG có thông tin tag :31D:
Format thông tin yêu cầu: 6 chữ số ngày + tối đa 29 ký tự địa điểm
Các thông tin mandatory khác vẫn đủ thông tin </t>
  </si>
  <si>
    <t>1. Chuẩn bị body điện MT720 đúng chuẩn SWIFT theo dạng JSON hoặc XML
2. XÓA tag :31D:  khỏi body điện
  (các trường thông tin khác vẫn giữ nguyên)
3. Gửi POST request voi transactionType=MT720
4. Verify: HTTP 200, result=ERROR, errorCode=03</t>
  </si>
  <si>
    <t>Headers:
Authorization:  Basic a3ljYWRtbjphYmMxMjM=    (Username and password to login)
Content-Type: application/json
 transactionId: TF_AML_MT720_MND_11
 requestId:   REQ_AML_MT720_MND_11
 transactionType: MT720
 branchCd: HN
 channel: T24
 isCallBack: N
Body: Dien MT720 đúng chuẩn SWIFT theo dạng JSON hoặc XML
Field bi THIEU: :31D: (Date and Place of Expiry (ngày và nơi hết hạn))
Format thông tin yêu cầu: 6 chữ số ngày + tối đa 29 ký tự địa điểm
Vi du: Dien MT720 hop le nhung KHÔNG có thông tin tag :31D:</t>
  </si>
  <si>
    <t>AML_MT720_MND_06</t>
  </si>
  <si>
    <t>MT720 – Kiểm tra thông tin Khi thiếu trường thông tin :32B: (Currency Code, Amount (mã tiền tệ và số tiền)) → errorCode=03</t>
  </si>
  <si>
    <t xml:space="preserve">Auth hợp lệ và còn hạn;
Body MT720 KHÔNG có thông tin tag :32B:
Format thông tin yêu cầu: 3 ký tự mã tiền tệ ISO + tối đa 15 chữ số
Các thông tin mandatory khác vẫn đủ thông tin </t>
  </si>
  <si>
    <t>1. Chuẩn bị body điện MT720 đúng chuẩn SWIFT theo dạng JSON hoặc XML
2. XÓA tag :32B:  khỏi body điện
  (các trường thông tin khác vẫn giữ nguyên)
3. Gửi POST request voi transactionType=MT720
4. Verify: HTTP 200, result=ERROR, errorCode=03</t>
  </si>
  <si>
    <t>Headers:
Authorization:  Basic a3ljYWRtbjphYmMxMjM=    (Username and password to login)
Content-Type: application/json
 transactionId: TF_AML_MT720_MND_13
 requestId:   REQ_AML_MT720_MND_13
 transactionType: MT720
 branchCd: HN
 channel: T24
 isCallBack: N
Body: Dien MT720 đúng chuẩn SWIFT theo dạng JSON hoặc XML
Field bi THIEU: :32B: (Currency Code, Amount (mã tiền tệ và số tiền))
Format thông tin yêu cầu: 3 ký tự mã tiền tệ ISO + tối đa 15 chữ số
Vi du: Dien MT720 hop le nhung KHÔNG có thông tin tag :32B:</t>
  </si>
  <si>
    <t>AML_MT720_MND_07</t>
  </si>
  <si>
    <t>MT720 – Kiểm tra thông tin Khi thiếu trường thông tin :40B: (Form of Documentary Credit – loại B) → errorCode=03</t>
  </si>
  <si>
    <t xml:space="preserve">Auth hợp lệ và còn hạn;
Body MT720 KHÔNG có thông tin tag :40B:
Format thông tin yêu cầu: Xem SWIFT standard (format phụ thuộc subfield)
Các thông tin mandatory khác vẫn đủ thông tin </t>
  </si>
  <si>
    <t>1. Chuẩn bị body điện MT720 đúng chuẩn SWIFT theo dạng JSON hoặc XML
2. XÓA tag :40B:  khỏi body điện
  (các trường thông tin khác vẫn giữ nguyên)
3. Gửi POST request voi transactionType=MT720
4. Verify: HTTP 200, result=ERROR, errorCode=03</t>
  </si>
  <si>
    <t>Headers:
Authorization:  Basic a3ljYWRtbjphYmMxMjM=    (Username and password to login)
Content-Type: application/json
 transactionId: TF_AML_MT720_MND_15
 requestId:   REQ_AML_MT720_MND_15
 transactionType: MT720
 branchCd: HN
 channel: T24
 isCallBack: N
Body: Dien MT720 đúng chuẩn SWIFT theo dạng JSON hoặc XML
Field bi THIEU: :40B: (Form of Documentary Credit – loại B)
Format thông tin yêu cầu: Xem SWIFT standard (format phụ thuộc subfield)
Vi du: Dien MT720 hop le nhung KHÔNG có thông tin tag :40B:</t>
  </si>
  <si>
    <t>AML_MT720_MND_08</t>
  </si>
  <si>
    <t>MT720 – Kiểm tra thông tin Khi thiếu trường thông tin :40E: (Applicable Rules (quy tắc áp dụng)) → errorCode=03</t>
  </si>
  <si>
    <t xml:space="preserve">Auth hợp lệ và còn hạn;
Body MT720 KHÔNG có thông tin tag :40E:
Format thông tin yêu cầu: Tối đa 30 ký tự [/35 ký tự tùy chọn]
Các thông tin mandatory khác vẫn đủ thông tin </t>
  </si>
  <si>
    <t>1. Chuẩn bị body điện MT720 đúng chuẩn SWIFT theo dạng JSON hoặc XML
2. XÓA tag :40E:  khỏi body điện
  (các trường thông tin khác vẫn giữ nguyên)
3. Gửi POST request voi transactionType=MT720
4. Verify: HTTP 200, result=ERROR, errorCode=03</t>
  </si>
  <si>
    <t>Headers:
Authorization:  Basic a3ljYWRtbjphYmMxMjM=    (Username and password to login)
Content-Type: application/json
 transactionId: TF_AML_MT720_MND_17
 requestId:   REQ_AML_MT720_MND_17
 transactionType: MT720
 branchCd: HN
 channel: T24
 isCallBack: N
Body: Dien MT720 đúng chuẩn SWIFT theo dạng JSON hoặc XML
Field bi THIEU: :40E: (Applicable Rules (quy tắc áp dụng))
Format thông tin yêu cầu: Tối đa 30 ký tự [/35 ký tự tùy chọn]
Vi du: Dien MT720 hop le nhung KHÔNG có thông tin tag :40E:</t>
  </si>
  <si>
    <t>AML_MT720_MND_09</t>
  </si>
  <si>
    <t>MT720 – Kiểm tra thông tin Khi thiếu trường thông tin :41A: (Available With... By... (ngân hàng &amp; phương thức thanh toán - loại A)) → errorCode=03</t>
  </si>
  <si>
    <t xml:space="preserve">Auth hợp lệ và còn hạn;
Body MT720 KHÔNG có thông tin tag :41A:
Format thông tin yêu cầu: Xem SWIFT standard (format phụ thuộc subfield)
Các thông tin mandatory khác vẫn đủ thông tin </t>
  </si>
  <si>
    <t>1. Chuẩn bị body điện MT720 đúng chuẩn SWIFT theo dạng JSON hoặc XML
2. XÓA tag :41A:  khỏi body điện
  (các trường thông tin khác vẫn giữ nguyên)
3. Gửi POST request voi transactionType=MT720
4. Verify: HTTP 200, result=ERROR, errorCode=03</t>
  </si>
  <si>
    <t>Headers:
Authorization:  Basic a3ljYWRtbjphYmMxMjM=    (Username and password to login)
Content-Type: application/json
 transactionId: TF_AML_MT720_MND_19
 requestId:   REQ_AML_MT720_MND_19
 transactionType: MT720
 branchCd: HN
 channel: T24
 isCallBack: N
Body: Dien MT720 đúng chuẩn SWIFT theo dạng JSON hoặc XML
Field bi THIEU: :41A: (Available With... By... (ngân hàng &amp; phương thức thanh toán - loại A))
Format thông tin yêu cầu: Xem SWIFT standard (format phụ thuộc subfield)
Vi du: Dien MT720 hop le nhung KHÔNG có thông tin tag :41A:</t>
  </si>
  <si>
    <t>AML_MT720_MND_10</t>
  </si>
  <si>
    <t>MT720 – Kiểm tra thông tin Khi thiếu trường thông tin :41D: (Available With... By... (ngân hàng &amp; phương thức thanh toán - loại D)) → errorCode=03</t>
  </si>
  <si>
    <t xml:space="preserve">Auth hợp lệ và còn hạn;
Body MT720 KHÔNG có thông tin tag :41D:
Format thông tin yêu cầu: Xem SWIFT standard (format phụ thuộc subfield)
Các thông tin mandatory khác vẫn đủ thông tin </t>
  </si>
  <si>
    <t>1. Chuẩn bị body điện MT720 đúng chuẩn SWIFT theo dạng JSON hoặc XML
2. XÓA tag :41D:  khỏi body điện
  (các trường thông tin khác vẫn giữ nguyên)
3. Gửi POST request voi transactionType=MT720
4. Verify: HTTP 200, result=ERROR, errorCode=03</t>
  </si>
  <si>
    <t>Headers:
Authorization:  Basic a3ljYWRtbjphYmMxMjM=    (Username and password to login)
Content-Type: application/json
 transactionId: TF_AML_MT720_MND_21
 requestId:   REQ_AML_MT720_MND_21
 transactionType: MT720
 branchCd: HN
 channel: T24
 isCallBack: N
Body: Dien MT720 đúng chuẩn SWIFT theo dạng JSON hoặc XML
Field bi THIEU: :41D: (Available With... By... (ngân hàng &amp; phương thức thanh toán - loại D))
Format thông tin yêu cầu: Xem SWIFT standard (format phụ thuộc subfield)
Vi du: Dien MT720 hop le nhung KHÔNG có thông tin tag :41D:</t>
  </si>
  <si>
    <t>AML_MT720_MND_11</t>
  </si>
  <si>
    <t>MT720 – Kiểm tra thông tin Khi thiếu trường thông tin :49: (Confirmation Instructions (hướng dẫn xác nhận)) → errorCode=03</t>
  </si>
  <si>
    <t xml:space="preserve">Auth hợp lệ và còn hạn;
Body MT720 KHÔNG có thông tin tag :49:
Format thông tin yêu cầu: Đúng 7 ký tự
Các thông tin mandatory khác vẫn đủ thông tin </t>
  </si>
  <si>
    <t>1. Chuẩn bị body điện MT720 đúng chuẩn SWIFT theo dạng JSON hoặc XML
2. XÓA tag :49:  khỏi body điện
  (các trường thông tin khác vẫn giữ nguyên)
3. Gửi POST request voi transactionType=MT720
4. Verify: HTTP 200, result=ERROR, errorCode=03</t>
  </si>
  <si>
    <t>Headers:
Authorization:  Basic a3ljYWRtbjphYmMxMjM=    (Username and password to login)
Content-Type: application/json
 transactionId: TF_AML_MT720_MND_23
 requestId:   REQ_AML_MT720_MND_23
 transactionType: MT720
 branchCd: HN
 channel: T24
 isCallBack: N
Body: Dien MT720 đúng chuẩn SWIFT theo dạng JSON hoặc XML
Field bi THIEU: :49: (Confirmation Instructions (hướng dẫn xác nhận))
Format thông tin yêu cầu: Đúng 7 ký tự
Vi du: Dien MT720 hop le nhung KHÔNG có thông tin tag :49:</t>
  </si>
  <si>
    <t>AML_MT720_MND_12</t>
  </si>
  <si>
    <t>MT720 – Kiểm tra thông tin Khi thiếu trường thông tin :50: (Applicant (người yêu cầu mở L/C / người đề nghị)) → errorCode=03</t>
  </si>
  <si>
    <t xml:space="preserve">Auth hợp lệ và còn hạn;
Body MT720 KHÔNG có thông tin tag :50:
Format thông tin yêu cầu: Tối đa 4 dòng × 35 ký tự
Các thông tin mandatory khác vẫn đủ thông tin </t>
  </si>
  <si>
    <t>1. Chuẩn bị body điện MT720 đúng chuẩn SWIFT theo dạng JSON hoặc XML
2. XÓA tag :50:  khỏi body điện
  (các trường thông tin khác vẫn giữ nguyên)
3. Gửi POST request voi transactionType=MT720
4. Verify: HTTP 200, result=ERROR, errorCode=03</t>
  </si>
  <si>
    <t>Headers:
Authorization:  Basic a3ljYWRtbjphYmMxMjM=    (Username and password to login)
Content-Type: application/json
 transactionId: TF_AML_MT720_MND_25
 requestId:   REQ_AML_MT720_MND_25
 transactionType: MT720
 branchCd: HN
 channel: T24
 isCallBack: N
Body: Dien MT720 đúng chuẩn SWIFT theo dạng JSON hoặc XML
Field bi THIEU: :50: (Applicant (người yêu cầu mở L/C / người đề nghị))
Format thông tin yêu cầu: Tối đa 4 dòng × 35 ký tự
Vi du: Dien MT720 hop le nhung KHÔNG có thông tin tag :50:</t>
  </si>
  <si>
    <t>AML_MT720_MND_13</t>
  </si>
  <si>
    <t>MT720 – Kiểm tra thông tin Khi thiếu trường thông tin :59: (Beneficiary (người thụ hưởng)) → errorCode=03</t>
  </si>
  <si>
    <t xml:space="preserve">Auth hợp lệ và còn hạn;
Body MT720 KHÔNG có thông tin tag :59:
Format thông tin yêu cầu: Xem SWIFT standard (format phụ thuộc subfield)
Các thông tin mandatory khác vẫn đủ thông tin </t>
  </si>
  <si>
    <t>1. Chuẩn bị body điện MT720 đúng chuẩn SWIFT theo dạng JSON hoặc XML
2. XÓA tag :59:  khỏi body điện
  (các trường thông tin khác vẫn giữ nguyên)
3. Gửi POST request voi transactionType=MT720
4. Verify: HTTP 200, result=ERROR, errorCode=03</t>
  </si>
  <si>
    <t>Headers:
Authorization:  Basic a3ljYWRtbjphYmMxMjM=    (Username and password to login)
Content-Type: application/json
 transactionId: TF_AML_MT720_MND_27
 requestId:   REQ_AML_MT720_MND_27
 transactionType: MT720
 branchCd: HN
 channel: T24
 isCallBack: N
Body: Dien MT720 đúng chuẩn SWIFT theo dạng JSON hoặc XML
Field bi THIEU: :59: (Beneficiary (người thụ hưởng))
Format thông tin yêu cầu: Xem SWIFT standard (format phụ thuộc subfield)
Vi du: Dien MT720 hop le nhung KHÔNG có thông tin tag :59:</t>
  </si>
  <si>
    <t xml:space="preserve">  AML_MT740_MND Kiem tra field mandatory cho dien MT740 (5 field: :20:, :32B:, :40F:, :41A:, :41D:)</t>
  </si>
  <si>
    <t>AML_MT740_MND_01</t>
  </si>
  <si>
    <t>MT740 – Kiểm tra thông tin Khi thiếu trường thông tin :20: (Transaction Reference Number (mã tham chiếu giao dịch)) → errorCode=03</t>
  </si>
  <si>
    <t xml:space="preserve">Auth hợp lệ và còn hạn;
Body MT740 KHÔNG có thông tin tag :20:
Format thông tin yêu cầu: Tối đa 16 ký tự alphanumeric
Các thông tin mandatory khác vẫn đủ thông tin </t>
  </si>
  <si>
    <t>1. Chuẩn bị body điện MT740 đúng chuẩn SWIFT theo dạng JSON hoặc XML
2. XÓA tag :20:  khỏi body điện
  (các trường thông tin khác vẫn giữ nguyên)
3. Gửi POST request voi transactionType=MT740
4. Verify: HTTP 200, result=ERROR, errorCode=03</t>
  </si>
  <si>
    <t>Headers:
Authorization:  Basic a3ljYWRtbjphYmMxMjM=    (Username and password to login)
Content-Type: application/json
 transactionId: TF_AML_MT740_MND_03
 requestId:   REQ_AML_MT740_MND_03
 transactionType: MT740
 branchCd: HN
 channel: T24
 isCallBack: N
Body: Dien MT740 đúng chuẩn SWIFT theo dạng JSON hoặc XML
Field bi THIEU: :20: (Transaction Reference Number (mã tham chiếu giao dịch))
Format thông tin yêu cầu: Tối đa 16 ký tự alphanumeric
Vi du: Dien MT740 hop le nhung KHÔNG có thông tin tag :20:</t>
  </si>
  <si>
    <t>AML_MT740_MND_02</t>
  </si>
  <si>
    <t>MT740 – Kiểm tra thông tin Khi thiếu trường thông tin :32B: (Currency Code, Amount (mã tiền tệ và số tiền)) → errorCode=03</t>
  </si>
  <si>
    <t xml:space="preserve">Auth hợp lệ và còn hạn;
Body MT740 KHÔNG có thông tin tag :32B:
Format thông tin yêu cầu: 3 ký tự mã tiền tệ ISO + tối đa 15 chữ số
Các thông tin mandatory khác vẫn đủ thông tin </t>
  </si>
  <si>
    <t>1. Chuẩn bị body điện MT740 đúng chuẩn SWIFT theo dạng JSON hoặc XML
2. XÓA tag :32B:  khỏi body điện
  (các trường thông tin khác vẫn giữ nguyên)
3. Gửi POST request voi transactionType=MT740
4. Verify: HTTP 200, result=ERROR, errorCode=03</t>
  </si>
  <si>
    <t>Headers:
Authorization:  Basic a3ljYWRtbjphYmMxMjM=    (Username and password to login)
Content-Type: application/json
 transactionId: TF_AML_MT740_MND_05
 requestId:   REQ_AML_MT740_MND_05
 transactionType: MT740
 branchCd: HN
 channel: T24
 isCallBack: N
Body: Dien MT740 đúng chuẩn SWIFT theo dạng JSON hoặc XML
Field bi THIEU: :32B: (Currency Code, Amount (mã tiền tệ và số tiền))
Format thông tin yêu cầu: 3 ký tự mã tiền tệ ISO + tối đa 15 chữ số
Vi du: Dien MT740 hop le nhung KHÔNG có thông tin tag :32B:</t>
  </si>
  <si>
    <t>AML_MT740_MND_03</t>
  </si>
  <si>
    <t>MT740 – Kiểm tra thông tin Khi thiếu trường thông tin :40F: (Form of Undertaking (hình thức bảo lãnh)) → errorCode=03</t>
  </si>
  <si>
    <t xml:space="preserve">Auth hợp lệ và còn hạn;
Body MT740 KHÔNG có thông tin tag :40F:
Format thông tin yêu cầu: Tối đa 30 ký tự
Các thông tin mandatory khác vẫn đủ thông tin </t>
  </si>
  <si>
    <t>1. Chuẩn bị body điện MT740 đúng chuẩn SWIFT theo dạng JSON hoặc XML
2. XÓA tag :40F:  khỏi body điện
  (các trường thông tin khác vẫn giữ nguyên)
3. Gửi POST request voi transactionType=MT740
4. Verify: HTTP 200, result=ERROR, errorCode=03</t>
  </si>
  <si>
    <t>Headers:
Authorization:  Basic a3ljYWRtbjphYmMxMjM=    (Username and password to login)
Content-Type: application/json
 transactionId: TF_AML_MT740_MND_07
 requestId:   REQ_AML_MT740_MND_07
 transactionType: MT740
 branchCd: HN
 channel: T24
 isCallBack: N
Body: Dien MT740 đúng chuẩn SWIFT theo dạng JSON hoặc XML
Field bi THIEU: :40F: (Form of Undertaking (hình thức bảo lãnh))
Format thông tin yêu cầu: Tối đa 30 ký tự
Vi du: Dien MT740 hop le nhung KHÔNG có thông tin tag :40F:</t>
  </si>
  <si>
    <t>AML_MT740_MND_04</t>
  </si>
  <si>
    <t>MT740 – Kiểm tra thông tin Khi thiếu trường thông tin :41A: (Available With... By... (ngân hàng &amp; phương thức thanh toán - loại A)) → errorCode=03</t>
  </si>
  <si>
    <t xml:space="preserve">Auth hợp lệ và còn hạn;
Body MT740 KHÔNG có thông tin tag :41A:
Format thông tin yêu cầu: Xem SWIFT standard (format phụ thuộc subfield)
Các thông tin mandatory khác vẫn đủ thông tin </t>
  </si>
  <si>
    <t>1. Chuẩn bị body điện MT740 đúng chuẩn SWIFT theo dạng JSON hoặc XML
2. XÓA tag :41A:  khỏi body điện
  (các trường thông tin khác vẫn giữ nguyên)
3. Gửi POST request voi transactionType=MT740
4. Verify: HTTP 200, result=ERROR, errorCode=03</t>
  </si>
  <si>
    <t>Headers:
Authorization:  Basic a3ljYWRtbjphYmMxMjM=    (Username and password to login)
Content-Type: application/json
 transactionId: TF_AML_MT740_MND_09
 requestId:   REQ_AML_MT740_MND_09
 transactionType: MT740
 branchCd: HN
 channel: T24
 isCallBack: N
Body: Dien MT740 đúng chuẩn SWIFT theo dạng JSON hoặc XML
Field bi THIEU: :41A: (Available With... By... (ngân hàng &amp; phương thức thanh toán - loại A))
Format thông tin yêu cầu: Xem SWIFT standard (format phụ thuộc subfield)
Vi du: Dien MT740 hop le nhung KHÔNG có thông tin tag :41A:</t>
  </si>
  <si>
    <t>AML_MT740_MND_05</t>
  </si>
  <si>
    <t>MT740 – Kiểm tra thông tin Khi thiếu trường thông tin :41D: (Available With... By... (ngân hàng &amp; phương thức thanh toán - loại D)) → errorCode=03</t>
  </si>
  <si>
    <t xml:space="preserve">Auth hợp lệ và còn hạn;
Body MT740 KHÔNG có thông tin tag :41D:
Format thông tin yêu cầu: Xem SWIFT standard (format phụ thuộc subfield)
Các thông tin mandatory khác vẫn đủ thông tin </t>
  </si>
  <si>
    <t>1. Chuẩn bị body điện MT740 đúng chuẩn SWIFT theo dạng JSON hoặc XML
2. XÓA tag :41D:  khỏi body điện
  (các trường thông tin khác vẫn giữ nguyên)
3. Gửi POST request voi transactionType=MT740
4. Verify: HTTP 200, result=ERROR, errorCode=03</t>
  </si>
  <si>
    <t>Headers:
Authorization:  Basic a3ljYWRtbjphYmMxMjM=    (Username and password to login)
Content-Type: application/json
 transactionId: TF_AML_MT740_MND_11
 requestId:   REQ_AML_MT740_MND_11
 transactionType: MT740
 branchCd: HN
 channel: T24
 isCallBack: N
Body: Dien MT740 đúng chuẩn SWIFT theo dạng JSON hoặc XML
Field bi THIEU: :41D: (Available With... By... (ngân hàng &amp; phương thức thanh toán - loại D))
Format thông tin yêu cầu: Xem SWIFT standard (format phụ thuộc subfield)
Vi du: Dien MT740 hop le nhung KHÔNG có thông tin tag :41D:</t>
  </si>
  <si>
    <t xml:space="preserve">  AML_MT742_MND Kiem tra field mandatory cho dien MT742 (7 field: :20:, :21:, :32B:, :34A:, :34B:, :52A:, :52D:)</t>
  </si>
  <si>
    <t>AML_MT742_MND_01</t>
  </si>
  <si>
    <t>MT742 – Kiểm tra thông tin Khi thiếu trường thông tin :20: (Transaction Reference Number (mã tham chiếu giao dịch)) → errorCode=03</t>
  </si>
  <si>
    <t xml:space="preserve">Auth hợp lệ và còn hạn;
Body MT742 KHÔNG có thông tin tag :20:
Format thông tin yêu cầu: Tối đa 16 ký tự alphanumeric
Các thông tin mandatory khác vẫn đủ thông tin </t>
  </si>
  <si>
    <t>1. Chuẩn bị body điện MT742 đúng chuẩn SWIFT theo dạng JSON hoặc XML
2. XÓA tag :20:  khỏi body điện
  (các trường thông tin khác vẫn giữ nguyên)
3. Gửi POST request voi transactionType=MT742
4. Verify: HTTP 200, result=ERROR, errorCode=03</t>
  </si>
  <si>
    <t>Headers:
Authorization:  Basic a3ljYWRtbjphYmMxMjM=    (Username and password to login)
Content-Type: application/json
 transactionId: TF_AML_MT742_MND_03
 requestId:   REQ_AML_MT742_MND_03
 transactionType: MT742
 branchCd: HN
 channel: T24
 isCallBack: N
Body: Dien MT742 đúng chuẩn SWIFT theo dạng JSON hoặc XML
Field bi THIEU: :20: (Transaction Reference Number (mã tham chiếu giao dịch))
Format thông tin yêu cầu: Tối đa 16 ký tự alphanumeric
Vi du: Dien MT742 hop le nhung KHÔNG có thông tin tag :20:</t>
  </si>
  <si>
    <t>AML_MT742_MND_02</t>
  </si>
  <si>
    <t>MT742 – Kiểm tra thông tin Khi thiếu trường thông tin :21: (Related Reference (tham chiếu liên quan)) → errorCode=03</t>
  </si>
  <si>
    <t xml:space="preserve">Auth hợp lệ và còn hạn;
Body MT742 KHÔNG có thông tin tag :21:
Format thông tin yêu cầu: Tối đa 16 ký tự alphanumeric
Các thông tin mandatory khác vẫn đủ thông tin </t>
  </si>
  <si>
    <t>1. Chuẩn bị body điện MT742 đúng chuẩn SWIFT theo dạng JSON hoặc XML
2. XÓA tag :21:  khỏi body điện
  (các trường thông tin khác vẫn giữ nguyên)
3. Gửi POST request voi transactionType=MT742
4. Verify: HTTP 200, result=ERROR, errorCode=03</t>
  </si>
  <si>
    <t>Headers:
Authorization:  Basic a3ljYWRtbjphYmMxMjM=    (Username and password to login)
Content-Type: application/json
 transactionId: TF_AML_MT742_MND_05
 requestId:   REQ_AML_MT742_MND_05
 transactionType: MT742
 branchCd: HN
 channel: T24
 isCallBack: N
Body: Dien MT742 đúng chuẩn SWIFT theo dạng JSON hoặc XML
Field bi THIEU: :21: (Related Reference (tham chiếu liên quan))
Format thông tin yêu cầu: Tối đa 16 ký tự alphanumeric
Vi du: Dien MT742 hop le nhung KHÔNG có thông tin tag :21:</t>
  </si>
  <si>
    <t>AML_MT742_MND_03</t>
  </si>
  <si>
    <t>MT742 – Kiểm tra thông tin Khi thiếu trường thông tin :32B: (Currency Code, Amount (mã tiền tệ và số tiền)) → errorCode=03</t>
  </si>
  <si>
    <t xml:space="preserve">Auth hợp lệ và còn hạn;
Body MT742 KHÔNG có thông tin tag :32B:
Format thông tin yêu cầu: 3 ký tự mã tiền tệ ISO + tối đa 15 chữ số
Các thông tin mandatory khác vẫn đủ thông tin </t>
  </si>
  <si>
    <t>1. Chuẩn bị body điện MT742 đúng chuẩn SWIFT theo dạng JSON hoặc XML
2. XÓA tag :32B:  khỏi body điện
  (các trường thông tin khác vẫn giữ nguyên)
3. Gửi POST request voi transactionType=MT742
4. Verify: HTTP 200, result=ERROR, errorCode=03</t>
  </si>
  <si>
    <t>Headers:
Authorization:  Basic a3ljYWRtbjphYmMxMjM=    (Username and password to login)
Content-Type: application/json
 transactionId: TF_AML_MT742_MND_07
 requestId:   REQ_AML_MT742_MND_07
 transactionType: MT742
 branchCd: HN
 channel: T24
 isCallBack: N
Body: Dien MT742 đúng chuẩn SWIFT theo dạng JSON hoặc XML
Field bi THIEU: :32B: (Currency Code, Amount (mã tiền tệ và số tiền))
Format thông tin yêu cầu: 3 ký tự mã tiền tệ ISO + tối đa 15 chữ số
Vi du: Dien MT742 hop le nhung KHÔNG có thông tin tag :32B:</t>
  </si>
  <si>
    <t>AML_MT742_MND_04</t>
  </si>
  <si>
    <t>MT742 – Kiểm tra thông tin Khi thiếu trường thông tin :34A: (Total Amount Claimed (tổng số tiền yêu cầu - loại A)) → errorCode=03</t>
  </si>
  <si>
    <t xml:space="preserve">Auth hợp lệ và còn hạn;
Body MT742 KHÔNG có thông tin tag :34A:
Format thông tin yêu cầu: Xem SWIFT standard (format phụ thuộc subfield)
Các thông tin mandatory khác vẫn đủ thông tin </t>
  </si>
  <si>
    <t>1. Chuẩn bị body điện MT742 đúng chuẩn SWIFT theo dạng JSON hoặc XML
2. XÓA tag :34A:  khỏi body điện
  (các trường thông tin khác vẫn giữ nguyên)
3. Gửi POST request voi transactionType=MT742
4. Verify: HTTP 200, result=ERROR, errorCode=03</t>
  </si>
  <si>
    <t>Headers:
Authorization:  Basic a3ljYWRtbjphYmMxMjM=    (Username and password to login)
Content-Type: application/json
 transactionId: TF_AML_MT742_MND_09
 requestId:   REQ_AML_MT742_MND_09
 transactionType: MT742
 branchCd: HN
 channel: T24
 isCallBack: N
Body: Dien MT742 đúng chuẩn SWIFT theo dạng JSON hoặc XML
Field bi THIEU: :34A: (Total Amount Claimed (tổng số tiền yêu cầu - loại A))
Format thông tin yêu cầu: Xem SWIFT standard (format phụ thuộc subfield)
Vi du: Dien MT742 hop le nhung KHÔNG có thông tin tag :34A:</t>
  </si>
  <si>
    <t>AML_MT742_MND_05</t>
  </si>
  <si>
    <t>MT742 – Kiểm tra thông tin Khi thiếu trường thông tin :34B: (Total Amount Claimed (tổng số tiền yêu cầu - loại B)) → errorCode=03</t>
  </si>
  <si>
    <t xml:space="preserve">Auth hợp lệ và còn hạn;
Body MT742 KHÔNG có thông tin tag :34B:
Format thông tin yêu cầu: Xem SWIFT standard (format phụ thuộc subfield)
Các thông tin mandatory khác vẫn đủ thông tin </t>
  </si>
  <si>
    <t>1. Chuẩn bị body điện MT742 đúng chuẩn SWIFT theo dạng JSON hoặc XML
2. XÓA tag :34B:  khỏi body điện
  (các trường thông tin khác vẫn giữ nguyên)
3. Gửi POST request voi transactionType=MT742
4. Verify: HTTP 200, result=ERROR, errorCode=03</t>
  </si>
  <si>
    <t>Headers:
Authorization:  Basic a3ljYWRtbjphYmMxMjM=    (Username and password to login)
Content-Type: application/json
 transactionId: TF_AML_MT742_MND_11
 requestId:   REQ_AML_MT742_MND_11
 transactionType: MT742
 branchCd: HN
 channel: T24
 isCallBack: N
Body: Dien MT742 đúng chuẩn SWIFT theo dạng JSON hoặc XML
Field bi THIEU: :34B: (Total Amount Claimed (tổng số tiền yêu cầu - loại B))
Format thông tin yêu cầu: Xem SWIFT standard (format phụ thuộc subfield)
Vi du: Dien MT742 hop le nhung KHÔNG có thông tin tag :34B:</t>
  </si>
  <si>
    <t>AML_MT742_MND_06</t>
  </si>
  <si>
    <t>MT742 – Kiểm tra thông tin Khi thiếu trường thông tin :52A: (Issuing Bank – loại A (ngân hàng phát hành)) → errorCode=03</t>
  </si>
  <si>
    <t xml:space="preserve">Auth hợp lệ và còn hạn;
Body MT742 KHÔNG có thông tin tag :52A:
Format thông tin yêu cầu: Xem SWIFT standard (format phụ thuộc subfield)
Các thông tin mandatory khác vẫn đủ thông tin </t>
  </si>
  <si>
    <t>1. Chuẩn bị body điện MT742 đúng chuẩn SWIFT theo dạng JSON hoặc XML
2. XÓA tag :52A:  khỏi body điện
  (các trường thông tin khác vẫn giữ nguyên)
3. Gửi POST request voi transactionType=MT742
4. Verify: HTTP 200, result=ERROR, errorCode=03</t>
  </si>
  <si>
    <t>Headers:
Authorization:  Basic a3ljYWRtbjphYmMxMjM=    (Username and password to login)
Content-Type: application/json
 transactionId: TF_AML_MT742_MND_13
 requestId:   REQ_AML_MT742_MND_13
 transactionType: MT742
 branchCd: HN
 channel: T24
 isCallBack: N
Body: Dien MT742 đúng chuẩn SWIFT theo dạng JSON hoặc XML
Field bi THIEU: :52A: (Issuing Bank – loại A (ngân hàng phát hành))
Format thông tin yêu cầu: Xem SWIFT standard (format phụ thuộc subfield)
Vi du: Dien MT742 hop le nhung KHÔNG có thông tin tag :52A:</t>
  </si>
  <si>
    <t>AML_MT742_MND_07</t>
  </si>
  <si>
    <t>MT742 – Kiểm tra thông tin Khi thiếu trường thông tin :52D: (Issuing Bank – loại D (ngân hàng phát hành, tên &amp; địa chỉ)) → errorCode=03</t>
  </si>
  <si>
    <t xml:space="preserve">Auth hợp lệ và còn hạn;
Body MT742 KHÔNG có thông tin tag :52D:
Format thông tin yêu cầu: Xem SWIFT standard (format phụ thuộc subfield)
Các thông tin mandatory khác vẫn đủ thông tin </t>
  </si>
  <si>
    <t>1. Chuẩn bị body điện MT742 đúng chuẩn SWIFT theo dạng JSON hoặc XML
2. XÓA tag :52D:  khỏi body điện
  (các trường thông tin khác vẫn giữ nguyên)
3. Gửi POST request voi transactionType=MT742
4. Verify: HTTP 200, result=ERROR, errorCode=03</t>
  </si>
  <si>
    <t>Headers:
Authorization:  Basic a3ljYWRtbjphYmMxMjM=    (Username and password to login)
Content-Type: application/json
 transactionId: TF_AML_MT742_MND_15
 requestId:   REQ_AML_MT742_MND_15
 transactionType: MT742
 branchCd: HN
 channel: T24
 isCallBack: N
Body: Dien MT742 đúng chuẩn SWIFT theo dạng JSON hoặc XML
Field bi THIEU: :52D: (Issuing Bank – loại D (ngân hàng phát hành, tên &amp; địa chỉ))
Format thông tin yêu cầu: Xem SWIFT standard (format phụ thuộc subfield)
Vi du: Dien MT742 hop le nhung KHÔNG có thông tin tag :52D:</t>
  </si>
  <si>
    <t xml:space="preserve">  AML_MT747_MND Kiem tra field mandatory cho dien MT747 (2 field: :20:, :30:)</t>
  </si>
  <si>
    <t>AML_MT747_MND_01</t>
  </si>
  <si>
    <t>MT747 – Kiểm tra thông tin Khi thiếu trường thông tin :20: (Transaction Reference Number (mã tham chiếu giao dịch)) → errorCode=03</t>
  </si>
  <si>
    <t xml:space="preserve">Auth hợp lệ và còn hạn;
Body MT747 KHÔNG có thông tin tag :20:
Format thông tin yêu cầu: Tối đa 16 ký tự alphanumeric
Các thông tin mandatory khác vẫn đủ thông tin </t>
  </si>
  <si>
    <t>1. Chuẩn bị body điện MT747 đúng chuẩn SWIFT theo dạng JSON hoặc XML
2. XÓA tag :20:  khỏi body điện
  (các trường thông tin khác vẫn giữ nguyên)
3. Gửi POST request voi transactionType=MT747
4. Verify: HTTP 200, result=ERROR, errorCode=03</t>
  </si>
  <si>
    <t>Headers:
Authorization:  Basic a3ljYWRtbjphYmMxMjM=    (Username and password to login)
Content-Type: application/json
 transactionId: TF_AML_MT747_MND_03
 requestId:   REQ_AML_MT747_MND_03
 transactionType: MT747
 branchCd: HN
 channel: T24
 isCallBack: N
Body: Dien MT747 đúng chuẩn SWIFT theo dạng JSON hoặc XML
Field bi THIEU: :20: (Transaction Reference Number (mã tham chiếu giao dịch))
Format thông tin yêu cầu: Tối đa 16 ký tự alphanumeric
Vi du: Dien MT747 hop le nhung KHÔNG có thông tin tag :20:</t>
  </si>
  <si>
    <t>AML_MT747_MND_02</t>
  </si>
  <si>
    <t>MT747 – Kiểm tra thông tin Khi thiếu trường thông tin :30: (Date of Amendment / Issue Date (ngày sửa đổi / ngày phát hành)) → errorCode=03</t>
  </si>
  <si>
    <t xml:space="preserve">Auth hợp lệ và còn hạn;
Body MT747 KHÔNG có thông tin tag :30:
Format thông tin yêu cầu: 6 chữ số – định dạng ngày YYMMDD
Các thông tin mandatory khác vẫn đủ thông tin </t>
  </si>
  <si>
    <t>1. Chuẩn bị body điện MT747 đúng chuẩn SWIFT theo dạng JSON hoặc XML
2. XÓA tag :30:  khỏi body điện
  (các trường thông tin khác vẫn giữ nguyên)
3. Gửi POST request voi transactionType=MT747
4. Verify: HTTP 200, result=ERROR, errorCode=03</t>
  </si>
  <si>
    <t>Headers:
Authorization:  Basic a3ljYWRtbjphYmMxMjM=    (Username and password to login)
Content-Type: application/json
 transactionId: TF_AML_MT747_MND_05
 requestId:   REQ_AML_MT747_MND_05
 transactionType: MT747
 branchCd: HN
 channel: T24
 isCallBack: N
Body: Dien MT747 đúng chuẩn SWIFT theo dạng JSON hoặc XML
Field bi THIEU: :30: (Date of Amendment / Issue Date (ngày sửa đổi / ngày phát hành))
Format thông tin yêu cầu: 6 chữ số – định dạng ngày YYMMDD
Vi du: Dien MT747 hop le nhung KHÔNG có thông tin tag :30:</t>
  </si>
  <si>
    <t xml:space="preserve">  AML_MT760_MND Kiem tra field mandatory cho dien MT760 (14 field: :15A:, :15B:, :15C:, :20:, :22A:, :22D:, :23B:, :27:, :30:, :32B:, :40C:, :45L:, :50:, :77U:)</t>
  </si>
  <si>
    <t>AML_MT760_MND_01</t>
  </si>
  <si>
    <t>MT760 – Kiểm tra thông tin Khi thiếu trường thông tin :15A: (Sequence A – General Information (thông tin chung, bắt buộc)) → errorCode=03</t>
  </si>
  <si>
    <t xml:space="preserve">Auth hợp lệ và còn hạn;
Body MT760 KHÔNG có thông tin tag :15A:
Format thông tin yêu cầu: Xem SWIFT standard (format phụ thuộc subfield)
Các thông tin mandatory khác vẫn đủ thông tin </t>
  </si>
  <si>
    <t>1. Chuẩn bị body điện MT760 đúng chuẩn SWIFT theo dạng JSON hoặc XML
2. XÓA tag :15A:  khỏi body điện
  (các trường thông tin khác vẫn giữ nguyên)
3. Gửi POST request voi transactionType=MT760
4. Verify: HTTP 200, result=ERROR, errorCode=03</t>
  </si>
  <si>
    <t>Headers:
Authorization:  Basic a3ljYWRtbjphYmMxMjM=    (Username and password to login)
Content-Type: application/json
 transactionId: TF_AML_MT760_MND_03
 requestId:   REQ_AML_MT760_MND_03
 transactionType: MT760
 branchCd: HN
 channel: T24
 isCallBack: N
Body: Dien MT760 đúng chuẩn SWIFT theo dạng JSON hoặc XML
Field bi THIEU: :15A: (Sequence A – General Information (thông tin chung, bắt buộc))
Format thông tin yêu cầu: Xem SWIFT standard (format phụ thuộc subfield)
Vi du: Dien MT760 hop le nhung KHÔNG có thông tin tag :15A:</t>
  </si>
  <si>
    <t>AML_MT760_MND_02</t>
  </si>
  <si>
    <t>MT760 – Kiểm tra thông tin Khi thiếu trường thông tin :15B: (Sequence B – Undertaking Details (chi tiết bảo lãnh, bắt buộc)) → errorCode=03</t>
  </si>
  <si>
    <t xml:space="preserve">Auth hợp lệ và còn hạn;
Body MT760 KHÔNG có thông tin tag :15B:
Format thông tin yêu cầu: Xem SWIFT standard (format phụ thuộc subfield)
Các thông tin mandatory khác vẫn đủ thông tin </t>
  </si>
  <si>
    <t>1. Chuẩn bị body điện MT760 đúng chuẩn SWIFT theo dạng JSON hoặc XML
2. XÓA tag :15B:  khỏi body điện
  (các trường thông tin khác vẫn giữ nguyên)
3. Gửi POST request voi transactionType=MT760
4. Verify: HTTP 200, result=ERROR, errorCode=03</t>
  </si>
  <si>
    <t>Headers:
Authorization:  Basic a3ljYWRtbjphYmMxMjM=    (Username and password to login)
Content-Type: application/json
 transactionId: TF_AML_MT760_MND_05
 requestId:   REQ_AML_MT760_MND_05
 transactionType: MT760
 branchCd: HN
 channel: T24
 isCallBack: N
Body: Dien MT760 đúng chuẩn SWIFT theo dạng JSON hoặc XML
Field bi THIEU: :15B: (Sequence B – Undertaking Details (chi tiết bảo lãnh, bắt buộc))
Format thông tin yêu cầu: Xem SWIFT standard (format phụ thuộc subfield)
Vi du: Dien MT760 hop le nhung KHÔNG có thông tin tag :15B:</t>
  </si>
  <si>
    <t>AML_MT760_MND_03</t>
  </si>
  <si>
    <t>MT760 – Kiểm tra thông tin Khi thiếu trường thông tin :15C: (Sequence C – Local Undertaking Details (chi tiết bảo lãnh nội địa)) → errorCode=03</t>
  </si>
  <si>
    <t xml:space="preserve">Auth hợp lệ và còn hạn;
Body MT760 KHÔNG có thông tin tag :15C:
Format thông tin yêu cầu: Xem SWIFT standard (format phụ thuộc subfield)
Các thông tin mandatory khác vẫn đủ thông tin </t>
  </si>
  <si>
    <t>1. Chuẩn bị body điện MT760 đúng chuẩn SWIFT theo dạng JSON hoặc XML
2. XÓA tag :15C:  khỏi body điện
  (các trường thông tin khác vẫn giữ nguyên)
3. Gửi POST request voi transactionType=MT760
4. Verify: HTTP 200, result=ERROR, errorCode=03</t>
  </si>
  <si>
    <t>Headers:
Authorization:  Basic a3ljYWRtbjphYmMxMjM=    (Username and password to login)
Content-Type: application/json
 transactionId: TF_AML_MT760_MND_07
 requestId:   REQ_AML_MT760_MND_07
 transactionType: MT760
 branchCd: HN
 channel: T24
 isCallBack: N
Body: Dien MT760 đúng chuẩn SWIFT theo dạng JSON hoặc XML
Field bi THIEU: :15C: (Sequence C – Local Undertaking Details (chi tiết bảo lãnh nội địa))
Format thông tin yêu cầu: Xem SWIFT standard (format phụ thuộc subfield)
Vi du: Dien MT760 hop le nhung KHÔNG có thông tin tag :15C:</t>
  </si>
  <si>
    <t>AML_MT760_MND_04</t>
  </si>
  <si>
    <t>MT760 – Kiểm tra thông tin Khi thiếu trường thông tin :20: (Transaction Reference Number (mã tham chiếu giao dịch)) → errorCode=03</t>
  </si>
  <si>
    <t xml:space="preserve">Auth hợp lệ và còn hạn;
Body MT760 KHÔNG có thông tin tag :20:
Format thông tin yêu cầu: Tối đa 16 ký tự alphanumeric
Các thông tin mandatory khác vẫn đủ thông tin </t>
  </si>
  <si>
    <t>1. Chuẩn bị body điện MT760 đúng chuẩn SWIFT theo dạng JSON hoặc XML
2. XÓA tag :20:  khỏi body điện
  (các trường thông tin khác vẫn giữ nguyên)
3. Gửi POST request voi transactionType=MT760
4. Verify: HTTP 200, result=ERROR, errorCode=03</t>
  </si>
  <si>
    <t>Headers:
Authorization:  Basic a3ljYWRtbjphYmMxMjM=    (Username and password to login)
Content-Type: application/json
 transactionId: TF_AML_MT760_MND_09
 requestId:   REQ_AML_MT760_MND_09
 transactionType: MT760
 branchCd: HN
 channel: T24
 isCallBack: N
Body: Dien MT760 đúng chuẩn SWIFT theo dạng JSON hoặc XML
Field bi THIEU: :20: (Transaction Reference Number (mã tham chiếu giao dịch))
Format thông tin yêu cầu: Tối đa 16 ký tự alphanumeric
Vi du: Dien MT760 hop le nhung KHÔNG có thông tin tag :20:</t>
  </si>
  <si>
    <t>AML_MT760_MND_05</t>
  </si>
  <si>
    <t>MT760 – Kiểm tra thông tin Khi thiếu trường thông tin :22A: (Form of Documentary Credit / Type of Undertaking (hình thức L/C / loại bảo lãnh)) → errorCode=03</t>
  </si>
  <si>
    <t xml:space="preserve">Auth hợp lệ và còn hạn;
Body MT760 KHÔNG có thông tin tag :22A:
Format thông tin yêu cầu: Đúng 4 ký tự chữ hoa
Các thông tin mandatory khác vẫn đủ thông tin </t>
  </si>
  <si>
    <t>1. Chuẩn bị body điện MT760 đúng chuẩn SWIFT theo dạng JSON hoặc XML
2. XÓA tag :22A:  khỏi body điện
  (các trường thông tin khác vẫn giữ nguyên)
3. Gửi POST request voi transactionType=MT760
4. Verify: HTTP 200, result=ERROR, errorCode=03</t>
  </si>
  <si>
    <t>Headers:
Authorization:  Basic a3ljYWRtbjphYmMxMjM=    (Username and password to login)
Content-Type: application/json
 transactionId: TF_AML_MT760_MND_11
 requestId:   REQ_AML_MT760_MND_11
 transactionType: MT760
 branchCd: HN
 channel: T24
 isCallBack: N
Body: Dien MT760 đúng chuẩn SWIFT theo dạng JSON hoặc XML
Field bi THIEU: :22A: (Form of Documentary Credit / Type of Undertaking (hình thức L/C / loại bảo lãnh))
Format thông tin yêu cầu: Đúng 4 ký tự chữ hoa
Vi du: Dien MT760 hop le nhung KHÔNG có thông tin tag :22A:</t>
  </si>
  <si>
    <t>AML_MT760_MND_06</t>
  </si>
  <si>
    <t>MT760 – Kiểm tra thông tin Khi thiếu trường thông tin :22D: (Undertaking Type (loại bảo lãnh)) → errorCode=03</t>
  </si>
  <si>
    <t xml:space="preserve">Auth hợp lệ và còn hạn;
Body MT760 KHÔNG có thông tin tag :22D:
Format thông tin yêu cầu: Đúng 4 ký tự chữ hoa
Các thông tin mandatory khác vẫn đủ thông tin </t>
  </si>
  <si>
    <t>1. Chuẩn bị body điện MT760 đúng chuẩn SWIFT theo dạng JSON hoặc XML
2. XÓA tag :22D:  khỏi body điện
  (các trường thông tin khác vẫn giữ nguyên)
3. Gửi POST request voi transactionType=MT760
4. Verify: HTTP 200, result=ERROR, errorCode=03</t>
  </si>
  <si>
    <t>Headers:
Authorization:  Basic a3ljYWRtbjphYmMxMjM=    (Username and password to login)
Content-Type: application/json
 transactionId: TF_AML_MT760_MND_13
 requestId:   REQ_AML_MT760_MND_13
 transactionType: MT760
 branchCd: HN
 channel: T24
 isCallBack: N
Body: Dien MT760 đúng chuẩn SWIFT theo dạng JSON hoặc XML
Field bi THIEU: :22D: (Undertaking Type (loại bảo lãnh))
Format thông tin yêu cầu: Đúng 4 ký tự chữ hoa
Vi du: Dien MT760 hop le nhung KHÔNG có thông tin tag :22D:</t>
  </si>
  <si>
    <t>AML_MT760_MND_07</t>
  </si>
  <si>
    <t>MT760 – Kiểm tra thông tin Khi thiếu trường thông tin :23B: (Undertaking Type Code) → errorCode=03</t>
  </si>
  <si>
    <t xml:space="preserve">Auth hợp lệ và còn hạn;
Body MT760 KHÔNG có thông tin tag :23B:
Format thông tin yêu cầu: Đúng 4 ký tự chữ hoa
Các thông tin mandatory khác vẫn đủ thông tin </t>
  </si>
  <si>
    <t>1. Chuẩn bị body điện MT760 đúng chuẩn SWIFT theo dạng JSON hoặc XML
2. XÓA tag :23B:  khỏi body điện
  (các trường thông tin khác vẫn giữ nguyên)
3. Gửi POST request voi transactionType=MT760
4. Verify: HTTP 200, result=ERROR, errorCode=03</t>
  </si>
  <si>
    <t>Headers:
Authorization:  Basic a3ljYWRtbjphYmMxMjM=    (Username and password to login)
Content-Type: application/json
 transactionId: TF_AML_MT760_MND_15
 requestId:   REQ_AML_MT760_MND_15
 transactionType: MT760
 branchCd: HN
 channel: T24
 isCallBack: N
Body: Dien MT760 đúng chuẩn SWIFT theo dạng JSON hoặc XML
Field bi THIEU: :23B: (Undertaking Type Code)
Format thông tin yêu cầu: Đúng 4 ký tự chữ hoa
Vi du: Dien MT760 hop le nhung KHÔNG có thông tin tag :23B:</t>
  </si>
  <si>
    <t>AML_MT760_MND_08</t>
  </si>
  <si>
    <t>MT760 – Kiểm tra thông tin Khi thiếu trường thông tin :27: (Sequence of Total (thứ tự / tổng số điện)) → errorCode=03</t>
  </si>
  <si>
    <t xml:space="preserve">Auth hợp lệ và còn hạn;
Body MT760 KHÔNG có thông tin tag :27:
Format thông tin yêu cầu: Định dạng số/số (ví dụ: 1/1)
Các thông tin mandatory khác vẫn đủ thông tin </t>
  </si>
  <si>
    <t>1. Chuẩn bị body điện MT760 đúng chuẩn SWIFT theo dạng JSON hoặc XML
2. XÓA tag :27:  khỏi body điện
  (các trường thông tin khác vẫn giữ nguyên)
3. Gửi POST request voi transactionType=MT760
4. Verify: HTTP 200, result=ERROR, errorCode=03</t>
  </si>
  <si>
    <t>Headers:
Authorization:  Basic a3ljYWRtbjphYmMxMjM=    (Username and password to login)
Content-Type: application/json
 transactionId: TF_AML_MT760_MND_17
 requestId:   REQ_AML_MT760_MND_17
 transactionType: MT760
 branchCd: HN
 channel: T24
 isCallBack: N
Body: Dien MT760 đúng chuẩn SWIFT theo dạng JSON hoặc XML
Field bi THIEU: :27: (Sequence of Total (thứ tự / tổng số điện))
Format thông tin yêu cầu: Định dạng số/số (ví dụ: 1/1)
Vi du: Dien MT760 hop le nhung KHÔNG có thông tin tag :27:</t>
  </si>
  <si>
    <t>AML_MT760_MND_09</t>
  </si>
  <si>
    <t>MT760 – Kiểm tra thông tin Khi thiếu trường thông tin :30: (Date of Amendment / Issue Date (ngày sửa đổi / ngày phát hành)) → errorCode=03</t>
  </si>
  <si>
    <t xml:space="preserve">Auth hợp lệ và còn hạn;
Body MT760 KHÔNG có thông tin tag :30:
Format thông tin yêu cầu: 6 chữ số – định dạng ngày YYMMDD
Các thông tin mandatory khác vẫn đủ thông tin </t>
  </si>
  <si>
    <t>1. Chuẩn bị body điện MT760 đúng chuẩn SWIFT theo dạng JSON hoặc XML
2. XÓA tag :30:  khỏi body điện
  (các trường thông tin khác vẫn giữ nguyên)
3. Gửi POST request voi transactionType=MT760
4. Verify: HTTP 200, result=ERROR, errorCode=03</t>
  </si>
  <si>
    <t>Headers:
Authorization:  Basic a3ljYWRtbjphYmMxMjM=    (Username and password to login)
Content-Type: application/json
 transactionId: TF_AML_MT760_MND_19
 requestId:   REQ_AML_MT760_MND_19
 transactionType: MT760
 branchCd: HN
 channel: T24
 isCallBack: N
Body: Dien MT760 đúng chuẩn SWIFT theo dạng JSON hoặc XML
Field bi THIEU: :30: (Date of Amendment / Issue Date (ngày sửa đổi / ngày phát hành))
Format thông tin yêu cầu: 6 chữ số – định dạng ngày YYMMDD
Vi du: Dien MT760 hop le nhung KHÔNG có thông tin tag :30:</t>
  </si>
  <si>
    <t>AML_MT760_MND_10</t>
  </si>
  <si>
    <t>MT760 – Kiểm tra thông tin Khi thiếu trường thông tin :32B: (Currency Code, Amount (mã tiền tệ và số tiền)) → errorCode=03</t>
  </si>
  <si>
    <t xml:space="preserve">Auth hợp lệ và còn hạn;
Body MT760 KHÔNG có thông tin tag :32B:
Format thông tin yêu cầu: 3 ký tự mã tiền tệ ISO + tối đa 15 chữ số
Các thông tin mandatory khác vẫn đủ thông tin </t>
  </si>
  <si>
    <t>1. Chuẩn bị body điện MT760 đúng chuẩn SWIFT theo dạng JSON hoặc XML
2. XÓA tag :32B:  khỏi body điện
  (các trường thông tin khác vẫn giữ nguyên)
3. Gửi POST request voi transactionType=MT760
4. Verify: HTTP 200, result=ERROR, errorCode=03</t>
  </si>
  <si>
    <t>Headers:
Authorization:  Basic a3ljYWRtbjphYmMxMjM=    (Username and password to login)
Content-Type: application/json
 transactionId: TF_AML_MT760_MND_21
 requestId:   REQ_AML_MT760_MND_21
 transactionType: MT760
 branchCd: HN
 channel: T24
 isCallBack: N
Body: Dien MT760 đúng chuẩn SWIFT theo dạng JSON hoặc XML
Field bi THIEU: :32B: (Currency Code, Amount (mã tiền tệ và số tiền))
Format thông tin yêu cầu: 3 ký tự mã tiền tệ ISO + tối đa 15 chữ số
Vi du: Dien MT760 hop le nhung KHÔNG có thông tin tag :32B:</t>
  </si>
  <si>
    <t>AML_MT760_MND_11</t>
  </si>
  <si>
    <t>MT760 – Kiểm tra thông tin Khi thiếu trường thông tin :40C: (Applicable Rules (quy tắc áp dụng)) → errorCode=03</t>
  </si>
  <si>
    <t xml:space="preserve">Auth hợp lệ và còn hạn;
Body MT760 KHÔNG có thông tin tag :40C:
Format thông tin yêu cầu: 4 ký tự chữ hoa [/ tối đa 35 ký tự]
Các thông tin mandatory khác vẫn đủ thông tin </t>
  </si>
  <si>
    <t>1. Chuẩn bị body điện MT760 đúng chuẩn SWIFT theo dạng JSON hoặc XML
2. XÓA tag :40C:  khỏi body điện
  (các trường thông tin khác vẫn giữ nguyên)
3. Gửi POST request voi transactionType=MT760
4. Verify: HTTP 200, result=ERROR, errorCode=03</t>
  </si>
  <si>
    <t>Headers:
Authorization:  Basic a3ljYWRtbjphYmMxMjM=    (Username and password to login)
Content-Type: application/json
 transactionId: TF_AML_MT760_MND_23
 requestId:   REQ_AML_MT760_MND_23
 transactionType: MT760
 branchCd: HN
 channel: T24
 isCallBack: N
Body: Dien MT760 đúng chuẩn SWIFT theo dạng JSON hoặc XML
Field bi THIEU: :40C: (Applicable Rules (quy tắc áp dụng))
Format thông tin yêu cầu: 4 ký tự chữ hoa [/ tối đa 35 ký tự]
Vi du: Dien MT760 hop le nhung KHÔNG có thông tin tag :40C:</t>
  </si>
  <si>
    <t>AML_MT760_MND_12</t>
  </si>
  <si>
    <t>MT760 – Kiểm tra thông tin Khi thiếu trường thông tin :45L: (Description of Goods/Services/Undertaking (mô tả hàng hóa/dịch vụ/bảo lãnh)) → errorCode=03</t>
  </si>
  <si>
    <t xml:space="preserve">Auth hợp lệ và còn hạn;
Body MT760 KHÔNG có thông tin tag :45L:
Format thông tin yêu cầu: Tối đa 50 dòng × 65 ký tự
Các thông tin mandatory khác vẫn đủ thông tin </t>
  </si>
  <si>
    <t>1. Chuẩn bị body điện MT760 đúng chuẩn SWIFT theo dạng JSON hoặc XML
2. XÓA tag :45L:  khỏi body điện
  (các trường thông tin khác vẫn giữ nguyên)
3. Gửi POST request voi transactionType=MT760
4. Verify: HTTP 200, result=ERROR, errorCode=03</t>
  </si>
  <si>
    <t>Headers:
Authorization:  Basic a3ljYWRtbjphYmMxMjM=    (Username and password to login)
Content-Type: application/json
 transactionId: TF_AML_MT760_MND_25
 requestId:   REQ_AML_MT760_MND_25
 transactionType: MT760
 branchCd: HN
 channel: T24
 isCallBack: N
Body: Dien MT760 đúng chuẩn SWIFT theo dạng JSON hoặc XML
Field bi THIEU: :45L: (Description of Goods/Services/Undertaking (mô tả hàng hóa/dịch vụ/bảo lãnh))
Format thông tin yêu cầu: Tối đa 50 dòng × 65 ký tự
Vi du: Dien MT760 hop le nhung KHÔNG có thông tin tag :45L:</t>
  </si>
  <si>
    <t>AML_MT760_MND_13</t>
  </si>
  <si>
    <t>MT760 – Kiểm tra thông tin Khi thiếu trường thông tin :50: (Applicant (người yêu cầu mở L/C / người đề nghị)) → errorCode=03</t>
  </si>
  <si>
    <t xml:space="preserve">Auth hợp lệ và còn hạn;
Body MT760 KHÔNG có thông tin tag :50:
Format thông tin yêu cầu: Tối đa 4 dòng × 35 ký tự
Các thông tin mandatory khác vẫn đủ thông tin </t>
  </si>
  <si>
    <t>1. Chuẩn bị body điện MT760 đúng chuẩn SWIFT theo dạng JSON hoặc XML
2. XÓA tag :50:  khỏi body điện
  (các trường thông tin khác vẫn giữ nguyên)
3. Gửi POST request voi transactionType=MT760
4. Verify: HTTP 200, result=ERROR, errorCode=03</t>
  </si>
  <si>
    <t>Headers:
Authorization:  Basic a3ljYWRtbjphYmMxMjM=    (Username and password to login)
Content-Type: application/json
 transactionId: TF_AML_MT760_MND_27
 requestId:   REQ_AML_MT760_MND_27
 transactionType: MT760
 branchCd: HN
 channel: T24
 isCallBack: N
Body: Dien MT760 đúng chuẩn SWIFT theo dạng JSON hoặc XML
Field bi THIEU: :50: (Applicant (người yêu cầu mở L/C / người đề nghị))
Format thông tin yêu cầu: Tối đa 4 dòng × 35 ký tự
Vi du: Dien MT760 hop le nhung KHÔNG có thông tin tag :50:</t>
  </si>
  <si>
    <t>AML_MT760_MND_14</t>
  </si>
  <si>
    <t>MT760 – Kiểm tra thông tin Khi thiếu trường thông tin :77U: (Undertaking Terms and Conditions (điều khoản và điều kiện bảo lãnh)) → errorCode=03</t>
  </si>
  <si>
    <t xml:space="preserve">Auth hợp lệ và còn hạn;
Body MT760 KHÔNG có thông tin tag :77U:
Format thông tin yêu cầu: Tối đa 150 dòng × 65 ký tự
Các thông tin mandatory khác vẫn đủ thông tin </t>
  </si>
  <si>
    <t>1. Chuẩn bị body điện MT760 đúng chuẩn SWIFT theo dạng JSON hoặc XML
2. XÓA tag :77U:  khỏi body điện
  (các trường thông tin khác vẫn giữ nguyên)
3. Gửi POST request voi transactionType=MT760
4. Verify: HTTP 200, result=ERROR, errorCode=03</t>
  </si>
  <si>
    <t>Headers:
Authorization:  Basic a3ljYWRtbjphYmMxMjM=    (Username and password to login)
Content-Type: application/json
 transactionId: TF_AML_MT760_MND_29
 requestId:   REQ_AML_MT760_MND_29
 transactionType: MT760
 branchCd: HN
 channel: T24
 isCallBack: N
Body: Dien MT760 đúng chuẩn SWIFT theo dạng JSON hoặc XML
Field bi THIEU: :77U: (Undertaking Terms and Conditions (điều khoản và điều kiện bảo lãnh))
Format thông tin yêu cầu: Tối đa 150 dòng × 65 ký tự
Vi du: Dien MT760 hop le nhung KHÔNG có thông tin tag :77U:</t>
  </si>
  <si>
    <t xml:space="preserve">  AML_MT767_MND Kiem tra field mandatory cho dien MT767 (9 field: :15A:, :15B:, :15C:, :20:, :21:, :22A:, :26E:, :27:, :30:)</t>
  </si>
  <si>
    <t>AML_MT767_MND_01</t>
  </si>
  <si>
    <t>MT767 – Kiểm tra thông tin Khi thiếu trường thông tin :15A: (Sequence A – General Information (thông tin chung, bắt buộc)) → errorCode=03</t>
  </si>
  <si>
    <t xml:space="preserve">Auth hợp lệ và còn hạn;
Body MT767 KHÔNG có thông tin tag :15A:
Format thông tin yêu cầu: Xem SWIFT standard (format phụ thuộc subfield)
Các thông tin mandatory khác vẫn đủ thông tin </t>
  </si>
  <si>
    <t>1. Chuẩn bị body điện MT767 đúng chuẩn SWIFT theo dạng JSON hoặc XML
2. XÓA tag :15A:  khỏi body điện
  (các trường thông tin khác vẫn giữ nguyên)
3. Gửi POST request voi transactionType=MT767
4. Verify: HTTP 200, result=ERROR, errorCode=03</t>
  </si>
  <si>
    <t>Headers:
Authorization:  Basic a3ljYWRtbjphYmMxMjM=    (Username and password to login)
Content-Type: application/json
 transactionId: TF_AML_MT767_MND_03
 requestId:   REQ_AML_MT767_MND_03
 transactionType: MT767
 branchCd: HN
 channel: T24
 isCallBack: N
Body: Dien MT767 đúng chuẩn SWIFT theo dạng JSON hoặc XML
Field bi THIEU: :15A: (Sequence A – General Information (thông tin chung, bắt buộc))
Format thông tin yêu cầu: Xem SWIFT standard (format phụ thuộc subfield)
Vi du: Dien MT767 hop le nhung KHÔNG có thông tin tag :15A:</t>
  </si>
  <si>
    <t>AML_MT767_MND_02</t>
  </si>
  <si>
    <t>MT767 – Kiểm tra thông tin Khi thiếu trường thông tin :15B: (Sequence B – Undertaking Details (chi tiết bảo lãnh, bắt buộc)) → errorCode=03</t>
  </si>
  <si>
    <t xml:space="preserve">Auth hợp lệ và còn hạn;
Body MT767 KHÔNG có thông tin tag :15B:
Format thông tin yêu cầu: Xem SWIFT standard (format phụ thuộc subfield)
Các thông tin mandatory khác vẫn đủ thông tin </t>
  </si>
  <si>
    <t>1. Chuẩn bị body điện MT767 đúng chuẩn SWIFT theo dạng JSON hoặc XML
2. XÓA tag :15B:  khỏi body điện
  (các trường thông tin khác vẫn giữ nguyên)
3. Gửi POST request voi transactionType=MT767
4. Verify: HTTP 200, result=ERROR, errorCode=03</t>
  </si>
  <si>
    <t>Headers:
Authorization:  Basic a3ljYWRtbjphYmMxMjM=    (Username and password to login)
Content-Type: application/json
 transactionId: TF_AML_MT767_MND_05
 requestId:   REQ_AML_MT767_MND_05
 transactionType: MT767
 branchCd: HN
 channel: T24
 isCallBack: N
Body: Dien MT767 đúng chuẩn SWIFT theo dạng JSON hoặc XML
Field bi THIEU: :15B: (Sequence B – Undertaking Details (chi tiết bảo lãnh, bắt buộc))
Format thông tin yêu cầu: Xem SWIFT standard (format phụ thuộc subfield)
Vi du: Dien MT767 hop le nhung KHÔNG có thông tin tag :15B:</t>
  </si>
  <si>
    <t>AML_MT767_MND_03</t>
  </si>
  <si>
    <t>MT767 – Kiểm tra thông tin Khi thiếu trường thông tin :15C: (Sequence C – Local Undertaking Details (chi tiết bảo lãnh nội địa)) → errorCode=03</t>
  </si>
  <si>
    <t xml:space="preserve">Auth hợp lệ và còn hạn;
Body MT767 KHÔNG có thông tin tag :15C:
Format thông tin yêu cầu: Xem SWIFT standard (format phụ thuộc subfield)
Các thông tin mandatory khác vẫn đủ thông tin </t>
  </si>
  <si>
    <t>1. Chuẩn bị body điện MT767 đúng chuẩn SWIFT theo dạng JSON hoặc XML
2. XÓA tag :15C:  khỏi body điện
  (các trường thông tin khác vẫn giữ nguyên)
3. Gửi POST request voi transactionType=MT767
4. Verify: HTTP 200, result=ERROR, errorCode=03</t>
  </si>
  <si>
    <t>Headers:
Authorization:  Basic a3ljYWRtbjphYmMxMjM=    (Username and password to login)
Content-Type: application/json
 transactionId: TF_AML_MT767_MND_07
 requestId:   REQ_AML_MT767_MND_07
 transactionType: MT767
 branchCd: HN
 channel: T24
 isCallBack: N
Body: Dien MT767 đúng chuẩn SWIFT theo dạng JSON hoặc XML
Field bi THIEU: :15C: (Sequence C – Local Undertaking Details (chi tiết bảo lãnh nội địa))
Format thông tin yêu cầu: Xem SWIFT standard (format phụ thuộc subfield)
Vi du: Dien MT767 hop le nhung KHÔNG có thông tin tag :15C:</t>
  </si>
  <si>
    <t>AML_MT767_MND_04</t>
  </si>
  <si>
    <t>MT767 – Kiểm tra thông tin Khi thiếu trường thông tin :20: (Transaction Reference Number (mã tham chiếu giao dịch)) → errorCode=03</t>
  </si>
  <si>
    <t xml:space="preserve">Auth hợp lệ và còn hạn;
Body MT767 KHÔNG có thông tin tag :20:
Format thông tin yêu cầu: Tối đa 16 ký tự alphanumeric
Các thông tin mandatory khác vẫn đủ thông tin </t>
  </si>
  <si>
    <t>1. Chuẩn bị body điện MT767 đúng chuẩn SWIFT theo dạng JSON hoặc XML
2. XÓA tag :20:  khỏi body điện
  (các trường thông tin khác vẫn giữ nguyên)
3. Gửi POST request voi transactionType=MT767
4. Verify: HTTP 200, result=ERROR, errorCode=03</t>
  </si>
  <si>
    <t>Headers:
Authorization:  Basic a3ljYWRtbjphYmMxMjM=    (Username and password to login)
Content-Type: application/json
 transactionId: TF_AML_MT767_MND_09
 requestId:   REQ_AML_MT767_MND_09
 transactionType: MT767
 branchCd: HN
 channel: T24
 isCallBack: N
Body: Dien MT767 đúng chuẩn SWIFT theo dạng JSON hoặc XML
Field bi THIEU: :20: (Transaction Reference Number (mã tham chiếu giao dịch))
Format thông tin yêu cầu: Tối đa 16 ký tự alphanumeric
Vi du: Dien MT767 hop le nhung KHÔNG có thông tin tag :20:</t>
  </si>
  <si>
    <t>AML_MT767_MND_05</t>
  </si>
  <si>
    <t>MT767 – Kiểm tra thông tin Khi thiếu trường thông tin :21: (Related Reference (tham chiếu liên quan)) → errorCode=03</t>
  </si>
  <si>
    <t xml:space="preserve">Auth hợp lệ và còn hạn;
Body MT767 KHÔNG có thông tin tag :21:
Format thông tin yêu cầu: Tối đa 16 ký tự alphanumeric
Các thông tin mandatory khác vẫn đủ thông tin </t>
  </si>
  <si>
    <t>1. Chuẩn bị body điện MT767 đúng chuẩn SWIFT theo dạng JSON hoặc XML
2. XÓA tag :21:  khỏi body điện
  (các trường thông tin khác vẫn giữ nguyên)
3. Gửi POST request voi transactionType=MT767
4. Verify: HTTP 200, result=ERROR, errorCode=03</t>
  </si>
  <si>
    <t>Headers:
Authorization:  Basic a3ljYWRtbjphYmMxMjM=    (Username and password to login)
Content-Type: application/json
 transactionId: TF_AML_MT767_MND_11
 requestId:   REQ_AML_MT767_MND_11
 transactionType: MT767
 branchCd: HN
 channel: T24
 isCallBack: N
Body: Dien MT767 đúng chuẩn SWIFT theo dạng JSON hoặc XML
Field bi THIEU: :21: (Related Reference (tham chiếu liên quan))
Format thông tin yêu cầu: Tối đa 16 ký tự alphanumeric
Vi du: Dien MT767 hop le nhung KHÔNG có thông tin tag :21:</t>
  </si>
  <si>
    <t>AML_MT767_MND_06</t>
  </si>
  <si>
    <t>MT767 – Kiểm tra thông tin Khi thiếu trường thông tin :22A: (Form of Documentary Credit / Type of Undertaking (hình thức L/C / loại bảo lãnh)) → errorCode=03</t>
  </si>
  <si>
    <t xml:space="preserve">Auth hợp lệ và còn hạn;
Body MT767 KHÔNG có thông tin tag :22A:
Format thông tin yêu cầu: Đúng 4 ký tự chữ hoa
Các thông tin mandatory khác vẫn đủ thông tin </t>
  </si>
  <si>
    <t>1. Chuẩn bị body điện MT767 đúng chuẩn SWIFT theo dạng JSON hoặc XML
2. XÓA tag :22A:  khỏi body điện
  (các trường thông tin khác vẫn giữ nguyên)
3. Gửi POST request voi transactionType=MT767
4. Verify: HTTP 200, result=ERROR, errorCode=03</t>
  </si>
  <si>
    <t>Headers:
Authorization:  Basic a3ljYWRtbjphYmMxMjM=    (Username and password to login)
Content-Type: application/json
 transactionId: TF_AML_MT767_MND_13
 requestId:   REQ_AML_MT767_MND_13
 transactionType: MT767
 branchCd: HN
 channel: T24
 isCallBack: N
Body: Dien MT767 đúng chuẩn SWIFT theo dạng JSON hoặc XML
Field bi THIEU: :22A: (Form of Documentary Credit / Type of Undertaking (hình thức L/C / loại bảo lãnh))
Format thông tin yêu cầu: Đúng 4 ký tự chữ hoa
Vi du: Dien MT767 hop le nhung KHÔNG có thông tin tag :22A:</t>
  </si>
  <si>
    <t>AML_MT767_MND_07</t>
  </si>
  <si>
    <t>MT767 – Kiểm tra thông tin Khi thiếu trường thông tin :26E: (Number of Amendment (số lần sửa đổi)) → errorCode=03</t>
  </si>
  <si>
    <t xml:space="preserve">Auth hợp lệ và còn hạn;
Body MT767 KHÔNG có thông tin tag :26E:
Format thông tin yêu cầu: Tối đa 3 chữ số
Các thông tin mandatory khác vẫn đủ thông tin </t>
  </si>
  <si>
    <t>1. Chuẩn bị body điện MT767 đúng chuẩn SWIFT theo dạng JSON hoặc XML
2. XÓA tag :26E:  khỏi body điện
  (các trường thông tin khác vẫn giữ nguyên)
3. Gửi POST request voi transactionType=MT767
4. Verify: HTTP 200, result=ERROR, errorCode=03</t>
  </si>
  <si>
    <t>Headers:
Authorization:  Basic a3ljYWRtbjphYmMxMjM=    (Username and password to login)
Content-Type: application/json
 transactionId: TF_AML_MT767_MND_15
 requestId:   REQ_AML_MT767_MND_15
 transactionType: MT767
 branchCd: HN
 channel: T24
 isCallBack: N
Body: Dien MT767 đúng chuẩn SWIFT theo dạng JSON hoặc XML
Field bi THIEU: :26E: (Number of Amendment (số lần sửa đổi))
Format thông tin yêu cầu: Tối đa 3 chữ số
Vi du: Dien MT767 hop le nhung KHÔNG có thông tin tag :26E:</t>
  </si>
  <si>
    <t>AML_MT767_MND_08</t>
  </si>
  <si>
    <t>MT767 – Kiểm tra thông tin Khi thiếu trường thông tin :27: (Sequence of Total (thứ tự / tổng số điện)) → errorCode=03</t>
  </si>
  <si>
    <t xml:space="preserve">Auth hợp lệ và còn hạn;
Body MT767 KHÔNG có thông tin tag :27:
Format thông tin yêu cầu: Định dạng số/số (ví dụ: 1/1)
Các thông tin mandatory khác vẫn đủ thông tin </t>
  </si>
  <si>
    <t>1. Chuẩn bị body điện MT767 đúng chuẩn SWIFT theo dạng JSON hoặc XML
2. XÓA tag :27:  khỏi body điện
  (các trường thông tin khác vẫn giữ nguyên)
3. Gửi POST request voi transactionType=MT767
4. Verify: HTTP 200, result=ERROR, errorCode=03</t>
  </si>
  <si>
    <t>Headers:
Authorization:  Basic a3ljYWRtbjphYmMxMjM=    (Username and password to login)
Content-Type: application/json
 transactionId: TF_AML_MT767_MND_17
 requestId:   REQ_AML_MT767_MND_17
 transactionType: MT767
 branchCd: HN
 channel: T24
 isCallBack: N
Body: Dien MT767 đúng chuẩn SWIFT theo dạng JSON hoặc XML
Field bi THIEU: :27: (Sequence of Total (thứ tự / tổng số điện))
Format thông tin yêu cầu: Định dạng số/số (ví dụ: 1/1)
Vi du: Dien MT767 hop le nhung KHÔNG có thông tin tag :27:</t>
  </si>
  <si>
    <t>AML_MT767_MND_09</t>
  </si>
  <si>
    <t>MT767 – Kiểm tra thông tin Khi thiếu trường thông tin :30: (Date of Amendment / Issue Date (ngày sửa đổi / ngày phát hành)) → errorCode=03</t>
  </si>
  <si>
    <t xml:space="preserve">Auth hợp lệ và còn hạn;
Body MT767 KHÔNG có thông tin tag :30:
Format thông tin yêu cầu: 6 chữ số – định dạng ngày YYMMDD
Các thông tin mandatory khác vẫn đủ thông tin </t>
  </si>
  <si>
    <t>1. Chuẩn bị body điện MT767 đúng chuẩn SWIFT theo dạng JSON hoặc XML
2. XÓA tag :30:  khỏi body điện
  (các trường thông tin khác vẫn giữ nguyên)
3. Gửi POST request voi transactionType=MT767
4. Verify: HTTP 200, result=ERROR, errorCode=03</t>
  </si>
  <si>
    <t>Headers:
Authorization:  Basic a3ljYWRtbjphYmMxMjM=    (Username and password to login)
Content-Type: application/json
 transactionId: TF_AML_MT767_MND_19
 requestId:   REQ_AML_MT767_MND_19
 transactionType: MT767
 branchCd: HN
 channel: T24
 isCallBack: N
Body: Dien MT767 đúng chuẩn SWIFT theo dạng JSON hoặc XML
Field bi THIEU: :30: (Date of Amendment / Issue Date (ngày sửa đổi / ngày phát hành))
Format thông tin yêu cầu: 6 chữ số – định dạng ngày YYMMDD
Vi du: Dien MT767 hop le nhung KHÔNG có thông tin tag :30:</t>
  </si>
  <si>
    <t xml:space="preserve">  AML_MT799_MND Kiem tra field mandatory cho dien MT799 (2 field: :20:, :79:)</t>
  </si>
  <si>
    <t>AML_MT799_MND_01</t>
  </si>
  <si>
    <t>MT799 – Kiểm tra thông tin Khi thiếu trường thông tin :20: (Transaction Reference Number (mã tham chiếu giao dịch)) → errorCode=03</t>
  </si>
  <si>
    <t xml:space="preserve">Auth hợp lệ và còn hạn;
Body MT799 KHÔNG có thông tin tag :20:
Format thông tin yêu cầu: Tối đa 16 ký tự alphanumeric
Các thông tin mandatory khác vẫn đủ thông tin </t>
  </si>
  <si>
    <t>1. Chuẩn bị body điện MT799 đúng chuẩn SWIFT theo dạng JSON hoặc XML
2. XÓA tag :20:  khỏi body điện
  (các trường thông tin khác vẫn giữ nguyên)
3. Gửi POST request voi transactionType=MT799
4. Verify: HTTP 200, result=ERROR, errorCode=03</t>
  </si>
  <si>
    <t>Headers:
Authorization:  Basic a3ljYWRtbjphYmMxMjM=    (Username and password to login)
Content-Type: application/json
 transactionId: TF_AML_MT799_MND_03
 requestId:   REQ_AML_MT799_MND_03
 transactionType: MT799
 branchCd: HN
 channel: T24
 isCallBack: N
Body: Dien MT799 đúng chuẩn SWIFT theo dạng JSON hoặc XML
Field bi THIEU: :20: (Transaction Reference Number (mã tham chiếu giao dịch))
Format thông tin yêu cầu: Tối đa 16 ký tự alphanumeric
Vi du: Dien MT799 hop le nhung KHÔNG có thông tin tag :20:</t>
  </si>
  <si>
    <t>AML_MT799_MND_02</t>
  </si>
  <si>
    <t>MT799 – Kiểm tra thông tin Khi thiếu trường thông tin :79: (Narrative (nội dung thông báo tự do)) → errorCode=03</t>
  </si>
  <si>
    <t xml:space="preserve">Auth hợp lệ và còn hạn;
Body MT799 KHÔNG có thông tin tag :79:
Format thông tin yêu cầu: Tối đa 35 dòng × 50 ký tự
Các thông tin mandatory khác vẫn đủ thông tin </t>
  </si>
  <si>
    <t>1. Chuẩn bị body điện MT799 đúng chuẩn SWIFT theo dạng JSON hoặc XML
2. XÓA tag :79:  khỏi body điện
  (các trường thông tin khác vẫn giữ nguyên)
3. Gửi POST request voi transactionType=MT799
4. Verify: HTTP 200, result=ERROR, errorCode=03</t>
  </si>
  <si>
    <t>Headers:
Authorization:  Basic a3ljYWRtbjphYmMxMjM=    (Username and password to login)
Content-Type: application/json
 transactionId: TF_AML_MT799_MND_05
 requestId:   REQ_AML_MT799_MND_05
 transactionType: MT799
 branchCd: HN
 channel: T24
 isCallBack: N
Body: Dien MT799 đúng chuẩn SWIFT theo dạng JSON hoặc XML
Field bi THIEU: :79: (Narrative (nội dung thông báo tự do))
Format thông tin yêu cầu: Tối đa 35 dòng × 50 ký tự
Vi du: Dien MT799 hop le nhung KHÔNG có thông tin tag :79:</t>
  </si>
  <si>
    <t xml:space="preserve">  AML_MT999_MND Kiem tra field mandatory cho dien MT999 (2 field: :20:, :79:)</t>
  </si>
  <si>
    <t>AML_MT999_MND_01</t>
  </si>
  <si>
    <t>MT999 – Kiểm tra thông tin Khi thiếu trường thông tin :20: (Transaction Reference Number (mã tham chiếu giao dịch)) → errorCode=03</t>
  </si>
  <si>
    <t xml:space="preserve">Auth hợp lệ và còn hạn;
Body MT999 KHÔNG có thông tin tag :20:
Format thông tin yêu cầu: Tối đa 16 ký tự alphanumeric
Các thông tin mandatory khác vẫn đủ thông tin </t>
  </si>
  <si>
    <t>1. Chuẩn bị body điện MT999 đúng chuẩn SWIFT theo dạng JSON hoặc XML
2. XÓA tag :20:  khỏi body điện
  (các trường thông tin khác vẫn giữ nguyên)
3. Gửi POST request voi transactionType=MT999
4. Verify: HTTP 200, result=ERROR, errorCode=03</t>
  </si>
  <si>
    <t>Headers:
Authorization:  Basic a3ljYWRtbjphYmMxMjM=    (Username and password to login)
Content-Type: application/json
 transactionId: TF_AML_MT999_MND_03
 requestId:   REQ_AML_MT999_MND_03
 transactionType: MT999
 branchCd: HN
 channel: T24
 isCallBack: N
Body: Dien MT999 đúng chuẩn SWIFT theo dạng JSON hoặc XML
Field bi THIEU: :20: (Transaction Reference Number (mã tham chiếu giao dịch))
Format thông tin yêu cầu: Tối đa 16 ký tự alphanumeric
Vi du: Dien MT999 hop le nhung KHÔNG có thông tin tag :20:</t>
  </si>
  <si>
    <t>AML_MT999_MND_02</t>
  </si>
  <si>
    <t>MT999 – Kiểm tra thông tin Khi thiếu trường thông tin :79: (Narrative (nội dung thông báo tự do)) → errorCode=03</t>
  </si>
  <si>
    <t xml:space="preserve">Auth hợp lệ và còn hạn;
Body MT999 KHÔNG có thông tin tag :79:
Format thông tin yêu cầu: Tối đa 35 dòng × 50 ký tự
Các thông tin mandatory khác vẫn đủ thông tin </t>
  </si>
  <si>
    <t>1. Chuẩn bị body điện MT999 đúng chuẩn SWIFT theo dạng JSON hoặc XML
2. XÓA tag :79:  khỏi body điện
  (các trường thông tin khác vẫn giữ nguyên)
3. Gửi POST request voi transactionType=MT999
4. Verify: HTTP 200, result=ERROR, errorCode=03</t>
  </si>
  <si>
    <t>Headers:
Authorization:  Basic a3ljYWRtbjphYmMxMjM=    (Username and password to login)
Content-Type: application/json
 transactionId: TF_AML_MT999_MND_05
 requestId:   REQ_AML_MT999_MND_05
 transactionType: MT999
 branchCd: HN
 channel: T24
 isCallBack: N
Body: Dien MT999 đúng chuẩn SWIFT theo dạng JSON hoặc XML
Field bi THIEU: :79: (Narrative (nội dung thông báo tự do))
Format thông tin yêu cầu: Tối đa 35 dòng × 50 ký tự
Vi du: Dien MT999 hop le nhung KHÔNG có thông tin tag :79:</t>
  </si>
  <si>
    <t xml:space="preserve">  AML_PACS009_MND Kiem tra field mandatory cho dien PACS009( 8 field : Document/FICdtTrf/GrpHdr/MsgId,Document/FICdtTrf/GrpHdr/CreDtTm,Document/FICdtTrf/GrpHdr/NbOfTxs,Document/FICdtTrf/GrpHdr/SttlmInf/SttlmMtd,Document/FICdtTrf/CdtTrfTxInf/PmtId/EndToEndId,Document/FICdtTrf/CdtTrfTxInf/IntrBkSttlmAmt,Document/FICdtTrf/CdtTrfTxInf/Dbtr/FinInstnId,Document/FICdtTrf/CdtTrfTxInf/Cdtr/FinInstnId)</t>
  </si>
  <si>
    <t>AML_PACS009_MND_01</t>
  </si>
  <si>
    <t>Pacs.009 – Kiểm tra thông tin Khi thiếu trường thông tin :Document/FICdtTrf/GrpHdr/CreDtTm → errorCode=03</t>
  </si>
  <si>
    <t xml:space="preserve">Auth hợp lệ và còn hạn;
Body Pacs.009 KHÔNG có thông tin tag :Document/FICdtTrf/GrpHdr/CreDtTm
Các thông tin mandatory khác vẫn đủ thông tin </t>
  </si>
  <si>
    <t>1. Chuẩn bị body điện Pacs.009 đúng chuẩn SWIFT theo dạng JSON hoặc XML
2. XÓA tag :Document/FICdtTrf/GrpHdr/CreDtTm  khỏi body điện
  (các trường thông tin khác vẫn giữ nguyên)
3. Gửi POST request voi transactionType=MX_IN /MX_OUT
4. Verify: HTTP 200, result=ERROR, errorCode=03</t>
  </si>
  <si>
    <t>Headers:
Authorization:  Basic a3ljYWRtbjphYmMxMjM=    (Username and password to login)
Content-Type: application/xml
 transactionId: TF_AML_PACS009_MND_03
 requestId:   REQ_AML_PACS009_MND_03
 transactionType: MX_IN/MX_OUT
 branchCd: HN
 channel: T24
 isCallBack: N
Body: Dien Pacs.009 đúng chuẩn SWIFT theo dạng JSON hoặc XML
Field bi THIEU: :Document/FICdtTrf/GrpHdr/CreDtTm</t>
  </si>
  <si>
    <t>AML_PACS009_MND_02</t>
  </si>
  <si>
    <t>Pacs.009 – Kiểm tra thông tin Khi thiếu trường thông tin :Document/FICdtTrf/GrpHdr/MsgId → errorCode=03</t>
  </si>
  <si>
    <t xml:space="preserve">Auth hợp lệ và còn hạn;
Body Pacs.009 KHÔNG có thông tin tag :Document/FICdtTrf/GrpHdr/MsgId
Các thông tin mandatory khác vẫn đủ thông tin </t>
  </si>
  <si>
    <t>1. Chuẩn bị body điện Pacs.009 đúng chuẩn SWIFT theo dạng JSON hoặc XML
2. XÓA tag :Document/FICdtTrf/GrpHdr/MsgId  khỏi body điện
  (các trường thông tin khác vẫn giữ nguyên)
3. Gửi POST request voi transactionType=MX_IN /MX_OUT
4. Verify: HTTP 200, result=ERROR, errorCode=03</t>
  </si>
  <si>
    <t>Headers:
Authorization:  Basic a3ljYWRtbjphYmMxMjM=    (Username and password to login)
Content-Type: application/xml
 transactionId: TF_AML_PACS009_MND_03
 requestId:   REQ_AML_PACS009_MND_03
 transactionType: MX_IN/MX_OUT
 branchCd: HN
 channel: T24
 isCallBack: N
Body: Dien Pacs.009 đúng chuẩn SWIFT theo dạng JSON hoặc XML
Field bi THIEU: :Document/FICdtTrf/GrpHdr/MsgId</t>
  </si>
  <si>
    <t>AML_PACS009_MND_05</t>
  </si>
  <si>
    <t>Pacs.009 – Kiểm tra thông tin Khi thiếu trường thông tin :Document/FICdtTrf/GrpHdr/NbOfTxs → errorCode=03</t>
  </si>
  <si>
    <t xml:space="preserve">Auth hợp lệ và còn hạn;
Body Pacs.009 KHÔNG có thông tin tag :Document/FICdtTrf/GrpHdr/NbOfTxs
Các thông tin mandatory khác vẫn đủ thông tin </t>
  </si>
  <si>
    <t>1. Chuẩn bị body điện Pacs.009 đúng chuẩn SWIFT theo dạng JSON hoặc XML
2. XÓA tag :Document/FICdtTrf/GrpHdr/NbOfTxs  khỏi body điện
  (các trường thông tin khác vẫn giữ nguyên)
3. Gửi POST request voi transactionType=MX_IN /MX_OUT
4. Verify: HTTP 200, result=ERROR, errorCode=03</t>
  </si>
  <si>
    <t>Headers:
Authorization:  Basic a3ljYWRtbjphYmMxMjM=    (Username and password to login)
Content-Type: application/xml
 transactionId: TF_AML_PACS009_MND_03
 requestId:   REQ_AML_PACS009_MND_03
 transactionType: MX_IN/MX_OUT
 branchCd: HN
 channel: T24
 isCallBack: N
Body: Dien Pacs.009 đúng chuẩn SWIFT theo dạng JSON hoặc XML
Field bi THIEU: :Document/FICdtTrf/GrpHdr/NbOfTxs</t>
  </si>
  <si>
    <t>AML_PACS009_MND_06</t>
  </si>
  <si>
    <t>Pacs.009 – Kiểm tra thông tin Khi thiếu trường thông tin :Document/FICdtTrf/GrpHdr/SttlmInf/SttlmMtd → errorCode=03</t>
  </si>
  <si>
    <t xml:space="preserve">Auth hợp lệ và còn hạn;
Body Pacs.009 KHÔNG có thông tin tag :Document/FICdtTrf/GrpHdr/SttlmInf/SttlmMtd
Các thông tin mandatory khác vẫn đủ thông tin </t>
  </si>
  <si>
    <t>1. Chuẩn bị body điện Pacs.009 đúng chuẩn SWIFT theo dạng JSON hoặc XML
2. XÓA tag :Document/FICdtTrf/GrpHdr/SttlmInf/SttlmMtd  khỏi body điện
  (các trường thông tin khác vẫn giữ nguyên)
3. Gửi POST request voi transactionType=MX_IN /MX_OUT
4. Verify: HTTP 200, result=ERROR, errorCode=03</t>
  </si>
  <si>
    <t>Headers:
Authorization:  Basic a3ljYWRtbjphYmMxMjM=    (Username and password to login)
Content-Type: application/xml
 transactionId: TF_AML_PACS009_MND_03
 requestId:   REQ_AML_PACS009_MND_03
 transactionType: MX_IN/MX_OUT
 branchCd: HN
 channel: T24
 isCallBack: N
Body: Dien Pacs.009 đúng chuẩn SWIFT theo dạng JSON hoặc XML
Field bi THIEU: :Document/FICdtTrf/GrpHdr/SttlmInf/SttlmMtd</t>
  </si>
  <si>
    <t>AML_PACS009_MND_07</t>
  </si>
  <si>
    <t>Pacs.009 – Kiểm tra thông tin Khi thiếu trường thông tin :Document/FICdtTrf/CdtTrfTxInf/PmtId/EndToEndId → errorCode=03</t>
  </si>
  <si>
    <t xml:space="preserve">Auth hợp lệ và còn hạn;
Body Pacs.009 KHÔNG có thông tin tag :Document/FICdtTrf/CdtTrfTxInf/PmtId/EndToEndId
Các thông tin mandatory khác vẫn đủ thông tin </t>
  </si>
  <si>
    <t>1. Chuẩn bị body điện Pacs.009 đúng chuẩn SWIFT theo dạng JSON hoặc XML
2. XÓA tag :Document/FICdtTrf/CdtTrfTxInf/PmtId/EndToEndId  khỏi body điện
  (các trường thông tin khác vẫn giữ nguyên)
3. Gửi POST request voi transactionType=MX_IN /MX_OUT
4. Verify: HTTP 200, result=ERROR, errorCode=03</t>
  </si>
  <si>
    <t>Headers:
Authorization:  Basic a3ljYWRtbjphYmMxMjM=    (Username and password to login)
Content-Type: application/xml
 transactionId: TF_AML_PACS009_MND_03
 requestId:   REQ_AML_PACS009_MND_03
 transactionType: MX_IN/MX_OUT
 branchCd: HN
 channel: T24
 isCallBack: N
Body: Dien Pacs.009 đúng chuẩn SWIFT theo dạng JSON hoặc XML
Field bi THIEU: :Document/FICdtTrf/CdtTrfTxInf/PmtId/EndToEndId</t>
  </si>
  <si>
    <t>AML_PACS009_MND_08</t>
  </si>
  <si>
    <t>Pacs.009 – Kiểm tra thông tin Khi thiếu trường thông tin :Document/FICdtTrf/CdtTrfTxInf/IntrBkSttlmAmt → errorCode=03</t>
  </si>
  <si>
    <t xml:space="preserve">Auth hợp lệ và còn hạn;
Body Pacs.009 KHÔNG có thông tin tag :Document/FICdtTrf/CdtTrfTxInf/IntrBkSttlmAmt
Các thông tin mandatory khác vẫn đủ thông tin </t>
  </si>
  <si>
    <t>1. Chuẩn bị body điện Pacs.009 đúng chuẩn SWIFT theo dạng JSON hoặc XML
2. XÓA tag :Document/FICdtTrf/CdtTrfTxInf/IntrBkSttlmAmt  khỏi body điện
  (các trường thông tin khác vẫn giữ nguyên)
3. Gửi POST request voi transactionType=MX_IN /MX_OUT
4. Verify: HTTP 200, result=ERROR, errorCode=03</t>
  </si>
  <si>
    <t>Headers:
Authorization:  Basic a3ljYWRtbjphYmMxMjM=    (Username and password to login)
Content-Type: application/xml
 transactionId: TF_AML_PACS009_MND_03
 requestId:   REQ_AML_PACS009_MND_03
 transactionType: MX_IN/MX_OUT
 branchCd: HN
 channel: T24
 isCallBack: N
Body: Dien Pacs.009 đúng chuẩn SWIFT theo dạng JSON hoặc XML
Field bi THIEU: :Document/FICdtTrf/CdtTrfTxInf/IntrBkSttlmAmt</t>
  </si>
  <si>
    <t>AML_PACS009_MND_09</t>
  </si>
  <si>
    <t>Pacs.009 – Kiểm tra thông tin Khi thiếu trường thông tin :Document/FICdtTrf/CdtTrfTxInf/Dbtr/FinInstnId → errorCode=03</t>
  </si>
  <si>
    <t xml:space="preserve">Auth hợp lệ và còn hạn;
Body Pacs.009 KHÔNG có thông tin tag :Document/FICdtTrf/CdtTrfTxInf/Dbtr/FinInstnId
Các thông tin mandatory khác vẫn đủ thông tin </t>
  </si>
  <si>
    <t>1. Chuẩn bị body điện Pacs.009 đúng chuẩn SWIFT theo dạng JSON hoặc XML
2. XÓA tag :Document/FICdtTrf/CdtTrfTxInf/Dbtr/FinInstnId  khỏi body điện
  (các trường thông tin khác vẫn giữ nguyên)
3. Gửi POST request voi transactionType=MX_IN /MX_OUT
4. Verify: HTTP 200, result=ERROR, errorCode=03</t>
  </si>
  <si>
    <t>Headers:
Authorization:  Basic a3ljYWRtbjphYmMxMjM=    (Username and password to login)
Content-Type: application/xml
 transactionId: TF_AML_PACS009_MND_03
 requestId:   REQ_AML_PACS009_MND_03
 transactionType: MX_IN/MX_OUT
 branchCd: HN
 channel: T24
 isCallBack: N
Body: Dien Pacs.009 đúng chuẩn SWIFT theo dạng JSON hoặc XML
Field bi THIEU: :Document/FICdtTrf/CdtTrfTxInf/Dbtr/FinInstnId</t>
  </si>
  <si>
    <t>AML_PACS009_MND_10</t>
  </si>
  <si>
    <t>Pacs.009 – Kiểm tra thông tin Khi thiếu trường thông tin :Document/FICdtTrf/CdtTrfTxInf/Cdtr/FinInstnId → errorCode=03</t>
  </si>
  <si>
    <t xml:space="preserve">Auth hợp lệ và còn hạn;
Body Pacs.009 KHÔNG có thông tin tag :Document/FICdtTrf/CdtTrfTxInf/Cdtr/FinInstnId
Các thông tin mandatory khác vẫn đủ thông tin </t>
  </si>
  <si>
    <t>1. Chuẩn bị body điện Pacs.009 đúng chuẩn SWIFT theo dạng JSON hoặc XML
2. XÓA tag :Document/FICdtTrf/CdtTrfTxInf/Cdtr/FinInstnId  khỏi body điện
  (các trường thông tin khác vẫn giữ nguyên)
3. Gửi POST request voi transactionType=MX_IN /MX_OUT
4. Verify: HTTP 200, result=ERROR, errorCode=03</t>
  </si>
  <si>
    <t>Headers:
Authorization:  Basic a3ljYWRtbjphYmMxMjM=    (Username and password to login)
Content-Type: application/xml
 transactionId: TF_AML_PACS009_MND_03
 requestId:   REQ_AML_PACS009_MND_03
 transactionType: MX_IN/MX_OUT
 branchCd: HN
 channel: T24
 isCallBack: N
Body: Dien Pacs.009 đúng chuẩn SWIFT theo dạng JSON hoặc XML
Field bi THIEU: :Document/FICdtTrf/CdtTrfTxInf/Cdtr/FinInstnId</t>
  </si>
  <si>
    <t xml:space="preserve">  AML_PACS004_MND Kiem tra field mandatory cho dien PACS004( 4 field : Document/PmtRtr/GrpHdr/MsgId,Document/PmtRtr/GrpHdr/CreDtTm,Document/PmtRtr/GrpHdr/NbOfTxs,Document/PmtRtr/GrpHdr/SttlmInf/SttlmMtd)</t>
  </si>
  <si>
    <t>AML_PACS004_MND_01</t>
  </si>
  <si>
    <t>Pacs.004 – Kiểm tra thông tin Khi thiếu trường thông tin :Document/PmtRtr/GrpHdr/MsgId → errorCode=03</t>
  </si>
  <si>
    <t xml:space="preserve">Auth hợp lệ và còn hạn;
Body Pacs.004 KHÔNG có thông tin tag :Document/PmtRtr/GrpHdr/MsgId
Các thông tin mandatory khác vẫn đủ thông tin </t>
  </si>
  <si>
    <t>1. Chuẩn bị body điện Pacs.004 đúng chuẩn SWIFT theo dạng JSON hoặc XML
2. XÓA tag :Document/PmtRtr/GrpHdr/MsgId  khỏi body điện
  (các trường thông tin khác vẫn giữ nguyên)
3. Gửi POST request voi transactionType=MX_IN /MX_OUT
4. Verify: HTTP 200, result=ERROR, errorCode=03</t>
  </si>
  <si>
    <t>Headers:
Authorization:  Basic a3ljYWRtbjphYmMxMjM=    (Username and password to login)
Content-Type: application/xml
 transactionId: TF_AML_PACS004_MND_03
 requestId:   REQ_AML_PACS004_MND_03
 transactionType: MX_IN/MX_OUT
 branchCd: HN
 channel: T24
 isCallBack: N
Body: Dien Pacs.004 đúng chuẩn SWIFT theo dạng JSON hoặc XML
Field bi THIEU: :Document/PmtRtr/GrpHdr/MsgId</t>
  </si>
  <si>
    <t>AML_PACS004_MND_02</t>
  </si>
  <si>
    <t>Pacs.004 – Kiểm tra thông tin Khi thiếu trường thông tin :Document/PmtRtr/GrpHdr/CreDtTm → errorCode=03</t>
  </si>
  <si>
    <t xml:space="preserve">Auth hợp lệ và còn hạn;
Body Pacs.004 KHÔNG có thông tin tag :Document/PmtRtr/GrpHdr/CreDtTm
Các thông tin mandatory khác vẫn đủ thông tin </t>
  </si>
  <si>
    <t>1. Chuẩn bị body điện Pacs.004 đúng chuẩn SWIFT theo dạng JSON hoặc XML
2. XÓA tag :Document/PmtRtr/GrpHdr/CreDtTm  khỏi body điện
  (các trường thông tin khác vẫn giữ nguyên)
3. Gửi POST request voi transactionType=MX_IN /MX_OUT
4. Verify: HTTP 200, result=ERROR, errorCode=03</t>
  </si>
  <si>
    <t>Headers:
Authorization:  Basic a3ljYWRtbjphYmMxMjM=    (Username and password to login)
Content-Type: application/xml
 transactionId: TF_AML_PACS004_MND_03
 requestId:   REQ_AML_PACS004_MND_03
 transactionType: MX_IN/MX_OUT
 branchCd: HN
 channel: T24
 isCallBack: N
Body: Dien Pacs.004 đúng chuẩn SWIFT theo dạng JSON hoặc XML
Field bi THIEU: :Document/PmtRtr/GrpHdr/CreDtTm</t>
  </si>
  <si>
    <t>AML_PACS004_MND_03</t>
  </si>
  <si>
    <t>Pacs.004 – Kiểm tra thông tin Khi thiếu trường thông tin :Document/PmtRtr/GrpHdr/NbOfTxs → errorCode=03</t>
  </si>
  <si>
    <t xml:space="preserve">Auth hợp lệ và còn hạn;
Body Pacs.004 KHÔNG có thông tin tag :Document/PmtRtr/GrpHdr/NbOfTxs
Các thông tin mandatory khác vẫn đủ thông tin </t>
  </si>
  <si>
    <t>1. Chuẩn bị body điện Pacs.004 đúng chuẩn SWIFT theo dạng JSON hoặc XML
2. XÓA tag :Document/PmtRtr/GrpHdr/NbOfTxs  khỏi body điện
  (các trường thông tin khác vẫn giữ nguyên)
3. Gửi POST request voi transactionType=MX_IN /MX_OUT
4. Verify: HTTP 200, result=ERROR, errorCode=03</t>
  </si>
  <si>
    <t>Headers:
Authorization:  Basic a3ljYWRtbjphYmMxMjM=    (Username and password to login)
Content-Type: application/xml
 transactionId: TF_AML_PACS004_MND_03
 requestId:   REQ_AML_PACS004_MND_03
 transactionType: MX_IN/MX_OUT
 branchCd: HN
 channel: T24
 isCallBack: N
Body: Dien Pacs.004 đúng chuẩn SWIFT theo dạng JSON hoặc XML
Field bi THIEU: :Document/PmtRtr/GrpHdr/NbOfTxs</t>
  </si>
  <si>
    <t>AML_PACS004_MND_04</t>
  </si>
  <si>
    <t>Pacs.004 – Kiểm tra thông tin Khi thiếu trường thông tin :Document/PmtRtr/GrpHdr/SttlmInf/SttlmMtd → errorCode=03</t>
  </si>
  <si>
    <t xml:space="preserve">Auth hợp lệ và còn hạn;
Body Pacs.004 KHÔNG có thông tin tag :Document/PmtRtr/GrpHdr/SttlmInf/SttlmMtd
Các thông tin mandatory khác vẫn đủ thông tin </t>
  </si>
  <si>
    <t>1. Chuẩn bị body điện Pacs.004 đúng chuẩn SWIFT theo dạng JSON hoặc XML
2. XÓA tag :Document/PmtRtr/GrpHdr/SttlmInf/SttlmMtd  khỏi body điện
  (các trường thông tin khác vẫn giữ nguyên)
3. Gửi POST request voi transactionType=MX_IN /MX_OUT
4. Verify: HTTP 200, result=ERROR, errorCode=03</t>
  </si>
  <si>
    <t>Headers:
Authorization:  Basic a3ljYWRtbjphYmMxMjM=    (Username and password to login)
Content-Type: application/xml
 transactionId: TF_AML_PACS004_MND_03
 requestId:   REQ_AML_PACS004_MND_03
 transactionType: MX_IN/MX_OUT
 branchCd: HN
 channel: T24
 isCallBack: N
Body: Dien Pacs.004 đúng chuẩn SWIFT theo dạng JSON hoặc XML
Field bi THIEU: :Document/PmtRtr/GrpHdr/SttlmInf/SttlmMtd</t>
  </si>
  <si>
    <t xml:space="preserve">  AML_PACS008_MND Kiem tra field mandatory cho dien PACS008( 11 field : Document/FIToFICstmrCdtTrf/GrpHdr/MsgId,Document/FIToFICstmrCdtTrf/GrpHdr/CreDtTm,Document/FIToFICstmrCdtTrf/GrpHdr/NbOfTxs,Document/FIToFICstmrCdtTrf/GrpHdr/SttlmInf/SttlmMtd,Document/FIToFICstmrCdtTrf/CdtTrfTxInf/PmtId/EndToEndId,Document/FIToFICstmrCdtTrf/CdtTrfTxInf/IntrBkSttlmAmt,Document/FIToFICstmrCdtTrf/CdtTrfTxInf/ChrgBr,Document/FIToFICstmrCdtTrf/CdtTrfTxInf/Dbtr,Document/FIToFICstmrCdtTrf/CdtTrfTxInf/DbtrAgt/FinInstnId,Document/FIToFICstmrCdtTrf/CdtTrfTxInf/CdtrAgt/FinInstnId,Document/FIToFICstmrCdtTrf/CdtTrfTxInf/Cdtr)</t>
  </si>
  <si>
    <t>AML_PACS008_MND_01</t>
  </si>
  <si>
    <t>Pacs.008 – Kiểm tra thông tin Khi thiếu trường thông tin :Document/FIToFICstmrCdtTrf/GrpHdr/MsgId → errorCode=03</t>
  </si>
  <si>
    <t xml:space="preserve">Auth hợp lệ và còn hạn;
Body Pacs.008 KHÔNG có thông tin tag :Document/FIToFICstmrCdtTrf/GrpHdr/MsgId
Các thông tin mandatory khác vẫn đủ thông tin </t>
  </si>
  <si>
    <t>1. Chuẩn bị body điện Pacs.008 đúng chuẩn SWIFT theo dạng JSON hoặc XML
2. XÓA tag :Document/FIToFICstmrCdtTrf/GrpHdr/MsgId  khỏi body điện
  (các trường thông tin khác vẫn giữ nguyên)
3. Gửi POST request voi transactionType=MX_IN /MX_OUT
4. Verify: HTTP 200, result=ERROR, errorCode=03</t>
  </si>
  <si>
    <t>Headers:
Authorization:  Basic a3ljYWRtbjphYmMxMjM=    (Username and password to login)
Content-Type: application/xml
 transactionId: TF_AML_PACS008_MND_03
 requestId:   REQ_AML_PACS008_MND_03
 transactionType: MX_IN/MX_OUT
 branchCd: HN
 channel: T24
 isCallBack: N
Body: Dien Pacs.008 đúng chuẩn SWIFT theo dạng JSON hoặc XML
Field bi THIEU: :Document/FIToFICstmrCdtTrf/GrpHdr/MsgId</t>
  </si>
  <si>
    <t>AML_PACS008_MND_02</t>
  </si>
  <si>
    <t>Pacs.008 – Kiểm tra thông tin Khi thiếu trường thông tin :Document/FIToFICstmrCdtTrf/GrpHdr/CreDtTm → errorCode=03</t>
  </si>
  <si>
    <t xml:space="preserve">Auth hợp lệ và còn hạn;
Body Pacs.008 KHÔNG có thông tin tag :Document/FIToFICstmrCdtTrf/GrpHdr/CreDtTm
Các thông tin mandatory khác vẫn đủ thông tin </t>
  </si>
  <si>
    <t>1. Chuẩn bị body điện Pacs.008 đúng chuẩn SWIFT theo dạng JSON hoặc XML
2. XÓA tag :Document/FIToFICstmrCdtTrf/GrpHdr/CreDtTm  khỏi body điện
  (các trường thông tin khác vẫn giữ nguyên)
3. Gửi POST request voi transactionType=MX_IN /MX_OUT
4. Verify: HTTP 200, result=ERROR, errorCode=03</t>
  </si>
  <si>
    <t>Headers:
Authorization:  Basic a3ljYWRtbjphYmMxMjM=    (Username and password to login)
Content-Type: application/xml
 transactionId: TF_AML_PACS008_MND_03
 requestId:   REQ_AML_PACS008_MND_03
 transactionType: MX_IN/MX_OUT
 branchCd: HN
 channel: T24
 isCallBack: N
Body: Dien Pacs.008 đúng chuẩn SWIFT theo dạng JSON hoặc XML
Field bi THIEU: :Document/FIToFICstmrCdtTrf/GrpHdr/CreDtTm</t>
  </si>
  <si>
    <t>AML_PACS008_MND_03</t>
  </si>
  <si>
    <t>Pacs.008 – Kiểm tra thông tin Khi thiếu trường thông tin :Document/FIToFICstmrCdtTrf/GrpHdr/NbOfTxs → errorCode=03</t>
  </si>
  <si>
    <t xml:space="preserve">Auth hợp lệ và còn hạn;
Body Pacs.008 KHÔNG có thông tin tag :Document/FIToFICstmrCdtTrf/GrpHdr/NbOfTxs
Các thông tin mandatory khác vẫn đủ thông tin </t>
  </si>
  <si>
    <t>1. Chuẩn bị body điện Pacs.008 đúng chuẩn SWIFT theo dạng JSON hoặc XML
2. XÓA tag :Document/FIToFICstmrCdtTrf/GrpHdr/NbOfTxs  khỏi body điện
  (các trường thông tin khác vẫn giữ nguyên)
3. Gửi POST request voi transactionType=MX_IN /MX_OUT
4. Verify: HTTP 200, result=ERROR, errorCode=03</t>
  </si>
  <si>
    <t>Headers:
Authorization:  Basic a3ljYWRtbjphYmMxMjM=    (Username and password to login)
Content-Type: application/xml
 transactionId: TF_AML_PACS008_MND_03
 requestId:   REQ_AML_PACS008_MND_03
 transactionType: MX_IN/MX_OUT
 branchCd: HN
 channel: T24
 isCallBack: N
Body: Dien Pacs.008 đúng chuẩn SWIFT theo dạng JSON hoặc XML
Field bi THIEU: :Document/FIToFICstmrCdtTrf/GrpHdr/NbOfTxs</t>
  </si>
  <si>
    <t>AML_PACS008_MND_04</t>
  </si>
  <si>
    <t>Pacs.008 – Kiểm tra thông tin Khi thiếu trường thông tin :Document/FIToFICstmrCdtTrf/GrpHdr/SttlmInf/SttlmMtd → errorCode=03</t>
  </si>
  <si>
    <t xml:space="preserve">Auth hợp lệ và còn hạn;
Body Pacs.008 KHÔNG có thông tin tag :Document/FIToFICstmrCdtTrf/GrpHdr/SttlmInf/SttlmMtd
Các thông tin mandatory khác vẫn đủ thông tin </t>
  </si>
  <si>
    <t>1. Chuẩn bị body điện Pacs.008 đúng chuẩn SWIFT theo dạng JSON hoặc XML
2. XÓA tag :Document/FIToFICstmrCdtTrf/GrpHdr/SttlmInf/SttlmMtd  khỏi body điện
  (các trường thông tin khác vẫn giữ nguyên)
3. Gửi POST request voi transactionType=MX_IN /MX_OUT
4. Verify: HTTP 200, result=ERROR, errorCode=03</t>
  </si>
  <si>
    <t>Headers:
Authorization:  Basic a3ljYWRtbjphYmMxMjM=    (Username and password to login)
Content-Type: application/xml
 transactionId: TF_AML_PACS008_MND_03
 requestId:   REQ_AML_PACS008_MND_03
 transactionType: MX_IN/MX_OUT
 branchCd: HN
 channel: T24
 isCallBack: N
Body: Dien Pacs.008 đúng chuẩn SWIFT theo dạng JSON hoặc XML
Field bi THIEU: :Document/FIToFICstmrCdtTrf/GrpHdr/SttlmInf/SttlmMtd</t>
  </si>
  <si>
    <t>AML_PACS008_MND_05</t>
  </si>
  <si>
    <t>Pacs.008 – Kiểm tra thông tin Khi thiếu trường thông tin :Document/FIToFICstmrCdtTrf/CdtTrfTxInf/PmtId/EndToEndId → errorCode=03</t>
  </si>
  <si>
    <t xml:space="preserve">Auth hợp lệ và còn hạn;
Body Pacs.008 KHÔNG có thông tin tag :Document/FIToFICstmrCdtTrf/CdtTrfTxInf/PmtId/EndToEndId
Các thông tin mandatory khác vẫn đủ thông tin </t>
  </si>
  <si>
    <t>1. Chuẩn bị body điện Pacs.008 đúng chuẩn SWIFT theo dạng JSON hoặc XML
2. XÓA tag :Document/FIToFICstmrCdtTrf/CdtTrfTxInf/PmtId/EndToEndId  khỏi body điện
  (các trường thông tin khác vẫn giữ nguyên)
3. Gửi POST request voi transactionType=MX_IN /MX_OUT
4. Verify: HTTP 200, result=ERROR, errorCode=03</t>
  </si>
  <si>
    <t>Headers:
Authorization:  Basic a3ljYWRtbjphYmMxMjM=    (Username and password to login)
Content-Type: application/xml
 transactionId: TF_AML_PACS008_MND_03
 requestId:   REQ_AML_PACS008_MND_03
 transactionType: MX_IN/MX_OUT
 branchCd: HN
 channel: T24
 isCallBack: N
Body: Dien Pacs.008 đúng chuẩn SWIFT theo dạng JSON hoặc XML
Field bi THIEU: :Document/FIToFICstmrCdtTrf/CdtTrfTxInf/PmtId/EndToEndId</t>
  </si>
  <si>
    <t>AML_PACS008_MND_06</t>
  </si>
  <si>
    <t>Pacs.008 – Kiểm tra thông tin Khi thiếu trường thông tin :Document/FIToFICstmrCdtTrf/CdtTrfTxInf/IntrBkSttlmAmt → errorCode=03</t>
  </si>
  <si>
    <t xml:space="preserve">Auth hợp lệ và còn hạn;
Body Pacs.008 KHÔNG có thông tin tag :Document/FIToFICstmrCdtTrf/CdtTrfTxInf/IntrBkSttlmAmt
Các thông tin mandatory khác vẫn đủ thông tin </t>
  </si>
  <si>
    <t>1. Chuẩn bị body điện Pacs.008 đúng chuẩn SWIFT theo dạng JSON hoặc XML
2. XÓA tag :Document/FIToFICstmrCdtTrf/CdtTrfTxInf/IntrBkSttlmAmtmMtd  khỏi body điện
  (các trường thông tin khác vẫn giữ nguyên)
3. Gửi POST request voi transactionType=MX_IN /MX_OUT
4. Verify: HTTP 200, result=ERROR, errorCode=03</t>
  </si>
  <si>
    <t>Headers:
Authorization:  Basic a3ljYWRtbjphYmMxMjM=    (Username and password to login)
Content-Type: application/xml
 transactionId: TF_AML_PACS008_MND_03
 requestId:   REQ_AML_PACS008_MND_03
 transactionType: MX_IN/MX_OUT
 branchCd: HN
 channel: T24
 isCallBack: N
Body: Dien Pacs.008 đúng chuẩn SWIFT theo dạng JSON hoặc XML
Field bi THIEU: :Document/FIToFICstmrCdtTrf/CdtTrfTxInf/IntrBkSttlmAmt</t>
  </si>
  <si>
    <t>AML_PACS008_MND_07</t>
  </si>
  <si>
    <t>Pacs.008 – Kiểm tra thông tin Khi thiếu trường thông tin :Document/FIToFICstmrCdtTrf/CdtTrfTxInf/ChrgBr → errorCode=03</t>
  </si>
  <si>
    <t xml:space="preserve">Auth hợp lệ và còn hạn;
Body Pacs.008 KHÔNG có thông tin tag :Document/FIToFICstmrCdtTrf/CdtTrfTxInf/ChrgBr
Các thông tin mandatory khác vẫn đủ thông tin </t>
  </si>
  <si>
    <t>1. Chuẩn bị body điện Pacs.008 đúng chuẩn SWIFT theo dạng JSON hoặc XML
2. XÓA tag :Document/FIToFICstmrCdtTrf/CdtTrfTxInf/ChrgBr  khỏi body điện
  (các trường thông tin khác vẫn giữ nguyên)
3. Gửi POST request voi transactionType=MX_IN /MX_OUT
4. Verify: HTTP 200, result=ERROR, errorCode=03</t>
  </si>
  <si>
    <t>Headers:
Authorization:  Basic a3ljYWRtbjphYmMxMjM=    (Username and password to login)
Content-Type: application/xml
 transactionId: TF_AML_PACS008_MND_03
 requestId:   REQ_AML_PACS008_MND_03
 transactionType: MX_IN/MX_OUT
 branchCd: HN
 channel: T24
 isCallBack: N
Body: Dien Pacs.008 đúng chuẩn SWIFT theo dạng JSON hoặc XML
Field bi THIEU: :Document/FIToFICstmrCdtTrf/CdtTrfTxInf/ChrgBr</t>
  </si>
  <si>
    <t>AML_PACS008_MND_08</t>
  </si>
  <si>
    <t>Pacs.008 – Kiểm tra thông tin Khi thiếu trường thông tin :Document/FIToFICstmrCdtTrf/CdtTrfTxInf/Dbtr → errorCode=03</t>
  </si>
  <si>
    <t xml:space="preserve">Auth hợp lệ và còn hạn;
Body Pacs.008 KHÔNG có thông tin tag :Document/FIToFICstmrCdtTrf/CdtTrfTxInf/Dbtr
Các thông tin mandatory khác vẫn đủ thông tin </t>
  </si>
  <si>
    <t>1. Chuẩn bị body điện Pacs.008 đúng chuẩn SWIFT theo dạng JSON hoặc XML
2. XÓA tag :Document/FIToFICstmrCdtTrf/CdtTrfTxInf/Dbtr  khỏi body điện
  (các trường thông tin khác vẫn giữ nguyên)
3. Gửi POST request voi transactionType=MX_IN /MX_OUT
4. Verify: HTTP 200, result=ERROR, errorCode=03</t>
  </si>
  <si>
    <t>Headers:
Authorization:  Basic a3ljYWRtbjphYmMxMjM=    (Username and password to login)
Content-Type: application/xml
 transactionId: TF_AML_PACS008_MND_03
 requestId:   REQ_AML_PACS008_MND_03
 transactionType: MX_IN/MX_OUT
 branchCd: HN
 channel: T24
 isCallBack: N
Body: Dien Pacs.008 đúng chuẩn SWIFT theo dạng JSON hoặc XML
Field bi THIEU: :Document/FIToFICstmrCdtTrf/CdtTrfTxInf/Dbtr</t>
  </si>
  <si>
    <t>AML_PACS008_MND_09</t>
  </si>
  <si>
    <t>Pacs.008 – Kiểm tra thông tin Khi thiếu trường thông tin :Document/FIToFICstmrCdtTrf/CdtTrfTxInf/DbtrAgt/FinInstnId → errorCode=03</t>
  </si>
  <si>
    <t xml:space="preserve">Auth hợp lệ và còn hạn;
Body Pacs.008 KHÔNG có thông tin tag :Document/FIToFICstmrCdtTrf/CdtTrfTxInf/DbtrAgt/FinInstnId
Các thông tin mandatory khác vẫn đủ thông tin </t>
  </si>
  <si>
    <t>1. Chuẩn bị body điện Pacs.008 đúng chuẩn SWIFT theo dạng JSON hoặc XML
2. XÓA tag :Document/FIToFICstmrCdtTrf/CdtTrfTxInf/DbtrAgt/FinInstnId  khỏi body điện
  (các trường thông tin khác vẫn giữ nguyên)
3. Gửi POST request voi transactionType=MX_IN /MX_OUT
4. Verify: HTTP 200, result=ERROR, errorCode=03</t>
  </si>
  <si>
    <t>Headers:
Authorization:  Basic a3ljYWRtbjphYmMxMjM=    (Username and password to login)
Content-Type: application/xml
 transactionId: TF_AML_PACS008_MND_03
 requestId:   REQ_AML_PACS008_MND_03
 transactionType: MX_IN/MX_OUT
 branchCd: HN
 channel: T24
 isCallBack: N
Body: Dien Pacs.008 đúng chuẩn SWIFT theo dạng JSON hoặc XML
Field bi THIEU: :Document/FIToFICstmrCdtTrf/CdtTrfTxInf/DbtrAgt/FinInstnId</t>
  </si>
  <si>
    <t>AML_PACS008_MND_10</t>
  </si>
  <si>
    <t>Pacs.008 – Kiểm tra thông tin Khi thiếu trường thông tin :Document/FIToFICstmrCdtTrf/CdtTrfTxInf/CdtrAgt/FinInstnId → errorCode=03</t>
  </si>
  <si>
    <t xml:space="preserve">Auth hợp lệ và còn hạn;
Body Pacs.008 KHÔNG có thông tin tag :Document/FIToFICstmrCdtTrf/CdtTrfTxInf/CdtrAgt/FinInstnId
Các thông tin mandatory khác vẫn đủ thông tin </t>
  </si>
  <si>
    <t>1. Chuẩn bị body điện Pacs.008 đúng chuẩn SWIFT theo dạng JSON hoặc XML
2. XÓA tag :Document/FIToFICstmrCdtTrf/CdtTrfTxInf/CdtrAgt/FinInstnId  khỏi body điện
  (các trường thông tin khác vẫn giữ nguyên)
3. Gửi POST request voi transactionType=MX_IN /MX_OUT
4. Verify: HTTP 200, result=ERROR, errorCode=03</t>
  </si>
  <si>
    <t>Headers:
Authorization:  Basic a3ljYWRtbjphYmMxMjM=    (Username and password to login)
Content-Type: application/xml
 transactionId: TF_AML_PACS008_MND_03
 requestId:   REQ_AML_PACS008_MND_03
 transactionType: MX_IN/MX_OUT
 branchCd: HN
 channel: T24
 isCallBack: N
Body: Dien Pacs.008 đúng chuẩn SWIFT theo dạng JSON hoặc XML
Field bi THIEU: :Document/FIToFICstmrCdtTrf/CdtTrfTxInf/CdtrAgt/FinInstnId</t>
  </si>
  <si>
    <t>AML_PACS008_MND_11</t>
  </si>
  <si>
    <t>Pacs.008 – Kiểm tra thông tin Khi thiếu trường thông tin :Document/FIToFICstmrCdtTrf/CdtTrfTxInf/Cdtr → errorCode=03</t>
  </si>
  <si>
    <t xml:space="preserve">Auth hợp lệ và còn hạn;
Body Pacs.008 KHÔNG có thông tin tag :Document/FIToFICstmrCdtTrf/CdtTrfTxInf/Cdtr
Các thông tin mandatory khác vẫn đủ thông tin </t>
  </si>
  <si>
    <t>1. Chuẩn bị body điện Pacs.008 đúng chuẩn SWIFT theo dạng JSON hoặc XML
2. XÓA tag :Document/FIToFICstmrCdtTrf/CdtTrfTxInf/Cdtr  khỏi body điện
  (các trường thông tin khác vẫn giữ nguyên)
3. Gửi POST request voi transactionType=MX_IN /MX_OUT
4. Verify: HTTP 200, result=ERROR, errorCode=03</t>
  </si>
  <si>
    <t>Headers:
Authorization:  Basic a3ljYWRtbjphYmMxMjM=    (Username and password to login)
Content-Type: application/xml
 transactionId: TF_AML_PACS008_MND_03
 requestId:   REQ_AML_PACS008_MND_03
 transactionType: MX_IN/MX_OUT
 branchCd: HN
 channel: T24
 isCallBack: N
Body: Dien Pacs.008 đúng chuẩn SWIFT theo dạng JSON hoặc XML
Field bi THIEU: :Document/FIToFICstmrCdtTrf/CdtTrfTxInf/Cdtr</t>
  </si>
  <si>
    <t xml:space="preserve">  AML_CAM110_MND Kiem tra field mandatory cho dien CAM110( 6 field : Document/InvstgtnReq/InvstgtnReq/MsgId,Document/InvstgtnReq/InvstgtnReq/InvstgtnTp/{Cd|Prtry},Document/InvstgtnReq/InvstgtnReq/Undrlyg/{Initn|IntrBk|StmtNtry|Acct|Othr},Document/InvstgtnReq/InvstgtnReq/Rqstr/{Pty|Agt},Document/InvstgtnReq/InvstgtnReq/Rspndr/{Pty|Agt},Document/InvstgtnReq/InvstgtnData/Rsn/{Cd|Prtry})</t>
  </si>
  <si>
    <t>AML_CAM110_MND_01</t>
  </si>
  <si>
    <t>Cam.110– Kiểm tra thông tin Khi thiếu trường thông tin :Document/InvstgtnReq/InvstgtnReq/MsgId → errorCode=03</t>
  </si>
  <si>
    <t xml:space="preserve">Auth hợp lệ và còn hạn;
Body Cam.110 KHÔNG có thông tin tag :Document/InvstgtnReq/InvstgtnReq/MsgId
Các thông tin mandatory khác vẫn đủ thông tin </t>
  </si>
  <si>
    <t>1. Chuẩn bị body điện Cam.110 đúng chuẩn SWIFT theo dạng JSON hoặc XML
2. XÓA tag :Document/InvstgtnReq/InvstgtnReq/MsgId  khỏi body điện
  (các trường thông tin khác vẫn giữ nguyên)
3. Gửi POST request voi transactionType=MX_IN /MX_OUT
4. Verify: HTTP 200, result=ERROR, errorCode=03</t>
  </si>
  <si>
    <t>Headers:
Authorization:  Basic a3ljYWRtbjphYmMxMjM=    (Username and password to login)
Content-Type: application/xml
 transactionId: TF_AML_CAM110_MND_03
 requestId:   REQ_AML_CAM110_MND_03
 transactionType: MX_IN/MX_OUT
 branchCd: HN
 channel: T24
 isCallBack: N
Body: Dien Cam.110đúng chuẩn SWIFT theo dạng JSON hoặc XML
Field bi THIEU: :Document/InvstgtnReq/InvstgtnReq/MsgId</t>
  </si>
  <si>
    <t>AML_CAM110_MND_02</t>
  </si>
  <si>
    <t>Cam.110– Kiểm tra thông tin Khi thiếu trường thông tin :Document/InvstgtnReq/InvstgtnReq/InvstgtnTp/{Cd|Prtry} → errorCode=03</t>
  </si>
  <si>
    <t xml:space="preserve">Auth hợp lệ và còn hạn;
Body Cam.110 KHÔNG có thông tin tag :Document/InvstgtnReq/InvstgtnReq/InvstgtnTp/{Cd|Prtry}
Các thông tin mandatory khác vẫn đủ thông tin </t>
  </si>
  <si>
    <t>1. Chuẩn bị body điện Cam.110 đúng chuẩn SWIFT theo dạng JSON hoặc XML
2. XÓA tag :Document/InvstgtnReq/InvstgtnReq/InvstgtnTp/{Cd|Prtry}  khỏi body điện
  (các trường thông tin khác vẫn giữ nguyên)
3. Gửi POST request voi transactionType=MX_IN /MX_OUT
4. Verify: HTTP 200, result=ERROR, errorCode=03</t>
  </si>
  <si>
    <t>Headers:
Authorization:  Basic a3ljYWRtbjphYmMxMjM=    (Username and password to login)
Content-Type: application/xml
 transactionId: TF_AML_CAM110_MND_03
 requestId:   REQ_AML_CAM110_MND_03
 transactionType: MX_IN/MX_OUT
 branchCd: HN
 channel: T24
 isCallBack: N
Body: Dien Cam.110đúng chuẩn SWIFT theo dạng JSON hoặc XML
Field bi THIEU: :Document/InvstgtnReq/InvstgtnReq/InvstgtnTp/{Cd|Prtry}</t>
  </si>
  <si>
    <t>AML_CAM110_MND_03</t>
  </si>
  <si>
    <t>Cam.110– Kiểm tra thông tin Khi thiếu trường thông tin :Document/InvstgtnReq/InvstgtnReq/Undrlyg/{Initn|IntrBk|StmtNtry|Acct|Othr} → errorCode=03</t>
  </si>
  <si>
    <t xml:space="preserve">Auth hợp lệ và còn hạn;
Body Cam.110KHÔNG có thông tin tag :Document/InvstgtnReq/InvstgtnReq/Undrlyg/{Initn|IntrBk|StmtNtry|Acct|Othr}
Các thông tin mandatory khác vẫn đủ thông tin </t>
  </si>
  <si>
    <t>1. Chuẩn bị body điện Cam.110 đúng chuẩn SWIFT theo dạng JSON hoặc XML
2. XÓA tag :Document/InvstgtnReq/InvstgtnReq/Undrlyg/{Initn|IntrBk|StmtNtry|Acct|Othr}  khỏi body điện
  (các trường thông tin khác vẫn giữ nguyên)
3. Gửi POST request voi transactionType=MX_IN /MX_OUT
4. Verify: HTTP 200, result=ERROR, errorCode=03</t>
  </si>
  <si>
    <t>Headers:
Authorization:  Basic a3ljYWRtbjphYmMxMjM=    (Username and password to login)
Content-Type: application/xml
 transactionId: TF_AML_CAM110_MND_03
 requestId:   REQ_AML_CAM110_MND_03
 transactionType: MX_IN/MX_OUT
 branchCd: HN
 channel: T24
 isCallBack: N
Body: Dien Cam.110đúng chuẩn SWIFT theo dạng JSON hoặc XML
Field bi THIEU: :Document/InvstgtnReq/InvstgtnReq/Undrlyg/{Initn|IntrBk|StmtNtry|Acct|Othr}</t>
  </si>
  <si>
    <t>AML_CAM110_MND_04</t>
  </si>
  <si>
    <t>Cam.110– Kiểm tra thông tin Khi thiếu trường thông tin :Document/InvstgtnReq/InvstgtnReq/Rqstr/{Pty|Agt} → errorCode=03</t>
  </si>
  <si>
    <t xml:space="preserve">Auth hợp lệ và còn hạn;
Body Cam.110 KHÔNG có thông tin tag :Document/InvstgtnReq/InvstgtnReq/Rqstr/{Pty|Agt}
Các thông tin mandatory khác vẫn đủ thông tin </t>
  </si>
  <si>
    <t>1. Chuẩn bị body điện Cam.110 đúng chuẩn SWIFT theo dạng JSON hoặc XML
2. XÓA tag :Document/InvstgtnReq/InvstgtnReq/Rqstr/{Pty|Agt}  khỏi body điện
  (các trường thông tin khác vẫn giữ nguyên)
3. Gửi POST request voi transactionType=MX_IN /MX_OUT
4. Verify: HTTP 200, result=ERROR, errorCode=03</t>
  </si>
  <si>
    <t>Headers:
Authorization:  Basic a3ljYWRtbjphYmMxMjM=    (Username and password to login)
Content-Type: application/xml
 transactionId: TF_AML_CAM110_MND_03
 requestId:   REQ_AML_CAM110_MND_03
 transactionType: MX_IN/MX_OUT
 branchCd: HN
 channel: T24
 isCallBack: N
Body: Dien Cam.110đúng chuẩn SWIFT theo dạng JSON hoặc XML
Field bi THIEU: :Document/InvstgtnReq/InvstgtnReq/Rqstr/{Pty|Agt}</t>
  </si>
  <si>
    <t>AML_CAM110_MND_05</t>
  </si>
  <si>
    <t>Cam.110– Kiểm tra thông tin Khi thiếu trường thông tin :Document/InvstgtnReq/InvstgtnReq/Rspndr/{Pty|Agt} → errorCode=03</t>
  </si>
  <si>
    <t xml:space="preserve">Auth hợp lệ và còn hạn;
Body Cam.110 KHÔNG có thông tin tag :Document/InvstgtnReq/InvstgtnReq/Rspndr/{Pty|Agt}
Các thông tin mandatory khác vẫn đủ thông tin </t>
  </si>
  <si>
    <t>1. Chuẩn bị body điện Cam.110 đúng chuẩn SWIFT theo dạng JSON hoặc XML
2. XÓA tag :Document/InvstgtnReq/InvstgtnReq/Rspndr/{Pty|Agt}  khỏi body điện
  (các trường thông tin khác vẫn giữ nguyên)
3. Gửi POST request voi transactionType=MX_IN /MX_OUT
4. Verify: HTTP 200, result=ERROR, errorCode=03</t>
  </si>
  <si>
    <t>Headers:
Authorization:  Basic a3ljYWRtbjphYmMxMjM=    (Username and password to login)
Content-Type: application/xml
 transactionId: TF_AML_CAM110_MND_03
 requestId:   REQ_AML_CAM110_MND_03
 transactionType: MX_IN/MX_OUT
 branchCd: HN
 channel: T24
 isCallBack: N
Body: Dien Cam.110đúng chuẩn SWIFT theo dạng JSON hoặc XML
Field bi THIEU: :Document/InvstgtnReq/InvstgtnReq/Rspndr/{Pty|Agt}</t>
  </si>
  <si>
    <t>AML_CAM110_MND_06</t>
  </si>
  <si>
    <t>Cam.110– Kiểm tra thông tin Khi thiếu trường thông tin :Document/InvstgtnReq/InvstgtnData/Rsn/{Cd|Prtry} → errorCode=03</t>
  </si>
  <si>
    <t xml:space="preserve">Auth hợp lệ và còn hạn;
Body Cam.110 KHÔNG có thông tin tag :Document/InvstgtnReq/InvstgtnData/Rsn/{Cd|Prtry}
Các thông tin mandatory khác vẫn đủ thông tin </t>
  </si>
  <si>
    <t>1. Chuẩn bị body điện Cam.110 đúng chuẩn SWIFT theo dạng JSON hoặc XML
2. XÓA tag :Document/InvstgtnReq/InvstgtnData/Rsn/{Cd|Prtry}  khỏi body điện
  (các trường thông tin khác vẫn giữ nguyên)
3. Gửi POST request voi transactionType=MX_IN /MX_OUT
4. Verify: HTTP 200, result=ERROR, errorCode=03</t>
  </si>
  <si>
    <t>Headers:
Authorization:  Basic a3ljYWRtbjphYmMxMjM=    (Username and password to login)
Content-Type: application/xml
 transactionId: TF_AML_CAM110_MND_03
 requestId:   REQ_AML_CAM110_MND_03
 transactionType: MX_IN/MX_OUT
 branchCd: HN
 channel: T24
 isCallBack: N
Body: Dien Cam.110đúng chuẩn SWIFT theo dạng JSON hoặc XML
Field bi THIEU: :Document/InvstgtnReq/InvstgtnData/Rsn/{Cd|Prtry}</t>
  </si>
  <si>
    <t xml:space="preserve">  AML_CAM111_MND Kiem tra field mandatory cho dien CAM111( 6 field : Document/InvstgtnRspn/InvstgtnRspn/MsgId,Document/InvstgtnRspn/InvstgtnRspn/InvstgtnSts/Sts,Document/InvstgtnRspn/OrgnlInvstgtnReq/MsgId,Document/InvstgtnRspn/OrgnlInvstgtnReq/InvstgtnTp/{Cd|Prtry},Document/InvstgtnRspn/OrgnlInvstgtnReq/Rqstr/{Pty|Agt},Document/InvstgtnRspn/OrgnlInvstgtnReq/Rspndr/{Pty|Agt})</t>
  </si>
  <si>
    <t>AML_CAM111_MND_01</t>
  </si>
  <si>
    <t>Cam.111– Kiểm tra thông tin Khi thiếu trường thông tin :Document/InvstgtnRspn/InvstgtnRspn/MsgId → errorCode=03</t>
  </si>
  <si>
    <t xml:space="preserve">Auth hợp lệ và còn hạn;
Body Cam.111 KHÔNG có thông tin tag :Document/InvstgtnRspn/InvstgtnRspn/MsgId
Các thông tin mandatory khác vẫn đủ thông tin </t>
  </si>
  <si>
    <t>1. Chuẩn bị body điện Cam.111 đúng chuẩn SWIFT theo dạng JSON hoặc XML
2. XÓA tag :Document/InvstgtnRspn/InvstgtnRspn/MsgId  khỏi body điện
  (các trường thông tin khác vẫn giữ nguyên)
3. Gửi POST request voi transactionType=MX_IN /MX_OUT
4. Verify: HTTP 200, result=ERROR, errorCode=03</t>
  </si>
  <si>
    <t>Headers:
Authorization:  Basic a3ljYWRtbjphYmMxMjM=    (Username and password to login)
Content-Type: application/xml
 transactionId: TF_AML_CAM111_MND_03
 requestId:   REQ_AML_CAM111_MND_03
 transactionType: MX_IN/MX_OUT
 branchCd: HN
 channel: T24
 isCallBack: N
Body: Dien Cam.111đúng chuẩn SWIFT theo dạng JSON hoặc XML
Field bi THIEU: :Document/InvstgtnRspn/InvstgtnRspn/MsgId</t>
  </si>
  <si>
    <t>AML_CAM111_MND_02</t>
  </si>
  <si>
    <t>Cam.111– Kiểm tra thông tin Khi thiếu trường thông tin :Document/InvstgtnRspn/InvstgtnRspn/InvstgtnSts/Sts → errorCode=03</t>
  </si>
  <si>
    <t xml:space="preserve">Auth hợp lệ và còn hạn;
Body Cam.111 KHÔNG có thông tin tag :Document/InvstgtnRspn/InvstgtnRspn/InvstgtnSts/Sts
Các thông tin mandatory khác vẫn đủ thông tin </t>
  </si>
  <si>
    <t>1. Chuẩn bị body điện Cam.111 đúng chuẩn SWIFT theo dạng JSON hoặc XML
2. XÓA tag :Document/InvstgtnRspn/InvstgtnRspn/InvstgtnSts/Sts  khỏi body điện
  (các trường thông tin khác vẫn giữ nguyên)
3. Gửi POST request voi transactionType=MX_IN /MX_OUT
4. Verify: HTTP 200, result=ERROR, errorCode=03</t>
  </si>
  <si>
    <t>Headers:
Authorization:  Basic a3ljYWRtbjphYmMxMjM=    (Username and password to login)
Content-Type: application/xml
 transactionId: TF_AML_CAM111_MND_03
 requestId:   REQ_AML_CAM111_MND_03
 transactionType: MX_IN/MX_OUT
 branchCd: HN
 channel: T24
 isCallBack: N
Body: Dien Cam.111đúng chuẩn SWIFT theo dạng JSON hoặc XML
Field bi THIEU: :Document/InvstgtnRspn/InvstgtnRspn/InvstgtnSts/Sts</t>
  </si>
  <si>
    <t>AML_CAM111_MND_03</t>
  </si>
  <si>
    <t>Cam.111– Kiểm tra thông tin Khi thiếu trường thông tin :Document/InvstgtnRspn/OrgnlInvstgtnReq/MsgId → errorCode=03</t>
  </si>
  <si>
    <t xml:space="preserve">Auth hợp lệ và còn hạn;
Body Cam.111KHÔNG có thông tin tag :Document/InvstgtnRspn/OrgnlInvstgtnReq/MsgId
Các thông tin mandatory khác vẫn đủ thông tin </t>
  </si>
  <si>
    <t>1. Chuẩn bị body điện Cam.111 đúng chuẩn SWIFT theo dạng JSON hoặc XML
2. XÓA tag :Document/InvstgtnRspn/OrgnlInvstgtnReq/MsgId  khỏi body điện
  (các trường thông tin khác vẫn giữ nguyên)
3. Gửi POST request voi transactionType=MX_IN /MX_OUT
4. Verify: HTTP 200, result=ERROR, errorCode=03</t>
  </si>
  <si>
    <t>Headers:
Authorization:  Basic a3ljYWRtbjphYmMxMjM=    (Username and password to login)
Content-Type: application/xml
 transactionId: TF_AML_CAM111_MND_03
 requestId:   REQ_AML_CAM111_MND_03
 transactionType: MX_IN/MX_OUT
 branchCd: HN
 channel: T24
 isCallBack: N
Body: Dien Cam.111đúng chuẩn SWIFT theo dạng JSON hoặc XML
Field bi THIEU: :Document/InvstgtnRspn/OrgnlInvstgtnReq/MsgId</t>
  </si>
  <si>
    <t>AML_CAM111_MND_04</t>
  </si>
  <si>
    <t>Cam.111– Kiểm tra thông tin Khi thiếu trường thông tin :Document/InvstgtnRspn/OrgnlInvstgtnReq/InvstgtnTp/{Cd|Prtry} → errorCode=03</t>
  </si>
  <si>
    <t xml:space="preserve">Auth hợp lệ và còn hạn;
Body Cam.111 KHÔNG có thông tin tag :Document/InvstgtnRspn/OrgnlInvstgtnReq/InvstgtnTp/{Cd|Prtry}
Các thông tin mandatory khác vẫn đủ thông tin </t>
  </si>
  <si>
    <t>1. Chuẩn bị body điện Cam.111 đúng chuẩn SWIFT theo dạng JSON hoặc XML
2. XÓA tag :Document/InvstgtnRspn/OrgnlInvstgtnReq/InvstgtnTp/{Cd|Prtry}  khỏi body điện
  (các trường thông tin khác vẫn giữ nguyên)
3. Gửi POST request voi transactionType=MX_IN /MX_OUT
4. Verify: HTTP 200, result=ERROR, errorCode=03</t>
  </si>
  <si>
    <t>Headers:
Authorization:  Basic a3ljYWRtbjphYmMxMjM=    (Username and password to login)
Content-Type: application/xml
 transactionId: TF_AML_CAM111_MND_03
 requestId:   REQ_AML_CAM111_MND_03
 transactionType: MX_IN/MX_OUT
 branchCd: HN
 channel: T24
 isCallBack: N
Body: Dien Cam.111đúng chuẩn SWIFT theo dạng JSON hoặc XML
Field bi THIEU: :Document/InvstgtnRspn/OrgnlInvstgtnReq/InvstgtnTp/{Cd|Prtry}</t>
  </si>
  <si>
    <t>AML_CAM111_MND_05</t>
  </si>
  <si>
    <t>Cam.111– Kiểm tra thông tin Khi thiếu trường thông tin :Document/InvstgtnRspn/OrgnlInvstgtnReq/Rqstr/{Pty|Agt} → errorCode=03</t>
  </si>
  <si>
    <t xml:space="preserve">Auth hợp lệ và còn hạn;
Body Cam.111 KHÔNG có thông tin tag :Document/InvstgtnRspn/OrgnlInvstgtnReq/Rqstr/{Pty|Agt}
Các thông tin mandatory khác vẫn đủ thông tin </t>
  </si>
  <si>
    <t>1. Chuẩn bị body điện Cam.111 đúng chuẩn SWIFT theo dạng JSON hoặc XML
2. XÓA tag :Document/InvstgtnRspn/OrgnlInvstgtnReq/Rqstr/{Pty|Agt}  khỏi body điện
  (các trường thông tin khác vẫn giữ nguyên)
3. Gửi POST request voi transactionType=MX_IN /MX_OUT
4. Verify: HTTP 200, result=ERROR, errorCode=03</t>
  </si>
  <si>
    <t>Headers:
Authorization:  Basic a3ljYWRtbjphYmMxMjM=    (Username and password to login)
Content-Type: application/xml
 transactionId: TF_AML_CAM111_MND_03
 requestId:   REQ_AML_CAM111_MND_03
 transactionType: MX_IN/MX_OUT
 branchCd: HN
 channel: T24
 isCallBack: N
Body: Dien Cam.111đúng chuẩn SWIFT theo dạng JSON hoặc XML
Field bi THIEU: :Document/InvstgtnRspn/OrgnlInvstgtnReq/Rqstr/{Pty|Agt}</t>
  </si>
  <si>
    <t>AML_CAM111_MND_06</t>
  </si>
  <si>
    <t>Cam.111– Kiểm tra thông tin Khi thiếu trường thông tin :Document/InvstgtnRspn/OrgnlInvstgtnReq/Rspndr/{Pty|Agt} → errorCode=03</t>
  </si>
  <si>
    <t xml:space="preserve">Auth hợp lệ và còn hạn;
Body Cam.111 KHÔNG có thông tin tag :Document/InvstgtnRspn/OrgnlInvstgtnReq/Rspndr/{Pty|Agt}
Các thông tin mandatory khác vẫn đủ thông tin </t>
  </si>
  <si>
    <t>1. Chuẩn bị body điện Cam.111 đúng chuẩn SWIFT theo dạng JSON hoặc XML
2. XÓA tag :Document/InvstgtnRspn/OrgnlInvstgtnReq/Rspndr/{Pty|Agt}  khỏi body điện
  (các trường thông tin khác vẫn giữ nguyên)
3. Gửi POST request voi transactionType=MX_IN /MX_OUT
4. Verify: HTTP 200, result=ERROR, errorCode=03</t>
  </si>
  <si>
    <t>Headers:
Authorization:  Basic a3ljYWRtbjphYmMxMjM=    (Username and password to login)
Content-Type: application/xml
 transactionId: TF_AML_CAM111_MND_03
 requestId:   REQ_AML_CAM111_MND_03
 transactionType: MX_IN/MX_OUT
 branchCd: HN
 channel: T24
 isCallBack: N
Body: Dien Cam.111đúng chuẩn SWIFT theo dạng JSON hoặc XML
Field bi THIEU: :Document/InvstgtnRspn/OrgnlInvstgtnReq/Rspndr/{Pty|Agt}</t>
  </si>
  <si>
    <t xml:space="preserve">  AML_MSB001_MND Kiem tra field mandatory cho dien MSB001( 23 field : Document/CstMsg/GrpHdr/MsgId,Document/CstMsg/GrpHdr/CreDtTm,Document/CstMsg/TxInf/TransactionId,Document/CstMsg/TxInf/Sender/FullName,Document/CstMsg/TxInf/Sender/DOB,Document/CstMsg/TxInf/Sender/Id/IdNumber_01,Document/CstMsg/TxInf/Sender/ResidenceAddress/Address_01,Document/CstMsg/TxInf/Sender/ResidenceAddress/Country_01,Document/CstMsg/TxInf/Receiver/FullName,Document/CstMsg/TxInf/Receiver/DOB,Document/CstMsg/TxInf/Receiver/Id/IdNumber_01,Document/CstMsg/TxInf/Receiver/ResidenceAddress/Address_01,Document/CstMsg/TxInf/Receiver/ResidenceAddress/Country_01,Document/CstMsg/TxInf/SenderOrg/VnName,Document/CstMsg/TxInf/SenderOrg/HeadquartersAddress,Document/CstMsg/TxInf/SenderOrg/HeadquartersCountry,Document/CstMsg/TxInf/SenderOrg/IncorporationDate,Document/CstMsg/TxInf/SenderOrg/Documents/DocumentNumber_01,Document/CstMsg/TxInf/ReceiverOrg/VnName,Document/CstMsg/TxInf/ReceiverOrg/HeadquartersAddress,Document/CstMsg/TxInf/ReceiverOrg/HeadquartersCountry,Document/CstMsg/TxInf/ReceiverOrg/IncorporationDate,Document/CstMsg/TxInf/ReceiverOrg/Documents/DocumentNumber_01</t>
  </si>
  <si>
    <t>AML_MSB001_MND_01</t>
  </si>
  <si>
    <t>MSB001– Check chuyển thông tin từ JSON sang XML format khi gọi API sàng lọc</t>
  </si>
  <si>
    <t>Auth hợp lệ và còn hạn;
Body MSB001 và gửi bản tin bằng JSON</t>
  </si>
  <si>
    <t>1. Chuẩn bị body điện MSB001 đúng chuẩn SWIFT theo dạng JSON hoặc XML
2. Thông tin bản tin gửi đi dạng JSON
3. Gửi POST request voi transactionType=MSB001
4. Verify: HTTP 200, result=ERROR, errorCode=03</t>
  </si>
  <si>
    <t>Headers:
Authorization:  Basic a3ljYWRtbjphYmMxMjM=    (Username and password to login)
Content-Type: application/xml
 transactionId: TF_AML_CAM111_MND_03
 requestId:   REQ_AML_CAM111_MND_03
 transactionType: MX_IN/MX_OUT
 branchCd: HN
 channel: T24
 isCallBack: N
Body: Dien Cam.111đúng chuẩn SWIFT theo dạng JSON hoặc XML dùng bản tin JSON</t>
  </si>
  <si>
    <t>Kiểm tra thông tin HTTP Status trả về : 200 OK
Thông tin gửi thành công gkhi gửi bằng JSON - thông tin được confirm bình thường</t>
  </si>
  <si>
    <t>AML_MSB001_MND_02</t>
  </si>
  <si>
    <t>MSB001– Kiểm tra thông tin Khi thiếu trường thông tin :Document/CstMsg/TxInf/Sender/FullName → errorCode=03</t>
  </si>
  <si>
    <t xml:space="preserve">Auth hợp lệ và còn hạn;
Body MSB001 KHÔNG có thông tin tag :Document/CstMsg/TxInf/Sender/FullName
Các thông tin mandatory khác vẫn đủ thông tin </t>
  </si>
  <si>
    <t>1. Chuẩn bị body điện MSB001 đúng chuẩn SWIFT theo dạng JSON hoặc XML
2. XÓA tag :Document/CstMsg/TxInf/Sender/FullName  khỏi body điện
  (các trường thông tin khác vẫn giữ nguyên)
3. Gửi POST request voi transactionType=MSB001
4. Verify: HTTP 200, result=ERROR, errorCode=03</t>
  </si>
  <si>
    <t>Headers:
Authorization:  Basic a3ljYWRtbjphYmMxMjM=    (Username and password to login)
Content-Type: application/xml
 transactionId: TF_AML_MSB001_MND_03
 requestId:   REQ_AML_MSB001_MND_03
 transactionType: MSB001
 branchCd: HN
 channel: T24
 isCallBack: N
Body: Dien MSB001 dung tai lieu mapping
Field bi THIEU: :Document/CstMsg/TxInf/Sender/FullName</t>
  </si>
  <si>
    <t>AML_MSB001_MND_03</t>
  </si>
  <si>
    <t>MSB001– Kiểm tra thông tin Khi thiếu trường thông tin :Document/CstMsg/TxInf/Sender/DOB → errorCode=03</t>
  </si>
  <si>
    <t xml:space="preserve">Auth hợp lệ và còn hạn;
Body MSB001 KHÔNG có thông tin tag :Document/CstMsg/TxInf/Sender/DOB
Các thông tin mandatory khác vẫn đủ thông tin </t>
  </si>
  <si>
    <t>1. Chuẩn bị body điện MSB001 đúng chuẩn SWIFT theo dạng JSON hoặc XML
2. XÓA tag :Document/CstMsg/TxInf/Sender/DOB  khỏi body điện
  (các trường thông tin khác vẫn giữ nguyên)
3. Gửi POST request voi transactionType=MSB001
4. Verify: HTTP 200, result=ERROR, errorCode=03</t>
  </si>
  <si>
    <t>Headers:
Authorization:  Basic a3ljYWRtbjphYmMxMjM=    (Username and password to login)
Content-Type: application/xml
 transactionId: TF_AML_MSB001_MND_03
 requestId:   REQ_AML_MSB001_MND_03
 transactionType: MSB001
 branchCd: HN
 channel: T24
 isCallBack: N
Body: Dien MSB001 dung tai lieu mapping
Field bi THIEU: :Document/CstMsg/TxInf/Sender/DOB</t>
  </si>
  <si>
    <t>AML_MSB001_MND_04</t>
  </si>
  <si>
    <t>MSB001– Kiểm tra thông tin Khi thiếu trường thông tin :Document/CstMsg/TxInf/Sender/Id/IdNumber_01 → errorCode=03</t>
  </si>
  <si>
    <t xml:space="preserve">Auth hợp lệ và còn hạn;
Body MSB001 KHÔNG có thông tin tag :Document/CstMsg/TxInf/Sender/Id/IdNumber_01
Các thông tin mandatory khác vẫn đủ thông tin </t>
  </si>
  <si>
    <t>1. Chuẩn bị body điện MSB001 đúng chuẩn SWIFT theo dạng JSON hoặc XML
2. XÓA tag :Document/CstMsg/TxInf/Sender/Id/IdNumber_01  khỏi body điện
  (các trường thông tin khác vẫn giữ nguyên)
3. Gửi POST request voi transactionType=MSB001
4. Verify: HTTP 200, result=ERROR, errorCode=03</t>
  </si>
  <si>
    <t>Headers:
Authorization:  Basic a3ljYWRtbjphYmMxMjM=    (Username and password to login)
Content-Type: application/xml
 transactionId: TF_AML_MSB001_MND_03
 requestId:   REQ_AML_MSB001_MND_03
 transactionType: MSB001
 branchCd: HN
 channel: T24
 isCallBack: N
Body: Dien MSB001 dung tai lieu mapping
Field bi THIEU: :Document/CstMsg/TxInf/Sender/Id/IdNumber_01</t>
  </si>
  <si>
    <t>AML_MSB001_MND_05</t>
  </si>
  <si>
    <t>MSB001– Kiểm tra thông tin Khi thiếu trường thông tin :Document/CstMsg/TxInf/Sender/ResidenceAddress/Address_01 → errorCode=03</t>
  </si>
  <si>
    <t xml:space="preserve">Auth hợp lệ và còn hạn;
Body MSB001 KHÔNG có thông tin tag :Document/CstMsg/TxInf/Sender/ResidenceAddress/Address_01
Các thông tin mandatory khác vẫn đủ thông tin </t>
  </si>
  <si>
    <t>1. Chuẩn bị body điện MSB001 đúng chuẩn SWIFT theo dạng JSON hoặc XML
2. XÓA tag :Document/CstMsg/TxInf/Sender/ResidenceAddress/Address_01  khỏi body điện
  (các trường thông tin khác vẫn giữ nguyên)
3. Gửi POST request voi transactionType=MSB001
4. Verify: HTTP 200, result=ERROR, errorCode=03</t>
  </si>
  <si>
    <t>Headers:
Authorization:  Basic a3ljYWRtbjphYmMxMjM=    (Username and password to login)
Content-Type: application/xml
 transactionId: TF_AML_MSB001_MND_03
 requestId:   REQ_AML_MSB001_MND_03
 transactionType: MSB001
 branchCd: HN
 channel: T24
 isCallBack: N
Body: Dien MSB001 dung tai lieu mapping
Field bi THIEU: :Document/CstMsg/TxInf/Sender/ResidenceAddress/Address_01</t>
  </si>
  <si>
    <t>AML_MSB001_MND_06</t>
  </si>
  <si>
    <t>MSB001– Kiểm tra thông tin Khi thiếu trường thông tin :Document/CstMsg/TxInf/Sender/ResidenceAddress/Country_01 → errorCode=03</t>
  </si>
  <si>
    <t xml:space="preserve">Auth hợp lệ và còn hạn;
Body MSB001 KHÔNG có thông tin tag :Document/CstMsg/TxInf/Sender/ResidenceAddress/Country_01
Các thông tin mandatory khác vẫn đủ thông tin </t>
  </si>
  <si>
    <t>1. Chuẩn bị body điện MSB001 đúng chuẩn SWIFT theo dạng JSON hoặc XML
2. XÓA tag :Document/CstMsg/TxInf/Sender/ResidenceAddress/Country_01  khỏi body điện
  (các trường thông tin khác vẫn giữ nguyên)
3. Gửi POST request voi transactionType=MSB001
4. Verify: HTTP 200, result=ERROR, errorCode=03</t>
  </si>
  <si>
    <t>Headers:
Authorization:  Basic a3ljYWRtbjphYmMxMjM=    (Username and password to login)
Content-Type: application/xml
 transactionId: TF_AML_MSB001_MND_03
 requestId:   REQ_AML_MSB001_MND_03
 transactionType: MSB001
 branchCd: HN
 channel: T24
 isCallBack: N
Body: Dien MSB001 dung tai lieu mapping
Field bi THIEU: :Document/CstMsg/TxInf/Sender/ResidenceAddress/Country_01</t>
  </si>
  <si>
    <t>AML_MSB001_MND_07</t>
  </si>
  <si>
    <t>MSB001– Kiểm tra thông tin Khi thiếu trường thông tin :Document/CstMsg/TxInf/Receiver/FullName → errorCode=03</t>
  </si>
  <si>
    <t xml:space="preserve">Auth hợp lệ và còn hạn;
Body MSB001KHÔNG có thông tin tag :Document/CstMsg/TxInf/Receiver/FullName
Các thông tin mandatory khác vẫn đủ thông tin </t>
  </si>
  <si>
    <t>1. Chuẩn bị body điện MSB001 đúng chuẩn SWIFT theo dạng JSON hoặc XML
2. XÓA tag :Document/CstMsg/TxInf/Receiver/FullName  khỏi body điện
  (các trường thông tin khác vẫn giữ nguyên)
3. Gửi POST request voi transactionType=MSB001
4. Verify: HTTP 200, result=ERROR, errorCode=03</t>
  </si>
  <si>
    <t>Headers:
Authorization:  Basic a3ljYWRtbjphYmMxMjM=    (Username and password to login)
Content-Type: application/xml
 transactionId: TF_AML_MSB001_MND_03
 requestId:   REQ_AML_MSB001_MND_03
 transactionType: MSB001
 branchCd: HN
 channel: T24
 isCallBack: N
Body: Dien MSB001 dung tai lieu mapping
Field bi THIEU: :Document/CstMsg/TxInf/Receiver/FullName</t>
  </si>
  <si>
    <t>AML_MSB001_MND_08</t>
  </si>
  <si>
    <t>MSB001– Kiểm tra thông tin Khi thiếu trường thông tin :Document/CstMsg/TxInf/Receiver/DOB → errorCode=03</t>
  </si>
  <si>
    <t xml:space="preserve">Auth hợp lệ và còn hạn;
Body MSB001 KHÔNG có thông tin tag :Document/CstMsg/TxInf/Receiver/DOB
Các thông tin mandatory khác vẫn đủ thông tin </t>
  </si>
  <si>
    <t>1. Chuẩn bị body điện MSB001 đúng chuẩn SWIFT theo dạng JSON hoặc XML
2. XÓA tag :Document/CstMsg/TxInf/Receiver/DOB khỏi body điện
  (các trường thông tin khác vẫn giữ nguyên)
3. Gửi POST request voi transactionType=MSB001
4. Verify: HTTP 200, result=ERROR, errorCode=03</t>
  </si>
  <si>
    <t>Headers:
Authorization:  Basic a3ljYWRtbjphYmMxMjM=    (Username and password to login)
Content-Type: application/xml
 transactionId: TF_AML_MSB001_MND_03
 requestId:   REQ_AML_MSB001_MND_03
 transactionType: MSB001
 branchCd: HN
 channel: T24
 isCallBack: N
Body: Dien MSB001 dung tai lieu mapping
Field bi THIEU: :Document/CstMsg/TxInf/Receiver/DOB</t>
  </si>
  <si>
    <t>AML_MSB001_MND_09</t>
  </si>
  <si>
    <t>MSB001– Kiểm tra thông tin Khi thiếu trường thông tin :Document/CstMsg/TxInf/Receiver/Id/IdNumber_01→ errorCode=03</t>
  </si>
  <si>
    <t xml:space="preserve">Auth hợp lệ và còn hạn;
Body MSB001 KHÔNG có thông tin tag :Document/CstMsg/TxInf/Receiver/Id/IdNumber_01
Các thông tin mandatory khác vẫn đủ thông tin </t>
  </si>
  <si>
    <t>1. Chuẩn bị body điện MSB001 đúng chuẩn SWIFT theo dạng JSON hoặc XML
2. XÓA tag :Document/CstMsg/TxInf/Receiver/Id/IdNumber_01  khỏi body điện
  (các trường thông tin khác vẫn giữ nguyên)
3. Gửi POST request voi transactionType=MSB001
4. Verify: HTTP 200, result=ERROR, errorCode=03</t>
  </si>
  <si>
    <t>Headers:
Authorization:  Basic a3ljYWRtbjphYmMxMjM=    (Username and password to login)
Content-Type: application/xml
 transactionId: TF_AML_MSB001_MND_03
 requestId:   REQ_AML_MSB001_MND_03
 transactionType: MSB001
 branchCd: HN
 channel: T24
 isCallBack: N
Body: Dien MSB001 dung tai lieu mapping
Field bi THIEU: :Document/CstMsg/TxInf/Receiver/Id/IdNumber_01</t>
  </si>
  <si>
    <t>AML_MSB001_MND_10</t>
  </si>
  <si>
    <t>MSB001– Kiểm tra thông tin Khi thiếu trường thông tin :Document/CstMsg/TxInf/Receiver/ResidenceAddress/Address_01 → errorCode=03</t>
  </si>
  <si>
    <t xml:space="preserve">Auth hợp lệ và còn hạn;
Body MSB001 KHÔNG có thông tin tag :Document/CstMsg/TxInf/Receiver/ResidenceAddress/Address_01
Các thông tin mandatory khác vẫn đủ thông tin </t>
  </si>
  <si>
    <t>1. Chuẩn bị body điện MSB001 đúng chuẩn SWIFT theo dạng JSON hoặc XML
2. XÓA tag :Document/CstMsg/TxInf/Receiver/ResidenceAddress/Address_01  khỏi body điện
  (các trường thông tin khác vẫn giữ nguyên)
3. Gửi POST request voi transactionType=MSB001
4. Verify: HTTP 200, result=ERROR, errorCode=03</t>
  </si>
  <si>
    <t>Headers:
Authorization:  Basic a3ljYWRtbjphYmMxMjM=    (Username and password to login)
Content-Type: application/xml
 transactionId: TF_AML_MSB001_MND_03
 requestId:   REQ_AML_MSB001_MND_03
 transactionType: MSB001
 branchCd: HN
 channel: T24
 isCallBack: N
Body: Dien MSB001 dung tai lieu mapping
Field bi THIEU: :Document/CstMsg/TxInf/Receiver/ResidenceAddress/Address_01</t>
  </si>
  <si>
    <t>AML_MSB001_MND_11</t>
  </si>
  <si>
    <t>MSB001– Kiểm tra thông tin Khi thiếu trường thông tin :Document/CstMsg/TxInf/Receiver/ResidenceAddress/Country_01→ errorCode=03</t>
  </si>
  <si>
    <t xml:space="preserve">Auth hợp lệ và còn hạn;
Body MSB001 KHÔNG có thông tin tag :Document/CstMsg/TxInf/Receiver/ResidenceAddress/Country_01
Các thông tin mandatory khác vẫn đủ thông tin </t>
  </si>
  <si>
    <t>1. Chuẩn bị body điện MSB001 đúng chuẩn SWIFT theo dạng JSON hoặc XML
2. XÓA tag :Document/CstMsg/TxInf/Receiver/ResidenceAddress/Country_01  khỏi body điện
  (các trường thông tin khác vẫn giữ nguyên)
3. Gửi POST request voi transactionType=MSB001
4. Verify: HTTP 200, result=ERROR, errorCode=03</t>
  </si>
  <si>
    <t>Headers:
Authorization:  Basic a3ljYWRtbjphYmMxMjM=    (Username and password to login)
Content-Type: application/xml
 transactionId: TF_AML_MSB001_MND_03
 requestId:   REQ_AML_MSB001_MND_03
 transactionType: MSB001
 branchCd: HN
 channel: T24
 isCallBack: N
Body: Dien MSB001 dung tai lieu mapping
Field bi THIEU: :Document/CstMsg/TxInf/Receiver/ResidenceAddress/Country_01</t>
  </si>
  <si>
    <t>AML_MSB001_MND_12</t>
  </si>
  <si>
    <t>MSB001– Kiểm tra thông tin Khi thiếu trường thông tin :Document/CstMsg/TxInf/SenderOrg/VnName → errorCode=03</t>
  </si>
  <si>
    <t xml:space="preserve">Auth hợp lệ và còn hạn;
Body MSB001 KHÔNG có thông tin tag :Document/CstMsg/TxInf/SenderOrg/VnName
Các thông tin mandatory khác vẫn đủ thông tin </t>
  </si>
  <si>
    <t>1. Chuẩn bị body điện MSB001 đúng chuẩn SWIFT theo dạng JSON hoặc XML
2. XÓA tag :Document/CstMsg/TxInf/SenderOrg/VnName  khỏi body điện
  (các trường thông tin khác vẫn giữ nguyên)
3. Gửi POST request voi transactionType=MSB001
4. Verify: HTTP 200, result=ERROR, errorCode=03</t>
  </si>
  <si>
    <t>Headers:
Authorization:  Basic a3ljYWRtbjphYmMxMjM=    (Username and password to login)
Content-Type: application/xml
 transactionId: TF_AML_MSB001_MND_03
 requestId:   REQ_AML_MSB001_MND_03
 transactionType: MSB001
 branchCd: HN
 channel: T24
 isCallBack: N
Body: Dien MSB001 dung tai lieu mapping
Field bi THIEU: :Document/CstMsg/TxInf/SenderOrg/VnName</t>
  </si>
  <si>
    <t>AML_MSB001_MND_13</t>
  </si>
  <si>
    <t>MSB001– Kiểm tra thông tin Khi thiếu trường thông tin :Document/CstMsg/TxInf/SenderOrg/HeadquartersAddress → errorCode=03</t>
  </si>
  <si>
    <t xml:space="preserve">Auth hợp lệ và còn hạn;
Body MSB001 KHÔNG có thông tin tag :Document/CstMsg/TxInf/SenderOrg/HeadquartersAddress
Các thông tin mandatory khác vẫn đủ thông tin </t>
  </si>
  <si>
    <t>1. Chuẩn bị body điện MSB001 đúng chuẩn SWIFT theo dạng JSON hoặc XML
2. XÓA tag :Document/CstMsg/TxInf/SenderOrg/HeadquartersAddress  khỏi body điện
  (các trường thông tin khác vẫn giữ nguyên)
3. Gửi POST request voi transactionType=MSB001
4. Verify: HTTP 200, result=ERROR, errorCode=03</t>
  </si>
  <si>
    <t>Headers:
Authorization:  Basic a3ljYWRtbjphYmMxMjM=    (Username and password to login)
Content-Type: application/xml
 transactionId: TF_AML_MSB001_MND_03
 requestId:   REQ_AML_MSB001_MND_03
 transactionType: MSB001
 branchCd: HN
 channel: T24
 isCallBack: N
Body: Dien MSB001 dung tai lieu mapping
Field bi THIEU: :Document/CstMsg/TxInf/SenderOrg/HeadquartersAddress</t>
  </si>
  <si>
    <t>AML_MSB001_MND_14</t>
  </si>
  <si>
    <t>MSB001– Kiểm tra thông tin Khi thiếu trường thông tin :Document/CstMsg/TxInf/SenderOrg/HeadquartersCountry → errorCode=03</t>
  </si>
  <si>
    <t xml:space="preserve">Auth hợp lệ và còn hạn;
Body MSB001 KHÔNG có thông tin tag :Document/CstMsg/TxInf/SenderOrg/HeadquartersCountry
Các thông tin mandatory khác vẫn đủ thông tin </t>
  </si>
  <si>
    <t>1. Chuẩn bị body điện MSB001 đúng chuẩn SWIFT theo dạng JSON hoặc XML
2. XÓA tag :Document/CstMsg/TxInf/SenderOrg/HeadquartersCountry  khỏi body điện
  (các trường thông tin khác vẫn giữ nguyên)
3. Gửi POST request voi transactionType=MSB001
4. Verify: HTTP 200, result=ERROR, errorCode=03</t>
  </si>
  <si>
    <t>Headers:
Authorization:  Basic a3ljYWRtbjphYmMxMjM=    (Username and password to login)
Content-Type: application/xml
 transactionId: TF_AML_MSB001_MND_03
 requestId:   REQ_AML_MSB001_MND_03
 transactionType: MSB001
 branchCd: HN
 channel: T24
 isCallBack: N
Body: Dien MSB001 dung tai lieu mapping
Field bi THIEU: :Document/CstMsg/TxInf/SenderOrg/HeadquartersCountry</t>
  </si>
  <si>
    <t>AML_MSB001_MND_15</t>
  </si>
  <si>
    <t>MSB001– Kiểm tra thông tin Khi thiếu trường thông tin :Document/CstMsg/TxInf/SenderOrg/IncorporationDate → errorCode=03</t>
  </si>
  <si>
    <t xml:space="preserve">Auth hợp lệ và còn hạn;
Body MSB001 KHÔNG có thông tin tag :Document/CstMsg/TxInf/SenderOrg/IncorporationDate
Các thông tin mandatory khác vẫn đủ thông tin </t>
  </si>
  <si>
    <t>1. Chuẩn bị body điện MSB001 đúng chuẩn SWIFT theo dạng JSON hoặc XML
2. XÓA tag :Document/CstMsg/TxInf/SenderOrg/IncorporationDate  khỏi body điện
  (các trường thông tin khác vẫn giữ nguyên)
3. Gửi POST request voi transactionType=MSB001
4. Verify: HTTP 200, result=ERROR, errorCode=03</t>
  </si>
  <si>
    <t>Headers:
Authorization:  Basic a3ljYWRtbjphYmMxMjM=    (Username and password to login)
Content-Type: application/xml
 transactionId: TF_AML_MSB001_MND_03
 requestId:   REQ_AML_MSB001_MND_03
 transactionType: MSB001
 branchCd: HN
 channel: T24
 isCallBack: N
Body: Dien MSB001 dung tai lieu mapping
Field bi THIEU: :Document/CstMsg/TxInf/SenderOrg/IncorporationDate</t>
  </si>
  <si>
    <t>AML_MSB001_MND_16</t>
  </si>
  <si>
    <t>MSB001– Kiểm tra thông tin Khi thiếu trường thông tin :Document/CstMsg/TxInf/SenderOrg/Documents/DocumentNumber_01 → errorCode=03</t>
  </si>
  <si>
    <t xml:space="preserve">Auth hợp lệ và còn hạn;
Body MSB001 KHÔNG có thông tin tag :Document/CstMsg/TxInf/SenderOrg/Documents/DocumentNumber_01
Các thông tin mandatory khác vẫn đủ thông tin </t>
  </si>
  <si>
    <t>1. Chuẩn bị body điện MSB001 đúng chuẩn SWIFT theo dạng JSON hoặc XML
2. XÓA tag :Document/CstMsg/TxInf/SenderOrg/Documents/DocumentNumber_01  khỏi body điện
  (các trường thông tin khác vẫn giữ nguyên)
3. Gửi POST request voi transactionType=MSB001
4. Verify: HTTP 200, result=ERROR, errorCode=03</t>
  </si>
  <si>
    <t>Headers:
Authorization:  Basic a3ljYWRtbjphYmMxMjM=    (Username and password to login)
Content-Type: application/xml
 transactionId: TF_AML_MSB001_MND_03
 requestId:   REQ_AML_MSB001_MND_03
 transactionType: MSB001
 branchCd: HN
 channel: T24
 isCallBack: N
Body: Dien MSB001 dung tai lieu mapping
Field bi THIEU: :Document/CstMsg/TxInf/SenderOrg/Documents/DocumentNumber_01</t>
  </si>
  <si>
    <t>AML_MSB001_MND_17</t>
  </si>
  <si>
    <t>MSB001– Kiểm tra thông tin Khi thiếu trường thông tin :Document/CstMsg/TxInf/ReceiverOrg/VnName → errorCode=03</t>
  </si>
  <si>
    <t xml:space="preserve">Auth hợp lệ và còn hạn;
Body MSB001 KHÔNG có thông tin tag :Document/CstMsg/TxInf/ReceiverOrg/VnName
Các thông tin mandatory khác vẫn đủ thông tin </t>
  </si>
  <si>
    <t>1. Chuẩn bị body điện MSB001 đúng chuẩn SWIFT theo dạng JSON hoặc XML
2. XÓA tag :Document/CstMsg/TxInf/ReceiverOrg/VnName  khỏi body điện
  (các trường thông tin khác vẫn giữ nguyên)
3. Gửi POST request voi transactionType=MSB001
4. Verify: HTTP 200, result=ERROR, errorCode=03</t>
  </si>
  <si>
    <t>Headers:
Authorization:  Basic a3ljYWRtbjphYmMxMjM=    (Username and password to login)
Content-Type: application/xml
 transactionId: TF_AML_MSB001_MND_03
 requestId:   REQ_AML_MSB001_MND_03
 transactionType: MSB001
 branchCd: HN
 channel: T24
 isCallBack: N
Body: Dien MSB001 dung tai lieu mapping
Field bi THIEU: :Document/CstMsg/TxInf/ReceiverOrg/VnName</t>
  </si>
  <si>
    <t>AML_MSB001_MND_18</t>
  </si>
  <si>
    <t>MSB001– Kiểm tra thông tin Khi thiếu trường thông tin :Document/CstMsg/TxInf/ReceiverOrg/HeadquartersAddress → errorCode=03</t>
  </si>
  <si>
    <t xml:space="preserve">Auth hợp lệ và còn hạn;
Body MSB001 KHÔNG có thông tin tag :Document/CstMsg/TxInf/ReceiverOrg/HeadquartersAddress
Các thông tin mandatory khác vẫn đủ thông tin </t>
  </si>
  <si>
    <t>1. Chuẩn bị body điện MSB001 đúng chuẩn SWIFT theo dạng JSON hoặc XML
2. XÓA tag :Document/CstMsg/TxInf/ReceiverOrg/HeadquartersAddress  khỏi body điện
  (các trường thông tin khác vẫn giữ nguyên)
3. Gửi POST request voi transactionType=MSB001
4. Verify: HTTP 200, result=ERROR, errorCode=03</t>
  </si>
  <si>
    <t>Headers:
Authorization:  Basic a3ljYWRtbjphYmMxMjM=    (Username and password to login)
Content-Type: application/xml
 transactionId: TF_AML_MSB001_MND_03
 requestId:   REQ_AML_MSB001_MND_03
 transactionType: MSB001
 branchCd: HN
 channel: T24
 isCallBack: N
Body: Dien MSB001 dung tai lieu mapping
Field bi THIEU: :Document/CstMsg/TxInf/ReceiverOrg/HeadquartersAddress</t>
  </si>
  <si>
    <t>AML_MSB001_MND_19</t>
  </si>
  <si>
    <t>MSB001– Kiểm tra thông tin Khi thiếu trường thông tin :Document/CstMsg/TxInf/ReceiverOrg/HeadquartersCountry → errorCode=03</t>
  </si>
  <si>
    <t xml:space="preserve">Auth hợp lệ và còn hạn;
Body MSB001 KHÔNG có thông tin tag :Document/CstMsg/TxInf/ReceiverOrg/HeadquartersCountry
Các thông tin mandatory khác vẫn đủ thông tin </t>
  </si>
  <si>
    <t>1. Chuẩn bị body điện MSB001 đúng chuẩn SWIFT theo dạng JSON hoặc XML
2. XÓA tag :Document/CstMsg/TxInf/ReceiverOrg/HeadquartersCountry  khỏi body điện
  (các trường thông tin khác vẫn giữ nguyên)
3. Gửi POST request voi transactionType=MSB001
4. Verify: HTTP 200, result=ERROR, errorCode=03</t>
  </si>
  <si>
    <t>Headers:
Authorization:  Basic a3ljYWRtbjphYmMxMjM=    (Username and password to login)
Content-Type: application/xml
 transactionId: TF_AML_MSB001_MND_03
 requestId:   REQ_AML_MSB001_MND_03
 transactionType: MSB001
 branchCd: HN
 channel: T24
 isCallBack: N
Body: Dien MSB001 dung tai lieu mapping
Field bi THIEU: :Document/CstMsg/TxInf/ReceiverOrg/HeadquartersCountry</t>
  </si>
  <si>
    <t>AML_MSB001_MND_20</t>
  </si>
  <si>
    <t>MSB001– Kiểm tra thông tin Khi thiếu trường thông tin :Document/CstMsg/TxInf/ReceiverOrg/IncorporationDate → errorCode=03</t>
  </si>
  <si>
    <t xml:space="preserve">Auth hợp lệ và còn hạn;
Body MSB001 KHÔNG có thông tin tag :Document/CstMsg/TxInf/ReceiverOrg/IncorporationDate
Các thông tin mandatory khác vẫn đủ thông tin </t>
  </si>
  <si>
    <t>1. Chuẩn bị body điện MSB001 đúng chuẩn SWIFT theo dạng JSON hoặc XML
2. XÓA tag :Document/CstMsg/TxInf/ReceiverOrg/IncorporationDate  khỏi body điện
  (các trường thông tin khác vẫn giữ nguyên)
3. Gửi POST request voi transactionType=MSB001
4. Verify: HTTP 200, result=ERROR, errorCode=03</t>
  </si>
  <si>
    <t>Headers:
Authorization:  Basic a3ljYWRtbjphYmMxMjM=    (Username and password to login)
Content-Type: application/xml
 transactionId: TF_AML_MSB001_MND_03
 requestId:   REQ_AML_MSB001_MND_03
 transactionType: MSB001
 branchCd: HN
 channel: T24
 isCallBack: N
Body: Dien MSB001 dung tai lieu mapping
Field bi THIEU: :Document/CstMsg/TxInf/ReceiverOrg/IncorporationDate</t>
  </si>
  <si>
    <t>AML_MSB001_MND_21</t>
  </si>
  <si>
    <t>MSB001– Kiểm tra thông tin Khi thiếu trường thông tin :Document/CstMsg/TxInf/ReceiverOrg/Documents/DocumentNumber_01 → errorCode=03</t>
  </si>
  <si>
    <t xml:space="preserve">Auth hợp lệ và còn hạn;
Body MSB001 KHÔNG có thông tin tag :Document/CstMsg/TxInf/ReceiverOrg/Documents/DocumentNumber_01
Các thông tin mandatory khác vẫn đủ thông tin </t>
  </si>
  <si>
    <t>1. Chuẩn bị body điện MSB001 đúng chuẩn SWIFT theo dạng JSON hoặc XML
2. XÓA tag :Document/CstMsg/TxInf/ReceiverOrg/Documents/DocumentNumber_01  khỏi body điện
  (các trường thông tin khác vẫn giữ nguyên)
3. Gửi POST request voi transactionType=MSB001
4. Verify: HTTP 200, result=ERROR, errorCode=03</t>
  </si>
  <si>
    <t>Headers:
Authorization:  Basic a3ljYWRtbjphYmMxMjM=    (Username and password to login)
Content-Type: application/xml
 transactionId: TF_AML_MSB001_MND_03
 requestId:   REQ_AML_MSB001_MND_03
 transactionType: MSB001
 branchCd: HN
 channel: T24
 isCallBack: N
Body: Dien MSB001 dung tai lieu mapping
Field bi THIEU: :Document/CstMsg/TxInf/ReceiverOrg/Documents/DocumentNumber_01</t>
  </si>
  <si>
    <t xml:space="preserve">  AML_MSB002_MND Kiem tra field mandatory cho dien MSB002( 23 field : Document/CstMsg/GrpHdr/MsgId,Document/CstMsg/GrpHdr/CreDtTm,Document/CstMsg/TxInf/TransactionId,Document/CstMsg/TxInf/Sender/FullName,Document/CstMsg/TxInf/Sender/DOB,Document/CstMsg/TxInf/Sender/Id/IdNumber_01,Document/CstMsg/TxInf/Sender/ResidenceAddress/Address_01,Document/CstMsg/TxInf/Sender/ResidenceAddress/Country_01,Document/CstMsg/TxInf/Receiver/FullName,Document/CstMsg/TxInf/Receiver/DOB,Document/CstMsg/TxInf/Receiver/Id/IdNumber_01,Document/CstMsg/TxInf/Receiver/ResidenceAddress/Address_01,Document/CstMsg/TxInf/Receiver/ResidenceAddress/Country_01,Document/CstMsg/TxInf/SenderOrg/VnName,Document/CstMsg/TxInf/SenderOrg/HeadquartersAddress,Document/CstMsg/TxInf/SenderOrg/HeadquartersCountry,Document/CstMsg/TxInf/SenderOrg/IncorporationDate,Document/CstMsg/TxInf/SenderOrg/Documents/DocumentNumber_01,Document/CstMsg/TxInf/ReceiverOrg/VnName,Document/CstMsg/TxInf/ReceiverOrg/HeadquartersAddress,Document/CstMsg/TxInf/ReceiverOrg/HeadquartersCountry,Document/CstMsg/TxInf/ReceiverOrg/IncorporationDate,Document/CstMsg/TxInf/ReceiverOrg/Documents/DocumentNumber_01</t>
  </si>
  <si>
    <t>AML_MSB002_MND_01</t>
  </si>
  <si>
    <t>MSB002– Check chuyển thông tin từ JSON sang XML format khi gọi API sàng lọc</t>
  </si>
  <si>
    <t>Auth hợp lệ và còn hạn;
Body MSB002 và gửi bản tin bằng JSON</t>
  </si>
  <si>
    <t>1. Chuẩn bị body điện MSB002 đúng chuẩn SWIFT theo dạng JSON hoặc XML
2. Thông tin bản tin gửi đi dạng JSON
3. Gửi POST request voi transactionType=MSB001
4. Verify: HTTP 200, result=ERROR, errorCode=03</t>
  </si>
  <si>
    <t>AML_MSB002_MND_02</t>
  </si>
  <si>
    <t>MSB002– Kiểm tra thông tin Khi thiếu trường thông tin :Document/CstMsg/TxInf/Sender/FullName → errorCode=03</t>
  </si>
  <si>
    <t xml:space="preserve">Auth hợp lệ và còn hạn;
Body MSB002 KHÔNG có thông tin tag :Document/CstMsg/TxInf/Sender/FullName
Các thông tin mandatory khác vẫn đủ thông tin </t>
  </si>
  <si>
    <t>1. Chuẩn bị body điện MSB002 đúng chuẩn SWIFT theo dạng JSON hoặc XML
2. XÓA tag :Document/CstMsg/TxInf/Sender/FullName  khỏi body điện
  (các trường thông tin khác vẫn giữ nguyên)
3. Gửi POST request voi transactionType=MSB002
4. Verify: HTTP 200, result=ERROR, errorCode=03</t>
  </si>
  <si>
    <t>Headers:
Authorization:  Basic a3ljYWRtbjphYmMxMjM=    (Username and password to login)
Content-Type: application/xml
 transactionId: TF_AML_MSB002_MND_03
 requestId:   REQ_AML_MSB002_MND_03
 transactionType: MSB002
 branchCd: HN
 channel: T24
 isCallBack: N
Body: Dien MSB002 dung tai lieu mapping
Field bi THIEU: :Document/CstMsg/TxInf/Sender/FullName</t>
  </si>
  <si>
    <t>AML_MSB002_MND_03</t>
  </si>
  <si>
    <t>MSB002– Kiểm tra thông tin Khi thiếu trường thông tin :Document/CstMsg/TxInf/Sender/DOB → errorCode=03</t>
  </si>
  <si>
    <t xml:space="preserve">Auth hợp lệ và còn hạn;
Body MSB002 KHÔNG có thông tin tag :Document/CstMsg/TxInf/Sender/DOB
Các thông tin mandatory khác vẫn đủ thông tin </t>
  </si>
  <si>
    <t>1. Chuẩn bị body điện MSB002 đúng chuẩn SWIFT theo dạng JSON hoặc XML
2. XÓA tag :Document/CstMsg/TxInf/Sender/DOB  khỏi body điện
  (các trường thông tin khác vẫn giữ nguyên)
3. Gửi POST request voi transactionType=MSB002
4. Verify: HTTP 200, result=ERROR, errorCode=03</t>
  </si>
  <si>
    <t>Headers:
Authorization:  Basic a3ljYWRtbjphYmMxMjM=    (Username and password to login)
Content-Type: application/xml
 transactionId: TF_AML_MSB002_MND_03
 requestId:   REQ_AML_MSB002_MND_03
 transactionType: MSB002
 branchCd: HN
 channel: T24
 isCallBack: N
Body: Dien MSB002 dung tai lieu mapping
Field bi THIEU: :Document/CstMsg/TxInf/Sender/DOB</t>
  </si>
  <si>
    <t>AML_MSB002_MND_04</t>
  </si>
  <si>
    <t>MSB002– Kiểm tra thông tin Khi thiếu trường thông tin :Document/CstMsg/TxInf/Sender/Id/IdNumber_01 → errorCode=03</t>
  </si>
  <si>
    <t xml:space="preserve">Auth hợp lệ và còn hạn;
Body MSB002 KHÔNG có thông tin tag :Document/CstMsg/TxInf/Sender/Id/IdNumber_01
Các thông tin mandatory khác vẫn đủ thông tin </t>
  </si>
  <si>
    <t>1. Chuẩn bị body điện MSB002 đúng chuẩn SWIFT theo dạng JSON hoặc XML
2. XÓA tag :Document/CstMsg/TxInf/Sender/Id/IdNumber_01  khỏi body điện
  (các trường thông tin khác vẫn giữ nguyên)
3. Gửi POST request voi transactionType=MSB002
4. Verify: HTTP 200, result=ERROR, errorCode=03</t>
  </si>
  <si>
    <t>Headers:
Authorization:  Basic a3ljYWRtbjphYmMxMjM=    (Username and password to login)
Content-Type: application/xml
 transactionId: TF_AML_MSB002_MND_03
 requestId:   REQ_AML_MSB002_MND_03
 transactionType: MSB002
 branchCd: HN
 channel: T24
 isCallBack: N
Body: Dien MSB002 dung tai lieu mapping
Field bi THIEU: :Document/CstMsg/TxInf/Sender/Id/IdNumber_01</t>
  </si>
  <si>
    <t>AML_MSB002_MND_05</t>
  </si>
  <si>
    <t>MSB002– Kiểm tra thông tin Khi thiếu trường thông tin :Document/CstMsg/TxInf/Sender/ResidenceAddress/Address_01 → errorCode=03</t>
  </si>
  <si>
    <t xml:space="preserve">Auth hợp lệ và còn hạn;
Body MSB002 KHÔNG có thông tin tag :Document/CstMsg/TxInf/Sender/ResidenceAddress/Address_01
Các thông tin mandatory khác vẫn đủ thông tin </t>
  </si>
  <si>
    <t>1. Chuẩn bị body điện MSB002 đúng chuẩn SWIFT theo dạng JSON hoặc XML
2. XÓA tag :Document/CstMsg/TxInf/Sender/ResidenceAddress/Address_01  khỏi body điện
  (các trường thông tin khác vẫn giữ nguyên)
3. Gửi POST request voi transactionType=MSB002
4. Verify: HTTP 200, result=ERROR, errorCode=03</t>
  </si>
  <si>
    <t>Headers:
Authorization:  Basic a3ljYWRtbjphYmMxMjM=    (Username and password to login)
Content-Type: application/xml
 transactionId: TF_AML_MSB002_MND_03
 requestId:   REQ_AML_MSB002_MND_03
 transactionType: MSB002
 branchCd: HN
 channel: T24
 isCallBack: N
Body: Dien MSB002 dung tai lieu mapping
Field bi THIEU: :Document/CstMsg/TxInf/Sender/ResidenceAddress/Address_01</t>
  </si>
  <si>
    <t>AML_MSB002_MND_06</t>
  </si>
  <si>
    <t>MSB002– Kiểm tra thông tin Khi thiếu trường thông tin :Document/CstMsg/TxInf/Sender/ResidenceAddress/Country_01 → errorCode=03</t>
  </si>
  <si>
    <t xml:space="preserve">Auth hợp lệ và còn hạn;
Body MSB002 KHÔNG có thông tin tag :Document/CstMsg/TxInf/Sender/ResidenceAddress/Country_01
Các thông tin mandatory khác vẫn đủ thông tin </t>
  </si>
  <si>
    <t>1. Chuẩn bị body điện MSB002 đúng chuẩn SWIFT theo dạng JSON hoặc XML
2. XÓA tag :Document/CstMsg/TxInf/Sender/ResidenceAddress/Country_01  khỏi body điện
  (các trường thông tin khác vẫn giữ nguyên)
3. Gửi POST request voi transactionType=MSB002
4. Verify: HTTP 200, result=ERROR, errorCode=03</t>
  </si>
  <si>
    <t>Headers:
Authorization:  Basic a3ljYWRtbjphYmMxMjM=    (Username and password to login)
Content-Type: application/xml
 transactionId: TF_AML_MSB002_MND_03
 requestId:   REQ_AML_MSB002_MND_03
 transactionType: MSB002
 branchCd: HN
 channel: T24
 isCallBack: N
Body: Dien MSB002 dung tai lieu mapping
Field bi THIEU: :Document/CstMsg/TxInf/Sender/ResidenceAddress/Country_01</t>
  </si>
  <si>
    <t>AML_MSB002_MND_07</t>
  </si>
  <si>
    <t>MSB002– Kiểm tra thông tin Khi thiếu trường thông tin :Document/CstMsg/TxInf/Receiver/FullName → errorCode=03</t>
  </si>
  <si>
    <t xml:space="preserve">Auth hợp lệ và còn hạn;
Body MSB002KHÔNG có thông tin tag :Document/CstMsg/TxInf/Receiver/FullName
Các thông tin mandatory khác vẫn đủ thông tin </t>
  </si>
  <si>
    <t>1. Chuẩn bị body điện MSB002 đúng chuẩn SWIFT theo dạng JSON hoặc XML
2. XÓA tag :Document/CstMsg/TxInf/Receiver/FullName  khỏi body điện
  (các trường thông tin khác vẫn giữ nguyên)
3. Gửi POST request voi transactionType=MSB002
4. Verify: HTTP 200, result=ERROR, errorCode=03</t>
  </si>
  <si>
    <t>Headers:
Authorization:  Basic a3ljYWRtbjphYmMxMjM=    (Username and password to login)
Content-Type: application/xml
 transactionId: TF_AML_MSB002_MND_03
 requestId:   REQ_AML_MSB002_MND_03
 transactionType: MSB002
 branchCd: HN
 channel: T24
 isCallBack: N
Body: Dien MSB002 dung tai lieu mapping
Field bi THIEU: :Document/CstMsg/TxInf/Receiver/FullName</t>
  </si>
  <si>
    <t>AML_MSB002_MND_08</t>
  </si>
  <si>
    <t>MSB002– Kiểm tra thông tin Khi thiếu trường thông tin :Document/CstMsg/TxInf/Receiver/DOB → errorCode=03</t>
  </si>
  <si>
    <t xml:space="preserve">Auth hợp lệ và còn hạn;
Body MSB002 KHÔNG có thông tin tag :Document/CstMsg/TxInf/Receiver/DOB
Các thông tin mandatory khác vẫn đủ thông tin </t>
  </si>
  <si>
    <t>1. Chuẩn bị body điện MSB002 đúng chuẩn SWIFT theo dạng JSON hoặc XML
2. XÓA tag :Document/CstMsg/TxInf/Receiver/DOB  khỏi body điện
  (các trường thông tin khác vẫn giữ nguyên)
3. Gửi POST request voi transactionType=MSB002
4. Verify: HTTP 200, result=ERROR, errorCode=03</t>
  </si>
  <si>
    <t>Headers:
Authorization:  Basic a3ljYWRtbjphYmMxMjM=    (Username and password to login)
Content-Type: application/xml
 transactionId: TF_AML_MSB002_MND_03
 requestId:   REQ_AML_MSB002_MND_03
 transactionType: MSB002
 branchCd: HN
 channel: T24
 isCallBack: N
Body: Dien MSB002 dung tai lieu mapping
Field bi THIEU: :Document/CstMsg/TxInf/Receiver/DOB</t>
  </si>
  <si>
    <t>AML_MSB002_MND_09</t>
  </si>
  <si>
    <t>MSB002– Kiểm tra thông tin Khi thiếu trường thông tin :Document/CstMsg/TxInf/Receiver/Id/IdNumber_01→ errorCode=03</t>
  </si>
  <si>
    <t xml:space="preserve">Auth hợp lệ và còn hạn;
Body MSB002 KHÔNG có thông tin tag :Document/CstMsg/TxInf/Receiver/Id/IdNumber_01
Các thông tin mandatory khác vẫn đủ thông tin </t>
  </si>
  <si>
    <t>1. Chuẩn bị body điện MSB002 đúng chuẩn SWIFT theo dạng JSON hoặc XML
2. XÓA tag :Document/CstMsg/TxInf/Receiver/Id/IdNumber_01  khỏi body điện
  (các trường thông tin khác vẫn giữ nguyên)
3. Gửi POST request voi transactionType=MSB002
4. Verify: HTTP 200, result=ERROR, errorCode=03</t>
  </si>
  <si>
    <t>Headers:
Authorization:  Basic a3ljYWRtbjphYmMxMjM=    (Username and password to login)
Content-Type: application/xml
 transactionId: TF_AML_MSB002_MND_03
 requestId:   REQ_AML_MSB002_MND_03
 transactionType: MSB002
 branchCd: HN
 channel: T24
 isCallBack: N
Body: Dien MSB002 dung tai lieu mapping
Field bi THIEU: :Document/CstMsg/TxInf/Receiver/Id/IdNumber_01</t>
  </si>
  <si>
    <t>AML_MSB002_MND_10</t>
  </si>
  <si>
    <t>MSB002– Kiểm tra thông tin Khi thiếu trường thông tin :Document/CstMsg/TxInf/Receiver/ResidenceAddress/Address_01 → errorCode=03</t>
  </si>
  <si>
    <t xml:space="preserve">Auth hợp lệ và còn hạn;
Body MSB002 KHÔNG có thông tin tag :Document/CstMsg/TxInf/Receiver/ResidenceAddress/Address_01
Các thông tin mandatory khác vẫn đủ thông tin </t>
  </si>
  <si>
    <t>1. Chuẩn bị body điện MSB002 đúng chuẩn SWIFT theo dạng JSON hoặc XML
2. XÓA tag :Document/CstMsg/TxInf/Receiver/ResidenceAddress/Address_01  khỏi body điện
  (các trường thông tin khác vẫn giữ nguyên)
3. Gửi POST request voi transactionType=MSB002
4. Verify: HTTP 200, result=ERROR, errorCode=03</t>
  </si>
  <si>
    <t>Headers:
Authorization:  Basic a3ljYWRtbjphYmMxMjM=    (Username and password to login)
Content-Type: application/xml
 transactionId: TF_AML_MSB002_MND_03
 requestId:   REQ_AML_MSB002_MND_03
 transactionType: MSB002
 branchCd: HN
 channel: T24
 isCallBack: N
Body: Dien MSB002 dung tai lieu mapping
Field bi THIEU: :Document/CstMsg/TxInf/Receiver/ResidenceAddress/Address_01</t>
  </si>
  <si>
    <t>AML_MSB002_MND_11</t>
  </si>
  <si>
    <t>MSB002– Kiểm tra thông tin Khi thiếu trường thông tin :Document/CstMsg/TxInf/Receiver/ResidenceAddress/Country_01→ errorCode=03</t>
  </si>
  <si>
    <t xml:space="preserve">Auth hợp lệ và còn hạn;
Body MSB002 KHÔNG có thông tin tag :Document/CstMsg/TxInf/Receiver/ResidenceAddress/Country_01
Các thông tin mandatory khác vẫn đủ thông tin </t>
  </si>
  <si>
    <t>1. Chuẩn bị body điện MSB002 đúng chuẩn SWIFT theo dạng JSON hoặc XML
2. XÓA tag :Document/CstMsg/TxInf/Receiver/ResidenceAddress/Country_01  khỏi body điện
  (các trường thông tin khác vẫn giữ nguyên)
3. Gửi POST request voi transactionType=MSB002
4. Verify: HTTP 200, result=ERROR, errorCode=03</t>
  </si>
  <si>
    <t>Headers:
Authorization:  Basic a3ljYWRtbjphYmMxMjM=    (Username and password to login)
Content-Type: application/xml
 transactionId: TF_AML_MSB002_MND_03
 requestId:   REQ_AML_MSB002_MND_03
 transactionType: MSB002
 branchCd: HN
 channel: T24
 isCallBack: N
Body: Dien MSB002 dung tai lieu mapping
Field bi THIEU: :Document/CstMsg/TxInf/Receiver/ResidenceAddress/Country_01</t>
  </si>
  <si>
    <t>AML_MSB002_MND_12</t>
  </si>
  <si>
    <t>MSB002– Kiểm tra thông tin Khi thiếu trường thông tin :Document/CstMsg/TxInf/SenderOrg/VnName → errorCode=03</t>
  </si>
  <si>
    <t xml:space="preserve">Auth hợp lệ và còn hạn;
Body MSB002 KHÔNG có thông tin tag :Document/CstMsg/TxInf/SenderOrg/VnName
Các thông tin mandatory khác vẫn đủ thông tin </t>
  </si>
  <si>
    <t>1. Chuẩn bị body điện MSB002 đúng chuẩn SWIFT theo dạng JSON hoặc XML
2. XÓA tag :Document/CstMsg/TxInf/SenderOrg/VnName  khỏi body điện
  (các trường thông tin khác vẫn giữ nguyên)
3. Gửi POST request voi transactionType=MSB002
4. Verify: HTTP 200, result=ERROR, errorCode=03</t>
  </si>
  <si>
    <t>Headers:
Authorization:  Basic a3ljYWRtbjphYmMxMjM=    (Username and password to login)
Content-Type: application/xml
 transactionId: TF_AML_MSB002_MND_03
 requestId:   REQ_AML_MSB002_MND_03
 transactionType: MSB002
 branchCd: HN
 channel: T24
 isCallBack: N
Body: Dien MSB002 dung tai lieu mapping
Field bi THIEU: :Document/CstMsg/TxInf/SenderOrg/VnName</t>
  </si>
  <si>
    <t>AML_MSB002_MND_13</t>
  </si>
  <si>
    <t>MSB002– Kiểm tra thông tin Khi thiếu trường thông tin :Document/CstMsg/TxInf/SenderOrg/HeadquartersAddress → errorCode=03</t>
  </si>
  <si>
    <t xml:space="preserve">Auth hợp lệ và còn hạn;
Body MSB002 KHÔNG có thông tin tag :Document/CstMsg/TxInf/SenderOrg/HeadquartersAddress
Các thông tin mandatory khác vẫn đủ thông tin </t>
  </si>
  <si>
    <t>1. Chuẩn bị body điện MSB002 đúng chuẩn SWIFT theo dạng JSON hoặc XML
2. XÓA tag :Document/CstMsg/TxInf/SenderOrg/HeadquartersAddress  khỏi body điện
  (các trường thông tin khác vẫn giữ nguyên)
3. Gửi POST request voi transactionType=MSB002
4. Verify: HTTP 200, result=ERROR, errorCode=03</t>
  </si>
  <si>
    <t>Headers:
Authorization:  Basic a3ljYWRtbjphYmMxMjM=    (Username and password to login)
Content-Type: application/xml
 transactionId: TF_AML_MSB002_MND_03
 requestId:   REQ_AML_MSB002_MND_03
 transactionType: MSB002
 branchCd: HN
 channel: T24
 isCallBack: N
Body: Dien MSB002 dung tai lieu mapping
Field bi THIEU: :Document/CstMsg/TxInf/SenderOrg/HeadquartersAddress</t>
  </si>
  <si>
    <t>AML_MSB002_MND_14</t>
  </si>
  <si>
    <t>MSB002– Kiểm tra thông tin Khi thiếu trường thông tin :Document/CstMsg/TxInf/SenderOrg/HeadquartersCountry → errorCode=03</t>
  </si>
  <si>
    <t xml:space="preserve">Auth hợp lệ và còn hạn;
Body MSB002 KHÔNG có thông tin tag :Document/CstMsg/TxInf/SenderOrg/HeadquartersCountry
Các thông tin mandatory khác vẫn đủ thông tin </t>
  </si>
  <si>
    <t>1. Chuẩn bị body điện MSB002 đúng chuẩn SWIFT theo dạng JSON hoặc XML
2. XÓA tag :Document/CstMsg/TxInf/SenderOrg/HeadquartersCountry  khỏi body điện
  (các trường thông tin khác vẫn giữ nguyên)
3. Gửi POST request voi transactionType=MSB002
4. Verify: HTTP 200, result=ERROR, errorCode=03</t>
  </si>
  <si>
    <t>Headers:
Authorization:  Basic a3ljYWRtbjphYmMxMjM=    (Username and password to login)
Content-Type: application/xml
 transactionId: TF_AML_MSB002_MND_03
 requestId:   REQ_AML_MSB002_MND_03
 transactionType: MSB002
 branchCd: HN
 channel: T24
 isCallBack: N
Body: Dien MSB002 dung tai lieu mapping
Field bi THIEU: :Document/CstMsg/TxInf/SenderOrg/HeadquartersCountry</t>
  </si>
  <si>
    <t>AML_MSB002_MND_15</t>
  </si>
  <si>
    <t>MSB002– Kiểm tra thông tin Khi thiếu trường thông tin :Document/CstMsg/TxInf/SenderOrg/IncorporationDate → errorCode=03</t>
  </si>
  <si>
    <t xml:space="preserve">Auth hợp lệ và còn hạn;
Body MSB002 KHÔNG có thông tin tag :Document/CstMsg/TxInf/SenderOrg/IncorporationDate
Các thông tin mandatory khác vẫn đủ thông tin </t>
  </si>
  <si>
    <t>1. Chuẩn bị body điện MSB002 đúng chuẩn SWIFT theo dạng JSON hoặc XML
2. XÓA tag :Document/CstMsg/TxInf/SenderOrg/IncorporationDate  khỏi body điện
  (các trường thông tin khác vẫn giữ nguyên)
3. Gửi POST request voi transactionType=MSB002
4. Verify: HTTP 200, result=ERROR, errorCode=03</t>
  </si>
  <si>
    <t>Headers:
Authorization:  Basic a3ljYWRtbjphYmMxMjM=    (Username and password to login)
Content-Type: application/xml
 transactionId: TF_AML_MSB002_MND_03
 requestId:   REQ_AML_MSB002_MND_03
 transactionType: MSB002
 branchCd: HN
 channel: T24
 isCallBack: N
Body: Dien MSB002 dung tai lieu mapping
Field bi THIEU: :Document/CstMsg/TxInf/SenderOrg/IncorporationDate</t>
  </si>
  <si>
    <t>AML_MSB002_MND_16</t>
  </si>
  <si>
    <t>MSB002– Kiểm tra thông tin Khi thiếu trường thông tin :Document/CstMsg/TxInf/SenderOrg/Documents/DocumentNumber_01 → errorCode=03</t>
  </si>
  <si>
    <t xml:space="preserve">Auth hợp lệ và còn hạn;
Body MSB002 KHÔNG có thông tin tag :Document/CstMsg/TxInf/SenderOrg/Documents/DocumentNumber_01
Các thông tin mandatory khác vẫn đủ thông tin </t>
  </si>
  <si>
    <t>1. Chuẩn bị body điện MSB002 đúng chuẩn SWIFT theo dạng JSON hoặc XML
2. XÓA tag :Document/CstMsg/TxInf/SenderOrg/Documents/DocumentNumber_01  khỏi body điện
  (các trường thông tin khác vẫn giữ nguyên)
3. Gửi POST request voi transactionType=MSB002
4. Verify: HTTP 200, result=ERROR, errorCode=03</t>
  </si>
  <si>
    <t>Headers:
Authorization:  Basic a3ljYWRtbjphYmMxMjM=    (Username and password to login)
Content-Type: application/xml
 transactionId: TF_AML_MSB002_MND_03
 requestId:   REQ_AML_MSB002_MND_03
 transactionType: MSB002
 branchCd: HN
 channel: T24
 isCallBack: N
Body: Dien MSB002 dung tai lieu mapping
Field bi THIEU: :Document/CstMsg/TxInf/SenderOrg/Documents/DocumentNumber_01</t>
  </si>
  <si>
    <t>AML_MSB002_MND_17</t>
  </si>
  <si>
    <t>MSB002– Kiểm tra thông tin Khi thiếu trường thông tin :Document/CstMsg/TxInf/ReceiverOrg/VnName → errorCode=03</t>
  </si>
  <si>
    <t xml:space="preserve">Auth hợp lệ và còn hạn;
Body MSB002 KHÔNG có thông tin tag :Document/CstMsg/TxInf/ReceiverOrg/VnName
Các thông tin mandatory khác vẫn đủ thông tin </t>
  </si>
  <si>
    <t>1. Chuẩn bị body điện MSB002 đúng chuẩn SWIFT theo dạng JSON hoặc XML
2. XÓA tag :Document/CstMsg/TxInf/ReceiverOrg/VnName  khỏi body điện
  (các trường thông tin khác vẫn giữ nguyên)
3. Gửi POST request voi transactionType=MSB002
4. Verify: HTTP 200, result=ERROR, errorCode=03</t>
  </si>
  <si>
    <t>Headers:
Authorization:  Basic a3ljYWRtbjphYmMxMjM=    (Username and password to login)
Content-Type: application/xml
 transactionId: TF_AML_MSB002_MND_03
 requestId:   REQ_AML_MSB002_MND_03
 transactionType: MSB002
 branchCd: HN
 channel: T24
 isCallBack: N
Body: Dien MSB002 dung tai lieu mapping
Field bi THIEU: :Document/CstMsg/TxInf/ReceiverOrg/VnName</t>
  </si>
  <si>
    <t>AML_MSB002_MND_18</t>
  </si>
  <si>
    <t>MSB002– Kiểm tra thông tin Khi thiếu trường thông tin :Document/CstMsg/TxInf/ReceiverOrg/HeadquartersAddress → errorCode=03</t>
  </si>
  <si>
    <t xml:space="preserve">Auth hợp lệ và còn hạn;
Body MSB002 KHÔNG có thông tin tag :Document/CstMsg/TxInf/ReceiverOrg/HeadquartersAddress
Các thông tin mandatory khác vẫn đủ thông tin </t>
  </si>
  <si>
    <t>1. Chuẩn bị body điện MSB002 đúng chuẩn SWIFT theo dạng JSON hoặc XML
2. XÓA tag :Document/CstMsg/TxInf/ReceiverOrg/HeadquartersAddress  khỏi body điện
  (các trường thông tin khác vẫn giữ nguyên)
3. Gửi POST request voi transactionType=MSB002
4. Verify: HTTP 200, result=ERROR, errorCode=03</t>
  </si>
  <si>
    <t>Headers:
Authorization:  Basic a3ljYWRtbjphYmMxMjM=    (Username and password to login)
Content-Type: application/xml
 transactionId: TF_AML_MSB002_MND_03
 requestId:   REQ_AML_MSB002_MND_03
 transactionType: MSB002
 branchCd: HN
 channel: T24
 isCallBack: N
Body: Dien MSB002 dung tai lieu mapping
Field bi THIEU: :Document/CstMsg/TxInf/ReceiverOrg/HeadquartersAddress</t>
  </si>
  <si>
    <t>AML_MSB002_MND_19</t>
  </si>
  <si>
    <t>MSB002– Kiểm tra thông tin Khi thiếu trường thông tin :Document/CstMsg/TxInf/ReceiverOrg/HeadquartersCountry → errorCode=03</t>
  </si>
  <si>
    <t xml:space="preserve">Auth hợp lệ và còn hạn;
Body MSB002 KHÔNG có thông tin tag :Document/CstMsg/TxInf/ReceiverOrg/HeadquartersCountry
Các thông tin mandatory khác vẫn đủ thông tin </t>
  </si>
  <si>
    <t>1. Chuẩn bị body điện MSB002 đúng chuẩn SWIFT theo dạng JSON hoặc XML
2. XÓA tag :Document/CstMsg/TxInf/ReceiverOrg/HeadquartersCountry  khỏi body điện
  (các trường thông tin khác vẫn giữ nguyên)
3. Gửi POST request voi transactionType=MSB002
4. Verify: HTTP 200, result=ERROR, errorCode=03</t>
  </si>
  <si>
    <t>Headers:
Authorization:  Basic a3ljYWRtbjphYmMxMjM=    (Username and password to login)
Content-Type: application/xml
 transactionId: TF_AML_MSB002_MND_03
 requestId:   REQ_AML_MSB002_MND_03
 transactionType: MSB002
 branchCd: HN
 channel: T24
 isCallBack: N
Body: Dien MSB002 dung tai lieu mapping
Field bi THIEU: :Document/CstMsg/TxInf/ReceiverOrg/HeadquartersCountry</t>
  </si>
  <si>
    <t>AML_MSB002_MND_20</t>
  </si>
  <si>
    <t>MSB002– Kiểm tra thông tin Khi thiếu trường thông tin :Document/CstMsg/TxInf/ReceiverOrg/IncorporationDate → errorCode=03</t>
  </si>
  <si>
    <t xml:space="preserve">Auth hợp lệ và còn hạn;
Body MSB002 KHÔNG có thông tin tag :Document/CstMsg/TxInf/ReceiverOrg/IncorporationDate
Các thông tin mandatory khác vẫn đủ thông tin </t>
  </si>
  <si>
    <t>1. Chuẩn bị body điện MSB002 đúng chuẩn SWIFT theo dạng JSON hoặc XML
2. XÓA tag :Document/CstMsg/TxInf/ReceiverOrg/IncorporationDate  khỏi body điện
  (các trường thông tin khác vẫn giữ nguyên)
3. Gửi POST request voi transactionType=MSB002
4. Verify: HTTP 200, result=ERROR, errorCode=03</t>
  </si>
  <si>
    <t>Headers:
Authorization:  Basic a3ljYWRtbjphYmMxMjM=    (Username and password to login)
Content-Type: application/xml
 transactionId: TF_AML_MSB002_MND_03
 requestId:   REQ_AML_MSB002_MND_03
 transactionType: MSB002
 branchCd: HN
 channel: T24
 isCallBack: N
Body: Dien MSB002 dung tai lieu mapping
Field bi THIEU: :Document/CstMsg/TxInf/ReceiverOrg/IncorporationDate</t>
  </si>
  <si>
    <t>AML_MSB002_MND_21</t>
  </si>
  <si>
    <t>MSB002– Kiểm tra thông tin Khi thiếu trường thông tin :Document/CstMsg/TxInf/ReceiverOrg/Documents/DocumentNumber_01 → errorCode=03</t>
  </si>
  <si>
    <t xml:space="preserve">Auth hợp lệ và còn hạn;
Body MSB002 KHÔNG có thông tin tag :Document/CstMsg/TxInf/ReceiverOrg/Documents/DocumentNumber_01
Các thông tin mandatory khác vẫn đủ thông tin </t>
  </si>
  <si>
    <t>1. Chuẩn bị body điện MSB002 đúng chuẩn SWIFT theo dạng JSON hoặc XML
2. XÓA tag :Document/CstMsg/TxInf/ReceiverOrg/Documents/DocumentNumber_01  khỏi body điện
  (các trường thông tin khác vẫn giữ nguyên)
3. Gửi POST request voi transactionType=MSB002
4. Verify: HTTP 200, result=ERROR, errorCode=03</t>
  </si>
  <si>
    <t>Headers:
Authorization:  Basic a3ljYWRtbjphYmMxMjM=    (Username and password to login)
Content-Type: application/xml
 transactionId: TF_AML_MSB002_MND_03
 requestId:   REQ_AML_MSB002_MND_03
 transactionType: MSB002
 branchCd: HN
 channel: T24
 isCallBack: N
Body: Dien MSB002 dung tai lieu mapping
Field bi THIEU: :Document/CstMsg/TxInf/ReceiverOrg/Documents/DocumentNumber_01</t>
  </si>
  <si>
    <t xml:space="preserve">  AML_MSB003_MND Kiem tra field mandatory cho dien MSB003( 47 field :….)</t>
  </si>
  <si>
    <t>AML_MSB003_MND_01</t>
  </si>
  <si>
    <t>MSB003– Check chuyển thông tin từ JSON sang XML format khi gọi API sàng lọc</t>
  </si>
  <si>
    <t>Auth hợp lệ và còn hạn;
Body MSB003 và gửi bản tin bằng JSON</t>
  </si>
  <si>
    <t>1. Chuẩn bị body điện MSB003 đúng chuẩn SWIFT theo dạng JSON hoặc XML
2. Thông tin bản tin gửi đi dạng JSON
3. Gửi POST request voi transactionType=MSB001
4. Verify: HTTP 200, result=ERROR, errorCode=03</t>
  </si>
  <si>
    <t>MSB003– Kiểm tra thông tin Khi thiếu trường thông tin : PartyType
 → errorCode=03</t>
  </si>
  <si>
    <t xml:space="preserve">Auth hợp lệ và còn hạn;
Body MSB003 KHÔNG có thông tin tag :PartyType
Các thông tin mandatory khác vẫn đủ thông tin </t>
  </si>
  <si>
    <t>1. Chuẩn bị body điện MSB003 đúng chuẩn SWIFT theo dạng JSON hoặc XML
2. XÓA tag :PartyType  khỏi body điện
  (các trường thông tin khác vẫn giữ nguyên)
3. Gửi POST request voi transactionType=MSB003
4. Verify: HTTP 200, result=ERROR, errorCode=03</t>
  </si>
  <si>
    <t>AML_MSB003_MND_02</t>
  </si>
  <si>
    <t>MSB003– Kiểm tra thông tin Khi thiếu trường thông tin :Document/CstMsg/TxInf/Debtor/Name → errorCode=03</t>
  </si>
  <si>
    <t xml:space="preserve">Auth hợp lệ và còn hạn;
Body MSB003 KHÔNG có thông tin tag :Document/CstMsg/TxInf/Debtor/Name
Các thông tin mandatory khác vẫn đủ thông tin </t>
  </si>
  <si>
    <t>1. Chuẩn bị body điện MSB003 đúng chuẩn SWIFT theo dạng JSON hoặc XML
2. XÓA tag :Document/CstMsg/TxInf/Debtor/Name  khỏi body điện
  (các trường thông tin khác vẫn giữ nguyên)
3. Gửi POST request voi transactionType=MSB003
4. Verify: HTTP 200, result=ERROR, errorCode=03</t>
  </si>
  <si>
    <t>Headers:
Authorization:  Basic a3ljYWRtbjphYmMxMjM=    (Username and password to login)
Content-Type: application/xml
 transactionId: TF_AML_MSB003_MND_03
 requestId:   REQ_AML_MSB003_MND_03
 transactionType: MSB003
 branchCd: HN
 channel: T24
 isCallBack: N
Body: Dien MSB003 dung tai lieu mapping
Field bi THIEU: :Document/CstMsg/TxInf/Debtor/Name</t>
  </si>
  <si>
    <t>AML_MSB003_MND_03</t>
  </si>
  <si>
    <t>MSB003– Kiểm tra thông tin Khi thiếu trường thông tin :Document/CstMsg/TxInf/Debtor/Address/FullAddress → errorCode=03</t>
  </si>
  <si>
    <t xml:space="preserve">Auth hợp lệ và còn hạn;
Body MSB003 KHÔNG có thông tin tag :Document/CstMsg/TxInf/Debtor/Address/FullAddress
Các thông tin mandatory khác vẫn đủ thông tin </t>
  </si>
  <si>
    <t>1. Chuẩn bị body điện MSB003 đúng chuẩn SWIFT theo dạng JSON hoặc XML
2. XÓA tag :Document/CstMsg/TxInf/Debtor/Address/FullAddress  khỏi body điện
  (các trường thông tin khác vẫn giữ nguyên)
3. Gửi POST request voi transactionType=MSB003
4. Verify: HTTP 200, result=ERROR, errorCode=03</t>
  </si>
  <si>
    <t>Headers:
Authorization:  Basic a3ljYWRtbjphYmMxMjM=    (Username and password to login)
Content-Type: application/xml
 transactionId: TF_AML_MSB003_MND_03
 requestId:   REQ_AML_MSB003_MND_03
 transactionType: MSB003
 branchCd: HN
 channel: T24
 isCallBack: N
Body: Dien MSB003 dung tai lieu mapping
Field bi THIEU: :Document/CstMsg/TxInf/Debtor/Address/FullAddress</t>
  </si>
  <si>
    <t>AML_MSB003_MND_04</t>
  </si>
  <si>
    <t>MSB003– Kiểm tra thông tin Khi thiếu trường thông tin :Document/CstMsg/TxInf/Debtor/Address/CountryInAddress → errorCode=03</t>
  </si>
  <si>
    <t xml:space="preserve">Auth hợp lệ và còn hạn;
Body MSB003 KHÔNG có thông tin tag :Document/CstMsg/TxInf/Debtor/Address/CountryInAddress
Các thông tin mandatory khác vẫn đủ thông tin </t>
  </si>
  <si>
    <t>1. Chuẩn bị body điện MSB003 đúng chuẩn SWIFT theo dạng JSON hoặc XML
2. XÓA tag :Document/CstMsg/TxInf/Debtor/Address/CountryInAddress  khỏi body điện
  (các trường thông tin khác vẫn giữ nguyên)
3. Gửi POST request voi transactionType=MSB003
4. Verify: HTTP 200, result=ERROR, errorCode=03</t>
  </si>
  <si>
    <t>Headers:
Authorization:  Basic a3ljYWRtbjphYmMxMjM=    (Username and password to login)
Content-Type: application/xml
 transactionId: TF_AML_MSB003_MND_03
 requestId:   REQ_AML_MSB003_MND_03
 transactionType: MSB003
 branchCd: HN
 channel: T24
 isCallBack: N
Body: Dien MSB003 dung tai lieu mapping
Field bi THIEU: :Document/CstMsg/TxInf/Debtor/Address/CountryInAddress</t>
  </si>
  <si>
    <t>AML_MSB003_MND_05</t>
  </si>
  <si>
    <t>MSB003– Kiểm tra thông tin Khi thiếu trường thông tin :Document/CstMsg/TxInf/Creditor/Name → errorCode=03</t>
  </si>
  <si>
    <t xml:space="preserve">Auth hợp lệ và còn hạn;
Body MSB003 KHÔNG có thông tin tag :Document/CstMsg/TxInf/Creditor/Name
Các thông tin mandatory khác vẫn đủ thông tin </t>
  </si>
  <si>
    <t>1. Chuẩn bị body điện MSB003 đúng chuẩn SWIFT theo dạng JSON hoặc XML
2. XÓA tag :Document/CstMsg/TxInf/Creditor/Name  khỏi body điện
  (các trường thông tin khác vẫn giữ nguyên)
3. Gửi POST request voi transactionType=MSB003
4. Verify: HTTP 200, result=ERROR, errorCode=03</t>
  </si>
  <si>
    <t>Headers:
Authorization:  Basic a3ljYWRtbjphYmMxMjM=    (Username and password to login)
Content-Type: application/xml
 transactionId: TF_AML_MSB003_MND_03
 requestId:   REQ_AML_MSB003_MND_03
 transactionType: MSB003
 branchCd: HN
 channel: T24
 isCallBack: N
Body: Dien MSB003 dung tai lieu mapping
Field bi THIEU: :Document/CstMsg/TxInf/Creditor/Name</t>
  </si>
  <si>
    <t>AML_MSB003_MND_06</t>
  </si>
  <si>
    <t>MSB003– Kiểm tra thông tin Khi thiếu trường thông tin :Document/CstMsg/TxInf/Creditor/Address/FullAddress → errorCode=03</t>
  </si>
  <si>
    <t xml:space="preserve">Auth hợp lệ và còn hạn;
Body MSB003 KHÔNG có thông tin tag :Document/CstMsg/TxInf/Creditor/Address/FullAddress
Các thông tin mandatory khác vẫn đủ thông tin </t>
  </si>
  <si>
    <t>1. Chuẩn bị body điện MSB003 đúng chuẩn SWIFT theo dạng JSON hoặc XML
2. XÓA tag :Document/CstMsg/TxInf/Creditor/Address/FullAddress  khỏi body điện
  (các trường thông tin khác vẫn giữ nguyên)
3. Gửi POST request voi transactionType=MSB003
4. Verify: HTTP 200, result=ERROR, errorCode=03</t>
  </si>
  <si>
    <t>Headers:
Authorization:  Basic a3ljYWRtbjphYmMxMjM=    (Username and password to login)
Content-Type: application/xml
 transactionId: TF_AML_MSB003_MND_03
 requestId:   REQ_AML_MSB003_MND_03
 transactionType: MSB003
 branchCd: HN
 channel: T24
 isCallBack: N
Body: Dien MSB003 dung tai lieu mapping
Field bi THIEU: :Document/CstMsg/TxInf/Creditor/Address/FullAddress</t>
  </si>
  <si>
    <t>AML_MSB003_MND_07</t>
  </si>
  <si>
    <t>MSB003– Kiểm tra thông tin Khi thiếu trường thông tin :Document/CstMsg/TxInf/Creditor/Address/CountryInAddress → errorCode=03</t>
  </si>
  <si>
    <t xml:space="preserve">Auth hợp lệ và còn hạn;
Body MSB003KHÔNG có thông tin tag :Document/CstMsg/TxInf/Creditor/Address/CountryInAddress
Các thông tin mandatory khác vẫn đủ thông tin </t>
  </si>
  <si>
    <t>1. Chuẩn bị body điện MSB003 đúng chuẩn SWIFT theo dạng JSON hoặc XML
2. XÓA tag :Document/CstMsg/TxInf/Creditor/Address/CountryInAddress  khỏi body điện
  (các trường thông tin khác vẫn giữ nguyên)
3. Gửi POST request voi transactionType=MSB003
4. Verify: HTTP 200, result=ERROR, errorCode=03</t>
  </si>
  <si>
    <t>Headers:
Authorization:  Basic a3ljYWRtbjphYmMxMjM=    (Username and password to login)
Content-Type: application/xml
 transactionId: TF_AML_MSB003_MND_03
 requestId:   REQ_AML_MSB003_MND_03
 transactionType: MSB003
 branchCd: HN
 channel: T24
 isCallBack: N
Body: Dien MSB003 dung tai lieu mapping
Field bi THIEU: :Document/CstMsg/TxInf/Creditor/Address/CountryInAddress</t>
  </si>
  <si>
    <t>AML_MSB003_MND_08</t>
  </si>
  <si>
    <t>MSB003– Kiểm tra thông tin Khi thiếu trường thông tin :Document/CstMsg/TxInf/InvolvedParty/Party_01/Name → errorCode=03</t>
  </si>
  <si>
    <t xml:space="preserve">Auth hợp lệ và còn hạn;
Body MSB003 KHÔNG có thông tin tag :Document/CstMsg/TxInf/InvolvedParty/Party_01/Name
Các thông tin mandatory khác vẫn đủ thông tin </t>
  </si>
  <si>
    <t>1. Chuẩn bị body điện MSB003 đúng chuẩn SWIFT theo dạng JSON hoặc XML
2. XÓA tag :Document/CstMsg/TxInf/InvolvedParty/Party_01/Name khỏi body điện
  (các trường thông tin khác vẫn giữ nguyên)
3. Gửi POST request voi transactionType=MSB003
4. Verify: HTTP 200, result=ERROR, errorCode=03</t>
  </si>
  <si>
    <t>Headers:
Authorization:  Basic a3ljYWRtbjphYmMxMjM=    (Username and password to login)
Content-Type: application/xml
 transactionId: TF_AML_MSB003_MND_03
 requestId:   REQ_AML_MSB003_MND_03
 transactionType: MSB003
 branchCd: HN
 channel: T24
 isCallBack: N
Body: Dien MSB003 dung tai lieu mapping
Field bi THIEU: :Document/CstMsg/TxInf/InvolvedParty/Party_01/Name</t>
  </si>
  <si>
    <t>AML_MSB003_MND_09</t>
  </si>
  <si>
    <t>MSB003– Kiểm tra thông tin Khi thiếu trường thông tin :Document/CstMsg/TxInf/InvolvedParty/Party_01/Address/FullAddress→ errorCode=03</t>
  </si>
  <si>
    <t xml:space="preserve">Auth hợp lệ và còn hạn;
Body MSB003 KHÔNG có thông tin tag :Document/CstMsg/TxInf/InvolvedParty/Party_01/Address/FullAddress
Các thông tin mandatory khác vẫn đủ thông tin </t>
  </si>
  <si>
    <t>1. Chuẩn bị body điện MSB003 đúng chuẩn SWIFT theo dạng JSON hoặc XML
2. XÓA tag :Document/CstMsg/TxInf/InvolvedParty/Party_01/Address/FullAddress  khỏi body điện
  (các trường thông tin khác vẫn giữ nguyên)
3. Gửi POST request voi transactionType=MSB003
4. Verify: HTTP 200, result=ERROR, errorCode=03</t>
  </si>
  <si>
    <t>Headers:
Authorization:  Basic a3ljYWRtbjphYmMxMjM=    (Username and password to login)
Content-Type: application/xml
 transactionId: TF_AML_MSB003_MND_03
 requestId:   REQ_AML_MSB003_MND_03
 transactionType: MSB003
 branchCd: HN
 channel: T24
 isCallBack: N
Body: Dien MSB003 dung tai lieu mapping
Field bi THIEU: :Document/CstMsg/TxInf/InvolvedParty/Party_01/Address/FullAddress</t>
  </si>
  <si>
    <t>AML_MSB003_MND_10</t>
  </si>
  <si>
    <t>MSB003– Kiểm tra thông tin Khi thiếu trường thông tin :Document/CstMsg/TxInf/InvolvedParty/Party_01/Address/CountryInAddress → errorCode=03</t>
  </si>
  <si>
    <t xml:space="preserve">Auth hợp lệ và còn hạn;
Body MSB003 KHÔNG có thông tin tag :Document/CstMsg/TxInf/InvolvedParty/Party_01/Address/CountryInAddress
Các thông tin mandatory khác vẫn đủ thông tin </t>
  </si>
  <si>
    <t>1. Chuẩn bị body điện MSB003 đúng chuẩn SWIFT theo dạng JSON hoặc XML
2. XÓA tag :Document/CstMsg/TxInf/InvolvedParty/Party_01/Address/CountryInAddress  khỏi body điện
  (các trường thông tin khác vẫn giữ nguyên)
3. Gửi POST request voi transactionType=MSB003
4. Verify: HTTP 200, result=ERROR, errorCode=03</t>
  </si>
  <si>
    <t>Headers:
Authorization:  Basic a3ljYWRtbjphYmMxMjM=    (Username and password to login)
Content-Type: application/xml
 transactionId: TF_AML_MSB003_MND_03
 requestId:   REQ_AML_MSB003_MND_03
 transactionType: MSB003
 branchCd: HN
 channel: T24
 isCallBack: N
Body: Dien MSB003 dung tai lieu mapping
Field bi THIEU: :Document/CstMsg/TxInf/InvolvedParty/Party_01/Address/CountryInAddress</t>
  </si>
  <si>
    <t>AML_MSB003_MND_11</t>
  </si>
  <si>
    <t>MSB003– Kiểm tra thông tin Khi thiếu trường thông tin :Document/CstMsg/TxInf/InvolvedParty/Party_02/Name→ errorCode=03</t>
  </si>
  <si>
    <t xml:space="preserve">Auth hợp lệ và còn hạn;
Body MSB003 KHÔNG có thông tin tag :Document/CstMsg/TxInf/InvolvedParty/Party_02/Name
Các thông tin mandatory khác vẫn đủ thông tin </t>
  </si>
  <si>
    <t>1. Chuẩn bị body điện MSB003 đúng chuẩn SWIFT theo dạng JSON hoặc XML
2. XÓA tag :Document/CstMsg/TxInf/InvolvedParty/Party_02/Name  khỏi body điện
  (các trường thông tin khác vẫn giữ nguyên)
3. Gửi POST request voi transactionType=MSB003
4. Verify: HTTP 200, result=ERROR, errorCode=03</t>
  </si>
  <si>
    <t>Headers:
Authorization:  Basic a3ljYWRtbjphYmMxMjM=    (Username and password to login)
Content-Type: application/xml
 transactionId: TF_AML_MSB003_MND_03
 requestId:   REQ_AML_MSB003_MND_03
 transactionType: MSB003
 branchCd: HN
 channel: T24
 isCallBack: N
Body: Dien MSB003 dung tai lieu mapping
Field bi THIEU: :Document/CstMsg/TxInf/InvolvedParty/Party_02/Name</t>
  </si>
  <si>
    <t>AML_MSB003_MND_12</t>
  </si>
  <si>
    <t>MSB003– Kiểm tra thông tin Khi thiếu trường thông tin :Document/CstMsg/TxInf/InvolvedParty/Party_02/Address/FullAddress → errorCode=03</t>
  </si>
  <si>
    <t xml:space="preserve">Auth hợp lệ và còn hạn;
Body MSB003 KHÔNG có thông tin tag :Document/CstMsg/TxInf/InvolvedParty/Party_02/Address/FullAddress
Các thông tin mandatory khác vẫn đủ thông tin </t>
  </si>
  <si>
    <t>1. Chuẩn bị body điện MSB003 đúng chuẩn SWIFT theo dạng JSON hoặc XML
2. XÓA tag :Document/CstMsg/TxInf/InvolvedParty/Party_02/Address/FullAddress  khỏi body điện
  (các trường thông tin khác vẫn giữ nguyên)
3. Gửi POST request voi transactionType=MSB003
4. Verify: HTTP 200, result=ERROR, errorCode=03</t>
  </si>
  <si>
    <t>Headers:
Authorization:  Basic a3ljYWRtbjphYmMxMjM=    (Username and password to login)
Content-Type: application/xml
 transactionId: TF_AML_MSB003_MND_03
 requestId:   REQ_AML_MSB003_MND_03
 transactionType: MSB003
 branchCd: HN
 channel: T24
 isCallBack: N
Body: Dien MSB003 dung tai lieu mapping
Field bi THIEU: :Document/CstMsg/TxInf/InvolvedParty/Party_02/Address/FullAddress</t>
  </si>
  <si>
    <t>AML_MSB003_MND_13</t>
  </si>
  <si>
    <t>MSB003– Kiểm tra thông tin Khi thiếu trường thông tin :Document/CstMsg/TxInf/InvolvedParty/Party_02/Address/CountryInAddress → errorCode=03</t>
  </si>
  <si>
    <t xml:space="preserve">Auth hợp lệ và còn hạn;
Body MSB003 KHÔNG có thông tin tag :Document/CstMsg/TxInf/InvolvedParty/Party_02/Address/CountryInAddress
Các thông tin mandatory khác vẫn đủ thông tin </t>
  </si>
  <si>
    <t>1. Chuẩn bị body điện MSB003 đúng chuẩn SWIFT theo dạng JSON hoặc XML
2. XÓA tag :Document/CstMsg/TxInf/InvolvedParty/Party_02/Address/CountryInAddress  khỏi body điện
  (các trường thông tin khác vẫn giữ nguyên)
3. Gửi POST request voi transactionType=MSB003
4. Verify: HTTP 200, result=ERROR, errorCode=03</t>
  </si>
  <si>
    <t>Headers:
Authorization:  Basic a3ljYWRtbjphYmMxMjM=    (Username and password to login)
Content-Type: application/xml
 transactionId: TF_AML_MSB003_MND_03
 requestId:   REQ_AML_MSB003_MND_03
 transactionType: MSB003
 branchCd: HN
 channel: T24
 isCallBack: N
Body: Dien MSB003 dung tai lieu mapping
Field bi THIEU: :Document/CstMsg/TxInf/InvolvedParty/Party_02/Address/CountryInAddress</t>
  </si>
  <si>
    <t>AML_MSB003_MND_14</t>
  </si>
  <si>
    <t>MSB003– Kiểm tra thông tin Khi thiếu trường thông tin :Document/CstMsg/TxInf/InvolvedParty/Party_03/Name → errorCode=03</t>
  </si>
  <si>
    <t xml:space="preserve">Auth hợp lệ và còn hạn;
Body MSB003 KHÔNG có thông tin tag :Document/CstMsg/TxInf/InvolvedParty/Party_03/Name
Các thông tin mandatory khác vẫn đủ thông tin </t>
  </si>
  <si>
    <t>1. Chuẩn bị body điện MSB003 đúng chuẩn SWIFT theo dạng JSON hoặc XML
2. XÓA tag :Document/CstMsg/TxInf/InvolvedParty/Party_03/Name  khỏi body điện
  (các trường thông tin khác vẫn giữ nguyên)
3. Gửi POST request voi transactionType=MSB003
4. Verify: HTTP 200, result=ERROR, errorCode=03</t>
  </si>
  <si>
    <t>Headers:
Authorization:  Basic a3ljYWRtbjphYmMxMjM=    (Username and password to login)
Content-Type: application/xml
 transactionId: TF_AML_MSB003_MND_03
 requestId:   REQ_AML_MSB003_MND_03
 transactionType: MSB003
 branchCd: HN
 channel: T24
 isCallBack: N
Body: Dien MSB003 dung tai lieu mapping
Field bi THIEU: :Document/CstMsg/TxInf/InvolvedParty/Party_03/Name</t>
  </si>
  <si>
    <t>AML_MSB003_MND_15</t>
  </si>
  <si>
    <t>MSB003– Kiểm tra thông tin Khi thiếu trường thông tin :Document/CstMsg/TxInf/InvolvedParty/Party_03/Address/FullAddress → errorCode=03</t>
  </si>
  <si>
    <t xml:space="preserve">Auth hợp lệ và còn hạn;
Body MSB003 KHÔNG có thông tin tag :Document/CstMsg/TxInf/InvolvedParty/Party_03/Address/FullAddress
Các thông tin mandatory khác vẫn đủ thông tin </t>
  </si>
  <si>
    <t>1. Chuẩn bị body điện MSB003 đúng chuẩn SWIFT theo dạng JSON hoặc XML
2. XÓA tag :Document/CstMsg/TxInf/InvolvedParty/Party_03/Address/FullAddress  khỏi body điện
  (các trường thông tin khác vẫn giữ nguyên)
3. Gửi POST request voi transactionType=MSB003
4. Verify: HTTP 200, result=ERROR, errorCode=03</t>
  </si>
  <si>
    <t>Headers:
Authorization:  Basic a3ljYWRtbjphYmMxMjM=    (Username and password to login)
Content-Type: application/xml
 transactionId: TF_AML_MSB003_MND_03
 requestId:   REQ_AML_MSB003_MND_03
 transactionType: MSB003
 branchCd: HN
 channel: T24
 isCallBack: N
Body: Dien MSB003 dung tai lieu mapping
Field bi THIEU: :Document/CstMsg/TxInf/InvolvedParty/Party_03/Address/FullAddress</t>
  </si>
  <si>
    <t>AML_MSB003_MND_16</t>
  </si>
  <si>
    <t>MSB003– Kiểm tra thông tin Khi thiếu trường thông tin :Document/CstMsg/TxInf/InvolvedParty/Party_03/Address/CountryInAddress → errorCode=03</t>
  </si>
  <si>
    <t xml:space="preserve">Auth hợp lệ và còn hạn;
Body MSB003 KHÔNG có thông tin tag :Document/CstMsg/TxInf/InvolvedParty/Party_03/Address/CountryInAddress
Các thông tin mandatory khác vẫn đủ thông tin </t>
  </si>
  <si>
    <t>1. Chuẩn bị body điện MSB003 đúng chuẩn SWIFT theo dạng JSON hoặc XML
2. XÓA tag :Document/CstMsg/TxInf/InvolvedParty/Party_03/Address/CountryInAddress  khỏi body điện
  (các trường thông tin khác vẫn giữ nguyên)
3. Gửi POST request voi transactionType=MSB003
4. Verify: HTTP 200, result=ERROR, errorCode=03</t>
  </si>
  <si>
    <t>Headers:
Authorization:  Basic a3ljYWRtbjphYmMxMjM=    (Username and password to login)
Content-Type: application/xml
 transactionId: TF_AML_MSB003_MND_03
 requestId:   REQ_AML_MSB003_MND_03
 transactionType: MSB003
 branchCd: HN
 channel: T24
 isCallBack: N
Body: Dien MSB003 dung tai lieu mapping
Field bi THIEU: :Document/CstMsg/TxInf/InvolvedParty/Party_03/Address/CountryInAddress</t>
  </si>
  <si>
    <t>AML_MSB003_MND_17</t>
  </si>
  <si>
    <t>MSB003– Kiểm tra thông tin Khi thiếu trường thông tin :Document/CstMsg/TxInf/InvolvedParty/Party_04/Name → errorCode=03</t>
  </si>
  <si>
    <t xml:space="preserve">Auth hợp lệ và còn hạn;
Body MSB003 KHÔNG có thông tin tag :Document/CstMsg/TxInf/InvolvedParty/Party_04/Name
Các thông tin mandatory khác vẫn đủ thông tin </t>
  </si>
  <si>
    <t>1. Chuẩn bị body điện MSB003 đúng chuẩn SWIFT theo dạng JSON hoặc XML
2. XÓA tag :Document/CstMsg/TxInf/InvolvedParty/Party_04/Name  khỏi body điện
  (các trường thông tin khác vẫn giữ nguyên)
3. Gửi POST request voi transactionType=MSB003
4. Verify: HTTP 200, result=ERROR, errorCode=03</t>
  </si>
  <si>
    <t>Headers:
Authorization:  Basic a3ljYWRtbjphYmMxMjM=    (Username and password to login)
Content-Type: application/xml
 transactionId: TF_AML_MSB003_MND_03
 requestId:   REQ_AML_MSB003_MND_03
 transactionType: MSB003
 branchCd: HN
 channel: T24
 isCallBack: N
Body: Dien MSB003 dung tai lieu mapping
Field bi THIEU: :Document/CstMsg/TxInf/InvolvedParty/Party_04/Name</t>
  </si>
  <si>
    <t>AML_MSB003_MND_18</t>
  </si>
  <si>
    <t>MSB003– Kiểm tra thông tin Khi thiếu trường thông tin :Document/CstMsg/TxInf/InvolvedParty/Party_04/Address/FullAddress → errorCode=03</t>
  </si>
  <si>
    <t xml:space="preserve">Auth hợp lệ và còn hạn;
Body MSB003 KHÔNG có thông tin tag :Document/CstMsg/TxInf/InvolvedParty/Party_04/Address/FullAddress
Các thông tin mandatory khác vẫn đủ thông tin </t>
  </si>
  <si>
    <t>1. Chuẩn bị body điện MSB003 đúng chuẩn SWIFT theo dạng JSON hoặc XML
2. XÓA tag :Document/CstMsg/TxInf/InvolvedParty/Party_04/Address/FullAddress  khỏi body điện
  (các trường thông tin khác vẫn giữ nguyên)
3. Gửi POST request voi transactionType=MSB003
4. Verify: HTTP 200, result=ERROR, errorCode=03</t>
  </si>
  <si>
    <t>Headers:
Authorization:  Basic a3ljYWRtbjphYmMxMjM=    (Username and password to login)
Content-Type: application/xml
 transactionId: TF_AML_MSB003_MND_03
 requestId:   REQ_AML_MSB003_MND_03
 transactionType: MSB003
 branchCd: HN
 channel: T24
 isCallBack: N
Body: Dien MSB003 dung tai lieu mapping
Field bi THIEU: :Document/CstMsg/TxInf/InvolvedParty/Party_04/Address/FullAddress</t>
  </si>
  <si>
    <t>AML_MSB003_MND_19</t>
  </si>
  <si>
    <t>MSB003– Kiểm tra thông tin Khi thiếu trường thông tin :Document/CstMsg/TxInf/InvolvedParty/Party_04/Address/CountryInAddress → errorCode=03</t>
  </si>
  <si>
    <t xml:space="preserve">Auth hợp lệ và còn hạn;
Body MSB003 KHÔNG có thông tin tag :Document/CstMsg/TxInf/InvolvedParty/Party_04/Address/CountryInAddress
Các thông tin mandatory khác vẫn đủ thông tin </t>
  </si>
  <si>
    <t>1. Chuẩn bị body điện MSB003 đúng chuẩn SWIFT theo dạng JSON hoặc XML
2. XÓA tag :Document/CstMsg/TxInf/InvolvedParty/Party_04/Address/CountryInAddress  khỏi body điện
  (các trường thông tin khác vẫn giữ nguyên)
3. Gửi POST request voi transactionType=MSB003
4. Verify: HTTP 200, result=ERROR, errorCode=03</t>
  </si>
  <si>
    <t>Headers:
Authorization:  Basic a3ljYWRtbjphYmMxMjM=    (Username and password to login)
Content-Type: application/xml
 transactionId: TF_AML_MSB003_MND_03
 requestId:   REQ_AML_MSB003_MND_03
 transactionType: MSB003
 branchCd: HN
 channel: T24
 isCallBack: N
Body: Dien MSB003 dung tai lieu mapping
Field bi THIEU: :Document/CstMsg/TxInf/InvolvedParty/Party_04/Address/CountryInAddress</t>
  </si>
  <si>
    <t>AML_MSB003_MND_20</t>
  </si>
  <si>
    <t>MSB003– Kiểm tra thông tin Khi thiếu trường thông tin :Document/CstMsg/TxInf/InvolvedParty/Party_05/Role → errorCode=03</t>
  </si>
  <si>
    <t xml:space="preserve">Auth hợp lệ và còn hạn;
Body MSB003 KHÔNG có thông tin tag :Document/CstMsg/TxInf/InvolvedParty/Party_05/Role
Các thông tin mandatory khác vẫn đủ thông tin </t>
  </si>
  <si>
    <t>1. Chuẩn bị body điện MSB003 đúng chuẩn SWIFT theo dạng JSON hoặc XML
2. XÓA tag :Document/CstMsg/TxInf/InvolvedParty/Party_05/Role  khỏi body điện
  (các trường thông tin khác vẫn giữ nguyên)
3. Gửi POST request voi transactionType=MSB003
4. Verify: HTTP 200, result=ERROR, errorCode=03</t>
  </si>
  <si>
    <t>Headers:
Authorization:  Basic a3ljYWRtbjphYmMxMjM=    (Username and password to login)
Content-Type: application/xml
 transactionId: TF_AML_MSB003_MND_03
 requestId:   REQ_AML_MSB003_MND_03
 transactionType: MSB003
 branchCd: HN
 channel: T24
 isCallBack: N
Body: Dien MSB003 dung tai lieu mapping
Field bi THIEU: :Document/CstMsg/TxInf/InvolvedParty/Party_05/Role</t>
  </si>
  <si>
    <t>AML_MSB003_MND_21</t>
  </si>
  <si>
    <t>MSB003– Kiểm tra thông tin Khi thiếu trường thông tin :Document/CstMsg/TxInf/InvolvedParty/Party_05/Name → errorCode=03</t>
  </si>
  <si>
    <t xml:space="preserve">Auth hợp lệ và còn hạn;
Body MSB003 KHÔNG có thông tin tag :Document/CstMsg/TxInf/InvolvedParty/Party_05/Name
Các thông tin mandatory khác vẫn đủ thông tin </t>
  </si>
  <si>
    <t>1. Chuẩn bị body điện MSB003 đúng chuẩn SWIFT theo dạng JSON hoặc XML
2. XÓA tag :Document/CstMsg/TxInf/InvolvedParty/Party_05/Name  khỏi body điện
  (các trường thông tin khác vẫn giữ nguyên)
3. Gửi POST request voi transactionType=MSB003
4. Verify: HTTP 200, result=ERROR, errorCode=03</t>
  </si>
  <si>
    <t>Headers:
Authorization:  Basic a3ljYWRtbjphYmMxMjM=    (Username and password to login)
Content-Type: application/xml
 transactionId: TF_AML_MSB003_MND_03
 requestId:   REQ_AML_MSB003_MND_03
 transactionType: MSB003
 branchCd: HN
 channel: T24
 isCallBack: N
Body: Dien MSB003 dung tai lieu mapping
Field bi THIEU: :Document/CstMsg/TxInf/InvolvedParty/Party_05/Name</t>
  </si>
  <si>
    <t>AML_MSB003_MND_22</t>
  </si>
  <si>
    <t>MSB003– Kiểm tra thông tin Khi thiếu trường thông tin :Document/CstMsg/TxInf/InvolvedParty/Party_05/Address/FullAddress → errorCode=03</t>
  </si>
  <si>
    <t xml:space="preserve">Auth hợp lệ và còn hạn;
Body MSB003 KHÔNG có thông tin tag :Document/CstMsg/TxInf/InvolvedParty/Party_05/Address/FullAddress
Các thông tin mandatory khác vẫn đủ thông tin </t>
  </si>
  <si>
    <t>1. Chuẩn bị body điện MSB003 đúng chuẩn SWIFT theo dạng JSON hoặc XML
2. XÓA tag :Document/CstMsg/TxInf/InvolvedParty/Party_05/Address/FullAddress  khỏi body điện
  (các trường thông tin khác vẫn giữ nguyên)
3. Gửi POST request voi transactionType=MSB003
4. Verify: HTTP 200, result=ERROR, errorCode=03</t>
  </si>
  <si>
    <t>Headers:
Authorization:  Basic a3ljYWRtbjphYmMxMjM=    (Username and password to login)
Content-Type: application/xml
 transactionId: TF_AML_MSB003_MND_03
 requestId:   REQ_AML_MSB003_MND_03
 transactionType: MSB003
 branchCd: HN
 channel: T24
 isCallBack: N
Body: Dien MSB003 dung tai lieu mapping
Field bi THIEU: :Document/CstMsg/TxInf/InvolvedParty/Party_05/Address/FullAddress</t>
  </si>
  <si>
    <t>AML_MSB003_MND_23</t>
  </si>
  <si>
    <t>MSB003– Kiểm tra thông tin Khi thiếu trường thông tin :Document/CstMsg/TxInf/InvolvedParty/Party_05/Address/CountryInAddress → errorCode=03</t>
  </si>
  <si>
    <t xml:space="preserve">Auth hợp lệ và còn hạn;
Body MSB003 KHÔNG có thông tin tag :Document/CstMsg/TxInf/InvolvedParty/Party_05/Address/CountryInAddress
Các thông tin mandatory khác vẫn đủ thông tin </t>
  </si>
  <si>
    <t>1. Chuẩn bị body điện MSB003 đúng chuẩn SWIFT theo dạng JSON hoặc XML
2. XÓA tag :Document/CstMsg/TxInf/InvolvedParty/Party_05/Address/CountryInAddress  khỏi body điện
  (các trường thông tin khác vẫn giữ nguyên)
3. Gửi POST request voi transactionType=MSB003
4. Verify: HTTP 200, result=ERROR, errorCode=03</t>
  </si>
  <si>
    <t>Headers:
Authorization:  Basic a3ljYWRtbjphYmMxMjM=    (Username and password to login)
Content-Type: application/xml
 transactionId: TF_AML_MSB003_MND_03
 requestId:   REQ_AML_MSB003_MND_03
 transactionType: MSB003
 branchCd: HN
 channel: T24
 isCallBack: N
Body: Dien MSB003 dung tai lieu mapping
Field bi THIEU: :Document/CstMsg/TxInf/InvolvedParty/Party_05/Address/CountryInAddress</t>
  </si>
  <si>
    <t>AML_MSB003_MND_24</t>
  </si>
  <si>
    <t>MSB003– Kiểm tra thông tin Khi thiếu trường thông tin :Document/CstMsg/TxInf/InvolvedParty/Party_06/Name → errorCode=03</t>
  </si>
  <si>
    <t xml:space="preserve">Auth hợp lệ và còn hạn;
Body MSB003 KHÔNG có thông tin tag :Document/CstMsg/TxInf/InvolvedParty/Party_06/Name
Các thông tin mandatory khác vẫn đủ thông tin </t>
  </si>
  <si>
    <t>1. Chuẩn bị body điện MSB003 đúng chuẩn SWIFT theo dạng JSON hoặc XML
2. XÓA tag :Document/CstMsg/TxInf/InvolvedParty/Party_06/Name  khỏi body điện
  (các trường thông tin khác vẫn giữ nguyên)
3. Gửi POST request voi transactionType=MSB003
4. Verify: HTTP 200, result=ERROR, errorCode=03</t>
  </si>
  <si>
    <t>Headers:
Authorization:  Basic a3ljYWRtbjphYmMxMjM=    (Username and password to login)
Content-Type: application/xml
 transactionId: TF_AML_MSB003_MND_03
 requestId:   REQ_AML_MSB003_MND_03
 transactionType: MSB003
 branchCd: HN
 channel: T24
 isCallBack: N
Body: Dien MSB003 dung tai lieu mapping
Field bi THIEU: :Document/CstMsg/TxInf/InvolvedParty/Party_06/Name</t>
  </si>
  <si>
    <t>AML_MSB003_MND_25</t>
  </si>
  <si>
    <t>MSB003– Kiểm tra thông tin Khi thiếu trường thông tin :Document/CstMsg/TxInf/InvolvedParty/Party_06/Address/FullAddress → errorCode=03</t>
  </si>
  <si>
    <t xml:space="preserve">Auth hợp lệ và còn hạn;
Body MSB003 KHÔNG có thông tin tag :Document/CstMsg/TxInf/InvolvedParty/Party_06/Address/FullAddress
Các thông tin mandatory khác vẫn đủ thông tin </t>
  </si>
  <si>
    <t>1. Chuẩn bị body điện MSB003 đúng chuẩn SWIFT theo dạng JSON hoặc XML
2. XÓA tag :Document/CstMsg/TxInf/InvolvedParty/Party_06/Address/FullAddress  khỏi body điện
  (các trường thông tin khác vẫn giữ nguyên)
3. Gửi POST request voi transactionType=MSB003
4. Verify: HTTP 200, result=ERROR, errorCode=03</t>
  </si>
  <si>
    <t>Headers:
Authorization:  Basic a3ljYWRtbjphYmMxMjM=    (Username and password to login)
Content-Type: application/xml
 transactionId: TF_AML_MSB003_MND_03
 requestId:   REQ_AML_MSB003_MND_03
 transactionType: MSB003
 branchCd: HN
 channel: T24
 isCallBack: N
Body: Dien MSB003 dung tai lieu mapping
Field bi THIEU: :Document/CstMsg/TxInf/InvolvedParty/Party_06/Address/FullAddress</t>
  </si>
  <si>
    <t>AML_MSB003_MND_26</t>
  </si>
  <si>
    <t>MSB003– Kiểm tra thông tin Khi thiếu trường thông tin :Document/CstMsg/TxInf/InvolvedParty/Party_06/Address/CountryInAddress → errorCode=03</t>
  </si>
  <si>
    <t xml:space="preserve">Auth hợp lệ và còn hạn;
Body MSB003 KHÔNG có thông tin tag :Document/CstMsg/TxInf/InvolvedParty/Party_06/Address/CountryInAddress
Các thông tin mandatory khác vẫn đủ thông tin </t>
  </si>
  <si>
    <t>1. Chuẩn bị body điện MSB003 đúng chuẩn SWIFT theo dạng JSON hoặc XML
2. XÓA tag :Document/CstMsg/TxInf/InvolvedParty/Party_06/Address/CountryInAddress  khỏi body điện
  (các trường thông tin khác vẫn giữ nguyên)
3. Gửi POST request voi transactionType=MSB003
4. Verify: HTTP 200, result=ERROR, errorCode=03</t>
  </si>
  <si>
    <t>Headers:
Authorization:  Basic a3ljYWRtbjphYmMxMjM=    (Username and password to login)
Content-Type: application/xml
 transactionId: TF_AML_MSB003_MND_03
 requestId:   REQ_AML_MSB003_MND_03
 transactionType: MSB003
 branchCd: HN
 channel: T24
 isCallBack: N
Body: Dien MSB003 dung tai lieu mapping
Field bi THIEU: :Document/CstMsg/TxInf/InvolvedParty/Party_06/Address/CountryInAddress</t>
  </si>
  <si>
    <t>AML_MSB003_MND_27</t>
  </si>
  <si>
    <t>MSB003– Kiểm tra thông tin Khi thiếu trường thông tin :Document/CstMsg/TxInf/InvolvedParty/Party_07/Name → errorCode=03</t>
  </si>
  <si>
    <t xml:space="preserve">Auth hợp lệ và còn hạn;
Body MSB003KHÔNG có thông tin tag :Document/CstMsg/TxInf/InvolvedParty/Party_07/Name
Các thông tin mandatory khác vẫn đủ thông tin </t>
  </si>
  <si>
    <t>1. Chuẩn bị body điện MSB003 đúng chuẩn SWIFT theo dạng JSON hoặc XML
2. XÓA tag :Document/CstMsg/TxInf/InvolvedParty/Party_07/Name  khỏi body điện
  (các trường thông tin khác vẫn giữ nguyên)
3. Gửi POST request voi transactionType=MSB003
4. Verify: HTTP 200, result=ERROR, errorCode=03</t>
  </si>
  <si>
    <t>Headers:
Authorization:  Basic a3ljYWRtbjphYmMxMjM=    (Username and password to login)
Content-Type: application/xml
 transactionId: TF_AML_MSB003_MND_03
 requestId:   REQ_AML_MSB003_MND_03
 transactionType: MSB003
 branchCd: HN
 channel: T24
 isCallBack: N
Body: Dien MSB003 dung tai lieu mapping
Field bi THIEU: :Document/CstMsg/TxInf/InvolvedParty/Party_07/Name</t>
  </si>
  <si>
    <t>AML_MSB003_MND_28</t>
  </si>
  <si>
    <t>MSB003– Kiểm tra thông tin Khi thiếu trường thông tin :Document/CstMsg/TxInf/InvolvedParty/Party_07/Address/FullAddress → errorCode=03</t>
  </si>
  <si>
    <t xml:space="preserve">Auth hợp lệ và còn hạn;
Body MSB003 KHÔNG có thông tin tag :Document/CstMsg/TxInf/InvolvedParty/Party_07/Address/FullAddress
Các thông tin mandatory khác vẫn đủ thông tin </t>
  </si>
  <si>
    <t>1. Chuẩn bị body điện MSB003 đúng chuẩn SWIFT theo dạng JSON hoặc XML
2. XÓA tag :Document/CstMsg/TxInf/InvolvedParty/Party_07/Address/FullAddress khỏi body điện
  (các trường thông tin khác vẫn giữ nguyên)
3. Gửi POST request voi transactionType=MSB003
4. Verify: HTTP 200, result=ERROR, errorCode=03</t>
  </si>
  <si>
    <t>Headers:
Authorization:  Basic a3ljYWRtbjphYmMxMjM=    (Username and password to login)
Content-Type: application/xml
 transactionId: TF_AML_MSB003_MND_03
 requestId:   REQ_AML_MSB003_MND_03
 transactionType: MSB003
 branchCd: HN
 channel: T24
 isCallBack: N
Body: Dien MSB003 dung tai lieu mapping
Field bi THIEU: :Document/CstMsg/TxInf/InvolvedParty/Party_07/Address/FullAddress</t>
  </si>
  <si>
    <t>AML_MSB003_MND_29</t>
  </si>
  <si>
    <t>MSB003– Kiểm tra thông tin Khi thiếu trường thông tin :Document/CstMsg/TxInf/InvolvedParty/Party_07/Address/CountryInAddress→ errorCode=03</t>
  </si>
  <si>
    <t xml:space="preserve">Auth hợp lệ và còn hạn;
Body MSB003 KHÔNG có thông tin tag :Document/CstMsg/TxInf/InvolvedParty/Party_07/Address/CountryInAddress
Các thông tin mandatory khác vẫn đủ thông tin </t>
  </si>
  <si>
    <t>1. Chuẩn bị body điện MSB003 đúng chuẩn SWIFT theo dạng JSON hoặc XML
2. XÓA tag :Document/CstMsg/TxInf/InvolvedParty/Party_07/Address/CountryInAddress  khỏi body điện
  (các trường thông tin khác vẫn giữ nguyên)
3. Gửi POST request voi transactionType=MSB003
4. Verify: HTTP 200, result=ERROR, errorCode=03</t>
  </si>
  <si>
    <t>Headers:
Authorization:  Basic a3ljYWRtbjphYmMxMjM=    (Username and password to login)
Content-Type: application/xml
 transactionId: TF_AML_MSB003_MND_03
 requestId:   REQ_AML_MSB003_MND_03
 transactionType: MSB003
 branchCd: HN
 channel: T24
 isCallBack: N
Body: Dien MSB003 dung tai lieu mapping
Field bi THIEU: :Document/CstMsg/TxInf/InvolvedParty/Party_07/Address/CountryInAddress</t>
  </si>
  <si>
    <t>AML_MSB003_MND_30</t>
  </si>
  <si>
    <t>MSB003– Kiểm tra thông tin Khi thiếu trường thông tin :Document/CstMsg/TxInf/InvolvedParty/Party_08/Name → errorCode=03</t>
  </si>
  <si>
    <t xml:space="preserve">Auth hợp lệ và còn hạn;
Body MSB003 KHÔNG có thông tin tag :Document/CstMsg/TxInf/InvolvedParty/Party_08/Name
Các thông tin mandatory khác vẫn đủ thông tin </t>
  </si>
  <si>
    <t>1. Chuẩn bị body điện MSB003 đúng chuẩn SWIFT theo dạng JSON hoặc XML
2. XÓA tag :Document/CstMsg/TxInf/InvolvedParty/Party_08/Name  khỏi body điện
  (các trường thông tin khác vẫn giữ nguyên)
3. Gửi POST request voi transactionType=MSB003
4. Verify: HTTP 200, result=ERROR, errorCode=03</t>
  </si>
  <si>
    <t>Headers:
Authorization:  Basic a3ljYWRtbjphYmMxMjM=    (Username and password to login)
Content-Type: application/xml
 transactionId: TF_AML_MSB003_MND_03
 requestId:   REQ_AML_MSB003_MND_03
 transactionType: MSB003
 branchCd: HN
 channel: T24
 isCallBack: N
Body: Dien MSB003 dung tai lieu mapping
Field bi THIEU: :Document/CstMsg/TxInf/InvolvedParty/Party_08/Name</t>
  </si>
  <si>
    <t>AML_MSB003_MND_31</t>
  </si>
  <si>
    <t>MSB003– Kiểm tra thông tin Khi thiếu trường thông tin :Document/CstMsg/TxInf/InvolvedParty/Party_08/Address/FullAddress→ errorCode=03</t>
  </si>
  <si>
    <t xml:space="preserve">Auth hợp lệ và còn hạn;
Body MSB003 KHÔNG có thông tin tag :Document/CstMsg/TxInf/InvolvedParty/Party_08/Address/FullAddress
Các thông tin mandatory khác vẫn đủ thông tin </t>
  </si>
  <si>
    <t>1. Chuẩn bị body điện MSB003 đúng chuẩn SWIFT theo dạng JSON hoặc XML
2. XÓA tag :Document/CstMsg/TxInf/InvolvedParty/Party_08/Address/FullAddress  khỏi body điện
  (các trường thông tin khác vẫn giữ nguyên)
3. Gửi POST request voi transactionType=MSB003
4. Verify: HTTP 200, result=ERROR, errorCode=03</t>
  </si>
  <si>
    <t>Headers:
Authorization:  Basic a3ljYWRtbjphYmMxMjM=    (Username and password to login)
Content-Type: application/xml
 transactionId: TF_AML_MSB003_MND_03
 requestId:   REQ_AML_MSB003_MND_03
 transactionType: MSB003
 branchCd: HN
 channel: T24
 isCallBack: N
Body: Dien MSB003 dung tai lieu mapping
Field bi THIEU: :Document/CstMsg/TxInf/InvolvedParty/Party_08/Address/FullAddress</t>
  </si>
  <si>
    <t>AML_MSB003_MND_32</t>
  </si>
  <si>
    <t>MSB003– Kiểm tra thông tin Khi thiếu trường thông tin :Document/CstMsg/TxInf/InvolvedParty/Party_08/Address/CountryInAddress → errorCode=03</t>
  </si>
  <si>
    <t xml:space="preserve">Auth hợp lệ và còn hạn;
Body MSB003 KHÔNG có thông tin tag :Document/CstMsg/TxInf/InvolvedParty/Party_08/Address/CountryInAddress
Các thông tin mandatory khác vẫn đủ thông tin </t>
  </si>
  <si>
    <t>1. Chuẩn bị body điện MSB003 đúng chuẩn SWIFT theo dạng JSON hoặc XML
2. XÓA tag :Document/CstMsg/TxInf/InvolvedParty/Party_08/Address/CountryInAddress  khỏi body điện
  (các trường thông tin khác vẫn giữ nguyên)
3. Gửi POST request voi transactionType=MSB003
4. Verify: HTTP 200, result=ERROR, errorCode=03</t>
  </si>
  <si>
    <t>Headers:
Authorization:  Basic a3ljYWRtbjphYmMxMjM=    (Username and password to login)
Content-Type: application/xml
 transactionId: TF_AML_MSB003_MND_03
 requestId:   REQ_AML_MSB003_MND_03
 transactionType: MSB003
 branchCd: HN
 channel: T24
 isCallBack: N
Body: Dien MSB003 dung tai lieu mapping
Field bi THIEU: :Document/CstMsg/TxInf/InvolvedParty/Party_08/Address/CountryInAddress</t>
  </si>
  <si>
    <t>AML_MSB003_MND_33</t>
  </si>
  <si>
    <t>MSB003– Kiểm tra thông tin Khi thiếu trường thông tin :Document/CstMsg/TxInf/BeneficiaryBank/Address/FullAddress → errorCode=03</t>
  </si>
  <si>
    <t xml:space="preserve">Auth hợp lệ và còn hạn;
Body MSB003 KHÔNG có thông tin tag :Document/CstMsg/TxInf/BeneficiaryBank/Address/FullAddress
Các thông tin mandatory khác vẫn đủ thông tin </t>
  </si>
  <si>
    <t>1. Chuẩn bị body điện MSB003 đúng chuẩn SWIFT theo dạng JSON hoặc XML
2. XÓA tag :Document/CstMsg/TxInf/BeneficiaryBank/Address/FullAddress  khỏi body điện
  (các trường thông tin khác vẫn giữ nguyên)
3. Gửi POST request voi transactionType=MSB003
4. Verify: HTTP 200, result=ERROR, errorCode=03</t>
  </si>
  <si>
    <t>Headers:
Authorization:  Basic a3ljYWRtbjphYmMxMjM=    (Username and password to login)
Content-Type: application/xml
 transactionId: TF_AML_MSB003_MND_03
 requestId:   REQ_AML_MSB003_MND_03
 transactionType: MSB003
 branchCd: HN
 channel: T24
 isCallBack: N
Body: Dien MSB003 dung tai lieu mapping
Field bi THIEU: :Document/CstMsg/TxInf/BeneficiaryBank/Address/FullAddress</t>
  </si>
  <si>
    <t>AML_MSB003_MND_34</t>
  </si>
  <si>
    <t>MSB003– Kiểm tra thông tin Khi thiếu trường thông tin :Document/CstMsg/TxInf/BeneficiaryBank/Address/CountryInAddress → errorCode=03</t>
  </si>
  <si>
    <t xml:space="preserve">Auth hợp lệ và còn hạn;
Body MSB003 KHÔNG có thông tin tag :Document/CstMsg/TxInf/BeneficiaryBank/Address/CountryInAddress
Các thông tin mandatory khác vẫn đủ thông tin </t>
  </si>
  <si>
    <t>1. Chuẩn bị body điện MSB003 đúng chuẩn SWIFT theo dạng JSON hoặc XML
2. XÓA tag :Document/CstMsg/TxInf/BeneficiaryBank/Address/CountryInAddress  khỏi body điện
  (các trường thông tin khác vẫn giữ nguyên)
3. Gửi POST request voi transactionType=MSB003
4. Verify: HTTP 200, result=ERROR, errorCode=03</t>
  </si>
  <si>
    <t>Headers:
Authorization:  Basic a3ljYWRtbjphYmMxMjM=    (Username and password to login)
Content-Type: application/xml
 transactionId: TF_AML_MSB003_MND_03
 requestId:   REQ_AML_MSB003_MND_03
 transactionType: MSB003
 branchCd: HN
 channel: T24
 isCallBack: N
Body: Dien MSB003 dung tai lieu mapping
Field bi THIEU: :Document/CstMsg/TxInf/BeneficiaryBank/Address/CountryInAddress</t>
  </si>
  <si>
    <t>AML_MSB003_MND_35</t>
  </si>
  <si>
    <t>MSB003– Kiểm tra thông tin Khi thiếu trường thông tin :Document/CstMsg/TxInf/InvolvedBank/Bank_01 → errorCode=03</t>
  </si>
  <si>
    <t xml:space="preserve">Auth hợp lệ và còn hạn;
Body MSB003 KHÔNG có thông tin tag :Document/CstMsg/TxInf/InvolvedBank/Bank_01
Các thông tin mandatory khác vẫn đủ thông tin </t>
  </si>
  <si>
    <t>1. Chuẩn bị body điện MSB003 đúng chuẩn SWIFT theo dạng JSON hoặc XML
2. XÓA tag :Document/CstMsg/TxInf/InvolvedBank/Bank_01  khỏi body điện
  (các trường thông tin khác vẫn giữ nguyên)
3. Gửi POST request voi transactionType=MSB003
4. Verify: HTTP 200, result=ERROR, errorCode=03</t>
  </si>
  <si>
    <t>Headers:
Authorization:  Basic a3ljYWRtbjphYmMxMjM=    (Username and password to login)
Content-Type: application/xml
 transactionId: TF_AML_MSB003_MND_03
 requestId:   REQ_AML_MSB003_MND_03
 transactionType: MSB003
 branchCd: HN
 channel: T24
 isCallBack: N
Body: Dien MSB003 dung tai lieu mapping
Field bi THIEU: :Document/CstMsg/TxInf/InvolvedBank/Bank_01</t>
  </si>
  <si>
    <t>AML_MSB003_MND_36</t>
  </si>
  <si>
    <t>MSB003– Kiểm tra thông tin Khi thiếu trường thông tin :Document/CstMsg/TxInf/InvolvedBank/Bank_01/Name → errorCode=03</t>
  </si>
  <si>
    <t xml:space="preserve">Auth hợp lệ và còn hạn;
Body MSB003 KHÔNG có thông tin tag :Document/CstMsg/TxInf/InvolvedBank/Bank_01/Name
Các thông tin mandatory khác vẫn đủ thông tin </t>
  </si>
  <si>
    <t>1. Chuẩn bị body điện MSB003 đúng chuẩn SWIFT theo dạng JSON hoặc XML
2. XÓA tag :Document/CstMsg/TxInf/InvolvedBank/Bank_01/Name  khỏi body điện
  (các trường thông tin khác vẫn giữ nguyên)
3. Gửi POST request voi transactionType=MSB003
4. Verify: HTTP 200, result=ERROR, errorCode=03</t>
  </si>
  <si>
    <t>Headers:
Authorization:  Basic a3ljYWRtbjphYmMxMjM=    (Username and password to login)
Content-Type: application/xml
 transactionId: TF_AML_MSB003_MND_03
 requestId:   REQ_AML_MSB003_MND_03
 transactionType: MSB003
 branchCd: HN
 channel: T24
 isCallBack: N
Body: Dien MSB003 dung tai lieu mapping
Field bi THIEU: :Document/CstMsg/TxInf/InvolvedBank/Bank_01/Name</t>
  </si>
  <si>
    <t>AML_MSB003_MND_37</t>
  </si>
  <si>
    <t>MSB003– Kiểm tra thông tin Khi thiếu trường thông tin :Document/CstMsg/TxInf/InvolvedBank/Bank_01/BIC → errorCode=03</t>
  </si>
  <si>
    <t xml:space="preserve">Auth hợp lệ và còn hạn;
Body MSB003 KHÔNG có thông tin tag :Document/CstMsg/TxInf/InvolvedBank/Bank_01/BIC
Các thông tin mandatory khác vẫn đủ thông tin </t>
  </si>
  <si>
    <t>1. Chuẩn bị body điện MSB003 đúng chuẩn SWIFT theo dạng JSON hoặc XML
2. XÓA tag :Document/CstMsg/TxInf/InvolvedBank/Bank_01/BIC  khỏi body điện
  (các trường thông tin khác vẫn giữ nguyên)
3. Gửi POST request voi transactionType=MSB003
4. Verify: HTTP 200, result=ERROR, errorCode=03</t>
  </si>
  <si>
    <t>Headers:
Authorization:  Basic a3ljYWRtbjphYmMxMjM=    (Username and password to login)
Content-Type: application/xml
 transactionId: TF_AML_MSB003_MND_03
 requestId:   REQ_AML_MSB003_MND_03
 transactionType: MSB003
 branchCd: HN
 channel: T24
 isCallBack: N
Body: Dien MSB003 dung tai lieu mapping
Field bi THIEU: :Document/CstMsg/TxInf/InvolvedBank/Bank_01/BIC</t>
  </si>
  <si>
    <t>AML_MSB003_MND_38</t>
  </si>
  <si>
    <t>MSB003– Kiểm tra thông tin Khi thiếu trường thông tin :Document/CstMsg/TxInf/InvolvedBank/Bank_01/Address/FullAddress → errorCode=03</t>
  </si>
  <si>
    <t xml:space="preserve">Auth hợp lệ và còn hạn;
Body MSB003 KHÔNG có thông tin tag :Document/CstMsg/TxInf/InvolvedBank/Bank_01/Address/FullAddress
Các thông tin mandatory khác vẫn đủ thông tin </t>
  </si>
  <si>
    <t>1. Chuẩn bị body điện MSB003 đúng chuẩn SWIFT theo dạng JSON hoặc XML
2. XÓA tag :Document/CstMsg/TxInf/InvolvedBank/Bank_01/Address/FullAddress  khỏi body điện
  (các trường thông tin khác vẫn giữ nguyên)
3. Gửi POST request voi transactionType=MSB003
4. Verify: HTTP 200, result=ERROR, errorCode=03</t>
  </si>
  <si>
    <t>Headers:
Authorization:  Basic a3ljYWRtbjphYmMxMjM=    (Username and password to login)
Content-Type: application/xml
 transactionId: TF_AML_MSB003_MND_03
 requestId:   REQ_AML_MSB003_MND_03
 transactionType: MSB003
 branchCd: HN
 channel: T24
 isCallBack: N
Body: Dien MSB003 dung tai lieu mapping
Field bi THIEU: :Document/CstMsg/TxInf/InvolvedBank/Bank_01/Address/FullAddress</t>
  </si>
  <si>
    <t>AML_MSB003_MND_39</t>
  </si>
  <si>
    <t>MSB003– Kiểm tra thông tin Khi thiếu trường thông tin :Document/CstMsg/TxInf/InvolvedBank/Bank_01/Address/CountryInAddress → errorCode=03</t>
  </si>
  <si>
    <t xml:space="preserve">Auth hợp lệ và còn hạn;
Body MSB003 KHÔNG có thông tin tag :Document/CstMsg/TxInf/InvolvedBank/Bank_01/Address/CountryInAddress
Các thông tin mandatory khác vẫn đủ thông tin </t>
  </si>
  <si>
    <t>1. Chuẩn bị body điện MSB003 đúng chuẩn SWIFT theo dạng JSON hoặc XML
2. XÓA tag :Document/CstMsg/TxInf/InvolvedBank/Bank_01/Address/CountryInAddress  khỏi body điện
  (các trường thông tin khác vẫn giữ nguyên)
3. Gửi POST request voi transactionType=MSB003
4. Verify: HTTP 200, result=ERROR, errorCode=03</t>
  </si>
  <si>
    <t>Headers:
Authorization:  Basic a3ljYWRtbjphYmMxMjM=    (Username and password to login)
Content-Type: application/xml
 transactionId: TF_AML_MSB003_MND_03
 requestId:   REQ_AML_MSB003_MND_03
 transactionType: MSB003
 branchCd: HN
 channel: T24
 isCallBack: N
Body: Dien MSB003 dung tai lieu mapping
Field bi THIEU: :Document/CstMsg/TxInf/InvolvedBank/Bank_01/Address/CountryInAddress</t>
  </si>
  <si>
    <t>AML_MSB003_MND_40</t>
  </si>
  <si>
    <t>MSB003– Kiểm tra thông tin Khi thiếu trường thông tin :Document/CstMsg/TxInf/InvolvedBank/Bank_02 → errorCode=03</t>
  </si>
  <si>
    <t xml:space="preserve">Auth hợp lệ và còn hạn;
Body MSB003 KHÔNG có thông tin tag :Document/CstMsg/TxInf/InvolvedBank/Bank_02
Các thông tin mandatory khác vẫn đủ thông tin </t>
  </si>
  <si>
    <t>1. Chuẩn bị body điện MSB003 đúng chuẩn SWIFT theo dạng JSON hoặc XML
2. XÓA tag :Document/CstMsg/TxInf/InvolvedBank/Bank_02  khỏi body điện
  (các trường thông tin khác vẫn giữ nguyên)
3. Gửi POST request voi transactionType=MSB003
4. Verify: HTTP 200, result=ERROR, errorCode=03</t>
  </si>
  <si>
    <t>Headers:
Authorization:  Basic a3ljYWRtbjphYmMxMjM=    (Username and password to login)
Content-Type: application/xml
 transactionId: TF_AML_MSB003_MND_03
 requestId:   REQ_AML_MSB003_MND_03
 transactionType: MSB003
 branchCd: HN
 channel: T24
 isCallBack: N
Body: Dien MSB003 dung tai lieu mapping
Field bi THIEU: :Document/CstMsg/TxInf/InvolvedBank/Bank_02</t>
  </si>
  <si>
    <t>AML_MSB003_MND_41</t>
  </si>
  <si>
    <t>MSB003– Kiểm tra thông tin Khi thiếu trường thông tin :Document/CstMsg/TxInf/InvolvedBank/Bank_02/Role → errorCode=03</t>
  </si>
  <si>
    <t xml:space="preserve">Auth hợp lệ và còn hạn;
Body MSB003 KHÔNG có thông tin tag :Document/CstMsg/TxInf/InvolvedBank/Bank_02/Role
Các thông tin mandatory khác vẫn đủ thông tin </t>
  </si>
  <si>
    <t>1. Chuẩn bị body điện MSB003 đúng chuẩn SWIFT theo dạng JSON hoặc XML
2. XÓA tag :Document/CstMsg/TxInf/InvolvedBank/Bank_02/Role  khỏi body điện
  (các trường thông tin khác vẫn giữ nguyên)
3. Gửi POST request voi transactionType=MSB003
4. Verify: HTTP 200, result=ERROR, errorCode=03</t>
  </si>
  <si>
    <t>Headers:
Authorization:  Basic a3ljYWRtbjphYmMxMjM=    (Username and password to login)
Content-Type: application/xml
 transactionId: TF_AML_MSB003_MND_03
 requestId:   REQ_AML_MSB003_MND_03
 transactionType: MSB003
 branchCd: HN
 channel: T24
 isCallBack: N
Body: Dien MSB003 dung tai lieu mapping
Field bi THIEU: :Document/CstMsg/TxInf/InvolvedBank/Bank_02/Role</t>
  </si>
  <si>
    <t>AML_MSB003_MND_42</t>
  </si>
  <si>
    <t>MSB003– Kiểm tra thông tin Khi thiếu trường thông tin :Document/CstMsg/TxInf/InvolvedBank/Bank_02/Name → errorCode=03</t>
  </si>
  <si>
    <t xml:space="preserve">Auth hợp lệ và còn hạn;
Body MSB003 KHÔNG có thông tin tag :Document/CstMsg/TxInf/InvolvedBank/Bank_02/Name
Các thông tin mandatory khác vẫn đủ thông tin </t>
  </si>
  <si>
    <t>1. Chuẩn bị body điện MSB003 đúng chuẩn SWIFT theo dạng JSON hoặc XML
2. XÓA tag :Document/CstMsg/TxInf/InvolvedBank/Bank_02/Name  khỏi body điện
  (các trường thông tin khác vẫn giữ nguyên)
3. Gửi POST request voi transactionType=MSB003
4. Verify: HTTP 200, result=ERROR, errorCode=03</t>
  </si>
  <si>
    <t>Headers:
Authorization:  Basic a3ljYWRtbjphYmMxMjM=    (Username and password to login)
Content-Type: application/xml
 transactionId: TF_AML_MSB003_MND_03
 requestId:   REQ_AML_MSB003_MND_03
 transactionType: MSB003
 branchCd: HN
 channel: T24
 isCallBack: N
Body: Dien MSB003 dung tai lieu mapping
Field bi THIEU: :Document/CstMsg/TxInf/InvolvedBank/Bank_02/Name</t>
  </si>
  <si>
    <t>AML_MSB003_MND_43</t>
  </si>
  <si>
    <t>MSB003– Kiểm tra thông tin Khi thiếu trường thông tin :Document/CstMsg/TxInf/InvolvedBank/Bank_02/Address/FullAddress → errorCode=03</t>
  </si>
  <si>
    <t xml:space="preserve">Auth hợp lệ và còn hạn;
Body MSB003 KHÔNG có thông tin tag :Document/CstMsg/TxInf/InvolvedBank/Bank_02/Address/FullAddress
Các thông tin mandatory khác vẫn đủ thông tin </t>
  </si>
  <si>
    <t>1. Chuẩn bị body điện MSB003 đúng chuẩn SWIFT theo dạng JSON hoặc XML
2. XÓA tag :Document/CstMsg/TxInf/InvolvedBank/Bank_02/Address/FullAddress  khỏi body điện
  (các trường thông tin khác vẫn giữ nguyên)
3. Gửi POST request voi transactionType=MSB003
4. Verify: HTTP 200, result=ERROR, errorCode=03</t>
  </si>
  <si>
    <t>Headers:
Authorization:  Basic a3ljYWRtbjphYmMxMjM=    (Username and password to login)
Content-Type: application/xml
 transactionId: TF_AML_MSB003_MND_03
 requestId:   REQ_AML_MSB003_MND_03
 transactionType: MSB003
 branchCd: HN
 channel: T24
 isCallBack: N
Body: Dien MSB003 dung tai lieu mapping
Field bi THIEU: :Document/CstMsg/TxInf/InvolvedBank/Bank_02/Address/FullAddress</t>
  </si>
  <si>
    <t>AML_MSB003_MND_44</t>
  </si>
  <si>
    <t>MSB003– Kiểm tra thông tin Khi thiếu trường thông tin :Document/CstMsg/TxInf/Goods_01/ImportCountry → errorCode=03</t>
  </si>
  <si>
    <t xml:space="preserve">Auth hợp lệ và còn hạn;
Body MSB003 KHÔNG có thông tin tag :Document/CstMsg/TxInf/Goods_01/ImportCountry
Các thông tin mandatory khác vẫn đủ thông tin </t>
  </si>
  <si>
    <t>1. Chuẩn bị body điện MSB003 đúng chuẩn SWIFT theo dạng JSON hoặc XML
2. XÓA tag :Document/CstMsg/TxInf/Goods_01/ImportCountry  khỏi body điện
  (các trường thông tin khác vẫn giữ nguyên)
3. Gửi POST request voi transactionType=MSB003
4. Verify: HTTP 200, result=ERROR, errorCode=03</t>
  </si>
  <si>
    <t>Headers:
Authorization:  Basic a3ljYWRtbjphYmMxMjM=    (Username and password to login)
Content-Type: application/xml
 transactionId: TF_AML_MSB003_MND_03
 requestId:   REQ_AML_MSB003_MND_03
 transactionType: MSB003
 branchCd: HN
 channel: T24
 isCallBack: N
Body: Dien MSB003 dung tai lieu mapping
Field bi THIEU: :Document/CstMsg/TxInf/Goods_01/ImportCountry</t>
  </si>
  <si>
    <t>AML_MSB003_MND_45</t>
  </si>
  <si>
    <t>MSB003– Kiểm tra thông tin Khi thiếu trường thông tin :Document/CstMsg/TxInf/Goods_02/ImportCountry → errorCode=03</t>
  </si>
  <si>
    <t xml:space="preserve">Auth hợp lệ và còn hạn;
Body MSB003 KHÔNG có thông tin tag :Document/CstMsg/TxInf/Goods_02/ImportCountry
Các thông tin mandatory khác vẫn đủ thông tin </t>
  </si>
  <si>
    <t>1. Chuẩn bị body điện MSB003 đúng chuẩn SWIFT theo dạng JSON hoặc XML
2. XÓA tag :Document/CstMsg/TxInf/Goods_02/ImportCountry  khỏi body điện
  (các trường thông tin khác vẫn giữ nguyên)
3. Gửi POST request voi transactionType=MSB003
4. Verify: HTTP 200, result=ERROR, errorCode=03</t>
  </si>
  <si>
    <t>Headers:
Authorization:  Basic a3ljYWRtbjphYmMxMjM=    (Username and password to login)
Content-Type: application/xml
 transactionId: TF_AML_MSB003_MND_03
 requestId:   REQ_AML_MSB003_MND_03
 transactionType: MSB003
 branchCd: HN
 channel: T24
 isCallBack: N
Body: Dien MSB003 dung tai lieu mapping
Field bi THIEU: :Document/CstMsg/TxInf/Goods_02/ImportCountry</t>
  </si>
  <si>
    <t>Functions</t>
  </si>
  <si>
    <t>Build Version</t>
  </si>
  <si>
    <t>v1.0</t>
  </si>
  <si>
    <t>ROUND 1</t>
  </si>
  <si>
    <t>Total</t>
  </si>
  <si>
    <t>Passed</t>
  </si>
  <si>
    <t>Failed</t>
  </si>
  <si>
    <t>Accepted</t>
  </si>
  <si>
    <t>N/A</t>
  </si>
  <si>
    <t>ROUND 2</t>
  </si>
  <si>
    <t>fai off server</t>
  </si>
  <si>
    <t>Test case Id</t>
  </si>
  <si>
    <t>2nd Test Results</t>
  </si>
  <si>
    <t>BugID</t>
  </si>
  <si>
    <t>Notes</t>
  </si>
  <si>
    <t>API_SEARCH.01</t>
  </si>
  <si>
    <t>API truy vấn kết quả sàng lọc/đánh giá sự vụ từ AML</t>
  </si>
  <si>
    <t>API_SEARCH.01.01</t>
  </si>
  <si>
    <t xml:space="preserve">Send API truyền thông tin requestId để truy vấn kết quả sàng lọc sự vụ từ AML và thông tin giao dịch có kết quả NO HIT </t>
  </si>
  <si>
    <t xml:space="preserve">- Giao dịch có kết quả sàng lọc NO HIT
</t>
  </si>
  <si>
    <t>1. Đẩy API truyền thông tin Số tham chiếu giao dịch để nhận kết quả từ AML
URL:http://ip:port/TabletoJSONService/TableToJson/createtabletojson
path:/TabletoJSONService/TableToJson/createtabletojson
Method: POST
Request Header:
Authorization:  Basic a3ljYWRtbjphYmMxMjM=    (Username and password to login)
Truyền Param:
mappingId = SEARCH_TF
requestId= 'n_grp_msg_id'
2. Kiểm tra Response trả về</t>
  </si>
  <si>
    <t>{1:F01MCOBVNVXAXXX.SN...ISN.}{2:I195SCBLUS33XXXXN}{3:{108:262315GRVX61483}{121:f6706b2b-rrrr-444f-9ee8-0304037814c2}}{4:
:20:NZ126032502700
:21:S1626084GHMFKKHF
:75:ATTN PAYMENTS INVESTIGATIONS
:77A:PLEASE BE ADVISED THAT WE ARE
UNABLE TO EFFECT SUBJECT PAYMENT
DUE TO INSUFFICIENT FUNDS IN YOUR
ACCOUNT 270959NZD00001.
PAYMENT HELD PENDING ACCOUNT BEING
FULLY FUNDED.
IF WE DO NOT HEAR FROM YOU WITHIN
THE NEXT THREE WORKING DAYS, WE MAY
CANCEL THE PAYMENT.
THANKS
ANZ MARKET TEAM
:11R:103
260325
:20:S1626084GHMFKKHF
-}{5:{MAC: :00000000}{CHK:D2826EE1B645}}{S:{SAC:}{COP:S}}</t>
  </si>
  <si>
    <t xml:space="preserve">2. Kết quả response trả về kết quả theo đúng yêu cầu
{
  "transactionId": "transactionId",
  "branchCd": "branchCd",
  "channel": "channel",
  "finalResult": "PASS",
  "alertStatus": null,
  "processDate": "processDate",
  "transactionType": "transactionType",
  "score": 0,
  "requestId": "requestId"
}
</t>
  </si>
  <si>
    <t>curl --location --request POST 'https://10.0.137.75:7001/TabletoJSONService/TableToJson/createtabletojson?mappingId=SEARCH_TF&amp;requestId=50053' \
--header 'Cookie: JSESSIONID=zRkyggx9Ymx2EOmicEST30_kAPdkCWdFBnn7mKb5fxZA9GZ03tP6!663991662'</t>
  </si>
  <si>
    <t>API_SEARCH.01.02</t>
  </si>
  <si>
    <t>Send API truyền thông tin requestId để truy vấn kết quả sàng lọc/đánh giá sự vụ từ AML và thông tin giao dịch có kết quả HIT và chưa hoàn thành đánh giá sự vụ</t>
  </si>
  <si>
    <t xml:space="preserve">- Giao dịch có kết quả sàng lọc HIT và chưa hoàn thành đánh giá sự vụ
</t>
  </si>
  <si>
    <t>{1:F01MSBLVNVXAXXX0000000000}
{2:I710DBSSSGSGXXXXN}
{3:{108:MT710HIT0001}}
{4:
:27:1/1
:40B:IRREVOCABLE
WITHOUT
:20:ADV2608180001
:21:LC2608180001
:31C:260818
:40E:UCP LATEST VERSION
:31D:270131SINGAPORE
:50B:270131SINGAPORE
:50:VIETNAM IMPORT EXPORT JSC
15 NGUYEN HUE BOULEVARD
HO CHI MINH CITY
VIETNAM
:59:SUNRISE IMPORT EXPORT PTE LTD
18 MARINA BOULEVARD
SINGAPORE
:32B:USD500000,00
:41A:DBSSSGSGXXX
BY PAYMENT
:45A:SUMMIT EMBER
:49:WITHOUT
-}{5:{MAC:00000000}{CHK:1A2B3C4D5E6F}}</t>
  </si>
  <si>
    <t xml:space="preserve">2. Kết quả response trả về kết quả theo đúng yêu cầu
{
  "groupMessageId": "groupMessageId",
  "alertId": "alertId",
  "transactionId": "transactionId",
  "branchCd": "branchCd",
  "channel": "channel",
  "finalResult": "N/A",
  "alertStatus": "alertStatus",
  "processDate": "processDate",
  "transactionType": "transactionType",
  "score": score,
  "requestId": "requestId"
}
</t>
  </si>
  <si>
    <t>API_SEARCH.01.03</t>
  </si>
  <si>
    <t>Send API truyền thông tin requestId để truy vấn kết quả sàng lọc/đánh giá sự vụ từ AML và thông tin giao dịch có kết quả Knock-Out</t>
  </si>
  <si>
    <t xml:space="preserve">- Giao dịch có kết quả sàng lọc là Knock-Out
</t>
  </si>
  <si>
    <t>{1:F01BIDVTWVXAXXX0000000000}
{2:I700BFICCUHHXXXXN}
{3:{108:TFRISK2025TW01}}
{4:
:27:1/1
:40A:IRREVOCABLE
:20:TESTVVVV1
:31C:260101
:40E:UCP LATEST VERSION
:31D:261231SINGAPORE
:50:MEKONG TRADING CO LTD
12 NGUYEN HUE
HO CHI MINH
VN
:59:SUNRISE PTE LTD
18 MARINA BLVD
SINGAPORE
SG
:32B:EUR200000,
:41D:SCBLSGSG
BY PAYMENT
:42D:MAMAK PTY LTD ASSOCIATION
:49:WITHOUT
:57A:DEUTUSFFABC
-}
{5:{MAC:00000000}{CHK:123456789ABC}}</t>
  </si>
  <si>
    <t xml:space="preserve">2. Kết quả response trả về kết quả theo đúng yêu cầu
{
  "groupMessageId": "groupMessageId",
  "alertId": "alertId",
  "transactionId": "transactionId",
  "branchCd": "branchCd",
  "channel": "channel",
  "finalResult": "FAIL",
  "alertStatus": "Knock Out",
  "processDate": "processDate",
  "transactionType": "transactionType",
  "score": score,
  "requestId": "requestId"
}
</t>
  </si>
  <si>
    <t>API_SEARCH.01.04</t>
  </si>
  <si>
    <t>Send API truyền thông tin requestId  để truy vấn kết quả sàng lọc/đánh giá sự vụ từ AML và thông tin giao dịch có kết quả HIT và đã hoàn thành đánh giá sự vụ là Maker Close Accept</t>
  </si>
  <si>
    <t>Giao dịch có kết quả sàng lọc HIT và đã hoàn thành đánh giá sự vụ là Maker Close Accept</t>
  </si>
  <si>
    <t xml:space="preserve">1. Đẩy API truyền thông tin Số tham chiếu giao dịch để nhận kết quả từ AML
URL:http://ip:port/TabletoJSONService/TableToJson/createtabletojson
path:/TabletoJSONService/TableToJson/createtabletojson
Method: POST
Request Header:
Authorization:  Basic a3ljYWRtbjphYmMxMjM=    (Username and password to login)
Truyền Param:
mappingId = SEARCH_TF
requestId= 'n_grp_msg_id'
2. Kiểm tra Response trả về
</t>
  </si>
  <si>
    <t>{1:F01MCOBVNVXAXXX0000000000}
{2:O7201200260101BFICCUHHAXXX00000000002601011200N}
{3:{108:MT720TEST0002}}
{4:
:27:1/1
:40B:IRREVOCABLE
ADDING OUR CONFIRMATION
:20:720case2
:21:DCN000000001
:31C:260101
:40E:UCP LATEST VERSION
:31D:261231SINGAPORE
:50:SUMMIT EMBER
12 NGUYEN HUE
HO CHI MINH
VN
:59:SUNRISE PTE LTD
18 MARINA BLVD
SINGAPORE
SG
:32B:USD100000,
:41A:SCBLSGSG
BY PAYMENT
:49:WITHOUT
-}
{5:{MAC:00000000}{CHK:123456789ABC}}</t>
  </si>
  <si>
    <t xml:space="preserve">2. Kết quả response trả về kết quả theo đúng yêu cầu
{
  "groupMessageId": "groupMessageId",
  "alertId": "alertId",
  "transactionId": "transactionId",
  "branchCd": "branchCd",
  "channel": "channel",
  "finalResult": "PASS",
  "alertStatus": "Maker Close Accept",
  "processDate": "processDate",
  "transactionType": "transactionType",
  "score": score,
  "requestId": "requestId"
}
</t>
  </si>
  <si>
    <t>API_SEARCH.01.05</t>
  </si>
  <si>
    <t>Send API truyền thông tin requestId  để truy vấn kết quả sàng lọc/đánh giá sự vụ từ AML và thông tin giao dịch có kết quả HIT và đã hoàn thành đánh giá sự vụ là Checker Close Accept</t>
  </si>
  <si>
    <t>Giao dịch có kết quả sàng lọc HIT và đã hoàn thành đánh giá sự vụ là Checker Close Accept</t>
  </si>
  <si>
    <t>{1:F01MCOBVNVXAXXX0000000000}
{2:O7201200260101BFICCUHHAXXX00000000002601011200N}
{3:{108:MT720TEST0002}}
{4:
:27:1/1
:40B:IRREVOCABLE
ADDING OUR CONFIRMATION
:20:REF000000001
:21:DCN000000001
:31C:260101
:40E:UCP LATEST VERSION
:31D:261231SINGAPORE
:50:SUMMIT EMBER
12 NGUYEN HUE
HO CHI MINH
VN
:59:SUNRISE PTE LTD
18 MARINA BLVD
SINGAPORE
SG
:32B:USD100000,
:41A:SCBLSGSG
BY PAYMENT
:49:WITHOUT
-}
{5:{MAC:00000000}{CHK:123456789ABC}}</t>
  </si>
  <si>
    <t xml:space="preserve">2. Kết quả response trả về kết quả theo đúng yêu cầu
{
  "groupMessageId": "groupMessageId",
  "alertId": "alertId",
  "transactionId": "transactionId",
  "branchCd": "branchCd",
  "channel": "channel",
  "finalResult": "PASS",
  "alertStatus": "Checker Close Accept",
  "processDate": "processDate",
  "transactionType": "transactionType",
  "score": score,
  "requestId": "requestId"
}
</t>
  </si>
  <si>
    <t>API_SEARCH.01.06</t>
  </si>
  <si>
    <t>Send API truyền thông tin requestId  để truy vấn kết quả sàng lọc/đánh giá sự vụ từ AML và thông tin giao dịch có kết quả HIT và đã hoàn thành đánh giá sự vụ là AML Close Accept</t>
  </si>
  <si>
    <t>Giao dịch có kết quả sàng lọc HIT và đã hoàn thành đánh giá sự vụ là AML Close Accept</t>
  </si>
  <si>
    <t xml:space="preserve">2. Kết quả response trả về kết quả theo đúng yêu cầu
{
  "groupMessageId": "groupMessageId",
  "alertId": "alertId",
  "transactionId": "transactionId",
  "branchCd": "branchCd",
  "channel": "channel",
  "finalResult": "PASS",
  "alertStatus": "AML Close Accept",
  "processDate": "processDate",
  "transactionType": "transactionType",
  "score": score,
  "requestId": "requestId"
}
</t>
  </si>
  <si>
    <t>API_SEARCH.01.07</t>
  </si>
  <si>
    <t>Send API truyền thông tin requestId  để truy vấn kết quả sàng lọc/đánh giá sự vụ từ AML và thông tin giao dịch có kết quả HIT và đã hoàn thành đánh giá sự vụ là Maker Close Deny</t>
  </si>
  <si>
    <t>Giao dịch có kết quả sàng lọc HIT và đã hoàn thành đánh giá sự vụ là Maker Close Deny</t>
  </si>
  <si>
    <t xml:space="preserve">2. Kết quả response trả về kết quả theo đúng yêu cầu
{
  "groupMessageId": "groupMessageId",
  "alertId": "alertId",
  "transactionId": "transactionId",
  "branchCd": "branchCd",
  "channel": "channel",
  "finalResult": "FAIL",
  "alertStatus": "Maker Close Deny",
  "processDate": "processDate",
  "transactionType": "transactionType",
  "score": score,
  "requestId": "requestId"
}
</t>
  </si>
  <si>
    <t>API_SEARCH.01.08</t>
  </si>
  <si>
    <t>Send API truyền thông tin requestId  để truy vấn kết quả sàng lọc/đánh giá sự vụ từ AML và thông tin giao dịch có kết quả HIT và đã hoàn thành đánh giá sự vụ là Checker Close Deny</t>
  </si>
  <si>
    <t>Giao dịch có kết quả sàng lọc HIT và đã hoàn thành đánh giá sự vụ là Checker Close Deny</t>
  </si>
  <si>
    <t xml:space="preserve">2. Kết quả response trả về kết quả theo đúng yêu cầu
{
  "groupMessageId": "groupMessageId",
  "alertId": "alertId",
  "transactionId": "transactionId",
  "branchCd": "branchCd",
  "channel": "channel",
  "finalResult": "FAIL",
  "alertStatus": "Checker Close Deny",
  "processDate": "processDate",
  "transactionType": "transactionType",
  "score": score,
  "requestId": "requestId"
}
</t>
  </si>
  <si>
    <t>API_SEARCH.01.09</t>
  </si>
  <si>
    <t>Send API truyền thông tin requestId  để truy vấn kết quả sàng lọc/đánh giá sự vụ từ AML và thông tin giao dịch có kết quả HIT và đã hoàn thành đánh giá sự vụ là AML Close Deny</t>
  </si>
  <si>
    <t>Giao dịch có kết quả sàng lọc HIT và đã hoàn thành đánh giá sự vụ là AML Close Deny</t>
  </si>
  <si>
    <t xml:space="preserve">2. Kết quả response trả về kết quả theo đúng yêu cầu
{
  "groupMessageId": "groupMessageId",
  "alertId": "alertId",
  "transactionId": "transactionId",
  "branchCd": "branchCd",
  "channel": "channel",
  "finalResult": "FAIL",
  "alertStatus": "AML Close Deny",
  "processDate": "processDate",
  "transactionType": "transactionType",
  "score": score,
  "requestId": "requestId"
}
</t>
  </si>
  <si>
    <t>API_SEARCH.01.10</t>
  </si>
  <si>
    <t>Send API truyền thông tin alertId để truy vấn kết quả sàng lọc/đánh giá sự vụ từ AML và thông tin giao dịch có kết quả HIT và chưa hoàn thành đánh giá sự vụ</t>
  </si>
  <si>
    <t>1. Đẩy API truyền thông tin Số tham chiếu giao dịch để nhận kết quả từ AML
URL:http://ip:port/TabletoJSONService/TableToJson/createtabletojson
path:/TabletoJSONService/TableToJson/createtabletojson
Method: POST
Request Header:
Authorization:  Basic a3ljYWRtbjphYmMxMjM=    (Username and password to login)
Truyền Param:
mappingId = SEARCH_TF
alertId = 'alertId'
2. Kiểm tra Response trả về</t>
  </si>
  <si>
    <t>API_SEARCH.01.11</t>
  </si>
  <si>
    <t>Send API truyền thông tin alertId để truy vấn kết quả sàng lọc/đánh giá sự vụ từ AML và thông tin giao dịch có kết quả Knock-Out</t>
  </si>
  <si>
    <t>{1:F01MCOBVNVXAXXX0000000000}
{2:O2951201260724BFICCUHHAXXX00010000012607241201N}
{3:{108:MT295TESTTTTTT}}
{4:
:20:QRY26072400031
:21:NONREF
:75:PLEASE CONFIRM STATUSS TRANSACTION
-}{5:{MAC:00000000}{CHK:1A2B3C4D5E6F}}</t>
  </si>
  <si>
    <t xml:space="preserve">2. Kết quả response trả về kết quả theo đúng yêu cầu
{
  "groupMessageId": "groupMessageId",
  "alertId": "alertId",
  "transactionId": "transactionId",
  "branchCd": "branchCd",
  "channel": "channel",
  "finalResult": "FAIL",
  "alertStatus": "Knock-Out",
  "processDate": "processDate",
  "transactionType": "transactionType",
  "score": score,
  "requestId": "requestId"
}
</t>
  </si>
  <si>
    <t>API_SEARCH.01.12</t>
  </si>
  <si>
    <t>Send API truyền thông tin alertId  để truy vấn kết quả sàng lọc/đánh giá sự vụ từ AML và thông tin giao dịch có kết quả HIT và đã hoàn thành đánh giá sự vụ là Maker Close Accept</t>
  </si>
  <si>
    <t xml:space="preserve">1. Đẩy API truyền thông tin Số tham chiếu giao dịch để nhận kết quả từ AML
URL:http://ip:port/TabletoJSONService/TableToJson/createtabletojson
path:/TabletoJSONService/TableToJson/createtabletojson
Method: POST
Request Header:
Authorization:  Basic a3ljYWRtbjphYmMxMjM=    (Username and password to login)
Truyền Param:
mappingId = SEARCH_TF
alertId = 'alertId'
2. Kiểm tra Response trả về
</t>
  </si>
  <si>
    <t>2. Kết quả response trả về kết quả theo đúng yêu cầu
{
  "groupMessageId": "groupMessageId",
  "alertId": "alertId",
  "transactionId": "transactionId",
  "branchCd": "branchCd",
  "channel": "channel",
  "finalResult": "PASS",
  "alertStatus": "Maker Close Accept",
  "processDate": "processDate",
  "transactionType": "transactionType",
  "score": score,
  "requestId": "requestId"
}</t>
  </si>
  <si>
    <t>API_SEARCH.01.13</t>
  </si>
  <si>
    <t>Send API truyền thông tin alertId  để truy vấn kết quả sàng lọc/đánh giá sự vụ từ AML và thông tin giao dịch có kết quả HIT và đã hoàn thành đánh giá sự vụ là Checker Close Accept</t>
  </si>
  <si>
    <t>API_SEARCH.01.14</t>
  </si>
  <si>
    <t>Send API truyền thông tin alertId  để truy vấn kết quả sàng lọc/đánh giá sự vụ từ AML và thông tin giao dịch có kết quả HIT và đã hoàn thành đánh giá sự vụ là AML Close Accept</t>
  </si>
  <si>
    <t>API_SEARCH.01.15</t>
  </si>
  <si>
    <t>Send API truyền thông tin alertId  để truy vấn kết quả sàng lọc/đánh giá sự vụ từ AML và thông tin giao dịch có kết quả HIT và đã hoàn thành đánh giá sự vụ là Maker Close Deny</t>
  </si>
  <si>
    <t>API_SEARCH.01.16</t>
  </si>
  <si>
    <t>Send API truyền thông tin alertId  để truy vấn kết quả sàng lọc/đánh giá sự vụ từ AML và thông tin giao dịch có kết quả HIT và đã hoàn thành đánh giá sự vụ là Checker Close Deny</t>
  </si>
  <si>
    <t>API_SEARCH.01.17</t>
  </si>
  <si>
    <t>Send API truyền thông tin alertId  để truy vấn kết quả sàng lọc/đánh giá sự vụ từ AML và thông tin giao dịch có kết quả HIT và đã hoàn thành đánh giá sự vụ là AML Close Deny</t>
  </si>
  <si>
    <t>API_SEARCH.01.18</t>
  </si>
  <si>
    <t>Send API để truy vấn kết quả sàng lọc/đánh giá sự vụ từ AML - trường hợp requestId  không có dữ liệu trên OFSAA</t>
  </si>
  <si>
    <t xml:space="preserve">1. Đẩy API truyền thông tin Số tham chiếu giao dịch để nhận kết quả từ AML
URL:http://ip:port/TabletoJSONService/TableToJson/createtabletojson
path:/TabletoJSONService/TableToJson/createtabletojson
Method: POST
Request Header:
Authorization:  Basic a3ljYWRtbjphYmMxMjM=    (Username and password to login)
Truyền Param:
mappingId = SEARCH_TF
requestId= 'n_grp_msg_id'
2. Kiểm tra Response trả về
</t>
  </si>
  <si>
    <t xml:space="preserve">2. Kết quả response trả về
{}
</t>
  </si>
  <si>
    <t>API_SEARCH.01.19</t>
  </si>
  <si>
    <t>Send API để truy vấn kết quả sàng lọc/đánh giá sự vụ từ AML - trường hợp  alertId không có dữ liệu trên OFSAA</t>
  </si>
  <si>
    <t xml:space="preserve">2. Kết quả response trả về 
{}
</t>
  </si>
  <si>
    <t>API_SEARCH.01.20</t>
  </si>
  <si>
    <t xml:space="preserve">Send API để truy vấn kết quả sàng lọc/đánh giá sự vụ từ AML - trường hợp truyền thiếu hoặc sai thông tin mappingId </t>
  </si>
  <si>
    <t xml:space="preserve">1. Đẩy API truyền thông tin Số tham chiếu giao dịch để nhận kết quả từ AML
URL:http://ip:port/TabletoJSONService/TableToJson/createtabletojson
path:/TabletoJSONService/TableToJson/createtabletojson
Method: POST
Request Header:
Authorization:  Basic a3ljYWRtbjphYmMxMjM=    (Username and password to login)
Truyền Param:
mappingId = 
alertId = 'alertId'
requestId= 'n_grp_msg_id'
2. Kiểm tra Response trả về
</t>
  </si>
  <si>
    <t>API_SEARCH.01.21</t>
  </si>
  <si>
    <t>Kiểm tra trường hợp lỗi 404</t>
  </si>
  <si>
    <t>Truyền sai URL</t>
  </si>
  <si>
    <t xml:space="preserve">1. Đẩy API truyền thông tin Số tham chiếu giao dịch để nhận kết quả từ AML
URL:http://ip:port/TabletoJSONService/TableToJson/createt
path:/TabletoJSONService/TableToJson/createtabletojson
Method: POST
Request Header:
Authorization:  Basic a3ljYWRtbjphYmMxMjM=    (Username and password to login)
Truyền Param:
mappingId = 
alertId = 'alertId'
requestId= 'n_grp_msg_id'
2. Kiểm tra Response trả về
</t>
  </si>
  <si>
    <t>2. Hệ thống trả lỗi 404 Not Found</t>
  </si>
  <si>
    <t>API_SEARCH.01.22</t>
  </si>
  <si>
    <t>Kiểm tra trường hợp lỗi 500</t>
  </si>
  <si>
    <t>Lỗi Sever</t>
  </si>
  <si>
    <t xml:space="preserve">1. Đẩy API truyền thông tin Số tham chiếu giao dịch để nhận kết quả từ AML
http://ip:port/TabletoJSONService/TableToJson/createtabletojson
path:/TabletoJSONService/TableToJson/createtabletojson
Method: POST
Request Header:
Authorization:  Basic a3ljYWRtbjphYmMxMjM=    (Username and password to login)
Truyền Param:
mappingId = 
alertId = 'alertId'
requestId= 'n_grp_msg_id'
2. Kiểm tra Response trả về
</t>
  </si>
  <si>
    <t>2. Hệ thống trả lỗi 500 Internal Sever</t>
  </si>
  <si>
    <t>API_SEARCH.01.23</t>
  </si>
  <si>
    <t>Send API để truy vấn kết quả sàng lọc/đánh giá sự vụ từ AML - trường hợp truyền Method = GET</t>
  </si>
  <si>
    <t>Method = GET</t>
  </si>
  <si>
    <t xml:space="preserve">1. Đẩy API truyền thông tin Số tham chiếu giao dịch để nhận kết quả từ AML
http://ip:port/TabletoJSONService/TableToJson/createtabletojson
path:/TabletoJSONService/TableToJson/createtabletojson
Method: GET
Request Header:
Authorization:  Basic a3ljYWRtbjphYmMxMjM=    (Username and password to login)
Truyền Param:
mappingId = 
alertId = 'alertId'
requestId= 'n_grp_msg_id'
2. Kiểm tra Response trả về
</t>
  </si>
  <si>
    <t>1. Hệ thống trả Success : 200
2. Response : The JSON creation service is running. mappingId passed was - SEARCH_TF</t>
  </si>
  <si>
    <t>API_SEARCH.01.24</t>
  </si>
  <si>
    <t>Send API để truy vấn kết quả sàng lọc/đánh giá sự vụ từ AML - trường hợp truyền sai Method ( Exclude GET/POST)</t>
  </si>
  <si>
    <t>Method = PUT</t>
  </si>
  <si>
    <t xml:space="preserve">1. Đẩy API truyền thông tin Số tham chiếu giao dịch để nhận kết quả từ AML
http://ip:port/TabletoJSONService/TableToJson/createtabletojson
path:/TabletoJSONService/TableToJson/createtabletojson
Method: PUT
Request Header:
Authorization:  Basic a3ljYWRtbjphYmMxMjM=    (Username and password to login)
Truyền Param:
mappingId = 
alertId = 'alertId'
requestId= 'n_grp_msg_id'
2. Kiểm tra Response trả về
</t>
  </si>
  <si>
    <t>2. Hệ thống trả lỗi 405 Method Not Allowed</t>
  </si>
  <si>
    <t>TF_API_CALLBACK_01</t>
  </si>
  <si>
    <t xml:space="preserve">Kiểm tra API trả kết quả cuối cùng sau khi hoàn thành đánh giá sự vụ phát sinh trên OFSAA </t>
  </si>
  <si>
    <t>TF_API_CALLBACK_01_01</t>
  </si>
  <si>
    <t xml:space="preserve">Kiểm tra API trả thành công kết quả cuối cùng theo các trạng thái case </t>
  </si>
  <si>
    <t>TF_API_CALLBACK.01.01</t>
  </si>
  <si>
    <t>Kiểm tra body request API Callback</t>
  </si>
  <si>
    <t>1. Hoàn thành đánh giá Alert trên hệ thống OFSAA
2.API truyền vào có giá trị IsCallBack = Y
3. User có quyền xem/chỉnh sửa PMF</t>
  </si>
  <si>
    <t xml:space="preserve">1. Truy cập vào OFSAA AML theo đường dẫn:Financial Services Analytical Applications Transactions Filtering/Common Tasks/ Processing Modelling Framework/Process Monitor
2. Chọn Process: có Alert ID tương ứng với Alert ID trả ra ở response
3. Kiểm tra response trên màn hình </t>
  </si>
  <si>
    <t> </t>
  </si>
  <si>
    <t>API callback cần có đủ các thông tin sau:
$.groupMessageId
$.alertId
$.transactionId
$.branchCd
$.channel
$.finalResult
$.alertStatus
$.processDate
$.transactionType
$.score
$.requestId</t>
  </si>
  <si>
    <t>TF_API_CALLBACK.01.02</t>
  </si>
  <si>
    <t>Kiểm tra kết quả về hệ thống nguồn khi sự vụ đóng ở trạng thái Maker Close Accept</t>
  </si>
  <si>
    <t>1. Truy cập vào OFSAA AML theo đường dẫn:Financial Services Analytical Applications Transactions Filtering/Common Tasks/ Processing Modelling Framework/Process Monitor
2. Chọn Process: có Alert ID tương ứng với Alert ID trả ra ở response
3. Kiểm tra response trên màn hình so với thông tin request truyền vào và kết quả xử lý case</t>
  </si>
  <si>
    <t>{1:F01SCBLSGSGAXXX0000000000}
{2:I299MCOBVNVXXXXXN}
{3:{108:MT299TEST0002}}
{4:
:20:FRF2607240002
:21:NONREF
:79:0099887766
-}{5:{MAC:00000000}{CHK:1A2B3C4D5E6F}}</t>
  </si>
  <si>
    <t>3. Kết quả response trả về kết quả theo đúng yêu cầu
{
  "groupMessageId": "groupMessageId",
  "alertId": "alertId",
  "transactionId": "transactionId",
  "branchCd": "branchCd",
  "channel": "channel",
  "finalResult": "PASS",
  "alertStatus": "Maker Close Accept",
  "processDate": "processDate",
  "transactionType": "transactionType",
  "score": "score",
  "requestId": "requestId"
}</t>
  </si>
  <si>
    <t>TF_API_CALLBACK.01.03</t>
  </si>
  <si>
    <t>Kiểm tra kết quả về hệ thống nguồn khi sự vụ đóng ở trạng thái Checker Close Accept</t>
  </si>
  <si>
    <t>{1:F01SCBLSGSGAXXX0000000000}
{2:I499MCOBVNVXXXXXN}
{3:{108:MT499TEST0002}}
{4:
:20:FRF2607240002
:21:NONREF
:79:0099887766
-}{5:{MAC:00000000}{CHK:1A2B3C4D5E6F}}</t>
  </si>
  <si>
    <t>3. Kết quả response trả về kết quả theo đúng yêu cầu
{
  "groupMessageId": "groupMessageId",
  "alertId": "alertId",
  "transactionId": "transactionId",
  "branchCd": "branchCd",
  "channel": "channel",
  "finalResult": "PASS",
  "alertStatus": "Checker Close Accept",
  "processDate": "processDate",
  "transactionType": "transactionType",
  "score": "score",
  "requestId": "requestId"
}</t>
  </si>
  <si>
    <t>TF_API_CALLBACK.01.04</t>
  </si>
  <si>
    <t>Kiểm tra kết quả về hệ thống nguồn khi sự vụ đóng ở trạng thái AML Close Accept</t>
  </si>
  <si>
    <t>&lt;?xml version="1.0" encoding="UTF-8"?&gt;
&lt;Document xmlns="urn:iso:std:iso:20022:tech:xsd:pacs.008.001.08"&gt;
  &lt;FIToFICstmrCdtTrf&gt;
    &lt;GrpHdr&gt;
      &lt;MsgId&gt;PP1_PTP1&lt;/MsgId&gt;
      &lt;CreDtTm&gt;2026-07-28T13:31:41&lt;/CreDtTm&gt;
      &lt;NbOfTxs&gt;1&lt;/NbOfTxs&gt;
      &lt;CtrlSum&gt;15000.00&lt;/CtrlSum&gt;
      &lt;SttlmInf&gt;
        &lt;SttlmMtd&gt;CLRG&lt;/SttlmMtd&gt;
      &lt;/SttlmInf&gt;
    &lt;/GrpHdr&gt;
    &lt;CdtTrfTxInf&gt;
      &lt;PmtId&gt;
        &lt;InstrId&gt;SEPAINSTR0000001&lt;/InstrId&gt;
        &lt;EndToEndId&gt;SEPAE2E0000001&lt;/EndToEndId&gt;
      &lt;/PmtId&gt;
      &lt;IntrBkSttlmAmt Ccy="EUR"&gt;15000.00&lt;/IntrBkSttlmAmt&gt;
      &lt;ChrgBr&gt;SLEV&lt;/ChrgBr&gt;
      &lt;Dbtr&gt;
        &lt;Nm&gt;SUMMIT EMBER&lt;/Nm&gt;
      &lt;/Dbtr&gt;
      &lt;DbtrAgt&gt;
        &lt;FinInstnId&gt;
          &lt;BICFI&gt;BKBPVNTH&lt;/BICFI&gt;
        &lt;/FinInstnId&gt;
      &lt;/DbtrAgt&gt;
      &lt;CdtrAgt&gt;
        &lt;FinInstnId&gt;
          &lt;BICFI&gt;BKBPVNTH&lt;/BICFI&gt;
        &lt;/FinInstnId&gt;
      &lt;/CdtrAgt&gt;
      &lt;Cdtr&gt;
        &lt;Nm&gt;ABCD1234 BENEFICIARY&lt;/Nm&gt;
      &lt;/Cdtr&gt;
      &lt;RmtInf&gt;
				&lt;Ustrd&gt;0216155930&lt;/Ustrd&gt;
			&lt;/RmtInf&gt;
    &lt;/CdtTrfTxInf&gt;
  &lt;/FIToFICstmrCdtTrf&gt;
&lt;/Document&gt;</t>
  </si>
  <si>
    <t>3. Kết quả response trả về kết quả theo đúng yêu cầu
{
  "groupMessageId": "groupMessageId",
  "alertId": "alertId",
  "transactionId": "transactionId",
  "branchCd": "branchCd",
  "channel": "channel",
  "finalResult": "PASS",
  "alertStatus": "AML Close Accept",
  "processDate": "processDate",
  "transactionType": "transactionType",
  "score": "score",
  "requestId": "requestId"
}</t>
  </si>
  <si>
    <t>TF_API_CALLBACK.01.05</t>
  </si>
  <si>
    <t>Kiểm tra kết quả về hệ thống nguồn khi sự vụ đóng ở trạng thái Maker Close Deny</t>
  </si>
  <si>
    <t>{1:F01SCBLSGSGAXXX0000000000}
{2:I199MCOBVNVXXXXXN}
{3:{108:MT199TEST0002}}
{4:
:20:FRF2607240002
:79:0099887766
-}{5:{MAC:00000000}{CHK:1A2B3C4D5E6F}}</t>
  </si>
  <si>
    <t>3. Kết quả response trả về kết quả theo đúng yêu cầu
{
  "groupMessageId": "groupMessageId",
  "alertId": "alertId",
  "transactionId": "transactionId",
  "branchCd": "branchCd",
  "channel": "channel",
  "finalResult": "Fail",
  "alertStatus": "Maker Close Deny",
  "processDate": "processDate",
  "transactionType": "transactionType",
  "score": "score",
  "requestId": "requestId"
}</t>
  </si>
  <si>
    <t>TF_API_CALLBACK.01.06</t>
  </si>
  <si>
    <t>Kiểm tra kết quả về hệ thống nguồn khi sự vụ đóng ở trạng thái Checker Close Deny</t>
  </si>
  <si>
    <t>3. Kết quả response trả về kết quả theo đúng yêu cầu
{
  "groupMessageId": "groupMessageId",
  "alertId": "alertId",
  "transactionId": "transactionId",
  "branchCd": "branchCd",
  "channel": "channel",
  "finalResult": "Fail",
  "alertStatus": "Checker Close Deny",
  "processDate": "processDate",
  "transactionType": "transactionType",
  "score": "score",
  "requestId": "requestId"
}</t>
  </si>
  <si>
    <t>TF_API_CALLBACK.01.07</t>
  </si>
  <si>
    <t>Kiểm tra kết quả về hệ thống nguồn khi sự vụ đóng ở trạng thái AML Close Deny</t>
  </si>
  <si>
    <t>3. Kết quả response trả về kết quả theo đúng yêu cầu
{
  "groupMessageId": "groupMessageId",
  "alertId": "alertId",
  "transactionId": "transactionId",
  "branchCd": "branchCd",
  "channel": "channel",
  "finalResult": "Fail",
  "alertStatus": "AML Close Deny",
  "processDate": "processDate",
  "transactionType": "transactionType",
  "score": "score",
  "requestId": "requestId"
}</t>
  </si>
  <si>
    <t>TF_API_CALLBACK.01.09</t>
  </si>
  <si>
    <t>Send API trả kết quả về hệ thống nguồn khi sự vụ đóng ở trạng thái Maker Close Accept</t>
  </si>
  <si>
    <t>1. Hoàn thành đánh giá Alert trên hệ thống OFSAA
2.API truyền vào có giá trị IsCallBack = Y
3.Respond trả về giống với Expected result ở TC TF_API_CALLBACK.01.02</t>
  </si>
  <si>
    <t>1. Thực hiện send API trả kết quả AML về hệ thống nguồn
URL: &lt;MSB cung cấp sau&gt;
Method: POST
Request Header:
Content-Type: application/json
Authorization: MSB cung cấp sau
Request Body: cột Test Datas
2. Kiểm tra kết quả response trên API</t>
  </si>
  <si>
    <t>2. Kết quả trả ra trên màn hình PMF
{
  "AlertID":"AlertID"
  "GroupMessageId": "GroupMessageId",
  "Message": "Success",
}</t>
  </si>
  <si>
    <t>TF_API_CALLBACK.01.10</t>
  </si>
  <si>
    <t>Send API trả kết quả về hệ thống nguồn khi sự vụ đóng ở trạng thái Checker Close Accept</t>
  </si>
  <si>
    <t>1. Hoàn thành đánh giá Alert trên hệ thống OFSAA
2.API truyền vào có giá trị IsCallBack = Y
3.Respond trả về giống với Expected result ở TC TF_API_CALLBACK.01.03</t>
  </si>
  <si>
    <t>TF_API_CALLBACK.01.11</t>
  </si>
  <si>
    <t>Send API trả kết quả về hệ thống nguồn khi sự vụ đóng ở trạng thái AML Close Accept</t>
  </si>
  <si>
    <t>1. Hoàn thành đánh giá Alert trên hệ thống OFSAA
2.API truyền vào có giá trị IsCallBack = Y
3.Respond trả về giống với Expected result ở TC TF_API_CALLBACK.01.04</t>
  </si>
  <si>
    <t>TF_API_CALLBACK.01.12</t>
  </si>
  <si>
    <t>Send API trả kết quả về hệ thống nguồn khi sự vụ đóng ở trạng thái Maker Close Deny</t>
  </si>
  <si>
    <t>1. Hoàn thành đánh giá Alert trên hệ thống OFSAA
2.API truyền vào có giá trị IsCallBack = Y
3.Respond trả về giống với Expected result ở TC TF_API_CALLBACK.01.05</t>
  </si>
  <si>
    <t>TF_API_CALLBACK.01.13</t>
  </si>
  <si>
    <t>Send API trả kết quả về hệ thống nguồn khi sự vụ đóng ở trạng thái Checker Close Deny</t>
  </si>
  <si>
    <t>1. Hoàn thành đánh giá Alert trên hệ thống OFSAA
2.API truyền vào có giá trị IsCallBack = Y
3.Respond trả về giống với Expected result ở TC TF_API_CALLBACK.01.06</t>
  </si>
  <si>
    <t>TF_API_CALLBACK.01.14</t>
  </si>
  <si>
    <t>Send API trả kết quả về hệ thống nguồn khi sự vụ đóng ở trạng thái AML Close Deny</t>
  </si>
  <si>
    <t>1. Hoàn thành đánh giá Alert trên hệ thống OFSAA
2.API truyền vào có giá trị IsCallBack = Y
3.Respond trả về giống với Expected result ở TC TF_API_CALLBACK.01.07</t>
  </si>
  <si>
    <t>TF_API_CALLBACK_01_02</t>
  </si>
  <si>
    <t>Kiểm tra luồng không callback từ AML về hệ thống nguồn</t>
  </si>
  <si>
    <t>TF_API_CALLBACK_02_02_01</t>
  </si>
  <si>
    <t>Không send API trả kết quả về hệ thống nguồn khi sự vụ đóng ở trạng thái Maker Closed Accept</t>
  </si>
  <si>
    <t>1. Hoàn thành đánh giá Alert trên hệ thống OFSAA
2.API truyền vào có giá trị IsCallBack = N</t>
  </si>
  <si>
    <t>1. Đẩy thông tin khách hàng vào API KYC Onboarding với format dữ liệu đúng theo yêu cầu
URL hệ thống AML ở môi trường SIT
path: OB/Initiate
Method: POST
Request Header:
Authorization: Basic Auth
(Username and password to login to application)
Content-Type: application/json
Request Body: cột Test Datas
2. Thực hiện đánh giá Alert trên hệ thống OFSAA
3. Kiểm tra kết quả respose ở hệ thống nguồn</t>
  </si>
  <si>
    <t>Hệ thống nguồn không nhận được kết quả từ AML</t>
  </si>
  <si>
    <t>{
    "transactionType": "MT",
    "result": "HIT",
    "score": 100,
    "groupMessageId": "54541",
    "requestId": "TF001",
    "processDate": "2026-08-28 18:32:42",
    "channel": "T24",
    "errorCode": "00",
    "errorDetail": "No error",
    "alertId": "2378269",
    "transactionId": "TF002",
    "branchCd": "TTQT"
}</t>
  </si>
  <si>
    <t>TF_API_CALLBACK_02_02_02</t>
  </si>
  <si>
    <t>Không send API trả kết quả về hệ thống nguồn khi sự vụ đóng ở trạng thái Checker Closed Accept</t>
  </si>
  <si>
    <t>TF_API_CALLBACK_02_02_03</t>
  </si>
  <si>
    <t>Không send API trả kết quả về hệ thống nguồn khi sự vụ đóng ở trạng thái AML Closed Accept</t>
  </si>
  <si>
    <t>TF_API_CALLBACK_02_02_04</t>
  </si>
  <si>
    <t>Không send API trả kết quả về hệ thống nguồn khi sự vụ đóng ở trạng thái Maker Closed Deny</t>
  </si>
  <si>
    <t>TF_API_CALLBACK_02_02_05</t>
  </si>
  <si>
    <t>Không send API trả kết quả về hệ thống nguồn khi sự vụ đóng ở trạng thái Checker Closed Deny</t>
  </si>
  <si>
    <t>TF_API_CALLBACK_02_02_06</t>
  </si>
  <si>
    <t>Không send API trả kết quả về hệ thống nguồn khi sự vụ đóng ở trạng thái AML Closed Deny</t>
  </si>
  <si>
    <t xml:space="preserve">  I. Authentication &amp; Authorization</t>
  </si>
  <si>
    <t xml:space="preserve">    AML_API_AUTH  Xác thực và phân quyền truy cập API</t>
  </si>
  <si>
    <t>AML_API_AUTH_01</t>
  </si>
  <si>
    <t>Gọi API với Authorization header hợp lệ</t>
  </si>
  <si>
    <t>Server đang chạy;
Credentials hợp lệ:
Basic a3ljYWRtbjpwYXNzd29yZDM=</t>
  </si>
  <si>
    <t>1. Gửi POST request đến API endpoint
2. Đính kèm Authorization header đúng
3. Body là điện MT hợp lệ
4. Kiểm tra HTTP status và response body</t>
  </si>
  <si>
    <t>Headers:
Authorization: Basic a3ljYWRtbjpwYXNzd29yZDM=
Content-Type: application/json
Params:
  transactionId: TF_AUTH_001
  requestId: REQ_TF_AUTH_001
  transactionType: MT
  branchCd: HN
  channel: T24
  isCallBack: N
Body:
{1:F01SIIBSYDAXXXX0000000000}
{2:I202ESSESESSXXXXN}
{4:
:20:MT202
:21:SENDEREFERENC001
:32A:170623CNY5000
:58D:/B/BENEFICIARYINST
MAJESTUALIDAQ
CUBA
:72:PHONBEN
-}
{5:{MAC:12345678}{CHK:123456789ABC}}</t>
  </si>
  <si>
    <t>HTTP Status: 200 OK
result: No-HIT hoặc HIT
errorCode: 00
errorDetail: No Error
transactionId: TF_AUTH_001 (echo lại)
requestId: REQ_TF_AUTH_001 (echo lại)</t>
  </si>
  <si>
    <t>AML_API_AUTH_02</t>
  </si>
  <si>
    <t>Gọi API thiếu Authorization header</t>
  </si>
  <si>
    <t>Server đang chạy;
Không có Authorization header trong request</t>
  </si>
  <si>
    <t>1. Gửi POST request đến API endpoint
2. KHÔNG đính kèm Authorization header
3. Body là điện MT hợp lệ
4. Kiểm tra HTTP status trả về</t>
  </si>
  <si>
    <t>Headers:
Content-Type: application/json
Params:
  transactionId: TF_AUTH_002
  requestId: REQ_TF_AUTH_002
  transactionType: MT
  branchCd: HN
  channel: T24
  isCallBack: N
Body:
{1:F01SIIBSYDAXXXX0000000000}
{2:I202ESSESESSXXXXN}
{4:
:20:MT202
:21:SENDEREFERENC001
:32A:170623CNY5000
:58D:/B/BENEFICIARYINST
MAJESTUALIDAQ
CUBA
:72:PHONBEN
-}
{5:{MAC:12345678}{CHK:123456789ABC}}</t>
  </si>
  <si>
    <t>HTTP Status: 401 Unauthorized
(Không có body nghiệp vụ)</t>
  </si>
  <si>
    <t>AML_API_AUTH_03</t>
  </si>
  <si>
    <t>Gọi API với Authorization token sai</t>
  </si>
  <si>
    <t>Server đang chạy;
Token Basic không hợp lệ</t>
  </si>
  <si>
    <t>1. Gửi POST request đến API endpoint
2. Đính kèm Authorization: Basic WRONG_TOKEN
3. Body là điện MT hợp lệ
4. Kiểm tra HTTP status trả về</t>
  </si>
  <si>
    <t>Headers:
Authorization: Basic WRONG_TOKEN
Content-Type: application/json
Params:
  transactionId: TF_AUTH_003
  requestId: REQ_TF_AUTH_003
  transactionType: MT
  branchCd: HN
  channel: T24
  isCallBack: N
Body:
{1:F01SIIBSYDAXXXX0000000000}
{2:I202ESSESESSXXXXN}
{4:
:20:MT202
:21:SENDEREFERENC001
:32A:170623CNY5000
:58D:/B/BENEFICIARYINST
MAJESTUALIDAQ
CUBA
:72:PHONBEN
-}
{5:{MAC:12345678}{CHK:123456789ABC}}</t>
  </si>
  <si>
    <t xml:space="preserve">  II. Endpoint &amp; HTTP Method</t>
  </si>
  <si>
    <t xml:space="preserve">    AML_API_EP  Kiểm tra endpoint và phương thức HTTP</t>
  </si>
  <si>
    <t>Gọi đúng endpoint với method POST</t>
  </si>
  <si>
    <t>1. Gửi POST request đến:
/transaction-screening/v1/transaction-screening
2. Body là điện MT hợp lệ
3. Kiểm tra HTTP 200 và response body</t>
  </si>
  <si>
    <t>Headers:
Authorization: Basic a3ljYWRtbjpwYXNzd29yZDM=
Content-Type: application/json
Params:
  transactionId: TF_EP_001
  requestId: REQ_TF_EP_001
  transactionType: MT
  branchCd: HN
  channel: T24
  isCallBack: N
Body:
{1:F01SIIBSYDAXXXX0000000000}
{2:I202ESSESESSXXXXN}
{4:
:20:MT202
:21:SENDEREFERENC001
:32A:170623CNY5000
:58D:/B/BENEFICIARYINST
MAJESTUALIDAQ
CUBA
:72:PHONBEN
-}
{5:{MAC:12345678}{CHK:123456789ABC}}</t>
  </si>
  <si>
    <t>HTTP Status: 200 OK
result: No-HIT hoặc HIT
errorCode: 00
groupMessageId: (not null)</t>
  </si>
  <si>
    <t>Gọi sai endpoint URL</t>
  </si>
  <si>
    <t>POST http://server:port/wrong-path/v1/transaction-screening
Authorization: Basic a3ljYWRtbjpwYXNzd29yZDM=
Content-Type: application/json</t>
  </si>
  <si>
    <t>HTTP Status: 404 Not Found
(Không có body nghiệp vụ)</t>
  </si>
  <si>
    <t>Gọi đúng endpoint nhưng dùng method GET</t>
  </si>
  <si>
    <t>GET POST http://server:port/transaction-screening/v1/transaction-screening
Authorization: Basic a3ljYWRtbjpwYXNzd29yZDM=
Content-Type: application/json</t>
  </si>
  <si>
    <t>HTTP Status: 405 Method Not Allowed
(Không có body nghiệp vụ)</t>
  </si>
  <si>
    <t>AML_API_EP_04</t>
  </si>
  <si>
    <t>Content-Type không phải application/json</t>
  </si>
  <si>
    <t>1. Gửi POST với Content-Type: text/plain
2. Body là điện MT
3. Kiểm tra response</t>
  </si>
  <si>
    <t>Authorization: Basic a3ljYWRtbjpwYXNzd29yZDM=
Content-Type: text/plain
Body:
{1:F01SIIBSYDAXXXX0000000000}
{2:I202ESSESESSXXXXN}
{4:
:20:MT202
:21:SENDEREFERENC001
:32A:170623CNY5000
:58D:/B/BENEFICIARYINST
MAJESTUALIDAQ
CUBA
:72:PHONBEN
-}
{5:{MAC:12345678}{CHK:123456789ABC}}</t>
  </si>
  <si>
    <t>HTTP Status: 400 hoặc 200
Nếu 200: result=ERROR, errorCode=03
(Tùy implementation; ghi nhận thực tế)</t>
  </si>
  <si>
    <t xml:space="preserve">  III. Validation - Header Parameters</t>
  </si>
  <si>
    <t xml:space="preserve">    AML_API_HDR  Kiểm tra các trường bắt buộc / optional trong request params</t>
  </si>
  <si>
    <t>Request đầy đủ tất cả field bắt buộc (MT)</t>
  </si>
  <si>
    <t>Headers:
Authorization: Basic a3ljYWRtbjpwYXNzd29yZDM=
Content-Type: application/json
Params:
  transactionId: TF_HDR_001
  requestId: REQ_TF_HDR_001
  transactionType: MT
  branchCd: HN
  channel: T24
  isCallBack: N
Body:
{1:F01SIIBSYDAXXXX0000000000}
{2:I202ESSESESSXXXXN}
{4:
:20:MT202
:21:SENDEREFERENC001
:32A:170623CNY5000
:58D:/B/BENEFICIARYINST
MAJESTUALIDAQ
CUBA
:72:PHONBEN
-}
{5:{MAC:12345678}{CHK:123456789ABC}}</t>
  </si>
  <si>
    <t>HTTP Status: 200 OK
result: No-HIT hoặc HIT
errorCode: 00
errorDetail: No Error</t>
  </si>
  <si>
    <t>Headers:
Authorization: Basic a3ljYWRtbjpwYXNzd29yZDM=
Content-Type: application/json
Params:
  requestId: REQ_HDR_002
  transactionType: MT
  branchCd: HN
  channel: T24
  isCallBack: N
Body:
{1:F01SIIBSYDAXXXX0000000000}
{2:I202ESSESESSXXXXN}
{4:
:20:MT202
:21:SENDEREFERENC001
:32A:170623CNY5000
:58D:/B/BENEFICIARYINST
MAJESTUALIDAQ
CUBA
:72:PHONBEN
-}
{5:{MAC:12345678}{CHK:123456789ABC}}</t>
  </si>
  <si>
    <t>HTTP Status: 200 OK
result: ERROR
errorCode: 01
errorDetail: Missing parameter
score: (rỗng)
alertId: (rỗng)
processDate: null
Verify: errorDetail nêu rõ field bị thiếu</t>
  </si>
  <si>
    <t>Headers:
Authorization: Basic a3ljYWRtbjpwYXNzd29yZDM=
Content-Type: application/json
Params:
  transactionId: TF_HDR_003
  transactionType: MT
  branchCd: HN
  channel: T24
  isCallBack: N
Body:
{1:F01SIIBSYDAXXXX0000000000}
{2:I202ESSESESSXXXXN}
{4:
:20:MT202
:21:SENDEREFERENC001
:32A:170623CNY5000
:58D:/B/BENEFICIARYINST
MAJESTUALIDAQ
CUBA
:72:PHONBEN
-}
{5:{MAC:12345678}{CHK:123456789ABC}}</t>
  </si>
  <si>
    <t>HTTP Status: 200 OK
result: ERROR
errorCode: 01
errorDetail: Missing parameter
score: (rỗng)
alertId: (rỗng)
processDate: null</t>
  </si>
  <si>
    <t>Headers:
Authorization: Basic a3ljYWRtbjpwYXNzd29yZDM=
Content-Type: application/json
Params:
  transactionId: TF_HDR_004
  requestId: REQ_HDR_004
  branchCd: HN
  channel: T24
  isCallBack: N
Body:
{1:F01SIIBSYDAXXXX0000000000}
{2:I202ESSESESSXXXXN}
{4:
:20:MT202
:21:SENDEREFERENC001
:32A:170623CNY5000
:58D:/B/BENEFICIARYINST
MAJESTUALIDAQ
CUBA
:72:PHONBEN
-}
{5:{MAC:12345678}{CHK:123456789ABC}}</t>
  </si>
  <si>
    <t>Headers:
Authorization: Basic a3ljYWRtbjpwYXNzd29yZDM=
Content-Type: application/json
Params:
  transactionId: TF_HDR_005
  requestId: REQ_HDR_005
  transactionType: MT
  channel: T24
  isCallBack: N
Body:
{1:F01SIIBSYDAXXXX0000000000}
{2:I202ESSESESSXXXXN}
{4:
:20:MT202
:21:SENDEREFERENC001
:32A:170623CNY5000
:58D:/B/BENEFICIARYINST
MAJESTUALIDAQ
CUBA
:72:PHONBEN
-}
{5:{MAC:12345678}{CHK:123456789ABC}}</t>
  </si>
  <si>
    <t>Headers:
Authorization: Basic a3ljYWRtbjpwYXNzd29yZDM=
Content-Type: application/json
Params:
  transactionId: TF_HDR_006
  requestId: REQ_HDR_006
  transactionType: MT
  branchCd: HN
  isCallBack: N
Body:
{1:F01SIIBSYDAXXXX0000000000}
{2:I202ESSESESSXXXXN}
{4:
:20:MT202
:21:SENDEREFERENC001
:32A:170623CNY5000
:58D:/B/BENEFICIARYINST
MAJESTUALIDAQ
CUBA
:72:PHONBEN
-}
{5:{MAC:12345678}{CHK:123456789ABC}}</t>
  </si>
  <si>
    <t>Headers:
Authorization: Basic a3ljYWRtbjpwYXNzd29yZDM=
Content-Type: application/json
Params:
  transactionId: TF_HDR_007
  requestId: REQ_HDR_007
  transactionType: MT
  branchCd: HN
  channel: T24
Body:
{1:F01SIIBSYDAXXXX0000000000}
{2:I202ESSESESSXXXXN}
{4:
:20:MT202
:21:SENDEREFERENC001
:32A:170623CNY5000
:58D:/B/BENEFICIARYINST
MAJESTUALIDAQ
CUBA
:72:PHONBEN
-}
{5:{MAC:12345678}{CHK:123456789ABC}}</t>
  </si>
  <si>
    <t>Headers:
Authorization: Basic a3ljYWRtbjpwYXNzd29yZDM=
Content-Type: application/json
Params:
  transactionId: TF_HDR_008
  requestId: REQ_TF_HDR_008
  transactionType: MT
  branchCd: HN
  channel: T24
  isCallBack: N
Body:
{1:F01SIIBSYDAXXXX0000000000}
{2:I202ESSESESSXXXXN}
{4:
:20:MT202
:21:SENDEREFERENC001
:32A:170623CNY5000
:58D:/B/BENEFICIARYINST
MAJESTUALIDAQ
CUBA
:72:PHONBEN
-}
{5:{MAC:12345678}{CHK:123456789ABC}}</t>
  </si>
  <si>
    <t>HTTP Status: 200 OK
result: No-HIT hoặc HIT
errorCode: 00
errorDetail: No Error
Verify: requestUserId optional không ảnh hưởng kết quả</t>
  </si>
  <si>
    <t>1. Gửi POST với isCallBack=Y
2. Body là điện MT có HIT
3. Kiểm tra:
   a. Response trả ngay (HTTP 200)
   b. Sau khi Alert xử lý xong: AML callback về hệ thống</t>
  </si>
  <si>
    <t>Headers:
Authorization: Basic a3ljYWRtbjpwYXNzd29yZDM=
Content-Type: application/json
Params:
  transactionId: TF_HDR_009
  requestId: REQ_TF_HDR_009
  transactionType: MT
  branchCd: HN
  channel: T24
  isCallBack: Y
Body:
{1:F01SIIBSYDAXXXX0000000000}
{2:I202ESSESESSXXXXN}
{4:
:20:MT202
:21:SENDEREFERENC001
:32A:170623CNY5000
:58D:/B/BENEFICIARYINST
MAJESTUALIDAQ
CUBA
:72:PHONBEN
-}
{5:{MAC:12345678}{CHK:123456789ABC}}</t>
  </si>
  <si>
    <t>HTTP Status: 200 OK
result: HIT hoặc No-HIT
errorCode: 00
Verify callback:
- AML gọi callback URL với alertId và kết quả
- Hệ thống nguồn nhận được callback</t>
  </si>
  <si>
    <t>Headers:
Authorization: Basic a3ljYWRtbjpwYXNzd29yZDM=
Content-Type: application/json
Params:
  transactionId: TF_HDR_010
  requestId: REQ_TF_HDR_010
  transactionType: MT
  branchCd: HN
  channel: T24
  isCallBack: N
Body:
{1:F01SIIBSYDAXXXX0000000000}
{2:I202ESSESESSXXXXN}
{4:
:20:MT202
:21:SENDEREFERENC001
:32A:170623CNY5000
:58D:/B/BENEFICIARYINST
MAJESTUALIDAQ
CUBA
:72:PHONBEN
-}
{5:{MAC:12345678}{CHK:123456789ABC}}</t>
  </si>
  <si>
    <t>HTTP Status: 200 OK
result: No-HIT hoặc HIT
errorCode: 00
Verify: AML KHÔNG gọi callback về hệ thống nguồn</t>
  </si>
  <si>
    <t>Headers:
Authorization: Basic a3ljYWRtbjpwYXNzd29yZDM=
Content-Type: application/json
Params:
  transactionId: TF_HDR_011
  requestId: REQ_TF_HDR_011
  transactionType: MT
  branchCd: HN
  channel: T24
  isCallBack: X
Body:
{1:F01SIIBSYDAXXXX0000000000}
{2:I202ESSESESSXXXXN}
{4:
:20:MT202
:21:SENDEREFERENC001
:32A:170623CNY5000
:58D:/B/BENEFICIARYINST
MAJESTUALIDAQ
CUBA
:72:PHONBEN
-}
{5:{MAC:12345678}{CHK:123456789ABC}}</t>
  </si>
  <si>
    <t>HTTP Status: 200 OK
result: ERROR
errorCode: 01
errorDetail: Missing parameter
score: (rỗng)
alertId: (rỗng)
processDate: null
isCallBack chỉ nhận Y hoặc N</t>
  </si>
  <si>
    <t>Params:
  transactionId: TF_AAAAAAAAAAAAAAAAAAAAAAAAAAAAAAAAAAAAAAAAAAAAAAAAAAAAAAAAAAAAAAAAAAAAAAAAAAAAAAAAAAAAAAAAAAAAAAAAA
  (độ dài=101, vượt varchar2(100))</t>
  </si>
  <si>
    <t>HTTP Status: 200 OK
result: ERROR
errorCode: 01
errorDetail: Missing parameter
score: (rỗng)
alertId: (rỗng)
processDate: null
varchar2(100): quá độ dài tối đa</t>
  </si>
  <si>
    <t>Headers:
Authorization: Basic a3ljYWRtbjpwYXNzd29yZDM=
Content-Type: application/json
Params:
  transactionId: TF_HDR_013
  requestId: REQ_TF_HDR_013
  transactionType: UNKNOWN_TYPE
  branchCd: HN
  channel: T24
  isCallBack: N
Body:
{1:F01SIIBSYDAXXXX0000000000}
{2:I202ESSESESSXXXXN}
{4:
:20:MT202
:21:SENDEREFERENC001
:32A:170623CNY5000
:58D:/B/BENEFICIARYINST
MAJESTUALIDAQ
CUBA
:72:PHONBEN
-}
{5:{MAC:12345678}{CHK:123456789ABC}}</t>
  </si>
  <si>
    <t>HTTP Status: 200 OK
result: ERROR
errorCode: 03
errorDetail: Invalid message format
score: (rỗng)
alertId: (rỗng)
processDate: null
transactionType hợp lệ:
MT / MX_IN / MX_OUT / MSB001 / MSB002 / MSB003</t>
  </si>
  <si>
    <t xml:space="preserve">  IV. Sàng lọc điện MT Standard</t>
  </si>
  <si>
    <t xml:space="preserve">    AML_API_MT  Kiểm tra sàng lọc với điện SWIFT MT Standard</t>
  </si>
  <si>
    <t>Headers:
Authorization: Basic a3ljYWRtbjpwYXNzd29yZDM=
Content-Type: application/json
Params:
  transactionId: TF_MT_001
  requestId: REQ_TF_MT_001
  transactionType: MT
  branchCd: HN
  channel: T24
  isCallBack: N
Body:
{1:F01SIIBSYDAXXXX0000000000}
{2:I202ESSESESSXXXXN}
{4:
:20:MT202
:21:SENDEREFERENC001
:32A:170623CNY5000
:58D:/B/BENEFICIARYINST
MAJESTUALIDAQ
CUBA
:72:PHONBEN
-}
{5:{MAC:12345678}{CHK:123456789ABC}}</t>
  </si>
  <si>
    <t>HTTP Status: 200 OK
result: No-HIT
errorCode: 00
errorDetail: No Error
score: 0
alertId: (rỗng)
groupMessageId: (not null, auto-generated)
processDate: dd-mm-yyyy hh:mi:ss</t>
  </si>
  <si>
    <t>Headers:
Authorization: Basic a3ljYWRtbjpwYXNzd29yZDM=
Content-Type: application/json
Params:
  transactionId: TF_MT_002
  requestId: REQ_TF_MT_002
  transactionType: MT
  branchCd: HN
  channel: T24
  isCallBack: N
Body:
{1:F01SIIBSYDAXXXX0000000000}
{2:I202ESSESESSXXXXN}
{4:
:20:MT202
:21:SENDEREFERENC001
:32A:170623CNY5000
:58D:/B/BENEFICIARYINST
MAJESTUALIDAQ
CUBA
:72:PHONBEN
-}
{5:{MAC:12345678}{CHK:123456789ABC}}</t>
  </si>
  <si>
    <t>HTTP Status: 200 OK
result: HIT
errorCode: 00
errorDetail: No Error
score: &gt; 0
alertId: (not null, số nguyên)
groupMessageId: (not null)
processDate: dd-mm-yyyy hh:mi:ss</t>
  </si>
  <si>
    <t>1. Gửi POST với transactionType=MT
2. Body điện MT có quốc gia Knock-out (vd: CUBA)
3. Kiểm tra result=KNOCKED-OUT
4. Verify score=100</t>
  </si>
  <si>
    <t>Headers:
Authorization: Basic a3ljYWRtbjpwYXNzd29yZDM=
Content-Type: application/json
Params:
  transactionId: TF_MT_003
  requestId: REQ_TF_MT_003
  transactionType: MT
  branchCd: HN
  channel: T24
  isCallBack: N
Body:
{1:F01SIIBSYDAXXXX0000000000}
{2:I202ESSESESSXXXXN}
{4:
:20:MT202
:21:SENDEREFERENC001
:32A:170623CNY5000
:58D:/B/BENEFICIARYINST
MAJESTUALIDAQ
CUBA
:72:PHONBEN
-}
{5:{MAC:12345678}{CHK:123456789ABC}}</t>
  </si>
  <si>
    <t>HTTP Status: 200 OK
result: KNOCKED-OUT
errorCode: 00
errorDetail: No Error
score: 100
alertId: (not null, số nguyên)
groupMessageId: (not null)
processDate: dd-mm-yyyy hh:mi:ss</t>
  </si>
  <si>
    <t>Headers:
Authorization: Basic a3ljYWRtbjpwYXNzd29yZDM=
Content-Type: application/json
Params:
  transactionId: TF_MT_004
  requestId: REQ_TF_MT_004
  transactionType: MT
  branchCd: HN
  channel: T24
  isCallBack: N
Body:
INVALID_MT_BODY_NOT_SWIFT</t>
  </si>
  <si>
    <t>HTTP Status: 200 OK
result: ERROR
errorCode: 03
errorDetail: Message is not valid. Please correct the message and repost it
score: (rỗng)
alertId: (rỗng)
processDate: null</t>
  </si>
  <si>
    <t xml:space="preserve">Headers:
Authorization: Basic a3ljYWRtbjpwYXNzd29yZDM=
Content-Type: application/json
Params:
  transactionId: TF_MT_005
  requestId: REQ_TF_MT_005
  transactionType: MT
  branchCd: HN
  channel: T24
  isCallBack: N
Body:
</t>
  </si>
  <si>
    <t>HTTP Status: 200 OK
result: ERROR
errorCode: 01
errorDetail: Missing parameter
score: (rỗng)
alertId: (rỗng)
processDate: null
Body rỗng = thiếu dữ liệu điện</t>
  </si>
  <si>
    <t>Headers:
Authorization: Basic a3ljYWRtbjpwYXNzd29yZDM=
Content-Type: application/json
Params:
  transactionId: TF_MT_DUP_001
  requestId: REQ_TF_MT_DUP_001
  transactionType: MT
  branchCd: HN
  channel: T24
  isCallBack: N
Body:
{1:F01SIIBSYDAXXXX0000000000}
{2:I202ESSESESSXXXXN}
{4:
:20:MT202
:21:SENDEREFERENC001
:32A:170623CNY5000
:58D:/B/BENEFICIARYINST
MAJESTUALIDAQ
CUBA
:72:PHONBEN
-}
{5:{MAC:12345678}{CHK:123456789ABC}}</t>
  </si>
  <si>
    <t>HTTP Status: 200 OK
Verify hành vi duplicate:
- Nếu tái xử lý: result có thể khác lần 1
- Nếu trả cache: result giống lần 1
Ghi nhận behavior thực tế</t>
  </si>
  <si>
    <t>Headers:
Authorization: Basic a3ljYWRtbjpwYXNzd29yZDM=
Content-Type: application/json
Params:
  transactionId: TF_MT_007
  requestId: REQ_TF_MT_007
  transactionType: MT
  branchCd: HN
  channel: T24
  isCallBack: Y
Body:
{1:F01SIIBSYDAXXXX0000000000}
{2:I202ESSESESSXXXXN}
{4:
:20:MT202
:21:SENDEREFERENC001
:32A:170623CNY5000
:58D:/B/BENEFICIARYINST
MAJESTUALIDAQ
CUBA
:72:PHONBEN
-}
{5:{MAC:12345678}{CHK:123456789ABC}}</t>
  </si>
  <si>
    <t>HTTP Status: 200 OK
result: HIT
errorCode: 00
Verify callback:
- Hệ thống nguồn nhận callback từ AML
- Callback chứa alertId và kết quả xử lý Alert</t>
  </si>
  <si>
    <t xml:space="preserve">  V. Sàng lọc điện MX Standard (ISO 20022)</t>
  </si>
  <si>
    <t xml:space="preserve">    AML_API_MX  Kiểm tra sàng lọc với điện ISO 20022 MX Standard</t>
  </si>
  <si>
    <t>Headers:
Authorization: Basic a3ljYWRtbjpwYXNzd29yZDM=
Content-Type: application/json
Params:
  transactionId: TF_MX_001
  requestId: REQ_TF_MX_001
  transactionType: MX_IN
  branchCd: HN
  channel: T24
  isCallBack: N
Body:
&lt;Document xmlns="urn:iso:std:iso:20022:tech:xsd:pacs.009.001.08"&gt;
  &lt;FICdtTrf&gt;&lt;GrpHdr&gt;
    &lt;MsgId&gt;COH0223ILS329156&lt;/MsgId&gt;
    &lt;CreDtTm&gt;2023-03-27T03:42:28+00:00&lt;/CreDtTm&gt;
    &lt;NbOfTxs&gt;1&lt;/NbOfTxs&gt;
  &lt;/GrpHdr&gt;
  &lt;CdtTrfTxInf&gt;
    &lt;IntrBkSttlmAmt Ccy="USD"&gt;1.00&lt;/IntrBkSttlmAmt&gt;
    &lt;Dbtr&gt;&lt;FinInstnId&gt;&lt;BICFI&gt;MMMMMM55&lt;/BICFI&gt;&lt;/FinInstnId&gt;&lt;/Dbtr&gt;
    &lt;Cdtr&gt;&lt;FinInstnId&gt;&lt;BICFI&gt;CITIUS33XXX&lt;/BICFI&gt;&lt;/FinInstnId&gt;&lt;/Cdtr&gt;
  &lt;/CdtTrfTxInf&gt;&lt;/FICdtTrf&gt;
&lt;/Document&gt;</t>
  </si>
  <si>
    <t>HTTP Status: 200 OK
result: No-HIT
errorCode: 00
errorDetail: No Error
score: 0
alertId: (rỗng)
processDate: not null</t>
  </si>
  <si>
    <t>Headers:
Authorization: Basic a3ljYWRtbjpwYXNzd29yZDM=
Content-Type: application/json
Params:
  transactionId: TF_MX_002
  requestId: REQ_TF_MX_002
  transactionType: MX_OUT
  branchCd: HN
  channel: T24
  isCallBack: N
Body:
&lt;Document xmlns="urn:iso:std:iso:20022:tech:xsd:pacs.009.001.08"&gt;
  &lt;FICdtTrf&gt;&lt;GrpHdr&gt;
    &lt;MsgId&gt;COH0223ILS329156&lt;/MsgId&gt;
    &lt;CreDtTm&gt;2023-03-27T03:42:28+00:00&lt;/CreDtTm&gt;
    &lt;NbOfTxs&gt;1&lt;/NbOfTxs&gt;
  &lt;/GrpHdr&gt;
  &lt;CdtTrfTxInf&gt;
    &lt;IntrBkSttlmAmt Ccy="USD"&gt;1.00&lt;/IntrBkSttlmAmt&gt;
    &lt;Dbtr&gt;&lt;FinInstnId&gt;&lt;BICFI&gt;MMMMMM55&lt;/BICFI&gt;&lt;/FinInstnId&gt;&lt;/Dbtr&gt;
    &lt;Cdtr&gt;&lt;FinInstnId&gt;&lt;BICFI&gt;CITIUS33XXX&lt;/BICFI&gt;&lt;/FinInstnId&gt;&lt;/Cdtr&gt;
  &lt;/CdtTrfTxInf&gt;&lt;/FICdtTrf&gt;
&lt;/Document&gt;</t>
  </si>
  <si>
    <t>HTTP Status: 200 OK
result: No-HIT
errorCode: 00
errorDetail: No Error
score: 0
alertId: (rỗng)</t>
  </si>
  <si>
    <t>Headers:
Authorization: Basic a3ljYWRtbjpwYXNzd29yZDM=
Content-Type: application/json
Params:
  transactionId: TF_MX_003
  requestId: REQ_TF_MX_003
  transactionType: MX_IN
  branchCd: HN
  channel: T24
  isCallBack: N
Body:
&lt;Document xmlns="urn:iso:std:iso:20022:tech:xsd:pacs.009.001.08"&gt;
  &lt;FICdtTrf&gt;&lt;GrpHdr&gt;
    &lt;MsgId&gt;COH0223ILS329156&lt;/MsgId&gt;
    &lt;CreDtTm&gt;2023-03-27T03:42:28+00:00&lt;/CreDtTm&gt;
    &lt;NbOfTxs&gt;1&lt;/NbOfTxs&gt;
  &lt;/GrpHdr&gt;
  &lt;CdtTrfTxInf&gt;
    &lt;IntrBkSttlmAmt Ccy="USD"&gt;1.00&lt;/IntrBkSttlmAmt&gt;
    &lt;Dbtr&gt;&lt;FinInstnId&gt;&lt;BICFI&gt;MMMMMM55&lt;/BICFI&gt;&lt;/FinInstnId&gt;&lt;/Dbtr&gt;
    &lt;Cdtr&gt;&lt;FinInstnId&gt;&lt;BICFI&gt;CITIUS33XXX&lt;/BICFI&gt;&lt;/FinInstnId&gt;&lt;/Cdtr&gt;
  &lt;/CdtTrfTxInf&gt;&lt;/FICdtTrf&gt;
&lt;/Document&gt;</t>
  </si>
  <si>
    <t>HTTP Status: 200 OK
result: HIT
errorCode: 00
errorDetail: No Error
score: &gt; 0
alertId: (not null)</t>
  </si>
  <si>
    <t>Headers:
Authorization: Basic a3ljYWRtbjpwYXNzd29yZDM=
Content-Type: application/json
Params:
  transactionId: TF_MX_004
  requestId: REQ_TF_MX_004
  transactionType: MX_IN
  branchCd: HN
  channel: T24
  isCallBack: N
Body:
&lt;Document xmlns="urn:iso:std:iso:20022:tech:xsd:pacs.009.001.08"&gt;
  &lt;FICdtTrf&gt;&lt;GrpHdr&gt;
    &lt;MsgId&gt;COH0223ILS329156&lt;/MsgId&gt;
    &lt;CreDtTm&gt;2023-03-27T03:42:28+00:00&lt;/CreDtTm&gt;
    &lt;NbOfTxs&gt;1&lt;/NbOfTxs&gt;
  &lt;/GrpHdr&gt;
  &lt;CdtTrfTxInf&gt;
    &lt;IntrBkSttlmAmt Ccy="USD"&gt;1.00&lt;/IntrBkSttlmAmt&gt;
    &lt;Dbtr&gt;&lt;FinInstnId&gt;&lt;BICFI&gt;MMMMMM55&lt;/BICFI&gt;&lt;/FinInstnId&gt;&lt;/Dbtr&gt;
    &lt;Cdtr&gt;&lt;FinInstnId&gt;&lt;BICFI&gt;CITIUS33XXX&lt;/BICFI&gt;&lt;/FinInstnId&gt;&lt;/Cdtr&gt;
  &lt;/CdtTrfTxInf&gt;&lt;/FICdtTrf&gt;
&lt;/Document&gt;</t>
  </si>
  <si>
    <t>HTTP Status: 200 OK
result: KNOCKED-OUT
errorCode: 00
errorDetail: No Error
score: 100
alertId: (not null)</t>
  </si>
  <si>
    <t>Headers:
Authorization: Basic a3ljYWRtbjpwYXNzd29yZDM=
Content-Type: application/json
Params:
  transactionId: TF_MX_005
  requestId: REQ_TF_MX_005
  transactionType: MX_IN
  branchCd: HN
  channel: T24
  isCallBack: N
Body:
&lt;Document&gt;&lt;INVALID&gt;&lt;/Document&gt;</t>
  </si>
  <si>
    <t>HTTP Status: 200 OK
result: ERROR
errorCode: 03
errorDetail: Invalid message format
score: (rỗng)
alertId: (rỗng)
processDate: null
XML không đúng schema ISO 20022 pacs.009</t>
  </si>
  <si>
    <t>Headers:
Authorization: Basic a3ljYWRtbjpwYXNzd29yZDM=
Content-Type: application/json
Params:
  transactionId: TF_MX_006
  requestId: REQ_TF_MX_006
  transactionType: MX_IN
  branchCd: HN
  channel: T24
  isCallBack: N
Body:
{1:F01SIIBSYDAXXXX0000000000}
{2:I202ESSESESSXXXXN}
{4:
:20:MT202
:21:SENDEREFERENC001
:32A:170623CNY5000
:58D:/B/BENEFICIARYINST
MAJESTUALIDAQ
CUBA
:72:PHONBEN
-}
{5:{MAC:12345678}{CHK:123456789ABC}}</t>
  </si>
  <si>
    <t>HTTP Status: 200 OK
result: ERROR
errorCode: 03
errorDetail: Invalid message format
score: (rỗng)
alertId: (rỗng)
processDate: null
Mismatch: transactionType=MX_IN nhưng body là MT format</t>
  </si>
  <si>
    <t xml:space="preserve">  VI. Sàng lọc Custom Message Non-Swift 1 (MSB001)</t>
  </si>
  <si>
    <t xml:space="preserve">    AML_API_MSB001  Kiểm tra sàng lọc với Custom Message MSB001</t>
  </si>
  <si>
    <t>Headers:
Authorization: Basic a3ljYWRtbjpwYXNzd29yZDM=
Content-Type: application/json
Params:
  transactionId: TF_MSB001_001
  requestId: REQ_TF_MSB001_001
  transactionType: MSB001
  branchCd: HN
  channel: T24
  isCallBack: N
Body:
{
  "Bank01": {
    "MSB001": {
      "Sender": {"FullName":"TRAN VAN SENDER","DOB":"1985-05-20",
        "Nationalities":[{"SenderCitizenship":"VN"}],
        "Id":[{"IdNumber":"037085001234"}],
        "ResidenceAddress":[{"Address":"123 Nguyen Trai, Ha Noi","Country":"VN"}]},
      "Receiver": {"FullName":"JOHN RECEIVER SMITH","DOB":"1990-11-12",
        "Nationalities":[{"Citizenship":"US"}],
        "Id":[{"IdNumber":"A12345678"}],
        "ResidenceAddress":[{"Address":"456 Broadway, New York","Country":"US"}]},
      "BeneficiaryBankName":"VIETCOMBANK HO CHI MINH",
      "BeneficiaryBankBicCode":"BFTVBNVX002","BeneficiaryBankCountry":"VN",
      "RemittingBankName":"CITIBANK NEW YORK",
      "RemittingBankBicCode":"CITIUS33XXX","RemittingBankCountry":"US"
    }
  }
}</t>
  </si>
  <si>
    <t>Headers:
Authorization: Basic a3ljYWRtbjpwYXNzd29yZDM=
Content-Type: application/json
Params:
  transactionId: TF_MSB001_002
  requestId: REQ_TF_MSB001_002
  transactionType: MSB001
  branchCd: HN
  channel: T24
  isCallBack: N
Body:
{
  "Bank01": {
    "MSB001": {
      "Sender": {"FullName":"TRAN VAN SENDER","DOB":"1985-05-20",
        "Nationalities":[{"SenderCitizenship":"VN"}],
        "Id":[{"IdNumber":"037085001234"}],
        "ResidenceAddress":[{"Address":"123 Nguyen Trai, Ha Noi","Country":"VN"}]},
      "Receiver": {"FullName":"JOHN RECEIVER SMITH","DOB":"1990-11-12",
        "Nationalities":[{"Citizenship":"US"}],
        "Id":[{"IdNumber":"A12345678"}],
        "ResidenceAddress":[{"Address":"456 Broadway, New York","Country":"US"}]},
      "BeneficiaryBankName":"VIETCOMBANK HO CHI MINH",
      "BeneficiaryBankBicCode":"BFTVBNVX002","BeneficiaryBankCountry":"VN",
      "RemittingBankName":"CITIBANK NEW YORK",
      "RemittingBankBicCode":"CITIUS33XXX","RemittingBankCountry":"US"
    }
  }
}</t>
  </si>
  <si>
    <t>Headers:
Authorization: Basic a3ljYWRtbjpwYXNzd29yZDM=
Content-Type: application/json
Params:
  transactionId: TF_MSB001_003
  requestId: REQ_TF_MSB001_003
  transactionType: MSB001
  branchCd: HN
  channel: T24
  isCallBack: N
Body:
{
  "Bank01": {
    "MSB001": {
      "Sender": {"FullName":"TRAN VAN SENDER","DOB":"1985-05-20",
        "Nationalities":[{"SenderCitizenship":"VN"}],
        "Id":[{"IdNumber":"037085001234"}],
        "ResidenceAddress":[{"Address":"123 Nguyen Trai, Ha Noi","Country":"VN"}]},
      "Receiver": {"FullName":"JOHN RECEIVER SMITH","DOB":"1990-11-12",
        "Nationalities":[{"Citizenship":"US"}],
        "Id":[{"IdNumber":"A12345678"}],
        "ResidenceAddress":[{"Address":"456 Broadway, New York","Country":"US"}]},
      "BeneficiaryBankName":"VIETCOMBANK HO CHI MINH",
      "BeneficiaryBankBicCode":"BFTVBNVX002","BeneficiaryBankCountry":"VN",
      "RemittingBankName":"CITIBANK NEW YORK",
      "RemittingBankBicCode":"CITIUS33XXX","RemittingBankCountry":"US"
    }
  }
}</t>
  </si>
  <si>
    <t>Headers:
Authorization: Basic a3ljYWRtbjpwYXNzd29yZDM=
Content-Type: application/json
Params:
  transactionId: TF_MSB001_004
  requestId: REQ_TF_MSB001_004
  transactionType: MSB001
  branchCd: HN
  channel: T24
  isCallBack: N
Body:
{"invalid_key": "wrong_structure"}</t>
  </si>
  <si>
    <t>HTTP Status: 200 OK
result: ERROR
errorCode: 03
errorDetail: Invalid message format
score: (rỗng)
alertId: (rỗng)
processDate: null
JSON không khớp cấu trúc Bank01.MSB001</t>
  </si>
  <si>
    <t>Headers:
Authorization: Basic a3ljYWRtbjpwYXNzd29yZDM=
Content-Type: application/json
Params:
  transactionId: TF_MSB001_005
  requestId: REQ_TF_MSB001_005
  transactionType: MSB001
  branchCd: HN
  channel: T24
  isCallBack: N
Body:
{1:F01SIIBSYDAXXXX0000000000}
{2:I202ESSESESSXXXXN}
{4:
:20:MT202
:21:SENDEREFERENC001
:32A:170623CNY5000
:58D:/B/BENEFICIARYINST
MAJESTUALIDAQ
CUBA
:72:PHONBEN
-}
{5:{MAC:12345678}{CHK:123456789ABC}}</t>
  </si>
  <si>
    <t>HTTP Status: 200 OK
result: ERROR
errorCode: 03
errorDetail: Invalid message format
score: (rỗng)
alertId: (rỗng)
processDate: null
Mismatch: transactionType=MSB001 nhưng body là MT format</t>
  </si>
  <si>
    <t xml:space="preserve">  VII. Sàng lọc Custom Message Non-Swift 2 (MSB002)</t>
  </si>
  <si>
    <t xml:space="preserve">    AML_API_MSB002  Kiểm tra sàng lọc với Custom Message MSB002</t>
  </si>
  <si>
    <t>Headers:
Authorization: Basic a3ljYWRtbjpwYXNzd29yZDM=
Content-Type: application/json
Params:
  transactionId: TF_MSB002_001
  requestId: REQ_TF_MSB002_001
  transactionType: MSB002
  branchCd: HN
  channel: T24
  isCallBack: N
Body:
{
  "Bank01": {
    "MSB002": {
      "Sender": {"FullName":"TRAN VAN SENDER","DOB":"1985-05-20",
        "Nationalities":[{"SenderCitizenship":"VN"}],
        "Id":[{"IdNumber":"037085001234"}],
        "ResidenceAddress":[{"Address":"123 Nguyen Trai, Ha Noi","Country":"VN"}]},
      "Receiver": {"FullName":"JOHN RECEIVER SMITH","DOB":"1990-11-12",
        "Nationalities":[{"Citizenship":"US"}],
        "Id":[{"IdNumber":"A12345678"}],
        "ResidenceAddress":[{"Address":"456 Broadway, New York","Country":"US"}]},
      "BeneficiaryBankName":"VIETCOMBANK HO CHI MINH",
      "BeneficiaryBankBicCode":"BFTVBNVX002","BeneficiaryBankCountry":"VN",
      "RemittingBankName":"CITIBANK NEW YORK",
      "RemittingBankBicCode":"CITIUS33XXX","RemittingBankCountry":"US"
    }
  }
}</t>
  </si>
  <si>
    <t>Headers:
Authorization: Basic a3ljYWRtbjpwYXNzd29yZDM=
Content-Type: application/json
Params:
  transactionId: TF_MSB002_002
  requestId: REQ_TF_MSB002_002
  transactionType: MSB002
  branchCd: HN
  channel: T24
  isCallBack: N
Body:
{
  "Bank01": {
    "MSB002": {
      "Sender": {"FullName":"TRAN VAN SENDER","DOB":"1985-05-20",
        "Nationalities":[{"SenderCitizenship":"VN"}],
        "Id":[{"IdNumber":"037085001234"}],
        "ResidenceAddress":[{"Address":"123 Nguyen Trai, Ha Noi","Country":"VN"}]},
      "Receiver": {"FullName":"JOHN RECEIVER SMITH","DOB":"1990-11-12",
        "Nationalities":[{"Citizenship":"US"}],
        "Id":[{"IdNumber":"A12345678"}],
        "ResidenceAddress":[{"Address":"456 Broadway, New York","Country":"US"}]},
      "BeneficiaryBankName":"VIETCOMBANK HO CHI MINH",
      "BeneficiaryBankBicCode":"BFTVBNVX002","BeneficiaryBankCountry":"VN",
      "RemittingBankName":"CITIBANK NEW YORK",
      "RemittingBankBicCode":"CITIUS33XXX","RemittingBankCountry":"US"
    }
  }
}</t>
  </si>
  <si>
    <t>Headers:
Authorization: Basic a3ljYWRtbjpwYXNzd29yZDM=
Content-Type: application/json
Params:
  transactionId: TF_MSB002_003
  requestId: REQ_TF_MSB002_003
  transactionType: MSB002
  branchCd: HN
  channel: T24
  isCallBack: N
Body:
{
  "Bank01": {
    "MSB002": {
      "Sender": {"FullName":"TRAN VAN SENDER","DOB":"1985-05-20",
        "Nationalities":[{"SenderCitizenship":"VN"}],
        "Id":[{"IdNumber":"037085001234"}],
        "ResidenceAddress":[{"Address":"123 Nguyen Trai, Ha Noi","Country":"VN"}]},
      "Receiver": {"FullName":"JOHN RECEIVER SMITH","DOB":"1990-11-12",
        "Nationalities":[{"Citizenship":"US"}],
        "Id":[{"IdNumber":"A12345678"}],
        "ResidenceAddress":[{"Address":"456 Broadway, New York","Country":"US"}]},
      "BeneficiaryBankName":"VIETCOMBANK HO CHI MINH",
      "BeneficiaryBankBicCode":"BFTVBNVX002","BeneficiaryBankCountry":"VN",
      "RemittingBankName":"CITIBANK NEW YORK",
      "RemittingBankBicCode":"CITIUS33XXX","RemittingBankCountry":"US"
    }
  }
}</t>
  </si>
  <si>
    <t>Headers:
Authorization: Basic a3ljYWRtbjpwYXNzd29yZDM=
Content-Type: application/json
Params:
  transactionId: TF_MSB002_004
  requestId: REQ_TF_MSB002_004
  transactionType: MSB002
  branchCd: HN
  channel: T24
  isCallBack: N
Body:
{"wrong_key": "value"}</t>
  </si>
  <si>
    <t>HTTP Status: 200 OK
result: ERROR
errorCode: 03
errorDetail: Invalid message format
score: (rỗng)
alertId: (rỗng)
processDate: null</t>
  </si>
  <si>
    <t xml:space="preserve">  VIII. Sàng lọc Custom Message Non-Swift 3 (MSB003)</t>
  </si>
  <si>
    <t xml:space="preserve">    AML_API_MSB003  Kiểm tra sàng lọc với Custom Message MSB003 (JSON Array)</t>
  </si>
  <si>
    <t>Headers:
Authorization: Basic a3ljYWRtbjpwYXNzd29yZDM=
Content-Type: application/json
Params:
  transactionId: TF_MSB003_001
  requestId: REQ_TF_MSB003_001
  transactionType: MSB003
  branchCd: HN
  channel: T24
  isCallBack: N
Body:
[
  {
    "MSB003": {
      "Debtor":{"Name":"CONG TY TNHH THUONG MAI VA XUAT NHAP KHAU ABC",
        "FullAddress":"So 12 Duong Lang Ha, Ba Dinh, Ha Noi, Viet Nam",
        "CountryInAddress":"VNM","Identifier":"0101234567"},
      "Creditor":{"Name":"SHENZHEN GLOBAL ELECTRONICS CO., LTD",
        "FullAddress":"No. 88 Huaqiang North Road, Shenzhen, China",
        "CountryInAddress":"CHN","Identifier":"91440300MA5XXXXX1K"},
      "InvolvedParty":[{"PartyType":"PARTY_01","Role":"Exporter",
        "Name":"SHENZHEN GLOBAL ELECTRONICS","CountryInAddress":"CHN",
        "Identifier":"91440300MA5XXXXX1K"}]
    }
  }
]</t>
  </si>
  <si>
    <t>Headers:
Authorization: Basic a3ljYWRtbjpwYXNzd29yZDM=
Content-Type: application/json
Params:
  transactionId: TF_MSB003_002
  requestId: REQ_TF_MSB003_002
  transactionType: MSB003
  branchCd: HN
  channel: T24
  isCallBack: N
Body:
[
  {
    "MSB003": {
      "Debtor":{"Name":"CONG TY TNHH THUONG MAI VA XUAT NHAP KHAU ABC",
        "FullAddress":"So 12 Duong Lang Ha, Ba Dinh, Ha Noi, Viet Nam",
        "CountryInAddress":"VNM","Identifier":"0101234567"},
      "Creditor":{"Name":"SHENZHEN GLOBAL ELECTRONICS CO., LTD",
        "FullAddress":"No. 88 Huaqiang North Road, Shenzhen, China",
        "CountryInAddress":"CHN","Identifier":"91440300MA5XXXXX1K"},
      "InvolvedParty":[{"PartyType":"PARTY_01","Role":"Exporter",
        "Name":"SHENZHEN GLOBAL ELECTRONICS","CountryInAddress":"CHN",
        "Identifier":"91440300MA5XXXXX1K"}]
    }
  }
]</t>
  </si>
  <si>
    <t>HTTP Status: 200 OK
result: HIT
errorCode: 00
errorDetail: No Error
score: &gt; 0
alertId: (not null)
Verify: tất cả InvolvedParty đều được sàng lọc</t>
  </si>
  <si>
    <t>Headers:
Authorization: Basic a3ljYWRtbjpwYXNzd29yZDM=
Content-Type: application/json
Params:
  transactionId: TF_MSB003_003
  requestId: REQ_TF_MSB003_003
  transactionType: MSB003
  branchCd: HN
  channel: T24
  isCallBack: N
Body:
[
  {
    "MSB003": {
      "Debtor":{"Name":"CONG TY TNHH THUONG MAI VA XUAT NHAP KHAU ABC",
        "FullAddress":"So 12 Duong Lang Ha, Ba Dinh, Ha Noi, Viet Nam",
        "CountryInAddress":"VNM","Identifier":"0101234567"},
      "Creditor":{"Name":"SHENZHEN GLOBAL ELECTRONICS CO., LTD",
        "FullAddress":"No. 88 Huaqiang North Road, Shenzhen, China",
        "CountryInAddress":"CHN","Identifier":"91440300MA5XXXXX1K"},
      "InvolvedParty":[{"PartyType":"PARTY_01","Role":"Exporter",
        "Name":"SHENZHEN GLOBAL ELECTRONICS","CountryInAddress":"CHN",
        "Identifier":"91440300MA5XXXXX1K"}]
    }
  }
]</t>
  </si>
  <si>
    <t>1. Gửi POST với transactionType=MSB003
2. Body là JSON Object ({})
   thay vì JSON Array ([{}])
3. Kiểm tra errorCode=03</t>
  </si>
  <si>
    <t>Headers:
Authorization: Basic a3ljYWRtbjpwYXNzd29yZDM=
Content-Type: application/json
Params:
  transactionId: TF_MSB003_004
  requestId: REQ_TF_MSB003_004
  transactionType: MSB003
  branchCd: HN
  channel: T24
  isCallBack: N
Body:
{"MSB003": {"Debtor": {}}}</t>
  </si>
  <si>
    <t>HTTP Status: 200 OK
result: ERROR
errorCode: 03
errorDetail: Invalid message format
score: (rỗng)
alertId: (rỗng)
processDate: null
MSB003 yêu cầu JSON Array;
JSON Object phải bị từ chối</t>
  </si>
  <si>
    <t xml:space="preserve">  IX. Verify Response Body – Kiểm tra đầy đủ các fields</t>
  </si>
  <si>
    <t xml:space="preserve">    AML_API_RESP  Kiểm tra cấu trúc và giá trị response body</t>
  </si>
  <si>
    <t>1. Gửi POST MT hợp lệ, có HIT
2. Nhận response
3. Verify lần lượt tất cả fields:
   transactionId, transactionType, result,
   requestId, errorCode, errorDetail,
   score, groupMessageId, alertId,
   processDate, branchCd, channel</t>
  </si>
  <si>
    <t>Headers:
Authorization: Basic a3ljYWRtbjpwYXNzd29yZDM=
Content-Type: application/json
Params:
  transactionId: TF_RESP_001
  requestId: REQ_TF_RESP_001
  transactionType: MT
  branchCd: HN
  channel: T24
  isCallBack: N
Body:
{1:F01SIIBSYDAXXXX0000000000}
{2:I202ESSESESSXXXXN}
{4:
:20:MT202
:21:SENDEREFERENC001
:32A:170623CNY5000
:58D:/B/BENEFICIARYINST
MAJESTUALIDAQ
CUBA
:72:PHONBEN
-}
{5:{MAC:12345678}{CHK:123456789ABC}}</t>
  </si>
  <si>
    <t>HTTP: 200
result: HIT
transactionId == TF_RESP_001 (echo)
requestId == REQ_TF_RESP_001 (echo)
transactionType == MT (echo)
errorCode: 00
errorDetail: No Error
score: &gt; 0 (số nguyên)
groupMessageId: not null (Number)
alertId: not null (Number)
processDate: format dd-mm-yyyy hh:mi:ss
branchCd == HN (echo)
channel == T24 (echo)</t>
  </si>
  <si>
    <t>Headers:
Authorization: Basic a3ljYWRtbjpwYXNzd29yZDM=
Content-Type: application/json
Params:
  transactionId: TF_RESP_002
  requestId: REQ_TF_RESP_002
  transactionType: MT
  branchCd: HN
  channel: T24
  isCallBack: N
Body:
{1:F01SIIBSYDAXXXX0000000000}
{2:I202ESSESESSXXXXN}
{4:
:20:MT202
:21:SENDEREFERENC001
:32A:170623CNY5000
:58D:/B/BENEFICIARYINST
MAJESTUALIDAQ
CUBA
:72:PHONBEN
-}
{5:{MAC:12345678}{CHK:123456789ABC}}</t>
  </si>
  <si>
    <t>HTTP: 200
result: No-HIT
errorCode: 00
score: 0
alertId: '' (rỗng)
groupMessageId: not null
processDate: not null (dd-mm-yyyy hh:mi:ss)</t>
  </si>
  <si>
    <t>Response KNOCKED-OUT – score=100, alertId not null</t>
  </si>
  <si>
    <t>1. Gửi POST MT với Knock-out country
2. Nhận response KNOCKED-OUT
3. Verify: score=100, alertId not null</t>
  </si>
  <si>
    <t>Headers:
Authorization: Basic a3ljYWRtbjpwYXNzd29yZDM=
Content-Type: application/json
Params:
  transactionId: TF_RESP_003
  requestId: REQ_TF_RESP_003
  transactionType: MT
  branchCd: HN
  channel: T24
  isCallBack: N
Body:
{1:F01SIIBSYDAXXXX0000000000}
{2:I202ESSESESSXXXXN}
{4:
:20:MT202
:21:SENDEREFERENC001
:32A:170623CNY5000
:58D:/B/BENEFICIARYINST
MAJESTUALIDAQ
CUBA
:72:PHONBEN
-}
{5:{MAC:12345678}{CHK:123456789ABC}}</t>
  </si>
  <si>
    <t>HTTP: 200
result: KNOCKED-OUT
errorCode: 00
score: 100
alertId: not null
groupMessageId: not null
processDate: not null</t>
  </si>
  <si>
    <t>Headers:
Authorization: Basic a3ljYWRtbjpwYXNzd29yZDM=
Content-Type: application/json
Params:
  transactionId: TF_RESP_004
  requestId: REQ_TF_RESP_004
  transactionType: MT
  branchCd: HN
  channel: T24
  isCallBack: N
Body:
INVALID_MT_BODY_NOT_SWIFT</t>
  </si>
  <si>
    <t>HTTP: 200
result: ERROR
errorCode: 03
score: '' (rỗng)
alertId: '' (rỗng)
processDate: null
groupMessageId: null</t>
  </si>
  <si>
    <t>Headers:
Authorization: Basic a3ljYWRtbjpwYXNzd29yZDM=
Content-Type: application/json
Params:
  transactionId: TF_RESP_005
  requestId: REQ_TF_RESP_005
  transactionType: MT
  branchCd: HN
  channel: T24
  isCallBack: N
Body:
INVALID_MT_BODY_NOT_SWIFT</t>
  </si>
  <si>
    <t>HTTP Status: 200 OK  ← LUÔN LUÔN
Trạng thái nghiệp vụ phân biệt qua:
  result: ERROR
  errorCode: 03
KHÔNG phải qua HTTP 4xx/5xx</t>
  </si>
  <si>
    <t>transactionId trong response echo đúng giá trị đã gửi</t>
  </si>
  <si>
    <t>Headers:
Authorization: Basic a3ljYWRtbjpwYXNzd29yZDM=
Content-Type: application/json
Params:
  transactionId: TF_ECHO_CHECK_001
  requestId: REQ_TF_ECHO_CHECK_001
  transactionType: MT
  branchCd: HN
  channel: T24
  isCallBack: N
Body:
{1:F01SIIBSYDAXXXX0000000000}
{2:I202ESSESESSXXXXN}
{4:
:20:MT202
:21:SENDEREFERENC001
:32A:170623CNY5000
:58D:/B/BENEFICIARYINST
MAJESTUALIDAQ
CUBA
:72:PHONBEN
-}
{5:{MAC:12345678}{CHK:123456789ABC}}</t>
  </si>
  <si>
    <t>HTTP: 200
response.transactionId == 'TF_ECHO_CHECK_001'
(phản hồi lại đúng giá trị đã gửi)</t>
  </si>
  <si>
    <t>Headers:
Authorization: Basic a3ljYWRtbjpwYXNzd29yZDM=
Content-Type: application/json
Params:
  transactionId: TF_RESP_007
  requestId: REQ_TF_RESP_007
  transactionType: MT
  branchCd: HN
  channel: T24
  isCallBack: N
Body:
{1:F01SIIBSYDAXXXX0000000000}
{2:I202ESSESESSXXXXN}
{4:
:20:MT202
:21:SENDEREFERENC001
:32A:170623CNY5000
:58D:/B/BENEFICIARYINST
MAJESTUALIDAQ
CUBA
:72:PHONBEN
-}
{5:{MAC:12345678}{CHK:123456789ABC}}</t>
  </si>
  <si>
    <t>HTTP: 200
response.requestId == 'REQ_TF_RESP_007'
(phản hồi lại đúng giá trị đã gửi)</t>
  </si>
  <si>
    <t>Headers:
Authorization: Basic a3ljYWRtbjpwYXNzd29yZDM=
Content-Type: application/json
Params:
  transactionId: TF_RESP_008
  requestId: REQ_TF_RESP_008
  transactionType: MT
  branchCd: HN
  channel: T24
  isCallBack: N
Body:
{1:F01SIIBSYDAXXXX0000000000}
{2:I202ESSESESSXXXXN}
{4:
:20:MT202
:21:SENDEREFERENC001
:32A:170623CNY5000
:58D:/B/BENEFICIARYINST
MAJESTUALIDAQ
CUBA
:72:PHONBEN
-}
{5:{MAC:12345678}{CHK:123456789ABC}}</t>
  </si>
  <si>
    <t>processDate match regex:
^\d{2}-\d{2}-\d{4} \d{2}:\d{2}:\d{2}$
Ví dụ hợp lệ: 11-06-2026 14:35:22
Ví dụ KHÔNG hợp lệ: 2026-06-11 / 11/06/2026</t>
  </si>
  <si>
    <t>Headers:
Authorization: Basic a3ljYWRtbjpwYXNzd29yZDM=
Content-Type: application/json
Params:
  transactionId: TF_RESP_009
  requestId: REQ_TF_RESP_009
  transactionType: MT
  branchCd: SGN
  channel: IB
  isCallBack: N
Body:
{1:F01SIIBSYDAXXXX0000000000}
{2:I202ESSESESSXXXXN}
{4:
:20:MT202
:21:SENDEREFERENC001
:32A:170623CNY5000
:58D:/B/BENEFICIARYINST
MAJESTUALIDAQ
CUBA
:72:PHONBEN
-}
{5:{MAC:12345678}{CHK:123456789ABC}}</t>
  </si>
  <si>
    <t>HTTP: 200
response.branchCd == 'SGN'
response.channel == 'IB'
(cả 2 phải echo đúng giá trị request)</t>
  </si>
  <si>
    <t>Headers:
Authorization: Basic a3ljYWRtbjpwYXNzd29yZDM=
Content-Type: application/json
Params:
  transactionId: TF_RESP_010
  requestId: REQ_TF_RESP_010
  transactionType: MT
  branchCd: HN
  channel: T24
  isCallBack: N
Body:
{1:F01SIIBSYDAXXXX0000000000}
{2:I202ESSESESSXXXXN}
{4:
:20:MT202
:21:SENDEREFERENC001
:32A:170623CNY5000
:58D:/B/BENEFICIARYINST
MAJESTUALIDAQ
CUBA
:72:PHONBEN
-}
{5:{MAC:12345678}{CHK:123456789ABC}}</t>
  </si>
  <si>
    <t>Lần 1: groupMessageId = X (Number &gt; 0)
Lần 2: groupMessageId = Y (Number &gt; 0)
Verify: X ≠ Y (unique per request)</t>
  </si>
  <si>
    <t xml:space="preserve">  X. Verify Error Codes (Bảng mã lỗi)</t>
  </si>
  <si>
    <t xml:space="preserve">    AML_API_ERR  Kiểm tra các mã lỗi trả về trong response</t>
  </si>
  <si>
    <t>Headers:
Authorization: Basic a3ljYWRtbjpwYXNzd29yZDM=
Content-Type: application/json
Params:
  transactionId: TF_ERR_001
  requestId: REQ_TF_ERR_001
  transactionType: MT
  branchCd: HN
  channel: T24
  isCallBack: N
Body:
{1:F01SIIBSYDAXXXX0000000000}
{2:I202ESSESESSXXXXN}
{4:
:20:MT202
:21:SENDEREFERENC001
:32A:170623CNY5000
:58D:/B/BENEFICIARYINST
MAJESTUALIDAQ
CUBA
:72:PHONBEN
-}
{5:{MAC:12345678}{CHK:123456789ABC}}</t>
  </si>
  <si>
    <t>HTTP: 200
result: HIT hoặc No-HIT
errorCode: '00'
errorDetail: 'No Error'
(Không có lỗi nào trong quá trình xử lý)</t>
  </si>
  <si>
    <t>1. Gửi POST thiếu transactionId
2. Kiểm tra response:
   result=ERROR, errorCode=01
3. Verify errorDetail mô tả field bị thiếu</t>
  </si>
  <si>
    <t>Headers:
Authorization: Basic a3ljYWRtbjpwYXNzd29yZDM=
Content-Type: application/json
Params (thiếu transactionId):
  requestId: REQ_ERR_002
  transactionType: MT
  branchCd: HN
  channel: T24
  isCallBack: N
Body:
{1:F01SIIBSYDAXXXX0000000000}
{2:I202ESSESESSXXXXN}
{4:
:20:MT202
:21:SENDEREFERENC001
:32A:170623CNY5000
:58D:/B/BENEFICIARYINST
MAJESTUALIDAQ
CUBA
:72:PHONBEN
-}
{5:{MAC:12345678}{CHK:123456789ABC}}</t>
  </si>
  <si>
    <t>HTTP: 200
result: ERROR
errorCode: '01'
errorDetail: 'Missing parameter'
score: '' (rỗng)
alertId: '' (rỗng)
processDate: null</t>
  </si>
  <si>
    <t>Headers:
Authorization: Basic a3ljYWRtbjpwYXNzd29yZDM=
Content-Type: application/json
Params:
  transactionId: TF_ERR_003
  requestId: REQ_TF_ERR_003
  transactionType: MT
  branchCd: HN
  channel: T24
  isCallBack: N
Body:
INVALID_MT_BODY_NOT_SWIFT</t>
  </si>
  <si>
    <t>HTTP: 200
result: ERROR
errorCode: '03'
errorDetail: 'Message is not valid.
Please correct the message and repost it'
score: '' (rỗng)
alertId: '' (rỗng)
processDate: null</t>
  </si>
  <si>
    <t>Headers:
Authorization: Basic a3ljYWRtbjpwYXNzd29yZDM=
Content-Type: application/json
Params:
  transactionId: TF_ERR_004
  requestId: REQ_TF_ERR_004
  transactionType: MT
  branchCd: HN
  channel: T24
  isCallBack: N
Body:
{1:F01SIIBSYDAXXXX0000000000}
{2:I202ESSESESSXXXXN}
{4:
:20:MT202
:21:SENDEREFERENC001
:32A:170623CNY5000
:58D:/B/BENEFICIARYINST
MAJESTUALIDAQ
CUBA
:72:PHONBEN
-}
{5:{MAC:12345678}{CHK:123456789ABC}}</t>
  </si>
  <si>
    <t>HTTP: 200
result: ERROR
errorCode: '05'
errorDetail: 'Webservices are not responding'
score: '' (rỗng)
alertId: '' (rỗng)
processDate: null
Precondition: Cần môi trường test với EDQ down</t>
  </si>
  <si>
    <t>Headers:
Authorization: Basic a3ljYWRtbjpwYXNzd29yZDM=
Content-Type: application/json
Params:
  transactionId: TF_ERR_005
  requestId: REQ_TF_ERR_005
  transactionType: MT
  branchCd: HN
  channel: T24
  isCallBack: N
Body:
{1:F01SIIBSYDAXXXX0000000000}
{2:I202ESSESESSXXXXN}
{4:
:20:MT202
:21:SENDEREFERENC001
:32A:170623CNY5000
:58D:/B/BENEFICIARYINST
MAJESTUALIDAQ
CUBA
:72:PHONBEN
-}
{5:{MAC:12345678}{CHK:123456789ABC}}</t>
  </si>
  <si>
    <t>HTTP: 200
result: ERROR
errorCode: '07'
errorDetail: 'Others exception'
score: '' (rỗng)
alertId: '' (rỗng)
processDate: null
Note: Cần môi trường đặc biệt để trigger lỗi 07</t>
  </si>
  <si>
    <t>Headers:
Authorization: Basic a3ljYWRtbjpwYXNzd29yZDM=
Content-Type: application/json
Params:
  transactionId: TF_ERR_006
  requestId: REQ_TF_ERR_006
  transactionType: MT
  branchCd: HN
  channel: T24
  isCallBack: N
Body:
{1:F01SIIBSYDAXXXX0000000000}
{2:I202ESSESESSXXXXN}
{4:
:20:MT202
:21:SENDEREFERENC001
:32A:170623CNY5000
:58D:/B/BENEFICIARYINST
MAJESTUALIDAQ
CUBA
:72:PHONBEN
-}
{5:{MAC:12345678}{CHK:123456789ABC}}</t>
  </si>
  <si>
    <t>HTTP: 200
result: ERROR
errorCode: '08'
errorDetail: 'Request Timeout'
score: '' (rỗng)
alertId: '' (rỗng)
processDate: null
Timeout config: 30 giây</t>
  </si>
  <si>
    <t xml:space="preserve">  XI. Verify HTTP Status Codes</t>
  </si>
  <si>
    <t xml:space="preserve">    AML_API_HTTP  Kiểm tra HTTP Status Code trả về</t>
  </si>
  <si>
    <t>Headers:
Authorization: Basic a3ljYWRtbjpwYXNzd29yZDM=
Content-Type: application/json
Params:
  transactionId: TF_HTTP_001
  requestId: REQ_TF_HTTP_001
  transactionType: MT
  branchCd: HN
  channel: T24
  isCallBack: N
Body:
{1:F01SIIBSYDAXXXX0000000000}
{2:I202ESSESESSXXXXN}
{4:
:20:MT202
:21:SENDEREFERENC001
:32A:170623CNY5000
:58D:/B/BENEFICIARYINST
MAJESTUALIDAQ
CUBA
:72:PHONBEN
-}
{5:{MAC:12345678}{CHK:123456789ABC}}</t>
  </si>
  <si>
    <t>HTTP Status: 200 OK
Áp dụng cho mọi kết quả nghiệp vụ:
  HIT → HTTP 200
  No-HIT → HTTP 200
  KNOCKED-OUT → HTTP 200
  ERROR → HTTP 200</t>
  </si>
  <si>
    <t>POST POST http://server:port/transaction-screening/v1/transaction-screening
Authorization: Basic a3ljYWRtbjpwYXNzd29yZDM=
Content-Type: application/json
Body: %%%MALFORMED%%%</t>
  </si>
  <si>
    <t>HTTP Status: 400 Bad Request
(Không có body nghiệp vụ)</t>
  </si>
  <si>
    <t>POST POST http://server:port/transaction-screening/v1/transaction-screening
Content-Type: application/json
Body:
{1:F01SIIBSYDAXXXX0000000000}
{2:I202ESSESESSXXXXN}
{4:
:20:MT202
:21:SENDEREFERENC001
:32A:170623CNY5000
:58D:/B/BENEFICIARYINST
MAJESTUALIDAQ
CUBA
:72:PHONBEN
-}
{5:{MAC:12345678}{CHK:123456789ABC}}</t>
  </si>
  <si>
    <t>POST http://server:port/wrong-endpoint
Authorization: Basic a3ljYWRtbjpwYXNzd29yZDM=
Content-Type: application/json</t>
  </si>
  <si>
    <t>Headers:
Authorization: Basic a3ljYWRtbjpwYXNzd29yZDM=
Content-Type: application/json
Params:
  transactionId: TF_HTTP_005
  requestId: REQ_TF_HTTP_005
  transactionType: MT
  branchCd: HN
  channel: T24
  isCallBack: N
Body:
{1:F01SIIBSYDAXXXX0000000000}
{2:I202ESSESESSXXXXN}
{4:
:20:MT202
:21:SENDEREFERENC001
:32A:170623CNY5000
:58D:/B/BENEFICIARYINST
MAJESTUALIDAQ
CUBA
:72:PHONBEN
-}
{5:{MAC:12345678}{CHK:123456789ABC}}</t>
  </si>
  <si>
    <t>HTTP Status: 500 Internal Server Error
(Không có body nghiệp vụ)</t>
  </si>
  <si>
    <t xml:space="preserve">  XII. Non-Functional &amp; Edge Cases</t>
  </si>
  <si>
    <t xml:space="preserve">    AML_API_NF  Kiểm tra các trường hợp đặc biệt và phi chức năng</t>
  </si>
  <si>
    <t>Concurrent requests – gửi đồng thời 10 request</t>
  </si>
  <si>
    <t>Auth hợp lệ;
Server đang chạy</t>
  </si>
  <si>
    <t>1. Gửi đồng thời 10 POST request
   transactionId: TF_CONC_001 đến TF_CONC_010
2. Verify mỗi request trả kết quả độc lập
3. Verify không có race condition</t>
  </si>
  <si>
    <t>10 requests đồng thời:
  transactionId: TF_CONC_001 → TF_CONC_010
  transactionType: MT
  Mỗi request dùng requestId riêng
Body: MT hợp lệ (giống nhau)</t>
  </si>
  <si>
    <t>HTTP: 200 cho cả 10 request
Mỗi response có:
  transactionId tương ứng đúng
  requestId tương ứng đúng
  groupMessageId unique
Không có response bị trộn lẫn</t>
  </si>
  <si>
    <t>Body rỗng hoàn toàn (empty body)</t>
  </si>
  <si>
    <t>1. Gửi POST với body = empty string ''
2. Kiểm tra response lỗi</t>
  </si>
  <si>
    <t xml:space="preserve">Headers:
Authorization: Basic a3ljYWRtbjpwYXNzd29yZDM=
Content-Type: application/json
Params:
  transactionId: TF_NF_002
  requestId: REQ_TF_NF_002
  transactionType: MT
  branchCd: HN
  channel: T24
  isCallBack: N
Body:
</t>
  </si>
  <si>
    <t>HTTP Status: 200 OK
result: ERROR
errorCode: 01
errorDetail: Missing parameter
score: (rỗng)
alertId: (rỗng)
processDate: null
Body rỗng phải báo lỗi thiếu dữ liệu điện</t>
  </si>
  <si>
    <t>Headers:
Authorization: Basic a3ljYWRtbjpwYXNzd29yZDM=
Content-Type: application/json
Params:
  transactionId: TF_NF_003
  requestId: REQ_TF_NF_003
  transactionType: MT
  branchCd: HN
  channel: CCCCCCCCCCCCCCCCCCCCCCCCCCCCCCCCCCCCCCCCCCCCCCCCCCCCCCCCCCCCCCCCCCCCCCCCCCCCCCCCCCCCCCCCCCCCCCCCCCCC
  isCallBack: N
Body:
{1:F01SIIBSYDAXXXX0000000000}
{2:I202ESSESESSXXXXN}
{4:
:20:MT202
:21:SENDEREFERENC001
:32A:170623CNY5000
:58D:/B/BENEFICIARYINST
MAJESTUALIDAQ
CUBA
:72:PHONBEN
-}
{5:{MAC:12345678}{CHK:123456789ABC}}</t>
  </si>
  <si>
    <t>HTTP: 200
result: No-HIT hoặc HIT
errorCode: 00
varchar2(100): giá trị tối đa được chấp nhận</t>
  </si>
  <si>
    <t>Headers:
Authorization: Basic a3ljYWRtbjpwYXNzd29yZDM=
Content-Type: application/json
Params:
  transactionId: TF_NF_004
  requestId: REQ_TF_NF_004
  transactionType: MT
  branchCd: HN
  channel: CCCCCCCCCCCCCCCCCCCCCCCCCCCCCCCCCCCCCCCCCCCCCCCCCCCCCCCCCCCCCCCCCCCCCCCCCCCCCCCCCCCCCCCCCCCCCCCCCCCCC
  isCallBack: N
Body:
{1:F01SIIBSYDAXXXX0000000000}
{2:I202ESSESESSXXXXN}
{4:
:20:MT202
:21:SENDEREFERENC001
:32A:170623CNY5000
:58D:/B/BENEFICIARYINST
MAJESTUALIDAQ
CUBA
:72:PHONBEN
-}
{5:{MAC:12345678}{CHK:123456789ABC}}</t>
  </si>
  <si>
    <t>HTTP Status: 200 OK
result: ERROR
errorCode: 01
errorDetail: Missing parameter
score: (rỗng)
alertId: (rỗng)
processDate: null
varchar2(100): quá độ dài tối đa → lỗi</t>
  </si>
  <si>
    <t>Headers:
Authorization: Basic a3ljYWRtbjpwYXNzd29yZDM=
Content-Type: application/json
Params:
  transactionId: TF-001@#$%&amp;
  requestId: REQ_TF-001@#$%&amp;
  transactionType: MT
  branchCd: HN
  channel: T24
  isCallBack: N
Body:
{1:F01SIIBSYDAXXXX0000000000}
{2:I202ESSESESSXXXXN}
{4:
:20:MT202
:21:SENDEREFERENC001
:32A:170623CNY5000
:58D:/B/BENEFICIARYINST
MAJESTUALIDAQ
CUBA
:72:PHONBEN
-}
{5:{MAC:12345678}{CHK:123456789ABC}}</t>
  </si>
  <si>
    <t>HTTP: 200
Verify hành vi thực tế:
  Option A: Chấp nhận → errorCode=00
  Option B: Từ chối → errorCode=01
Ghi nhận behavior và cập nhật kết quả</t>
  </si>
  <si>
    <t>Headers:
Authorization: Basic a3ljYWRtbjpwYXNzd29yZDM=
Content-Type: application/json
Params:
  transactionId: TF_NF_006_A
  requestId: REQ_TF_NF_006_A
  transactionType: MT
  branchCd: HN
  channel: T24
  isCallBack: N
Body:
{1:F01SIIBSYDAXXXX0000000000}
{2:I202ESSESESSXXXXN}
{4:
:20:MT202
:21:SENDEREFERENC001
:32A:170623CNY5000
:58D:/B/BENEFICIARYINST
MAJESTUALIDAQ
CUBA
:72:PHONBEN
-}
{5:{MAC:12345678}{CHK:123456789ABC}}</t>
  </si>
  <si>
    <t>Verify idempotency behavior:
response.requestId == REQ_TF_NF_006_A (echo đúng)
Hai lần gửi có groupMessageId KHÁC nhau
Ghi nhận hành vi thực tế</t>
  </si>
  <si>
    <t>Headers:
Authorization: Basic a3ljYWRtbjpwYXNzd29yZDM=
Content-Type: application/json
Params:
  transactionId: TF_NF_007
  requestId: REQ_TF_NF_007
  transactionType: MT
  branchCd: HN
  channel: T24
  isCallBack: N
Body:
INVALID_MT_BODY_NOT_SWIFT</t>
  </si>
  <si>
    <t>HTTP: 200
result: ERROR
processDate: null (KHÔNG có giá trị)
Ngược lại:
result=HIT/No-HIT/KNOCKED-OUT
→ processDate: not null (có giá trị thời gian)</t>
  </si>
  <si>
    <t>Headers:
Authorization: Basic a3ljYWRtbjpwYXNzd29yZDM=
Content-Type: application/json
Params:
  transactionId: TF_NF_008
  requestId: REQ_TF_NF_008
  transactionType: MSB001
  branchCd: HN
  channel: T24
  isCallBack: N
Body:
{
  "Bank01": {
    "MSB001": {
      "Sender": {"FullName":"TRAN VAN SENDER","DOB":"1985-05-20",
        "Nationalities":[{"SenderCitizenship":"VN"}],
        "Id":[{"IdNumber":"037085001234"}],
        "ResidenceAddress":[{"Address":"123 Nguyen Trai, Ha Noi","Country":"VN"}]},
      "Receiver": {"FullName":"JOHN RECEIVER SMITH","DOB":"1990-11-12",
        "Nationalities":[{"Citizenship":"US"}],
        "Id":[{"IdNumber":"A12345678"}],
        "ResidenceAddress":[{"Address":"456 Broadway, New York","Country":"US"}]},
      "BeneficiaryBankName":"VIETCOMBANK HO CHI MINH",
      "BeneficiaryBankBicCode":"BFTVBNVX002","BeneficiaryBankCountry":"VN",
      "RemittingBankName":"CITIBANK NEW YORK",
      "RemittingBankBicCode":"CITIUS33XXX","RemittingBankCountry":"US"
    }
  }
}</t>
  </si>
  <si>
    <t>HTTP: 200 (cả 2 lần)
Lần 1 (MSB001): result=No-HIT/HIT, errorCode=00
Lần 2 (MSB002): result=No-HIT/HIT, errorCode=00
Verify: transactionType echo đúng trong mỗi response</t>
  </si>
  <si>
    <t>AML_API_NF_09</t>
  </si>
  <si>
    <t>Headers:
Authorization: Basic a3ljYWRtbjpwYXNzd29yZDM=
Content-Type: application/json
Params:
  transactionId: TF_NF_009
  requestId: REQ_TF_NF_009
  transactionType: MSB002
  branchCd: HN
  channel: T24
  isCallBack: N
Body:
{1:F01SIIBSYDAXXXX0000000000}
{2:I202ESSESESSXXXXN}
{4:
:20:MT202
:21:SENDEREFERENC001
:32A:170623CNY5000
:58D:/B/BENEFICIARYINST
MAJESTUALIDAQ
CUBA
:72:PHONBEN
-}
{5:{MAC:12345678}{CHK:123456789ABC}}</t>
  </si>
  <si>
    <t>HTTP Status: 200 OK
result: ERROR
errorCode: 03
errorDetail: Invalid message format
score: (rỗng)
alertId: (rỗng)
processDate: null
Mismatch: transactionType=MSB002 nhưng body là MT SWIFT format</t>
  </si>
  <si>
    <t>AML_API_NF_10</t>
  </si>
  <si>
    <t>1. Gửi lần lượt 5 request:
   a. transactionType=MT
   b. transactionType=MX_IN
   c. transactionType=MX_OUT
   d. transactionType=MSB001
   e. transactionType=MSB002
   f. transactionType=MSB003
2. Verify tất cả đều trả HTTP 200</t>
  </si>
  <si>
    <t>6 requests riêng biệt:
  MT: body SWIFT MT
  MX_IN: body XML MX
  MX_OUT: body XML MX
  MSB001: body JSON MSB001
  MSB002: body JSON MSB002
  MSB003: body JSON Array MSB003</t>
  </si>
  <si>
    <t>HTTP: 200 cho cả 6 requests
errorCode: 00 cho cả 6
transactionType echo đúng trong mỗi response
Smoke test: hệ thống xử lý được tất cả loại điện</t>
  </si>
  <si>
    <t xml:space="preserve">  XIII. Verify Mandatory Fields – Kiem tra field bat buoc trong body dien (errorCode=03)</t>
  </si>
  <si>
    <t xml:space="preserve">    AML_MT195_MND  Kiem tra field mandatory cho dien MT195 (3 field: :20:, :21:, :75:)</t>
  </si>
  <si>
    <t>MT195 – Gui dien hop le day du 3 field mandatory (baseline)</t>
  </si>
  <si>
    <t>Auth hop le;
Body dien MT195 co du 3 field mandatory:
:20:, :21:, :75:</t>
  </si>
  <si>
    <t>1. Chuan bi body dien MT195 day du chuan SWIFT
   Co du tat ca 3 field mandatory:
   :20:
   :21:
   :75:
2. Gui POST request voi transactionType=MT195
3. Verify: HTTP 200, errorCode=00
4. Day la baseline – dung de so sanh voi cac TC loi</t>
  </si>
  <si>
    <t>Headers:
Authorization: Basic a3ljYWRtbjpwYXNzd29yZDM=
Content-Type: application/json
Params:
  transactionId: TF_AML_MT195_MND_01
  requestId:     REQ_AML_MT195_MND_01
  transactionType: MT195
  branchCd: HN
  channel: T24
  isCallBack: N
Body: Dien MT195 theo chuan SWIFT
Co du 3 field mandatory:
:20:, :21:, :75:</t>
  </si>
  <si>
    <t>HTTP Status: 200 OK
result: No-HIT hoac HIT
errorCode: "00"
errorDetail: "No Error"
→ Baseline: format dung, xu ly thanh cong</t>
  </si>
  <si>
    <t>MT195 – Thieu tat ca 3 field mandatory → errorCode=03</t>
  </si>
  <si>
    <t>Auth hop le;
Body dien MT195 bi xoa toan bo field mandatory</t>
  </si>
  <si>
    <t>1. Chuan bi body dien MT195 dung chuan SWIFT
2. Xoa toan bo 3 field mandatory: :20:, :21:, :75:
3. Gui POST request voi transactionType=MT195
4. Verify: HTTP 200, result=ERROR, errorCode=03</t>
  </si>
  <si>
    <t>Headers:
Authorization: Basic a3ljYWRtbjpwYXNzd29yZDM=
Content-Type: application/json
Params:
  transactionId: TF_AML_MT195_MND_02
  requestId:     REQ_AML_MT195_MND_02
  transactionType: MT195
  branchCd: HN
  channel: T24
  isCallBack: N
Body: Dien MT195 theo chuan SWIFT
DA XOA toan bo 3 field mandatory:
:20:, :21:, :75:</t>
  </si>
  <si>
    <t>HTTP Status: 200 OK
result: ERROR
errorCode: "03"
errorDetail: "Message is not valid.
Please correct the message and repost it"
score: "" (rong)
alertId: "" (rong)
processDate: null</t>
  </si>
  <si>
    <t>MT195 – Thieu field :20: (Transaction Reference Number (mã tham chiếu giao dịch)) → errorCode=03</t>
  </si>
  <si>
    <t>Auth hop le;
Body MT195 KHONG co tag :20:
Format yeu cau: Tối đa 16 ký tự alphanumeric
Cac field mandatory khac day du</t>
  </si>
  <si>
    <t>1. Chuan bi body dien MT195 dung chuan SWIFT
2. XOA tag :20: khoi body dien
   (cac field mandatory khac van giu nguyen)
3. Gui POST request voi transactionType=MT195
4. Verify: HTTP 200, result=ERROR, errorCode=03</t>
  </si>
  <si>
    <t>Headers:
Authorization: Basic a3ljYWRtbjpwYXNzd29yZDM=
Content-Type: application/json
Params:
  transactionId: TF_AML_MT195_MND_03
  requestId:     REQ_AML_MT195_MND_03
  transactionType: MT195
  branchCd: HN
  channel: T24
  isCallBack: N
Body: Dien MT195 dung chuan SWIFT
Field bi THIEU: :20: (Transaction Reference Number (mã tham chiếu giao dịch))
Format yeu cau: Tối đa 16 ký tự alphanumeric
Vi du: Dien MT195 hop le nhung KHONG co tag :20:</t>
  </si>
  <si>
    <t>AML_MT195_MND_04</t>
  </si>
  <si>
    <t>MT195 – Field :20: null/rong (Transaction Reference Number (mã tham chiếu giao dịch)) → errorCode=03</t>
  </si>
  <si>
    <t>Auth hop le;
Body MT195 co tag :20: nhung gia tri null/empty
Format yeu cau: Tối đa 16 ký tự alphanumeric
Cac field mandatory khac hop le</t>
  </si>
  <si>
    <t>1. Chuan bi body dien MT195 dung chuan SWIFT
2. Giu tag :20: nhung de gia tri RONG/NULL
   (cac field mandatory khac van hop le)
3. Gui POST request voi transactionType=MT195
4. Verify: HTTP 200, result=ERROR, errorCode=03</t>
  </si>
  <si>
    <t>Headers:
Authorization: Basic a3ljYWRtbjpwYXNzd29yZDM=
Content-Type: application/json
Params:
  transactionId: TF_AML_MT195_MND_04
  requestId:     REQ_AML_MT195_MND_04
  transactionType: MT195
  branchCd: HN
  channel: T24
  isCallBack: N
Body: Dien MT195 dung chuan SWIFT
Field NULL/RONG: :20: (Transaction Reference Number (mã tham chiếu giao dịch))
Format yeu cau: Tối đa 16 ký tự alphanumeric
Vi du: Tag :20: ton tai nhung gia tri = null/empty
       Vi du: :20: (khong co gia tri sau dau :)</t>
  </si>
  <si>
    <t>AML_MT195_MND_05</t>
  </si>
  <si>
    <t>MT195 – Thieu field :21: (Related Reference (tham chiếu liên quan)) → errorCode=03</t>
  </si>
  <si>
    <t>Auth hop le;
Body MT195 KHONG co tag :21:
Format yeu cau: Tối đa 16 ký tự alphanumeric
Cac field mandatory khac day du</t>
  </si>
  <si>
    <t>1. Chuan bi body dien MT195 dung chuan SWIFT
2. XOA tag :21: khoi body dien
   (cac field mandatory khac van giu nguyen)
3. Gui POST request voi transactionType=MT195
4. Verify: HTTP 200, result=ERROR, errorCode=03</t>
  </si>
  <si>
    <t>Headers:
Authorization: Basic a3ljYWRtbjpwYXNzd29yZDM=
Content-Type: application/json
Params:
  transactionId: TF_AML_MT195_MND_05
  requestId:     REQ_AML_MT195_MND_05
  transactionType: MT195
  branchCd: HN
  channel: T24
  isCallBack: N
Body: Dien MT195 dung chuan SWIFT
Field bi THIEU: :21: (Related Reference (tham chiếu liên quan))
Format yeu cau: Tối đa 16 ký tự alphanumeric
Vi du: Dien MT195 hop le nhung KHONG co tag :21:</t>
  </si>
  <si>
    <t>AML_MT195_MND_06</t>
  </si>
  <si>
    <t>MT195 – Field :21: null/rong (Related Reference (tham chiếu liên quan)) → errorCode=03</t>
  </si>
  <si>
    <t>Auth hop le;
Body MT195 co tag :21: nhung gia tri null/empty
Format yeu cau: Tối đa 16 ký tự alphanumeric
Cac field mandatory khac hop le</t>
  </si>
  <si>
    <t>1. Chuan bi body dien MT195 dung chuan SWIFT
2. Giu tag :21: nhung de gia tri RONG/NULL
   (cac field mandatory khac van hop le)
3. Gui POST request voi transactionType=MT195
4. Verify: HTTP 200, result=ERROR, errorCode=03</t>
  </si>
  <si>
    <t>Headers:
Authorization: Basic a3ljYWRtbjpwYXNzd29yZDM=
Content-Type: application/json
Params:
  transactionId: TF_AML_MT195_MND_06
  requestId:     REQ_AML_MT195_MND_06
  transactionType: MT195
  branchCd: HN
  channel: T24
  isCallBack: N
Body: Dien MT195 dung chuan SWIFT
Field NULL/RONG: :21: (Related Reference (tham chiếu liên quan))
Format yeu cau: Tối đa 16 ký tự alphanumeric
Vi du: Tag :21: ton tai nhung gia tri = null/empty
       Vi du: :21: (khong co gia tri sau dau :)</t>
  </si>
  <si>
    <t>AML_MT195_MND_07</t>
  </si>
  <si>
    <t>MT195 – Thieu field :75: (Queries (nội dung câu hỏi/truy vấn)) → errorCode=03</t>
  </si>
  <si>
    <t>Auth hop le;
Body MT195 KHONG co tag :75:
Format yeu cau: Tối đa 6 dòng × 35 ký tự
Cac field mandatory khac day du</t>
  </si>
  <si>
    <t>1. Chuan bi body dien MT195 dung chuan SWIFT
2. XOA tag :75: khoi body dien
   (cac field mandatory khac van giu nguyen)
3. Gui POST request voi transactionType=MT195
4. Verify: HTTP 200, result=ERROR, errorCode=03</t>
  </si>
  <si>
    <t>Headers:
Authorization: Basic a3ljYWRtbjpwYXNzd29yZDM=
Content-Type: application/json
Params:
  transactionId: TF_AML_MT195_MND_07
  requestId:     REQ_AML_MT195_MND_07
  transactionType: MT195
  branchCd: HN
  channel: T24
  isCallBack: N
Body: Dien MT195 dung chuan SWIFT
Field bi THIEU: :75: (Queries (nội dung câu hỏi/truy vấn))
Format yeu cau: Tối đa 6 dòng × 35 ký tự
Vi du: Dien MT195 hop le nhung KHONG co tag :75:</t>
  </si>
  <si>
    <t>AML_MT195_MND_08</t>
  </si>
  <si>
    <t>MT195 – Field :75: null/rong (Queries (nội dung câu hỏi/truy vấn)) → errorCode=03</t>
  </si>
  <si>
    <t>Auth hop le;
Body MT195 co tag :75: nhung gia tri null/empty
Format yeu cau: Tối đa 6 dòng × 35 ký tự
Cac field mandatory khac hop le</t>
  </si>
  <si>
    <t>1. Chuan bi body dien MT195 dung chuan SWIFT
2. Giu tag :75: nhung de gia tri RONG/NULL
   (cac field mandatory khac van hop le)
3. Gui POST request voi transactionType=MT195
4. Verify: HTTP 200, result=ERROR, errorCode=03</t>
  </si>
  <si>
    <t>Headers:
Authorization: Basic a3ljYWRtbjpwYXNzd29yZDM=
Content-Type: application/json
Params:
  transactionId: TF_AML_MT195_MND_08
  requestId:     REQ_AML_MT195_MND_08
  transactionType: MT195
  branchCd: HN
  channel: T24
  isCallBack: N
Body: Dien MT195 dung chuan SWIFT
Field NULL/RONG: :75: (Queries (nội dung câu hỏi/truy vấn))
Format yeu cau: Tối đa 6 dòng × 35 ký tự
Vi du: Tag :75: ton tai nhung gia tri = null/empty
       Vi du: :75: (khong co gia tri sau dau :)</t>
  </si>
  <si>
    <t xml:space="preserve">    AML_MT196_MND  Kiem tra field mandatory cho dien MT196 (1 field: :20:)</t>
  </si>
  <si>
    <t>MT196 – Gui dien hop le day du 1 field mandatory (baseline)</t>
  </si>
  <si>
    <t>Auth hop le;
Body dien MT196 co du 1 field mandatory:
:20:</t>
  </si>
  <si>
    <t>1. Chuan bi body dien MT196 day du chuan SWIFT
   Co du tat ca 1 field mandatory:
   :20:
2. Gui POST request voi transactionType=MT196
3. Verify: HTTP 200, errorCode=00
4. Day la baseline – dung de so sanh voi cac TC loi</t>
  </si>
  <si>
    <t>Headers:
Authorization: Basic a3ljYWRtbjpwYXNzd29yZDM=
Content-Type: application/json
Params:
  transactionId: TF_AML_MT196_MND_01
  requestId:     REQ_AML_MT196_MND_01
  transactionType: MT196
  branchCd: HN
  channel: T24
  isCallBack: N
Body: Dien MT196 theo chuan SWIFT
Co du 1 field mandatory:
:20:</t>
  </si>
  <si>
    <t>AML_MT196_MND_02</t>
  </si>
  <si>
    <t>MT196 – Thieu tat ca 1 field mandatory → errorCode=03</t>
  </si>
  <si>
    <t>Auth hop le;
Body dien MT196 bi xoa toan bo field mandatory</t>
  </si>
  <si>
    <t>1. Chuan bi body dien MT196 dung chuan SWIFT
2. Xoa toan bo 1 field mandatory: :20:
3. Gui POST request voi transactionType=MT196
4. Verify: HTTP 200, result=ERROR, errorCode=03</t>
  </si>
  <si>
    <t>Headers:
Authorization: Basic a3ljYWRtbjpwYXNzd29yZDM=
Content-Type: application/json
Params:
  transactionId: TF_AML_MT196_MND_02
  requestId:     REQ_AML_MT196_MND_02
  transactionType: MT196
  branchCd: HN
  channel: T24
  isCallBack: N
Body: Dien MT196 theo chuan SWIFT
DA XOA toan bo 1 field mandatory:
:20:</t>
  </si>
  <si>
    <t>AML_MT196_MND_03</t>
  </si>
  <si>
    <t>MT196 – Thieu field :20: (Transaction Reference Number (mã tham chiếu giao dịch)) → errorCode=03</t>
  </si>
  <si>
    <t>Auth hop le;
Body MT196 KHONG co tag :20:
Format yeu cau: Tối đa 16 ký tự alphanumeric
Cac field mandatory khac day du</t>
  </si>
  <si>
    <t>1. Chuan bi body dien MT196 dung chuan SWIFT
2. XOA tag :20: khoi body dien
   (cac field mandatory khac van giu nguyen)
3. Gui POST request voi transactionType=MT196
4. Verify: HTTP 200, result=ERROR, errorCode=03</t>
  </si>
  <si>
    <t>Headers:
Authorization: Basic a3ljYWRtbjpwYXNzd29yZDM=
Content-Type: application/json
Params:
  transactionId: TF_AML_MT196_MND_03
  requestId:     REQ_AML_MT196_MND_03
  transactionType: MT196
  branchCd: HN
  channel: T24
  isCallBack: N
Body: Dien MT196 dung chuan SWIFT
Field bi THIEU: :20: (Transaction Reference Number (mã tham chiếu giao dịch))
Format yeu cau: Tối đa 16 ký tự alphanumeric
Vi du: Dien MT196 hop le nhung KHONG co tag :20:</t>
  </si>
  <si>
    <t>AML_MT196_MND_04</t>
  </si>
  <si>
    <t>MT196 – Field :20: null/rong (Transaction Reference Number (mã tham chiếu giao dịch)) → errorCode=03</t>
  </si>
  <si>
    <t>Auth hop le;
Body MT196 co tag :20: nhung gia tri null/empty
Format yeu cau: Tối đa 16 ký tự alphanumeric
Cac field mandatory khac hop le</t>
  </si>
  <si>
    <t>1. Chuan bi body dien MT196 dung chuan SWIFT
2. Giu tag :20: nhung de gia tri RONG/NULL
   (cac field mandatory khac van hop le)
3. Gui POST request voi transactionType=MT196
4. Verify: HTTP 200, result=ERROR, errorCode=03</t>
  </si>
  <si>
    <t>Headers:
Authorization: Basic a3ljYWRtbjpwYXNzd29yZDM=
Content-Type: application/json
Params:
  transactionId: TF_AML_MT196_MND_04
  requestId:     REQ_AML_MT196_MND_04
  transactionType: MT196
  branchCd: HN
  channel: T24
  isCallBack: N
Body: Dien MT196 dung chuan SWIFT
Field NULL/RONG: :20: (Transaction Reference Number (mã tham chiếu giao dịch))
Format yeu cau: Tối đa 16 ký tự alphanumeric
Vi du: Tag :20: ton tai nhung gia tri = null/empty
       Vi du: :20: (khong co gia tri sau dau :)</t>
  </si>
  <si>
    <t xml:space="preserve">    AML_MT199_MND  Kiem tra field mandatory cho dien MT199 (2 field: :20:, :79:)</t>
  </si>
  <si>
    <t>MT199 – Gui dien hop le day du 2 field mandatory (baseline)</t>
  </si>
  <si>
    <t>Auth hop le;
Body dien MT199 co du 2 field mandatory:
:20:, :79:</t>
  </si>
  <si>
    <t>1. Chuan bi body dien MT199 day du chuan SWIFT
   Co du tat ca 2 field mandatory:
   :20:
   :79:
2. Gui POST request voi transactionType=MT199
3. Verify: HTTP 200, errorCode=00
4. Day la baseline – dung de so sanh voi cac TC loi</t>
  </si>
  <si>
    <t>Headers:
Authorization: Basic a3ljYWRtbjpwYXNzd29yZDM=
Content-Type: application/json
Params:
  transactionId: TF_AML_MT199_MND_01
  requestId:     REQ_AML_MT199_MND_01
  transactionType: MT199
  branchCd: HN
  channel: T24
  isCallBack: N
Body: Dien MT199 theo chuan SWIFT
Co du 2 field mandatory:
:20:, :79:</t>
  </si>
  <si>
    <t>MT199 – Thieu tat ca 2 field mandatory → errorCode=03</t>
  </si>
  <si>
    <t>Auth hop le;
Body dien MT199 bi xoa toan bo field mandatory</t>
  </si>
  <si>
    <t>1. Chuan bi body dien MT199 dung chuan SWIFT
2. Xoa toan bo 2 field mandatory: :20:, :79:
3. Gui POST request voi transactionType=MT199
4. Verify: HTTP 200, result=ERROR, errorCode=03</t>
  </si>
  <si>
    <t>Headers:
Authorization: Basic a3ljYWRtbjpwYXNzd29yZDM=
Content-Type: application/json
Params:
  transactionId: TF_AML_MT199_MND_02
  requestId:     REQ_AML_MT199_MND_02
  transactionType: MT199
  branchCd: HN
  channel: T24
  isCallBack: N
Body: Dien MT199 theo chuan SWIFT
DA XOA toan bo 2 field mandatory:
:20:, :79:</t>
  </si>
  <si>
    <t>AML_MT199_MND_03</t>
  </si>
  <si>
    <t>MT199 – Thieu field :20: (Transaction Reference Number (mã tham chiếu giao dịch)) → errorCode=03</t>
  </si>
  <si>
    <t>Auth hop le;
Body MT199 KHONG co tag :20:
Format yeu cau: Tối đa 16 ký tự alphanumeric
Cac field mandatory khac day du</t>
  </si>
  <si>
    <t>1. Chuan bi body dien MT199 dung chuan SWIFT
2. XOA tag :20: khoi body dien
   (cac field mandatory khac van giu nguyen)
3. Gui POST request voi transactionType=MT199
4. Verify: HTTP 200, result=ERROR, errorCode=03</t>
  </si>
  <si>
    <t>Headers:
Authorization: Basic a3ljYWRtbjpwYXNzd29yZDM=
Content-Type: application/json
Params:
  transactionId: TF_AML_MT199_MND_03
  requestId:     REQ_AML_MT199_MND_03
  transactionType: MT199
  branchCd: HN
  channel: T24
  isCallBack: N
Body: Dien MT199 dung chuan SWIFT
Field bi THIEU: :20: (Transaction Reference Number (mã tham chiếu giao dịch))
Format yeu cau: Tối đa 16 ký tự alphanumeric
Vi du: Dien MT199 hop le nhung KHONG co tag :20:</t>
  </si>
  <si>
    <t>AML_MT199_MND_04</t>
  </si>
  <si>
    <t>MT199 – Field :20: null/rong (Transaction Reference Number (mã tham chiếu giao dịch)) → errorCode=03</t>
  </si>
  <si>
    <t>Auth hop le;
Body MT199 co tag :20: nhung gia tri null/empty
Format yeu cau: Tối đa 16 ký tự alphanumeric
Cac field mandatory khac hop le</t>
  </si>
  <si>
    <t>1. Chuan bi body dien MT199 dung chuan SWIFT
2. Giu tag :20: nhung de gia tri RONG/NULL
   (cac field mandatory khac van hop le)
3. Gui POST request voi transactionType=MT199
4. Verify: HTTP 200, result=ERROR, errorCode=03</t>
  </si>
  <si>
    <t>Headers:
Authorization: Basic a3ljYWRtbjpwYXNzd29yZDM=
Content-Type: application/json
Params:
  transactionId: TF_AML_MT199_MND_04
  requestId:     REQ_AML_MT199_MND_04
  transactionType: MT199
  branchCd: HN
  channel: T24
  isCallBack: N
Body: Dien MT199 dung chuan SWIFT
Field NULL/RONG: :20: (Transaction Reference Number (mã tham chiếu giao dịch))
Format yeu cau: Tối đa 16 ký tự alphanumeric
Vi du: Tag :20: ton tai nhung gia tri = null/empty
       Vi du: :20: (khong co gia tri sau dau :)</t>
  </si>
  <si>
    <t>AML_MT199_MND_05</t>
  </si>
  <si>
    <t>MT199 – Thieu field :79: (Narrative (nội dung thông báo tự do)) → errorCode=03</t>
  </si>
  <si>
    <t>Auth hop le;
Body MT199 KHONG co tag :79:
Format yeu cau: Tối đa 35 dòng × 50 ký tự
Cac field mandatory khac day du</t>
  </si>
  <si>
    <t>1. Chuan bi body dien MT199 dung chuan SWIFT
2. XOA tag :79: khoi body dien
   (cac field mandatory khac van giu nguyen)
3. Gui POST request voi transactionType=MT199
4. Verify: HTTP 200, result=ERROR, errorCode=03</t>
  </si>
  <si>
    <t>Headers:
Authorization: Basic a3ljYWRtbjpwYXNzd29yZDM=
Content-Type: application/json
Params:
  transactionId: TF_AML_MT199_MND_05
  requestId:     REQ_AML_MT199_MND_05
  transactionType: MT199
  branchCd: HN
  channel: T24
  isCallBack: N
Body: Dien MT199 dung chuan SWIFT
Field bi THIEU: :79: (Narrative (nội dung thông báo tự do))
Format yeu cau: Tối đa 35 dòng × 50 ký tự
Vi du: Dien MT199 hop le nhung KHONG co tag :79:</t>
  </si>
  <si>
    <t>AML_MT199_MND_06</t>
  </si>
  <si>
    <t>MT199 – Field :79: null/rong (Narrative (nội dung thông báo tự do)) → errorCode=03</t>
  </si>
  <si>
    <t>Auth hop le;
Body MT199 co tag :79: nhung gia tri null/empty
Format yeu cau: Tối đa 35 dòng × 50 ký tự
Cac field mandatory khac hop le</t>
  </si>
  <si>
    <t>1. Chuan bi body dien MT199 dung chuan SWIFT
2. Giu tag :79: nhung de gia tri RONG/NULL
   (cac field mandatory khac van hop le)
3. Gui POST request voi transactionType=MT199
4. Verify: HTTP 200, result=ERROR, errorCode=03</t>
  </si>
  <si>
    <t>Headers:
Authorization: Basic a3ljYWRtbjpwYXNzd29yZDM=
Content-Type: application/json
Params:
  transactionId: TF_AML_MT199_MND_06
  requestId:     REQ_AML_MT199_MND_06
  transactionType: MT199
  branchCd: HN
  channel: T24
  isCallBack: N
Body: Dien MT199 dung chuan SWIFT
Field NULL/RONG: :79: (Narrative (nội dung thông báo tự do))
Format yeu cau: Tối đa 35 dòng × 50 ký tự
Vi du: Tag :79: ton tai nhung gia tri = null/empty
       Vi du: :79: (khong co gia tri sau dau :)</t>
  </si>
  <si>
    <t xml:space="preserve">    AML_MT295_MND  Kiem tra field mandatory cho dien MT295 (3 field: :20:, :21:, :75:)</t>
  </si>
  <si>
    <t>MT295 – Gui dien hop le day du 3 field mandatory (baseline)</t>
  </si>
  <si>
    <t>Auth hop le;
Body dien MT295 co du 3 field mandatory:
:20:, :21:, :75:</t>
  </si>
  <si>
    <t>1. Chuan bi body dien MT295 day du chuan SWIFT
   Co du tat ca 3 field mandatory:
   :20:
   :21:
   :75:
2. Gui POST request voi transactionType=MT295
3. Verify: HTTP 200, errorCode=00
4. Day la baseline – dung de so sanh voi cac TC loi</t>
  </si>
  <si>
    <t>Headers:
Authorization: Basic a3ljYWRtbjpwYXNzd29yZDM=
Content-Type: application/json
Params:
  transactionId: TF_AML_MT295_MND_01
  requestId:     REQ_AML_MT295_MND_01
  transactionType: MT295
  branchCd: HN
  channel: T24
  isCallBack: N
Body: Dien MT295 theo chuan SWIFT
Co du 3 field mandatory:
:20:, :21:, :75:</t>
  </si>
  <si>
    <t>MT295 – Thieu tat ca 3 field mandatory → errorCode=03</t>
  </si>
  <si>
    <t>Auth hop le;
Body dien MT295 bi xoa toan bo field mandatory</t>
  </si>
  <si>
    <t>1. Chuan bi body dien MT295 dung chuan SWIFT
2. Xoa toan bo 3 field mandatory: :20:, :21:, :75:
3. Gui POST request voi transactionType=MT295
4. Verify: HTTP 200, result=ERROR, errorCode=03</t>
  </si>
  <si>
    <t>Headers:
Authorization: Basic a3ljYWRtbjpwYXNzd29yZDM=
Content-Type: application/json
Params:
  transactionId: TF_AML_MT295_MND_02
  requestId:     REQ_AML_MT295_MND_02
  transactionType: MT295
  branchCd: HN
  channel: T24
  isCallBack: N
Body: Dien MT295 theo chuan SWIFT
DA XOA toan bo 3 field mandatory:
:20:, :21:, :75:</t>
  </si>
  <si>
    <t>MT295 – Thieu field :20: (Transaction Reference Number (mã tham chiếu giao dịch)) → errorCode=03</t>
  </si>
  <si>
    <t>Auth hop le;
Body MT295 KHONG co tag :20:
Format yeu cau: Tối đa 16 ký tự alphanumeric
Cac field mandatory khac day du</t>
  </si>
  <si>
    <t>1. Chuan bi body dien MT295 dung chuan SWIFT
2. XOA tag :20: khoi body dien
   (cac field mandatory khac van giu nguyen)
3. Gui POST request voi transactionType=MT295
4. Verify: HTTP 200, result=ERROR, errorCode=03</t>
  </si>
  <si>
    <t>Headers:
Authorization: Basic a3ljYWRtbjpwYXNzd29yZDM=
Content-Type: application/json
Params:
  transactionId: TF_AML_MT295_MND_03
  requestId:     REQ_AML_MT295_MND_03
  transactionType: MT295
  branchCd: HN
  channel: T24
  isCallBack: N
Body: Dien MT295 dung chuan SWIFT
Field bi THIEU: :20: (Transaction Reference Number (mã tham chiếu giao dịch))
Format yeu cau: Tối đa 16 ký tự alphanumeric
Vi du: Dien MT295 hop le nhung KHONG co tag :20:</t>
  </si>
  <si>
    <t>AML_MT295_MND_04</t>
  </si>
  <si>
    <t>MT295 – Field :20: null/rong (Transaction Reference Number (mã tham chiếu giao dịch)) → errorCode=03</t>
  </si>
  <si>
    <t>Auth hop le;
Body MT295 co tag :20: nhung gia tri null/empty
Format yeu cau: Tối đa 16 ký tự alphanumeric
Cac field mandatory khac hop le</t>
  </si>
  <si>
    <t>1. Chuan bi body dien MT295 dung chuan SWIFT
2. Giu tag :20: nhung de gia tri RONG/NULL
   (cac field mandatory khac van hop le)
3. Gui POST request voi transactionType=MT295
4. Verify: HTTP 200, result=ERROR, errorCode=03</t>
  </si>
  <si>
    <t>Headers:
Authorization: Basic a3ljYWRtbjpwYXNzd29yZDM=
Content-Type: application/json
Params:
  transactionId: TF_AML_MT295_MND_04
  requestId:     REQ_AML_MT295_MND_04
  transactionType: MT295
  branchCd: HN
  channel: T24
  isCallBack: N
Body: Dien MT295 dung chuan SWIFT
Field NULL/RONG: :20: (Transaction Reference Number (mã tham chiếu giao dịch))
Format yeu cau: Tối đa 16 ký tự alphanumeric
Vi du: Tag :20: ton tai nhung gia tri = null/empty
       Vi du: :20: (khong co gia tri sau dau :)</t>
  </si>
  <si>
    <t>AML_MT295_MND_05</t>
  </si>
  <si>
    <t>MT295 – Thieu field :21: (Related Reference (tham chiếu liên quan)) → errorCode=03</t>
  </si>
  <si>
    <t>Auth hop le;
Body MT295 KHONG co tag :21:
Format yeu cau: Tối đa 16 ký tự alphanumeric
Cac field mandatory khac day du</t>
  </si>
  <si>
    <t>1. Chuan bi body dien MT295 dung chuan SWIFT
2. XOA tag :21: khoi body dien
   (cac field mandatory khac van giu nguyen)
3. Gui POST request voi transactionType=MT295
4. Verify: HTTP 200, result=ERROR, errorCode=03</t>
  </si>
  <si>
    <t>Headers:
Authorization: Basic a3ljYWRtbjpwYXNzd29yZDM=
Content-Type: application/json
Params:
  transactionId: TF_AML_MT295_MND_05
  requestId:     REQ_AML_MT295_MND_05
  transactionType: MT295
  branchCd: HN
  channel: T24
  isCallBack: N
Body: Dien MT295 dung chuan SWIFT
Field bi THIEU: :21: (Related Reference (tham chiếu liên quan))
Format yeu cau: Tối đa 16 ký tự alphanumeric
Vi du: Dien MT295 hop le nhung KHONG co tag :21:</t>
  </si>
  <si>
    <t>AML_MT295_MND_06</t>
  </si>
  <si>
    <t>MT295 – Field :21: null/rong (Related Reference (tham chiếu liên quan)) → errorCode=03</t>
  </si>
  <si>
    <t>Auth hop le;
Body MT295 co tag :21: nhung gia tri null/empty
Format yeu cau: Tối đa 16 ký tự alphanumeric
Cac field mandatory khac hop le</t>
  </si>
  <si>
    <t>1. Chuan bi body dien MT295 dung chuan SWIFT
2. Giu tag :21: nhung de gia tri RONG/NULL
   (cac field mandatory khac van hop le)
3. Gui POST request voi transactionType=MT295
4. Verify: HTTP 200, result=ERROR, errorCode=03</t>
  </si>
  <si>
    <t>Headers:
Authorization: Basic a3ljYWRtbjpwYXNzd29yZDM=
Content-Type: application/json
Params:
  transactionId: TF_AML_MT295_MND_06
  requestId:     REQ_AML_MT295_MND_06
  transactionType: MT295
  branchCd: HN
  channel: T24
  isCallBack: N
Body: Dien MT295 dung chuan SWIFT
Field NULL/RONG: :21: (Related Reference (tham chiếu liên quan))
Format yeu cau: Tối đa 16 ký tự alphanumeric
Vi du: Tag :21: ton tai nhung gia tri = null/empty
       Vi du: :21: (khong co gia tri sau dau :)</t>
  </si>
  <si>
    <t>AML_MT295_MND_07</t>
  </si>
  <si>
    <t>MT295 – Thieu field :75: (Queries (nội dung câu hỏi/truy vấn)) → errorCode=03</t>
  </si>
  <si>
    <t>Auth hop le;
Body MT295 KHONG co tag :75:
Format yeu cau: Tối đa 6 dòng × 35 ký tự
Cac field mandatory khac day du</t>
  </si>
  <si>
    <t>1. Chuan bi body dien MT295 dung chuan SWIFT
2. XOA tag :75: khoi body dien
   (cac field mandatory khac van giu nguyen)
3. Gui POST request voi transactionType=MT295
4. Verify: HTTP 200, result=ERROR, errorCode=03</t>
  </si>
  <si>
    <t>Headers:
Authorization: Basic a3ljYWRtbjpwYXNzd29yZDM=
Content-Type: application/json
Params:
  transactionId: TF_AML_MT295_MND_07
  requestId:     REQ_AML_MT295_MND_07
  transactionType: MT295
  branchCd: HN
  channel: T24
  isCallBack: N
Body: Dien MT295 dung chuan SWIFT
Field bi THIEU: :75: (Queries (nội dung câu hỏi/truy vấn))
Format yeu cau: Tối đa 6 dòng × 35 ký tự
Vi du: Dien MT295 hop le nhung KHONG co tag :75:</t>
  </si>
  <si>
    <t>AML_MT295_MND_08</t>
  </si>
  <si>
    <t>MT295 – Field :75: null/rong (Queries (nội dung câu hỏi/truy vấn)) → errorCode=03</t>
  </si>
  <si>
    <t>Auth hop le;
Body MT295 co tag :75: nhung gia tri null/empty
Format yeu cau: Tối đa 6 dòng × 35 ký tự
Cac field mandatory khac hop le</t>
  </si>
  <si>
    <t>1. Chuan bi body dien MT295 dung chuan SWIFT
2. Giu tag :75: nhung de gia tri RONG/NULL
   (cac field mandatory khac van hop le)
3. Gui POST request voi transactionType=MT295
4. Verify: HTTP 200, result=ERROR, errorCode=03</t>
  </si>
  <si>
    <t>Headers:
Authorization: Basic a3ljYWRtbjpwYXNzd29yZDM=
Content-Type: application/json
Params:
  transactionId: TF_AML_MT295_MND_08
  requestId:     REQ_AML_MT295_MND_08
  transactionType: MT295
  branchCd: HN
  channel: T24
  isCallBack: N
Body: Dien MT295 dung chuan SWIFT
Field NULL/RONG: :75: (Queries (nội dung câu hỏi/truy vấn))
Format yeu cau: Tối đa 6 dòng × 35 ký tự
Vi du: Tag :75: ton tai nhung gia tri = null/empty
       Vi du: :75: (khong co gia tri sau dau :)</t>
  </si>
  <si>
    <t xml:space="preserve">    AML_MT296_MND  Kiem tra field mandatory cho dien MT296 (3 field: :20:, :21:, :76:)</t>
  </si>
  <si>
    <t>MT296 – Gui dien hop le day du 3 field mandatory (baseline)</t>
  </si>
  <si>
    <t>Auth hop le;
Body dien MT296 co du 3 field mandatory:
:20:, :21:, :76:</t>
  </si>
  <si>
    <t>1. Chuan bi body dien MT296 day du chuan SWIFT
   Co du tat ca 3 field mandatory:
   :20:
   :21:
   :76:
2. Gui POST request voi transactionType=MT296
3. Verify: HTTP 200, errorCode=00
4. Day la baseline – dung de so sanh voi cac TC loi</t>
  </si>
  <si>
    <t>Headers:
Authorization: Basic a3ljYWRtbjpwYXNzd29yZDM=
Content-Type: application/json
Params:
  transactionId: TF_AML_MT296_MND_01
  requestId:     REQ_AML_MT296_MND_01
  transactionType: MT296
  branchCd: HN
  channel: T24
  isCallBack: N
Body: Dien MT296 theo chuan SWIFT
Co du 3 field mandatory:
:20:, :21:, :76:</t>
  </si>
  <si>
    <t>MT296 – Thieu tat ca 3 field mandatory → errorCode=03</t>
  </si>
  <si>
    <t>Auth hop le;
Body dien MT296 bi xoa toan bo field mandatory</t>
  </si>
  <si>
    <t>1. Chuan bi body dien MT296 dung chuan SWIFT
2. Xoa toan bo 3 field mandatory: :20:, :21:, :76:
3. Gui POST request voi transactionType=MT296
4. Verify: HTTP 200, result=ERROR, errorCode=03</t>
  </si>
  <si>
    <t>Headers:
Authorization: Basic a3ljYWRtbjpwYXNzd29yZDM=
Content-Type: application/json
Params:
  transactionId: TF_AML_MT296_MND_02
  requestId:     REQ_AML_MT296_MND_02
  transactionType: MT296
  branchCd: HN
  channel: T24
  isCallBack: N
Body: Dien MT296 theo chuan SWIFT
DA XOA toan bo 3 field mandatory:
:20:, :21:, :76:</t>
  </si>
  <si>
    <t>MT296 – Thieu field :20: (Transaction Reference Number (mã tham chiếu giao dịch)) → errorCode=03</t>
  </si>
  <si>
    <t>Auth hop le;
Body MT296 KHONG co tag :20:
Format yeu cau: Tối đa 16 ký tự alphanumeric
Cac field mandatory khac day du</t>
  </si>
  <si>
    <t>1. Chuan bi body dien MT296 dung chuan SWIFT
2. XOA tag :20: khoi body dien
   (cac field mandatory khac van giu nguyen)
3. Gui POST request voi transactionType=MT296
4. Verify: HTTP 200, result=ERROR, errorCode=03</t>
  </si>
  <si>
    <t>Headers:
Authorization: Basic a3ljYWRtbjpwYXNzd29yZDM=
Content-Type: application/json
Params:
  transactionId: TF_AML_MT296_MND_03
  requestId:     REQ_AML_MT296_MND_03
  transactionType: MT296
  branchCd: HN
  channel: T24
  isCallBack: N
Body: Dien MT296 dung chuan SWIFT
Field bi THIEU: :20: (Transaction Reference Number (mã tham chiếu giao dịch))
Format yeu cau: Tối đa 16 ký tự alphanumeric
Vi du: Dien MT296 hop le nhung KHONG co tag :20:</t>
  </si>
  <si>
    <t>AML_MT296_MND_04</t>
  </si>
  <si>
    <t>MT296 – Field :20: null/rong (Transaction Reference Number (mã tham chiếu giao dịch)) → errorCode=03</t>
  </si>
  <si>
    <t>Auth hop le;
Body MT296 co tag :20: nhung gia tri null/empty
Format yeu cau: Tối đa 16 ký tự alphanumeric
Cac field mandatory khac hop le</t>
  </si>
  <si>
    <t>1. Chuan bi body dien MT296 dung chuan SWIFT
2. Giu tag :20: nhung de gia tri RONG/NULL
   (cac field mandatory khac van hop le)
3. Gui POST request voi transactionType=MT296
4. Verify: HTTP 200, result=ERROR, errorCode=03</t>
  </si>
  <si>
    <t>Headers:
Authorization: Basic a3ljYWRtbjpwYXNzd29yZDM=
Content-Type: application/json
Params:
  transactionId: TF_AML_MT296_MND_04
  requestId:     REQ_AML_MT296_MND_04
  transactionType: MT296
  branchCd: HN
  channel: T24
  isCallBack: N
Body: Dien MT296 dung chuan SWIFT
Field NULL/RONG: :20: (Transaction Reference Number (mã tham chiếu giao dịch))
Format yeu cau: Tối đa 16 ký tự alphanumeric
Vi du: Tag :20: ton tai nhung gia tri = null/empty
       Vi du: :20: (khong co gia tri sau dau :)</t>
  </si>
  <si>
    <t>AML_MT296_MND_05</t>
  </si>
  <si>
    <t>MT296 – Thieu field :21: (Related Reference (tham chiếu liên quan)) → errorCode=03</t>
  </si>
  <si>
    <t>Auth hop le;
Body MT296 KHONG co tag :21:
Format yeu cau: Tối đa 16 ký tự alphanumeric
Cac field mandatory khac day du</t>
  </si>
  <si>
    <t>1. Chuan bi body dien MT296 dung chuan SWIFT
2. XOA tag :21: khoi body dien
   (cac field mandatory khac van giu nguyen)
3. Gui POST request voi transactionType=MT296
4. Verify: HTTP 200, result=ERROR, errorCode=03</t>
  </si>
  <si>
    <t>Headers:
Authorization: Basic a3ljYWRtbjpwYXNzd29yZDM=
Content-Type: application/json
Params:
  transactionId: TF_AML_MT296_MND_05
  requestId:     REQ_AML_MT296_MND_05
  transactionType: MT296
  branchCd: HN
  channel: T24
  isCallBack: N
Body: Dien MT296 dung chuan SWIFT
Field bi THIEU: :21: (Related Reference (tham chiếu liên quan))
Format yeu cau: Tối đa 16 ký tự alphanumeric
Vi du: Dien MT296 hop le nhung KHONG co tag :21:</t>
  </si>
  <si>
    <t>AML_MT296_MND_06</t>
  </si>
  <si>
    <t>MT296 – Field :21: null/rong (Related Reference (tham chiếu liên quan)) → errorCode=03</t>
  </si>
  <si>
    <t>Auth hop le;
Body MT296 co tag :21: nhung gia tri null/empty
Format yeu cau: Tối đa 16 ký tự alphanumeric
Cac field mandatory khac hop le</t>
  </si>
  <si>
    <t>1. Chuan bi body dien MT296 dung chuan SWIFT
2. Giu tag :21: nhung de gia tri RONG/NULL
   (cac field mandatory khac van hop le)
3. Gui POST request voi transactionType=MT296
4. Verify: HTTP 200, result=ERROR, errorCode=03</t>
  </si>
  <si>
    <t>Headers:
Authorization: Basic a3ljYWRtbjpwYXNzd29yZDM=
Content-Type: application/json
Params:
  transactionId: TF_AML_MT296_MND_06
  requestId:     REQ_AML_MT296_MND_06
  transactionType: MT296
  branchCd: HN
  channel: T24
  isCallBack: N
Body: Dien MT296 dung chuan SWIFT
Field NULL/RONG: :21: (Related Reference (tham chiếu liên quan))
Format yeu cau: Tối đa 16 ký tự alphanumeric
Vi du: Tag :21: ton tai nhung gia tri = null/empty
       Vi du: :21: (khong co gia tri sau dau :)</t>
  </si>
  <si>
    <t>AML_MT296_MND_07</t>
  </si>
  <si>
    <t>MT296 – Thieu field :76: (Answers (nội dung trả lời)) → errorCode=03</t>
  </si>
  <si>
    <t>Auth hop le;
Body MT296 KHONG co tag :76:
Format yeu cau: Tối đa 6 dòng × 35 ký tự
Cac field mandatory khac day du</t>
  </si>
  <si>
    <t>1. Chuan bi body dien MT296 dung chuan SWIFT
2. XOA tag :76: khoi body dien
   (cac field mandatory khac van giu nguyen)
3. Gui POST request voi transactionType=MT296
4. Verify: HTTP 200, result=ERROR, errorCode=03</t>
  </si>
  <si>
    <t>Headers:
Authorization: Basic a3ljYWRtbjpwYXNzd29yZDM=
Content-Type: application/json
Params:
  transactionId: TF_AML_MT296_MND_07
  requestId:     REQ_AML_MT296_MND_07
  transactionType: MT296
  branchCd: HN
  channel: T24
  isCallBack: N
Body: Dien MT296 dung chuan SWIFT
Field bi THIEU: :76: (Answers (nội dung trả lời))
Format yeu cau: Tối đa 6 dòng × 35 ký tự
Vi du: Dien MT296 hop le nhung KHONG co tag :76:</t>
  </si>
  <si>
    <t>AML_MT296_MND_08</t>
  </si>
  <si>
    <t>MT296 – Field :76: null/rong (Answers (nội dung trả lời)) → errorCode=03</t>
  </si>
  <si>
    <t>Auth hop le;
Body MT296 co tag :76: nhung gia tri null/empty
Format yeu cau: Tối đa 6 dòng × 35 ký tự
Cac field mandatory khac hop le</t>
  </si>
  <si>
    <t>1. Chuan bi body dien MT296 dung chuan SWIFT
2. Giu tag :76: nhung de gia tri RONG/NULL
   (cac field mandatory khac van hop le)
3. Gui POST request voi transactionType=MT296
4. Verify: HTTP 200, result=ERROR, errorCode=03</t>
  </si>
  <si>
    <t>Headers:
Authorization: Basic a3ljYWRtbjpwYXNzd29yZDM=
Content-Type: application/json
Params:
  transactionId: TF_AML_MT296_MND_08
  requestId:     REQ_AML_MT296_MND_08
  transactionType: MT296
  branchCd: HN
  channel: T24
  isCallBack: N
Body: Dien MT296 dung chuan SWIFT
Field NULL/RONG: :76: (Answers (nội dung trả lời))
Format yeu cau: Tối đa 6 dòng × 35 ký tự
Vi du: Tag :76: ton tai nhung gia tri = null/empty
       Vi du: :76: (khong co gia tri sau dau :)</t>
  </si>
  <si>
    <t xml:space="preserve">    AML_MT299_MND  Kiem tra field mandatory cho dien MT299 (2 field: :20:, :79:)</t>
  </si>
  <si>
    <t>MT299 – Gui dien hop le day du 2 field mandatory (baseline)</t>
  </si>
  <si>
    <t>Auth hop le;
Body dien MT299 co du 2 field mandatory:
:20:, :79:</t>
  </si>
  <si>
    <t>1. Chuan bi body dien MT299 day du chuan SWIFT
   Co du tat ca 2 field mandatory:
   :20:
   :79:
2. Gui POST request voi transactionType=MT299
3. Verify: HTTP 200, errorCode=00
4. Day la baseline – dung de so sanh voi cac TC loi</t>
  </si>
  <si>
    <t>Headers:
Authorization: Basic a3ljYWRtbjpwYXNzd29yZDM=
Content-Type: application/json
Params:
  transactionId: TF_AML_MT299_MND_01
  requestId:     REQ_AML_MT299_MND_01
  transactionType: MT299
  branchCd: HN
  channel: T24
  isCallBack: N
Body: Dien MT299 theo chuan SWIFT
Co du 2 field mandatory:
:20:, :79:</t>
  </si>
  <si>
    <t>MT299 – Thieu tat ca 2 field mandatory → errorCode=03</t>
  </si>
  <si>
    <t>Auth hop le;
Body dien MT299 bi xoa toan bo field mandatory</t>
  </si>
  <si>
    <t>1. Chuan bi body dien MT299 dung chuan SWIFT
2. Xoa toan bo 2 field mandatory: :20:, :79:
3. Gui POST request voi transactionType=MT299
4. Verify: HTTP 200, result=ERROR, errorCode=03</t>
  </si>
  <si>
    <t>Headers:
Authorization: Basic a3ljYWRtbjpwYXNzd29yZDM=
Content-Type: application/json
Params:
  transactionId: TF_AML_MT299_MND_02
  requestId:     REQ_AML_MT299_MND_02
  transactionType: MT299
  branchCd: HN
  channel: T24
  isCallBack: N
Body: Dien MT299 theo chuan SWIFT
DA XOA toan bo 2 field mandatory:
:20:, :79:</t>
  </si>
  <si>
    <t>AML_MT299_MND_03</t>
  </si>
  <si>
    <t>MT299 – Thieu field :20: (Transaction Reference Number (mã tham chiếu giao dịch)) → errorCode=03</t>
  </si>
  <si>
    <t>Auth hop le;
Body MT299 KHONG co tag :20:
Format yeu cau: Tối đa 16 ký tự alphanumeric
Cac field mandatory khac day du</t>
  </si>
  <si>
    <t>1. Chuan bi body dien MT299 dung chuan SWIFT
2. XOA tag :20: khoi body dien
   (cac field mandatory khac van giu nguyen)
3. Gui POST request voi transactionType=MT299
4. Verify: HTTP 200, result=ERROR, errorCode=03</t>
  </si>
  <si>
    <t>Headers:
Authorization: Basic a3ljYWRtbjpwYXNzd29yZDM=
Content-Type: application/json
Params:
  transactionId: TF_AML_MT299_MND_03
  requestId:     REQ_AML_MT299_MND_03
  transactionType: MT299
  branchCd: HN
  channel: T24
  isCallBack: N
Body: Dien MT299 dung chuan SWIFT
Field bi THIEU: :20: (Transaction Reference Number (mã tham chiếu giao dịch))
Format yeu cau: Tối đa 16 ký tự alphanumeric
Vi du: Dien MT299 hop le nhung KHONG co tag :20:</t>
  </si>
  <si>
    <t>AML_MT299_MND_04</t>
  </si>
  <si>
    <t>MT299 – Field :20: null/rong (Transaction Reference Number (mã tham chiếu giao dịch)) → errorCode=03</t>
  </si>
  <si>
    <t>Auth hop le;
Body MT299 co tag :20: nhung gia tri null/empty
Format yeu cau: Tối đa 16 ký tự alphanumeric
Cac field mandatory khac hop le</t>
  </si>
  <si>
    <t>1. Chuan bi body dien MT299 dung chuan SWIFT
2. Giu tag :20: nhung de gia tri RONG/NULL
   (cac field mandatory khac van hop le)
3. Gui POST request voi transactionType=MT299
4. Verify: HTTP 200, result=ERROR, errorCode=03</t>
  </si>
  <si>
    <t>Headers:
Authorization: Basic a3ljYWRtbjpwYXNzd29yZDM=
Content-Type: application/json
Params:
  transactionId: TF_AML_MT299_MND_04
  requestId:     REQ_AML_MT299_MND_04
  transactionType: MT299
  branchCd: HN
  channel: T24
  isCallBack: N
Body: Dien MT299 dung chuan SWIFT
Field NULL/RONG: :20: (Transaction Reference Number (mã tham chiếu giao dịch))
Format yeu cau: Tối đa 16 ký tự alphanumeric
Vi du: Tag :20: ton tai nhung gia tri = null/empty
       Vi du: :20: (khong co gia tri sau dau :)</t>
  </si>
  <si>
    <t>AML_MT299_MND_05</t>
  </si>
  <si>
    <t>MT299 – Thieu field :79: (Narrative (nội dung thông báo tự do)) → errorCode=03</t>
  </si>
  <si>
    <t>Auth hop le;
Body MT299 KHONG co tag :79:
Format yeu cau: Tối đa 35 dòng × 50 ký tự
Cac field mandatory khac day du</t>
  </si>
  <si>
    <t>1. Chuan bi body dien MT299 dung chuan SWIFT
2. XOA tag :79: khoi body dien
   (cac field mandatory khac van giu nguyen)
3. Gui POST request voi transactionType=MT299
4. Verify: HTTP 200, result=ERROR, errorCode=03</t>
  </si>
  <si>
    <t>Headers:
Authorization: Basic a3ljYWRtbjpwYXNzd29yZDM=
Content-Type: application/json
Params:
  transactionId: TF_AML_MT299_MND_05
  requestId:     REQ_AML_MT299_MND_05
  transactionType: MT299
  branchCd: HN
  channel: T24
  isCallBack: N
Body: Dien MT299 dung chuan SWIFT
Field bi THIEU: :79: (Narrative (nội dung thông báo tự do))
Format yeu cau: Tối đa 35 dòng × 50 ký tự
Vi du: Dien MT299 hop le nhung KHONG co tag :79:</t>
  </si>
  <si>
    <t>AML_MT299_MND_06</t>
  </si>
  <si>
    <t>MT299 – Field :79: null/rong (Narrative (nội dung thông báo tự do)) → errorCode=03</t>
  </si>
  <si>
    <t>Auth hop le;
Body MT299 co tag :79: nhung gia tri null/empty
Format yeu cau: Tối đa 35 dòng × 50 ký tự
Cac field mandatory khac hop le</t>
  </si>
  <si>
    <t>1. Chuan bi body dien MT299 dung chuan SWIFT
2. Giu tag :79: nhung de gia tri RONG/NULL
   (cac field mandatory khac van hop le)
3. Gui POST request voi transactionType=MT299
4. Verify: HTTP 200, result=ERROR, errorCode=03</t>
  </si>
  <si>
    <t>Headers:
Authorization: Basic a3ljYWRtbjpwYXNzd29yZDM=
Content-Type: application/json
Params:
  transactionId: TF_AML_MT299_MND_06
  requestId:     REQ_AML_MT299_MND_06
  transactionType: MT299
  branchCd: HN
  channel: T24
  isCallBack: N
Body: Dien MT299 dung chuan SWIFT
Field NULL/RONG: :79: (Narrative (nội dung thông báo tự do))
Format yeu cau: Tối đa 35 dòng × 50 ký tự
Vi du: Tag :79: ton tai nhung gia tri = null/empty
       Vi du: :79: (khong co gia tri sau dau :)</t>
  </si>
  <si>
    <t xml:space="preserve">    AML_MT499_MND  Kiem tra field mandatory cho dien MT499 (2 field: :20:, :79:)</t>
  </si>
  <si>
    <t>MT499 – Gui dien hop le day du 2 field mandatory (baseline)</t>
  </si>
  <si>
    <t>Auth hop le;
Body dien MT499 co du 2 field mandatory:
:20:, :79:</t>
  </si>
  <si>
    <t>1. Chuan bi body dien MT499 day du chuan SWIFT
   Co du tat ca 2 field mandatory:
   :20:
   :79:
2. Gui POST request voi transactionType=MT499
3. Verify: HTTP 200, errorCode=00
4. Day la baseline – dung de so sanh voi cac TC loi</t>
  </si>
  <si>
    <t>Headers:
Authorization: Basic a3ljYWRtbjpwYXNzd29yZDM=
Content-Type: application/json
Params:
  transactionId: TF_AML_MT499_MND_01
  requestId:     REQ_AML_MT499_MND_01
  transactionType: MT499
  branchCd: HN
  channel: T24
  isCallBack: N
Body: Dien MT499 theo chuan SWIFT
Co du 2 field mandatory:
:20:, :79:</t>
  </si>
  <si>
    <t>MT499 – Thieu tat ca 2 field mandatory → errorCode=03</t>
  </si>
  <si>
    <t>Auth hop le;
Body dien MT499 bi xoa toan bo field mandatory</t>
  </si>
  <si>
    <t>1. Chuan bi body dien MT499 dung chuan SWIFT
2. Xoa toan bo 2 field mandatory: :20:, :79:
3. Gui POST request voi transactionType=MT499
4. Verify: HTTP 200, result=ERROR, errorCode=03</t>
  </si>
  <si>
    <t>Headers:
Authorization: Basic a3ljYWRtbjpwYXNzd29yZDM=
Content-Type: application/json
Params:
  transactionId: TF_AML_MT499_MND_02
  requestId:     REQ_AML_MT499_MND_02
  transactionType: MT499
  branchCd: HN
  channel: T24
  isCallBack: N
Body: Dien MT499 theo chuan SWIFT
DA XOA toan bo 2 field mandatory:
:20:, :79:</t>
  </si>
  <si>
    <t>AML_MT499_MND_03</t>
  </si>
  <si>
    <t>MT499 – Thieu field :20: (Transaction Reference Number (mã tham chiếu giao dịch)) → errorCode=03</t>
  </si>
  <si>
    <t>Auth hop le;
Body MT499 KHONG co tag :20:
Format yeu cau: Tối đa 16 ký tự alphanumeric
Cac field mandatory khac day du</t>
  </si>
  <si>
    <t>1. Chuan bi body dien MT499 dung chuan SWIFT
2. XOA tag :20: khoi body dien
   (cac field mandatory khac van giu nguyen)
3. Gui POST request voi transactionType=MT499
4. Verify: HTTP 200, result=ERROR, errorCode=03</t>
  </si>
  <si>
    <t>Headers:
Authorization: Basic a3ljYWRtbjpwYXNzd29yZDM=
Content-Type: application/json
Params:
  transactionId: TF_AML_MT499_MND_03
  requestId:     REQ_AML_MT499_MND_03
  transactionType: MT499
  branchCd: HN
  channel: T24
  isCallBack: N
Body: Dien MT499 dung chuan SWIFT
Field bi THIEU: :20: (Transaction Reference Number (mã tham chiếu giao dịch))
Format yeu cau: Tối đa 16 ký tự alphanumeric
Vi du: Dien MT499 hop le nhung KHONG co tag :20:</t>
  </si>
  <si>
    <t>AML_MT499_MND_04</t>
  </si>
  <si>
    <t>MT499 – Field :20: null/rong (Transaction Reference Number (mã tham chiếu giao dịch)) → errorCode=03</t>
  </si>
  <si>
    <t>Auth hop le;
Body MT499 co tag :20: nhung gia tri null/empty
Format yeu cau: Tối đa 16 ký tự alphanumeric
Cac field mandatory khac hop le</t>
  </si>
  <si>
    <t>1. Chuan bi body dien MT499 dung chuan SWIFT
2. Giu tag :20: nhung de gia tri RONG/NULL
   (cac field mandatory khac van hop le)
3. Gui POST request voi transactionType=MT499
4. Verify: HTTP 200, result=ERROR, errorCode=03</t>
  </si>
  <si>
    <t>Headers:
Authorization: Basic a3ljYWRtbjpwYXNzd29yZDM=
Content-Type: application/json
Params:
  transactionId: TF_AML_MT499_MND_04
  requestId:     REQ_AML_MT499_MND_04
  transactionType: MT499
  branchCd: HN
  channel: T24
  isCallBack: N
Body: Dien MT499 dung chuan SWIFT
Field NULL/RONG: :20: (Transaction Reference Number (mã tham chiếu giao dịch))
Format yeu cau: Tối đa 16 ký tự alphanumeric
Vi du: Tag :20: ton tai nhung gia tri = null/empty
       Vi du: :20: (khong co gia tri sau dau :)</t>
  </si>
  <si>
    <t>AML_MT499_MND_05</t>
  </si>
  <si>
    <t>MT499 – Thieu field :79: (Narrative (nội dung thông báo tự do)) → errorCode=03</t>
  </si>
  <si>
    <t>Auth hop le;
Body MT499 KHONG co tag :79:
Format yeu cau: Tối đa 35 dòng × 50 ký tự
Cac field mandatory khac day du</t>
  </si>
  <si>
    <t>1. Chuan bi body dien MT499 dung chuan SWIFT
2. XOA tag :79: khoi body dien
   (cac field mandatory khac van giu nguyen)
3. Gui POST request voi transactionType=MT499
4. Verify: HTTP 200, result=ERROR, errorCode=03</t>
  </si>
  <si>
    <t>Headers:
Authorization: Basic a3ljYWRtbjpwYXNzd29yZDM=
Content-Type: application/json
Params:
  transactionId: TF_AML_MT499_MND_05
  requestId:     REQ_AML_MT499_MND_05
  transactionType: MT499
  branchCd: HN
  channel: T24
  isCallBack: N
Body: Dien MT499 dung chuan SWIFT
Field bi THIEU: :79: (Narrative (nội dung thông báo tự do))
Format yeu cau: Tối đa 35 dòng × 50 ký tự
Vi du: Dien MT499 hop le nhung KHONG co tag :79:</t>
  </si>
  <si>
    <t>AML_MT499_MND_06</t>
  </si>
  <si>
    <t>MT499 – Field :79: null/rong (Narrative (nội dung thông báo tự do)) → errorCode=03</t>
  </si>
  <si>
    <t>Auth hop le;
Body MT499 co tag :79: nhung gia tri null/empty
Format yeu cau: Tối đa 35 dòng × 50 ký tự
Cac field mandatory khac hop le</t>
  </si>
  <si>
    <t>1. Chuan bi body dien MT499 dung chuan SWIFT
2. Giu tag :79: nhung de gia tri RONG/NULL
   (cac field mandatory khac van hop le)
3. Gui POST request voi transactionType=MT499
4. Verify: HTTP 200, result=ERROR, errorCode=03</t>
  </si>
  <si>
    <t>Headers:
Authorization: Basic a3ljYWRtbjpwYXNzd29yZDM=
Content-Type: application/json
Params:
  transactionId: TF_AML_MT499_MND_06
  requestId:     REQ_AML_MT499_MND_06
  transactionType: MT499
  branchCd: HN
  channel: T24
  isCallBack: N
Body: Dien MT499 dung chuan SWIFT
Field NULL/RONG: :79: (Narrative (nội dung thông báo tự do))
Format yeu cau: Tối đa 35 dòng × 50 ký tự
Vi du: Tag :79: ton tai nhung gia tri = null/empty
       Vi du: :79: (khong co gia tri sau dau :)</t>
  </si>
  <si>
    <t xml:space="preserve">    AML_MT700_MND  Kiem tra field mandatory cho dien MT700 (12 field: :20:, :27:, :31C:, :31D:, :32B:, :40A:, :40E:, :41A:, :41D:, :49:, :50:, :59:)</t>
  </si>
  <si>
    <t>MT700 – Gui dien hop le day du 12 field mandatory (baseline)</t>
  </si>
  <si>
    <t>Auth hop le;
Body dien MT700 co du 12 field mandatory:
:20:, :27:, :31C:, :31D:, :32B:, :40A:, :40E:, :41A:, :41D:, :49:, :50:, :59:</t>
  </si>
  <si>
    <t>1. Chuan bi body dien MT700 day du chuan SWIFT
   Co du tat ca 12 field mandatory:
   :20:
   :27:
   :31C:
   :31D:
   :32B:
   :40A:
   :40E:
   :41A:
   :41D:
   :49:
   :50:
   :59:
2. Gui POST request voi transactionType=MT700
3. Verify: HTTP 200, errorCode=00
4. Day la baseline – dung de so sanh voi cac TC loi</t>
  </si>
  <si>
    <t>Headers:
Authorization: Basic a3ljYWRtbjpwYXNzd29yZDM=
Content-Type: application/json
Params:
  transactionId: TF_AML_MT700_MND_01
  requestId:     REQ_AML_MT700_MND_01
  transactionType: MT700
  branchCd: HN
  channel: T24
  isCallBack: N
Body: Dien MT700 theo chuan SWIFT
Co du 12 field mandatory:
:20:, :27:, :31C:, :31D:, :32B:, :40A:, :40E:, :41A:, :41D:, :49:, :50:, :59:</t>
  </si>
  <si>
    <t>MT700 – Thieu tat ca 12 field mandatory → errorCode=03</t>
  </si>
  <si>
    <t>Auth hop le;
Body dien MT700 bi xoa toan bo field mandatory</t>
  </si>
  <si>
    <t>1. Chuan bi body dien MT700 dung chuan SWIFT
2. Xoa toan bo 12 field mandatory: :20:, :27:, :31C:, :31D:, :32B:, :40A:, :40E:, :41A:, :41D:, :49:, :50:, :59:
3. Gui POST request voi transactionType=MT700
4. Verify: HTTP 200, result=ERROR, errorCode=03</t>
  </si>
  <si>
    <t>Headers:
Authorization: Basic a3ljYWRtbjpwYXNzd29yZDM=
Content-Type: application/json
Params:
  transactionId: TF_AML_MT700_MND_02
  requestId:     REQ_AML_MT700_MND_02
  transactionType: MT700
  branchCd: HN
  channel: T24
  isCallBack: N
Body: Dien MT700 theo chuan SWIFT
DA XOA toan bo 12 field mandatory:
:20:, :27:, :31C:, :31D:, :32B:, :40A:, :40E:, :41A:, :41D:, :49:, :50:, :59:</t>
  </si>
  <si>
    <t>MT700 – Thieu field :20: (Transaction Reference Number (mã tham chiếu giao dịch)) → errorCode=03</t>
  </si>
  <si>
    <t>Auth hop le;
Body MT700 KHONG co tag :20:
Format yeu cau: Tối đa 16 ký tự alphanumeric
Cac field mandatory khac day du</t>
  </si>
  <si>
    <t>1. Chuan bi body dien MT700 dung chuan SWIFT
2. XOA tag :20: khoi body dien
   (cac field mandatory khac van giu nguyen)
3. Gui POST request voi transactionType=MT700
4. Verify: HTTP 200, result=ERROR, errorCode=03</t>
  </si>
  <si>
    <t>Headers:
Authorization: Basic a3ljYWRtbjpwYXNzd29yZDM=
Content-Type: application/json
Params:
  transactionId: TF_AML_MT700_MND_03
  requestId:     REQ_AML_MT700_MND_03
  transactionType: MT700
  branchCd: HN
  channel: T24
  isCallBack: N
Body: Dien MT700 dung chuan SWIFT
Field bi THIEU: :20: (Transaction Reference Number (mã tham chiếu giao dịch))
Format yeu cau: Tối đa 16 ký tự alphanumeric
Vi du: Dien MT700 hop le nhung KHONG co tag :20:</t>
  </si>
  <si>
    <t>MT700 – Field :20: null/rong (Transaction Reference Number (mã tham chiếu giao dịch)) → errorCode=03</t>
  </si>
  <si>
    <t>Auth hop le;
Body MT700 co tag :20: nhung gia tri null/empty
Format yeu cau: Tối đa 16 ký tự alphanumeric
Cac field mandatory khac hop le</t>
  </si>
  <si>
    <t>1. Chuan bi body dien MT700 dung chuan SWIFT
2. Giu tag :20: nhung de gia tri RONG/NULL
   (cac field mandatory khac van hop le)
3. Gui POST request voi transactionType=MT700
4. Verify: HTTP 200, result=ERROR, errorCode=03</t>
  </si>
  <si>
    <t>Headers:
Authorization: Basic a3ljYWRtbjpwYXNzd29yZDM=
Content-Type: application/json
Params:
  transactionId: TF_AML_MT700_MND_04
  requestId:     REQ_AML_MT700_MND_04
  transactionType: MT700
  branchCd: HN
  channel: T24
  isCallBack: N
Body: Dien MT700 dung chuan SWIFT
Field NULL/RONG: :20: (Transaction Reference Number (mã tham chiếu giao dịch))
Format yeu cau: Tối đa 16 ký tự alphanumeric
Vi du: Tag :20: ton tai nhung gia tri = null/empty
       Vi du: :20: (khong co gia tri sau dau :)</t>
  </si>
  <si>
    <t>MT700 – Thieu field :27: (Sequence of Total (thứ tự / tổng số điện)) → errorCode=03</t>
  </si>
  <si>
    <t>Auth hop le;
Body MT700 KHONG co tag :27:
Format yeu cau: Định dạng số/số (ví dụ: 1/1)
Cac field mandatory khac day du</t>
  </si>
  <si>
    <t>1. Chuan bi body dien MT700 dung chuan SWIFT
2. XOA tag :27: khoi body dien
   (cac field mandatory khac van giu nguyen)
3. Gui POST request voi transactionType=MT700
4. Verify: HTTP 200, result=ERROR, errorCode=03</t>
  </si>
  <si>
    <t>Headers:
Authorization: Basic a3ljYWRtbjpwYXNzd29yZDM=
Content-Type: application/json
Params:
  transactionId: TF_AML_MT700_MND_05
  requestId:     REQ_AML_MT700_MND_05
  transactionType: MT700
  branchCd: HN
  channel: T24
  isCallBack: N
Body: Dien MT700 dung chuan SWIFT
Field bi THIEU: :27: (Sequence of Total (thứ tự / tổng số điện))
Format yeu cau: Định dạng số/số (ví dụ: 1/1)
Vi du: Dien MT700 hop le nhung KHONG co tag :27:</t>
  </si>
  <si>
    <t>MT700 – Field :27: null/rong (Sequence of Total (thứ tự / tổng số điện)) → errorCode=03</t>
  </si>
  <si>
    <t>Auth hop le;
Body MT700 co tag :27: nhung gia tri null/empty
Format yeu cau: Định dạng số/số (ví dụ: 1/1)
Cac field mandatory khac hop le</t>
  </si>
  <si>
    <t>1. Chuan bi body dien MT700 dung chuan SWIFT
2. Giu tag :27: nhung de gia tri RONG/NULL
   (cac field mandatory khac van hop le)
3. Gui POST request voi transactionType=MT700
4. Verify: HTTP 200, result=ERROR, errorCode=03</t>
  </si>
  <si>
    <t>Headers:
Authorization: Basic a3ljYWRtbjpwYXNzd29yZDM=
Content-Type: application/json
Params:
  transactionId: TF_AML_MT700_MND_06
  requestId:     REQ_AML_MT700_MND_06
  transactionType: MT700
  branchCd: HN
  channel: T24
  isCallBack: N
Body: Dien MT700 dung chuan SWIFT
Field NULL/RONG: :27: (Sequence of Total (thứ tự / tổng số điện))
Format yeu cau: Định dạng số/số (ví dụ: 1/1)
Vi du: Tag :27: ton tai nhung gia tri = null/empty
       Vi du: :27: (khong co gia tri sau dau :)</t>
  </si>
  <si>
    <t>MT700 – Thieu field :31C: (Date of Issue (ngày phát hành)) → errorCode=03</t>
  </si>
  <si>
    <t>Auth hop le;
Body MT700 KHONG co tag :31C:
Format yeu cau: 6 chữ số – định dạng ngày YYMMDD
Cac field mandatory khac day du</t>
  </si>
  <si>
    <t>1. Chuan bi body dien MT700 dung chuan SWIFT
2. XOA tag :31C: khoi body dien
   (cac field mandatory khac van giu nguyen)
3. Gui POST request voi transactionType=MT700
4. Verify: HTTP 200, result=ERROR, errorCode=03</t>
  </si>
  <si>
    <t>Headers:
Authorization: Basic a3ljYWRtbjpwYXNzd29yZDM=
Content-Type: application/json
Params:
  transactionId: TF_AML_MT700_MND_07
  requestId:     REQ_AML_MT700_MND_07
  transactionType: MT700
  branchCd: HN
  channel: T24
  isCallBack: N
Body: Dien MT700 dung chuan SWIFT
Field bi THIEU: :31C: (Date of Issue (ngày phát hành))
Format yeu cau: 6 chữ số – định dạng ngày YYMMDD
Vi du: Dien MT700 hop le nhung KHONG co tag :31C:</t>
  </si>
  <si>
    <t>MT700 – Field :31C: null/rong (Date of Issue (ngày phát hành)) → errorCode=03</t>
  </si>
  <si>
    <t>Auth hop le;
Body MT700 co tag :31C: nhung gia tri null/empty
Format yeu cau: 6 chữ số – định dạng ngày YYMMDD
Cac field mandatory khac hop le</t>
  </si>
  <si>
    <t>1. Chuan bi body dien MT700 dung chuan SWIFT
2. Giu tag :31C: nhung de gia tri RONG/NULL
   (cac field mandatory khac van hop le)
3. Gui POST request voi transactionType=MT700
4. Verify: HTTP 200, result=ERROR, errorCode=03</t>
  </si>
  <si>
    <t>Headers:
Authorization: Basic a3ljYWRtbjpwYXNzd29yZDM=
Content-Type: application/json
Params:
  transactionId: TF_AML_MT700_MND_08
  requestId:     REQ_AML_MT700_MND_08
  transactionType: MT700
  branchCd: HN
  channel: T24
  isCallBack: N
Body: Dien MT700 dung chuan SWIFT
Field NULL/RONG: :31C: (Date of Issue (ngày phát hành))
Format yeu cau: 6 chữ số – định dạng ngày YYMMDD
Vi du: Tag :31C: ton tai nhung gia tri = null/empty
       Vi du: :31C: (khong co gia tri sau dau :)</t>
  </si>
  <si>
    <t>MT700 – Thieu field :31D: (Date and Place of Expiry (ngày và nơi hết hạn)) → errorCode=03</t>
  </si>
  <si>
    <t>Auth hop le;
Body MT700 KHONG co tag :31D:
Format yeu cau: 6 chữ số ngày + tối đa 29 ký tự địa điểm
Cac field mandatory khac day du</t>
  </si>
  <si>
    <t>1. Chuan bi body dien MT700 dung chuan SWIFT
2. XOA tag :31D: khoi body dien
   (cac field mandatory khac van giu nguyen)
3. Gui POST request voi transactionType=MT700
4. Verify: HTTP 200, result=ERROR, errorCode=03</t>
  </si>
  <si>
    <t>Headers:
Authorization: Basic a3ljYWRtbjpwYXNzd29yZDM=
Content-Type: application/json
Params:
  transactionId: TF_AML_MT700_MND_09
  requestId:     REQ_AML_MT700_MND_09
  transactionType: MT700
  branchCd: HN
  channel: T24
  isCallBack: N
Body: Dien MT700 dung chuan SWIFT
Field bi THIEU: :31D: (Date and Place of Expiry (ngày và nơi hết hạn))
Format yeu cau: 6 chữ số ngày + tối đa 29 ký tự địa điểm
Vi du: Dien MT700 hop le nhung KHONG co tag :31D:</t>
  </si>
  <si>
    <t>MT700 – Field :31D: null/rong (Date and Place of Expiry (ngày và nơi hết hạn)) → errorCode=03</t>
  </si>
  <si>
    <t>Auth hop le;
Body MT700 co tag :31D: nhung gia tri null/empty
Format yeu cau: 6 chữ số ngày + tối đa 29 ký tự địa điểm
Cac field mandatory khac hop le</t>
  </si>
  <si>
    <t>1. Chuan bi body dien MT700 dung chuan SWIFT
2. Giu tag :31D: nhung de gia tri RONG/NULL
   (cac field mandatory khac van hop le)
3. Gui POST request voi transactionType=MT700
4. Verify: HTTP 200, result=ERROR, errorCode=03</t>
  </si>
  <si>
    <t>Headers:
Authorization: Basic a3ljYWRtbjpwYXNzd29yZDM=
Content-Type: application/json
Params:
  transactionId: TF_AML_MT700_MND_10
  requestId:     REQ_AML_MT700_MND_10
  transactionType: MT700
  branchCd: HN
  channel: T24
  isCallBack: N
Body: Dien MT700 dung chuan SWIFT
Field NULL/RONG: :31D: (Date and Place of Expiry (ngày và nơi hết hạn))
Format yeu cau: 6 chữ số ngày + tối đa 29 ký tự địa điểm
Vi du: Tag :31D: ton tai nhung gia tri = null/empty
       Vi du: :31D: (khong co gia tri sau dau :)</t>
  </si>
  <si>
    <t>MT700 – Thieu field :32B: (Currency Code, Amount (mã tiền tệ và số tiền)) → errorCode=03</t>
  </si>
  <si>
    <t>Auth hop le;
Body MT700 KHONG co tag :32B:
Format yeu cau: 3 ký tự mã tiền tệ ISO + tối đa 15 chữ số
Cac field mandatory khac day du</t>
  </si>
  <si>
    <t>1. Chuan bi body dien MT700 dung chuan SWIFT
2. XOA tag :32B: khoi body dien
   (cac field mandatory khac van giu nguyen)
3. Gui POST request voi transactionType=MT700
4. Verify: HTTP 200, result=ERROR, errorCode=03</t>
  </si>
  <si>
    <t>Headers:
Authorization: Basic a3ljYWRtbjpwYXNzd29yZDM=
Content-Type: application/json
Params:
  transactionId: TF_AML_MT700_MND_11
  requestId:     REQ_AML_MT700_MND_11
  transactionType: MT700
  branchCd: HN
  channel: T24
  isCallBack: N
Body: Dien MT700 dung chuan SWIFT
Field bi THIEU: :32B: (Currency Code, Amount (mã tiền tệ và số tiền))
Format yeu cau: 3 ký tự mã tiền tệ ISO + tối đa 15 chữ số
Vi du: Dien MT700 hop le nhung KHONG co tag :32B:</t>
  </si>
  <si>
    <t>MT700 – Field :32B: null/rong (Currency Code, Amount (mã tiền tệ và số tiền)) → errorCode=03</t>
  </si>
  <si>
    <t>Auth hop le;
Body MT700 co tag :32B: nhung gia tri null/empty
Format yeu cau: 3 ký tự mã tiền tệ ISO + tối đa 15 chữ số
Cac field mandatory khac hop le</t>
  </si>
  <si>
    <t>1. Chuan bi body dien MT700 dung chuan SWIFT
2. Giu tag :32B: nhung de gia tri RONG/NULL
   (cac field mandatory khac van hop le)
3. Gui POST request voi transactionType=MT700
4. Verify: HTTP 200, result=ERROR, errorCode=03</t>
  </si>
  <si>
    <t>Headers:
Authorization: Basic a3ljYWRtbjpwYXNzd29yZDM=
Content-Type: application/json
Params:
  transactionId: TF_AML_MT700_MND_12
  requestId:     REQ_AML_MT700_MND_12
  transactionType: MT700
  branchCd: HN
  channel: T24
  isCallBack: N
Body: Dien MT700 dung chuan SWIFT
Field NULL/RONG: :32B: (Currency Code, Amount (mã tiền tệ và số tiền))
Format yeu cau: 3 ký tự mã tiền tệ ISO + tối đa 15 chữ số
Vi du: Tag :32B: ton tai nhung gia tri = null/empty
       Vi du: :32B: (khong co gia tri sau dau :)</t>
  </si>
  <si>
    <t>AML_MT700_MND_13</t>
  </si>
  <si>
    <t>MT700 – Thieu field :40A: (Form of Documentary Credit (hình thức tín dụng chứng từ)) → errorCode=03</t>
  </si>
  <si>
    <t>Auth hop le;
Body MT700 KHONG co tag :40A:
Format yeu cau: Tối đa 24 ký tự
Cac field mandatory khac day du</t>
  </si>
  <si>
    <t>1. Chuan bi body dien MT700 dung chuan SWIFT
2. XOA tag :40A: khoi body dien
   (cac field mandatory khac van giu nguyen)
3. Gui POST request voi transactionType=MT700
4. Verify: HTTP 200, result=ERROR, errorCode=03</t>
  </si>
  <si>
    <t>Headers:
Authorization: Basic a3ljYWRtbjpwYXNzd29yZDM=
Content-Type: application/json
Params:
  transactionId: TF_AML_MT700_MND_13
  requestId:     REQ_AML_MT700_MND_13
  transactionType: MT700
  branchCd: HN
  channel: T24
  isCallBack: N
Body: Dien MT700 dung chuan SWIFT
Field bi THIEU: :40A: (Form of Documentary Credit (hình thức tín dụng chứng từ))
Format yeu cau: Tối đa 24 ký tự
Vi du: Dien MT700 hop le nhung KHONG co tag :40A:</t>
  </si>
  <si>
    <t>AML_MT700_MND_14</t>
  </si>
  <si>
    <t>MT700 – Field :40A: null/rong (Form of Documentary Credit (hình thức tín dụng chứng từ)) → errorCode=03</t>
  </si>
  <si>
    <t>Auth hop le;
Body MT700 co tag :40A: nhung gia tri null/empty
Format yeu cau: Tối đa 24 ký tự
Cac field mandatory khac hop le</t>
  </si>
  <si>
    <t>1. Chuan bi body dien MT700 dung chuan SWIFT
2. Giu tag :40A: nhung de gia tri RONG/NULL
   (cac field mandatory khac van hop le)
3. Gui POST request voi transactionType=MT700
4. Verify: HTTP 200, result=ERROR, errorCode=03</t>
  </si>
  <si>
    <t>Headers:
Authorization: Basic a3ljYWRtbjpwYXNzd29yZDM=
Content-Type: application/json
Params:
  transactionId: TF_AML_MT700_MND_14
  requestId:     REQ_AML_MT700_MND_14
  transactionType: MT700
  branchCd: HN
  channel: T24
  isCallBack: N
Body: Dien MT700 dung chuan SWIFT
Field NULL/RONG: :40A: (Form of Documentary Credit (hình thức tín dụng chứng từ))
Format yeu cau: Tối đa 24 ký tự
Vi du: Tag :40A: ton tai nhung gia tri = null/empty
       Vi du: :40A: (khong co gia tri sau dau :)</t>
  </si>
  <si>
    <t>AML_MT700_MND_15</t>
  </si>
  <si>
    <t>MT700 – Thieu field :40E: (Applicable Rules (quy tắc áp dụng)) → errorCode=03</t>
  </si>
  <si>
    <t>Auth hop le;
Body MT700 KHONG co tag :40E:
Format yeu cau: Tối đa 30 ký tự [/35 ký tự tùy chọn]
Cac field mandatory khac day du</t>
  </si>
  <si>
    <t>1. Chuan bi body dien MT700 dung chuan SWIFT
2. XOA tag :40E: khoi body dien
   (cac field mandatory khac van giu nguyen)
3. Gui POST request voi transactionType=MT700
4. Verify: HTTP 200, result=ERROR, errorCode=03</t>
  </si>
  <si>
    <t>Headers:
Authorization: Basic a3ljYWRtbjpwYXNzd29yZDM=
Content-Type: application/json
Params:
  transactionId: TF_AML_MT700_MND_15
  requestId:     REQ_AML_MT700_MND_15
  transactionType: MT700
  branchCd: HN
  channel: T24
  isCallBack: N
Body: Dien MT700 dung chuan SWIFT
Field bi THIEU: :40E: (Applicable Rules (quy tắc áp dụng))
Format yeu cau: Tối đa 30 ký tự [/35 ký tự tùy chọn]
Vi du: Dien MT700 hop le nhung KHONG co tag :40E:</t>
  </si>
  <si>
    <t>AML_MT700_MND_16</t>
  </si>
  <si>
    <t>MT700 – Field :40E: null/rong (Applicable Rules (quy tắc áp dụng)) → errorCode=03</t>
  </si>
  <si>
    <t>Auth hop le;
Body MT700 co tag :40E: nhung gia tri null/empty
Format yeu cau: Tối đa 30 ký tự [/35 ký tự tùy chọn]
Cac field mandatory khac hop le</t>
  </si>
  <si>
    <t>1. Chuan bi body dien MT700 dung chuan SWIFT
2. Giu tag :40E: nhung de gia tri RONG/NULL
   (cac field mandatory khac van hop le)
3. Gui POST request voi transactionType=MT700
4. Verify: HTTP 200, result=ERROR, errorCode=03</t>
  </si>
  <si>
    <t>Headers:
Authorization: Basic a3ljYWRtbjpwYXNzd29yZDM=
Content-Type: application/json
Params:
  transactionId: TF_AML_MT700_MND_16
  requestId:     REQ_AML_MT700_MND_16
  transactionType: MT700
  branchCd: HN
  channel: T24
  isCallBack: N
Body: Dien MT700 dung chuan SWIFT
Field NULL/RONG: :40E: (Applicable Rules (quy tắc áp dụng))
Format yeu cau: Tối đa 30 ký tự [/35 ký tự tùy chọn]
Vi du: Tag :40E: ton tai nhung gia tri = null/empty
       Vi du: :40E: (khong co gia tri sau dau :)</t>
  </si>
  <si>
    <t>AML_MT700_MND_17</t>
  </si>
  <si>
    <t>MT700 – Thieu field :41A: (Available With... By... (ngân hàng &amp; phương thức thanh toán - loại A)) → errorCode=03</t>
  </si>
  <si>
    <t>Auth hop le;
Body MT700 KHONG co tag :41A:
Format yeu cau: Xem SWIFT standard (format phụ thuộc subfield)
Cac field mandatory khac day du</t>
  </si>
  <si>
    <t>1. Chuan bi body dien MT700 dung chuan SWIFT
2. XOA tag :41A: khoi body dien
   (cac field mandatory khac van giu nguyen)
3. Gui POST request voi transactionType=MT700
4. Verify: HTTP 200, result=ERROR, errorCode=03</t>
  </si>
  <si>
    <t>Headers:
Authorization: Basic a3ljYWRtbjpwYXNzd29yZDM=
Content-Type: application/json
Params:
  transactionId: TF_AML_MT700_MND_17
  requestId:     REQ_AML_MT700_MND_17
  transactionType: MT700
  branchCd: HN
  channel: T24
  isCallBack: N
Body: Dien MT700 dung chuan SWIFT
Field bi THIEU: :41A: (Available With... By... (ngân hàng &amp; phương thức thanh toán - loại A))
Format yeu cau: Xem SWIFT standard (format phụ thuộc subfield)
Vi du: Dien MT700 hop le nhung KHONG co tag :41A:</t>
  </si>
  <si>
    <t>AML_MT700_MND_18</t>
  </si>
  <si>
    <t>MT700 – Field :41A: null/rong (Available With... By... (ngân hàng &amp; phương thức thanh toán - loại A)) → errorCode=03</t>
  </si>
  <si>
    <t>Auth hop le;
Body MT700 co tag :41A: nhung gia tri null/empty
Format yeu cau: Xem SWIFT standard (format phụ thuộc subfield)
Cac field mandatory khac hop le</t>
  </si>
  <si>
    <t>1. Chuan bi body dien MT700 dung chuan SWIFT
2. Giu tag :41A: nhung de gia tri RONG/NULL
   (cac field mandatory khac van hop le)
3. Gui POST request voi transactionType=MT700
4. Verify: HTTP 200, result=ERROR, errorCode=03</t>
  </si>
  <si>
    <t>Headers:
Authorization: Basic a3ljYWRtbjpwYXNzd29yZDM=
Content-Type: application/json
Params:
  transactionId: TF_AML_MT700_MND_18
  requestId:     REQ_AML_MT700_MND_18
  transactionType: MT700
  branchCd: HN
  channel: T24
  isCallBack: N
Body: Dien MT700 dung chuan SWIFT
Field NULL/RONG: :41A: (Available With... By... (ngân hàng &amp; phương thức thanh toán - loại A))
Format yeu cau: Xem SWIFT standard (format phụ thuộc subfield)
Vi du: Tag :41A: ton tai nhung gia tri = null/empty
       Vi du: :41A: (khong co gia tri sau dau :)</t>
  </si>
  <si>
    <t>AML_MT700_MND_19</t>
  </si>
  <si>
    <t>MT700 – Thieu field :41D: (Available With... By... (ngân hàng &amp; phương thức thanh toán - loại D)) → errorCode=03</t>
  </si>
  <si>
    <t>Auth hop le;
Body MT700 KHONG co tag :41D:
Format yeu cau: Xem SWIFT standard (format phụ thuộc subfield)
Cac field mandatory khac day du</t>
  </si>
  <si>
    <t>1. Chuan bi body dien MT700 dung chuan SWIFT
2. XOA tag :41D: khoi body dien
   (cac field mandatory khac van giu nguyen)
3. Gui POST request voi transactionType=MT700
4. Verify: HTTP 200, result=ERROR, errorCode=03</t>
  </si>
  <si>
    <t>Headers:
Authorization: Basic a3ljYWRtbjpwYXNzd29yZDM=
Content-Type: application/json
Params:
  transactionId: TF_AML_MT700_MND_19
  requestId:     REQ_AML_MT700_MND_19
  transactionType: MT700
  branchCd: HN
  channel: T24
  isCallBack: N
Body: Dien MT700 dung chuan SWIFT
Field bi THIEU: :41D: (Available With... By... (ngân hàng &amp; phương thức thanh toán - loại D))
Format yeu cau: Xem SWIFT standard (format phụ thuộc subfield)
Vi du: Dien MT700 hop le nhung KHONG co tag :41D:</t>
  </si>
  <si>
    <t>AML_MT700_MND_20</t>
  </si>
  <si>
    <t>MT700 – Field :41D: null/rong (Available With... By... (ngân hàng &amp; phương thức thanh toán - loại D)) → errorCode=03</t>
  </si>
  <si>
    <t>Auth hop le;
Body MT700 co tag :41D: nhung gia tri null/empty
Format yeu cau: Xem SWIFT standard (format phụ thuộc subfield)
Cac field mandatory khac hop le</t>
  </si>
  <si>
    <t>1. Chuan bi body dien MT700 dung chuan SWIFT
2. Giu tag :41D: nhung de gia tri RONG/NULL
   (cac field mandatory khac van hop le)
3. Gui POST request voi transactionType=MT700
4. Verify: HTTP 200, result=ERROR, errorCode=03</t>
  </si>
  <si>
    <t>Headers:
Authorization: Basic a3ljYWRtbjpwYXNzd29yZDM=
Content-Type: application/json
Params:
  transactionId: TF_AML_MT700_MND_20
  requestId:     REQ_AML_MT700_MND_20
  transactionType: MT700
  branchCd: HN
  channel: T24
  isCallBack: N
Body: Dien MT700 dung chuan SWIFT
Field NULL/RONG: :41D: (Available With... By... (ngân hàng &amp; phương thức thanh toán - loại D))
Format yeu cau: Xem SWIFT standard (format phụ thuộc subfield)
Vi du: Tag :41D: ton tai nhung gia tri = null/empty
       Vi du: :41D: (khong co gia tri sau dau :)</t>
  </si>
  <si>
    <t>AML_MT700_MND_21</t>
  </si>
  <si>
    <t>MT700 – Thieu field :49: (Confirmation Instructions (hướng dẫn xác nhận)) → errorCode=03</t>
  </si>
  <si>
    <t>Auth hop le;
Body MT700 KHONG co tag :49:
Format yeu cau: Đúng 7 ký tự
Cac field mandatory khac day du</t>
  </si>
  <si>
    <t>1. Chuan bi body dien MT700 dung chuan SWIFT
2. XOA tag :49: khoi body dien
   (cac field mandatory khac van giu nguyen)
3. Gui POST request voi transactionType=MT700
4. Verify: HTTP 200, result=ERROR, errorCode=03</t>
  </si>
  <si>
    <t>Headers:
Authorization: Basic a3ljYWRtbjpwYXNzd29yZDM=
Content-Type: application/json
Params:
  transactionId: TF_AML_MT700_MND_21
  requestId:     REQ_AML_MT700_MND_21
  transactionType: MT700
  branchCd: HN
  channel: T24
  isCallBack: N
Body: Dien MT700 dung chuan SWIFT
Field bi THIEU: :49: (Confirmation Instructions (hướng dẫn xác nhận))
Format yeu cau: Đúng 7 ký tự
Vi du: Dien MT700 hop le nhung KHONG co tag :49:</t>
  </si>
  <si>
    <t>AML_MT700_MND_22</t>
  </si>
  <si>
    <t>MT700 – Field :49: null/rong (Confirmation Instructions (hướng dẫn xác nhận)) → errorCode=03</t>
  </si>
  <si>
    <t>Auth hop le;
Body MT700 co tag :49: nhung gia tri null/empty
Format yeu cau: Đúng 7 ký tự
Cac field mandatory khac hop le</t>
  </si>
  <si>
    <t>1. Chuan bi body dien MT700 dung chuan SWIFT
2. Giu tag :49: nhung de gia tri RONG/NULL
   (cac field mandatory khac van hop le)
3. Gui POST request voi transactionType=MT700
4. Verify: HTTP 200, result=ERROR, errorCode=03</t>
  </si>
  <si>
    <t>Headers:
Authorization: Basic a3ljYWRtbjpwYXNzd29yZDM=
Content-Type: application/json
Params:
  transactionId: TF_AML_MT700_MND_22
  requestId:     REQ_AML_MT700_MND_22
  transactionType: MT700
  branchCd: HN
  channel: T24
  isCallBack: N
Body: Dien MT700 dung chuan SWIFT
Field NULL/RONG: :49: (Confirmation Instructions (hướng dẫn xác nhận))
Format yeu cau: Đúng 7 ký tự
Vi du: Tag :49: ton tai nhung gia tri = null/empty
       Vi du: :49: (khong co gia tri sau dau :)</t>
  </si>
  <si>
    <t>AML_MT700_MND_23</t>
  </si>
  <si>
    <t>MT700 – Thieu field :50: (Applicant (người yêu cầu mở L/C / người đề nghị)) → errorCode=03</t>
  </si>
  <si>
    <t>Auth hop le;
Body MT700 KHONG co tag :50:
Format yeu cau: Tối đa 4 dòng × 35 ký tự
Cac field mandatory khac day du</t>
  </si>
  <si>
    <t>1. Chuan bi body dien MT700 dung chuan SWIFT
2. XOA tag :50: khoi body dien
   (cac field mandatory khac van giu nguyen)
3. Gui POST request voi transactionType=MT700
4. Verify: HTTP 200, result=ERROR, errorCode=03</t>
  </si>
  <si>
    <t>Headers:
Authorization: Basic a3ljYWRtbjpwYXNzd29yZDM=
Content-Type: application/json
Params:
  transactionId: TF_AML_MT700_MND_23
  requestId:     REQ_AML_MT700_MND_23
  transactionType: MT700
  branchCd: HN
  channel: T24
  isCallBack: N
Body: Dien MT700 dung chuan SWIFT
Field bi THIEU: :50: (Applicant (người yêu cầu mở L/C / người đề nghị))
Format yeu cau: Tối đa 4 dòng × 35 ký tự
Vi du: Dien MT700 hop le nhung KHONG co tag :50:</t>
  </si>
  <si>
    <t>AML_MT700_MND_24</t>
  </si>
  <si>
    <t>MT700 – Field :50: null/rong (Applicant (người yêu cầu mở L/C / người đề nghị)) → errorCode=03</t>
  </si>
  <si>
    <t>Auth hop le;
Body MT700 co tag :50: nhung gia tri null/empty
Format yeu cau: Tối đa 4 dòng × 35 ký tự
Cac field mandatory khac hop le</t>
  </si>
  <si>
    <t>1. Chuan bi body dien MT700 dung chuan SWIFT
2. Giu tag :50: nhung de gia tri RONG/NULL
   (cac field mandatory khac van hop le)
3. Gui POST request voi transactionType=MT700
4. Verify: HTTP 200, result=ERROR, errorCode=03</t>
  </si>
  <si>
    <t>Headers:
Authorization: Basic a3ljYWRtbjpwYXNzd29yZDM=
Content-Type: application/json
Params:
  transactionId: TF_AML_MT700_MND_24
  requestId:     REQ_AML_MT700_MND_24
  transactionType: MT700
  branchCd: HN
  channel: T24
  isCallBack: N
Body: Dien MT700 dung chuan SWIFT
Field NULL/RONG: :50: (Applicant (người yêu cầu mở L/C / người đề nghị))
Format yeu cau: Tối đa 4 dòng × 35 ký tự
Vi du: Tag :50: ton tai nhung gia tri = null/empty
       Vi du: :50: (khong co gia tri sau dau :)</t>
  </si>
  <si>
    <t>AML_MT700_MND_25</t>
  </si>
  <si>
    <t>MT700 – Thieu field :59: (Beneficiary (người thụ hưởng)) → errorCode=03</t>
  </si>
  <si>
    <t>Auth hop le;
Body MT700 KHONG co tag :59:
Format yeu cau: Xem SWIFT standard (format phụ thuộc subfield)
Cac field mandatory khac day du</t>
  </si>
  <si>
    <t>1. Chuan bi body dien MT700 dung chuan SWIFT
2. XOA tag :59: khoi body dien
   (cac field mandatory khac van giu nguyen)
3. Gui POST request voi transactionType=MT700
4. Verify: HTTP 200, result=ERROR, errorCode=03</t>
  </si>
  <si>
    <t>Headers:
Authorization: Basic a3ljYWRtbjpwYXNzd29yZDM=
Content-Type: application/json
Params:
  transactionId: TF_AML_MT700_MND_25
  requestId:     REQ_AML_MT700_MND_25
  transactionType: MT700
  branchCd: HN
  channel: T24
  isCallBack: N
Body: Dien MT700 dung chuan SWIFT
Field bi THIEU: :59: (Beneficiary (người thụ hưởng))
Format yeu cau: Xem SWIFT standard (format phụ thuộc subfield)
Vi du: Dien MT700 hop le nhung KHONG co tag :59:</t>
  </si>
  <si>
    <t>AML_MT700_MND_26</t>
  </si>
  <si>
    <t>MT700 – Field :59: null/rong (Beneficiary (người thụ hưởng)) → errorCode=03</t>
  </si>
  <si>
    <t>Auth hop le;
Body MT700 co tag :59: nhung gia tri null/empty
Format yeu cau: Xem SWIFT standard (format phụ thuộc subfield)
Cac field mandatory khac hop le</t>
  </si>
  <si>
    <t>1. Chuan bi body dien MT700 dung chuan SWIFT
2. Giu tag :59: nhung de gia tri RONG/NULL
   (cac field mandatory khac van hop le)
3. Gui POST request voi transactionType=MT700
4. Verify: HTTP 200, result=ERROR, errorCode=03</t>
  </si>
  <si>
    <t>Headers:
Authorization: Basic a3ljYWRtbjpwYXNzd29yZDM=
Content-Type: application/json
Params:
  transactionId: TF_AML_MT700_MND_26
  requestId:     REQ_AML_MT700_MND_26
  transactionType: MT700
  branchCd: HN
  channel: T24
  isCallBack: N
Body: Dien MT700 dung chuan SWIFT
Field NULL/RONG: :59: (Beneficiary (người thụ hưởng))
Format yeu cau: Xem SWIFT standard (format phụ thuộc subfield)
Vi du: Tag :59: ton tai nhung gia tri = null/empty
       Vi du: :59: (khong co gia tri sau dau :)</t>
  </si>
  <si>
    <t xml:space="preserve">    AML_MT701_MND  Kiem tra field mandatory cho dien MT701 (2 field: :20:, :27:)</t>
  </si>
  <si>
    <t>MT701 – Gui dien hop le day du 2 field mandatory (baseline)</t>
  </si>
  <si>
    <t>Auth hop le;
Body dien MT701 co du 2 field mandatory:
:20:, :27:</t>
  </si>
  <si>
    <t>1. Chuan bi body dien MT701 day du chuan SWIFT
   Co du tat ca 2 field mandatory:
   :20:
   :27:
2. Gui POST request voi transactionType=MT701
3. Verify: HTTP 200, errorCode=00
4. Day la baseline – dung de so sanh voi cac TC loi</t>
  </si>
  <si>
    <t>Headers:
Authorization: Basic a3ljYWRtbjpwYXNzd29yZDM=
Content-Type: application/json
Params:
  transactionId: TF_AML_MT701_MND_01
  requestId:     REQ_AML_MT701_MND_01
  transactionType: MT701
  branchCd: HN
  channel: T24
  isCallBack: N
Body: Dien MT701 theo chuan SWIFT
Co du 2 field mandatory:
:20:, :27:</t>
  </si>
  <si>
    <t>MT701 – Thieu tat ca 2 field mandatory → errorCode=03</t>
  </si>
  <si>
    <t>Auth hop le;
Body dien MT701 bi xoa toan bo field mandatory</t>
  </si>
  <si>
    <t>1. Chuan bi body dien MT701 dung chuan SWIFT
2. Xoa toan bo 2 field mandatory: :20:, :27:
3. Gui POST request voi transactionType=MT701
4. Verify: HTTP 200, result=ERROR, errorCode=03</t>
  </si>
  <si>
    <t>Headers:
Authorization: Basic a3ljYWRtbjpwYXNzd29yZDM=
Content-Type: application/json
Params:
  transactionId: TF_AML_MT701_MND_02
  requestId:     REQ_AML_MT701_MND_02
  transactionType: MT701
  branchCd: HN
  channel: T24
  isCallBack: N
Body: Dien MT701 theo chuan SWIFT
DA XOA toan bo 2 field mandatory:
:20:, :27:</t>
  </si>
  <si>
    <t>AML_MT701_MND_03</t>
  </si>
  <si>
    <t>MT701 – Thieu field :20: (Transaction Reference Number (mã tham chiếu giao dịch)) → errorCode=03</t>
  </si>
  <si>
    <t>Auth hop le;
Body MT701 KHONG co tag :20:
Format yeu cau: Tối đa 16 ký tự alphanumeric
Cac field mandatory khac day du</t>
  </si>
  <si>
    <t>1. Chuan bi body dien MT701 dung chuan SWIFT
2. XOA tag :20: khoi body dien
   (cac field mandatory khac van giu nguyen)
3. Gui POST request voi transactionType=MT701
4. Verify: HTTP 200, result=ERROR, errorCode=03</t>
  </si>
  <si>
    <t>Headers:
Authorization: Basic a3ljYWRtbjpwYXNzd29yZDM=
Content-Type: application/json
Params:
  transactionId: TF_AML_MT701_MND_03
  requestId:     REQ_AML_MT701_MND_03
  transactionType: MT701
  branchCd: HN
  channel: T24
  isCallBack: N
Body: Dien MT701 dung chuan SWIFT
Field bi THIEU: :20: (Transaction Reference Number (mã tham chiếu giao dịch))
Format yeu cau: Tối đa 16 ký tự alphanumeric
Vi du: Dien MT701 hop le nhung KHONG co tag :20:</t>
  </si>
  <si>
    <t>AML_MT701_MND_04</t>
  </si>
  <si>
    <t>MT701 – Field :20: null/rong (Transaction Reference Number (mã tham chiếu giao dịch)) → errorCode=03</t>
  </si>
  <si>
    <t>Auth hop le;
Body MT701 co tag :20: nhung gia tri null/empty
Format yeu cau: Tối đa 16 ký tự alphanumeric
Cac field mandatory khac hop le</t>
  </si>
  <si>
    <t>1. Chuan bi body dien MT701 dung chuan SWIFT
2. Giu tag :20: nhung de gia tri RONG/NULL
   (cac field mandatory khac van hop le)
3. Gui POST request voi transactionType=MT701
4. Verify: HTTP 200, result=ERROR, errorCode=03</t>
  </si>
  <si>
    <t>Headers:
Authorization: Basic a3ljYWRtbjpwYXNzd29yZDM=
Content-Type: application/json
Params:
  transactionId: TF_AML_MT701_MND_04
  requestId:     REQ_AML_MT701_MND_04
  transactionType: MT701
  branchCd: HN
  channel: T24
  isCallBack: N
Body: Dien MT701 dung chuan SWIFT
Field NULL/RONG: :20: (Transaction Reference Number (mã tham chiếu giao dịch))
Format yeu cau: Tối đa 16 ký tự alphanumeric
Vi du: Tag :20: ton tai nhung gia tri = null/empty
       Vi du: :20: (khong co gia tri sau dau :)</t>
  </si>
  <si>
    <t>AML_MT701_MND_05</t>
  </si>
  <si>
    <t>MT701 – Thieu field :27: (Sequence of Total (thứ tự / tổng số điện)) → errorCode=03</t>
  </si>
  <si>
    <t>Auth hop le;
Body MT701 KHONG co tag :27:
Format yeu cau: Định dạng số/số (ví dụ: 1/1)
Cac field mandatory khac day du</t>
  </si>
  <si>
    <t>1. Chuan bi body dien MT701 dung chuan SWIFT
2. XOA tag :27: khoi body dien
   (cac field mandatory khac van giu nguyen)
3. Gui POST request voi transactionType=MT701
4. Verify: HTTP 200, result=ERROR, errorCode=03</t>
  </si>
  <si>
    <t>Headers:
Authorization: Basic a3ljYWRtbjpwYXNzd29yZDM=
Content-Type: application/json
Params:
  transactionId: TF_AML_MT701_MND_05
  requestId:     REQ_AML_MT701_MND_05
  transactionType: MT701
  branchCd: HN
  channel: T24
  isCallBack: N
Body: Dien MT701 dung chuan SWIFT
Field bi THIEU: :27: (Sequence of Total (thứ tự / tổng số điện))
Format yeu cau: Định dạng số/số (ví dụ: 1/1)
Vi du: Dien MT701 hop le nhung KHONG co tag :27:</t>
  </si>
  <si>
    <t>AML_MT701_MND_06</t>
  </si>
  <si>
    <t>MT701 – Field :27: null/rong (Sequence of Total (thứ tự / tổng số điện)) → errorCode=03</t>
  </si>
  <si>
    <t>Auth hop le;
Body MT701 co tag :27: nhung gia tri null/empty
Format yeu cau: Định dạng số/số (ví dụ: 1/1)
Cac field mandatory khac hop le</t>
  </si>
  <si>
    <t>1. Chuan bi body dien MT701 dung chuan SWIFT
2. Giu tag :27: nhung de gia tri RONG/NULL
   (cac field mandatory khac van hop le)
3. Gui POST request voi transactionType=MT701
4. Verify: HTTP 200, result=ERROR, errorCode=03</t>
  </si>
  <si>
    <t>Headers:
Authorization: Basic a3ljYWRtbjpwYXNzd29yZDM=
Content-Type: application/json
Params:
  transactionId: TF_AML_MT701_MND_06
  requestId:     REQ_AML_MT701_MND_06
  transactionType: MT701
  branchCd: HN
  channel: T24
  isCallBack: N
Body: Dien MT701 dung chuan SWIFT
Field NULL/RONG: :27: (Sequence of Total (thứ tự / tổng số điện))
Format yeu cau: Định dạng số/số (ví dụ: 1/1)
Vi du: Tag :27: ton tai nhung gia tri = null/empty
       Vi du: :27: (khong co gia tri sau dau :)</t>
  </si>
  <si>
    <t xml:space="preserve">    AML_MT707_MND  Kiem tra field mandatory cho dien MT707 (8 field: :20:, :21:, :22A:, :23:, :26E:, :27:, :30:, :31C:)</t>
  </si>
  <si>
    <t>MT707 – Gui dien hop le day du 8 field mandatory (baseline)</t>
  </si>
  <si>
    <t>Auth hop le;
Body dien MT707 co du 8 field mandatory:
:20:, :21:, :22A:, :23:, :26E:, :27:, :30:, :31C:</t>
  </si>
  <si>
    <t>1. Chuan bi body dien MT707 day du chuan SWIFT
   Co du tat ca 8 field mandatory:
   :20:
   :21:
   :22A:
   :23:
   :26E:
   :27:
   :30:
   :31C:
2. Gui POST request voi transactionType=MT707
3. Verify: HTTP 200, errorCode=00
4. Day la baseline – dung de so sanh voi cac TC loi</t>
  </si>
  <si>
    <t>Headers:
Authorization: Basic a3ljYWRtbjpwYXNzd29yZDM=
Content-Type: application/json
Params:
  transactionId: TF_AML_MT707_MND_01
  requestId:     REQ_AML_MT707_MND_01
  transactionType: MT707
  branchCd: HN
  channel: T24
  isCallBack: N
Body: Dien MT707 theo chuan SWIFT
Co du 8 field mandatory:
:20:, :21:, :22A:, :23:, :26E:, :27:, :30:, :31C:</t>
  </si>
  <si>
    <t>MT707 – Thieu tat ca 8 field mandatory → errorCode=03</t>
  </si>
  <si>
    <t>Auth hop le;
Body dien MT707 bi xoa toan bo field mandatory</t>
  </si>
  <si>
    <t>1. Chuan bi body dien MT707 dung chuan SWIFT
2. Xoa toan bo 8 field mandatory: :20:, :21:, :22A:, :23:, :26E:, :27:, :30:, :31C:
3. Gui POST request voi transactionType=MT707
4. Verify: HTTP 200, result=ERROR, errorCode=03</t>
  </si>
  <si>
    <t>Headers:
Authorization: Basic a3ljYWRtbjpwYXNzd29yZDM=
Content-Type: application/json
Params:
  transactionId: TF_AML_MT707_MND_02
  requestId:     REQ_AML_MT707_MND_02
  transactionType: MT707
  branchCd: HN
  channel: T24
  isCallBack: N
Body: Dien MT707 theo chuan SWIFT
DA XOA toan bo 8 field mandatory:
:20:, :21:, :22A:, :23:, :26E:, :27:, :30:, :31C:</t>
  </si>
  <si>
    <t>MT707 – Thieu field :20: (Transaction Reference Number (mã tham chiếu giao dịch)) → errorCode=03</t>
  </si>
  <si>
    <t>Auth hop le;
Body MT707 KHONG co tag :20:
Format yeu cau: Tối đa 16 ký tự alphanumeric
Cac field mandatory khac day du</t>
  </si>
  <si>
    <t>1. Chuan bi body dien MT707 dung chuan SWIFT
2. XOA tag :20: khoi body dien
   (cac field mandatory khac van giu nguyen)
3. Gui POST request voi transactionType=MT707
4. Verify: HTTP 200, result=ERROR, errorCode=03</t>
  </si>
  <si>
    <t>Headers:
Authorization: Basic a3ljYWRtbjpwYXNzd29yZDM=
Content-Type: application/json
Params:
  transactionId: TF_AML_MT707_MND_03
  requestId:     REQ_AML_MT707_MND_03
  transactionType: MT707
  branchCd: HN
  channel: T24
  isCallBack: N
Body: Dien MT707 dung chuan SWIFT
Field bi THIEU: :20: (Transaction Reference Number (mã tham chiếu giao dịch))
Format yeu cau: Tối đa 16 ký tự alphanumeric
Vi du: Dien MT707 hop le nhung KHONG co tag :20:</t>
  </si>
  <si>
    <t>MT707 – Field :20: null/rong (Transaction Reference Number (mã tham chiếu giao dịch)) → errorCode=03</t>
  </si>
  <si>
    <t>Auth hop le;
Body MT707 co tag :20: nhung gia tri null/empty
Format yeu cau: Tối đa 16 ký tự alphanumeric
Cac field mandatory khac hop le</t>
  </si>
  <si>
    <t>1. Chuan bi body dien MT707 dung chuan SWIFT
2. Giu tag :20: nhung de gia tri RONG/NULL
   (cac field mandatory khac van hop le)
3. Gui POST request voi transactionType=MT707
4. Verify: HTTP 200, result=ERROR, errorCode=03</t>
  </si>
  <si>
    <t>Headers:
Authorization: Basic a3ljYWRtbjpwYXNzd29yZDM=
Content-Type: application/json
Params:
  transactionId: TF_AML_MT707_MND_04
  requestId:     REQ_AML_MT707_MND_04
  transactionType: MT707
  branchCd: HN
  channel: T24
  isCallBack: N
Body: Dien MT707 dung chuan SWIFT
Field NULL/RONG: :20: (Transaction Reference Number (mã tham chiếu giao dịch))
Format yeu cau: Tối đa 16 ký tự alphanumeric
Vi du: Tag :20: ton tai nhung gia tri = null/empty
       Vi du: :20: (khong co gia tri sau dau :)</t>
  </si>
  <si>
    <t>MT707 – Thieu field :21: (Related Reference (tham chiếu liên quan)) → errorCode=03</t>
  </si>
  <si>
    <t>Auth hop le;
Body MT707 KHONG co tag :21:
Format yeu cau: Tối đa 16 ký tự alphanumeric
Cac field mandatory khac day du</t>
  </si>
  <si>
    <t>1. Chuan bi body dien MT707 dung chuan SWIFT
2. XOA tag :21: khoi body dien
   (cac field mandatory khac van giu nguyen)
3. Gui POST request voi transactionType=MT707
4. Verify: HTTP 200, result=ERROR, errorCode=03</t>
  </si>
  <si>
    <t>Headers:
Authorization: Basic a3ljYWRtbjpwYXNzd29yZDM=
Content-Type: application/json
Params:
  transactionId: TF_AML_MT707_MND_05
  requestId:     REQ_AML_MT707_MND_05
  transactionType: MT707
  branchCd: HN
  channel: T24
  isCallBack: N
Body: Dien MT707 dung chuan SWIFT
Field bi THIEU: :21: (Related Reference (tham chiếu liên quan))
Format yeu cau: Tối đa 16 ký tự alphanumeric
Vi du: Dien MT707 hop le nhung KHONG co tag :21:</t>
  </si>
  <si>
    <t>MT707 – Field :21: null/rong (Related Reference (tham chiếu liên quan)) → errorCode=03</t>
  </si>
  <si>
    <t>Auth hop le;
Body MT707 co tag :21: nhung gia tri null/empty
Format yeu cau: Tối đa 16 ký tự alphanumeric
Cac field mandatory khac hop le</t>
  </si>
  <si>
    <t>1. Chuan bi body dien MT707 dung chuan SWIFT
2. Giu tag :21: nhung de gia tri RONG/NULL
   (cac field mandatory khac van hop le)
3. Gui POST request voi transactionType=MT707
4. Verify: HTTP 200, result=ERROR, errorCode=03</t>
  </si>
  <si>
    <t>Headers:
Authorization: Basic a3ljYWRtbjpwYXNzd29yZDM=
Content-Type: application/json
Params:
  transactionId: TF_AML_MT707_MND_06
  requestId:     REQ_AML_MT707_MND_06
  transactionType: MT707
  branchCd: HN
  channel: T24
  isCallBack: N
Body: Dien MT707 dung chuan SWIFT
Field NULL/RONG: :21: (Related Reference (tham chiếu liên quan))
Format yeu cau: Tối đa 16 ký tự alphanumeric
Vi du: Tag :21: ton tai nhung gia tri = null/empty
       Vi du: :21: (khong co gia tri sau dau :)</t>
  </si>
  <si>
    <t>MT707 – Thieu field :22A: (Form of Documentary Credit / Type of Undertaking (hình thức L/C / loại bảo lãnh)) → errorCode=03</t>
  </si>
  <si>
    <t>Auth hop le;
Body MT707 KHONG co tag :22A:
Format yeu cau: Đúng 4 ký tự chữ hoa
Cac field mandatory khac day du</t>
  </si>
  <si>
    <t>1. Chuan bi body dien MT707 dung chuan SWIFT
2. XOA tag :22A: khoi body dien
   (cac field mandatory khac van giu nguyen)
3. Gui POST request voi transactionType=MT707
4. Verify: HTTP 200, result=ERROR, errorCode=03</t>
  </si>
  <si>
    <t>Headers:
Authorization: Basic a3ljYWRtbjpwYXNzd29yZDM=
Content-Type: application/json
Params:
  transactionId: TF_AML_MT707_MND_07
  requestId:     REQ_AML_MT707_MND_07
  transactionType: MT707
  branchCd: HN
  channel: T24
  isCallBack: N
Body: Dien MT707 dung chuan SWIFT
Field bi THIEU: :22A: (Form of Documentary Credit / Type of Undertaking (hình thức L/C / loại bảo lãnh))
Format yeu cau: Đúng 4 ký tự chữ hoa
Vi du: Dien MT707 hop le nhung KHONG co tag :22A:</t>
  </si>
  <si>
    <t>MT707 – Field :22A: null/rong (Form of Documentary Credit / Type of Undertaking (hình thức L/C / loại bảo lãnh)) → errorCode=03</t>
  </si>
  <si>
    <t>Auth hop le;
Body MT707 co tag :22A: nhung gia tri null/empty
Format yeu cau: Đúng 4 ký tự chữ hoa
Cac field mandatory khac hop le</t>
  </si>
  <si>
    <t>1. Chuan bi body dien MT707 dung chuan SWIFT
2. Giu tag :22A: nhung de gia tri RONG/NULL
   (cac field mandatory khac van hop le)
3. Gui POST request voi transactionType=MT707
4. Verify: HTTP 200, result=ERROR, errorCode=03</t>
  </si>
  <si>
    <t>Headers:
Authorization: Basic a3ljYWRtbjpwYXNzd29yZDM=
Content-Type: application/json
Params:
  transactionId: TF_AML_MT707_MND_08
  requestId:     REQ_AML_MT707_MND_08
  transactionType: MT707
  branchCd: HN
  channel: T24
  isCallBack: N
Body: Dien MT707 dung chuan SWIFT
Field NULL/RONG: :22A: (Form of Documentary Credit / Type of Undertaking (hình thức L/C / loại bảo lãnh))
Format yeu cau: Đúng 4 ký tự chữ hoa
Vi du: Tag :22A: ton tai nhung gia tri = null/empty
       Vi du: :22A: (khong co gia tri sau dau :)</t>
  </si>
  <si>
    <t>AML_MT707_MND_09</t>
  </si>
  <si>
    <t>MT707 – Thieu field :23: (Reference to Pre-Advice (tham chiếu pre-advice)) → errorCode=03</t>
  </si>
  <si>
    <t>Auth hop le;
Body MT707 KHONG co tag :23:
Format yeu cau: Tối đa 16 ký tự alphanumeric
Cac field mandatory khac day du</t>
  </si>
  <si>
    <t>1. Chuan bi body dien MT707 dung chuan SWIFT
2. XOA tag :23: khoi body dien
   (cac field mandatory khac van giu nguyen)
3. Gui POST request voi transactionType=MT707
4. Verify: HTTP 200, result=ERROR, errorCode=03</t>
  </si>
  <si>
    <t>Headers:
Authorization: Basic a3ljYWRtbjpwYXNzd29yZDM=
Content-Type: application/json
Params:
  transactionId: TF_AML_MT707_MND_09
  requestId:     REQ_AML_MT707_MND_09
  transactionType: MT707
  branchCd: HN
  channel: T24
  isCallBack: N
Body: Dien MT707 dung chuan SWIFT
Field bi THIEU: :23: (Reference to Pre-Advice (tham chiếu pre-advice))
Format yeu cau: Tối đa 16 ký tự alphanumeric
Vi du: Dien MT707 hop le nhung KHONG co tag :23:</t>
  </si>
  <si>
    <t>AML_MT707_MND_10</t>
  </si>
  <si>
    <t>MT707 – Field :23: null/rong (Reference to Pre-Advice (tham chiếu pre-advice)) → errorCode=03</t>
  </si>
  <si>
    <t>Auth hop le;
Body MT707 co tag :23: nhung gia tri null/empty
Format yeu cau: Tối đa 16 ký tự alphanumeric
Cac field mandatory khac hop le</t>
  </si>
  <si>
    <t>1. Chuan bi body dien MT707 dung chuan SWIFT
2. Giu tag :23: nhung de gia tri RONG/NULL
   (cac field mandatory khac van hop le)
3. Gui POST request voi transactionType=MT707
4. Verify: HTTP 200, result=ERROR, errorCode=03</t>
  </si>
  <si>
    <t>Headers:
Authorization: Basic a3ljYWRtbjpwYXNzd29yZDM=
Content-Type: application/json
Params:
  transactionId: TF_AML_MT707_MND_10
  requestId:     REQ_AML_MT707_MND_10
  transactionType: MT707
  branchCd: HN
  channel: T24
  isCallBack: N
Body: Dien MT707 dung chuan SWIFT
Field NULL/RONG: :23: (Reference to Pre-Advice (tham chiếu pre-advice))
Format yeu cau: Tối đa 16 ký tự alphanumeric
Vi du: Tag :23: ton tai nhung gia tri = null/empty
       Vi du: :23: (khong co gia tri sau dau :)</t>
  </si>
  <si>
    <t>AML_MT707_MND_11</t>
  </si>
  <si>
    <t>MT707 – Thieu field :26E: (Number of Amendment (số lần sửa đổi)) → errorCode=03</t>
  </si>
  <si>
    <t>Auth hop le;
Body MT707 KHONG co tag :26E:
Format yeu cau: Tối đa 3 chữ số
Cac field mandatory khac day du</t>
  </si>
  <si>
    <t>1. Chuan bi body dien MT707 dung chuan SWIFT
2. XOA tag :26E: khoi body dien
   (cac field mandatory khac van giu nguyen)
3. Gui POST request voi transactionType=MT707
4. Verify: HTTP 200, result=ERROR, errorCode=03</t>
  </si>
  <si>
    <t>Headers:
Authorization: Basic a3ljYWRtbjpwYXNzd29yZDM=
Content-Type: application/json
Params:
  transactionId: TF_AML_MT707_MND_11
  requestId:     REQ_AML_MT707_MND_11
  transactionType: MT707
  branchCd: HN
  channel: T24
  isCallBack: N
Body: Dien MT707 dung chuan SWIFT
Field bi THIEU: :26E: (Number of Amendment (số lần sửa đổi))
Format yeu cau: Tối đa 3 chữ số
Vi du: Dien MT707 hop le nhung KHONG co tag :26E:</t>
  </si>
  <si>
    <t>AML_MT707_MND_12</t>
  </si>
  <si>
    <t>MT707 – Field :26E: null/rong (Number of Amendment (số lần sửa đổi)) → errorCode=03</t>
  </si>
  <si>
    <t>Auth hop le;
Body MT707 co tag :26E: nhung gia tri null/empty
Format yeu cau: Tối đa 3 chữ số
Cac field mandatory khac hop le</t>
  </si>
  <si>
    <t>1. Chuan bi body dien MT707 dung chuan SWIFT
2. Giu tag :26E: nhung de gia tri RONG/NULL
   (cac field mandatory khac van hop le)
3. Gui POST request voi transactionType=MT707
4. Verify: HTTP 200, result=ERROR, errorCode=03</t>
  </si>
  <si>
    <t>Headers:
Authorization: Basic a3ljYWRtbjpwYXNzd29yZDM=
Content-Type: application/json
Params:
  transactionId: TF_AML_MT707_MND_12
  requestId:     REQ_AML_MT707_MND_12
  transactionType: MT707
  branchCd: HN
  channel: T24
  isCallBack: N
Body: Dien MT707 dung chuan SWIFT
Field NULL/RONG: :26E: (Number of Amendment (số lần sửa đổi))
Format yeu cau: Tối đa 3 chữ số
Vi du: Tag :26E: ton tai nhung gia tri = null/empty
       Vi du: :26E: (khong co gia tri sau dau :)</t>
  </si>
  <si>
    <t>AML_MT707_MND_13</t>
  </si>
  <si>
    <t>MT707 – Thieu field :27: (Sequence of Total (thứ tự / tổng số điện)) → errorCode=03</t>
  </si>
  <si>
    <t>Auth hop le;
Body MT707 KHONG co tag :27:
Format yeu cau: Định dạng số/số (ví dụ: 1/1)
Cac field mandatory khac day du</t>
  </si>
  <si>
    <t>1. Chuan bi body dien MT707 dung chuan SWIFT
2. XOA tag :27: khoi body dien
   (cac field mandatory khac van giu nguyen)
3. Gui POST request voi transactionType=MT707
4. Verify: HTTP 200, result=ERROR, errorCode=03</t>
  </si>
  <si>
    <t>Headers:
Authorization: Basic a3ljYWRtbjpwYXNzd29yZDM=
Content-Type: application/json
Params:
  transactionId: TF_AML_MT707_MND_13
  requestId:     REQ_AML_MT707_MND_13
  transactionType: MT707
  branchCd: HN
  channel: T24
  isCallBack: N
Body: Dien MT707 dung chuan SWIFT
Field bi THIEU: :27: (Sequence of Total (thứ tự / tổng số điện))
Format yeu cau: Định dạng số/số (ví dụ: 1/1)
Vi du: Dien MT707 hop le nhung KHONG co tag :27:</t>
  </si>
  <si>
    <t>AML_MT707_MND_14</t>
  </si>
  <si>
    <t>MT707 – Field :27: null/rong (Sequence of Total (thứ tự / tổng số điện)) → errorCode=03</t>
  </si>
  <si>
    <t>Auth hop le;
Body MT707 co tag :27: nhung gia tri null/empty
Format yeu cau: Định dạng số/số (ví dụ: 1/1)
Cac field mandatory khac hop le</t>
  </si>
  <si>
    <t>1. Chuan bi body dien MT707 dung chuan SWIFT
2. Giu tag :27: nhung de gia tri RONG/NULL
   (cac field mandatory khac van hop le)
3. Gui POST request voi transactionType=MT707
4. Verify: HTTP 200, result=ERROR, errorCode=03</t>
  </si>
  <si>
    <t>Headers:
Authorization: Basic a3ljYWRtbjpwYXNzd29yZDM=
Content-Type: application/json
Params:
  transactionId: TF_AML_MT707_MND_14
  requestId:     REQ_AML_MT707_MND_14
  transactionType: MT707
  branchCd: HN
  channel: T24
  isCallBack: N
Body: Dien MT707 dung chuan SWIFT
Field NULL/RONG: :27: (Sequence of Total (thứ tự / tổng số điện))
Format yeu cau: Định dạng số/số (ví dụ: 1/1)
Vi du: Tag :27: ton tai nhung gia tri = null/empty
       Vi du: :27: (khong co gia tri sau dau :)</t>
  </si>
  <si>
    <t>AML_MT707_MND_15</t>
  </si>
  <si>
    <t>MT707 – Thieu field :30: (Date of Amendment / Issue Date (ngày sửa đổi / ngày phát hành)) → errorCode=03</t>
  </si>
  <si>
    <t>Auth hop le;
Body MT707 KHONG co tag :30:
Format yeu cau: 6 chữ số – định dạng ngày YYMMDD
Cac field mandatory khac day du</t>
  </si>
  <si>
    <t>1. Chuan bi body dien MT707 dung chuan SWIFT
2. XOA tag :30: khoi body dien
   (cac field mandatory khac van giu nguyen)
3. Gui POST request voi transactionType=MT707
4. Verify: HTTP 200, result=ERROR, errorCode=03</t>
  </si>
  <si>
    <t>Headers:
Authorization: Basic a3ljYWRtbjpwYXNzd29yZDM=
Content-Type: application/json
Params:
  transactionId: TF_AML_MT707_MND_15
  requestId:     REQ_AML_MT707_MND_15
  transactionType: MT707
  branchCd: HN
  channel: T24
  isCallBack: N
Body: Dien MT707 dung chuan SWIFT
Field bi THIEU: :30: (Date of Amendment / Issue Date (ngày sửa đổi / ngày phát hành))
Format yeu cau: 6 chữ số – định dạng ngày YYMMDD
Vi du: Dien MT707 hop le nhung KHONG co tag :30:</t>
  </si>
  <si>
    <t>AML_MT707_MND_16</t>
  </si>
  <si>
    <t>MT707 – Field :30: null/rong (Date of Amendment / Issue Date (ngày sửa đổi / ngày phát hành)) → errorCode=03</t>
  </si>
  <si>
    <t>Auth hop le;
Body MT707 co tag :30: nhung gia tri null/empty
Format yeu cau: 6 chữ số – định dạng ngày YYMMDD
Cac field mandatory khac hop le</t>
  </si>
  <si>
    <t>1. Chuan bi body dien MT707 dung chuan SWIFT
2. Giu tag :30: nhung de gia tri RONG/NULL
   (cac field mandatory khac van hop le)
3. Gui POST request voi transactionType=MT707
4. Verify: HTTP 200, result=ERROR, errorCode=03</t>
  </si>
  <si>
    <t>Headers:
Authorization: Basic a3ljYWRtbjpwYXNzd29yZDM=
Content-Type: application/json
Params:
  transactionId: TF_AML_MT707_MND_16
  requestId:     REQ_AML_MT707_MND_16
  transactionType: MT707
  branchCd: HN
  channel: T24
  isCallBack: N
Body: Dien MT707 dung chuan SWIFT
Field NULL/RONG: :30: (Date of Amendment / Issue Date (ngày sửa đổi / ngày phát hành))
Format yeu cau: 6 chữ số – định dạng ngày YYMMDD
Vi du: Tag :30: ton tai nhung gia tri = null/empty
       Vi du: :30: (khong co gia tri sau dau :)</t>
  </si>
  <si>
    <t>AML_MT707_MND_17</t>
  </si>
  <si>
    <t>MT707 – Thieu field :31C: (Date of Issue (ngày phát hành)) → errorCode=03</t>
  </si>
  <si>
    <t>Auth hop le;
Body MT707 KHONG co tag :31C:
Format yeu cau: 6 chữ số – định dạng ngày YYMMDD
Cac field mandatory khac day du</t>
  </si>
  <si>
    <t>1. Chuan bi body dien MT707 dung chuan SWIFT
2. XOA tag :31C: khoi body dien
   (cac field mandatory khac van giu nguyen)
3. Gui POST request voi transactionType=MT707
4. Verify: HTTP 200, result=ERROR, errorCode=03</t>
  </si>
  <si>
    <t>Headers:
Authorization: Basic a3ljYWRtbjpwYXNzd29yZDM=
Content-Type: application/json
Params:
  transactionId: TF_AML_MT707_MND_17
  requestId:     REQ_AML_MT707_MND_17
  transactionType: MT707
  branchCd: HN
  channel: T24
  isCallBack: N
Body: Dien MT707 dung chuan SWIFT
Field bi THIEU: :31C: (Date of Issue (ngày phát hành))
Format yeu cau: 6 chữ số – định dạng ngày YYMMDD
Vi du: Dien MT707 hop le nhung KHONG co tag :31C:</t>
  </si>
  <si>
    <t>AML_MT707_MND_18</t>
  </si>
  <si>
    <t>MT707 – Field :31C: null/rong (Date of Issue (ngày phát hành)) → errorCode=03</t>
  </si>
  <si>
    <t>Auth hop le;
Body MT707 co tag :31C: nhung gia tri null/empty
Format yeu cau: 6 chữ số – định dạng ngày YYMMDD
Cac field mandatory khac hop le</t>
  </si>
  <si>
    <t>1. Chuan bi body dien MT707 dung chuan SWIFT
2. Giu tag :31C: nhung de gia tri RONG/NULL
   (cac field mandatory khac van hop le)
3. Gui POST request voi transactionType=MT707
4. Verify: HTTP 200, result=ERROR, errorCode=03</t>
  </si>
  <si>
    <t>Headers:
Authorization: Basic a3ljYWRtbjpwYXNzd29yZDM=
Content-Type: application/json
Params:
  transactionId: TF_AML_MT707_MND_18
  requestId:     REQ_AML_MT707_MND_18
  transactionType: MT707
  branchCd: HN
  channel: T24
  isCallBack: N
Body: Dien MT707 dung chuan SWIFT
Field NULL/RONG: :31C: (Date of Issue (ngày phát hành))
Format yeu cau: 6 chữ số – định dạng ngày YYMMDD
Vi du: Tag :31C: ton tai nhung gia tri = null/empty
       Vi du: :31C: (khong co gia tri sau dau :)</t>
  </si>
  <si>
    <t xml:space="preserve">    AML_MT710_MND  Kiem tra field mandatory cho dien MT710 (13 field: :20:, :21:, :27:, :31C:, :31D:, :32B:, :40B:, :40E:, :41A:, :41D:, :49:, :50:, :59:)</t>
  </si>
  <si>
    <t>MT710 – Gui dien hop le day du 13 field mandatory (baseline)</t>
  </si>
  <si>
    <t>Auth hop le;
Body dien MT710 co du 13 field mandatory:
:20:, :21:, :27:, :31C:, :31D:, :32B:, :40B:, :40E:, :41A:, :41D:, :49:, :50:, :59:</t>
  </si>
  <si>
    <t>1. Chuan bi body dien MT710 day du chuan SWIFT
   Co du tat ca 13 field mandatory:
   :20:
   :21:
   :27:
   :31C:
   :31D:
   :32B:
   :40B:
   :40E:
   :41A:
   :41D:
   :49:
   :50:
   :59:
2. Gui POST request voi transactionType=MT710
3. Verify: HTTP 200, errorCode=00
4. Day la baseline – dung de so sanh voi cac TC loi</t>
  </si>
  <si>
    <t>Headers:
Authorization: Basic a3ljYWRtbjpwYXNzd29yZDM=
Content-Type: application/json
Params:
  transactionId: TF_AML_MT710_MND_01
  requestId:     REQ_AML_MT710_MND_01
  transactionType: MT710
  branchCd: HN
  channel: T24
  isCallBack: N
Body: Dien MT710 theo chuan SWIFT
Co du 13 field mandatory:
:20:, :21:, :27:, :31C:, :31D:, :32B:, :40B:, :40E:, :41A:, :41D:, :49:, :50:, :59:</t>
  </si>
  <si>
    <t>MT710 – Thieu tat ca 13 field mandatory → errorCode=03</t>
  </si>
  <si>
    <t>Auth hop le;
Body dien MT710 bi xoa toan bo field mandatory</t>
  </si>
  <si>
    <t>1. Chuan bi body dien MT710 dung chuan SWIFT
2. Xoa toan bo 13 field mandatory: :20:, :21:, :27:, :31C:, :31D:, :32B:, :40B:, :40E:, :41A:, :41D:, :49:, :50:, :59:
3. Gui POST request voi transactionType=MT710
4. Verify: HTTP 200, result=ERROR, errorCode=03</t>
  </si>
  <si>
    <t>Headers:
Authorization: Basic a3ljYWRtbjpwYXNzd29yZDM=
Content-Type: application/json
Params:
  transactionId: TF_AML_MT710_MND_02
  requestId:     REQ_AML_MT710_MND_02
  transactionType: MT710
  branchCd: HN
  channel: T24
  isCallBack: N
Body: Dien MT710 theo chuan SWIFT
DA XOA toan bo 13 field mandatory:
:20:, :21:, :27:, :31C:, :31D:, :32B:, :40B:, :40E:, :41A:, :41D:, :49:, :50:, :59:</t>
  </si>
  <si>
    <t>MT710 – Thieu field :20: (Transaction Reference Number (mã tham chiếu giao dịch)) → errorCode=03</t>
  </si>
  <si>
    <t>Auth hop le;
Body MT710 KHONG co tag :20:
Format yeu cau: Tối đa 16 ký tự alphanumeric
Cac field mandatory khac day du</t>
  </si>
  <si>
    <t>1. Chuan bi body dien MT710 dung chuan SWIFT
2. XOA tag :20: khoi body dien
   (cac field mandatory khac van giu nguyen)
3. Gui POST request voi transactionType=MT710
4. Verify: HTTP 200, result=ERROR, errorCode=03</t>
  </si>
  <si>
    <t>Headers:
Authorization: Basic a3ljYWRtbjpwYXNzd29yZDM=
Content-Type: application/json
Params:
  transactionId: TF_AML_MT710_MND_03
  requestId:     REQ_AML_MT710_MND_03
  transactionType: MT710
  branchCd: HN
  channel: T24
  isCallBack: N
Body: Dien MT710 dung chuan SWIFT
Field bi THIEU: :20: (Transaction Reference Number (mã tham chiếu giao dịch))
Format yeu cau: Tối đa 16 ký tự alphanumeric
Vi du: Dien MT710 hop le nhung KHONG co tag :20:</t>
  </si>
  <si>
    <t>MT710 – Field :20: null/rong (Transaction Reference Number (mã tham chiếu giao dịch)) → errorCode=03</t>
  </si>
  <si>
    <t>Auth hop le;
Body MT710 co tag :20: nhung gia tri null/empty
Format yeu cau: Tối đa 16 ký tự alphanumeric
Cac field mandatory khac hop le</t>
  </si>
  <si>
    <t>1. Chuan bi body dien MT710 dung chuan SWIFT
2. Giu tag :20: nhung de gia tri RONG/NULL
   (cac field mandatory khac van hop le)
3. Gui POST request voi transactionType=MT710
4. Verify: HTTP 200, result=ERROR, errorCode=03</t>
  </si>
  <si>
    <t>Headers:
Authorization: Basic a3ljYWRtbjpwYXNzd29yZDM=
Content-Type: application/json
Params:
  transactionId: TF_AML_MT710_MND_04
  requestId:     REQ_AML_MT710_MND_04
  transactionType: MT710
  branchCd: HN
  channel: T24
  isCallBack: N
Body: Dien MT710 dung chuan SWIFT
Field NULL/RONG: :20: (Transaction Reference Number (mã tham chiếu giao dịch))
Format yeu cau: Tối đa 16 ký tự alphanumeric
Vi du: Tag :20: ton tai nhung gia tri = null/empty
       Vi du: :20: (khong co gia tri sau dau :)</t>
  </si>
  <si>
    <t>MT710 – Thieu field :21: (Related Reference (tham chiếu liên quan)) → errorCode=03</t>
  </si>
  <si>
    <t>Auth hop le;
Body MT710 KHONG co tag :21:
Format yeu cau: Tối đa 16 ký tự alphanumeric
Cac field mandatory khac day du</t>
  </si>
  <si>
    <t>1. Chuan bi body dien MT710 dung chuan SWIFT
2. XOA tag :21: khoi body dien
   (cac field mandatory khac van giu nguyen)
3. Gui POST request voi transactionType=MT710
4. Verify: HTTP 200, result=ERROR, errorCode=03</t>
  </si>
  <si>
    <t>Headers:
Authorization: Basic a3ljYWRtbjpwYXNzd29yZDM=
Content-Type: application/json
Params:
  transactionId: TF_AML_MT710_MND_05
  requestId:     REQ_AML_MT710_MND_05
  transactionType: MT710
  branchCd: HN
  channel: T24
  isCallBack: N
Body: Dien MT710 dung chuan SWIFT
Field bi THIEU: :21: (Related Reference (tham chiếu liên quan))
Format yeu cau: Tối đa 16 ký tự alphanumeric
Vi du: Dien MT710 hop le nhung KHONG co tag :21:</t>
  </si>
  <si>
    <t>MT710 – Field :21: null/rong (Related Reference (tham chiếu liên quan)) → errorCode=03</t>
  </si>
  <si>
    <t>Auth hop le;
Body MT710 co tag :21: nhung gia tri null/empty
Format yeu cau: Tối đa 16 ký tự alphanumeric
Cac field mandatory khac hop le</t>
  </si>
  <si>
    <t>1. Chuan bi body dien MT710 dung chuan SWIFT
2. Giu tag :21: nhung de gia tri RONG/NULL
   (cac field mandatory khac van hop le)
3. Gui POST request voi transactionType=MT710
4. Verify: HTTP 200, result=ERROR, errorCode=03</t>
  </si>
  <si>
    <t>Headers:
Authorization: Basic a3ljYWRtbjpwYXNzd29yZDM=
Content-Type: application/json
Params:
  transactionId: TF_AML_MT710_MND_06
  requestId:     REQ_AML_MT710_MND_06
  transactionType: MT710
  branchCd: HN
  channel: T24
  isCallBack: N
Body: Dien MT710 dung chuan SWIFT
Field NULL/RONG: :21: (Related Reference (tham chiếu liên quan))
Format yeu cau: Tối đa 16 ký tự alphanumeric
Vi du: Tag :21: ton tai nhung gia tri = null/empty
       Vi du: :21: (khong co gia tri sau dau :)</t>
  </si>
  <si>
    <t>MT710 – Thieu field :27: (Sequence of Total (thứ tự / tổng số điện)) → errorCode=03</t>
  </si>
  <si>
    <t>Auth hop le;
Body MT710 KHONG co tag :27:
Format yeu cau: Định dạng số/số (ví dụ: 1/1)
Cac field mandatory khac day du</t>
  </si>
  <si>
    <t>1. Chuan bi body dien MT710 dung chuan SWIFT
2. XOA tag :27: khoi body dien
   (cac field mandatory khac van giu nguyen)
3. Gui POST request voi transactionType=MT710
4. Verify: HTTP 200, result=ERROR, errorCode=03</t>
  </si>
  <si>
    <t>Headers:
Authorization: Basic a3ljYWRtbjpwYXNzd29yZDM=
Content-Type: application/json
Params:
  transactionId: TF_AML_MT710_MND_07
  requestId:     REQ_AML_MT710_MND_07
  transactionType: MT710
  branchCd: HN
  channel: T24
  isCallBack: N
Body: Dien MT710 dung chuan SWIFT
Field bi THIEU: :27: (Sequence of Total (thứ tự / tổng số điện))
Format yeu cau: Định dạng số/số (ví dụ: 1/1)
Vi du: Dien MT710 hop le nhung KHONG co tag :27:</t>
  </si>
  <si>
    <t>MT710 – Field :27: null/rong (Sequence of Total (thứ tự / tổng số điện)) → errorCode=03</t>
  </si>
  <si>
    <t>Auth hop le;
Body MT710 co tag :27: nhung gia tri null/empty
Format yeu cau: Định dạng số/số (ví dụ: 1/1)
Cac field mandatory khac hop le</t>
  </si>
  <si>
    <t>1. Chuan bi body dien MT710 dung chuan SWIFT
2. Giu tag :27: nhung de gia tri RONG/NULL
   (cac field mandatory khac van hop le)
3. Gui POST request voi transactionType=MT710
4. Verify: HTTP 200, result=ERROR, errorCode=03</t>
  </si>
  <si>
    <t>Headers:
Authorization: Basic a3ljYWRtbjpwYXNzd29yZDM=
Content-Type: application/json
Params:
  transactionId: TF_AML_MT710_MND_08
  requestId:     REQ_AML_MT710_MND_08
  transactionType: MT710
  branchCd: HN
  channel: T24
  isCallBack: N
Body: Dien MT710 dung chuan SWIFT
Field NULL/RONG: :27: (Sequence of Total (thứ tự / tổng số điện))
Format yeu cau: Định dạng số/số (ví dụ: 1/1)
Vi du: Tag :27: ton tai nhung gia tri = null/empty
       Vi du: :27: (khong co gia tri sau dau :)</t>
  </si>
  <si>
    <t>MT710 – Thieu field :31C: (Date of Issue (ngày phát hành)) → errorCode=03</t>
  </si>
  <si>
    <t>Auth hop le;
Body MT710 KHONG co tag :31C:
Format yeu cau: 6 chữ số – định dạng ngày YYMMDD
Cac field mandatory khac day du</t>
  </si>
  <si>
    <t>1. Chuan bi body dien MT710 dung chuan SWIFT
2. XOA tag :31C: khoi body dien
   (cac field mandatory khac van giu nguyen)
3. Gui POST request voi transactionType=MT710
4. Verify: HTTP 200, result=ERROR, errorCode=03</t>
  </si>
  <si>
    <t>Headers:
Authorization: Basic a3ljYWRtbjpwYXNzd29yZDM=
Content-Type: application/json
Params:
  transactionId: TF_AML_MT710_MND_09
  requestId:     REQ_AML_MT710_MND_09
  transactionType: MT710
  branchCd: HN
  channel: T24
  isCallBack: N
Body: Dien MT710 dung chuan SWIFT
Field bi THIEU: :31C: (Date of Issue (ngày phát hành))
Format yeu cau: 6 chữ số – định dạng ngày YYMMDD
Vi du: Dien MT710 hop le nhung KHONG co tag :31C:</t>
  </si>
  <si>
    <t>MT710 – Field :31C: null/rong (Date of Issue (ngày phát hành)) → errorCode=03</t>
  </si>
  <si>
    <t>Auth hop le;
Body MT710 co tag :31C: nhung gia tri null/empty
Format yeu cau: 6 chữ số – định dạng ngày YYMMDD
Cac field mandatory khac hop le</t>
  </si>
  <si>
    <t>1. Chuan bi body dien MT710 dung chuan SWIFT
2. Giu tag :31C: nhung de gia tri RONG/NULL
   (cac field mandatory khac van hop le)
3. Gui POST request voi transactionType=MT710
4. Verify: HTTP 200, result=ERROR, errorCode=03</t>
  </si>
  <si>
    <t>Headers:
Authorization: Basic a3ljYWRtbjpwYXNzd29yZDM=
Content-Type: application/json
Params:
  transactionId: TF_AML_MT710_MND_10
  requestId:     REQ_AML_MT710_MND_10
  transactionType: MT710
  branchCd: HN
  channel: T24
  isCallBack: N
Body: Dien MT710 dung chuan SWIFT
Field NULL/RONG: :31C: (Date of Issue (ngày phát hành))
Format yeu cau: 6 chữ số – định dạng ngày YYMMDD
Vi du: Tag :31C: ton tai nhung gia tri = null/empty
       Vi du: :31C: (khong co gia tri sau dau :)</t>
  </si>
  <si>
    <t>MT710 – Thieu field :31D: (Date and Place of Expiry (ngày và nơi hết hạn)) → errorCode=03</t>
  </si>
  <si>
    <t>Auth hop le;
Body MT710 KHONG co tag :31D:
Format yeu cau: 6 chữ số ngày + tối đa 29 ký tự địa điểm
Cac field mandatory khac day du</t>
  </si>
  <si>
    <t>1. Chuan bi body dien MT710 dung chuan SWIFT
2. XOA tag :31D: khoi body dien
   (cac field mandatory khac van giu nguyen)
3. Gui POST request voi transactionType=MT710
4. Verify: HTTP 200, result=ERROR, errorCode=03</t>
  </si>
  <si>
    <t>Headers:
Authorization: Basic a3ljYWRtbjpwYXNzd29yZDM=
Content-Type: application/json
Params:
  transactionId: TF_AML_MT710_MND_11
  requestId:     REQ_AML_MT710_MND_11
  transactionType: MT710
  branchCd: HN
  channel: T24
  isCallBack: N
Body: Dien MT710 dung chuan SWIFT
Field bi THIEU: :31D: (Date and Place of Expiry (ngày và nơi hết hạn))
Format yeu cau: 6 chữ số ngày + tối đa 29 ký tự địa điểm
Vi du: Dien MT710 hop le nhung KHONG co tag :31D:</t>
  </si>
  <si>
    <t>MT710 – Field :31D: null/rong (Date and Place of Expiry (ngày và nơi hết hạn)) → errorCode=03</t>
  </si>
  <si>
    <t>Auth hop le;
Body MT710 co tag :31D: nhung gia tri null/empty
Format yeu cau: 6 chữ số ngày + tối đa 29 ký tự địa điểm
Cac field mandatory khac hop le</t>
  </si>
  <si>
    <t>1. Chuan bi body dien MT710 dung chuan SWIFT
2. Giu tag :31D: nhung de gia tri RONG/NULL
   (cac field mandatory khac van hop le)
3. Gui POST request voi transactionType=MT710
4. Verify: HTTP 200, result=ERROR, errorCode=03</t>
  </si>
  <si>
    <t>Headers:
Authorization: Basic a3ljYWRtbjpwYXNzd29yZDM=
Content-Type: application/json
Params:
  transactionId: TF_AML_MT710_MND_12
  requestId:     REQ_AML_MT710_MND_12
  transactionType: MT710
  branchCd: HN
  channel: T24
  isCallBack: N
Body: Dien MT710 dung chuan SWIFT
Field NULL/RONG: :31D: (Date and Place of Expiry (ngày và nơi hết hạn))
Format yeu cau: 6 chữ số ngày + tối đa 29 ký tự địa điểm
Vi du: Tag :31D: ton tai nhung gia tri = null/empty
       Vi du: :31D: (khong co gia tri sau dau :)</t>
  </si>
  <si>
    <t>MT710 – Thieu field :32B: (Currency Code, Amount (mã tiền tệ và số tiền)) → errorCode=03</t>
  </si>
  <si>
    <t>Auth hop le;
Body MT710 KHONG co tag :32B:
Format yeu cau: 3 ký tự mã tiền tệ ISO + tối đa 15 chữ số
Cac field mandatory khac day du</t>
  </si>
  <si>
    <t>1. Chuan bi body dien MT710 dung chuan SWIFT
2. XOA tag :32B: khoi body dien
   (cac field mandatory khac van giu nguyen)
3. Gui POST request voi transactionType=MT710
4. Verify: HTTP 200, result=ERROR, errorCode=03</t>
  </si>
  <si>
    <t>Headers:
Authorization: Basic a3ljYWRtbjpwYXNzd29yZDM=
Content-Type: application/json
Params:
  transactionId: TF_AML_MT710_MND_13
  requestId:     REQ_AML_MT710_MND_13
  transactionType: MT710
  branchCd: HN
  channel: T24
  isCallBack: N
Body: Dien MT710 dung chuan SWIFT
Field bi THIEU: :32B: (Currency Code, Amount (mã tiền tệ và số tiền))
Format yeu cau: 3 ký tự mã tiền tệ ISO + tối đa 15 chữ số
Vi du: Dien MT710 hop le nhung KHONG co tag :32B:</t>
  </si>
  <si>
    <t>AML_MT710_MND_14</t>
  </si>
  <si>
    <t>MT710 – Field :32B: null/rong (Currency Code, Amount (mã tiền tệ và số tiền)) → errorCode=03</t>
  </si>
  <si>
    <t>Auth hop le;
Body MT710 co tag :32B: nhung gia tri null/empty
Format yeu cau: 3 ký tự mã tiền tệ ISO + tối đa 15 chữ số
Cac field mandatory khac hop le</t>
  </si>
  <si>
    <t>1. Chuan bi body dien MT710 dung chuan SWIFT
2. Giu tag :32B: nhung de gia tri RONG/NULL
   (cac field mandatory khac van hop le)
3. Gui POST request voi transactionType=MT710
4. Verify: HTTP 200, result=ERROR, errorCode=03</t>
  </si>
  <si>
    <t>Headers:
Authorization: Basic a3ljYWRtbjpwYXNzd29yZDM=
Content-Type: application/json
Params:
  transactionId: TF_AML_MT710_MND_14
  requestId:     REQ_AML_MT710_MND_14
  transactionType: MT710
  branchCd: HN
  channel: T24
  isCallBack: N
Body: Dien MT710 dung chuan SWIFT
Field NULL/RONG: :32B: (Currency Code, Amount (mã tiền tệ và số tiền))
Format yeu cau: 3 ký tự mã tiền tệ ISO + tối đa 15 chữ số
Vi du: Tag :32B: ton tai nhung gia tri = null/empty
       Vi du: :32B: (khong co gia tri sau dau :)</t>
  </si>
  <si>
    <t>AML_MT710_MND_15</t>
  </si>
  <si>
    <t>MT710 – Thieu field :40B: (Form of Documentary Credit – loại B) → errorCode=03</t>
  </si>
  <si>
    <t>Auth hop le;
Body MT710 KHONG co tag :40B:
Format yeu cau: Xem SWIFT standard (format phụ thuộc subfield)
Cac field mandatory khac day du</t>
  </si>
  <si>
    <t>1. Chuan bi body dien MT710 dung chuan SWIFT
2. XOA tag :40B: khoi body dien
   (cac field mandatory khac van giu nguyen)
3. Gui POST request voi transactionType=MT710
4. Verify: HTTP 200, result=ERROR, errorCode=03</t>
  </si>
  <si>
    <t>Headers:
Authorization: Basic a3ljYWRtbjpwYXNzd29yZDM=
Content-Type: application/json
Params:
  transactionId: TF_AML_MT710_MND_15
  requestId:     REQ_AML_MT710_MND_15
  transactionType: MT710
  branchCd: HN
  channel: T24
  isCallBack: N
Body: Dien MT710 dung chuan SWIFT
Field bi THIEU: :40B: (Form of Documentary Credit – loại B)
Format yeu cau: Xem SWIFT standard (format phụ thuộc subfield)
Vi du: Dien MT710 hop le nhung KHONG co tag :40B:</t>
  </si>
  <si>
    <t>AML_MT710_MND_16</t>
  </si>
  <si>
    <t>MT710 – Field :40B: null/rong (Form of Documentary Credit – loại B) → errorCode=03</t>
  </si>
  <si>
    <t>Auth hop le;
Body MT710 co tag :40B: nhung gia tri null/empty
Format yeu cau: Xem SWIFT standard (format phụ thuộc subfield)
Cac field mandatory khac hop le</t>
  </si>
  <si>
    <t>1. Chuan bi body dien MT710 dung chuan SWIFT
2. Giu tag :40B: nhung de gia tri RONG/NULL
   (cac field mandatory khac van hop le)
3. Gui POST request voi transactionType=MT710
4. Verify: HTTP 200, result=ERROR, errorCode=03</t>
  </si>
  <si>
    <t>Headers:
Authorization: Basic a3ljYWRtbjpwYXNzd29yZDM=
Content-Type: application/json
Params:
  transactionId: TF_AML_MT710_MND_16
  requestId:     REQ_AML_MT710_MND_16
  transactionType: MT710
  branchCd: HN
  channel: T24
  isCallBack: N
Body: Dien MT710 dung chuan SWIFT
Field NULL/RONG: :40B: (Form of Documentary Credit – loại B)
Format yeu cau: Xem SWIFT standard (format phụ thuộc subfield)
Vi du: Tag :40B: ton tai nhung gia tri = null/empty
       Vi du: :40B: (khong co gia tri sau dau :)</t>
  </si>
  <si>
    <t>AML_MT710_MND_17</t>
  </si>
  <si>
    <t>MT710 – Thieu field :40E: (Applicable Rules (quy tắc áp dụng)) → errorCode=03</t>
  </si>
  <si>
    <t>Auth hop le;
Body MT710 KHONG co tag :40E:
Format yeu cau: Tối đa 30 ký tự [/35 ký tự tùy chọn]
Cac field mandatory khac day du</t>
  </si>
  <si>
    <t>1. Chuan bi body dien MT710 dung chuan SWIFT
2. XOA tag :40E: khoi body dien
   (cac field mandatory khac van giu nguyen)
3. Gui POST request voi transactionType=MT710
4. Verify: HTTP 200, result=ERROR, errorCode=03</t>
  </si>
  <si>
    <t>Headers:
Authorization: Basic a3ljYWRtbjpwYXNzd29yZDM=
Content-Type: application/json
Params:
  transactionId: TF_AML_MT710_MND_17
  requestId:     REQ_AML_MT710_MND_17
  transactionType: MT710
  branchCd: HN
  channel: T24
  isCallBack: N
Body: Dien MT710 dung chuan SWIFT
Field bi THIEU: :40E: (Applicable Rules (quy tắc áp dụng))
Format yeu cau: Tối đa 30 ký tự [/35 ký tự tùy chọn]
Vi du: Dien MT710 hop le nhung KHONG co tag :40E:</t>
  </si>
  <si>
    <t>AML_MT710_MND_18</t>
  </si>
  <si>
    <t>MT710 – Field :40E: null/rong (Applicable Rules (quy tắc áp dụng)) → errorCode=03</t>
  </si>
  <si>
    <t>Auth hop le;
Body MT710 co tag :40E: nhung gia tri null/empty
Format yeu cau: Tối đa 30 ký tự [/35 ký tự tùy chọn]
Cac field mandatory khac hop le</t>
  </si>
  <si>
    <t>1. Chuan bi body dien MT710 dung chuan SWIFT
2. Giu tag :40E: nhung de gia tri RONG/NULL
   (cac field mandatory khac van hop le)
3. Gui POST request voi transactionType=MT710
4. Verify: HTTP 200, result=ERROR, errorCode=03</t>
  </si>
  <si>
    <t>Headers:
Authorization: Basic a3ljYWRtbjpwYXNzd29yZDM=
Content-Type: application/json
Params:
  transactionId: TF_AML_MT710_MND_18
  requestId:     REQ_AML_MT710_MND_18
  transactionType: MT710
  branchCd: HN
  channel: T24
  isCallBack: N
Body: Dien MT710 dung chuan SWIFT
Field NULL/RONG: :40E: (Applicable Rules (quy tắc áp dụng))
Format yeu cau: Tối đa 30 ký tự [/35 ký tự tùy chọn]
Vi du: Tag :40E: ton tai nhung gia tri = null/empty
       Vi du: :40E: (khong co gia tri sau dau :)</t>
  </si>
  <si>
    <t>AML_MT710_MND_19</t>
  </si>
  <si>
    <t>MT710 – Thieu field :41A: (Available With... By... (ngân hàng &amp; phương thức thanh toán - loại A)) → errorCode=03</t>
  </si>
  <si>
    <t>Auth hop le;
Body MT710 KHONG co tag :41A:
Format yeu cau: Xem SWIFT standard (format phụ thuộc subfield)
Cac field mandatory khac day du</t>
  </si>
  <si>
    <t>1. Chuan bi body dien MT710 dung chuan SWIFT
2. XOA tag :41A: khoi body dien
   (cac field mandatory khac van giu nguyen)
3. Gui POST request voi transactionType=MT710
4. Verify: HTTP 200, result=ERROR, errorCode=03</t>
  </si>
  <si>
    <t>Headers:
Authorization: Basic a3ljYWRtbjpwYXNzd29yZDM=
Content-Type: application/json
Params:
  transactionId: TF_AML_MT710_MND_19
  requestId:     REQ_AML_MT710_MND_19
  transactionType: MT710
  branchCd: HN
  channel: T24
  isCallBack: N
Body: Dien MT710 dung chuan SWIFT
Field bi THIEU: :41A: (Available With... By... (ngân hàng &amp; phương thức thanh toán - loại A))
Format yeu cau: Xem SWIFT standard (format phụ thuộc subfield)
Vi du: Dien MT710 hop le nhung KHONG co tag :41A:</t>
  </si>
  <si>
    <t>AML_MT710_MND_20</t>
  </si>
  <si>
    <t>MT710 – Field :41A: null/rong (Available With... By... (ngân hàng &amp; phương thức thanh toán - loại A)) → errorCode=03</t>
  </si>
  <si>
    <t>Auth hop le;
Body MT710 co tag :41A: nhung gia tri null/empty
Format yeu cau: Xem SWIFT standard (format phụ thuộc subfield)
Cac field mandatory khac hop le</t>
  </si>
  <si>
    <t>1. Chuan bi body dien MT710 dung chuan SWIFT
2. Giu tag :41A: nhung de gia tri RONG/NULL
   (cac field mandatory khac van hop le)
3. Gui POST request voi transactionType=MT710
4. Verify: HTTP 200, result=ERROR, errorCode=03</t>
  </si>
  <si>
    <t>Headers:
Authorization: Basic a3ljYWRtbjpwYXNzd29yZDM=
Content-Type: application/json
Params:
  transactionId: TF_AML_MT710_MND_20
  requestId:     REQ_AML_MT710_MND_20
  transactionType: MT710
  branchCd: HN
  channel: T24
  isCallBack: N
Body: Dien MT710 dung chuan SWIFT
Field NULL/RONG: :41A: (Available With... By... (ngân hàng &amp; phương thức thanh toán - loại A))
Format yeu cau: Xem SWIFT standard (format phụ thuộc subfield)
Vi du: Tag :41A: ton tai nhung gia tri = null/empty
       Vi du: :41A: (khong co gia tri sau dau :)</t>
  </si>
  <si>
    <t>AML_MT710_MND_21</t>
  </si>
  <si>
    <t>MT710 – Thieu field :41D: (Available With... By... (ngân hàng &amp; phương thức thanh toán - loại D)) → errorCode=03</t>
  </si>
  <si>
    <t>Auth hop le;
Body MT710 KHONG co tag :41D:
Format yeu cau: Xem SWIFT standard (format phụ thuộc subfield)
Cac field mandatory khac day du</t>
  </si>
  <si>
    <t>1. Chuan bi body dien MT710 dung chuan SWIFT
2. XOA tag :41D: khoi body dien
   (cac field mandatory khac van giu nguyen)
3. Gui POST request voi transactionType=MT710
4. Verify: HTTP 200, result=ERROR, errorCode=03</t>
  </si>
  <si>
    <t>Headers:
Authorization: Basic a3ljYWRtbjpwYXNzd29yZDM=
Content-Type: application/json
Params:
  transactionId: TF_AML_MT710_MND_21
  requestId:     REQ_AML_MT710_MND_21
  transactionType: MT710
  branchCd: HN
  channel: T24
  isCallBack: N
Body: Dien MT710 dung chuan SWIFT
Field bi THIEU: :41D: (Available With... By... (ngân hàng &amp; phương thức thanh toán - loại D))
Format yeu cau: Xem SWIFT standard (format phụ thuộc subfield)
Vi du: Dien MT710 hop le nhung KHONG co tag :41D:</t>
  </si>
  <si>
    <t>AML_MT710_MND_22</t>
  </si>
  <si>
    <t>MT710 – Field :41D: null/rong (Available With... By... (ngân hàng &amp; phương thức thanh toán - loại D)) → errorCode=03</t>
  </si>
  <si>
    <t>Auth hop le;
Body MT710 co tag :41D: nhung gia tri null/empty
Format yeu cau: Xem SWIFT standard (format phụ thuộc subfield)
Cac field mandatory khac hop le</t>
  </si>
  <si>
    <t>1. Chuan bi body dien MT710 dung chuan SWIFT
2. Giu tag :41D: nhung de gia tri RONG/NULL
   (cac field mandatory khac van hop le)
3. Gui POST request voi transactionType=MT710
4. Verify: HTTP 200, result=ERROR, errorCode=03</t>
  </si>
  <si>
    <t>Headers:
Authorization: Basic a3ljYWRtbjpwYXNzd29yZDM=
Content-Type: application/json
Params:
  transactionId: TF_AML_MT710_MND_22
  requestId:     REQ_AML_MT710_MND_22
  transactionType: MT710
  branchCd: HN
  channel: T24
  isCallBack: N
Body: Dien MT710 dung chuan SWIFT
Field NULL/RONG: :41D: (Available With... By... (ngân hàng &amp; phương thức thanh toán - loại D))
Format yeu cau: Xem SWIFT standard (format phụ thuộc subfield)
Vi du: Tag :41D: ton tai nhung gia tri = null/empty
       Vi du: :41D: (khong co gia tri sau dau :)</t>
  </si>
  <si>
    <t>AML_MT710_MND_23</t>
  </si>
  <si>
    <t>MT710 – Thieu field :49: (Confirmation Instructions (hướng dẫn xác nhận)) → errorCode=03</t>
  </si>
  <si>
    <t>Auth hop le;
Body MT710 KHONG co tag :49:
Format yeu cau: Đúng 7 ký tự
Cac field mandatory khac day du</t>
  </si>
  <si>
    <t>1. Chuan bi body dien MT710 dung chuan SWIFT
2. XOA tag :49: khoi body dien
   (cac field mandatory khac van giu nguyen)
3. Gui POST request voi transactionType=MT710
4. Verify: HTTP 200, result=ERROR, errorCode=03</t>
  </si>
  <si>
    <t>Headers:
Authorization: Basic a3ljYWRtbjpwYXNzd29yZDM=
Content-Type: application/json
Params:
  transactionId: TF_AML_MT710_MND_23
  requestId:     REQ_AML_MT710_MND_23
  transactionType: MT710
  branchCd: HN
  channel: T24
  isCallBack: N
Body: Dien MT710 dung chuan SWIFT
Field bi THIEU: :49: (Confirmation Instructions (hướng dẫn xác nhận))
Format yeu cau: Đúng 7 ký tự
Vi du: Dien MT710 hop le nhung KHONG co tag :49:</t>
  </si>
  <si>
    <t>AML_MT710_MND_24</t>
  </si>
  <si>
    <t>MT710 – Field :49: null/rong (Confirmation Instructions (hướng dẫn xác nhận)) → errorCode=03</t>
  </si>
  <si>
    <t>Auth hop le;
Body MT710 co tag :49: nhung gia tri null/empty
Format yeu cau: Đúng 7 ký tự
Cac field mandatory khac hop le</t>
  </si>
  <si>
    <t>1. Chuan bi body dien MT710 dung chuan SWIFT
2. Giu tag :49: nhung de gia tri RONG/NULL
   (cac field mandatory khac van hop le)
3. Gui POST request voi transactionType=MT710
4. Verify: HTTP 200, result=ERROR, errorCode=03</t>
  </si>
  <si>
    <t>Headers:
Authorization: Basic a3ljYWRtbjpwYXNzd29yZDM=
Content-Type: application/json
Params:
  transactionId: TF_AML_MT710_MND_24
  requestId:     REQ_AML_MT710_MND_24
  transactionType: MT710
  branchCd: HN
  channel: T24
  isCallBack: N
Body: Dien MT710 dung chuan SWIFT
Field NULL/RONG: :49: (Confirmation Instructions (hướng dẫn xác nhận))
Format yeu cau: Đúng 7 ký tự
Vi du: Tag :49: ton tai nhung gia tri = null/empty
       Vi du: :49: (khong co gia tri sau dau :)</t>
  </si>
  <si>
    <t>AML_MT710_MND_25</t>
  </si>
  <si>
    <t>MT710 – Thieu field :50: (Applicant (người yêu cầu mở L/C / người đề nghị)) → errorCode=03</t>
  </si>
  <si>
    <t>Auth hop le;
Body MT710 KHONG co tag :50:
Format yeu cau: Tối đa 4 dòng × 35 ký tự
Cac field mandatory khac day du</t>
  </si>
  <si>
    <t>1. Chuan bi body dien MT710 dung chuan SWIFT
2. XOA tag :50: khoi body dien
   (cac field mandatory khac van giu nguyen)
3. Gui POST request voi transactionType=MT710
4. Verify: HTTP 200, result=ERROR, errorCode=03</t>
  </si>
  <si>
    <t>Headers:
Authorization: Basic a3ljYWRtbjpwYXNzd29yZDM=
Content-Type: application/json
Params:
  transactionId: TF_AML_MT710_MND_25
  requestId:     REQ_AML_MT710_MND_25
  transactionType: MT710
  branchCd: HN
  channel: T24
  isCallBack: N
Body: Dien MT710 dung chuan SWIFT
Field bi THIEU: :50: (Applicant (người yêu cầu mở L/C / người đề nghị))
Format yeu cau: Tối đa 4 dòng × 35 ký tự
Vi du: Dien MT710 hop le nhung KHONG co tag :50:</t>
  </si>
  <si>
    <t>AML_MT710_MND_26</t>
  </si>
  <si>
    <t>MT710 – Field :50: null/rong (Applicant (người yêu cầu mở L/C / người đề nghị)) → errorCode=03</t>
  </si>
  <si>
    <t>Auth hop le;
Body MT710 co tag :50: nhung gia tri null/empty
Format yeu cau: Tối đa 4 dòng × 35 ký tự
Cac field mandatory khac hop le</t>
  </si>
  <si>
    <t>1. Chuan bi body dien MT710 dung chuan SWIFT
2. Giu tag :50: nhung de gia tri RONG/NULL
   (cac field mandatory khac van hop le)
3. Gui POST request voi transactionType=MT710
4. Verify: HTTP 200, result=ERROR, errorCode=03</t>
  </si>
  <si>
    <t>Headers:
Authorization: Basic a3ljYWRtbjpwYXNzd29yZDM=
Content-Type: application/json
Params:
  transactionId: TF_AML_MT710_MND_26
  requestId:     REQ_AML_MT710_MND_26
  transactionType: MT710
  branchCd: HN
  channel: T24
  isCallBack: N
Body: Dien MT710 dung chuan SWIFT
Field NULL/RONG: :50: (Applicant (người yêu cầu mở L/C / người đề nghị))
Format yeu cau: Tối đa 4 dòng × 35 ký tự
Vi du: Tag :50: ton tai nhung gia tri = null/empty
       Vi du: :50: (khong co gia tri sau dau :)</t>
  </si>
  <si>
    <t>AML_MT710_MND_27</t>
  </si>
  <si>
    <t>MT710 – Thieu field :59: (Beneficiary (người thụ hưởng)) → errorCode=03</t>
  </si>
  <si>
    <t>Auth hop le;
Body MT710 KHONG co tag :59:
Format yeu cau: Xem SWIFT standard (format phụ thuộc subfield)
Cac field mandatory khac day du</t>
  </si>
  <si>
    <t>1. Chuan bi body dien MT710 dung chuan SWIFT
2. XOA tag :59: khoi body dien
   (cac field mandatory khac van giu nguyen)
3. Gui POST request voi transactionType=MT710
4. Verify: HTTP 200, result=ERROR, errorCode=03</t>
  </si>
  <si>
    <t>Headers:
Authorization: Basic a3ljYWRtbjpwYXNzd29yZDM=
Content-Type: application/json
Params:
  transactionId: TF_AML_MT710_MND_27
  requestId:     REQ_AML_MT710_MND_27
  transactionType: MT710
  branchCd: HN
  channel: T24
  isCallBack: N
Body: Dien MT710 dung chuan SWIFT
Field bi THIEU: :59: (Beneficiary (người thụ hưởng))
Format yeu cau: Xem SWIFT standard (format phụ thuộc subfield)
Vi du: Dien MT710 hop le nhung KHONG co tag :59:</t>
  </si>
  <si>
    <t>AML_MT710_MND_28</t>
  </si>
  <si>
    <t>MT710 – Field :59: null/rong (Beneficiary (người thụ hưởng)) → errorCode=03</t>
  </si>
  <si>
    <t>Auth hop le;
Body MT710 co tag :59: nhung gia tri null/empty
Format yeu cau: Xem SWIFT standard (format phụ thuộc subfield)
Cac field mandatory khac hop le</t>
  </si>
  <si>
    <t>1. Chuan bi body dien MT710 dung chuan SWIFT
2. Giu tag :59: nhung de gia tri RONG/NULL
   (cac field mandatory khac van hop le)
3. Gui POST request voi transactionType=MT710
4. Verify: HTTP 200, result=ERROR, errorCode=03</t>
  </si>
  <si>
    <t>Headers:
Authorization: Basic a3ljYWRtbjpwYXNzd29yZDM=
Content-Type: application/json
Params:
  transactionId: TF_AML_MT710_MND_28
  requestId:     REQ_AML_MT710_MND_28
  transactionType: MT710
  branchCd: HN
  channel: T24
  isCallBack: N
Body: Dien MT710 dung chuan SWIFT
Field NULL/RONG: :59: (Beneficiary (người thụ hưởng))
Format yeu cau: Xem SWIFT standard (format phụ thuộc subfield)
Vi du: Tag :59: ton tai nhung gia tri = null/empty
       Vi du: :59: (khong co gia tri sau dau :)</t>
  </si>
  <si>
    <t xml:space="preserve">    AML_MT711_MND  Kiem tra field mandatory cho dien MT711 (3 field: :20:, :21:, :27:)</t>
  </si>
  <si>
    <t>MT711 – Gui dien hop le day du 3 field mandatory (baseline)</t>
  </si>
  <si>
    <t>Auth hop le;
Body dien MT711 co du 3 field mandatory:
:20:, :21:, :27:</t>
  </si>
  <si>
    <t>1. Chuan bi body dien MT711 day du chuan SWIFT
   Co du tat ca 3 field mandatory:
   :20:
   :21:
   :27:
2. Gui POST request voi transactionType=MT711
3. Verify: HTTP 200, errorCode=00
4. Day la baseline – dung de so sanh voi cac TC loi</t>
  </si>
  <si>
    <t>Headers:
Authorization: Basic a3ljYWRtbjpwYXNzd29yZDM=
Content-Type: application/json
Params:
  transactionId: TF_AML_MT711_MND_01
  requestId:     REQ_AML_MT711_MND_01
  transactionType: MT711
  branchCd: HN
  channel: T24
  isCallBack: N
Body: Dien MT711 theo chuan SWIFT
Co du 3 field mandatory:
:20:, :21:, :27:</t>
  </si>
  <si>
    <t>MT711 – Thieu tat ca 3 field mandatory → errorCode=03</t>
  </si>
  <si>
    <t>Auth hop le;
Body dien MT711 bi xoa toan bo field mandatory</t>
  </si>
  <si>
    <t>1. Chuan bi body dien MT711 dung chuan SWIFT
2. Xoa toan bo 3 field mandatory: :20:, :21:, :27:
3. Gui POST request voi transactionType=MT711
4. Verify: HTTP 200, result=ERROR, errorCode=03</t>
  </si>
  <si>
    <t>Headers:
Authorization: Basic a3ljYWRtbjpwYXNzd29yZDM=
Content-Type: application/json
Params:
  transactionId: TF_AML_MT711_MND_02
  requestId:     REQ_AML_MT711_MND_02
  transactionType: MT711
  branchCd: HN
  channel: T24
  isCallBack: N
Body: Dien MT711 theo chuan SWIFT
DA XOA toan bo 3 field mandatory:
:20:, :21:, :27:</t>
  </si>
  <si>
    <t>MT711 – Thieu field :20: (Transaction Reference Number (mã tham chiếu giao dịch)) → errorCode=03</t>
  </si>
  <si>
    <t>Auth hop le;
Body MT711 KHONG co tag :20:
Format yeu cau: Tối đa 16 ký tự alphanumeric
Cac field mandatory khac day du</t>
  </si>
  <si>
    <t>1. Chuan bi body dien MT711 dung chuan SWIFT
2. XOA tag :20: khoi body dien
   (cac field mandatory khac van giu nguyen)
3. Gui POST request voi transactionType=MT711
4. Verify: HTTP 200, result=ERROR, errorCode=03</t>
  </si>
  <si>
    <t>Headers:
Authorization: Basic a3ljYWRtbjpwYXNzd29yZDM=
Content-Type: application/json
Params:
  transactionId: TF_AML_MT711_MND_03
  requestId:     REQ_AML_MT711_MND_03
  transactionType: MT711
  branchCd: HN
  channel: T24
  isCallBack: N
Body: Dien MT711 dung chuan SWIFT
Field bi THIEU: :20: (Transaction Reference Number (mã tham chiếu giao dịch))
Format yeu cau: Tối đa 16 ký tự alphanumeric
Vi du: Dien MT711 hop le nhung KHONG co tag :20:</t>
  </si>
  <si>
    <t>AML_MT711_MND_04</t>
  </si>
  <si>
    <t>MT711 – Field :20: null/rong (Transaction Reference Number (mã tham chiếu giao dịch)) → errorCode=03</t>
  </si>
  <si>
    <t>Auth hop le;
Body MT711 co tag :20: nhung gia tri null/empty
Format yeu cau: Tối đa 16 ký tự alphanumeric
Cac field mandatory khac hop le</t>
  </si>
  <si>
    <t>1. Chuan bi body dien MT711 dung chuan SWIFT
2. Giu tag :20: nhung de gia tri RONG/NULL
   (cac field mandatory khac van hop le)
3. Gui POST request voi transactionType=MT711
4. Verify: HTTP 200, result=ERROR, errorCode=03</t>
  </si>
  <si>
    <t>Headers:
Authorization: Basic a3ljYWRtbjpwYXNzd29yZDM=
Content-Type: application/json
Params:
  transactionId: TF_AML_MT711_MND_04
  requestId:     REQ_AML_MT711_MND_04
  transactionType: MT711
  branchCd: HN
  channel: T24
  isCallBack: N
Body: Dien MT711 dung chuan SWIFT
Field NULL/RONG: :20: (Transaction Reference Number (mã tham chiếu giao dịch))
Format yeu cau: Tối đa 16 ký tự alphanumeric
Vi du: Tag :20: ton tai nhung gia tri = null/empty
       Vi du: :20: (khong co gia tri sau dau :)</t>
  </si>
  <si>
    <t>AML_MT711_MND_05</t>
  </si>
  <si>
    <t>MT711 – Thieu field :21: (Related Reference (tham chiếu liên quan)) → errorCode=03</t>
  </si>
  <si>
    <t>Auth hop le;
Body MT711 KHONG co tag :21:
Format yeu cau: Tối đa 16 ký tự alphanumeric
Cac field mandatory khac day du</t>
  </si>
  <si>
    <t>1. Chuan bi body dien MT711 dung chuan SWIFT
2. XOA tag :21: khoi body dien
   (cac field mandatory khac van giu nguyen)
3. Gui POST request voi transactionType=MT711
4. Verify: HTTP 200, result=ERROR, errorCode=03</t>
  </si>
  <si>
    <t>Headers:
Authorization: Basic a3ljYWRtbjpwYXNzd29yZDM=
Content-Type: application/json
Params:
  transactionId: TF_AML_MT711_MND_05
  requestId:     REQ_AML_MT711_MND_05
  transactionType: MT711
  branchCd: HN
  channel: T24
  isCallBack: N
Body: Dien MT711 dung chuan SWIFT
Field bi THIEU: :21: (Related Reference (tham chiếu liên quan))
Format yeu cau: Tối đa 16 ký tự alphanumeric
Vi du: Dien MT711 hop le nhung KHONG co tag :21:</t>
  </si>
  <si>
    <t>AML_MT711_MND_06</t>
  </si>
  <si>
    <t>MT711 – Field :21: null/rong (Related Reference (tham chiếu liên quan)) → errorCode=03</t>
  </si>
  <si>
    <t>Auth hop le;
Body MT711 co tag :21: nhung gia tri null/empty
Format yeu cau: Tối đa 16 ký tự alphanumeric
Cac field mandatory khac hop le</t>
  </si>
  <si>
    <t>1. Chuan bi body dien MT711 dung chuan SWIFT
2. Giu tag :21: nhung de gia tri RONG/NULL
   (cac field mandatory khac van hop le)
3. Gui POST request voi transactionType=MT711
4. Verify: HTTP 200, result=ERROR, errorCode=03</t>
  </si>
  <si>
    <t>Headers:
Authorization: Basic a3ljYWRtbjpwYXNzd29yZDM=
Content-Type: application/json
Params:
  transactionId: TF_AML_MT711_MND_06
  requestId:     REQ_AML_MT711_MND_06
  transactionType: MT711
  branchCd: HN
  channel: T24
  isCallBack: N
Body: Dien MT711 dung chuan SWIFT
Field NULL/RONG: :21: (Related Reference (tham chiếu liên quan))
Format yeu cau: Tối đa 16 ký tự alphanumeric
Vi du: Tag :21: ton tai nhung gia tri = null/empty
       Vi du: :21: (khong co gia tri sau dau :)</t>
  </si>
  <si>
    <t>AML_MT711_MND_07</t>
  </si>
  <si>
    <t>MT711 – Thieu field :27: (Sequence of Total (thứ tự / tổng số điện)) → errorCode=03</t>
  </si>
  <si>
    <t>Auth hop le;
Body MT711 KHONG co tag :27:
Format yeu cau: Định dạng số/số (ví dụ: 1/1)
Cac field mandatory khac day du</t>
  </si>
  <si>
    <t>1. Chuan bi body dien MT711 dung chuan SWIFT
2. XOA tag :27: khoi body dien
   (cac field mandatory khac van giu nguyen)
3. Gui POST request voi transactionType=MT711
4. Verify: HTTP 200, result=ERROR, errorCode=03</t>
  </si>
  <si>
    <t>Headers:
Authorization: Basic a3ljYWRtbjpwYXNzd29yZDM=
Content-Type: application/json
Params:
  transactionId: TF_AML_MT711_MND_07
  requestId:     REQ_AML_MT711_MND_07
  transactionType: MT711
  branchCd: HN
  channel: T24
  isCallBack: N
Body: Dien MT711 dung chuan SWIFT
Field bi THIEU: :27: (Sequence of Total (thứ tự / tổng số điện))
Format yeu cau: Định dạng số/số (ví dụ: 1/1)
Vi du: Dien MT711 hop le nhung KHONG co tag :27:</t>
  </si>
  <si>
    <t>AML_MT711_MND_08</t>
  </si>
  <si>
    <t>MT711 – Field :27: null/rong (Sequence of Total (thứ tự / tổng số điện)) → errorCode=03</t>
  </si>
  <si>
    <t>Auth hop le;
Body MT711 co tag :27: nhung gia tri null/empty
Format yeu cau: Định dạng số/số (ví dụ: 1/1)
Cac field mandatory khac hop le</t>
  </si>
  <si>
    <t>1. Chuan bi body dien MT711 dung chuan SWIFT
2. Giu tag :27: nhung de gia tri RONG/NULL
   (cac field mandatory khac van hop le)
3. Gui POST request voi transactionType=MT711
4. Verify: HTTP 200, result=ERROR, errorCode=03</t>
  </si>
  <si>
    <t>Headers:
Authorization: Basic a3ljYWRtbjpwYXNzd29yZDM=
Content-Type: application/json
Params:
  transactionId: TF_AML_MT711_MND_08
  requestId:     REQ_AML_MT711_MND_08
  transactionType: MT711
  branchCd: HN
  channel: T24
  isCallBack: N
Body: Dien MT711 dung chuan SWIFT
Field NULL/RONG: :27: (Sequence of Total (thứ tự / tổng số điện))
Format yeu cau: Định dạng số/số (ví dụ: 1/1)
Vi du: Tag :27: ton tai nhung gia tri = null/empty
       Vi du: :27: (khong co gia tri sau dau :)</t>
  </si>
  <si>
    <t xml:space="preserve">    AML_MT720_MND  Kiem tra field mandatory cho dien MT720 (13 field: :20:, :21:, :27:, :31C:, :31D:, :32B:, :40B:, :40E:, :41A:, :41D:, :49:, :50:, :59:)</t>
  </si>
  <si>
    <t>MT720 – Gui dien hop le day du 13 field mandatory (baseline)</t>
  </si>
  <si>
    <t>Auth hop le;
Body dien MT720 co du 13 field mandatory:
:20:, :21:, :27:, :31C:, :31D:, :32B:, :40B:, :40E:, :41A:, :41D:, :49:, :50:, :59:</t>
  </si>
  <si>
    <t>1. Chuan bi body dien MT720 day du chuan SWIFT
   Co du tat ca 13 field mandatory:
   :20:
   :21:
   :27:
   :31C:
   :31D:
   :32B:
   :40B:
   :40E:
   :41A:
   :41D:
   :49:
   :50:
   :59:
2. Gui POST request voi transactionType=MT720
3. Verify: HTTP 200, errorCode=00
4. Day la baseline – dung de so sanh voi cac TC loi</t>
  </si>
  <si>
    <t>Headers:
Authorization: Basic a3ljYWRtbjpwYXNzd29yZDM=
Content-Type: application/json
Params:
  transactionId: TF_AML_MT720_MND_01
  requestId:     REQ_AML_MT720_MND_01
  transactionType: MT720
  branchCd: HN
  channel: T24
  isCallBack: N
Body: Dien MT720 theo chuan SWIFT
Co du 13 field mandatory:
:20:, :21:, :27:, :31C:, :31D:, :32B:, :40B:, :40E:, :41A:, :41D:, :49:, :50:, :59:</t>
  </si>
  <si>
    <t>MT720 – Thieu tat ca 13 field mandatory → errorCode=03</t>
  </si>
  <si>
    <t>Auth hop le;
Body dien MT720 bi xoa toan bo field mandatory</t>
  </si>
  <si>
    <t>1. Chuan bi body dien MT720 dung chuan SWIFT
2. Xoa toan bo 13 field mandatory: :20:, :21:, :27:, :31C:, :31D:, :32B:, :40B:, :40E:, :41A:, :41D:, :49:, :50:, :59:
3. Gui POST request voi transactionType=MT720
4. Verify: HTTP 200, result=ERROR, errorCode=03</t>
  </si>
  <si>
    <t>Headers:
Authorization: Basic a3ljYWRtbjpwYXNzd29yZDM=
Content-Type: application/json
Params:
  transactionId: TF_AML_MT720_MND_02
  requestId:     REQ_AML_MT720_MND_02
  transactionType: MT720
  branchCd: HN
  channel: T24
  isCallBack: N
Body: Dien MT720 theo chuan SWIFT
DA XOA toan bo 13 field mandatory:
:20:, :21:, :27:, :31C:, :31D:, :32B:, :40B:, :40E:, :41A:, :41D:, :49:, :50:, :59:</t>
  </si>
  <si>
    <t>MT720 – Thieu field :20: (Transaction Reference Number (mã tham chiếu giao dịch)) → errorCode=03</t>
  </si>
  <si>
    <t>Auth hop le;
Body MT720 KHONG co tag :20:
Format yeu cau: Tối đa 16 ký tự alphanumeric
Cac field mandatory khac day du</t>
  </si>
  <si>
    <t>1. Chuan bi body dien MT720 dung chuan SWIFT
2. XOA tag :20: khoi body dien
   (cac field mandatory khac van giu nguyen)
3. Gui POST request voi transactionType=MT720
4. Verify: HTTP 200, result=ERROR, errorCode=03</t>
  </si>
  <si>
    <t>Headers:
Authorization: Basic a3ljYWRtbjpwYXNzd29yZDM=
Content-Type: application/json
Params:
  transactionId: TF_AML_MT720_MND_03
  requestId:     REQ_AML_MT720_MND_03
  transactionType: MT720
  branchCd: HN
  channel: T24
  isCallBack: N
Body: Dien MT720 dung chuan SWIFT
Field bi THIEU: :20: (Transaction Reference Number (mã tham chiếu giao dịch))
Format yeu cau: Tối đa 16 ký tự alphanumeric
Vi du: Dien MT720 hop le nhung KHONG co tag :20:</t>
  </si>
  <si>
    <t>MT720 – Field :20: null/rong (Transaction Reference Number (mã tham chiếu giao dịch)) → errorCode=03</t>
  </si>
  <si>
    <t>Auth hop le;
Body MT720 co tag :20: nhung gia tri null/empty
Format yeu cau: Tối đa 16 ký tự alphanumeric
Cac field mandatory khac hop le</t>
  </si>
  <si>
    <t>1. Chuan bi body dien MT720 dung chuan SWIFT
2. Giu tag :20: nhung de gia tri RONG/NULL
   (cac field mandatory khac van hop le)
3. Gui POST request voi transactionType=MT720
4. Verify: HTTP 200, result=ERROR, errorCode=03</t>
  </si>
  <si>
    <t>Headers:
Authorization: Basic a3ljYWRtbjpwYXNzd29yZDM=
Content-Type: application/json
Params:
  transactionId: TF_AML_MT720_MND_04
  requestId:     REQ_AML_MT720_MND_04
  transactionType: MT720
  branchCd: HN
  channel: T24
  isCallBack: N
Body: Dien MT720 dung chuan SWIFT
Field NULL/RONG: :20: (Transaction Reference Number (mã tham chiếu giao dịch))
Format yeu cau: Tối đa 16 ký tự alphanumeric
Vi du: Tag :20: ton tai nhung gia tri = null/empty
       Vi du: :20: (khong co gia tri sau dau :)</t>
  </si>
  <si>
    <t>MT720 – Thieu field :21: (Related Reference (tham chiếu liên quan)) → errorCode=03</t>
  </si>
  <si>
    <t>Auth hop le;
Body MT720 KHONG co tag :21:
Format yeu cau: Tối đa 16 ký tự alphanumeric
Cac field mandatory khac day du</t>
  </si>
  <si>
    <t>1. Chuan bi body dien MT720 dung chuan SWIFT
2. XOA tag :21: khoi body dien
   (cac field mandatory khac van giu nguyen)
3. Gui POST request voi transactionType=MT720
4. Verify: HTTP 200, result=ERROR, errorCode=03</t>
  </si>
  <si>
    <t>Headers:
Authorization: Basic a3ljYWRtbjpwYXNzd29yZDM=
Content-Type: application/json
Params:
  transactionId: TF_AML_MT720_MND_05
  requestId:     REQ_AML_MT720_MND_05
  transactionType: MT720
  branchCd: HN
  channel: T24
  isCallBack: N
Body: Dien MT720 dung chuan SWIFT
Field bi THIEU: :21: (Related Reference (tham chiếu liên quan))
Format yeu cau: Tối đa 16 ký tự alphanumeric
Vi du: Dien MT720 hop le nhung KHONG co tag :21:</t>
  </si>
  <si>
    <t>MT720 – Field :21: null/rong (Related Reference (tham chiếu liên quan)) → errorCode=03</t>
  </si>
  <si>
    <t>Auth hop le;
Body MT720 co tag :21: nhung gia tri null/empty
Format yeu cau: Tối đa 16 ký tự alphanumeric
Cac field mandatory khac hop le</t>
  </si>
  <si>
    <t>1. Chuan bi body dien MT720 dung chuan SWIFT
2. Giu tag :21: nhung de gia tri RONG/NULL
   (cac field mandatory khac van hop le)
3. Gui POST request voi transactionType=MT720
4. Verify: HTTP 200, result=ERROR, errorCode=03</t>
  </si>
  <si>
    <t>Headers:
Authorization: Basic a3ljYWRtbjpwYXNzd29yZDM=
Content-Type: application/json
Params:
  transactionId: TF_AML_MT720_MND_06
  requestId:     REQ_AML_MT720_MND_06
  transactionType: MT720
  branchCd: HN
  channel: T24
  isCallBack: N
Body: Dien MT720 dung chuan SWIFT
Field NULL/RONG: :21: (Related Reference (tham chiếu liên quan))
Format yeu cau: Tối đa 16 ký tự alphanumeric
Vi du: Tag :21: ton tai nhung gia tri = null/empty
       Vi du: :21: (khong co gia tri sau dau :)</t>
  </si>
  <si>
    <t>MT720 – Thieu field :27: (Sequence of Total (thứ tự / tổng số điện)) → errorCode=03</t>
  </si>
  <si>
    <t>Auth hop le;
Body MT720 KHONG co tag :27:
Format yeu cau: Định dạng số/số (ví dụ: 1/1)
Cac field mandatory khac day du</t>
  </si>
  <si>
    <t>1. Chuan bi body dien MT720 dung chuan SWIFT
2. XOA tag :27: khoi body dien
   (cac field mandatory khac van giu nguyen)
3. Gui POST request voi transactionType=MT720
4. Verify: HTTP 200, result=ERROR, errorCode=03</t>
  </si>
  <si>
    <t>Headers:
Authorization: Basic a3ljYWRtbjpwYXNzd29yZDM=
Content-Type: application/json
Params:
  transactionId: TF_AML_MT720_MND_07
  requestId:     REQ_AML_MT720_MND_07
  transactionType: MT720
  branchCd: HN
  channel: T24
  isCallBack: N
Body: Dien MT720 dung chuan SWIFT
Field bi THIEU: :27: (Sequence of Total (thứ tự / tổng số điện))
Format yeu cau: Định dạng số/số (ví dụ: 1/1)
Vi du: Dien MT720 hop le nhung KHONG co tag :27:</t>
  </si>
  <si>
    <t>MT720 – Field :27: null/rong (Sequence of Total (thứ tự / tổng số điện)) → errorCode=03</t>
  </si>
  <si>
    <t>Auth hop le;
Body MT720 co tag :27: nhung gia tri null/empty
Format yeu cau: Định dạng số/số (ví dụ: 1/1)
Cac field mandatory khac hop le</t>
  </si>
  <si>
    <t>1. Chuan bi body dien MT720 dung chuan SWIFT
2. Giu tag :27: nhung de gia tri RONG/NULL
   (cac field mandatory khac van hop le)
3. Gui POST request voi transactionType=MT720
4. Verify: HTTP 200, result=ERROR, errorCode=03</t>
  </si>
  <si>
    <t>Headers:
Authorization: Basic a3ljYWRtbjpwYXNzd29yZDM=
Content-Type: application/json
Params:
  transactionId: TF_AML_MT720_MND_08
  requestId:     REQ_AML_MT720_MND_08
  transactionType: MT720
  branchCd: HN
  channel: T24
  isCallBack: N
Body: Dien MT720 dung chuan SWIFT
Field NULL/RONG: :27: (Sequence of Total (thứ tự / tổng số điện))
Format yeu cau: Định dạng số/số (ví dụ: 1/1)
Vi du: Tag :27: ton tai nhung gia tri = null/empty
       Vi du: :27: (khong co gia tri sau dau :)</t>
  </si>
  <si>
    <t>MT720 – Thieu field :31C: (Date of Issue (ngày phát hành)) → errorCode=03</t>
  </si>
  <si>
    <t>Auth hop le;
Body MT720 KHONG co tag :31C:
Format yeu cau: 6 chữ số – định dạng ngày YYMMDD
Cac field mandatory khac day du</t>
  </si>
  <si>
    <t>1. Chuan bi body dien MT720 dung chuan SWIFT
2. XOA tag :31C: khoi body dien
   (cac field mandatory khac van giu nguyen)
3. Gui POST request voi transactionType=MT720
4. Verify: HTTP 200, result=ERROR, errorCode=03</t>
  </si>
  <si>
    <t>Headers:
Authorization: Basic a3ljYWRtbjpwYXNzd29yZDM=
Content-Type: application/json
Params:
  transactionId: TF_AML_MT720_MND_09
  requestId:     REQ_AML_MT720_MND_09
  transactionType: MT720
  branchCd: HN
  channel: T24
  isCallBack: N
Body: Dien MT720 dung chuan SWIFT
Field bi THIEU: :31C: (Date of Issue (ngày phát hành))
Format yeu cau: 6 chữ số – định dạng ngày YYMMDD
Vi du: Dien MT720 hop le nhung KHONG co tag :31C:</t>
  </si>
  <si>
    <t>MT720 – Field :31C: null/rong (Date of Issue (ngày phát hành)) → errorCode=03</t>
  </si>
  <si>
    <t>Auth hop le;
Body MT720 co tag :31C: nhung gia tri null/empty
Format yeu cau: 6 chữ số – định dạng ngày YYMMDD
Cac field mandatory khac hop le</t>
  </si>
  <si>
    <t>1. Chuan bi body dien MT720 dung chuan SWIFT
2. Giu tag :31C: nhung de gia tri RONG/NULL
   (cac field mandatory khac van hop le)
3. Gui POST request voi transactionType=MT720
4. Verify: HTTP 200, result=ERROR, errorCode=03</t>
  </si>
  <si>
    <t>Headers:
Authorization: Basic a3ljYWRtbjpwYXNzd29yZDM=
Content-Type: application/json
Params:
  transactionId: TF_AML_MT720_MND_10
  requestId:     REQ_AML_MT720_MND_10
  transactionType: MT720
  branchCd: HN
  channel: T24
  isCallBack: N
Body: Dien MT720 dung chuan SWIFT
Field NULL/RONG: :31C: (Date of Issue (ngày phát hành))
Format yeu cau: 6 chữ số – định dạng ngày YYMMDD
Vi du: Tag :31C: ton tai nhung gia tri = null/empty
       Vi du: :31C: (khong co gia tri sau dau :)</t>
  </si>
  <si>
    <t>MT720 – Thieu field :31D: (Date and Place of Expiry (ngày và nơi hết hạn)) → errorCode=03</t>
  </si>
  <si>
    <t>Auth hop le;
Body MT720 KHONG co tag :31D:
Format yeu cau: 6 chữ số ngày + tối đa 29 ký tự địa điểm
Cac field mandatory khac day du</t>
  </si>
  <si>
    <t>1. Chuan bi body dien MT720 dung chuan SWIFT
2. XOA tag :31D: khoi body dien
   (cac field mandatory khac van giu nguyen)
3. Gui POST request voi transactionType=MT720
4. Verify: HTTP 200, result=ERROR, errorCode=03</t>
  </si>
  <si>
    <t>Headers:
Authorization: Basic a3ljYWRtbjpwYXNzd29yZDM=
Content-Type: application/json
Params:
  transactionId: TF_AML_MT720_MND_11
  requestId:     REQ_AML_MT720_MND_11
  transactionType: MT720
  branchCd: HN
  channel: T24
  isCallBack: N
Body: Dien MT720 dung chuan SWIFT
Field bi THIEU: :31D: (Date and Place of Expiry (ngày và nơi hết hạn))
Format yeu cau: 6 chữ số ngày + tối đa 29 ký tự địa điểm
Vi du: Dien MT720 hop le nhung KHONG co tag :31D:</t>
  </si>
  <si>
    <t>MT720 – Field :31D: null/rong (Date and Place of Expiry (ngày và nơi hết hạn)) → errorCode=03</t>
  </si>
  <si>
    <t>Auth hop le;
Body MT720 co tag :31D: nhung gia tri null/empty
Format yeu cau: 6 chữ số ngày + tối đa 29 ký tự địa điểm
Cac field mandatory khac hop le</t>
  </si>
  <si>
    <t>1. Chuan bi body dien MT720 dung chuan SWIFT
2. Giu tag :31D: nhung de gia tri RONG/NULL
   (cac field mandatory khac van hop le)
3. Gui POST request voi transactionType=MT720
4. Verify: HTTP 200, result=ERROR, errorCode=03</t>
  </si>
  <si>
    <t>Headers:
Authorization: Basic a3ljYWRtbjpwYXNzd29yZDM=
Content-Type: application/json
Params:
  transactionId: TF_AML_MT720_MND_12
  requestId:     REQ_AML_MT720_MND_12
  transactionType: MT720
  branchCd: HN
  channel: T24
  isCallBack: N
Body: Dien MT720 dung chuan SWIFT
Field NULL/RONG: :31D: (Date and Place of Expiry (ngày và nơi hết hạn))
Format yeu cau: 6 chữ số ngày + tối đa 29 ký tự địa điểm
Vi du: Tag :31D: ton tai nhung gia tri = null/empty
       Vi du: :31D: (khong co gia tri sau dau :)</t>
  </si>
  <si>
    <t>MT720 – Thieu field :32B: (Currency Code, Amount (mã tiền tệ và số tiền)) → errorCode=03</t>
  </si>
  <si>
    <t>Auth hop le;
Body MT720 KHONG co tag :32B:
Format yeu cau: 3 ký tự mã tiền tệ ISO + tối đa 15 chữ số
Cac field mandatory khac day du</t>
  </si>
  <si>
    <t>1. Chuan bi body dien MT720 dung chuan SWIFT
2. XOA tag :32B: khoi body dien
   (cac field mandatory khac van giu nguyen)
3. Gui POST request voi transactionType=MT720
4. Verify: HTTP 200, result=ERROR, errorCode=03</t>
  </si>
  <si>
    <t>Headers:
Authorization: Basic a3ljYWRtbjpwYXNzd29yZDM=
Content-Type: application/json
Params:
  transactionId: TF_AML_MT720_MND_13
  requestId:     REQ_AML_MT720_MND_13
  transactionType: MT720
  branchCd: HN
  channel: T24
  isCallBack: N
Body: Dien MT720 dung chuan SWIFT
Field bi THIEU: :32B: (Currency Code, Amount (mã tiền tệ và số tiền))
Format yeu cau: 3 ký tự mã tiền tệ ISO + tối đa 15 chữ số
Vi du: Dien MT720 hop le nhung KHONG co tag :32B:</t>
  </si>
  <si>
    <t>AML_MT720_MND_14</t>
  </si>
  <si>
    <t>MT720 – Field :32B: null/rong (Currency Code, Amount (mã tiền tệ và số tiền)) → errorCode=03</t>
  </si>
  <si>
    <t>Auth hop le;
Body MT720 co tag :32B: nhung gia tri null/empty
Format yeu cau: 3 ký tự mã tiền tệ ISO + tối đa 15 chữ số
Cac field mandatory khac hop le</t>
  </si>
  <si>
    <t>1. Chuan bi body dien MT720 dung chuan SWIFT
2. Giu tag :32B: nhung de gia tri RONG/NULL
   (cac field mandatory khac van hop le)
3. Gui POST request voi transactionType=MT720
4. Verify: HTTP 200, result=ERROR, errorCode=03</t>
  </si>
  <si>
    <t>Headers:
Authorization: Basic a3ljYWRtbjpwYXNzd29yZDM=
Content-Type: application/json
Params:
  transactionId: TF_AML_MT720_MND_14
  requestId:     REQ_AML_MT720_MND_14
  transactionType: MT720
  branchCd: HN
  channel: T24
  isCallBack: N
Body: Dien MT720 dung chuan SWIFT
Field NULL/RONG: :32B: (Currency Code, Amount (mã tiền tệ và số tiền))
Format yeu cau: 3 ký tự mã tiền tệ ISO + tối đa 15 chữ số
Vi du: Tag :32B: ton tai nhung gia tri = null/empty
       Vi du: :32B: (khong co gia tri sau dau :)</t>
  </si>
  <si>
    <t>AML_MT720_MND_15</t>
  </si>
  <si>
    <t>MT720 – Thieu field :40B: (Form of Documentary Credit – loại B) → errorCode=03</t>
  </si>
  <si>
    <t>Auth hop le;
Body MT720 KHONG co tag :40B:
Format yeu cau: Xem SWIFT standard (format phụ thuộc subfield)
Cac field mandatory khac day du</t>
  </si>
  <si>
    <t>1. Chuan bi body dien MT720 dung chuan SWIFT
2. XOA tag :40B: khoi body dien
   (cac field mandatory khac van giu nguyen)
3. Gui POST request voi transactionType=MT720
4. Verify: HTTP 200, result=ERROR, errorCode=03</t>
  </si>
  <si>
    <t>Headers:
Authorization: Basic a3ljYWRtbjpwYXNzd29yZDM=
Content-Type: application/json
Params:
  transactionId: TF_AML_MT720_MND_15
  requestId:     REQ_AML_MT720_MND_15
  transactionType: MT720
  branchCd: HN
  channel: T24
  isCallBack: N
Body: Dien MT720 dung chuan SWIFT
Field bi THIEU: :40B: (Form of Documentary Credit – loại B)
Format yeu cau: Xem SWIFT standard (format phụ thuộc subfield)
Vi du: Dien MT720 hop le nhung KHONG co tag :40B:</t>
  </si>
  <si>
    <t>AML_MT720_MND_16</t>
  </si>
  <si>
    <t>MT720 – Field :40B: null/rong (Form of Documentary Credit – loại B) → errorCode=03</t>
  </si>
  <si>
    <t>Auth hop le;
Body MT720 co tag :40B: nhung gia tri null/empty
Format yeu cau: Xem SWIFT standard (format phụ thuộc subfield)
Cac field mandatory khac hop le</t>
  </si>
  <si>
    <t>1. Chuan bi body dien MT720 dung chuan SWIFT
2. Giu tag :40B: nhung de gia tri RONG/NULL
   (cac field mandatory khac van hop le)
3. Gui POST request voi transactionType=MT720
4. Verify: HTTP 200, result=ERROR, errorCode=03</t>
  </si>
  <si>
    <t>Headers:
Authorization: Basic a3ljYWRtbjpwYXNzd29yZDM=
Content-Type: application/json
Params:
  transactionId: TF_AML_MT720_MND_16
  requestId:     REQ_AML_MT720_MND_16
  transactionType: MT720
  branchCd: HN
  channel: T24
  isCallBack: N
Body: Dien MT720 dung chuan SWIFT
Field NULL/RONG: :40B: (Form of Documentary Credit – loại B)
Format yeu cau: Xem SWIFT standard (format phụ thuộc subfield)
Vi du: Tag :40B: ton tai nhung gia tri = null/empty
       Vi du: :40B: (khong co gia tri sau dau :)</t>
  </si>
  <si>
    <t>AML_MT720_MND_17</t>
  </si>
  <si>
    <t>MT720 – Thieu field :40E: (Applicable Rules (quy tắc áp dụng)) → errorCode=03</t>
  </si>
  <si>
    <t>Auth hop le;
Body MT720 KHONG co tag :40E:
Format yeu cau: Tối đa 30 ký tự [/35 ký tự tùy chọn]
Cac field mandatory khac day du</t>
  </si>
  <si>
    <t>1. Chuan bi body dien MT720 dung chuan SWIFT
2. XOA tag :40E: khoi body dien
   (cac field mandatory khac van giu nguyen)
3. Gui POST request voi transactionType=MT720
4. Verify: HTTP 200, result=ERROR, errorCode=03</t>
  </si>
  <si>
    <t>Headers:
Authorization: Basic a3ljYWRtbjpwYXNzd29yZDM=
Content-Type: application/json
Params:
  transactionId: TF_AML_MT720_MND_17
  requestId:     REQ_AML_MT720_MND_17
  transactionType: MT720
  branchCd: HN
  channel: T24
  isCallBack: N
Body: Dien MT720 dung chuan SWIFT
Field bi THIEU: :40E: (Applicable Rules (quy tắc áp dụng))
Format yeu cau: Tối đa 30 ký tự [/35 ký tự tùy chọn]
Vi du: Dien MT720 hop le nhung KHONG co tag :40E:</t>
  </si>
  <si>
    <t>AML_MT720_MND_18</t>
  </si>
  <si>
    <t>MT720 – Field :40E: null/rong (Applicable Rules (quy tắc áp dụng)) → errorCode=03</t>
  </si>
  <si>
    <t>Auth hop le;
Body MT720 co tag :40E: nhung gia tri null/empty
Format yeu cau: Tối đa 30 ký tự [/35 ký tự tùy chọn]
Cac field mandatory khac hop le</t>
  </si>
  <si>
    <t>1. Chuan bi body dien MT720 dung chuan SWIFT
2. Giu tag :40E: nhung de gia tri RONG/NULL
   (cac field mandatory khac van hop le)
3. Gui POST request voi transactionType=MT720
4. Verify: HTTP 200, result=ERROR, errorCode=03</t>
  </si>
  <si>
    <t>Headers:
Authorization: Basic a3ljYWRtbjpwYXNzd29yZDM=
Content-Type: application/json
Params:
  transactionId: TF_AML_MT720_MND_18
  requestId:     REQ_AML_MT720_MND_18
  transactionType: MT720
  branchCd: HN
  channel: T24
  isCallBack: N
Body: Dien MT720 dung chuan SWIFT
Field NULL/RONG: :40E: (Applicable Rules (quy tắc áp dụng))
Format yeu cau: Tối đa 30 ký tự [/35 ký tự tùy chọn]
Vi du: Tag :40E: ton tai nhung gia tri = null/empty
       Vi du: :40E: (khong co gia tri sau dau :)</t>
  </si>
  <si>
    <t>AML_MT720_MND_19</t>
  </si>
  <si>
    <t>MT720 – Thieu field :41A: (Available With... By... (ngân hàng &amp; phương thức thanh toán - loại A)) → errorCode=03</t>
  </si>
  <si>
    <t>Auth hop le;
Body MT720 KHONG co tag :41A:
Format yeu cau: Xem SWIFT standard (format phụ thuộc subfield)
Cac field mandatory khac day du</t>
  </si>
  <si>
    <t>1. Chuan bi body dien MT720 dung chuan SWIFT
2. XOA tag :41A: khoi body dien
   (cac field mandatory khac van giu nguyen)
3. Gui POST request voi transactionType=MT720
4. Verify: HTTP 200, result=ERROR, errorCode=03</t>
  </si>
  <si>
    <t>Headers:
Authorization: Basic a3ljYWRtbjpwYXNzd29yZDM=
Content-Type: application/json
Params:
  transactionId: TF_AML_MT720_MND_19
  requestId:     REQ_AML_MT720_MND_19
  transactionType: MT720
  branchCd: HN
  channel: T24
  isCallBack: N
Body: Dien MT720 dung chuan SWIFT
Field bi THIEU: :41A: (Available With... By... (ngân hàng &amp; phương thức thanh toán - loại A))
Format yeu cau: Xem SWIFT standard (format phụ thuộc subfield)
Vi du: Dien MT720 hop le nhung KHONG co tag :41A:</t>
  </si>
  <si>
    <t>AML_MT720_MND_20</t>
  </si>
  <si>
    <t>MT720 – Field :41A: null/rong (Available With... By... (ngân hàng &amp; phương thức thanh toán - loại A)) → errorCode=03</t>
  </si>
  <si>
    <t>Auth hop le;
Body MT720 co tag :41A: nhung gia tri null/empty
Format yeu cau: Xem SWIFT standard (format phụ thuộc subfield)
Cac field mandatory khac hop le</t>
  </si>
  <si>
    <t>1. Chuan bi body dien MT720 dung chuan SWIFT
2. Giu tag :41A: nhung de gia tri RONG/NULL
   (cac field mandatory khac van hop le)
3. Gui POST request voi transactionType=MT720
4. Verify: HTTP 200, result=ERROR, errorCode=03</t>
  </si>
  <si>
    <t>Headers:
Authorization: Basic a3ljYWRtbjpwYXNzd29yZDM=
Content-Type: application/json
Params:
  transactionId: TF_AML_MT720_MND_20
  requestId:     REQ_AML_MT720_MND_20
  transactionType: MT720
  branchCd: HN
  channel: T24
  isCallBack: N
Body: Dien MT720 dung chuan SWIFT
Field NULL/RONG: :41A: (Available With... By... (ngân hàng &amp; phương thức thanh toán - loại A))
Format yeu cau: Xem SWIFT standard (format phụ thuộc subfield)
Vi du: Tag :41A: ton tai nhung gia tri = null/empty
       Vi du: :41A: (khong co gia tri sau dau :)</t>
  </si>
  <si>
    <t>AML_MT720_MND_21</t>
  </si>
  <si>
    <t>MT720 – Thieu field :41D: (Available With... By... (ngân hàng &amp; phương thức thanh toán - loại D)) → errorCode=03</t>
  </si>
  <si>
    <t>Auth hop le;
Body MT720 KHONG co tag :41D:
Format yeu cau: Xem SWIFT standard (format phụ thuộc subfield)
Cac field mandatory khac day du</t>
  </si>
  <si>
    <t>1. Chuan bi body dien MT720 dung chuan SWIFT
2. XOA tag :41D: khoi body dien
   (cac field mandatory khac van giu nguyen)
3. Gui POST request voi transactionType=MT720
4. Verify: HTTP 200, result=ERROR, errorCode=03</t>
  </si>
  <si>
    <t>Headers:
Authorization: Basic a3ljYWRtbjpwYXNzd29yZDM=
Content-Type: application/json
Params:
  transactionId: TF_AML_MT720_MND_21
  requestId:     REQ_AML_MT720_MND_21
  transactionType: MT720
  branchCd: HN
  channel: T24
  isCallBack: N
Body: Dien MT720 dung chuan SWIFT
Field bi THIEU: :41D: (Available With... By... (ngân hàng &amp; phương thức thanh toán - loại D))
Format yeu cau: Xem SWIFT standard (format phụ thuộc subfield)
Vi du: Dien MT720 hop le nhung KHONG co tag :41D:</t>
  </si>
  <si>
    <t>AML_MT720_MND_22</t>
  </si>
  <si>
    <t>MT720 – Field :41D: null/rong (Available With... By... (ngân hàng &amp; phương thức thanh toán - loại D)) → errorCode=03</t>
  </si>
  <si>
    <t>Auth hop le;
Body MT720 co tag :41D: nhung gia tri null/empty
Format yeu cau: Xem SWIFT standard (format phụ thuộc subfield)
Cac field mandatory khac hop le</t>
  </si>
  <si>
    <t>1. Chuan bi body dien MT720 dung chuan SWIFT
2. Giu tag :41D: nhung de gia tri RONG/NULL
   (cac field mandatory khac van hop le)
3. Gui POST request voi transactionType=MT720
4. Verify: HTTP 200, result=ERROR, errorCode=03</t>
  </si>
  <si>
    <t>Headers:
Authorization: Basic a3ljYWRtbjpwYXNzd29yZDM=
Content-Type: application/json
Params:
  transactionId: TF_AML_MT720_MND_22
  requestId:     REQ_AML_MT720_MND_22
  transactionType: MT720
  branchCd: HN
  channel: T24
  isCallBack: N
Body: Dien MT720 dung chuan SWIFT
Field NULL/RONG: :41D: (Available With... By... (ngân hàng &amp; phương thức thanh toán - loại D))
Format yeu cau: Xem SWIFT standard (format phụ thuộc subfield)
Vi du: Tag :41D: ton tai nhung gia tri = null/empty
       Vi du: :41D: (khong co gia tri sau dau :)</t>
  </si>
  <si>
    <t>AML_MT720_MND_23</t>
  </si>
  <si>
    <t>MT720 – Thieu field :49: (Confirmation Instructions (hướng dẫn xác nhận)) → errorCode=03</t>
  </si>
  <si>
    <t>Auth hop le;
Body MT720 KHONG co tag :49:
Format yeu cau: Đúng 7 ký tự
Cac field mandatory khac day du</t>
  </si>
  <si>
    <t>1. Chuan bi body dien MT720 dung chuan SWIFT
2. XOA tag :49: khoi body dien
   (cac field mandatory khac van giu nguyen)
3. Gui POST request voi transactionType=MT720
4. Verify: HTTP 200, result=ERROR, errorCode=03</t>
  </si>
  <si>
    <t>Headers:
Authorization: Basic a3ljYWRtbjpwYXNzd29yZDM=
Content-Type: application/json
Params:
  transactionId: TF_AML_MT720_MND_23
  requestId:     REQ_AML_MT720_MND_23
  transactionType: MT720
  branchCd: HN
  channel: T24
  isCallBack: N
Body: Dien MT720 dung chuan SWIFT
Field bi THIEU: :49: (Confirmation Instructions (hướng dẫn xác nhận))
Format yeu cau: Đúng 7 ký tự
Vi du: Dien MT720 hop le nhung KHONG co tag :49:</t>
  </si>
  <si>
    <t>AML_MT720_MND_24</t>
  </si>
  <si>
    <t>MT720 – Field :49: null/rong (Confirmation Instructions (hướng dẫn xác nhận)) → errorCode=03</t>
  </si>
  <si>
    <t>Auth hop le;
Body MT720 co tag :49: nhung gia tri null/empty
Format yeu cau: Đúng 7 ký tự
Cac field mandatory khac hop le</t>
  </si>
  <si>
    <t>1. Chuan bi body dien MT720 dung chuan SWIFT
2. Giu tag :49: nhung de gia tri RONG/NULL
   (cac field mandatory khac van hop le)
3. Gui POST request voi transactionType=MT720
4. Verify: HTTP 200, result=ERROR, errorCode=03</t>
  </si>
  <si>
    <t>Headers:
Authorization: Basic a3ljYWRtbjpwYXNzd29yZDM=
Content-Type: application/json
Params:
  transactionId: TF_AML_MT720_MND_24
  requestId:     REQ_AML_MT720_MND_24
  transactionType: MT720
  branchCd: HN
  channel: T24
  isCallBack: N
Body: Dien MT720 dung chuan SWIFT
Field NULL/RONG: :49: (Confirmation Instructions (hướng dẫn xác nhận))
Format yeu cau: Đúng 7 ký tự
Vi du: Tag :49: ton tai nhung gia tri = null/empty
       Vi du: :49: (khong co gia tri sau dau :)</t>
  </si>
  <si>
    <t>AML_MT720_MND_25</t>
  </si>
  <si>
    <t>MT720 – Thieu field :50: (Applicant (người yêu cầu mở L/C / người đề nghị)) → errorCode=03</t>
  </si>
  <si>
    <t>Auth hop le;
Body MT720 KHONG co tag :50:
Format yeu cau: Tối đa 4 dòng × 35 ký tự
Cac field mandatory khac day du</t>
  </si>
  <si>
    <t>1. Chuan bi body dien MT720 dung chuan SWIFT
2. XOA tag :50: khoi body dien
   (cac field mandatory khac van giu nguyen)
3. Gui POST request voi transactionType=MT720
4. Verify: HTTP 200, result=ERROR, errorCode=03</t>
  </si>
  <si>
    <t>Headers:
Authorization: Basic a3ljYWRtbjpwYXNzd29yZDM=
Content-Type: application/json
Params:
  transactionId: TF_AML_MT720_MND_25
  requestId:     REQ_AML_MT720_MND_25
  transactionType: MT720
  branchCd: HN
  channel: T24
  isCallBack: N
Body: Dien MT720 dung chuan SWIFT
Field bi THIEU: :50: (Applicant (người yêu cầu mở L/C / người đề nghị))
Format yeu cau: Tối đa 4 dòng × 35 ký tự
Vi du: Dien MT720 hop le nhung KHONG co tag :50:</t>
  </si>
  <si>
    <t>AML_MT720_MND_26</t>
  </si>
  <si>
    <t>MT720 – Field :50: null/rong (Applicant (người yêu cầu mở L/C / người đề nghị)) → errorCode=03</t>
  </si>
  <si>
    <t>Auth hop le;
Body MT720 co tag :50: nhung gia tri null/empty
Format yeu cau: Tối đa 4 dòng × 35 ký tự
Cac field mandatory khac hop le</t>
  </si>
  <si>
    <t>1. Chuan bi body dien MT720 dung chuan SWIFT
2. Giu tag :50: nhung de gia tri RONG/NULL
   (cac field mandatory khac van hop le)
3. Gui POST request voi transactionType=MT720
4. Verify: HTTP 200, result=ERROR, errorCode=03</t>
  </si>
  <si>
    <t>Headers:
Authorization: Basic a3ljYWRtbjpwYXNzd29yZDM=
Content-Type: application/json
Params:
  transactionId: TF_AML_MT720_MND_26
  requestId:     REQ_AML_MT720_MND_26
  transactionType: MT720
  branchCd: HN
  channel: T24
  isCallBack: N
Body: Dien MT720 dung chuan SWIFT
Field NULL/RONG: :50: (Applicant (người yêu cầu mở L/C / người đề nghị))
Format yeu cau: Tối đa 4 dòng × 35 ký tự
Vi du: Tag :50: ton tai nhung gia tri = null/empty
       Vi du: :50: (khong co gia tri sau dau :)</t>
  </si>
  <si>
    <t>AML_MT720_MND_27</t>
  </si>
  <si>
    <t>MT720 – Thieu field :59: (Beneficiary (người thụ hưởng)) → errorCode=03</t>
  </si>
  <si>
    <t>Auth hop le;
Body MT720 KHONG co tag :59:
Format yeu cau: Xem SWIFT standard (format phụ thuộc subfield)
Cac field mandatory khac day du</t>
  </si>
  <si>
    <t>1. Chuan bi body dien MT720 dung chuan SWIFT
2. XOA tag :59: khoi body dien
   (cac field mandatory khac van giu nguyen)
3. Gui POST request voi transactionType=MT720
4. Verify: HTTP 200, result=ERROR, errorCode=03</t>
  </si>
  <si>
    <t>Headers:
Authorization: Basic a3ljYWRtbjpwYXNzd29yZDM=
Content-Type: application/json
Params:
  transactionId: TF_AML_MT720_MND_27
  requestId:     REQ_AML_MT720_MND_27
  transactionType: MT720
  branchCd: HN
  channel: T24
  isCallBack: N
Body: Dien MT720 dung chuan SWIFT
Field bi THIEU: :59: (Beneficiary (người thụ hưởng))
Format yeu cau: Xem SWIFT standard (format phụ thuộc subfield)
Vi du: Dien MT720 hop le nhung KHONG co tag :59:</t>
  </si>
  <si>
    <t>AML_MT720_MND_28</t>
  </si>
  <si>
    <t>MT720 – Field :59: null/rong (Beneficiary (người thụ hưởng)) → errorCode=03</t>
  </si>
  <si>
    <t>Auth hop le;
Body MT720 co tag :59: nhung gia tri null/empty
Format yeu cau: Xem SWIFT standard (format phụ thuộc subfield)
Cac field mandatory khac hop le</t>
  </si>
  <si>
    <t>1. Chuan bi body dien MT720 dung chuan SWIFT
2. Giu tag :59: nhung de gia tri RONG/NULL
   (cac field mandatory khac van hop le)
3. Gui POST request voi transactionType=MT720
4. Verify: HTTP 200, result=ERROR, errorCode=03</t>
  </si>
  <si>
    <t>Headers:
Authorization: Basic a3ljYWRtbjpwYXNzd29yZDM=
Content-Type: application/json
Params:
  transactionId: TF_AML_MT720_MND_28
  requestId:     REQ_AML_MT720_MND_28
  transactionType: MT720
  branchCd: HN
  channel: T24
  isCallBack: N
Body: Dien MT720 dung chuan SWIFT
Field NULL/RONG: :59: (Beneficiary (người thụ hưởng))
Format yeu cau: Xem SWIFT standard (format phụ thuộc subfield)
Vi du: Tag :59: ton tai nhung gia tri = null/empty
       Vi du: :59: (khong co gia tri sau dau :)</t>
  </si>
  <si>
    <t xml:space="preserve">    AML_MT740_MND  Kiem tra field mandatory cho dien MT740 (5 field: :20:, :32B:, :40F:, :41A:, :41D:)</t>
  </si>
  <si>
    <t>MT740 – Gui dien hop le day du 5 field mandatory (baseline)</t>
  </si>
  <si>
    <t>Auth hop le;
Body dien MT740 co du 5 field mandatory:
:20:, :32B:, :40F:, :41A:, :41D:</t>
  </si>
  <si>
    <t>1. Chuan bi body dien MT740 day du chuan SWIFT
   Co du tat ca 5 field mandatory:
   :20:
   :32B:
   :40F:
   :41A:
   :41D:
2. Gui POST request voi transactionType=MT740
3. Verify: HTTP 200, errorCode=00
4. Day la baseline – dung de so sanh voi cac TC loi</t>
  </si>
  <si>
    <t>Headers:
Authorization: Basic a3ljYWRtbjpwYXNzd29yZDM=
Content-Type: application/json
Params:
  transactionId: TF_AML_MT740_MND_01
  requestId:     REQ_AML_MT740_MND_01
  transactionType: MT740
  branchCd: HN
  channel: T24
  isCallBack: N
Body: Dien MT740 theo chuan SWIFT
Co du 5 field mandatory:
:20:, :32B:, :40F:, :41A:, :41D:</t>
  </si>
  <si>
    <t>MT740 – Thieu tat ca 5 field mandatory → errorCode=03</t>
  </si>
  <si>
    <t>Auth hop le;
Body dien MT740 bi xoa toan bo field mandatory</t>
  </si>
  <si>
    <t>1. Chuan bi body dien MT740 dung chuan SWIFT
2. Xoa toan bo 5 field mandatory: :20:, :32B:, :40F:, :41A:, :41D:
3. Gui POST request voi transactionType=MT740
4. Verify: HTTP 200, result=ERROR, errorCode=03</t>
  </si>
  <si>
    <t>Headers:
Authorization: Basic a3ljYWRtbjpwYXNzd29yZDM=
Content-Type: application/json
Params:
  transactionId: TF_AML_MT740_MND_02
  requestId:     REQ_AML_MT740_MND_02
  transactionType: MT740
  branchCd: HN
  channel: T24
  isCallBack: N
Body: Dien MT740 theo chuan SWIFT
DA XOA toan bo 5 field mandatory:
:20:, :32B:, :40F:, :41A:, :41D:</t>
  </si>
  <si>
    <t>MT740 – Thieu field :20: (Transaction Reference Number (mã tham chiếu giao dịch)) → errorCode=03</t>
  </si>
  <si>
    <t>Auth hop le;
Body MT740 KHONG co tag :20:
Format yeu cau: Tối đa 16 ký tự alphanumeric
Cac field mandatory khac day du</t>
  </si>
  <si>
    <t>1. Chuan bi body dien MT740 dung chuan SWIFT
2. XOA tag :20: khoi body dien
   (cac field mandatory khac van giu nguyen)
3. Gui POST request voi transactionType=MT740
4. Verify: HTTP 200, result=ERROR, errorCode=03</t>
  </si>
  <si>
    <t>Headers:
Authorization: Basic a3ljYWRtbjpwYXNzd29yZDM=
Content-Type: application/json
Params:
  transactionId: TF_AML_MT740_MND_03
  requestId:     REQ_AML_MT740_MND_03
  transactionType: MT740
  branchCd: HN
  channel: T24
  isCallBack: N
Body: Dien MT740 dung chuan SWIFT
Field bi THIEU: :20: (Transaction Reference Number (mã tham chiếu giao dịch))
Format yeu cau: Tối đa 16 ký tự alphanumeric
Vi du: Dien MT740 hop le nhung KHONG co tag :20:</t>
  </si>
  <si>
    <t>MT740 – Field :20: null/rong (Transaction Reference Number (mã tham chiếu giao dịch)) → errorCode=03</t>
  </si>
  <si>
    <t>Auth hop le;
Body MT740 co tag :20: nhung gia tri null/empty
Format yeu cau: Tối đa 16 ký tự alphanumeric
Cac field mandatory khac hop le</t>
  </si>
  <si>
    <t>1. Chuan bi body dien MT740 dung chuan SWIFT
2. Giu tag :20: nhung de gia tri RONG/NULL
   (cac field mandatory khac van hop le)
3. Gui POST request voi transactionType=MT740
4. Verify: HTTP 200, result=ERROR, errorCode=03</t>
  </si>
  <si>
    <t>Headers:
Authorization: Basic a3ljYWRtbjpwYXNzd29yZDM=
Content-Type: application/json
Params:
  transactionId: TF_AML_MT740_MND_04
  requestId:     REQ_AML_MT740_MND_04
  transactionType: MT740
  branchCd: HN
  channel: T24
  isCallBack: N
Body: Dien MT740 dung chuan SWIFT
Field NULL/RONG: :20: (Transaction Reference Number (mã tham chiếu giao dịch))
Format yeu cau: Tối đa 16 ký tự alphanumeric
Vi du: Tag :20: ton tai nhung gia tri = null/empty
       Vi du: :20: (khong co gia tri sau dau :)</t>
  </si>
  <si>
    <t>MT740 – Thieu field :32B: (Currency Code, Amount (mã tiền tệ và số tiền)) → errorCode=03</t>
  </si>
  <si>
    <t>Auth hop le;
Body MT740 KHONG co tag :32B:
Format yeu cau: 3 ký tự mã tiền tệ ISO + tối đa 15 chữ số
Cac field mandatory khac day du</t>
  </si>
  <si>
    <t>1. Chuan bi body dien MT740 dung chuan SWIFT
2. XOA tag :32B: khoi body dien
   (cac field mandatory khac van giu nguyen)
3. Gui POST request voi transactionType=MT740
4. Verify: HTTP 200, result=ERROR, errorCode=03</t>
  </si>
  <si>
    <t>Headers:
Authorization: Basic a3ljYWRtbjpwYXNzd29yZDM=
Content-Type: application/json
Params:
  transactionId: TF_AML_MT740_MND_05
  requestId:     REQ_AML_MT740_MND_05
  transactionType: MT740
  branchCd: HN
  channel: T24
  isCallBack: N
Body: Dien MT740 dung chuan SWIFT
Field bi THIEU: :32B: (Currency Code, Amount (mã tiền tệ và số tiền))
Format yeu cau: 3 ký tự mã tiền tệ ISO + tối đa 15 chữ số
Vi du: Dien MT740 hop le nhung KHONG co tag :32B:</t>
  </si>
  <si>
    <t>AML_MT740_MND_06</t>
  </si>
  <si>
    <t>MT740 – Field :32B: null/rong (Currency Code, Amount (mã tiền tệ và số tiền)) → errorCode=03</t>
  </si>
  <si>
    <t>Auth hop le;
Body MT740 co tag :32B: nhung gia tri null/empty
Format yeu cau: 3 ký tự mã tiền tệ ISO + tối đa 15 chữ số
Cac field mandatory khac hop le</t>
  </si>
  <si>
    <t>1. Chuan bi body dien MT740 dung chuan SWIFT
2. Giu tag :32B: nhung de gia tri RONG/NULL
   (cac field mandatory khac van hop le)
3. Gui POST request voi transactionType=MT740
4. Verify: HTTP 200, result=ERROR, errorCode=03</t>
  </si>
  <si>
    <t>Headers:
Authorization: Basic a3ljYWRtbjpwYXNzd29yZDM=
Content-Type: application/json
Params:
  transactionId: TF_AML_MT740_MND_06
  requestId:     REQ_AML_MT740_MND_06
  transactionType: MT740
  branchCd: HN
  channel: T24
  isCallBack: N
Body: Dien MT740 dung chuan SWIFT
Field NULL/RONG: :32B: (Currency Code, Amount (mã tiền tệ và số tiền))
Format yeu cau: 3 ký tự mã tiền tệ ISO + tối đa 15 chữ số
Vi du: Tag :32B: ton tai nhung gia tri = null/empty
       Vi du: :32B: (khong co gia tri sau dau :)</t>
  </si>
  <si>
    <t>AML_MT740_MND_07</t>
  </si>
  <si>
    <t>MT740 – Thieu field :40F: (Form of Undertaking (hình thức bảo lãnh)) → errorCode=03</t>
  </si>
  <si>
    <t>Auth hop le;
Body MT740 KHONG co tag :40F:
Format yeu cau: Tối đa 30 ký tự
Cac field mandatory khac day du</t>
  </si>
  <si>
    <t>1. Chuan bi body dien MT740 dung chuan SWIFT
2. XOA tag :40F: khoi body dien
   (cac field mandatory khac van giu nguyen)
3. Gui POST request voi transactionType=MT740
4. Verify: HTTP 200, result=ERROR, errorCode=03</t>
  </si>
  <si>
    <t>Headers:
Authorization: Basic a3ljYWRtbjpwYXNzd29yZDM=
Content-Type: application/json
Params:
  transactionId: TF_AML_MT740_MND_07
  requestId:     REQ_AML_MT740_MND_07
  transactionType: MT740
  branchCd: HN
  channel: T24
  isCallBack: N
Body: Dien MT740 dung chuan SWIFT
Field bi THIEU: :40F: (Form of Undertaking (hình thức bảo lãnh))
Format yeu cau: Tối đa 30 ký tự
Vi du: Dien MT740 hop le nhung KHONG co tag :40F:</t>
  </si>
  <si>
    <t>AML_MT740_MND_08</t>
  </si>
  <si>
    <t>MT740 – Field :40F: null/rong (Form of Undertaking (hình thức bảo lãnh)) → errorCode=03</t>
  </si>
  <si>
    <t>Auth hop le;
Body MT740 co tag :40F: nhung gia tri null/empty
Format yeu cau: Tối đa 30 ký tự
Cac field mandatory khac hop le</t>
  </si>
  <si>
    <t>1. Chuan bi body dien MT740 dung chuan SWIFT
2. Giu tag :40F: nhung de gia tri RONG/NULL
   (cac field mandatory khac van hop le)
3. Gui POST request voi transactionType=MT740
4. Verify: HTTP 200, result=ERROR, errorCode=03</t>
  </si>
  <si>
    <t>Headers:
Authorization: Basic a3ljYWRtbjpwYXNzd29yZDM=
Content-Type: application/json
Params:
  transactionId: TF_AML_MT740_MND_08
  requestId:     REQ_AML_MT740_MND_08
  transactionType: MT740
  branchCd: HN
  channel: T24
  isCallBack: N
Body: Dien MT740 dung chuan SWIFT
Field NULL/RONG: :40F: (Form of Undertaking (hình thức bảo lãnh))
Format yeu cau: Tối đa 30 ký tự
Vi du: Tag :40F: ton tai nhung gia tri = null/empty
       Vi du: :40F: (khong co gia tri sau dau :)</t>
  </si>
  <si>
    <t>AML_MT740_MND_09</t>
  </si>
  <si>
    <t>MT740 – Thieu field :41A: (Available With... By... (ngân hàng &amp; phương thức thanh toán - loại A)) → errorCode=03</t>
  </si>
  <si>
    <t>Auth hop le;
Body MT740 KHONG co tag :41A:
Format yeu cau: Xem SWIFT standard (format phụ thuộc subfield)
Cac field mandatory khac day du</t>
  </si>
  <si>
    <t>1. Chuan bi body dien MT740 dung chuan SWIFT
2. XOA tag :41A: khoi body dien
   (cac field mandatory khac van giu nguyen)
3. Gui POST request voi transactionType=MT740
4. Verify: HTTP 200, result=ERROR, errorCode=03</t>
  </si>
  <si>
    <t>Headers:
Authorization: Basic a3ljYWRtbjpwYXNzd29yZDM=
Content-Type: application/json
Params:
  transactionId: TF_AML_MT740_MND_09
  requestId:     REQ_AML_MT740_MND_09
  transactionType: MT740
  branchCd: HN
  channel: T24
  isCallBack: N
Body: Dien MT740 dung chuan SWIFT
Field bi THIEU: :41A: (Available With... By... (ngân hàng &amp; phương thức thanh toán - loại A))
Format yeu cau: Xem SWIFT standard (format phụ thuộc subfield)
Vi du: Dien MT740 hop le nhung KHONG co tag :41A:</t>
  </si>
  <si>
    <t>AML_MT740_MND_10</t>
  </si>
  <si>
    <t>MT740 – Field :41A: null/rong (Available With... By... (ngân hàng &amp; phương thức thanh toán - loại A)) → errorCode=03</t>
  </si>
  <si>
    <t>Auth hop le;
Body MT740 co tag :41A: nhung gia tri null/empty
Format yeu cau: Xem SWIFT standard (format phụ thuộc subfield)
Cac field mandatory khac hop le</t>
  </si>
  <si>
    <t>1. Chuan bi body dien MT740 dung chuan SWIFT
2. Giu tag :41A: nhung de gia tri RONG/NULL
   (cac field mandatory khac van hop le)
3. Gui POST request voi transactionType=MT740
4. Verify: HTTP 200, result=ERROR, errorCode=03</t>
  </si>
  <si>
    <t>Headers:
Authorization: Basic a3ljYWRtbjpwYXNzd29yZDM=
Content-Type: application/json
Params:
  transactionId: TF_AML_MT740_MND_10
  requestId:     REQ_AML_MT740_MND_10
  transactionType: MT740
  branchCd: HN
  channel: T24
  isCallBack: N
Body: Dien MT740 dung chuan SWIFT
Field NULL/RONG: :41A: (Available With... By... (ngân hàng &amp; phương thức thanh toán - loại A))
Format yeu cau: Xem SWIFT standard (format phụ thuộc subfield)
Vi du: Tag :41A: ton tai nhung gia tri = null/empty
       Vi du: :41A: (khong co gia tri sau dau :)</t>
  </si>
  <si>
    <t>AML_MT740_MND_11</t>
  </si>
  <si>
    <t>MT740 – Thieu field :41D: (Available With... By... (ngân hàng &amp; phương thức thanh toán - loại D)) → errorCode=03</t>
  </si>
  <si>
    <t>Auth hop le;
Body MT740 KHONG co tag :41D:
Format yeu cau: Xem SWIFT standard (format phụ thuộc subfield)
Cac field mandatory khac day du</t>
  </si>
  <si>
    <t>1. Chuan bi body dien MT740 dung chuan SWIFT
2. XOA tag :41D: khoi body dien
   (cac field mandatory khac van giu nguyen)
3. Gui POST request voi transactionType=MT740
4. Verify: HTTP 200, result=ERROR, errorCode=03</t>
  </si>
  <si>
    <t>Headers:
Authorization: Basic a3ljYWRtbjpwYXNzd29yZDM=
Content-Type: application/json
Params:
  transactionId: TF_AML_MT740_MND_11
  requestId:     REQ_AML_MT740_MND_11
  transactionType: MT740
  branchCd: HN
  channel: T24
  isCallBack: N
Body: Dien MT740 dung chuan SWIFT
Field bi THIEU: :41D: (Available With... By... (ngân hàng &amp; phương thức thanh toán - loại D))
Format yeu cau: Xem SWIFT standard (format phụ thuộc subfield)
Vi du: Dien MT740 hop le nhung KHONG co tag :41D:</t>
  </si>
  <si>
    <t>AML_MT740_MND_12</t>
  </si>
  <si>
    <t>MT740 – Field :41D: null/rong (Available With... By... (ngân hàng &amp; phương thức thanh toán - loại D)) → errorCode=03</t>
  </si>
  <si>
    <t>Auth hop le;
Body MT740 co tag :41D: nhung gia tri null/empty
Format yeu cau: Xem SWIFT standard (format phụ thuộc subfield)
Cac field mandatory khac hop le</t>
  </si>
  <si>
    <t>1. Chuan bi body dien MT740 dung chuan SWIFT
2. Giu tag :41D: nhung de gia tri RONG/NULL
   (cac field mandatory khac van hop le)
3. Gui POST request voi transactionType=MT740
4. Verify: HTTP 200, result=ERROR, errorCode=03</t>
  </si>
  <si>
    <t>Headers:
Authorization: Basic a3ljYWRtbjpwYXNzd29yZDM=
Content-Type: application/json
Params:
  transactionId: TF_AML_MT740_MND_12
  requestId:     REQ_AML_MT740_MND_12
  transactionType: MT740
  branchCd: HN
  channel: T24
  isCallBack: N
Body: Dien MT740 dung chuan SWIFT
Field NULL/RONG: :41D: (Available With... By... (ngân hàng &amp; phương thức thanh toán - loại D))
Format yeu cau: Xem SWIFT standard (format phụ thuộc subfield)
Vi du: Tag :41D: ton tai nhung gia tri = null/empty
       Vi du: :41D: (khong co gia tri sau dau :)</t>
  </si>
  <si>
    <t xml:space="preserve">    AML_MT742_MND  Kiem tra field mandatory cho dien MT742 (7 field: :20:, :21:, :32B:, :34A:, :34B:, :52A:, :52D:)</t>
  </si>
  <si>
    <t>MT742 – Gui dien hop le day du 7 field mandatory (baseline)</t>
  </si>
  <si>
    <t>Auth hop le;
Body dien MT742 co du 7 field mandatory:
:20:, :21:, :32B:, :34A:, :34B:, :52A:, :52D:</t>
  </si>
  <si>
    <t>1. Chuan bi body dien MT742 day du chuan SWIFT
   Co du tat ca 7 field mandatory:
   :20:
   :21:
   :32B:
   :34A:
   :34B:
   :52A:
   :52D:
2. Gui POST request voi transactionType=MT742
3. Verify: HTTP 200, errorCode=00
4. Day la baseline – dung de so sanh voi cac TC loi</t>
  </si>
  <si>
    <t>Headers:
Authorization: Basic a3ljYWRtbjpwYXNzd29yZDM=
Content-Type: application/json
Params:
  transactionId: TF_AML_MT742_MND_01
  requestId:     REQ_AML_MT742_MND_01
  transactionType: MT742
  branchCd: HN
  channel: T24
  isCallBack: N
Body: Dien MT742 theo chuan SWIFT
Co du 7 field mandatory:
:20:, :21:, :32B:, :34A:, :34B:, :52A:, :52D:</t>
  </si>
  <si>
    <t>MT742 – Thieu tat ca 7 field mandatory → errorCode=03</t>
  </si>
  <si>
    <t>Auth hop le;
Body dien MT742 bi xoa toan bo field mandatory</t>
  </si>
  <si>
    <t>1. Chuan bi body dien MT742 dung chuan SWIFT
2. Xoa toan bo 7 field mandatory: :20:, :21:, :32B:, :34A:, :34B:, :52A:, :52D:
3. Gui POST request voi transactionType=MT742
4. Verify: HTTP 200, result=ERROR, errorCode=03</t>
  </si>
  <si>
    <t>Headers:
Authorization: Basic a3ljYWRtbjpwYXNzd29yZDM=
Content-Type: application/json
Params:
  transactionId: TF_AML_MT742_MND_02
  requestId:     REQ_AML_MT742_MND_02
  transactionType: MT742
  branchCd: HN
  channel: T24
  isCallBack: N
Body: Dien MT742 theo chuan SWIFT
DA XOA toan bo 7 field mandatory:
:20:, :21:, :32B:, :34A:, :34B:, :52A:, :52D:</t>
  </si>
  <si>
    <t>MT742 – Thieu field :20: (Transaction Reference Number (mã tham chiếu giao dịch)) → errorCode=03</t>
  </si>
  <si>
    <t>Auth hop le;
Body MT742 KHONG co tag :20:
Format yeu cau: Tối đa 16 ký tự alphanumeric
Cac field mandatory khac day du</t>
  </si>
  <si>
    <t>1. Chuan bi body dien MT742 dung chuan SWIFT
2. XOA tag :20: khoi body dien
   (cac field mandatory khac van giu nguyen)
3. Gui POST request voi transactionType=MT742
4. Verify: HTTP 200, result=ERROR, errorCode=03</t>
  </si>
  <si>
    <t>Headers:
Authorization: Basic a3ljYWRtbjpwYXNzd29yZDM=
Content-Type: application/json
Params:
  transactionId: TF_AML_MT742_MND_03
  requestId:     REQ_AML_MT742_MND_03
  transactionType: MT742
  branchCd: HN
  channel: T24
  isCallBack: N
Body: Dien MT742 dung chuan SWIFT
Field bi THIEU: :20: (Transaction Reference Number (mã tham chiếu giao dịch))
Format yeu cau: Tối đa 16 ký tự alphanumeric
Vi du: Dien MT742 hop le nhung KHONG co tag :20:</t>
  </si>
  <si>
    <t>MT742 – Field :20: null/rong (Transaction Reference Number (mã tham chiếu giao dịch)) → errorCode=03</t>
  </si>
  <si>
    <t>Auth hop le;
Body MT742 co tag :20: nhung gia tri null/empty
Format yeu cau: Tối đa 16 ký tự alphanumeric
Cac field mandatory khac hop le</t>
  </si>
  <si>
    <t>1. Chuan bi body dien MT742 dung chuan SWIFT
2. Giu tag :20: nhung de gia tri RONG/NULL
   (cac field mandatory khac van hop le)
3. Gui POST request voi transactionType=MT742
4. Verify: HTTP 200, result=ERROR, errorCode=03</t>
  </si>
  <si>
    <t>Headers:
Authorization: Basic a3ljYWRtbjpwYXNzd29yZDM=
Content-Type: application/json
Params:
  transactionId: TF_AML_MT742_MND_04
  requestId:     REQ_AML_MT742_MND_04
  transactionType: MT742
  branchCd: HN
  channel: T24
  isCallBack: N
Body: Dien MT742 dung chuan SWIFT
Field NULL/RONG: :20: (Transaction Reference Number (mã tham chiếu giao dịch))
Format yeu cau: Tối đa 16 ký tự alphanumeric
Vi du: Tag :20: ton tai nhung gia tri = null/empty
       Vi du: :20: (khong co gia tri sau dau :)</t>
  </si>
  <si>
    <t>MT742 – Thieu field :21: (Related Reference (tham chiếu liên quan)) → errorCode=03</t>
  </si>
  <si>
    <t>Auth hop le;
Body MT742 KHONG co tag :21:
Format yeu cau: Tối đa 16 ký tự alphanumeric
Cac field mandatory khac day du</t>
  </si>
  <si>
    <t>1. Chuan bi body dien MT742 dung chuan SWIFT
2. XOA tag :21: khoi body dien
   (cac field mandatory khac van giu nguyen)
3. Gui POST request voi transactionType=MT742
4. Verify: HTTP 200, result=ERROR, errorCode=03</t>
  </si>
  <si>
    <t>Headers:
Authorization: Basic a3ljYWRtbjpwYXNzd29yZDM=
Content-Type: application/json
Params:
  transactionId: TF_AML_MT742_MND_05
  requestId:     REQ_AML_MT742_MND_05
  transactionType: MT742
  branchCd: HN
  channel: T24
  isCallBack: N
Body: Dien MT742 dung chuan SWIFT
Field bi THIEU: :21: (Related Reference (tham chiếu liên quan))
Format yeu cau: Tối đa 16 ký tự alphanumeric
Vi du: Dien MT742 hop le nhung KHONG co tag :21:</t>
  </si>
  <si>
    <t>MT742 – Field :21: null/rong (Related Reference (tham chiếu liên quan)) → errorCode=03</t>
  </si>
  <si>
    <t>Auth hop le;
Body MT742 co tag :21: nhung gia tri null/empty
Format yeu cau: Tối đa 16 ký tự alphanumeric
Cac field mandatory khac hop le</t>
  </si>
  <si>
    <t>1. Chuan bi body dien MT742 dung chuan SWIFT
2. Giu tag :21: nhung de gia tri RONG/NULL
   (cac field mandatory khac van hop le)
3. Gui POST request voi transactionType=MT742
4. Verify: HTTP 200, result=ERROR, errorCode=03</t>
  </si>
  <si>
    <t>Headers:
Authorization: Basic a3ljYWRtbjpwYXNzd29yZDM=
Content-Type: application/json
Params:
  transactionId: TF_AML_MT742_MND_06
  requestId:     REQ_AML_MT742_MND_06
  transactionType: MT742
  branchCd: HN
  channel: T24
  isCallBack: N
Body: Dien MT742 dung chuan SWIFT
Field NULL/RONG: :21: (Related Reference (tham chiếu liên quan))
Format yeu cau: Tối đa 16 ký tự alphanumeric
Vi du: Tag :21: ton tai nhung gia tri = null/empty
       Vi du: :21: (khong co gia tri sau dau :)</t>
  </si>
  <si>
    <t>MT742 – Thieu field :32B: (Currency Code, Amount (mã tiền tệ và số tiền)) → errorCode=03</t>
  </si>
  <si>
    <t>Auth hop le;
Body MT742 KHONG co tag :32B:
Format yeu cau: 3 ký tự mã tiền tệ ISO + tối đa 15 chữ số
Cac field mandatory khac day du</t>
  </si>
  <si>
    <t>1. Chuan bi body dien MT742 dung chuan SWIFT
2. XOA tag :32B: khoi body dien
   (cac field mandatory khac van giu nguyen)
3. Gui POST request voi transactionType=MT742
4. Verify: HTTP 200, result=ERROR, errorCode=03</t>
  </si>
  <si>
    <t>Headers:
Authorization: Basic a3ljYWRtbjpwYXNzd29yZDM=
Content-Type: application/json
Params:
  transactionId: TF_AML_MT742_MND_07
  requestId:     REQ_AML_MT742_MND_07
  transactionType: MT742
  branchCd: HN
  channel: T24
  isCallBack: N
Body: Dien MT742 dung chuan SWIFT
Field bi THIEU: :32B: (Currency Code, Amount (mã tiền tệ và số tiền))
Format yeu cau: 3 ký tự mã tiền tệ ISO + tối đa 15 chữ số
Vi du: Dien MT742 hop le nhung KHONG co tag :32B:</t>
  </si>
  <si>
    <t>AML_MT742_MND_08</t>
  </si>
  <si>
    <t>MT742 – Field :32B: null/rong (Currency Code, Amount (mã tiền tệ và số tiền)) → errorCode=03</t>
  </si>
  <si>
    <t>Auth hop le;
Body MT742 co tag :32B: nhung gia tri null/empty
Format yeu cau: 3 ký tự mã tiền tệ ISO + tối đa 15 chữ số
Cac field mandatory khac hop le</t>
  </si>
  <si>
    <t>1. Chuan bi body dien MT742 dung chuan SWIFT
2. Giu tag :32B: nhung de gia tri RONG/NULL
   (cac field mandatory khac van hop le)
3. Gui POST request voi transactionType=MT742
4. Verify: HTTP 200, result=ERROR, errorCode=03</t>
  </si>
  <si>
    <t>Headers:
Authorization: Basic a3ljYWRtbjpwYXNzd29yZDM=
Content-Type: application/json
Params:
  transactionId: TF_AML_MT742_MND_08
  requestId:     REQ_AML_MT742_MND_08
  transactionType: MT742
  branchCd: HN
  channel: T24
  isCallBack: N
Body: Dien MT742 dung chuan SWIFT
Field NULL/RONG: :32B: (Currency Code, Amount (mã tiền tệ và số tiền))
Format yeu cau: 3 ký tự mã tiền tệ ISO + tối đa 15 chữ số
Vi du: Tag :32B: ton tai nhung gia tri = null/empty
       Vi du: :32B: (khong co gia tri sau dau :)</t>
  </si>
  <si>
    <t>AML_MT742_MND_09</t>
  </si>
  <si>
    <t>MT742 – Thieu field :34A: (Total Amount Claimed (tổng số tiền yêu cầu - loại A)) → errorCode=03</t>
  </si>
  <si>
    <t>Auth hop le;
Body MT742 KHONG co tag :34A:
Format yeu cau: Xem SWIFT standard (format phụ thuộc subfield)
Cac field mandatory khac day du</t>
  </si>
  <si>
    <t>1. Chuan bi body dien MT742 dung chuan SWIFT
2. XOA tag :34A: khoi body dien
   (cac field mandatory khac van giu nguyen)
3. Gui POST request voi transactionType=MT742
4. Verify: HTTP 200, result=ERROR, errorCode=03</t>
  </si>
  <si>
    <t>Headers:
Authorization: Basic a3ljYWRtbjpwYXNzd29yZDM=
Content-Type: application/json
Params:
  transactionId: TF_AML_MT742_MND_09
  requestId:     REQ_AML_MT742_MND_09
  transactionType: MT742
  branchCd: HN
  channel: T24
  isCallBack: N
Body: Dien MT742 dung chuan SWIFT
Field bi THIEU: :34A: (Total Amount Claimed (tổng số tiền yêu cầu - loại A))
Format yeu cau: Xem SWIFT standard (format phụ thuộc subfield)
Vi du: Dien MT742 hop le nhung KHONG co tag :34A:</t>
  </si>
  <si>
    <t>AML_MT742_MND_10</t>
  </si>
  <si>
    <t>MT742 – Field :34A: null/rong (Total Amount Claimed (tổng số tiền yêu cầu - loại A)) → errorCode=03</t>
  </si>
  <si>
    <t>Auth hop le;
Body MT742 co tag :34A: nhung gia tri null/empty
Format yeu cau: Xem SWIFT standard (format phụ thuộc subfield)
Cac field mandatory khac hop le</t>
  </si>
  <si>
    <t>1. Chuan bi body dien MT742 dung chuan SWIFT
2. Giu tag :34A: nhung de gia tri RONG/NULL
   (cac field mandatory khac van hop le)
3. Gui POST request voi transactionType=MT742
4. Verify: HTTP 200, result=ERROR, errorCode=03</t>
  </si>
  <si>
    <t>Headers:
Authorization: Basic a3ljYWRtbjpwYXNzd29yZDM=
Content-Type: application/json
Params:
  transactionId: TF_AML_MT742_MND_10
  requestId:     REQ_AML_MT742_MND_10
  transactionType: MT742
  branchCd: HN
  channel: T24
  isCallBack: N
Body: Dien MT742 dung chuan SWIFT
Field NULL/RONG: :34A: (Total Amount Claimed (tổng số tiền yêu cầu - loại A))
Format yeu cau: Xem SWIFT standard (format phụ thuộc subfield)
Vi du: Tag :34A: ton tai nhung gia tri = null/empty
       Vi du: :34A: (khong co gia tri sau dau :)</t>
  </si>
  <si>
    <t>AML_MT742_MND_11</t>
  </si>
  <si>
    <t>MT742 – Thieu field :34B: (Total Amount Claimed (tổng số tiền yêu cầu - loại B)) → errorCode=03</t>
  </si>
  <si>
    <t>Auth hop le;
Body MT742 KHONG co tag :34B:
Format yeu cau: Xem SWIFT standard (format phụ thuộc subfield)
Cac field mandatory khac day du</t>
  </si>
  <si>
    <t>1. Chuan bi body dien MT742 dung chuan SWIFT
2. XOA tag :34B: khoi body dien
   (cac field mandatory khac van giu nguyen)
3. Gui POST request voi transactionType=MT742
4. Verify: HTTP 200, result=ERROR, errorCode=03</t>
  </si>
  <si>
    <t>Headers:
Authorization: Basic a3ljYWRtbjpwYXNzd29yZDM=
Content-Type: application/json
Params:
  transactionId: TF_AML_MT742_MND_11
  requestId:     REQ_AML_MT742_MND_11
  transactionType: MT742
  branchCd: HN
  channel: T24
  isCallBack: N
Body: Dien MT742 dung chuan SWIFT
Field bi THIEU: :34B: (Total Amount Claimed (tổng số tiền yêu cầu - loại B))
Format yeu cau: Xem SWIFT standard (format phụ thuộc subfield)
Vi du: Dien MT742 hop le nhung KHONG co tag :34B:</t>
  </si>
  <si>
    <t>AML_MT742_MND_12</t>
  </si>
  <si>
    <t>MT742 – Field :34B: null/rong (Total Amount Claimed (tổng số tiền yêu cầu - loại B)) → errorCode=03</t>
  </si>
  <si>
    <t>Auth hop le;
Body MT742 co tag :34B: nhung gia tri null/empty
Format yeu cau: Xem SWIFT standard (format phụ thuộc subfield)
Cac field mandatory khac hop le</t>
  </si>
  <si>
    <t>1. Chuan bi body dien MT742 dung chuan SWIFT
2. Giu tag :34B: nhung de gia tri RONG/NULL
   (cac field mandatory khac van hop le)
3. Gui POST request voi transactionType=MT742
4. Verify: HTTP 200, result=ERROR, errorCode=03</t>
  </si>
  <si>
    <t>Headers:
Authorization: Basic a3ljYWRtbjpwYXNzd29yZDM=
Content-Type: application/json
Params:
  transactionId: TF_AML_MT742_MND_12
  requestId:     REQ_AML_MT742_MND_12
  transactionType: MT742
  branchCd: HN
  channel: T24
  isCallBack: N
Body: Dien MT742 dung chuan SWIFT
Field NULL/RONG: :34B: (Total Amount Claimed (tổng số tiền yêu cầu - loại B))
Format yeu cau: Xem SWIFT standard (format phụ thuộc subfield)
Vi du: Tag :34B: ton tai nhung gia tri = null/empty
       Vi du: :34B: (khong co gia tri sau dau :)</t>
  </si>
  <si>
    <t>AML_MT742_MND_13</t>
  </si>
  <si>
    <t>MT742 – Thieu field :52A: (Issuing Bank – loại A (ngân hàng phát hành)) → errorCode=03</t>
  </si>
  <si>
    <t>Auth hop le;
Body MT742 KHONG co tag :52A:
Format yeu cau: Xem SWIFT standard (format phụ thuộc subfield)
Cac field mandatory khac day du</t>
  </si>
  <si>
    <t>1. Chuan bi body dien MT742 dung chuan SWIFT
2. XOA tag :52A: khoi body dien
   (cac field mandatory khac van giu nguyen)
3. Gui POST request voi transactionType=MT742
4. Verify: HTTP 200, result=ERROR, errorCode=03</t>
  </si>
  <si>
    <t>Headers:
Authorization: Basic a3ljYWRtbjpwYXNzd29yZDM=
Content-Type: application/json
Params:
  transactionId: TF_AML_MT742_MND_13
  requestId:     REQ_AML_MT742_MND_13
  transactionType: MT742
  branchCd: HN
  channel: T24
  isCallBack: N
Body: Dien MT742 dung chuan SWIFT
Field bi THIEU: :52A: (Issuing Bank – loại A (ngân hàng phát hành))
Format yeu cau: Xem SWIFT standard (format phụ thuộc subfield)
Vi du: Dien MT742 hop le nhung KHONG co tag :52A:</t>
  </si>
  <si>
    <t>AML_MT742_MND_14</t>
  </si>
  <si>
    <t>MT742 – Field :52A: null/rong (Issuing Bank – loại A (ngân hàng phát hành)) → errorCode=03</t>
  </si>
  <si>
    <t>Auth hop le;
Body MT742 co tag :52A: nhung gia tri null/empty
Format yeu cau: Xem SWIFT standard (format phụ thuộc subfield)
Cac field mandatory khac hop le</t>
  </si>
  <si>
    <t>1. Chuan bi body dien MT742 dung chuan SWIFT
2. Giu tag :52A: nhung de gia tri RONG/NULL
   (cac field mandatory khac van hop le)
3. Gui POST request voi transactionType=MT742
4. Verify: HTTP 200, result=ERROR, errorCode=03</t>
  </si>
  <si>
    <t>Headers:
Authorization: Basic a3ljYWRtbjpwYXNzd29yZDM=
Content-Type: application/json
Params:
  transactionId: TF_AML_MT742_MND_14
  requestId:     REQ_AML_MT742_MND_14
  transactionType: MT742
  branchCd: HN
  channel: T24
  isCallBack: N
Body: Dien MT742 dung chuan SWIFT
Field NULL/RONG: :52A: (Issuing Bank – loại A (ngân hàng phát hành))
Format yeu cau: Xem SWIFT standard (format phụ thuộc subfield)
Vi du: Tag :52A: ton tai nhung gia tri = null/empty
       Vi du: :52A: (khong co gia tri sau dau :)</t>
  </si>
  <si>
    <t>AML_MT742_MND_15</t>
  </si>
  <si>
    <t>MT742 – Thieu field :52D: (Issuing Bank – loại D (ngân hàng phát hành, tên &amp; địa chỉ)) → errorCode=03</t>
  </si>
  <si>
    <t>Auth hop le;
Body MT742 KHONG co tag :52D:
Format yeu cau: Xem SWIFT standard (format phụ thuộc subfield)
Cac field mandatory khac day du</t>
  </si>
  <si>
    <t>1. Chuan bi body dien MT742 dung chuan SWIFT
2. XOA tag :52D: khoi body dien
   (cac field mandatory khac van giu nguyen)
3. Gui POST request voi transactionType=MT742
4. Verify: HTTP 200, result=ERROR, errorCode=03</t>
  </si>
  <si>
    <t>Headers:
Authorization: Basic a3ljYWRtbjpwYXNzd29yZDM=
Content-Type: application/json
Params:
  transactionId: TF_AML_MT742_MND_15
  requestId:     REQ_AML_MT742_MND_15
  transactionType: MT742
  branchCd: HN
  channel: T24
  isCallBack: N
Body: Dien MT742 dung chuan SWIFT
Field bi THIEU: :52D: (Issuing Bank – loại D (ngân hàng phát hành, tên &amp; địa chỉ))
Format yeu cau: Xem SWIFT standard (format phụ thuộc subfield)
Vi du: Dien MT742 hop le nhung KHONG co tag :52D:</t>
  </si>
  <si>
    <t>AML_MT742_MND_16</t>
  </si>
  <si>
    <t>MT742 – Field :52D: null/rong (Issuing Bank – loại D (ngân hàng phát hành, tên &amp; địa chỉ)) → errorCode=03</t>
  </si>
  <si>
    <t>Auth hop le;
Body MT742 co tag :52D: nhung gia tri null/empty
Format yeu cau: Xem SWIFT standard (format phụ thuộc subfield)
Cac field mandatory khac hop le</t>
  </si>
  <si>
    <t>1. Chuan bi body dien MT742 dung chuan SWIFT
2. Giu tag :52D: nhung de gia tri RONG/NULL
   (cac field mandatory khac van hop le)
3. Gui POST request voi transactionType=MT742
4. Verify: HTTP 200, result=ERROR, errorCode=03</t>
  </si>
  <si>
    <t>Headers:
Authorization: Basic a3ljYWRtbjpwYXNzd29yZDM=
Content-Type: application/json
Params:
  transactionId: TF_AML_MT742_MND_16
  requestId:     REQ_AML_MT742_MND_16
  transactionType: MT742
  branchCd: HN
  channel: T24
  isCallBack: N
Body: Dien MT742 dung chuan SWIFT
Field NULL/RONG: :52D: (Issuing Bank – loại D (ngân hàng phát hành, tên &amp; địa chỉ))
Format yeu cau: Xem SWIFT standard (format phụ thuộc subfield)
Vi du: Tag :52D: ton tai nhung gia tri = null/empty
       Vi du: :52D: (khong co gia tri sau dau :)</t>
  </si>
  <si>
    <t xml:space="preserve">    AML_MT747_MND  Kiem tra field mandatory cho dien MT747 (2 field: :20:, :30:)</t>
  </si>
  <si>
    <t>MT747 – Gui dien hop le day du 2 field mandatory (baseline)</t>
  </si>
  <si>
    <t>Auth hop le;
Body dien MT747 co du 2 field mandatory:
:20:, :30:</t>
  </si>
  <si>
    <t>1. Chuan bi body dien MT747 day du chuan SWIFT
   Co du tat ca 2 field mandatory:
   :20:
   :30:
2. Gui POST request voi transactionType=MT747
3. Verify: HTTP 200, errorCode=00
4. Day la baseline – dung de so sanh voi cac TC loi</t>
  </si>
  <si>
    <t>Headers:
Authorization: Basic a3ljYWRtbjpwYXNzd29yZDM=
Content-Type: application/json
Params:
  transactionId: TF_AML_MT747_MND_01
  requestId:     REQ_AML_MT747_MND_01
  transactionType: MT747
  branchCd: HN
  channel: T24
  isCallBack: N
Body: Dien MT747 theo chuan SWIFT
Co du 2 field mandatory:
:20:, :30:</t>
  </si>
  <si>
    <t>MT747 – Thieu tat ca 2 field mandatory → errorCode=03</t>
  </si>
  <si>
    <t>Auth hop le;
Body dien MT747 bi xoa toan bo field mandatory</t>
  </si>
  <si>
    <t>1. Chuan bi body dien MT747 dung chuan SWIFT
2. Xoa toan bo 2 field mandatory: :20:, :30:
3. Gui POST request voi transactionType=MT747
4. Verify: HTTP 200, result=ERROR, errorCode=03</t>
  </si>
  <si>
    <t>Headers:
Authorization: Basic a3ljYWRtbjpwYXNzd29yZDM=
Content-Type: application/json
Params:
  transactionId: TF_AML_MT747_MND_02
  requestId:     REQ_AML_MT747_MND_02
  transactionType: MT747
  branchCd: HN
  channel: T24
  isCallBack: N
Body: Dien MT747 theo chuan SWIFT
DA XOA toan bo 2 field mandatory:
:20:, :30:</t>
  </si>
  <si>
    <t>AML_MT747_MND_03</t>
  </si>
  <si>
    <t>MT747 – Thieu field :20: (Transaction Reference Number (mã tham chiếu giao dịch)) → errorCode=03</t>
  </si>
  <si>
    <t>Auth hop le;
Body MT747 KHONG co tag :20:
Format yeu cau: Tối đa 16 ký tự alphanumeric
Cac field mandatory khac day du</t>
  </si>
  <si>
    <t>1. Chuan bi body dien MT747 dung chuan SWIFT
2. XOA tag :20: khoi body dien
   (cac field mandatory khac van giu nguyen)
3. Gui POST request voi transactionType=MT747
4. Verify: HTTP 200, result=ERROR, errorCode=03</t>
  </si>
  <si>
    <t>Headers:
Authorization: Basic a3ljYWRtbjpwYXNzd29yZDM=
Content-Type: application/json
Params:
  transactionId: TF_AML_MT747_MND_03
  requestId:     REQ_AML_MT747_MND_03
  transactionType: MT747
  branchCd: HN
  channel: T24
  isCallBack: N
Body: Dien MT747 dung chuan SWIFT
Field bi THIEU: :20: (Transaction Reference Number (mã tham chiếu giao dịch))
Format yeu cau: Tối đa 16 ký tự alphanumeric
Vi du: Dien MT747 hop le nhung KHONG co tag :20:</t>
  </si>
  <si>
    <t>AML_MT747_MND_04</t>
  </si>
  <si>
    <t>MT747 – Field :20: null/rong (Transaction Reference Number (mã tham chiếu giao dịch)) → errorCode=03</t>
  </si>
  <si>
    <t>Auth hop le;
Body MT747 co tag :20: nhung gia tri null/empty
Format yeu cau: Tối đa 16 ký tự alphanumeric
Cac field mandatory khac hop le</t>
  </si>
  <si>
    <t>1. Chuan bi body dien MT747 dung chuan SWIFT
2. Giu tag :20: nhung de gia tri RONG/NULL
   (cac field mandatory khac van hop le)
3. Gui POST request voi transactionType=MT747
4. Verify: HTTP 200, result=ERROR, errorCode=03</t>
  </si>
  <si>
    <t>Headers:
Authorization: Basic a3ljYWRtbjpwYXNzd29yZDM=
Content-Type: application/json
Params:
  transactionId: TF_AML_MT747_MND_04
  requestId:     REQ_AML_MT747_MND_04
  transactionType: MT747
  branchCd: HN
  channel: T24
  isCallBack: N
Body: Dien MT747 dung chuan SWIFT
Field NULL/RONG: :20: (Transaction Reference Number (mã tham chiếu giao dịch))
Format yeu cau: Tối đa 16 ký tự alphanumeric
Vi du: Tag :20: ton tai nhung gia tri = null/empty
       Vi du: :20: (khong co gia tri sau dau :)</t>
  </si>
  <si>
    <t>AML_MT747_MND_05</t>
  </si>
  <si>
    <t>MT747 – Thieu field :30: (Date of Amendment / Issue Date (ngày sửa đổi / ngày phát hành)) → errorCode=03</t>
  </si>
  <si>
    <t>Auth hop le;
Body MT747 KHONG co tag :30:
Format yeu cau: 6 chữ số – định dạng ngày YYMMDD
Cac field mandatory khac day du</t>
  </si>
  <si>
    <t>1. Chuan bi body dien MT747 dung chuan SWIFT
2. XOA tag :30: khoi body dien
   (cac field mandatory khac van giu nguyen)
3. Gui POST request voi transactionType=MT747
4. Verify: HTTP 200, result=ERROR, errorCode=03</t>
  </si>
  <si>
    <t>Headers:
Authorization: Basic a3ljYWRtbjpwYXNzd29yZDM=
Content-Type: application/json
Params:
  transactionId: TF_AML_MT747_MND_05
  requestId:     REQ_AML_MT747_MND_05
  transactionType: MT747
  branchCd: HN
  channel: T24
  isCallBack: N
Body: Dien MT747 dung chuan SWIFT
Field bi THIEU: :30: (Date of Amendment / Issue Date (ngày sửa đổi / ngày phát hành))
Format yeu cau: 6 chữ số – định dạng ngày YYMMDD
Vi du: Dien MT747 hop le nhung KHONG co tag :30:</t>
  </si>
  <si>
    <t>AML_MT747_MND_06</t>
  </si>
  <si>
    <t>MT747 – Field :30: null/rong (Date of Amendment / Issue Date (ngày sửa đổi / ngày phát hành)) → errorCode=03</t>
  </si>
  <si>
    <t>Auth hop le;
Body MT747 co tag :30: nhung gia tri null/empty
Format yeu cau: 6 chữ số – định dạng ngày YYMMDD
Cac field mandatory khac hop le</t>
  </si>
  <si>
    <t>1. Chuan bi body dien MT747 dung chuan SWIFT
2. Giu tag :30: nhung de gia tri RONG/NULL
   (cac field mandatory khac van hop le)
3. Gui POST request voi transactionType=MT747
4. Verify: HTTP 200, result=ERROR, errorCode=03</t>
  </si>
  <si>
    <t>Headers:
Authorization: Basic a3ljYWRtbjpwYXNzd29yZDM=
Content-Type: application/json
Params:
  transactionId: TF_AML_MT747_MND_06
  requestId:     REQ_AML_MT747_MND_06
  transactionType: MT747
  branchCd: HN
  channel: T24
  isCallBack: N
Body: Dien MT747 dung chuan SWIFT
Field NULL/RONG: :30: (Date of Amendment / Issue Date (ngày sửa đổi / ngày phát hành))
Format yeu cau: 6 chữ số – định dạng ngày YYMMDD
Vi du: Tag :30: ton tai nhung gia tri = null/empty
       Vi du: :30: (khong co gia tri sau dau :)</t>
  </si>
  <si>
    <t xml:space="preserve">    AML_MT760_MND  Kiem tra field mandatory cho dien MT760 (14 field: :15A:, :15B:, :15C:, :20:, :22A:, :22D:, :23B:, :27:, :30:, :32B:, :40C:, :45L:, :50:, :77U:)</t>
  </si>
  <si>
    <t>MT760 – Gui dien hop le day du 14 field mandatory (baseline)</t>
  </si>
  <si>
    <t>Auth hop le;
Body dien MT760 co du 14 field mandatory:
:15A:, :15B:, :15C:, :20:, :22A:, :22D:, :23B:, :27:, :30:, :32B:, :40C:, :45L:, :50:, :77U:</t>
  </si>
  <si>
    <t>1. Chuan bi body dien MT760 day du chuan SWIFT
   Co du tat ca 14 field mandatory:
   :15A:
   :15B:
   :15C:
   :20:
   :22A:
   :22D:
   :23B:
   :27:
   :30:
   :32B:
   :40C:
   :45L:
   :50:
   :77U:
2. Gui POST request voi transactionType=MT760
3. Verify: HTTP 200, errorCode=00
4. Day la baseline – dung de so sanh voi cac TC loi</t>
  </si>
  <si>
    <t>Headers:
Authorization: Basic a3ljYWRtbjpwYXNzd29yZDM=
Content-Type: application/json
Params:
  transactionId: TF_AML_MT760_MND_01
  requestId:     REQ_AML_MT760_MND_01
  transactionType: MT760
  branchCd: HN
  channel: T24
  isCallBack: N
Body: Dien MT760 theo chuan SWIFT
Co du 14 field mandatory:
:15A:, :15B:, :15C:, :20:, :22A:, :22D:, :23B:, :27:, :30:, :32B:, :40C:, :45L:, :50:, :77U:</t>
  </si>
  <si>
    <t>MT760 – Thieu tat ca 14 field mandatory → errorCode=03</t>
  </si>
  <si>
    <t>Auth hop le;
Body dien MT760 bi xoa toan bo field mandatory</t>
  </si>
  <si>
    <t>1. Chuan bi body dien MT760 dung chuan SWIFT
2. Xoa toan bo 14 field mandatory: :15A:, :15B:, :15C:, :20:, :22A:, :22D:, :23B:, :27:, :30:, :32B:, :40C:, :45L:, :50:, :77U:
3. Gui POST request voi transactionType=MT760
4. Verify: HTTP 200, result=ERROR, errorCode=03</t>
  </si>
  <si>
    <t>Headers:
Authorization: Basic a3ljYWRtbjpwYXNzd29yZDM=
Content-Type: application/json
Params:
  transactionId: TF_AML_MT760_MND_02
  requestId:     REQ_AML_MT760_MND_02
  transactionType: MT760
  branchCd: HN
  channel: T24
  isCallBack: N
Body: Dien MT760 theo chuan SWIFT
DA XOA toan bo 14 field mandatory:
:15A:, :15B:, :15C:, :20:, :22A:, :22D:, :23B:, :27:, :30:, :32B:, :40C:, :45L:, :50:, :77U:</t>
  </si>
  <si>
    <t>MT760 – Thieu field :15A: (Sequence A – General Information (thông tin chung, bắt buộc)) → errorCode=03</t>
  </si>
  <si>
    <t>Auth hop le;
Body MT760 KHONG co tag :15A:
Format yeu cau: Xem SWIFT standard (format phụ thuộc subfield)
Cac field mandatory khac day du</t>
  </si>
  <si>
    <t>1. Chuan bi body dien MT760 dung chuan SWIFT
2. XOA tag :15A: khoi body dien
   (cac field mandatory khac van giu nguyen)
3. Gui POST request voi transactionType=MT760
4. Verify: HTTP 200, result=ERROR, errorCode=03</t>
  </si>
  <si>
    <t>Headers:
Authorization: Basic a3ljYWRtbjpwYXNzd29yZDM=
Content-Type: application/json
Params:
  transactionId: TF_AML_MT760_MND_03
  requestId:     REQ_AML_MT760_MND_03
  transactionType: MT760
  branchCd: HN
  channel: T24
  isCallBack: N
Body: Dien MT760 dung chuan SWIFT
Field bi THIEU: :15A: (Sequence A – General Information (thông tin chung, bắt buộc))
Format yeu cau: Xem SWIFT standard (format phụ thuộc subfield)
Vi du: Dien MT760 hop le nhung KHONG co tag :15A:</t>
  </si>
  <si>
    <t>MT760 – Field :15A: null/rong (Sequence A – General Information (thông tin chung, bắt buộc)) → errorCode=03</t>
  </si>
  <si>
    <t>Auth hop le;
Body MT760 co tag :15A: nhung gia tri null/empty
Format yeu cau: Xem SWIFT standard (format phụ thuộc subfield)
Cac field mandatory khac hop le</t>
  </si>
  <si>
    <t>1. Chuan bi body dien MT760 dung chuan SWIFT
2. Giu tag :15A: nhung de gia tri RONG/NULL
   (cac field mandatory khac van hop le)
3. Gui POST request voi transactionType=MT760
4. Verify: HTTP 200, result=ERROR, errorCode=03</t>
  </si>
  <si>
    <t>Headers:
Authorization: Basic a3ljYWRtbjpwYXNzd29yZDM=
Content-Type: application/json
Params:
  transactionId: TF_AML_MT760_MND_04
  requestId:     REQ_AML_MT760_MND_04
  transactionType: MT760
  branchCd: HN
  channel: T24
  isCallBack: N
Body: Dien MT760 dung chuan SWIFT
Field NULL/RONG: :15A: (Sequence A – General Information (thông tin chung, bắt buộc))
Format yeu cau: Xem SWIFT standard (format phụ thuộc subfield)
Vi du: Tag :15A: ton tai nhung gia tri = null/empty
       Vi du: :15A: (khong co gia tri sau dau :)</t>
  </si>
  <si>
    <t>MT760 – Thieu field :15B: (Sequence B – Undertaking Details (chi tiết bảo lãnh, bắt buộc)) → errorCode=03</t>
  </si>
  <si>
    <t>Auth hop le;
Body MT760 KHONG co tag :15B:
Format yeu cau: Xem SWIFT standard (format phụ thuộc subfield)
Cac field mandatory khac day du</t>
  </si>
  <si>
    <t>1. Chuan bi body dien MT760 dung chuan SWIFT
2. XOA tag :15B: khoi body dien
   (cac field mandatory khac van giu nguyen)
3. Gui POST request voi transactionType=MT760
4. Verify: HTTP 200, result=ERROR, errorCode=03</t>
  </si>
  <si>
    <t>Headers:
Authorization: Basic a3ljYWRtbjpwYXNzd29yZDM=
Content-Type: application/json
Params:
  transactionId: TF_AML_MT760_MND_05
  requestId:     REQ_AML_MT760_MND_05
  transactionType: MT760
  branchCd: HN
  channel: T24
  isCallBack: N
Body: Dien MT760 dung chuan SWIFT
Field bi THIEU: :15B: (Sequence B – Undertaking Details (chi tiết bảo lãnh, bắt buộc))
Format yeu cau: Xem SWIFT standard (format phụ thuộc subfield)
Vi du: Dien MT760 hop le nhung KHONG co tag :15B:</t>
  </si>
  <si>
    <t>MT760 – Field :15B: null/rong (Sequence B – Undertaking Details (chi tiết bảo lãnh, bắt buộc)) → errorCode=03</t>
  </si>
  <si>
    <t>Auth hop le;
Body MT760 co tag :15B: nhung gia tri null/empty
Format yeu cau: Xem SWIFT standard (format phụ thuộc subfield)
Cac field mandatory khac hop le</t>
  </si>
  <si>
    <t>1. Chuan bi body dien MT760 dung chuan SWIFT
2. Giu tag :15B: nhung de gia tri RONG/NULL
   (cac field mandatory khac van hop le)
3. Gui POST request voi transactionType=MT760
4. Verify: HTTP 200, result=ERROR, errorCode=03</t>
  </si>
  <si>
    <t>Headers:
Authorization: Basic a3ljYWRtbjpwYXNzd29yZDM=
Content-Type: application/json
Params:
  transactionId: TF_AML_MT760_MND_06
  requestId:     REQ_AML_MT760_MND_06
  transactionType: MT760
  branchCd: HN
  channel: T24
  isCallBack: N
Body: Dien MT760 dung chuan SWIFT
Field NULL/RONG: :15B: (Sequence B – Undertaking Details (chi tiết bảo lãnh, bắt buộc))
Format yeu cau: Xem SWIFT standard (format phụ thuộc subfield)
Vi du: Tag :15B: ton tai nhung gia tri = null/empty
       Vi du: :15B: (khong co gia tri sau dau :)</t>
  </si>
  <si>
    <t>MT760 – Thieu field :15C: (Sequence C – Local Undertaking Details (chi tiết bảo lãnh nội địa)) → errorCode=03</t>
  </si>
  <si>
    <t>Auth hop le;
Body MT760 KHONG co tag :15C:
Format yeu cau: Xem SWIFT standard (format phụ thuộc subfield)
Cac field mandatory khac day du</t>
  </si>
  <si>
    <t>1. Chuan bi body dien MT760 dung chuan SWIFT
2. XOA tag :15C: khoi body dien
   (cac field mandatory khac van giu nguyen)
3. Gui POST request voi transactionType=MT760
4. Verify: HTTP 200, result=ERROR, errorCode=03</t>
  </si>
  <si>
    <t>Headers:
Authorization: Basic a3ljYWRtbjpwYXNzd29yZDM=
Content-Type: application/json
Params:
  transactionId: TF_AML_MT760_MND_07
  requestId:     REQ_AML_MT760_MND_07
  transactionType: MT760
  branchCd: HN
  channel: T24
  isCallBack: N
Body: Dien MT760 dung chuan SWIFT
Field bi THIEU: :15C: (Sequence C – Local Undertaking Details (chi tiết bảo lãnh nội địa))
Format yeu cau: Xem SWIFT standard (format phụ thuộc subfield)
Vi du: Dien MT760 hop le nhung KHONG co tag :15C:</t>
  </si>
  <si>
    <t>MT760 – Field :15C: null/rong (Sequence C – Local Undertaking Details (chi tiết bảo lãnh nội địa)) → errorCode=03</t>
  </si>
  <si>
    <t>Auth hop le;
Body MT760 co tag :15C: nhung gia tri null/empty
Format yeu cau: Xem SWIFT standard (format phụ thuộc subfield)
Cac field mandatory khac hop le</t>
  </si>
  <si>
    <t>1. Chuan bi body dien MT760 dung chuan SWIFT
2. Giu tag :15C: nhung de gia tri RONG/NULL
   (cac field mandatory khac van hop le)
3. Gui POST request voi transactionType=MT760
4. Verify: HTTP 200, result=ERROR, errorCode=03</t>
  </si>
  <si>
    <t>Headers:
Authorization: Basic a3ljYWRtbjpwYXNzd29yZDM=
Content-Type: application/json
Params:
  transactionId: TF_AML_MT760_MND_08
  requestId:     REQ_AML_MT760_MND_08
  transactionType: MT760
  branchCd: HN
  channel: T24
  isCallBack: N
Body: Dien MT760 dung chuan SWIFT
Field NULL/RONG: :15C: (Sequence C – Local Undertaking Details (chi tiết bảo lãnh nội địa))
Format yeu cau: Xem SWIFT standard (format phụ thuộc subfield)
Vi du: Tag :15C: ton tai nhung gia tri = null/empty
       Vi du: :15C: (khong co gia tri sau dau :)</t>
  </si>
  <si>
    <t>MT760 – Thieu field :20: (Transaction Reference Number (mã tham chiếu giao dịch)) → errorCode=03</t>
  </si>
  <si>
    <t>Auth hop le;
Body MT760 KHONG co tag :20:
Format yeu cau: Tối đa 16 ký tự alphanumeric
Cac field mandatory khac day du</t>
  </si>
  <si>
    <t>1. Chuan bi body dien MT760 dung chuan SWIFT
2. XOA tag :20: khoi body dien
   (cac field mandatory khac van giu nguyen)
3. Gui POST request voi transactionType=MT760
4. Verify: HTTP 200, result=ERROR, errorCode=03</t>
  </si>
  <si>
    <t>Headers:
Authorization: Basic a3ljYWRtbjpwYXNzd29yZDM=
Content-Type: application/json
Params:
  transactionId: TF_AML_MT760_MND_09
  requestId:     REQ_AML_MT760_MND_09
  transactionType: MT760
  branchCd: HN
  channel: T24
  isCallBack: N
Body: Dien MT760 dung chuan SWIFT
Field bi THIEU: :20: (Transaction Reference Number (mã tham chiếu giao dịch))
Format yeu cau: Tối đa 16 ký tự alphanumeric
Vi du: Dien MT760 hop le nhung KHONG co tag :20:</t>
  </si>
  <si>
    <t>MT760 – Field :20: null/rong (Transaction Reference Number (mã tham chiếu giao dịch)) → errorCode=03</t>
  </si>
  <si>
    <t>Auth hop le;
Body MT760 co tag :20: nhung gia tri null/empty
Format yeu cau: Tối đa 16 ký tự alphanumeric
Cac field mandatory khac hop le</t>
  </si>
  <si>
    <t>1. Chuan bi body dien MT760 dung chuan SWIFT
2. Giu tag :20: nhung de gia tri RONG/NULL
   (cac field mandatory khac van hop le)
3. Gui POST request voi transactionType=MT760
4. Verify: HTTP 200, result=ERROR, errorCode=03</t>
  </si>
  <si>
    <t>Headers:
Authorization: Basic a3ljYWRtbjpwYXNzd29yZDM=
Content-Type: application/json
Params:
  transactionId: TF_AML_MT760_MND_10
  requestId:     REQ_AML_MT760_MND_10
  transactionType: MT760
  branchCd: HN
  channel: T24
  isCallBack: N
Body: Dien MT760 dung chuan SWIFT
Field NULL/RONG: :20: (Transaction Reference Number (mã tham chiếu giao dịch))
Format yeu cau: Tối đa 16 ký tự alphanumeric
Vi du: Tag :20: ton tai nhung gia tri = null/empty
       Vi du: :20: (khong co gia tri sau dau :)</t>
  </si>
  <si>
    <t>MT760 – Thieu field :22A: (Form of Documentary Credit / Type of Undertaking (hình thức L/C / loại bảo lãnh)) → errorCode=03</t>
  </si>
  <si>
    <t>Auth hop le;
Body MT760 KHONG co tag :22A:
Format yeu cau: Đúng 4 ký tự chữ hoa
Cac field mandatory khac day du</t>
  </si>
  <si>
    <t>1. Chuan bi body dien MT760 dung chuan SWIFT
2. XOA tag :22A: khoi body dien
   (cac field mandatory khac van giu nguyen)
3. Gui POST request voi transactionType=MT760
4. Verify: HTTP 200, result=ERROR, errorCode=03</t>
  </si>
  <si>
    <t>Headers:
Authorization: Basic a3ljYWRtbjpwYXNzd29yZDM=
Content-Type: application/json
Params:
  transactionId: TF_AML_MT760_MND_11
  requestId:     REQ_AML_MT760_MND_11
  transactionType: MT760
  branchCd: HN
  channel: T24
  isCallBack: N
Body: Dien MT760 dung chuan SWIFT
Field bi THIEU: :22A: (Form of Documentary Credit / Type of Undertaking (hình thức L/C / loại bảo lãnh))
Format yeu cau: Đúng 4 ký tự chữ hoa
Vi du: Dien MT760 hop le nhung KHONG co tag :22A:</t>
  </si>
  <si>
    <t>MT760 – Field :22A: null/rong (Form of Documentary Credit / Type of Undertaking (hình thức L/C / loại bảo lãnh)) → errorCode=03</t>
  </si>
  <si>
    <t>Auth hop le;
Body MT760 co tag :22A: nhung gia tri null/empty
Format yeu cau: Đúng 4 ký tự chữ hoa
Cac field mandatory khac hop le</t>
  </si>
  <si>
    <t>1. Chuan bi body dien MT760 dung chuan SWIFT
2. Giu tag :22A: nhung de gia tri RONG/NULL
   (cac field mandatory khac van hop le)
3. Gui POST request voi transactionType=MT760
4. Verify: HTTP 200, result=ERROR, errorCode=03</t>
  </si>
  <si>
    <t>Headers:
Authorization: Basic a3ljYWRtbjpwYXNzd29yZDM=
Content-Type: application/json
Params:
  transactionId: TF_AML_MT760_MND_12
  requestId:     REQ_AML_MT760_MND_12
  transactionType: MT760
  branchCd: HN
  channel: T24
  isCallBack: N
Body: Dien MT760 dung chuan SWIFT
Field NULL/RONG: :22A: (Form of Documentary Credit / Type of Undertaking (hình thức L/C / loại bảo lãnh))
Format yeu cau: Đúng 4 ký tự chữ hoa
Vi du: Tag :22A: ton tai nhung gia tri = null/empty
       Vi du: :22A: (khong co gia tri sau dau :)</t>
  </si>
  <si>
    <t>MT760 – Thieu field :22D: (Undertaking Type (loại bảo lãnh)) → errorCode=03</t>
  </si>
  <si>
    <t>Auth hop le;
Body MT760 KHONG co tag :22D:
Format yeu cau: Đúng 4 ký tự chữ hoa
Cac field mandatory khac day du</t>
  </si>
  <si>
    <t>1. Chuan bi body dien MT760 dung chuan SWIFT
2. XOA tag :22D: khoi body dien
   (cac field mandatory khac van giu nguyen)
3. Gui POST request voi transactionType=MT760
4. Verify: HTTP 200, result=ERROR, errorCode=03</t>
  </si>
  <si>
    <t>Headers:
Authorization: Basic a3ljYWRtbjpwYXNzd29yZDM=
Content-Type: application/json
Params:
  transactionId: TF_AML_MT760_MND_13
  requestId:     REQ_AML_MT760_MND_13
  transactionType: MT760
  branchCd: HN
  channel: T24
  isCallBack: N
Body: Dien MT760 dung chuan SWIFT
Field bi THIEU: :22D: (Undertaking Type (loại bảo lãnh))
Format yeu cau: Đúng 4 ký tự chữ hoa
Vi du: Dien MT760 hop le nhung KHONG co tag :22D:</t>
  </si>
  <si>
    <t>MT760 – Field :22D: null/rong (Undertaking Type (loại bảo lãnh)) → errorCode=03</t>
  </si>
  <si>
    <t>Auth hop le;
Body MT760 co tag :22D: nhung gia tri null/empty
Format yeu cau: Đúng 4 ký tự chữ hoa
Cac field mandatory khac hop le</t>
  </si>
  <si>
    <t>1. Chuan bi body dien MT760 dung chuan SWIFT
2. Giu tag :22D: nhung de gia tri RONG/NULL
   (cac field mandatory khac van hop le)
3. Gui POST request voi transactionType=MT760
4. Verify: HTTP 200, result=ERROR, errorCode=03</t>
  </si>
  <si>
    <t>Headers:
Authorization: Basic a3ljYWRtbjpwYXNzd29yZDM=
Content-Type: application/json
Params:
  transactionId: TF_AML_MT760_MND_14
  requestId:     REQ_AML_MT760_MND_14
  transactionType: MT760
  branchCd: HN
  channel: T24
  isCallBack: N
Body: Dien MT760 dung chuan SWIFT
Field NULL/RONG: :22D: (Undertaking Type (loại bảo lãnh))
Format yeu cau: Đúng 4 ký tự chữ hoa
Vi du: Tag :22D: ton tai nhung gia tri = null/empty
       Vi du: :22D: (khong co gia tri sau dau :)</t>
  </si>
  <si>
    <t>AML_MT760_MND_15</t>
  </si>
  <si>
    <t>MT760 – Thieu field :23B: (Undertaking Type Code) → errorCode=03</t>
  </si>
  <si>
    <t>Auth hop le;
Body MT760 KHONG co tag :23B:
Format yeu cau: Đúng 4 ký tự chữ hoa
Cac field mandatory khac day du</t>
  </si>
  <si>
    <t>1. Chuan bi body dien MT760 dung chuan SWIFT
2. XOA tag :23B: khoi body dien
   (cac field mandatory khac van giu nguyen)
3. Gui POST request voi transactionType=MT760
4. Verify: HTTP 200, result=ERROR, errorCode=03</t>
  </si>
  <si>
    <t>Headers:
Authorization: Basic a3ljYWRtbjpwYXNzd29yZDM=
Content-Type: application/json
Params:
  transactionId: TF_AML_MT760_MND_15
  requestId:     REQ_AML_MT760_MND_15
  transactionType: MT760
  branchCd: HN
  channel: T24
  isCallBack: N
Body: Dien MT760 dung chuan SWIFT
Field bi THIEU: :23B: (Undertaking Type Code)
Format yeu cau: Đúng 4 ký tự chữ hoa
Vi du: Dien MT760 hop le nhung KHONG co tag :23B:</t>
  </si>
  <si>
    <t>AML_MT760_MND_16</t>
  </si>
  <si>
    <t>MT760 – Field :23B: null/rong (Undertaking Type Code) → errorCode=03</t>
  </si>
  <si>
    <t>Auth hop le;
Body MT760 co tag :23B: nhung gia tri null/empty
Format yeu cau: Đúng 4 ký tự chữ hoa
Cac field mandatory khac hop le</t>
  </si>
  <si>
    <t>1. Chuan bi body dien MT760 dung chuan SWIFT
2. Giu tag :23B: nhung de gia tri RONG/NULL
   (cac field mandatory khac van hop le)
3. Gui POST request voi transactionType=MT760
4. Verify: HTTP 200, result=ERROR, errorCode=03</t>
  </si>
  <si>
    <t>Headers:
Authorization: Basic a3ljYWRtbjpwYXNzd29yZDM=
Content-Type: application/json
Params:
  transactionId: TF_AML_MT760_MND_16
  requestId:     REQ_AML_MT760_MND_16
  transactionType: MT760
  branchCd: HN
  channel: T24
  isCallBack: N
Body: Dien MT760 dung chuan SWIFT
Field NULL/RONG: :23B: (Undertaking Type Code)
Format yeu cau: Đúng 4 ký tự chữ hoa
Vi du: Tag :23B: ton tai nhung gia tri = null/empty
       Vi du: :23B: (khong co gia tri sau dau :)</t>
  </si>
  <si>
    <t>AML_MT760_MND_17</t>
  </si>
  <si>
    <t>MT760 – Thieu field :27: (Sequence of Total (thứ tự / tổng số điện)) → errorCode=03</t>
  </si>
  <si>
    <t>Auth hop le;
Body MT760 KHONG co tag :27:
Format yeu cau: Định dạng số/số (ví dụ: 1/1)
Cac field mandatory khac day du</t>
  </si>
  <si>
    <t>1. Chuan bi body dien MT760 dung chuan SWIFT
2. XOA tag :27: khoi body dien
   (cac field mandatory khac van giu nguyen)
3. Gui POST request voi transactionType=MT760
4. Verify: HTTP 200, result=ERROR, errorCode=03</t>
  </si>
  <si>
    <t>Headers:
Authorization: Basic a3ljYWRtbjpwYXNzd29yZDM=
Content-Type: application/json
Params:
  transactionId: TF_AML_MT760_MND_17
  requestId:     REQ_AML_MT760_MND_17
  transactionType: MT760
  branchCd: HN
  channel: T24
  isCallBack: N
Body: Dien MT760 dung chuan SWIFT
Field bi THIEU: :27: (Sequence of Total (thứ tự / tổng số điện))
Format yeu cau: Định dạng số/số (ví dụ: 1/1)
Vi du: Dien MT760 hop le nhung KHONG co tag :27:</t>
  </si>
  <si>
    <t>AML_MT760_MND_18</t>
  </si>
  <si>
    <t>MT760 – Field :27: null/rong (Sequence of Total (thứ tự / tổng số điện)) → errorCode=03</t>
  </si>
  <si>
    <t>Auth hop le;
Body MT760 co tag :27: nhung gia tri null/empty
Format yeu cau: Định dạng số/số (ví dụ: 1/1)
Cac field mandatory khac hop le</t>
  </si>
  <si>
    <t>1. Chuan bi body dien MT760 dung chuan SWIFT
2. Giu tag :27: nhung de gia tri RONG/NULL
   (cac field mandatory khac van hop le)
3. Gui POST request voi transactionType=MT760
4. Verify: HTTP 200, result=ERROR, errorCode=03</t>
  </si>
  <si>
    <t>Headers:
Authorization: Basic a3ljYWRtbjpwYXNzd29yZDM=
Content-Type: application/json
Params:
  transactionId: TF_AML_MT760_MND_18
  requestId:     REQ_AML_MT760_MND_18
  transactionType: MT760
  branchCd: HN
  channel: T24
  isCallBack: N
Body: Dien MT760 dung chuan SWIFT
Field NULL/RONG: :27: (Sequence of Total (thứ tự / tổng số điện))
Format yeu cau: Định dạng số/số (ví dụ: 1/1)
Vi du: Tag :27: ton tai nhung gia tri = null/empty
       Vi du: :27: (khong co gia tri sau dau :)</t>
  </si>
  <si>
    <t>AML_MT760_MND_19</t>
  </si>
  <si>
    <t>MT760 – Thieu field :30: (Date of Amendment / Issue Date (ngày sửa đổi / ngày phát hành)) → errorCode=03</t>
  </si>
  <si>
    <t>Auth hop le;
Body MT760 KHONG co tag :30:
Format yeu cau: 6 chữ số – định dạng ngày YYMMDD
Cac field mandatory khac day du</t>
  </si>
  <si>
    <t>1. Chuan bi body dien MT760 dung chuan SWIFT
2. XOA tag :30: khoi body dien
   (cac field mandatory khac van giu nguyen)
3. Gui POST request voi transactionType=MT760
4. Verify: HTTP 200, result=ERROR, errorCode=03</t>
  </si>
  <si>
    <t>Headers:
Authorization: Basic a3ljYWRtbjpwYXNzd29yZDM=
Content-Type: application/json
Params:
  transactionId: TF_AML_MT760_MND_19
  requestId:     REQ_AML_MT760_MND_19
  transactionType: MT760
  branchCd: HN
  channel: T24
  isCallBack: N
Body: Dien MT760 dung chuan SWIFT
Field bi THIEU: :30: (Date of Amendment / Issue Date (ngày sửa đổi / ngày phát hành))
Format yeu cau: 6 chữ số – định dạng ngày YYMMDD
Vi du: Dien MT760 hop le nhung KHONG co tag :30:</t>
  </si>
  <si>
    <t>AML_MT760_MND_20</t>
  </si>
  <si>
    <t>MT760 – Field :30: null/rong (Date of Amendment / Issue Date (ngày sửa đổi / ngày phát hành)) → errorCode=03</t>
  </si>
  <si>
    <t>Auth hop le;
Body MT760 co tag :30: nhung gia tri null/empty
Format yeu cau: 6 chữ số – định dạng ngày YYMMDD
Cac field mandatory khac hop le</t>
  </si>
  <si>
    <t>1. Chuan bi body dien MT760 dung chuan SWIFT
2. Giu tag :30: nhung de gia tri RONG/NULL
   (cac field mandatory khac van hop le)
3. Gui POST request voi transactionType=MT760
4. Verify: HTTP 200, result=ERROR, errorCode=03</t>
  </si>
  <si>
    <t>Headers:
Authorization: Basic a3ljYWRtbjpwYXNzd29yZDM=
Content-Type: application/json
Params:
  transactionId: TF_AML_MT760_MND_20
  requestId:     REQ_AML_MT760_MND_20
  transactionType: MT760
  branchCd: HN
  channel: T24
  isCallBack: N
Body: Dien MT760 dung chuan SWIFT
Field NULL/RONG: :30: (Date of Amendment / Issue Date (ngày sửa đổi / ngày phát hành))
Format yeu cau: 6 chữ số – định dạng ngày YYMMDD
Vi du: Tag :30: ton tai nhung gia tri = null/empty
       Vi du: :30: (khong co gia tri sau dau :)</t>
  </si>
  <si>
    <t>AML_MT760_MND_21</t>
  </si>
  <si>
    <t>MT760 – Thieu field :32B: (Currency Code, Amount (mã tiền tệ và số tiền)) → errorCode=03</t>
  </si>
  <si>
    <t>Auth hop le;
Body MT760 KHONG co tag :32B:
Format yeu cau: 3 ký tự mã tiền tệ ISO + tối đa 15 chữ số
Cac field mandatory khac day du</t>
  </si>
  <si>
    <t>1. Chuan bi body dien MT760 dung chuan SWIFT
2. XOA tag :32B: khoi body dien
   (cac field mandatory khac van giu nguyen)
3. Gui POST request voi transactionType=MT760
4. Verify: HTTP 200, result=ERROR, errorCode=03</t>
  </si>
  <si>
    <t>Headers:
Authorization: Basic a3ljYWRtbjpwYXNzd29yZDM=
Content-Type: application/json
Params:
  transactionId: TF_AML_MT760_MND_21
  requestId:     REQ_AML_MT760_MND_21
  transactionType: MT760
  branchCd: HN
  channel: T24
  isCallBack: N
Body: Dien MT760 dung chuan SWIFT
Field bi THIEU: :32B: (Currency Code, Amount (mã tiền tệ và số tiền))
Format yeu cau: 3 ký tự mã tiền tệ ISO + tối đa 15 chữ số
Vi du: Dien MT760 hop le nhung KHONG co tag :32B:</t>
  </si>
  <si>
    <t>AML_MT760_MND_22</t>
  </si>
  <si>
    <t>MT760 – Field :32B: null/rong (Currency Code, Amount (mã tiền tệ và số tiền)) → errorCode=03</t>
  </si>
  <si>
    <t>Auth hop le;
Body MT760 co tag :32B: nhung gia tri null/empty
Format yeu cau: 3 ký tự mã tiền tệ ISO + tối đa 15 chữ số
Cac field mandatory khac hop le</t>
  </si>
  <si>
    <t>1. Chuan bi body dien MT760 dung chuan SWIFT
2. Giu tag :32B: nhung de gia tri RONG/NULL
   (cac field mandatory khac van hop le)
3. Gui POST request voi transactionType=MT760
4. Verify: HTTP 200, result=ERROR, errorCode=03</t>
  </si>
  <si>
    <t>Headers:
Authorization: Basic a3ljYWRtbjpwYXNzd29yZDM=
Content-Type: application/json
Params:
  transactionId: TF_AML_MT760_MND_22
  requestId:     REQ_AML_MT760_MND_22
  transactionType: MT760
  branchCd: HN
  channel: T24
  isCallBack: N
Body: Dien MT760 dung chuan SWIFT
Field NULL/RONG: :32B: (Currency Code, Amount (mã tiền tệ và số tiền))
Format yeu cau: 3 ký tự mã tiền tệ ISO + tối đa 15 chữ số
Vi du: Tag :32B: ton tai nhung gia tri = null/empty
       Vi du: :32B: (khong co gia tri sau dau :)</t>
  </si>
  <si>
    <t>AML_MT760_MND_23</t>
  </si>
  <si>
    <t>MT760 – Thieu field :40C: (Applicable Rules (quy tắc áp dụng)) → errorCode=03</t>
  </si>
  <si>
    <t>Auth hop le;
Body MT760 KHONG co tag :40C:
Format yeu cau: 4 ký tự chữ hoa [/ tối đa 35 ký tự]
Cac field mandatory khac day du</t>
  </si>
  <si>
    <t>1. Chuan bi body dien MT760 dung chuan SWIFT
2. XOA tag :40C: khoi body dien
   (cac field mandatory khac van giu nguyen)
3. Gui POST request voi transactionType=MT760
4. Verify: HTTP 200, result=ERROR, errorCode=03</t>
  </si>
  <si>
    <t>Headers:
Authorization: Basic a3ljYWRtbjpwYXNzd29yZDM=
Content-Type: application/json
Params:
  transactionId: TF_AML_MT760_MND_23
  requestId:     REQ_AML_MT760_MND_23
  transactionType: MT760
  branchCd: HN
  channel: T24
  isCallBack: N
Body: Dien MT760 dung chuan SWIFT
Field bi THIEU: :40C: (Applicable Rules (quy tắc áp dụng))
Format yeu cau: 4 ký tự chữ hoa [/ tối đa 35 ký tự]
Vi du: Dien MT760 hop le nhung KHONG co tag :40C:</t>
  </si>
  <si>
    <t>AML_MT760_MND_24</t>
  </si>
  <si>
    <t>MT760 – Field :40C: null/rong (Applicable Rules (quy tắc áp dụng)) → errorCode=03</t>
  </si>
  <si>
    <t>Auth hop le;
Body MT760 co tag :40C: nhung gia tri null/empty
Format yeu cau: 4 ký tự chữ hoa [/ tối đa 35 ký tự]
Cac field mandatory khac hop le</t>
  </si>
  <si>
    <t>1. Chuan bi body dien MT760 dung chuan SWIFT
2. Giu tag :40C: nhung de gia tri RONG/NULL
   (cac field mandatory khac van hop le)
3. Gui POST request voi transactionType=MT760
4. Verify: HTTP 200, result=ERROR, errorCode=03</t>
  </si>
  <si>
    <t>Headers:
Authorization: Basic a3ljYWRtbjpwYXNzd29yZDM=
Content-Type: application/json
Params:
  transactionId: TF_AML_MT760_MND_24
  requestId:     REQ_AML_MT760_MND_24
  transactionType: MT760
  branchCd: HN
  channel: T24
  isCallBack: N
Body: Dien MT760 dung chuan SWIFT
Field NULL/RONG: :40C: (Applicable Rules (quy tắc áp dụng))
Format yeu cau: 4 ký tự chữ hoa [/ tối đa 35 ký tự]
Vi du: Tag :40C: ton tai nhung gia tri = null/empty
       Vi du: :40C: (khong co gia tri sau dau :)</t>
  </si>
  <si>
    <t>AML_MT760_MND_25</t>
  </si>
  <si>
    <t>MT760 – Thieu field :45L: (Description of Goods/Services/Undertaking (mô tả hàng hóa/dịch vụ/bảo lãnh)) → errorCode=03</t>
  </si>
  <si>
    <t>Auth hop le;
Body MT760 KHONG co tag :45L:
Format yeu cau: Tối đa 50 dòng × 65 ký tự
Cac field mandatory khac day du</t>
  </si>
  <si>
    <t>1. Chuan bi body dien MT760 dung chuan SWIFT
2. XOA tag :45L: khoi body dien
   (cac field mandatory khac van giu nguyen)
3. Gui POST request voi transactionType=MT760
4. Verify: HTTP 200, result=ERROR, errorCode=03</t>
  </si>
  <si>
    <t>Headers:
Authorization: Basic a3ljYWRtbjpwYXNzd29yZDM=
Content-Type: application/json
Params:
  transactionId: TF_AML_MT760_MND_25
  requestId:     REQ_AML_MT760_MND_25
  transactionType: MT760
  branchCd: HN
  channel: T24
  isCallBack: N
Body: Dien MT760 dung chuan SWIFT
Field bi THIEU: :45L: (Description of Goods/Services/Undertaking (mô tả hàng hóa/dịch vụ/bảo lãnh))
Format yeu cau: Tối đa 50 dòng × 65 ký tự
Vi du: Dien MT760 hop le nhung KHONG co tag :45L:</t>
  </si>
  <si>
    <t>AML_MT760_MND_26</t>
  </si>
  <si>
    <t>MT760 – Field :45L: null/rong (Description of Goods/Services/Undertaking (mô tả hàng hóa/dịch vụ/bảo lãnh)) → errorCode=03</t>
  </si>
  <si>
    <t>Auth hop le;
Body MT760 co tag :45L: nhung gia tri null/empty
Format yeu cau: Tối đa 50 dòng × 65 ký tự
Cac field mandatory khac hop le</t>
  </si>
  <si>
    <t>1. Chuan bi body dien MT760 dung chuan SWIFT
2. Giu tag :45L: nhung de gia tri RONG/NULL
   (cac field mandatory khac van hop le)
3. Gui POST request voi transactionType=MT760
4. Verify: HTTP 200, result=ERROR, errorCode=03</t>
  </si>
  <si>
    <t>Headers:
Authorization: Basic a3ljYWRtbjpwYXNzd29yZDM=
Content-Type: application/json
Params:
  transactionId: TF_AML_MT760_MND_26
  requestId:     REQ_AML_MT760_MND_26
  transactionType: MT760
  branchCd: HN
  channel: T24
  isCallBack: N
Body: Dien MT760 dung chuan SWIFT
Field NULL/RONG: :45L: (Description of Goods/Services/Undertaking (mô tả hàng hóa/dịch vụ/bảo lãnh))
Format yeu cau: Tối đa 50 dòng × 65 ký tự
Vi du: Tag :45L: ton tai nhung gia tri = null/empty
       Vi du: :45L: (khong co gia tri sau dau :)</t>
  </si>
  <si>
    <t>AML_MT760_MND_27</t>
  </si>
  <si>
    <t>MT760 – Thieu field :50: (Applicant (người yêu cầu mở L/C / người đề nghị)) → errorCode=03</t>
  </si>
  <si>
    <t>Auth hop le;
Body MT760 KHONG co tag :50:
Format yeu cau: Tối đa 4 dòng × 35 ký tự
Cac field mandatory khac day du</t>
  </si>
  <si>
    <t>1. Chuan bi body dien MT760 dung chuan SWIFT
2. XOA tag :50: khoi body dien
   (cac field mandatory khac van giu nguyen)
3. Gui POST request voi transactionType=MT760
4. Verify: HTTP 200, result=ERROR, errorCode=03</t>
  </si>
  <si>
    <t>Headers:
Authorization: Basic a3ljYWRtbjpwYXNzd29yZDM=
Content-Type: application/json
Params:
  transactionId: TF_AML_MT760_MND_27
  requestId:     REQ_AML_MT760_MND_27
  transactionType: MT760
  branchCd: HN
  channel: T24
  isCallBack: N
Body: Dien MT760 dung chuan SWIFT
Field bi THIEU: :50: (Applicant (người yêu cầu mở L/C / người đề nghị))
Format yeu cau: Tối đa 4 dòng × 35 ký tự
Vi du: Dien MT760 hop le nhung KHONG co tag :50:</t>
  </si>
  <si>
    <t>AML_MT760_MND_28</t>
  </si>
  <si>
    <t>MT760 – Field :50: null/rong (Applicant (người yêu cầu mở L/C / người đề nghị)) → errorCode=03</t>
  </si>
  <si>
    <t>Auth hop le;
Body MT760 co tag :50: nhung gia tri null/empty
Format yeu cau: Tối đa 4 dòng × 35 ký tự
Cac field mandatory khac hop le</t>
  </si>
  <si>
    <t>1. Chuan bi body dien MT760 dung chuan SWIFT
2. Giu tag :50: nhung de gia tri RONG/NULL
   (cac field mandatory khac van hop le)
3. Gui POST request voi transactionType=MT760
4. Verify: HTTP 200, result=ERROR, errorCode=03</t>
  </si>
  <si>
    <t>Headers:
Authorization: Basic a3ljYWRtbjpwYXNzd29yZDM=
Content-Type: application/json
Params:
  transactionId: TF_AML_MT760_MND_28
  requestId:     REQ_AML_MT760_MND_28
  transactionType: MT760
  branchCd: HN
  channel: T24
  isCallBack: N
Body: Dien MT760 dung chuan SWIFT
Field NULL/RONG: :50: (Applicant (người yêu cầu mở L/C / người đề nghị))
Format yeu cau: Tối đa 4 dòng × 35 ký tự
Vi du: Tag :50: ton tai nhung gia tri = null/empty
       Vi du: :50: (khong co gia tri sau dau :)</t>
  </si>
  <si>
    <t>AML_MT760_MND_29</t>
  </si>
  <si>
    <t>MT760 – Thieu field :77U: (Undertaking Terms and Conditions (điều khoản và điều kiện bảo lãnh)) → errorCode=03</t>
  </si>
  <si>
    <t>Auth hop le;
Body MT760 KHONG co tag :77U:
Format yeu cau: Tối đa 150 dòng × 65 ký tự
Cac field mandatory khac day du</t>
  </si>
  <si>
    <t>1. Chuan bi body dien MT760 dung chuan SWIFT
2. XOA tag :77U: khoi body dien
   (cac field mandatory khac van giu nguyen)
3. Gui POST request voi transactionType=MT760
4. Verify: HTTP 200, result=ERROR, errorCode=03</t>
  </si>
  <si>
    <t>Headers:
Authorization: Basic a3ljYWRtbjpwYXNzd29yZDM=
Content-Type: application/json
Params:
  transactionId: TF_AML_MT760_MND_29
  requestId:     REQ_AML_MT760_MND_29
  transactionType: MT760
  branchCd: HN
  channel: T24
  isCallBack: N
Body: Dien MT760 dung chuan SWIFT
Field bi THIEU: :77U: (Undertaking Terms and Conditions (điều khoản và điều kiện bảo lãnh))
Format yeu cau: Tối đa 150 dòng × 65 ký tự
Vi du: Dien MT760 hop le nhung KHONG co tag :77U:</t>
  </si>
  <si>
    <t>AML_MT760_MND_30</t>
  </si>
  <si>
    <t>MT760 – Field :77U: null/rong (Undertaking Terms and Conditions (điều khoản và điều kiện bảo lãnh)) → errorCode=03</t>
  </si>
  <si>
    <t>Auth hop le;
Body MT760 co tag :77U: nhung gia tri null/empty
Format yeu cau: Tối đa 150 dòng × 65 ký tự
Cac field mandatory khac hop le</t>
  </si>
  <si>
    <t>1. Chuan bi body dien MT760 dung chuan SWIFT
2. Giu tag :77U: nhung de gia tri RONG/NULL
   (cac field mandatory khac van hop le)
3. Gui POST request voi transactionType=MT760
4. Verify: HTTP 200, result=ERROR, errorCode=03</t>
  </si>
  <si>
    <t>Headers:
Authorization: Basic a3ljYWRtbjpwYXNzd29yZDM=
Content-Type: application/json
Params:
  transactionId: TF_AML_MT760_MND_30
  requestId:     REQ_AML_MT760_MND_30
  transactionType: MT760
  branchCd: HN
  channel: T24
  isCallBack: N
Body: Dien MT760 dung chuan SWIFT
Field NULL/RONG: :77U: (Undertaking Terms and Conditions (điều khoản và điều kiện bảo lãnh))
Format yeu cau: Tối đa 150 dòng × 65 ký tự
Vi du: Tag :77U: ton tai nhung gia tri = null/empty
       Vi du: :77U: (khong co gia tri sau dau :)</t>
  </si>
  <si>
    <t xml:space="preserve">    AML_MT767_MND  Kiem tra field mandatory cho dien MT767 (9 field: :15A:, :15B:, :15C:, :20:, :21:, :22A:, :26E:, :27:, :30:)</t>
  </si>
  <si>
    <t>MT767 – Gui dien hop le day du 9 field mandatory (baseline)</t>
  </si>
  <si>
    <t>Auth hop le;
Body dien MT767 co du 9 field mandatory:
:15A:, :15B:, :15C:, :20:, :21:, :22A:, :26E:, :27:, :30:</t>
  </si>
  <si>
    <t>1. Chuan bi body dien MT767 day du chuan SWIFT
   Co du tat ca 9 field mandatory:
   :15A:
   :15B:
   :15C:
   :20:
   :21:
   :22A:
   :26E:
   :27:
   :30:
2. Gui POST request voi transactionType=MT767
3. Verify: HTTP 200, errorCode=00
4. Day la baseline – dung de so sanh voi cac TC loi</t>
  </si>
  <si>
    <t>Headers:
Authorization: Basic a3ljYWRtbjpwYXNzd29yZDM=
Content-Type: application/json
Params:
  transactionId: TF_AML_MT767_MND_01
  requestId:     REQ_AML_MT767_MND_01
  transactionType: MT767
  branchCd: HN
  channel: T24
  isCallBack: N
Body: Dien MT767 theo chuan SWIFT
Co du 9 field mandatory:
:15A:, :15B:, :15C:, :20:, :21:, :22A:, :26E:, :27:, :30:</t>
  </si>
  <si>
    <t>MT767 – Thieu tat ca 9 field mandatory → errorCode=03</t>
  </si>
  <si>
    <t>Auth hop le;
Body dien MT767 bi xoa toan bo field mandatory</t>
  </si>
  <si>
    <t>1. Chuan bi body dien MT767 dung chuan SWIFT
2. Xoa toan bo 9 field mandatory: :15A:, :15B:, :15C:, :20:, :21:, :22A:, :26E:, :27:, :30:
3. Gui POST request voi transactionType=MT767
4. Verify: HTTP 200, result=ERROR, errorCode=03</t>
  </si>
  <si>
    <t>Headers:
Authorization: Basic a3ljYWRtbjpwYXNzd29yZDM=
Content-Type: application/json
Params:
  transactionId: TF_AML_MT767_MND_02
  requestId:     REQ_AML_MT767_MND_02
  transactionType: MT767
  branchCd: HN
  channel: T24
  isCallBack: N
Body: Dien MT767 theo chuan SWIFT
DA XOA toan bo 9 field mandatory:
:15A:, :15B:, :15C:, :20:, :21:, :22A:, :26E:, :27:, :30:</t>
  </si>
  <si>
    <t>MT767 – Thieu field :15A: (Sequence A – General Information (thông tin chung, bắt buộc)) → errorCode=03</t>
  </si>
  <si>
    <t>Auth hop le;
Body MT767 KHONG co tag :15A:
Format yeu cau: Xem SWIFT standard (format phụ thuộc subfield)
Cac field mandatory khac day du</t>
  </si>
  <si>
    <t>1. Chuan bi body dien MT767 dung chuan SWIFT
2. XOA tag :15A: khoi body dien
   (cac field mandatory khac van giu nguyen)
3. Gui POST request voi transactionType=MT767
4. Verify: HTTP 200, result=ERROR, errorCode=03</t>
  </si>
  <si>
    <t>Headers:
Authorization: Basic a3ljYWRtbjpwYXNzd29yZDM=
Content-Type: application/json
Params:
  transactionId: TF_AML_MT767_MND_03
  requestId:     REQ_AML_MT767_MND_03
  transactionType: MT767
  branchCd: HN
  channel: T24
  isCallBack: N
Body: Dien MT767 dung chuan SWIFT
Field bi THIEU: :15A: (Sequence A – General Information (thông tin chung, bắt buộc))
Format yeu cau: Xem SWIFT standard (format phụ thuộc subfield)
Vi du: Dien MT767 hop le nhung KHONG co tag :15A:</t>
  </si>
  <si>
    <t>MT767 – Field :15A: null/rong (Sequence A – General Information (thông tin chung, bắt buộc)) → errorCode=03</t>
  </si>
  <si>
    <t>Auth hop le;
Body MT767 co tag :15A: nhung gia tri null/empty
Format yeu cau: Xem SWIFT standard (format phụ thuộc subfield)
Cac field mandatory khac hop le</t>
  </si>
  <si>
    <t>1. Chuan bi body dien MT767 dung chuan SWIFT
2. Giu tag :15A: nhung de gia tri RONG/NULL
   (cac field mandatory khac van hop le)
3. Gui POST request voi transactionType=MT767
4. Verify: HTTP 200, result=ERROR, errorCode=03</t>
  </si>
  <si>
    <t>Headers:
Authorization: Basic a3ljYWRtbjpwYXNzd29yZDM=
Content-Type: application/json
Params:
  transactionId: TF_AML_MT767_MND_04
  requestId:     REQ_AML_MT767_MND_04
  transactionType: MT767
  branchCd: HN
  channel: T24
  isCallBack: N
Body: Dien MT767 dung chuan SWIFT
Field NULL/RONG: :15A: (Sequence A – General Information (thông tin chung, bắt buộc))
Format yeu cau: Xem SWIFT standard (format phụ thuộc subfield)
Vi du: Tag :15A: ton tai nhung gia tri = null/empty
       Vi du: :15A: (khong co gia tri sau dau :)</t>
  </si>
  <si>
    <t>MT767 – Thieu field :15B: (Sequence B – Undertaking Details (chi tiết bảo lãnh, bắt buộc)) → errorCode=03</t>
  </si>
  <si>
    <t>Auth hop le;
Body MT767 KHONG co tag :15B:
Format yeu cau: Xem SWIFT standard (format phụ thuộc subfield)
Cac field mandatory khac day du</t>
  </si>
  <si>
    <t>1. Chuan bi body dien MT767 dung chuan SWIFT
2. XOA tag :15B: khoi body dien
   (cac field mandatory khac van giu nguyen)
3. Gui POST request voi transactionType=MT767
4. Verify: HTTP 200, result=ERROR, errorCode=03</t>
  </si>
  <si>
    <t>Headers:
Authorization: Basic a3ljYWRtbjpwYXNzd29yZDM=
Content-Type: application/json
Params:
  transactionId: TF_AML_MT767_MND_05
  requestId:     REQ_AML_MT767_MND_05
  transactionType: MT767
  branchCd: HN
  channel: T24
  isCallBack: N
Body: Dien MT767 dung chuan SWIFT
Field bi THIEU: :15B: (Sequence B – Undertaking Details (chi tiết bảo lãnh, bắt buộc))
Format yeu cau: Xem SWIFT standard (format phụ thuộc subfield)
Vi du: Dien MT767 hop le nhung KHONG co tag :15B:</t>
  </si>
  <si>
    <t>MT767 – Field :15B: null/rong (Sequence B – Undertaking Details (chi tiết bảo lãnh, bắt buộc)) → errorCode=03</t>
  </si>
  <si>
    <t>Auth hop le;
Body MT767 co tag :15B: nhung gia tri null/empty
Format yeu cau: Xem SWIFT standard (format phụ thuộc subfield)
Cac field mandatory khac hop le</t>
  </si>
  <si>
    <t>1. Chuan bi body dien MT767 dung chuan SWIFT
2. Giu tag :15B: nhung de gia tri RONG/NULL
   (cac field mandatory khac van hop le)
3. Gui POST request voi transactionType=MT767
4. Verify: HTTP 200, result=ERROR, errorCode=03</t>
  </si>
  <si>
    <t>Headers:
Authorization: Basic a3ljYWRtbjpwYXNzd29yZDM=
Content-Type: application/json
Params:
  transactionId: TF_AML_MT767_MND_06
  requestId:     REQ_AML_MT767_MND_06
  transactionType: MT767
  branchCd: HN
  channel: T24
  isCallBack: N
Body: Dien MT767 dung chuan SWIFT
Field NULL/RONG: :15B: (Sequence B – Undertaking Details (chi tiết bảo lãnh, bắt buộc))
Format yeu cau: Xem SWIFT standard (format phụ thuộc subfield)
Vi du: Tag :15B: ton tai nhung gia tri = null/empty
       Vi du: :15B: (khong co gia tri sau dau :)</t>
  </si>
  <si>
    <t>MT767 – Thieu field :15C: (Sequence C – Local Undertaking Details (chi tiết bảo lãnh nội địa)) → errorCode=03</t>
  </si>
  <si>
    <t>Auth hop le;
Body MT767 KHONG co tag :15C:
Format yeu cau: Xem SWIFT standard (format phụ thuộc subfield)
Cac field mandatory khac day du</t>
  </si>
  <si>
    <t>1. Chuan bi body dien MT767 dung chuan SWIFT
2. XOA tag :15C: khoi body dien
   (cac field mandatory khac van giu nguyen)
3. Gui POST request voi transactionType=MT767
4. Verify: HTTP 200, result=ERROR, errorCode=03</t>
  </si>
  <si>
    <t>Headers:
Authorization: Basic a3ljYWRtbjpwYXNzd29yZDM=
Content-Type: application/json
Params:
  transactionId: TF_AML_MT767_MND_07
  requestId:     REQ_AML_MT767_MND_07
  transactionType: MT767
  branchCd: HN
  channel: T24
  isCallBack: N
Body: Dien MT767 dung chuan SWIFT
Field bi THIEU: :15C: (Sequence C – Local Undertaking Details (chi tiết bảo lãnh nội địa))
Format yeu cau: Xem SWIFT standard (format phụ thuộc subfield)
Vi du: Dien MT767 hop le nhung KHONG co tag :15C:</t>
  </si>
  <si>
    <t>MT767 – Field :15C: null/rong (Sequence C – Local Undertaking Details (chi tiết bảo lãnh nội địa)) → errorCode=03</t>
  </si>
  <si>
    <t>Auth hop le;
Body MT767 co tag :15C: nhung gia tri null/empty
Format yeu cau: Xem SWIFT standard (format phụ thuộc subfield)
Cac field mandatory khac hop le</t>
  </si>
  <si>
    <t>1. Chuan bi body dien MT767 dung chuan SWIFT
2. Giu tag :15C: nhung de gia tri RONG/NULL
   (cac field mandatory khac van hop le)
3. Gui POST request voi transactionType=MT767
4. Verify: HTTP 200, result=ERROR, errorCode=03</t>
  </si>
  <si>
    <t>Headers:
Authorization: Basic a3ljYWRtbjpwYXNzd29yZDM=
Content-Type: application/json
Params:
  transactionId: TF_AML_MT767_MND_08
  requestId:     REQ_AML_MT767_MND_08
  transactionType: MT767
  branchCd: HN
  channel: T24
  isCallBack: N
Body: Dien MT767 dung chuan SWIFT
Field NULL/RONG: :15C: (Sequence C – Local Undertaking Details (chi tiết bảo lãnh nội địa))
Format yeu cau: Xem SWIFT standard (format phụ thuộc subfield)
Vi du: Tag :15C: ton tai nhung gia tri = null/empty
       Vi du: :15C: (khong co gia tri sau dau :)</t>
  </si>
  <si>
    <t>MT767 – Thieu field :20: (Transaction Reference Number (mã tham chiếu giao dịch)) → errorCode=03</t>
  </si>
  <si>
    <t>Auth hop le;
Body MT767 KHONG co tag :20:
Format yeu cau: Tối đa 16 ký tự alphanumeric
Cac field mandatory khac day du</t>
  </si>
  <si>
    <t>1. Chuan bi body dien MT767 dung chuan SWIFT
2. XOA tag :20: khoi body dien
   (cac field mandatory khac van giu nguyen)
3. Gui POST request voi transactionType=MT767
4. Verify: HTTP 200, result=ERROR, errorCode=03</t>
  </si>
  <si>
    <t>Headers:
Authorization: Basic a3ljYWRtbjpwYXNzd29yZDM=
Content-Type: application/json
Params:
  transactionId: TF_AML_MT767_MND_09
  requestId:     REQ_AML_MT767_MND_09
  transactionType: MT767
  branchCd: HN
  channel: T24
  isCallBack: N
Body: Dien MT767 dung chuan SWIFT
Field bi THIEU: :20: (Transaction Reference Number (mã tham chiếu giao dịch))
Format yeu cau: Tối đa 16 ký tự alphanumeric
Vi du: Dien MT767 hop le nhung KHONG co tag :20:</t>
  </si>
  <si>
    <t>AML_MT767_MND_10</t>
  </si>
  <si>
    <t>MT767 – Field :20: null/rong (Transaction Reference Number (mã tham chiếu giao dịch)) → errorCode=03</t>
  </si>
  <si>
    <t>Auth hop le;
Body MT767 co tag :20: nhung gia tri null/empty
Format yeu cau: Tối đa 16 ký tự alphanumeric
Cac field mandatory khac hop le</t>
  </si>
  <si>
    <t>1. Chuan bi body dien MT767 dung chuan SWIFT
2. Giu tag :20: nhung de gia tri RONG/NULL
   (cac field mandatory khac van hop le)
3. Gui POST request voi transactionType=MT767
4. Verify: HTTP 200, result=ERROR, errorCode=03</t>
  </si>
  <si>
    <t>Headers:
Authorization: Basic a3ljYWRtbjpwYXNzd29yZDM=
Content-Type: application/json
Params:
  transactionId: TF_AML_MT767_MND_10
  requestId:     REQ_AML_MT767_MND_10
  transactionType: MT767
  branchCd: HN
  channel: T24
  isCallBack: N
Body: Dien MT767 dung chuan SWIFT
Field NULL/RONG: :20: (Transaction Reference Number (mã tham chiếu giao dịch))
Format yeu cau: Tối đa 16 ký tự alphanumeric
Vi du: Tag :20: ton tai nhung gia tri = null/empty
       Vi du: :20: (khong co gia tri sau dau :)</t>
  </si>
  <si>
    <t>AML_MT767_MND_11</t>
  </si>
  <si>
    <t>MT767 – Thieu field :21: (Related Reference (tham chiếu liên quan)) → errorCode=03</t>
  </si>
  <si>
    <t>Auth hop le;
Body MT767 KHONG co tag :21:
Format yeu cau: Tối đa 16 ký tự alphanumeric
Cac field mandatory khac day du</t>
  </si>
  <si>
    <t>1. Chuan bi body dien MT767 dung chuan SWIFT
2. XOA tag :21: khoi body dien
   (cac field mandatory khac van giu nguyen)
3. Gui POST request voi transactionType=MT767
4. Verify: HTTP 200, result=ERROR, errorCode=03</t>
  </si>
  <si>
    <t>Headers:
Authorization: Basic a3ljYWRtbjpwYXNzd29yZDM=
Content-Type: application/json
Params:
  transactionId: TF_AML_MT767_MND_11
  requestId:     REQ_AML_MT767_MND_11
  transactionType: MT767
  branchCd: HN
  channel: T24
  isCallBack: N
Body: Dien MT767 dung chuan SWIFT
Field bi THIEU: :21: (Related Reference (tham chiếu liên quan))
Format yeu cau: Tối đa 16 ký tự alphanumeric
Vi du: Dien MT767 hop le nhung KHONG co tag :21:</t>
  </si>
  <si>
    <t>AML_MT767_MND_12</t>
  </si>
  <si>
    <t>MT767 – Field :21: null/rong (Related Reference (tham chiếu liên quan)) → errorCode=03</t>
  </si>
  <si>
    <t>Auth hop le;
Body MT767 co tag :21: nhung gia tri null/empty
Format yeu cau: Tối đa 16 ký tự alphanumeric
Cac field mandatory khac hop le</t>
  </si>
  <si>
    <t>1. Chuan bi body dien MT767 dung chuan SWIFT
2. Giu tag :21: nhung de gia tri RONG/NULL
   (cac field mandatory khac van hop le)
3. Gui POST request voi transactionType=MT767
4. Verify: HTTP 200, result=ERROR, errorCode=03</t>
  </si>
  <si>
    <t>Headers:
Authorization: Basic a3ljYWRtbjpwYXNzd29yZDM=
Content-Type: application/json
Params:
  transactionId: TF_AML_MT767_MND_12
  requestId:     REQ_AML_MT767_MND_12
  transactionType: MT767
  branchCd: HN
  channel: T24
  isCallBack: N
Body: Dien MT767 dung chuan SWIFT
Field NULL/RONG: :21: (Related Reference (tham chiếu liên quan))
Format yeu cau: Tối đa 16 ký tự alphanumeric
Vi du: Tag :21: ton tai nhung gia tri = null/empty
       Vi du: :21: (khong co gia tri sau dau :)</t>
  </si>
  <si>
    <t>AML_MT767_MND_13</t>
  </si>
  <si>
    <t>MT767 – Thieu field :22A: (Form of Documentary Credit / Type of Undertaking (hình thức L/C / loại bảo lãnh)) → errorCode=03</t>
  </si>
  <si>
    <t>Auth hop le;
Body MT767 KHONG co tag :22A:
Format yeu cau: Đúng 4 ký tự chữ hoa
Cac field mandatory khac day du</t>
  </si>
  <si>
    <t>1. Chuan bi body dien MT767 dung chuan SWIFT
2. XOA tag :22A: khoi body dien
   (cac field mandatory khac van giu nguyen)
3. Gui POST request voi transactionType=MT767
4. Verify: HTTP 200, result=ERROR, errorCode=03</t>
  </si>
  <si>
    <t>Headers:
Authorization: Basic a3ljYWRtbjpwYXNzd29yZDM=
Content-Type: application/json
Params:
  transactionId: TF_AML_MT767_MND_13
  requestId:     REQ_AML_MT767_MND_13
  transactionType: MT767
  branchCd: HN
  channel: T24
  isCallBack: N
Body: Dien MT767 dung chuan SWIFT
Field bi THIEU: :22A: (Form of Documentary Credit / Type of Undertaking (hình thức L/C / loại bảo lãnh))
Format yeu cau: Đúng 4 ký tự chữ hoa
Vi du: Dien MT767 hop le nhung KHONG co tag :22A:</t>
  </si>
  <si>
    <t>AML_MT767_MND_14</t>
  </si>
  <si>
    <t>MT767 – Field :22A: null/rong (Form of Documentary Credit / Type of Undertaking (hình thức L/C / loại bảo lãnh)) → errorCode=03</t>
  </si>
  <si>
    <t>Auth hop le;
Body MT767 co tag :22A: nhung gia tri null/empty
Format yeu cau: Đúng 4 ký tự chữ hoa
Cac field mandatory khac hop le</t>
  </si>
  <si>
    <t>1. Chuan bi body dien MT767 dung chuan SWIFT
2. Giu tag :22A: nhung de gia tri RONG/NULL
   (cac field mandatory khac van hop le)
3. Gui POST request voi transactionType=MT767
4. Verify: HTTP 200, result=ERROR, errorCode=03</t>
  </si>
  <si>
    <t>Headers:
Authorization: Basic a3ljYWRtbjpwYXNzd29yZDM=
Content-Type: application/json
Params:
  transactionId: TF_AML_MT767_MND_14
  requestId:     REQ_AML_MT767_MND_14
  transactionType: MT767
  branchCd: HN
  channel: T24
  isCallBack: N
Body: Dien MT767 dung chuan SWIFT
Field NULL/RONG: :22A: (Form of Documentary Credit / Type of Undertaking (hình thức L/C / loại bảo lãnh))
Format yeu cau: Đúng 4 ký tự chữ hoa
Vi du: Tag :22A: ton tai nhung gia tri = null/empty
       Vi du: :22A: (khong co gia tri sau dau :)</t>
  </si>
  <si>
    <t>AML_MT767_MND_15</t>
  </si>
  <si>
    <t>MT767 – Thieu field :26E: (Number of Amendment (số lần sửa đổi)) → errorCode=03</t>
  </si>
  <si>
    <t>Auth hop le;
Body MT767 KHONG co tag :26E:
Format yeu cau: Tối đa 3 chữ số
Cac field mandatory khac day du</t>
  </si>
  <si>
    <t>1. Chuan bi body dien MT767 dung chuan SWIFT
2. XOA tag :26E: khoi body dien
   (cac field mandatory khac van giu nguyen)
3. Gui POST request voi transactionType=MT767
4. Verify: HTTP 200, result=ERROR, errorCode=03</t>
  </si>
  <si>
    <t>Headers:
Authorization: Basic a3ljYWRtbjpwYXNzd29yZDM=
Content-Type: application/json
Params:
  transactionId: TF_AML_MT767_MND_15
  requestId:     REQ_AML_MT767_MND_15
  transactionType: MT767
  branchCd: HN
  channel: T24
  isCallBack: N
Body: Dien MT767 dung chuan SWIFT
Field bi THIEU: :26E: (Number of Amendment (số lần sửa đổi))
Format yeu cau: Tối đa 3 chữ số
Vi du: Dien MT767 hop le nhung KHONG co tag :26E:</t>
  </si>
  <si>
    <t>AML_MT767_MND_16</t>
  </si>
  <si>
    <t>MT767 – Field :26E: null/rong (Number of Amendment (số lần sửa đổi)) → errorCode=03</t>
  </si>
  <si>
    <t>Auth hop le;
Body MT767 co tag :26E: nhung gia tri null/empty
Format yeu cau: Tối đa 3 chữ số
Cac field mandatory khac hop le</t>
  </si>
  <si>
    <t>1. Chuan bi body dien MT767 dung chuan SWIFT
2. Giu tag :26E: nhung de gia tri RONG/NULL
   (cac field mandatory khac van hop le)
3. Gui POST request voi transactionType=MT767
4. Verify: HTTP 200, result=ERROR, errorCode=03</t>
  </si>
  <si>
    <t>Headers:
Authorization: Basic a3ljYWRtbjpwYXNzd29yZDM=
Content-Type: application/json
Params:
  transactionId: TF_AML_MT767_MND_16
  requestId:     REQ_AML_MT767_MND_16
  transactionType: MT767
  branchCd: HN
  channel: T24
  isCallBack: N
Body: Dien MT767 dung chuan SWIFT
Field NULL/RONG: :26E: (Number of Amendment (số lần sửa đổi))
Format yeu cau: Tối đa 3 chữ số
Vi du: Tag :26E: ton tai nhung gia tri = null/empty
       Vi du: :26E: (khong co gia tri sau dau :)</t>
  </si>
  <si>
    <t>AML_MT767_MND_17</t>
  </si>
  <si>
    <t>MT767 – Thieu field :27: (Sequence of Total (thứ tự / tổng số điện)) → errorCode=03</t>
  </si>
  <si>
    <t>Auth hop le;
Body MT767 KHONG co tag :27:
Format yeu cau: Định dạng số/số (ví dụ: 1/1)
Cac field mandatory khac day du</t>
  </si>
  <si>
    <t>1. Chuan bi body dien MT767 dung chuan SWIFT
2. XOA tag :27: khoi body dien
   (cac field mandatory khac van giu nguyen)
3. Gui POST request voi transactionType=MT767
4. Verify: HTTP 200, result=ERROR, errorCode=03</t>
  </si>
  <si>
    <t>Headers:
Authorization: Basic a3ljYWRtbjpwYXNzd29yZDM=
Content-Type: application/json
Params:
  transactionId: TF_AML_MT767_MND_17
  requestId:     REQ_AML_MT767_MND_17
  transactionType: MT767
  branchCd: HN
  channel: T24
  isCallBack: N
Body: Dien MT767 dung chuan SWIFT
Field bi THIEU: :27: (Sequence of Total (thứ tự / tổng số điện))
Format yeu cau: Định dạng số/số (ví dụ: 1/1)
Vi du: Dien MT767 hop le nhung KHONG co tag :27:</t>
  </si>
  <si>
    <t>AML_MT767_MND_18</t>
  </si>
  <si>
    <t>MT767 – Field :27: null/rong (Sequence of Total (thứ tự / tổng số điện)) → errorCode=03</t>
  </si>
  <si>
    <t>Auth hop le;
Body MT767 co tag :27: nhung gia tri null/empty
Format yeu cau: Định dạng số/số (ví dụ: 1/1)
Cac field mandatory khac hop le</t>
  </si>
  <si>
    <t>1. Chuan bi body dien MT767 dung chuan SWIFT
2. Giu tag :27: nhung de gia tri RONG/NULL
   (cac field mandatory khac van hop le)
3. Gui POST request voi transactionType=MT767
4. Verify: HTTP 200, result=ERROR, errorCode=03</t>
  </si>
  <si>
    <t>Headers:
Authorization: Basic a3ljYWRtbjpwYXNzd29yZDM=
Content-Type: application/json
Params:
  transactionId: TF_AML_MT767_MND_18
  requestId:     REQ_AML_MT767_MND_18
  transactionType: MT767
  branchCd: HN
  channel: T24
  isCallBack: N
Body: Dien MT767 dung chuan SWIFT
Field NULL/RONG: :27: (Sequence of Total (thứ tự / tổng số điện))
Format yeu cau: Định dạng số/số (ví dụ: 1/1)
Vi du: Tag :27: ton tai nhung gia tri = null/empty
       Vi du: :27: (khong co gia tri sau dau :)</t>
  </si>
  <si>
    <t>AML_MT767_MND_19</t>
  </si>
  <si>
    <t>MT767 – Thieu field :30: (Date of Amendment / Issue Date (ngày sửa đổi / ngày phát hành)) → errorCode=03</t>
  </si>
  <si>
    <t>Auth hop le;
Body MT767 KHONG co tag :30:
Format yeu cau: 6 chữ số – định dạng ngày YYMMDD
Cac field mandatory khac day du</t>
  </si>
  <si>
    <t>1. Chuan bi body dien MT767 dung chuan SWIFT
2. XOA tag :30: khoi body dien
   (cac field mandatory khac van giu nguyen)
3. Gui POST request voi transactionType=MT767
4. Verify: HTTP 200, result=ERROR, errorCode=03</t>
  </si>
  <si>
    <t>Headers:
Authorization: Basic a3ljYWRtbjpwYXNzd29yZDM=
Content-Type: application/json
Params:
  transactionId: TF_AML_MT767_MND_19
  requestId:     REQ_AML_MT767_MND_19
  transactionType: MT767
  branchCd: HN
  channel: T24
  isCallBack: N
Body: Dien MT767 dung chuan SWIFT
Field bi THIEU: :30: (Date of Amendment / Issue Date (ngày sửa đổi / ngày phát hành))
Format yeu cau: 6 chữ số – định dạng ngày YYMMDD
Vi du: Dien MT767 hop le nhung KHONG co tag :30:</t>
  </si>
  <si>
    <t>AML_MT767_MND_20</t>
  </si>
  <si>
    <t>MT767 – Field :30: null/rong (Date of Amendment / Issue Date (ngày sửa đổi / ngày phát hành)) → errorCode=03</t>
  </si>
  <si>
    <t>Auth hop le;
Body MT767 co tag :30: nhung gia tri null/empty
Format yeu cau: 6 chữ số – định dạng ngày YYMMDD
Cac field mandatory khac hop le</t>
  </si>
  <si>
    <t>1. Chuan bi body dien MT767 dung chuan SWIFT
2. Giu tag :30: nhung de gia tri RONG/NULL
   (cac field mandatory khac van hop le)
3. Gui POST request voi transactionType=MT767
4. Verify: HTTP 200, result=ERROR, errorCode=03</t>
  </si>
  <si>
    <t>Headers:
Authorization: Basic a3ljYWRtbjpwYXNzd29yZDM=
Content-Type: application/json
Params:
  transactionId: TF_AML_MT767_MND_20
  requestId:     REQ_AML_MT767_MND_20
  transactionType: MT767
  branchCd: HN
  channel: T24
  isCallBack: N
Body: Dien MT767 dung chuan SWIFT
Field NULL/RONG: :30: (Date of Amendment / Issue Date (ngày sửa đổi / ngày phát hành))
Format yeu cau: 6 chữ số – định dạng ngày YYMMDD
Vi du: Tag :30: ton tai nhung gia tri = null/empty
       Vi du: :30: (khong co gia tri sau dau :)</t>
  </si>
  <si>
    <t xml:space="preserve">    AML_MT799_MND  Kiem tra field mandatory cho dien MT799 (2 field: :20:, :79:)</t>
  </si>
  <si>
    <t>MT799 – Gui dien hop le day du 2 field mandatory (baseline)</t>
  </si>
  <si>
    <t>Auth hop le;
Body dien MT799 co du 2 field mandatory:
:20:, :79:</t>
  </si>
  <si>
    <t>1. Chuan bi body dien MT799 day du chuan SWIFT
   Co du tat ca 2 field mandatory:
   :20:
   :79:
2. Gui POST request voi transactionType=MT799
3. Verify: HTTP 200, errorCode=00
4. Day la baseline – dung de so sanh voi cac TC loi</t>
  </si>
  <si>
    <t>Headers:
Authorization: Basic a3ljYWRtbjpwYXNzd29yZDM=
Content-Type: application/json
Params:
  transactionId: TF_AML_MT799_MND_01
  requestId:     REQ_AML_MT799_MND_01
  transactionType: MT799
  branchCd: HN
  channel: T24
  isCallBack: N
Body: Dien MT799 theo chuan SWIFT
Co du 2 field mandatory:
:20:, :79:</t>
  </si>
  <si>
    <t>MT799 – Thieu tat ca 2 field mandatory → errorCode=03</t>
  </si>
  <si>
    <t>Auth hop le;
Body dien MT799 bi xoa toan bo field mandatory</t>
  </si>
  <si>
    <t>1. Chuan bi body dien MT799 dung chuan SWIFT
2. Xoa toan bo 2 field mandatory: :20:, :79:
3. Gui POST request voi transactionType=MT799
4. Verify: HTTP 200, result=ERROR, errorCode=03</t>
  </si>
  <si>
    <t>Headers:
Authorization: Basic a3ljYWRtbjpwYXNzd29yZDM=
Content-Type: application/json
Params:
  transactionId: TF_AML_MT799_MND_02
  requestId:     REQ_AML_MT799_MND_02
  transactionType: MT799
  branchCd: HN
  channel: T24
  isCallBack: N
Body: Dien MT799 theo chuan SWIFT
DA XOA toan bo 2 field mandatory:
:20:, :79:</t>
  </si>
  <si>
    <t>AML_MT799_MND_03</t>
  </si>
  <si>
    <t>MT799 – Thieu field :20: (Transaction Reference Number (mã tham chiếu giao dịch)) → errorCode=03</t>
  </si>
  <si>
    <t>Auth hop le;
Body MT799 KHONG co tag :20:
Format yeu cau: Tối đa 16 ký tự alphanumeric
Cac field mandatory khac day du</t>
  </si>
  <si>
    <t>1. Chuan bi body dien MT799 dung chuan SWIFT
2. XOA tag :20: khoi body dien
   (cac field mandatory khac van giu nguyen)
3. Gui POST request voi transactionType=MT799
4. Verify: HTTP 200, result=ERROR, errorCode=03</t>
  </si>
  <si>
    <t>Headers:
Authorization: Basic a3ljYWRtbjpwYXNzd29yZDM=
Content-Type: application/json
Params:
  transactionId: TF_AML_MT799_MND_03
  requestId:     REQ_AML_MT799_MND_03
  transactionType: MT799
  branchCd: HN
  channel: T24
  isCallBack: N
Body: Dien MT799 dung chuan SWIFT
Field bi THIEU: :20: (Transaction Reference Number (mã tham chiếu giao dịch))
Format yeu cau: Tối đa 16 ký tự alphanumeric
Vi du: Dien MT799 hop le nhung KHONG co tag :20:</t>
  </si>
  <si>
    <t>AML_MT799_MND_04</t>
  </si>
  <si>
    <t>MT799 – Field :20: null/rong (Transaction Reference Number (mã tham chiếu giao dịch)) → errorCode=03</t>
  </si>
  <si>
    <t>Auth hop le;
Body MT799 co tag :20: nhung gia tri null/empty
Format yeu cau: Tối đa 16 ký tự alphanumeric
Cac field mandatory khac hop le</t>
  </si>
  <si>
    <t>1. Chuan bi body dien MT799 dung chuan SWIFT
2. Giu tag :20: nhung de gia tri RONG/NULL
   (cac field mandatory khac van hop le)
3. Gui POST request voi transactionType=MT799
4. Verify: HTTP 200, result=ERROR, errorCode=03</t>
  </si>
  <si>
    <t>Headers:
Authorization: Basic a3ljYWRtbjpwYXNzd29yZDM=
Content-Type: application/json
Params:
  transactionId: TF_AML_MT799_MND_04
  requestId:     REQ_AML_MT799_MND_04
  transactionType: MT799
  branchCd: HN
  channel: T24
  isCallBack: N
Body: Dien MT799 dung chuan SWIFT
Field NULL/RONG: :20: (Transaction Reference Number (mã tham chiếu giao dịch))
Format yeu cau: Tối đa 16 ký tự alphanumeric
Vi du: Tag :20: ton tai nhung gia tri = null/empty
       Vi du: :20: (khong co gia tri sau dau :)</t>
  </si>
  <si>
    <t>AML_MT799_MND_05</t>
  </si>
  <si>
    <t>MT799 – Thieu field :79: (Narrative (nội dung thông báo tự do)) → errorCode=03</t>
  </si>
  <si>
    <t>Auth hop le;
Body MT799 KHONG co tag :79:
Format yeu cau: Tối đa 35 dòng × 50 ký tự
Cac field mandatory khac day du</t>
  </si>
  <si>
    <t>1. Chuan bi body dien MT799 dung chuan SWIFT
2. XOA tag :79: khoi body dien
   (cac field mandatory khac van giu nguyen)
3. Gui POST request voi transactionType=MT799
4. Verify: HTTP 200, result=ERROR, errorCode=03</t>
  </si>
  <si>
    <t>Headers:
Authorization: Basic a3ljYWRtbjpwYXNzd29yZDM=
Content-Type: application/json
Params:
  transactionId: TF_AML_MT799_MND_05
  requestId:     REQ_AML_MT799_MND_05
  transactionType: MT799
  branchCd: HN
  channel: T24
  isCallBack: N
Body: Dien MT799 dung chuan SWIFT
Field bi THIEU: :79: (Narrative (nội dung thông báo tự do))
Format yeu cau: Tối đa 35 dòng × 50 ký tự
Vi du: Dien MT799 hop le nhung KHONG co tag :79:</t>
  </si>
  <si>
    <t>AML_MT799_MND_06</t>
  </si>
  <si>
    <t>MT799 – Field :79: null/rong (Narrative (nội dung thông báo tự do)) → errorCode=03</t>
  </si>
  <si>
    <t>Auth hop le;
Body MT799 co tag :79: nhung gia tri null/empty
Format yeu cau: Tối đa 35 dòng × 50 ký tự
Cac field mandatory khac hop le</t>
  </si>
  <si>
    <t>1. Chuan bi body dien MT799 dung chuan SWIFT
2. Giu tag :79: nhung de gia tri RONG/NULL
   (cac field mandatory khac van hop le)
3. Gui POST request voi transactionType=MT799
4. Verify: HTTP 200, result=ERROR, errorCode=03</t>
  </si>
  <si>
    <t>Headers:
Authorization: Basic a3ljYWRtbjpwYXNzd29yZDM=
Content-Type: application/json
Params:
  transactionId: TF_AML_MT799_MND_06
  requestId:     REQ_AML_MT799_MND_06
  transactionType: MT799
  branchCd: HN
  channel: T24
  isCallBack: N
Body: Dien MT799 dung chuan SWIFT
Field NULL/RONG: :79: (Narrative (nội dung thông báo tự do))
Format yeu cau: Tối đa 35 dòng × 50 ký tự
Vi du: Tag :79: ton tai nhung gia tri = null/empty
       Vi du: :79: (khong co gia tri sau dau :)</t>
  </si>
  <si>
    <t xml:space="preserve">    AML_MT999_MND  Kiem tra field mandatory cho dien MT999 (2 field: :20:, :79:)</t>
  </si>
  <si>
    <t>MT999 – Gui dien hop le day du 2 field mandatory (baseline)</t>
  </si>
  <si>
    <t>Auth hop le;
Body dien MT999 co du 2 field mandatory:
:20:, :79:</t>
  </si>
  <si>
    <t>1. Chuan bi body dien MT999 day du chuan SWIFT
   Co du tat ca 2 field mandatory:
   :20:
   :79:
2. Gui POST request voi transactionType=MT999
3. Verify: HTTP 200, errorCode=00
4. Day la baseline – dung de so sanh voi cac TC loi</t>
  </si>
  <si>
    <t>Headers:
Authorization: Basic a3ljYWRtbjpwYXNzd29yZDM=
Content-Type: application/json
Params:
  transactionId: TF_AML_MT999_MND_01
  requestId:     REQ_AML_MT999_MND_01
  transactionType: MT999
  branchCd: HN
  channel: T24
  isCallBack: N
Body: Dien MT999 theo chuan SWIFT
Co du 2 field mandatory:
:20:, :79:</t>
  </si>
  <si>
    <t>MT999 – Thieu tat ca 2 field mandatory → errorCode=03</t>
  </si>
  <si>
    <t>Auth hop le;
Body dien MT999 bi xoa toan bo field mandatory</t>
  </si>
  <si>
    <t>1. Chuan bi body dien MT999 dung chuan SWIFT
2. Xoa toan bo 2 field mandatory: :20:, :79:
3. Gui POST request voi transactionType=MT999
4. Verify: HTTP 200, result=ERROR, errorCode=03</t>
  </si>
  <si>
    <t>Headers:
Authorization: Basic a3ljYWRtbjpwYXNzd29yZDM=
Content-Type: application/json
Params:
  transactionId: TF_AML_MT999_MND_02
  requestId:     REQ_AML_MT999_MND_02
  transactionType: MT999
  branchCd: HN
  channel: T24
  isCallBack: N
Body: Dien MT999 theo chuan SWIFT
DA XOA toan bo 2 field mandatory:
:20:, :79:</t>
  </si>
  <si>
    <t>AML_MT999_MND_03</t>
  </si>
  <si>
    <t>MT999 – Thieu field :20: (Transaction Reference Number (mã tham chiếu giao dịch)) → errorCode=03</t>
  </si>
  <si>
    <t>Auth hop le;
Body MT999 KHONG co tag :20:
Format yeu cau: Tối đa 16 ký tự alphanumeric
Cac field mandatory khac day du</t>
  </si>
  <si>
    <t>1. Chuan bi body dien MT999 dung chuan SWIFT
2. XOA tag :20: khoi body dien
   (cac field mandatory khac van giu nguyen)
3. Gui POST request voi transactionType=MT999
4. Verify: HTTP 200, result=ERROR, errorCode=03</t>
  </si>
  <si>
    <t>Headers:
Authorization: Basic a3ljYWRtbjpwYXNzd29yZDM=
Content-Type: application/json
Params:
  transactionId: TF_AML_MT999_MND_03
  requestId:     REQ_AML_MT999_MND_03
  transactionType: MT999
  branchCd: HN
  channel: T24
  isCallBack: N
Body: Dien MT999 dung chuan SWIFT
Field bi THIEU: :20: (Transaction Reference Number (mã tham chiếu giao dịch))
Format yeu cau: Tối đa 16 ký tự alphanumeric
Vi du: Dien MT999 hop le nhung KHONG co tag :20:</t>
  </si>
  <si>
    <t>AML_MT999_MND_04</t>
  </si>
  <si>
    <t>MT999 – Field :20: null/rong (Transaction Reference Number (mã tham chiếu giao dịch)) → errorCode=03</t>
  </si>
  <si>
    <t>Auth hop le;
Body MT999 co tag :20: nhung gia tri null/empty
Format yeu cau: Tối đa 16 ký tự alphanumeric
Cac field mandatory khac hop le</t>
  </si>
  <si>
    <t>1. Chuan bi body dien MT999 dung chuan SWIFT
2. Giu tag :20: nhung de gia tri RONG/NULL
   (cac field mandatory khac van hop le)
3. Gui POST request voi transactionType=MT999
4. Verify: HTTP 200, result=ERROR, errorCode=03</t>
  </si>
  <si>
    <t>Headers:
Authorization: Basic a3ljYWRtbjpwYXNzd29yZDM=
Content-Type: application/json
Params:
  transactionId: TF_AML_MT999_MND_04
  requestId:     REQ_AML_MT999_MND_04
  transactionType: MT999
  branchCd: HN
  channel: T24
  isCallBack: N
Body: Dien MT999 dung chuan SWIFT
Field NULL/RONG: :20: (Transaction Reference Number (mã tham chiếu giao dịch))
Format yeu cau: Tối đa 16 ký tự alphanumeric
Vi du: Tag :20: ton tai nhung gia tri = null/empty
       Vi du: :20: (khong co gia tri sau dau :)</t>
  </si>
  <si>
    <t>AML_MT999_MND_05</t>
  </si>
  <si>
    <t>MT999 – Thieu field :79: (Narrative (nội dung thông báo tự do)) → errorCode=03</t>
  </si>
  <si>
    <t>Auth hop le;
Body MT999 KHONG co tag :79:
Format yeu cau: Tối đa 35 dòng × 50 ký tự
Cac field mandatory khac day du</t>
  </si>
  <si>
    <t>1. Chuan bi body dien MT999 dung chuan SWIFT
2. XOA tag :79: khoi body dien
   (cac field mandatory khac van giu nguyen)
3. Gui POST request voi transactionType=MT999
4. Verify: HTTP 200, result=ERROR, errorCode=03</t>
  </si>
  <si>
    <t>Headers:
Authorization: Basic a3ljYWRtbjpwYXNzd29yZDM=
Content-Type: application/json
Params:
  transactionId: TF_AML_MT999_MND_05
  requestId:     REQ_AML_MT999_MND_05
  transactionType: MT999
  branchCd: HN
  channel: T24
  isCallBack: N
Body: Dien MT999 dung chuan SWIFT
Field bi THIEU: :79: (Narrative (nội dung thông báo tự do))
Format yeu cau: Tối đa 35 dòng × 50 ký tự
Vi du: Dien MT999 hop le nhung KHONG co tag :79:</t>
  </si>
  <si>
    <t>AML_MT999_MND_06</t>
  </si>
  <si>
    <t>MT999 – Field :79: null/rong (Narrative (nội dung thông báo tự do)) → errorCode=03</t>
  </si>
  <si>
    <t>Auth hop le;
Body MT999 co tag :79: nhung gia tri null/empty
Format yeu cau: Tối đa 35 dòng × 50 ký tự
Cac field mandatory khac hop le</t>
  </si>
  <si>
    <t>1. Chuan bi body dien MT999 dung chuan SWIFT
2. Giu tag :79: nhung de gia tri RONG/NULL
   (cac field mandatory khac van hop le)
3. Gui POST request voi transactionType=MT999
4. Verify: HTTP 200, result=ERROR, errorCode=03</t>
  </si>
  <si>
    <t>Headers:
Authorization: Basic a3ljYWRtbjpwYXNzd29yZDM=
Content-Type: application/json
Params:
  transactionId: TF_AML_MT999_MND_06
  requestId:     REQ_AML_MT999_MND_06
  transactionType: MT999
  branchCd: HN
  channel: T24
  isCallBack: N
Body: Dien MT999 dung chuan SWIFT
Field NULL/RONG: :79: (Narrative (nội dung thông báo tự do))
Format yeu cau: Tối đa 35 dòng × 50 ký tự
Vi du: Tag :79: ton tai nhung gia tri = null/empty
       Vi du: :79: (khong co gia tri sau dau :)</t>
  </si>
  <si>
    <t xml:space="preserve">    AML_PACS009_MND  Kiem tra field mandatory cho dien PACS009( 8 field : Document/FICdtTrf/GrpHdr/MsgId,Document/FICdtTrf/GrpHdr/CreDtTm,Document/FICdtTrf/GrpHdr/NbOfTxs,Document/FICdtTrf/GrpHdr/SttlmInf/SttlmMtd,Document/FICdtTrf/CdtTrfTxInf/PmtId/EndToEndId,Document/FICdtTrf/CdtTrfTxInf/IntrBkSttlmAmt,Document/FICdtTrf/CdtTrfTxInf/Dbtr/FinInstnId,Document/FICdtTrf/CdtTrfTxInf/Cdtr/FinInstnId)</t>
  </si>
  <si>
    <t>Pacs.009 – Gui dien hop le day du 8 field mandatory (baseline)</t>
  </si>
  <si>
    <t>Auth hop le;
Body dien Pacs.009 co du 8 field mandatory:
Document/FICdtTrf/GrpHdr/MsgId
Document/FICdtTrf/GrpHdr/CreDtTm
Document/FICdtTrf/GrpHdr/NbOfTxs
Document/FICdtTrf/GrpHdr/SttlmInf/SttlmMtd
Document/FICdtTrf/CdtTrfTxInf/PmtId/EndToEndId
Document/FICdtTrf/CdtTrfTxInf/IntrBkSttlmAmt
Document/FICdtTrf/CdtTrfTxInf/Dbtr/FinInstnId
Document/FICdtTrf/CdtTrfTxInf/Cdtr/FinInstnId</t>
  </si>
  <si>
    <t>1. Chuan bi body dien Pacs.009 day du chuan SWIFT co du tat ca 2 field mandatory:
Document/FICdtTrf/GrpHdr/MsgId
Document/FICdtTrf/GrpHdr/CreDtTm
Document/FICdtTrf/GrpHdr/NbOfTxs
Document/FICdtTrf/GrpHdr/SttlmInf/SttlmMtd
Document/FICdtTrf/CdtTrfTxInf/PmtId/EndToEndId
Document/FICdtTrf/CdtTrfTxInf/IntrBkSttlmAmt
Document/FICdtTrf/CdtTrfTxInf/Dbtr/FinInstnId
Document/FICdtTrf/CdtTrfTxInf/Cdtr/FinInstnId
2. Gui POST request voi transactionType= MX_IN/MX_OUT
3. Verify: HTTP 200, errorCode=00
4. Day la baseline – dung de so sanh voi cac TC loi</t>
  </si>
  <si>
    <t>Headers:
Authorization: Basic a3ljYWRtbjpwYXNzd29yZDM=
Content-Type: application/xml
Params:
  transactionId: TF_AML_PACS009_MND_01
  requestId:     REQ_AML_PACS009_MND_01
  transactionType: MX_IN/MX_OUT
  branchCd: HN
  channel: T24
  isCallBack: N
Body: Dien Pacs.009 theo chuan SWIFT
Co du 8 field mandatory:
Document/FICdtTrf/GrpHdr/MsgId
Document/FICdtTrf/GrpHdr/CreDtTm
Document/FICdtTrf/GrpHdr/NbOfTxs
Document/FICdtTrf/GrpHdr/SttlmInf/SttlmMtd
Document/FICdtTrf/CdtTrfTxInf/PmtId/EndToEndId
Document/FICdtTrf/CdtTrfTxInf/IntrBkSttlmAmt
Document/FICdtTrf/CdtTrfTxInf/Dbtr/FinInstnId
Document/FICdtTrf/CdtTrfTxInf/Cdtr/FinInstnId</t>
  </si>
  <si>
    <t>Pacs.009– Thieu tat ca 8 field mandatory → errorCode=03</t>
  </si>
  <si>
    <t>Auth hop le;
Body dien Pacs.009 bi xoa toan bo field mandatory</t>
  </si>
  <si>
    <t>1. Chuan bi body dien Pacs.009 dung chuan SWIFT
2. Xoa toan bo 8 field mandatory:
Document/FICdtTrf/GrpHdr/MsgId
Document/FICdtTrf/GrpHdr/CreDtTm
Document/FICdtTrf/GrpHdr/NbOfTxs
Document/FICdtTrf/GrpHdr/SttlmInf/SttlmMtd
Document/FICdtTrf/CdtTrfTxInf/PmtId/EndToEndId
Document/FICdtTrf/CdtTrfTxInf/IntrBkSttlmAmt
Document/FICdtTrf/CdtTrfTxInf/Dbtr/FinInstnId
Document/FICdtTrf/CdtTrfTxInf/Cdtr/FinInstnId
3. Gui POST request voi transactionType=MX_IN/MX_OUT
4. Verify: HTTP 200, result=ERROR, errorCode=03</t>
  </si>
  <si>
    <t>Headers:
Authorization: Basic a3ljYWRtbjpwYXNzd29yZDM=
Content-Type: application/xml
Params:
  transactionId: TF_AML_PACS009_MND_01
  requestId:     REQ_AML_PACS009_MND_01
  transactionType: MX_IN/MX_OUT
  branchCd: HN
  channel: T24
  isCallBack: N
Body: Dien Pacs.009 theo chuan SWIFT
Xoa bo 8 field mandatory:
Document/FICdtTrf/GrpHdr/MsgId
Document/FICdtTrf/GrpHdr/CreDtTm
Document/FICdtTrf/GrpHdr/NbOfTxs
Document/FICdtTrf/GrpHdr/SttlmInf/SttlmMtd
Document/FICdtTrf/CdtTrfTxInf/PmtId/EndToEndId
Document/FICdtTrf/CdtTrfTxInf/IntrBkSttlmAmt
Document/FICdtTrf/CdtTrfTxInf/Dbtr/FinInstnId
Document/FICdtTrf/CdtTrfTxInf/Cdtr/FinInstnId</t>
  </si>
  <si>
    <t>AML_PACS009_MND_03</t>
  </si>
  <si>
    <t>Pacs.009 – Thieu field :Document/FICdtTrf/GrpHdr/CreDtTm → errorCode=03</t>
  </si>
  <si>
    <t>Auth hop le;
Body Pacs.009 KHONG co tag :Document/FICdtTrf/GrpHdr/CreDtTm
Cac field mandatory khac day du</t>
  </si>
  <si>
    <t>1. Chuan bi body dien Pacs.009 dung chuan SWIFT
2. XOA tag :Document/FICdtTrf/GrpHdr/CreDtTm khoi body dien
   (cac field mandatory khac van giu nguyen)
3. Gui POST request voi transactionType=MX_IN /MX_OUT
4. Verify: HTTP 200, result=ERROR, errorCode=03</t>
  </si>
  <si>
    <t>Headers:
Authorization: Basic a3ljYWRtbjpwYXNzd29yZDM=
Content-Type: application/xml
Params:
  transactionId: TF_AML_PACS009_MND_03
  requestId:     REQ_AML_PACS009_MND_03
  transactionType: MX_IN/MX_OUT
  branchCd: HN
  channel: T24
  isCallBack: N
Body: Dien Pacs.009 dung chuan SWIFT
Field bi THIEU: :Document/FICdtTrf/GrpHdr/CreDtTm</t>
  </si>
  <si>
    <t>AML_PACS009_MND_04</t>
  </si>
  <si>
    <t>Pacs.009 – Thieu field :Document/FICdtTrf/GrpHdr/MsgId → errorCode=03</t>
  </si>
  <si>
    <t>Auth hop le;
Body Pacs.009 KHONG co tag :Document/FICdtTrf/GrpHdr/MsgId
Cac field mandatory khac day du</t>
  </si>
  <si>
    <t>1. Chuan bi body dien Pacs.009 dung chuan SWIFT
2. XOA tag :Document/FICdtTrf/GrpHdr/MsgId khoi body dien
   (cac field mandatory khac van giu nguyen)
3. Gui POST request voi transactionType=MX_IN /MX_OUT
4. Verify: HTTP 200, result=ERROR, errorCode=03</t>
  </si>
  <si>
    <t>Headers:
Authorization: Basic a3ljYWRtbjpwYXNzd29yZDM=
Content-Type: application/xml
Params:
  transactionId: TF_AML_PACS009_MND_03
  requestId:     REQ_AML_PACS009_MND_03
  transactionType: MX_IN/MX_OUT
  branchCd: HN
  channel: T24
  isCallBack: N
Body: Dien Pacs.009 dung chuan SWIFT
Field bi THIEU: :Document/FICdtTrf/GrpHdr/MsgId</t>
  </si>
  <si>
    <t>Pacs.009 – Thieu field :Document/FICdtTrf/GrpHdr/NbOfTxs → errorCode=03</t>
  </si>
  <si>
    <t>Auth hop le;
Body Pacs.009 KHONG co tag :Document/FICdtTrf/GrpHdr/NbOfTxs
Cac field mandatory khac day du</t>
  </si>
  <si>
    <t>1. Chuan bi body dien Pacs.009 dung chuan SWIFT
2. XOA tag :Document/FICdtTrf/GrpHdr/NbOfTxs khoi body dien
   (cac field mandatory khac van giu nguyen)
3. Gui POST request voi transactionType=MX_IN /MX_OUT
4. Verify: HTTP 200, result=ERROR, errorCode=03</t>
  </si>
  <si>
    <t>Headers:
Authorization: Basic a3ljYWRtbjpwYXNzd29yZDM=
Content-Type: application/xml
Params:
  transactionId: TF_AML_PACS009_MND_03
  requestId:     REQ_AML_PACS009_MND_03
  transactionType: MX_IN/MX_OUT
  branchCd: HN
  channel: T24
  isCallBack: N
Body: Dien Pacs.009 dung chuan SWIFT
Field bi THIEU: :Document/FICdtTrf/GrpHdr/NbOfTxs</t>
  </si>
  <si>
    <t>Pacs.009 – Thieu field :Document/FICdtTrf/GrpHdr/SttlmInf/SttlmMtd → errorCode=03</t>
  </si>
  <si>
    <t>Auth hop le;
Body Pacs.009 KHONG co tag :Document/FICdtTrf/GrpHdr/SttlmInf/SttlmMtd
Cac field mandatory khac day du</t>
  </si>
  <si>
    <t>1. Chuan bi body dien Pacs.009 dung chuan SWIFT
2. XOA tag :Document/FICdtTrf/GrpHdr/SttlmInf/SttlmMtd khoi body dien
   (cac field mandatory khac van giu nguyen)
3. Gui POST request voi transactionType=MX_IN /MX_OUT
4. Verify: HTTP 200, result=ERROR, errorCode=03</t>
  </si>
  <si>
    <t>Headers:
Authorization: Basic a3ljYWRtbjpwYXNzd29yZDM=
Content-Type: application/xml
Params:
  transactionId: TF_AML_PACS009_MND_03
  requestId:     REQ_AML_PACS009_MND_03
  transactionType: MX_IN/MX_OUT
  branchCd: HN
  channel: T24
  isCallBack: N
Body: Dien Pacs.009 dung chuan SWIFT
Field bi THIEU: :Document/FICdtTrf/GrpHdr/SttlmInf/SttlmMtd</t>
  </si>
  <si>
    <t>Pacs.009 – Thieu field :Document/FICdtTrf/CdtTrfTxInf/PmtId/EndToEndId → errorCode=03</t>
  </si>
  <si>
    <t>Auth hop le;
Body Pacs.009 KHONG co tag :Document/FICdtTrf/CdtTrfTxInf/PmtId/EndToEndId
Cac field mandatory khac day du</t>
  </si>
  <si>
    <t>1. Chuan bi body dien Pacs.009 dung chuan SWIFT
2. XOA tag :Document/FICdtTrf/CdtTrfTxInf/PmtId/EndToEndId khoi body dien
   (cac field mandatory khac van giu nguyen)
3. Gui POST request voi transactionType=MX_IN /MX_OUT
4. Verify: HTTP 200, result=ERROR, errorCode=03</t>
  </si>
  <si>
    <t>Headers:
Authorization: Basic a3ljYWRtbjpwYXNzd29yZDM=
Content-Type: application/xml
Params:
  transactionId: TF_AML_PACS009_MND_03
  requestId:     REQ_AML_PACS009_MND_03
  transactionType: MX_IN/MX_OUT
  branchCd: HN
  channel: T24
  isCallBack: N
Body: Dien Pacs.009 dung chuan SWIFT
Field bi THIEU: :Document/FICdtTrf/CdtTrfTxInf/PmtId/EndToEndId</t>
  </si>
  <si>
    <t>Pacs.009 – Thieu field :Document/FICdtTrf/CdtTrfTxInf/IntrBkSttlmAmt → errorCode=03</t>
  </si>
  <si>
    <t>Auth hop le;
Body Pacs.009 KHONG co tag :Document/FICdtTrf/CdtTrfTxInf/IntrBkSttlmAmt
Cac field mandatory khac day du</t>
  </si>
  <si>
    <t>1. Chuan bi body dien Pacs.009 dung chuan SWIFT
2. XOA tag :Document/FICdtTrf/CdtTrfTxInf/IntrBkSttlmAmt khoi body dien
   (cac field mandatory khac van giu nguyen)
3. Gui POST request voi transactionType=MX_IN /MX_OUT
4. Verify: HTTP 200, result=ERROR, errorCode=03</t>
  </si>
  <si>
    <t>Headers:
Authorization: Basic a3ljYWRtbjpwYXNzd29yZDM=
Content-Type: application/xml
Params:
  transactionId: TF_AML_PACS009_MND_03
  requestId:     REQ_AML_PACS009_MND_03
  transactionType: MX_IN/MX_OUT
  branchCd: HN
  channel: T24
  isCallBack: N
Body: Dien Pacs.009 dung chuan SWIFT
Field bi THIEU: :Document/FICdtTrf/CdtTrfTxInf/IntrBkSttlmAmt</t>
  </si>
  <si>
    <t>Pacs.009 – Thieu field :Document/FICdtTrf/CdtTrfTxInf/Dbtr/FinInstnId → errorCode=03</t>
  </si>
  <si>
    <t>Auth hop le;
Body Pacs.009 KHONG co tag :Document/FICdtTrf/CdtTrfTxInf/Dbtr/FinInstnId
Cac field mandatory khac day du</t>
  </si>
  <si>
    <t>1. Chuan bi body dien Pacs.009 dung chuan SWIFT
2. XOA tag :Document/FICdtTrf/CdtTrfTxInf/Dbtr/FinInstnId khoi body dien
   (cac field mandatory khac van giu nguyen)
3. Gui POST request voi transactionType=MX_IN /MX_OUT
4. Verify: HTTP 200, result=ERROR, errorCode=03</t>
  </si>
  <si>
    <t>Headers:
Authorization: Basic a3ljYWRtbjpwYXNzd29yZDM=
Content-Type: application/xml
Params:
  transactionId: TF_AML_PACS009_MND_03
  requestId:     REQ_AML_PACS009_MND_03
  transactionType: MX_IN/MX_OUT
  branchCd: HN
  channel: T24
  isCallBack: N
Body: Dien Pacs.009 dung chuan SWIFT
Field bi THIEU: :Document/FICdtTrf/CdtTrfTxInf/Dbtr/FinInstnId</t>
  </si>
  <si>
    <t>Pacs.009 – Thieu field :Document/FICdtTrf/CdtTrfTxInf/Cdtr/FinInstnId → errorCode=03</t>
  </si>
  <si>
    <t>Auth hop le;
Body Pacs.009 KHONG co tag :Document/FICdtTrf/CdtTrfTxInf/Cdtr/FinInstnId
Cac field mandatory khac day du</t>
  </si>
  <si>
    <t>1. Chuan bi body dien Pacs.009 dung chuan SWIFT
2. XOA tag :Document/FICdtTrf/CdtTrfTxInf/Cdtr/FinInstnId khoi body dien
   (cac field mandatory khac van giu nguyen)
3. Gui POST request voi transactionType=MX_IN /MX_OUT
4. Verify: HTTP 200, result=ERROR, errorCode=03</t>
  </si>
  <si>
    <t>Headers:
Authorization: Basic a3ljYWRtbjpwYXNzd29yZDM=
Content-Type: application/xml
Params:
  transactionId: TF_AML_PACS009_MND_03
  requestId:     REQ_AML_PACS009_MND_03
  transactionType: MX_IN/MX_OUT
  branchCd: HN
  channel: T24
  isCallBack: N
Body: Dien Pacs.009 dung chuan SWIFT
Field bi THIEU: :Document/FICdtTrf/CdtTrfTxInf/Cdtr/FinInstnId</t>
  </si>
  <si>
    <t xml:space="preserve">    AML_PACS004_MND  Kiem tra field mandatory cho dien PACS004( 4 field : Document/PmtRtr/GrpHdr/MsgId,Document/PmtRtr/GrpHdr/CreDtTm,Document/PmtRtr/GrpHdr/NbOfTxs,Document/PmtRtr/GrpHdr/SttlmInf/SttlmMtd)</t>
  </si>
  <si>
    <t>Pacs.004 – Gui dien hop le day du 4 field mandatory (baseline)</t>
  </si>
  <si>
    <t>Auth hop le;
Body dien Pacs.004 co du 4 field mandatory:
Document/PmtRtr/GrpHdr/MsgId
Document/PmtRtr/GrpHdr/CreDtTm
Document/PmtRtr/GrpHdr/NbOfTxs
Document/PmtRtr/GrpHdr/SttlmInf/SttlmMtd</t>
  </si>
  <si>
    <t>1. Chuan bi body dien Pacs.004 day du chuan SWIFT co du tat ca 2 field mandatory:
Document/PmtRtr/GrpHdr/MsgId
Document/PmtRtr/GrpHdr/CreDtTm
Document/PmtRtr/GrpHdr/NbOfTxs
Document/PmtRtr/GrpHdr/SttlmInf/SttlmMtd
2. Gui POST request voi transactionType= MX_IN/MX_OUT
3. Verify: HTTP 200, errorCode=00
4. Day la baseline – dung de so sanh voi cac TC loi</t>
  </si>
  <si>
    <t>Headers:
Authorization: Basic a3ljYWRtbjpwYXNzd29yZDM=
Content-Type: application/xml
Params:
  transactionId: TF_AML_PACS004_MND_01
  requestId:     REQ_AML_PACS004_MND_01
  transactionType: MX_IN/MX_OUT
  branchCd: HN
  channel: T24
  isCallBack: N
Body: Dien Pacs.004 theo chuan SWIFT
Co du 4 field mandatory:
Document/PmtRtr/GrpHdr/MsgId
Document/PmtRtr/GrpHdr/CreDtTm
Document/PmtRtr/GrpHdr/NbOfTxs
Document/PmtRtr/GrpHdr/SttlmInf/SttlmMtd</t>
  </si>
  <si>
    <t>Pacs.004– Thieu tat ca 4 field mandatory → errorCode=03</t>
  </si>
  <si>
    <t>Auth hop le;
Body dien Pacs.004 bi xoa toan bo field mandatory</t>
  </si>
  <si>
    <t>1. Chuan bi body dien Pacs.004 dung chuan SWIFT
2. Xoa toan bo 4 field mandatory:
Document/PmtRtr/GrpHdr/MsgId
Document/PmtRtr/GrpHdr/CreDtTm
Document/PmtRtr/GrpHdr/NbOfTxs
Document/PmtRtr/GrpHdr/SttlmInf/SttlmMtd
3. Gui POST request voi transactionType=MX_IN/MX_OUT
4. Verify: HTTP 200, result=ERROR, errorCode=03</t>
  </si>
  <si>
    <t>Headers:
Authorization: Basic a3ljYWRtbjpwYXNzd29yZDM=
Content-Type: application/xml
Params:
  transactionId: TF_AML_PACS004_MND_01
  requestId:     REQ_AML_PACS004_MND_01
  transactionType: MX_IN/MX_OUT
  branchCd: HN
  channel: T24
  isCallBack: N
Body: Dien Pacs.004 theo chuan SWIFT
Xoa bo 4 field mandatory:
Document/PmtRtr/GrpHdr/MsgId
Document/PmtRtr/GrpHdr/CreDtTm
Document/PmtRtr/GrpHdr/NbOfTxs
Document/PmtRtr/GrpHdr/SttlmInf/SttlmMtd</t>
  </si>
  <si>
    <t>Pacs.004 – Thieu field :Document/PmtRtr/GrpHdr/MsgId → errorCode=03</t>
  </si>
  <si>
    <t>Auth hop le;
Body Pacs.004 KHONG co tag :Document/PmtRtr/GrpHdr/MsgId
Cac field mandatory khac day du</t>
  </si>
  <si>
    <t>1. Chuan bi body dien Pacs.004 dung chuan SWIFT
2. XOA tag :Document/PmtRtr/GrpHdr/MsgId khoi body dien
   (cac field mandatory khac van giu nguyen)
3. Gui POST request voi transactionType=MX_IN /MX_OUT
4. Verify: HTTP 200, result=ERROR, errorCode=03</t>
  </si>
  <si>
    <t>Headers:
Authorization: Basic a3ljYWRtbjpwYXNzd29yZDM=
Content-Type: application/xml
Params:
  transactionId: TF_AML_PACS004_MND_03
  requestId:     REQ_AML_PACS004_MND_03
  transactionType: MX_IN/MX_OUT
  branchCd: HN
  channel: T24
  isCallBack: N
Body: Dien Pacs.004 dung chuan SWIFT
Field bi THIEU: :Document/PmtRtr/GrpHdr/MsgId</t>
  </si>
  <si>
    <t>Pacs.004 – Thieu field :Document/PmtRtr/GrpHdr/CreDtTm → errorCode=03</t>
  </si>
  <si>
    <t>Auth hop le;
Body Pacs.004 KHONG co tag :Document/PmtRtr/GrpHdr/CreDtTm
Cac field mandatory khac day du</t>
  </si>
  <si>
    <t>1. Chuan bi body dien Pacs.004 dung chuan SWIFT
2. XOA tag :Document/PmtRtr/GrpHdr/CreDtTm khoi body dien
   (cac field mandatory khac van giu nguyen)
3. Gui POST request voi transactionType=MX_IN /MX_OUT
4. Verify: HTTP 200, result=ERROR, errorCode=03</t>
  </si>
  <si>
    <t>Headers:
Authorization: Basic a3ljYWRtbjpwYXNzd29yZDM=
Content-Type: application/xml
Params:
  transactionId: TF_AML_PACS004_MND_03
  requestId:     REQ_AML_PACS004_MND_03
  transactionType: MX_IN/MX_OUT
  branchCd: HN
  channel: T24
  isCallBack: N
Body: Dien Pacs.004 dung chuan SWIFT
Field bi THIEU: :Document/PmtRtr/GrpHdr/CreDtTm</t>
  </si>
  <si>
    <t>AML_PACS004_MND_05</t>
  </si>
  <si>
    <t>Pacs.004 – Thieu field :Document/PmtRtr/GrpHdr/NbOfTxs → errorCode=03</t>
  </si>
  <si>
    <t>Auth hop le;
Body Pacs.004 KHONG co tag :Document/PmtRtr/GrpHdr/NbOfTxs
Cac field mandatory khac day du</t>
  </si>
  <si>
    <t>1. Chuan bi body dien Pacs.004 dung chuan SWIFT
2. XOA tag :Document/PmtRtr/GrpHdr/NbOfTxs khoi body dien
   (cac field mandatory khac van giu nguyen)
3. Gui POST request voi transactionType=MX_IN /MX_OUT
4. Verify: HTTP 200, result=ERROR, errorCode=03</t>
  </si>
  <si>
    <t>Headers:
Authorization: Basic a3ljYWRtbjpwYXNzd29yZDM=
Content-Type: application/xml
Params:
  transactionId: TF_AML_PACS004_MND_03
  requestId:     REQ_AML_PACS004_MND_03
  transactionType: MX_IN/MX_OUT
  branchCd: HN
  channel: T24
  isCallBack: N
Body: Dien Pacs.004 dung chuan SWIFT
Field bi THIEU: :Document/PmtRtr/GrpHdr/NbOfTxs</t>
  </si>
  <si>
    <t>AML_PACS004_MND_06</t>
  </si>
  <si>
    <t>Pacs.004 – Thieu field :Document/PmtRtr/GrpHdr/SttlmInf/SttlmMtd → errorCode=03</t>
  </si>
  <si>
    <t>Auth hop le;
Body Pacs.004 KHONG co tag :Document/PmtRtr/GrpHdr/SttlmInf/SttlmMtd
Cac field mandatory khac day du</t>
  </si>
  <si>
    <t>1. Chuan bi body dien Pacs.004 dung chuan SWIFT
2. XOA tag :Document/PmtRtr/GrpHdr/SttlmInf/SttlmMtd khoi body dien
   (cac field mandatory khac van giu nguyen)
3. Gui POST request voi transactionType=MX_IN /MX_OUT
4. Verify: HTTP 200, result=ERROR, errorCode=03</t>
  </si>
  <si>
    <t>Headers:
Authorization: Basic a3ljYWRtbjpwYXNzd29yZDM=
Content-Type: application/xml
Params:
  transactionId: TF_AML_PACS004_MND_03
  requestId:     REQ_AML_PACS004_MND_03
  transactionType: MX_IN/MX_OUT
  branchCd: HN
  channel: T24
  isCallBack: N
Body: Dien Pacs.004 dung chuan SWIFT
Field bi THIEU: :Document/PmtRtr/GrpHdr/SttlmInf/SttlmMtd</t>
  </si>
  <si>
    <t xml:space="preserve">    AML_PACS008_MND  Kiem tra field mandatory cho dien PACS008( 11 field : Document/FIToFICstmrCdtTrf/GrpHdr/MsgId,Document/FIToFICstmrCdtTrf/GrpHdr/CreDtTm,Document/FIToFICstmrCdtTrf/GrpHdr/NbOfTxs,Document/FIToFICstmrCdtTrf/GrpHdr/SttlmInf/SttlmMtd,Document/FIToFICstmrCdtTrf/CdtTrfTxInf/PmtId/EndToEndId,Document/FIToFICstmrCdtTrf/CdtTrfTxInf/IntrBkSttlmAmt,Document/FIToFICstmrCdtTrf/CdtTrfTxInf/ChrgBr,Document/FIToFICstmrCdtTrf/CdtTrfTxInf/Dbtr,Document/FIToFICstmrCdtTrf/CdtTrfTxInf/DbtrAgt/FinInstnId,Document/FIToFICstmrCdtTrf/CdtTrfTxInf/CdtrAgt/FinInstnId,Document/FIToFICstmrCdtTrf/CdtTrfTxInf/Cdtr)</t>
  </si>
  <si>
    <t>Pacs.008 – Gui dien hop le day du 11 field mandatory (baseline)</t>
  </si>
  <si>
    <t>Auth hop le;
Body dien Pacs.008 co du 11 field mandatory:
Document/FIToFICstmrCdtTrf/GrpHdr/MsgId
Document/FIToFICstmrCdtTrf/GrpHdr/CreDtTm
Document/FIToFICstmrCdtTrf/GrpHdr/NbOfTxs
Document/FIToFICstmrCdtTrf/GrpHdr/SttlmInf/SttlmMtd
Document/FIToFICstmrCdtTrf/CdtTrfTxInf/PmtId/EndToEndId
Document/FIToFICstmrCdtTrf/CdtTrfTxInf/IntrBkSttlmAmt
Document/FIToFICstmrCdtTrf/CdtTrfTxInf/ChrgBr
Document/FIToFICstmrCdtTrf/CdtTrfTxInf/Dbtr
Document/FIToFICstmrCdtTrf/CdtTrfTxInf/DbtrAgt/FinInstnId
Document/FIToFICstmrCdtTrf/CdtTrfTxInf/CdtrAgt/FinInstnId
Document/FIToFICstmrCdtTrf/CdtTrfTxInf/Cdtr</t>
  </si>
  <si>
    <t>1. Chuan bi body dien Pacs.008 day du chuan SWIFT co du tat ca 2 field mandatory:
Document/FIToFICstmrCdtTrf/GrpHdr/MsgId
Document/FIToFICstmrCdtTrf/GrpHdr/CreDtTm
Document/FIToFICstmrCdtTrf/GrpHdr/NbOfTxs
Document/FIToFICstmrCdtTrf/GrpHdr/SttlmInf/SttlmMtd
Document/FIToFICstmrCdtTrf/CdtTrfTxInf/PmtId/EndToEndId
Document/FIToFICstmrCdtTrf/CdtTrfTxInf/IntrBkSttlmAmt
Document/FIToFICstmrCdtTrf/CdtTrfTxInf/ChrgBr
Document/FIToFICstmrCdtTrf/CdtTrfTxInf/Dbtr
Document/FIToFICstmrCdtTrf/CdtTrfTxInf/DbtrAgt/FinInstnId
Document/FIToFICstmrCdtTrf/CdtTrfTxInf/CdtrAgt/FinInstnId
Document/FIToFICstmrCdtTrf/CdtTrfTxInf/Cdtr2. Gui POST request voi transactionType= MX_IN/MX_OUT
3. Verify: HTTP 200, errorCode=00
4. Day la baseline – dung de so sanh voi cac TC loi</t>
  </si>
  <si>
    <t>Headers:
Authorization: Basic a3ljYWRtbjpwYXNzd29yZDM=
Content-Type: application/xml
Params:
  transactionId: TF_AML_PACS008_MND_01
  requestId:     REQ_AML_PACS008_MND_01
  transactionType: MX_IN/MX_OUT
  branchCd: HN
  channel: T24
  isCallBack: N
Body: Dien Pacs.008 theo chuan SWIFT
Co du 11 field mandatory:
Document/FIToFICstmrCdtTrf/GrpHdr/MsgId
Document/FIToFICstmrCdtTrf/GrpHdr/CreDtTm
Document/FIToFICstmrCdtTrf/GrpHdr/NbOfTxs
Document/FIToFICstmrCdtTrf/GrpHdr/SttlmInf/SttlmMtd
Document/FIToFICstmrCdtTrf/CdtTrfTxInf/PmtId/EndToEndId
Document/FIToFICstmrCdtTrf/CdtTrfTxInf/IntrBkSttlmAmt
Document/FIToFICstmrCdtTrf/CdtTrfTxInf/ChrgBr
Document/FIToFICstmrCdtTrf/CdtTrfTxInf/Dbtr
Document/FIToFICstmrCdtTrf/CdtTrfTxInf/DbtrAgt/FinInstnId
Document/FIToFICstmrCdtTrf/CdtTrfTxInf/CdtrAgt/FinInstnId
Document/FIToFICstmrCdtTrf/CdtTrfTxInf/Cdtr</t>
  </si>
  <si>
    <t>Pacs.008– Thieu tat ca 11 field mandatory → errorCode=03</t>
  </si>
  <si>
    <t>Auth hop le;
Body dien Pacs.008 bi xoa toan bo field mandatory</t>
  </si>
  <si>
    <t>1. Chuan bi body dien Pacs.008 dung chuan SWIFT
2. Xoa toan bo 11 field mandatory:
Document/FIToFICstmrCdtTrf/GrpHdr/MsgId
Document/FIToFICstmrCdtTrf/GrpHdr/CreDtTm
Document/FIToFICstmrCdtTrf/GrpHdr/NbOfTxs
Document/FIToFICstmrCdtTrf/GrpHdr/SttlmInf/SttlmMtd
Document/FIToFICstmrCdtTrf/CdtTrfTxInf/PmtId/EndToEndId
Document/FIToFICstmrCdtTrf/CdtTrfTxInf/IntrBkSttlmAmt
Document/FIToFICstmrCdtTrf/CdtTrfTxInf/ChrgBr
Document/FIToFICstmrCdtTrf/CdtTrfTxInf/Dbtr
Document/FIToFICstmrCdtTrf/CdtTrfTxInf/DbtrAgt/FinInstnId
Document/FIToFICstmrCdtTrf/CdtTrfTxInf/CdtrAgt/FinInstnId
Document/FIToFICstmrCdtTrf/CdtTrfTxInf/Cdtr
3. Gui POST request voi transactionType=MX_IN/MX_OUT
4. Verify: HTTP 200, result=ERROR, errorCode=03</t>
  </si>
  <si>
    <t>Headers:
Authorization: Basic a3ljYWRtbjpwYXNzd29yZDM=
Content-Type: application/xml
Params:
  transactionId: TF_AML_PACS008_MND_01
  requestId:     REQ_AML_PACS008_MND_01
  transactionType: MX_IN/MX_OUT
  branchCd: HN
  channel: T24
  isCallBack: N
Body: Dien Pacs.008 theo chuan SWIFT
Xoa bo 11 field mandatory:
Document/FIToFICstmrCdtTrf/GrpHdr/MsgId
Document/FIToFICstmrCdtTrf/GrpHdr/CreDtTm
Document/FIToFICstmrCdtTrf/GrpHdr/NbOfTxs
Document/FIToFICstmrCdtTrf/GrpHdr/SttlmInf/SttlmMtd
Document/FIToFICstmrCdtTrf/CdtTrfTxInf/PmtId/EndToEndId
Document/FIToFICstmrCdtTrf/CdtTrfTxInf/IntrBkSttlmAmt
Document/FIToFICstmrCdtTrf/CdtTrfTxInf/ChrgBr
Document/FIToFICstmrCdtTrf/CdtTrfTxInf/Dbtr
Document/FIToFICstmrCdtTrf/CdtTrfTxInf/DbtrAgt/FinInstnId
Document/FIToFICstmrCdtTrf/CdtTrfTxInf/CdtrAgt/FinInstnId
Document/FIToFICstmrCdtTrf/CdtTrfTxInf/Cdtr</t>
  </si>
  <si>
    <t>Pacs.008 – Thieu field :Document/FIToFICstmrCdtTrf/GrpHdr/MsgId → errorCode=03</t>
  </si>
  <si>
    <t>Auth hop le;
Body Pacs.008 KHONG co tag :Document/FIToFICstmrCdtTrf/GrpHdr/MsgId
Cac field mandatory khac day du</t>
  </si>
  <si>
    <t>1. Chuan bi body dien Pacs.008 dung chuan SWIFT
2. XOA tag :Document/FIToFICstmrCdtTrf/GrpHdr/MsgId khoi body dien
   (cac field mandatory khac van giu nguyen)
3. Gui POST request voi transactionType=MX_IN /MX_OUT
4. Verify: HTTP 200, result=ERROR, errorCode=03</t>
  </si>
  <si>
    <t>Headers:
Authorization: Basic a3ljYWRtbjpwYXNzd29yZDM=
Content-Type: application/xml
Params:
  transactionId: TF_AML_PACS008_MND_03
  requestId:     REQ_AML_PACS008_MND_03
  transactionType: MX_IN/MX_OUT
  branchCd: HN
  channel: T24
  isCallBack: N
Body: Dien Pacs.008 dung chuan SWIFT
Field bi THIEU: :Document/FIToFICstmrCdtTrf/GrpHdr/MsgId</t>
  </si>
  <si>
    <t>Pacs.008 – Thieu field :Document/FIToFICstmrCdtTrf/GrpHdr/CreDtTm → errorCode=03</t>
  </si>
  <si>
    <t>Auth hop le;
Body Pacs.008 KHONG co tag :Document/FIToFICstmrCdtTrf/GrpHdr/CreDtTm
Cac field mandatory khac day du</t>
  </si>
  <si>
    <t>1. Chuan bi body dien Pacs.008 dung chuan SWIFT
2. XOA tag :Document/FIToFICstmrCdtTrf/GrpHdr/CreDtTm khoi body dien
   (cac field mandatory khac van giu nguyen)
3. Gui POST request voi transactionType=MX_IN /MX_OUT
4. Verify: HTTP 200, result=ERROR, errorCode=03</t>
  </si>
  <si>
    <t>Headers:
Authorization: Basic a3ljYWRtbjpwYXNzd29yZDM=
Content-Type: application/xml
Params:
  transactionId: TF_AML_PACS008_MND_03
  requestId:     REQ_AML_PACS008_MND_03
  transactionType: MX_IN/MX_OUT
  branchCd: HN
  channel: T24
  isCallBack: N
Body: Dien Pacs.008 dung chuan SWIFT
Field bi THIEU: :Document/FIToFICstmrCdtTrf/GrpHdr/CreDtTm</t>
  </si>
  <si>
    <t>Pacs.008 – Thieu field :Document/FIToFICstmrCdtTrf/GrpHdr/NbOfTxs → errorCode=03</t>
  </si>
  <si>
    <t>Auth hop le;
Body Pacs.008 KHONG co tag :Document/FIToFICstmrCdtTrf/GrpHdr/NbOfTxs
Cac field mandatory khac day du</t>
  </si>
  <si>
    <t>1. Chuan bi body dien Pacs.008 dung chuan SWIFT
2. XOA tag :Document/FIToFICstmrCdtTrf/GrpHdr/NbOfTxs khoi body dien
   (cac field mandatory khac van giu nguyen)
3. Gui POST request voi transactionType=MX_IN /MX_OUT
4. Verify: HTTP 200, result=ERROR, errorCode=03</t>
  </si>
  <si>
    <t>Headers:
Authorization: Basic a3ljYWRtbjpwYXNzd29yZDM=
Content-Type: application/xml
Params:
  transactionId: TF_AML_PACS008_MND_03
  requestId:     REQ_AML_PACS008_MND_03
  transactionType: MX_IN/MX_OUT
  branchCd: HN
  channel: T24
  isCallBack: N
Body: Dien Pacs.008 dung chuan SWIFT
Field bi THIEU: :Document/FIToFICstmrCdtTrf/GrpHdr/NbOfTxs</t>
  </si>
  <si>
    <t>Pacs.008 – Thieu field :Document/FIToFICstmrCdtTrf/GrpHdr/SttlmInf/SttlmMtd → errorCode=03</t>
  </si>
  <si>
    <t>Auth hop le;
Body Pacs.008 KHONG co tag :Document/FIToFICstmrCdtTrf/GrpHdr/SttlmInf/SttlmMtd
Cac field mandatory khac day du</t>
  </si>
  <si>
    <t>1. Chuan bi body dien Pacs.008 dung chuan SWIFT
2. XOA tag :Document/FIToFICstmrCdtTrf/GrpHdr/SttlmInf/SttlmMtd khoi body dien
   (cac field mandatory khac van giu nguyen)
3. Gui POST request voi transactionType=MX_IN /MX_OUT
4. Verify: HTTP 200, result=ERROR, errorCode=03</t>
  </si>
  <si>
    <t>Headers:
Authorization: Basic a3ljYWRtbjpwYXNzd29yZDM=
Content-Type: application/xml
Params:
  transactionId: TF_AML_PACS008_MND_03
  requestId:     REQ_AML_PACS008_MND_03
  transactionType: MX_IN/MX_OUT
  branchCd: HN
  channel: T24
  isCallBack: N
Body: Dien Pacs.008 dung chuan SWIFT
Field bi THIEU: :Document/FIToFICstmrCdtTrf/GrpHdr/SttlmInf/SttlmMtd</t>
  </si>
  <si>
    <t>Pacs.008 – Thieu field :Document/FIToFICstmrCdtTrf/CdtTrfTxInf/PmtId/EndToEndId → errorCode=03</t>
  </si>
  <si>
    <t>Auth hop le;
Body Pacs.008 KHONG co tag :Document/FIToFICstmrCdtTrf/CdtTrfTxInf/PmtId/EndToEndId
Cac field mandatory khac day du</t>
  </si>
  <si>
    <t>1. Chuan bi body dien Pacs.008 dung chuan SWIFT
2. XOA tag :Document/FIToFICstmrCdtTrf/CdtTrfTxInf/PmtId/EndToEndId khoi body dien
   (cac field mandatory khac van giu nguyen)
3. Gui POST request voi transactionType=MX_IN /MX_OUT
4. Verify: HTTP 200, result=ERROR, errorCode=03</t>
  </si>
  <si>
    <t>Headers:
Authorization: Basic a3ljYWRtbjpwYXNzd29yZDM=
Content-Type: application/xml
Params:
  transactionId: TF_AML_PACS008_MND_03
  requestId:     REQ_AML_PACS008_MND_03
  transactionType: MX_IN/MX_OUT
  branchCd: HN
  channel: T24
  isCallBack: N
Body: Dien Pacs.008 dung chuan SWIFT
Field bi THIEU: :Document/FIToFICstmrCdtTrf/CdtTrfTxInf/PmtId/EndToEndId</t>
  </si>
  <si>
    <t>Pacs.008 – Thieu field :Document/FIToFICstmrCdtTrf/CdtTrfTxInf/IntrBkSttlmAmt → errorCode=03</t>
  </si>
  <si>
    <t>Auth hop le;
Body Pacs.008 KHONG co tag :Document/FIToFICstmrCdtTrf/CdtTrfTxInf/IntrBkSttlmAmt
Cac field mandatory khac day du</t>
  </si>
  <si>
    <t>1. Chuan bi body dien Pacs.008 dung chuan SWIFT
2. XOA tag :Document/FIToFICstmrCdtTrf/CdtTrfTxInf/IntrBkSttlmAmtmMtd khoi body dien
   (cac field mandatory khac van giu nguyen)
3. Gui POST request voi transactionType=MX_IN /MX_OUT
4. Verify: HTTP 200, result=ERROR, errorCode=03</t>
  </si>
  <si>
    <t>Headers:
Authorization: Basic a3ljYWRtbjpwYXNzd29yZDM=
Content-Type: application/xml
Params:
  transactionId: TF_AML_PACS008_MND_03
  requestId:     REQ_AML_PACS008_MND_03
  transactionType: MX_IN/MX_OUT
  branchCd: HN
  channel: T24
  isCallBack: N
Body: Dien Pacs.008 dung chuan SWIFT
Field bi THIEU: :Document/FIToFICstmrCdtTrf/CdtTrfTxInf/IntrBkSttlmAmt</t>
  </si>
  <si>
    <t>Pacs.008 – Thieu field :Document/FIToFICstmrCdtTrf/CdtTrfTxInf/ChrgBr → errorCode=03</t>
  </si>
  <si>
    <t>Auth hop le;
Body Pacs.008 KHONG co tag :Document/FIToFICstmrCdtTrf/CdtTrfTxInf/ChrgBr
Cac field mandatory khac day du</t>
  </si>
  <si>
    <t>1. Chuan bi body dien Pacs.008 dung chuan SWIFT
2. XOA tag :Document/FIToFICstmrCdtTrf/CdtTrfTxInf/ChrgBr khoi body dien
   (cac field mandatory khac van giu nguyen)
3. Gui POST request voi transactionType=MX_IN /MX_OUT
4. Verify: HTTP 200, result=ERROR, errorCode=03</t>
  </si>
  <si>
    <t>Headers:
Authorization: Basic a3ljYWRtbjpwYXNzd29yZDM=
Content-Type: application/xml
Params:
  transactionId: TF_AML_PACS008_MND_03
  requestId:     REQ_AML_PACS008_MND_03
  transactionType: MX_IN/MX_OUT
  branchCd: HN
  channel: T24
  isCallBack: N
Body: Dien Pacs.008 dung chuan SWIFT
Field bi THIEU: :Document/FIToFICstmrCdtTrf/CdtTrfTxInf/ChrgBr</t>
  </si>
  <si>
    <t>Pacs.008 – Thieu field :Document/FIToFICstmrCdtTrf/CdtTrfTxInf/Dbtr → errorCode=03</t>
  </si>
  <si>
    <t>Auth hop le;
Body Pacs.008 KHONG co tag :Document/FIToFICstmrCdtTrf/CdtTrfTxInf/Dbtr
Cac field mandatory khac day du</t>
  </si>
  <si>
    <t>1. Chuan bi body dien Pacs.008 dung chuan SWIFT
2. XOA tag :Document/FIToFICstmrCdtTrf/CdtTrfTxInf/Dbtr khoi body dien
   (cac field mandatory khac van giu nguyen)
3. Gui POST request voi transactionType=MX_IN /MX_OUT
4. Verify: HTTP 200, result=ERROR, errorCode=03</t>
  </si>
  <si>
    <t>Headers:
Authorization: Basic a3ljYWRtbjpwYXNzd29yZDM=
Content-Type: application/xml
Params:
  transactionId: TF_AML_PACS008_MND_03
  requestId:     REQ_AML_PACS008_MND_03
  transactionType: MX_IN/MX_OUT
  branchCd: HN
  channel: T24
  isCallBack: N
Body: Dien Pacs.008 dung chuan SWIFT
Field bi THIEU: :Document/FIToFICstmrCdtTrf/CdtTrfTxInf/Dbtr</t>
  </si>
  <si>
    <t>Pacs.008 – Thieu field :Document/FIToFICstmrCdtTrf/CdtTrfTxInf/DbtrAgt/FinInstnId → errorCode=03</t>
  </si>
  <si>
    <t>Auth hop le;
Body Pacs.008 KHONG co tag :Document/FIToFICstmrCdtTrf/CdtTrfTxInf/DbtrAgt/FinInstnId
Cac field mandatory khac day du</t>
  </si>
  <si>
    <t>1. Chuan bi body dien Pacs.008 dung chuan SWIFT
2. XOA tag :Document/FIToFICstmrCdtTrf/CdtTrfTxInf/DbtrAgt/FinInstnId khoi body dien
   (cac field mandatory khac van giu nguyen)
3. Gui POST request voi transactionType=MX_IN /MX_OUT
4. Verify: HTTP 200, result=ERROR, errorCode=03</t>
  </si>
  <si>
    <t>Headers:
Authorization: Basic a3ljYWRtbjpwYXNzd29yZDM=
Content-Type: application/xml
Params:
  transactionId: TF_AML_PACS008_MND_03
  requestId:     REQ_AML_PACS008_MND_03
  transactionType: MX_IN/MX_OUT
  branchCd: HN
  channel: T24
  isCallBack: N
Body: Dien Pacs.008 dung chuan SWIFT
Field bi THIEU: :Document/FIToFICstmrCdtTrf/CdtTrfTxInf/DbtrAgt/FinInstnId</t>
  </si>
  <si>
    <t>AML_PACS008_MND_12</t>
  </si>
  <si>
    <t>Pacs.008 – Thieu field :Document/FIToFICstmrCdtTrf/CdtTrfTxInf/CdtrAgt/FinInstnId → errorCode=03</t>
  </si>
  <si>
    <t>Auth hop le;
Body Pacs.008 KHONG co tag :Document/FIToFICstmrCdtTrf/CdtTrfTxInf/CdtrAgt/FinInstnId
Cac field mandatory khac day du</t>
  </si>
  <si>
    <t>1. Chuan bi body dien Pacs.008 dung chuan SWIFT
2. XOA tag :Document/FIToFICstmrCdtTrf/CdtTrfTxInf/CdtrAgt/FinInstnId khoi body dien
   (cac field mandatory khac van giu nguyen)
3. Gui POST request voi transactionType=MX_IN /MX_OUT
4. Verify: HTTP 200, result=ERROR, errorCode=03</t>
  </si>
  <si>
    <t>Headers:
Authorization: Basic a3ljYWRtbjpwYXNzd29yZDM=
Content-Type: application/xml
Params:
  transactionId: TF_AML_PACS008_MND_03
  requestId:     REQ_AML_PACS008_MND_03
  transactionType: MX_IN/MX_OUT
  branchCd: HN
  channel: T24
  isCallBack: N
Body: Dien Pacs.008 dung chuan SWIFT
Field bi THIEU: :Document/FIToFICstmrCdtTrf/CdtTrfTxInf/CdtrAgt/FinInstnId</t>
  </si>
  <si>
    <t>AML_PACS008_MND_13</t>
  </si>
  <si>
    <t>Pacs.008 – Thieu field :Document/FIToFICstmrCdtTrf/CdtTrfTxInf/Cdtr → errorCode=03</t>
  </si>
  <si>
    <t>Auth hop le;
Body Pacs.008 KHONG co tag :Document/FIToFICstmrCdtTrf/CdtTrfTxInf/Cdtr
Cac field mandatory khac day du</t>
  </si>
  <si>
    <t>1. Chuan bi body dien Pacs.008 dung chuan SWIFT
2. XOA tag :Document/FIToFICstmrCdtTrf/CdtTrfTxInf/Cdtr khoi body dien
   (cac field mandatory khac van giu nguyen)
3. Gui POST request voi transactionType=MX_IN /MX_OUT
4. Verify: HTTP 200, result=ERROR, errorCode=03</t>
  </si>
  <si>
    <t>Headers:
Authorization: Basic a3ljYWRtbjpwYXNzd29yZDM=
Content-Type: application/xml
Params:
  transactionId: TF_AML_PACS008_MND_03
  requestId:     REQ_AML_PACS008_MND_03
  transactionType: MX_IN/MX_OUT
  branchCd: HN
  channel: T24
  isCallBack: N
Body: Dien Pacs.008 dung chuan SWIFT
Field bi THIEU: :Document/FIToFICstmrCdtTrf/CdtTrfTxInf/Cdtr</t>
  </si>
  <si>
    <t xml:space="preserve">    AML_CAM110_MND  Kiem tra field mandatory cho dien CAM110( 6 field : Document/InvstgtnReq/InvstgtnReq/MsgId,Document/InvstgtnReq/InvstgtnReq/InvstgtnTp/{Cd|Prtry},Document/InvstgtnReq/InvstgtnReq/Undrlyg/{Initn|IntrBk|StmtNtry|Acct|Othr},Document/InvstgtnReq/InvstgtnReq/Rqstr/{Pty|Agt},Document/InvstgtnReq/InvstgtnReq/Rspndr/{Pty|Agt},Document/InvstgtnReq/InvstgtnData/Rsn/{Cd|Prtry})</t>
  </si>
  <si>
    <t>Cam.110– Gui dien hop le day du 6 field mandatory (baseline)</t>
  </si>
  <si>
    <t>Auth hop le;
Body dien Cam.110 co du 6 field mandatory:
Document/InvstgtnReq/InvstgtnReq/MsgId
Document/InvstgtnReq/InvstgtnReq/InvstgtnTp/{Cd|Prtry}
Document/InvstgtnReq/InvstgtnReq/Undrlyg/{Initn|IntrBk|StmtNtry|Acct|Othr}
Document/InvstgtnReq/InvstgtnReq/Rqstr/{Pty|Agt}
Document/InvstgtnReq/InvstgtnReq/Rspndr/{Pty|Agt}
Document/InvstgtnReq/InvstgtnData/Rsn/{Cd|Prtry}</t>
  </si>
  <si>
    <t>1. Chuan bi body dien Cam.110 day du chuan SWIFT co du tat ca 2 field mandatory:
Document/InvstgtnReq/InvstgtnReq/MsgId
Document/InvstgtnReq/InvstgtnReq/InvstgtnTp/{Cd|Prtry}
Document/InvstgtnReq/InvstgtnReq/Undrlyg/{Initn|IntrBk|StmtNtry|Acct|Othr}
Document/InvstgtnReq/InvstgtnReq/Rqstr/{Pty|Agt}
Document/InvstgtnReq/InvstgtnReq/Rspndr/{Pty|Agt}
Document/InvstgtnReq/InvstgtnData/Rsn/{Cd|Prtry}
2. Gui POST request voi transactionType= MX_IN/MX_OUT
3. Verify: HTTP 200, errorCode=00
4. Day la baseline – dung de so sanh voi cac TC loi</t>
  </si>
  <si>
    <t>Headers:
Authorization: Basic a3ljYWRtbjpwYXNzd29yZDM=
Content-Type: application/xml
Params:
  transactionId: TF_AML_CAM110_MND_01
  requestId:     REQ_AML_CAM110_MND_01
  transactionType: MX_IN/MX_OUT
  branchCd: HN
  channel: T24
  isCallBack: N
Body: Dien Cam.110theo chuan SWIFT
Co du 6 field mandatory:
Document/InvstgtnReq/InvstgtnReq/MsgId
Document/InvstgtnReq/InvstgtnReq/InvstgtnTp/{Cd|Prtry}
Document/InvstgtnReq/InvstgtnReq/Undrlyg/{Initn|IntrBk|StmtNtry|Acct|Othr}
Document/InvstgtnReq/InvstgtnReq/Rqstr/{Pty|Agt}
Document/InvstgtnReq/InvstgtnReq/Rspndr/{Pty|Agt}
Document/InvstgtnReq/InvstgtnData/Rsn/{Cd|Prtry}</t>
  </si>
  <si>
    <t>Cam.110– Thieu tat ca 6 field mandatory → errorCode=03</t>
  </si>
  <si>
    <t>Auth hop le;
Body dien Cam.110 bi xoa toan bo field mandatory</t>
  </si>
  <si>
    <t>1. Chuan bi body dien Cam.110 dung chuan SWIFT
2. Xoa toan bo 6 field mandatory:
Document/InvstgtnReq/InvstgtnReq/MsgId
Document/InvstgtnReq/InvstgtnReq/InvstgtnTp/{Cd|Prtry}
Document/InvstgtnReq/InvstgtnReq/Undrlyg/{Initn|IntrBk|StmtNtry|Acct|Othr}
Document/InvstgtnReq/InvstgtnReq/Rqstr/{Pty|Agt}
Document/InvstgtnReq/InvstgtnReq/Rspndr/{Pty|Agt}
Document/InvstgtnReq/InvstgtnData/Rsn/{Cd|Prtry}
3. Gui POST request voi transactionType=MX_IN/MX_OUT
4. Verify: HTTP 200, result=ERROR, errorCode=03</t>
  </si>
  <si>
    <t>Headers:
Authorization: Basic a3ljYWRtbjpwYXNzd29yZDM=
Content-Type: application/xml
Params:
  transactionId: TF_AML_CAM110_MND_01
  requestId:     REQ_AML_CAM110_MND_01
  transactionType: MX_IN/MX_OUT
  branchCd: HN
  channel: T24
  isCallBack: N
Body: Dien Cam.110theo chuan SWIFT
Xoa bo 6 field mandatory:
Document/InvstgtnReq/InvstgtnReq/MsgId
Document/InvstgtnReq/InvstgtnReq/InvstgtnTp/{Cd|Prtry}
Document/InvstgtnReq/InvstgtnReq/Undrlyg/{Initn|IntrBk|StmtNtry|Acct|Othr}
Document/InvstgtnReq/InvstgtnReq/Rqstr/{Pty|Agt}
Document/InvstgtnReq/InvstgtnReq/Rspndr/{Pty|Agt}
Document/InvstgtnReq/InvstgtnData/Rsn/{Cd|Prtry}</t>
  </si>
  <si>
    <t>Cam.110– Thieu field :Document/InvstgtnReq/InvstgtnReq/MsgId → errorCode=03</t>
  </si>
  <si>
    <t>Auth hop le;
Body Cam.110 KHONG co tag :Document/InvstgtnReq/InvstgtnReq/MsgId
Cac field mandatory khac day du</t>
  </si>
  <si>
    <t>1. Chuan bi body dien Cam.110 dung chuan SWIFT
2. XOA tag :Document/InvstgtnReq/InvstgtnReq/MsgId khoi body dien
   (cac field mandatory khac van giu nguyen)
3. Gui POST request voi transactionType=MX_IN /MX_OUT
4. Verify: HTTP 200, result=ERROR, errorCode=03</t>
  </si>
  <si>
    <t>Headers:
Authorization: Basic a3ljYWRtbjpwYXNzd29yZDM=
Content-Type: application/xml
Params:
  transactionId: TF_AML_CAM110_MND_03
  requestId:     REQ_AML_CAM110_MND_03
  transactionType: MX_IN/MX_OUT
  branchCd: HN
  channel: T24
  isCallBack: N
Body: Dien Cam.110dung chuan SWIFT
Field bi THIEU: :Document/InvstgtnReq/InvstgtnReq/MsgId</t>
  </si>
  <si>
    <t>Cam.110– Thieu field :Document/InvstgtnReq/InvstgtnReq/InvstgtnTp/{Cd|Prtry} → errorCode=03</t>
  </si>
  <si>
    <t>Auth hop le;
Body Cam.110 KHONG co tag :Document/InvstgtnReq/InvstgtnReq/InvstgtnTp/{Cd|Prtry}
Cac field mandatory khac day du</t>
  </si>
  <si>
    <t>1. Chuan bi body dien Cam.110 dung chuan SWIFT
2. XOA tag :Document/InvstgtnReq/InvstgtnReq/InvstgtnTp/{Cd|Prtry} khoi body dien
   (cac field mandatory khac van giu nguyen)
3. Gui POST request voi transactionType=MX_IN /MX_OUT
4. Verify: HTTP 200, result=ERROR, errorCode=03</t>
  </si>
  <si>
    <t>Headers:
Authorization: Basic a3ljYWRtbjpwYXNzd29yZDM=
Content-Type: application/xml
Params:
  transactionId: TF_AML_CAM110_MND_03
  requestId:     REQ_AML_CAM110_MND_03
  transactionType: MX_IN/MX_OUT
  branchCd: HN
  channel: T24
  isCallBack: N
Body: Dien Cam.110dung chuan SWIFT
Field bi THIEU: :Document/InvstgtnReq/InvstgtnReq/InvstgtnTp/{Cd|Prtry}</t>
  </si>
  <si>
    <t>Cam.110– Thieu field :Document/InvstgtnReq/InvstgtnReq/Undrlyg/{Initn|IntrBk|StmtNtry|Acct|Othr} → errorCode=03</t>
  </si>
  <si>
    <t>Auth hop le;
Body Cam.110KHONG co tag :Document/InvstgtnReq/InvstgtnReq/Undrlyg/{Initn|IntrBk|StmtNtry|Acct|Othr}
Cac field mandatory khac day du</t>
  </si>
  <si>
    <t>1. Chuan bi body dien Cam.110 dung chuan SWIFT
2. XOA tag :Document/InvstgtnReq/InvstgtnReq/Undrlyg/{Initn|IntrBk|StmtNtry|Acct|Othr} khoi body dien
   (cac field mandatory khac van giu nguyen)
3. Gui POST request voi transactionType=MX_IN /MX_OUT
4. Verify: HTTP 200, result=ERROR, errorCode=03</t>
  </si>
  <si>
    <t>Headers:
Authorization: Basic a3ljYWRtbjpwYXNzd29yZDM=
Content-Type: application/xml
Params:
  transactionId: TF_AML_CAM110_MND_03
  requestId:     REQ_AML_CAM110_MND_03
  transactionType: MX_IN/MX_OUT
  branchCd: HN
  channel: T24
  isCallBack: N
Body: Dien Cam.110dung chuan SWIFT
Field bi THIEU: :Document/InvstgtnReq/InvstgtnReq/Undrlyg/{Initn|IntrBk|StmtNtry|Acct|Othr}</t>
  </si>
  <si>
    <t>Cam.110– Thieu field :Document/InvstgtnReq/InvstgtnReq/Rqstr/{Pty|Agt} → errorCode=03</t>
  </si>
  <si>
    <t>Auth hop le;
Body Cam.110 KHONG co tag :Document/InvstgtnReq/InvstgtnReq/Rqstr/{Pty|Agt}
Cac field mandatory khac day du</t>
  </si>
  <si>
    <t>1. Chuan bi body dien Cam.110 dung chuan SWIFT
2. XOA tag :Document/InvstgtnReq/InvstgtnReq/Rqstr/{Pty|Agt} khoi body dien
   (cac field mandatory khac van giu nguyen)
3. Gui POST request voi transactionType=MX_IN /MX_OUT
4. Verify: HTTP 200, result=ERROR, errorCode=03</t>
  </si>
  <si>
    <t>Headers:
Authorization: Basic a3ljYWRtbjpwYXNzd29yZDM=
Content-Type: application/xml
Params:
  transactionId: TF_AML_CAM110_MND_03
  requestId:     REQ_AML_CAM110_MND_03
  transactionType: MX_IN/MX_OUT
  branchCd: HN
  channel: T24
  isCallBack: N
Body: Dien Cam.110dung chuan SWIFT
Field bi THIEU: :Document/InvstgtnReq/InvstgtnReq/Rqstr/{Pty|Agt}</t>
  </si>
  <si>
    <t>AML_CAM110_MND_07</t>
  </si>
  <si>
    <t>Cam.110– Thieu field :Document/InvstgtnReq/InvstgtnReq/Rspndr/{Pty|Agt} → errorCode=03</t>
  </si>
  <si>
    <t>Auth hop le;
Body Cam.110 KHONG co tag :Document/InvstgtnReq/InvstgtnReq/Rspndr/{Pty|Agt}
Cac field mandatory khac day du</t>
  </si>
  <si>
    <t>1. Chuan bi body dien Cam.110 dung chuan SWIFT
2. XOA tag :Document/InvstgtnReq/InvstgtnReq/Rspndr/{Pty|Agt} khoi body dien
   (cac field mandatory khac van giu nguyen)
3. Gui POST request voi transactionType=MX_IN /MX_OUT
4. Verify: HTTP 200, result=ERROR, errorCode=03</t>
  </si>
  <si>
    <t>Headers:
Authorization: Basic a3ljYWRtbjpwYXNzd29yZDM=
Content-Type: application/xml
Params:
  transactionId: TF_AML_CAM110_MND_03
  requestId:     REQ_AML_CAM110_MND_03
  transactionType: MX_IN/MX_OUT
  branchCd: HN
  channel: T24
  isCallBack: N
Body: Dien Cam.110dung chuan SWIFT
Field bi THIEU: :Document/InvstgtnReq/InvstgtnReq/Rspndr/{Pty|Agt}</t>
  </si>
  <si>
    <t>AML_CAM110_MND_08</t>
  </si>
  <si>
    <t>Cam.110– Thieu field :Document/InvstgtnReq/InvstgtnData/Rsn/{Cd|Prtry} → errorCode=03</t>
  </si>
  <si>
    <t>Auth hop le;
Body Cam.110 KHONG co tag :Document/InvstgtnReq/InvstgtnData/Rsn/{Cd|Prtry}
Cac field mandatory khac day du</t>
  </si>
  <si>
    <t>1. Chuan bi body dien Cam.110 dung chuan SWIFT
2. XOA tag :Document/InvstgtnReq/InvstgtnData/Rsn/{Cd|Prtry} khoi body dien
   (cac field mandatory khac van giu nguyen)
3. Gui POST request voi transactionType=MX_IN /MX_OUT
4. Verify: HTTP 200, result=ERROR, errorCode=03</t>
  </si>
  <si>
    <t>Headers:
Authorization: Basic a3ljYWRtbjpwYXNzd29yZDM=
Content-Type: application/xml
Params:
  transactionId: TF_AML_CAM110_MND_03
  requestId:     REQ_AML_CAM110_MND_03
  transactionType: MX_IN/MX_OUT
  branchCd: HN
  channel: T24
  isCallBack: N
Body: Dien Cam.110dung chuan SWIFT
Field bi THIEU: :Document/InvstgtnReq/InvstgtnData/Rsn/{Cd|Prtry}</t>
  </si>
  <si>
    <t xml:space="preserve">    AML_CAM111_MND  Kiem tra field mandatory cho dien CAM111( 6 field : Document/InvstgtnRspn/InvstgtnRspn/MsgId,Document/InvstgtnRspn/InvstgtnRspn/InvstgtnSts/Sts,Document/InvstgtnRspn/OrgnlInvstgtnReq/MsgId,Document/InvstgtnRspn/OrgnlInvstgtnReq/InvstgtnTp/{Cd|Prtry},Document/InvstgtnRspn/OrgnlInvstgtnReq/Rqstr/{Pty|Agt},Document/InvstgtnRspn/OrgnlInvstgtnReq/Rspndr/{Pty|Agt})</t>
  </si>
  <si>
    <t>Cam.111– Gui dien hop le day du 6 field mandatory (baseline)</t>
  </si>
  <si>
    <t>Auth hop le;
Body dien Cam.111 co du 6 field mandatory:
Document/InvstgtnRspn/InvstgtnRspn/MsgId
Document/InvstgtnRspn/InvstgtnRspn/InvstgtnSts/Sts
Document/InvstgtnRspn/OrgnlInvstgtnReq/MsgId
Document/InvstgtnRspn/OrgnlInvstgtnReq/InvstgtnTp/{Cd|Prtry}
Document/InvstgtnRspn/OrgnlInvstgtnReq/Rqstr/{Pty|Agt}
Document/InvstgtnRspn/OrgnlInvstgtnReq/Rspndr/{Pty|Agt}</t>
  </si>
  <si>
    <t>1. Chuan bi body dien Cam.111 day du chuan SWIFT co du tat ca 2 field mandatory:
Document/InvstgtnRspn/InvstgtnRspn/MsgId
Document/InvstgtnRspn/InvstgtnRspn/InvstgtnSts/Sts
Document/InvstgtnRspn/OrgnlInvstgtnReq/MsgId
Document/InvstgtnRspn/OrgnlInvstgtnReq/InvstgtnTp/{Cd|Prtry}
Document/InvstgtnRspn/OrgnlInvstgtnReq/Rqstr/{Pty|Agt}
Document/InvstgtnRspn/OrgnlInvstgtnReq/Rspndr/{Pty|Agt}
2. Gui POST request voi transactionType= MX_IN/MX_OUT
3. Verify: HTTP 200, errorCode=00
4. Day la baseline – dung de so sanh voi cac TC loi</t>
  </si>
  <si>
    <t>Headers:
Authorization: Basic a3ljYWRtbjpwYXNzd29yZDM=
Content-Type: application/xml
Params:
  transactionId: TF_AML_CAM111_MND_01
  requestId:     REQ_AML_CAM111_MND_01
  transactionType: MX_IN/MX_OUT
  branchCd: HN
  channel: T24
  isCallBack: N
Body: Dien Cam.111theo chuan SWIFT
Co du 6 field mandatory:
Document/InvstgtnRspn/InvstgtnRspn/MsgId
Document/InvstgtnRspn/InvstgtnRspn/InvstgtnSts/Sts
Document/InvstgtnRspn/OrgnlInvstgtnReq/MsgId
Document/InvstgtnRspn/OrgnlInvstgtnReq/InvstgtnTp/{Cd|Prtry}
Document/InvstgtnRspn/OrgnlInvstgtnReq/Rqstr/{Pty|Agt}
Document/InvstgtnRspn/OrgnlInvstgtnReq/Rspndr/{Pty|Agt}</t>
  </si>
  <si>
    <t>Cam.111– Thieu tat ca 6 field mandatory → errorCode=03</t>
  </si>
  <si>
    <t>Auth hop le;
Body dien Cam.111 bi xoa toan bo field mandatory</t>
  </si>
  <si>
    <t>1. Chuan bi body dien Cam.111 dung chuan SWIFT
2. Xoa toan bo 6 field mandatory:
Document/InvstgtnRspn/InvstgtnRspn/MsgId
Document/InvstgtnRspn/InvstgtnRspn/InvstgtnSts/Sts
Document/InvstgtnRspn/OrgnlInvstgtnReq/MsgId
Document/InvstgtnRspn/OrgnlInvstgtnReq/InvstgtnTp/{Cd|Prtry}
Document/InvstgtnRspn/OrgnlInvstgtnReq/Rqstr/{Pty|Agt}
Document/InvstgtnRspn/OrgnlInvstgtnReq/Rspndr/{Pty|Agt}
3. Gui POST request voi transactionType=MX_IN/MX_OUT
4. Verify: HTTP 200, result=ERROR, errorCode=03</t>
  </si>
  <si>
    <t>Headers:
Authorization: Basic a3ljYWRtbjpwYXNzd29yZDM=
Content-Type: application/xml
Params:
  transactionId: TF_AML_CAM111_MND_01
  requestId:     REQ_AML_CAM111_MND_01
  transactionType: MX_IN/MX_OUT
  branchCd: HN
  channel: T24
  isCallBack: N
Body: Dien Cam.111theo chuan SWIFT
Xoa bo 6 field mandatory:
Document/InvstgtnRspn/InvstgtnRspn/MsgId
Document/InvstgtnRspn/InvstgtnRspn/InvstgtnSts/Sts
Document/InvstgtnRspn/OrgnlInvstgtnReq/MsgId
Document/InvstgtnRspn/OrgnlInvstgtnReq/InvstgtnTp/{Cd|Prtry}
Document/InvstgtnRspn/OrgnlInvstgtnReq/Rqstr/{Pty|Agt}
Document/InvstgtnRspn/OrgnlInvstgtnReq/Rspndr/{Pty|Agt}</t>
  </si>
  <si>
    <t>Cam.111– Thieu field :Document/InvstgtnRspn/InvstgtnRspn/MsgId → errorCode=03</t>
  </si>
  <si>
    <t>Auth hop le;
Body Cam.111 KHONG co tag :Document/InvstgtnRspn/InvstgtnRspn/MsgId
Cac field mandatory khac day du</t>
  </si>
  <si>
    <t>1. Chuan bi body dien Cam.111 dung chuan SWIFT
2. XOA tag :Document/InvstgtnRspn/InvstgtnRspn/MsgId khoi body dien
   (cac field mandatory khac van giu nguyen)
3. Gui POST request voi transactionType=MX_IN /MX_OUT
4. Verify: HTTP 200, result=ERROR, errorCode=03</t>
  </si>
  <si>
    <t>Headers:
Authorization: Basic a3ljYWRtbjpwYXNzd29yZDM=
Content-Type: application/xml
Params:
  transactionId: TF_AML_CAM111_MND_03
  requestId:     REQ_AML_CAM111_MND_03
  transactionType: MX_IN/MX_OUT
  branchCd: HN
  channel: T24
  isCallBack: N
Body: Dien Cam.111dung chuan SWIFT
Field bi THIEU: :Document/InvstgtnRspn/InvstgtnRspn/MsgId</t>
  </si>
  <si>
    <t>Cam.111– Thieu field :Document/InvstgtnRspn/InvstgtnRspn/InvstgtnSts/Sts → errorCode=03</t>
  </si>
  <si>
    <t>Auth hop le;
Body Cam.111 KHONG co tag :Document/InvstgtnRspn/InvstgtnRspn/InvstgtnSts/Sts
Cac field mandatory khac day du</t>
  </si>
  <si>
    <t>1. Chuan bi body dien Cam.111 dung chuan SWIFT
2. XOA tag :Document/InvstgtnRspn/InvstgtnRspn/InvstgtnSts/Sts khoi body dien
   (cac field mandatory khac van giu nguyen)
3. Gui POST request voi transactionType=MX_IN /MX_OUT
4. Verify: HTTP 200, result=ERROR, errorCode=03</t>
  </si>
  <si>
    <t>Headers:
Authorization: Basic a3ljYWRtbjpwYXNzd29yZDM=
Content-Type: application/xml
Params:
  transactionId: TF_AML_CAM111_MND_03
  requestId:     REQ_AML_CAM111_MND_03
  transactionType: MX_IN/MX_OUT
  branchCd: HN
  channel: T24
  isCallBack: N
Body: Dien Cam.111dung chuan SWIFT
Field bi THIEU: :Document/InvstgtnRspn/InvstgtnRspn/InvstgtnSts/Sts</t>
  </si>
  <si>
    <t>Cam.111– Thieu field :Document/InvstgtnRspn/OrgnlInvstgtnReq/MsgId → errorCode=03</t>
  </si>
  <si>
    <t>Auth hop le;
Body Cam.111KHONG co tag :Document/InvstgtnRspn/OrgnlInvstgtnReq/MsgId
Cac field mandatory khac day du</t>
  </si>
  <si>
    <t>1. Chuan bi body dien Cam.111 dung chuan SWIFT
2. XOA tag :Document/InvstgtnRspn/OrgnlInvstgtnReq/MsgId khoi body dien
   (cac field mandatory khac van giu nguyen)
3. Gui POST request voi transactionType=MX_IN /MX_OUT
4. Verify: HTTP 200, result=ERROR, errorCode=03</t>
  </si>
  <si>
    <t>Headers:
Authorization: Basic a3ljYWRtbjpwYXNzd29yZDM=
Content-Type: application/xml
Params:
  transactionId: TF_AML_CAM111_MND_03
  requestId:     REQ_AML_CAM111_MND_03
  transactionType: MX_IN/MX_OUT
  branchCd: HN
  channel: T24
  isCallBack: N
Body: Dien Cam.111dung chuan SWIFT
Field bi THIEU: :Document/InvstgtnRspn/OrgnlInvstgtnReq/MsgId</t>
  </si>
  <si>
    <t>Cam.111– Thieu field :Document/InvstgtnRspn/OrgnlInvstgtnReq/InvstgtnTp/{Cd|Prtry} → errorCode=03</t>
  </si>
  <si>
    <t>Auth hop le;
Body Cam.111 KHONG co tag :Document/InvstgtnRspn/OrgnlInvstgtnReq/InvstgtnTp/{Cd|Prtry}
Cac field mandatory khac day du</t>
  </si>
  <si>
    <t>1. Chuan bi body dien Cam.111 dung chuan SWIFT
2. XOA tag :Document/InvstgtnRspn/OrgnlInvstgtnReq/InvstgtnTp/{Cd|Prtry} khoi body dien
   (cac field mandatory khac van giu nguyen)
3. Gui POST request voi transactionType=MX_IN /MX_OUT
4. Verify: HTTP 200, result=ERROR, errorCode=03</t>
  </si>
  <si>
    <t>Headers:
Authorization: Basic a3ljYWRtbjpwYXNzd29yZDM=
Content-Type: application/xml
Params:
  transactionId: TF_AML_CAM111_MND_03
  requestId:     REQ_AML_CAM111_MND_03
  transactionType: MX_IN/MX_OUT
  branchCd: HN
  channel: T24
  isCallBack: N
Body: Dien Cam.111dung chuan SWIFT
Field bi THIEU: :Document/InvstgtnRspn/OrgnlInvstgtnReq/InvstgtnTp/{Cd|Prtry}</t>
  </si>
  <si>
    <t>AML_CAM111_MND_07</t>
  </si>
  <si>
    <t>Cam.111– Thieu field :Document/InvstgtnRspn/OrgnlInvstgtnReq/Rqstr/{Pty|Agt} → errorCode=03</t>
  </si>
  <si>
    <t>Auth hop le;
Body Cam.111 KHONG co tag :Document/InvstgtnRspn/OrgnlInvstgtnReq/Rqstr/{Pty|Agt}
Cac field mandatory khac day du</t>
  </si>
  <si>
    <t>1. Chuan bi body dien Cam.111 dung chuan SWIFT
2. XOA tag :Document/InvstgtnRspn/OrgnlInvstgtnReq/Rqstr/{Pty|Agt} khoi body dien
   (cac field mandatory khac van giu nguyen)
3. Gui POST request voi transactionType=MX_IN /MX_OUT
4. Verify: HTTP 200, result=ERROR, errorCode=03</t>
  </si>
  <si>
    <t>Headers:
Authorization: Basic a3ljYWRtbjpwYXNzd29yZDM=
Content-Type: application/xml
Params:
  transactionId: TF_AML_CAM111_MND_03
  requestId:     REQ_AML_CAM111_MND_03
  transactionType: MX_IN/MX_OUT
  branchCd: HN
  channel: T24
  isCallBack: N
Body: Dien Cam.111dung chuan SWIFT
Field bi THIEU: :Document/InvstgtnRspn/OrgnlInvstgtnReq/Rqstr/{Pty|Agt}</t>
  </si>
  <si>
    <t>AML_CAM111_MND_08</t>
  </si>
  <si>
    <t>Cam.111– Thieu field :Document/InvstgtnRspn/OrgnlInvstgtnReq/Rspndr/{Pty|Agt} → errorCode=03</t>
  </si>
  <si>
    <t>Auth hop le;
Body Cam.111 KHONG co tag :Document/InvstgtnRspn/OrgnlInvstgtnReq/Rspndr/{Pty|Agt}
Cac field mandatory khac day du</t>
  </si>
  <si>
    <t>1. Chuan bi body dien Cam.111 dung chuan SWIFT
2. XOA tag :Document/InvstgtnRspn/OrgnlInvstgtnReq/Rspndr/{Pty|Agt} khoi body dien
   (cac field mandatory khac van giu nguyen)
3. Gui POST request voi transactionType=MX_IN /MX_OUT
4. Verify: HTTP 200, result=ERROR, errorCode=03</t>
  </si>
  <si>
    <t>Headers:
Authorization: Basic a3ljYWRtbjpwYXNzd29yZDM=
Content-Type: application/xml
Params:
  transactionId: TF_AML_CAM111_MND_03
  requestId:     REQ_AML_CAM111_MND_03
  transactionType: MX_IN/MX_OUT
  branchCd: HN
  channel: T24
  isCallBack: N
Body: Dien Cam.111dung chuan SWIFT
Field bi THIEU: :Document/InvstgtnRspn/OrgnlInvstgtnReq/Rspndr/{Pty|Agt}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</si>
</sst>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d\-mmm\-yy;@"/>
  </numFmts>
  <fonts count="40">
    <font>
      <sz val="11"/>
      <color theme="1"/>
      <name val="Calibri"/>
      <family val="2"/>
      <scheme val="minor"/>
    </font>
    <font>
      <b/>
      <sz val="13"/>
      <color rgb="FFFFFFFF"/>
      <name val="Calibri"/>
    </font>
    <font>
      <sz val="9"/>
      <color rgb="FF000000"/>
      <name val="Calibri"/>
    </font>
    <font>
      <b/>
      <sz val="10"/>
      <color rgb="FFFFFFFF"/>
      <name val="Calibri"/>
    </font>
    <font>
      <b/>
      <sz val="10"/>
      <color rgb="FF1F4E79"/>
      <name val="Calibri"/>
    </font>
    <font>
      <b/>
      <sz val="9"/>
      <color rgb="FF7F6000"/>
      <name val="Calibri"/>
    </font>
    <font>
      <b/>
      <sz val="9"/>
      <color rgb="FFFF0000"/>
      <name val="Calibri"/>
    </font>
    <font>
      <sz val="12"/>
      <color rgb="FF000000"/>
      <name val="Times New Roman"/>
      <family val="1"/>
    </font>
    <font>
      <b/>
      <sz val="9"/>
      <color rgb="FF833C00"/>
      <name val="Calibri"/>
    </font>
    <font>
      <b/>
      <sz val="9"/>
      <color rgb="FF375623"/>
      <name val="Calibri"/>
    </font>
    <font>
      <sz val="8"/>
      <name val="Calibri"/>
      <family val="2"/>
      <scheme val="minor"/>
    </font>
    <font>
      <b/>
      <sz val="12"/>
      <color rgb="FF1F497D"/>
      <name val="Times New Roman"/>
      <family val="1"/>
    </font>
    <font>
      <sz val="11"/>
      <color rgb="FF000000"/>
      <name val="Calibri"/>
      <family val="2"/>
      <charset val="1"/>
    </font>
    <font>
      <b/>
      <sz val="12"/>
      <color rgb="FF000000"/>
      <name val="Times New Roman"/>
      <family val="1"/>
    </font>
    <font>
      <sz val="12"/>
      <name val="Times New Roman"/>
      <family val="1"/>
    </font>
    <font>
      <b/>
      <sz val="12"/>
      <name val="Times New Roman"/>
      <family val="1"/>
    </font>
    <font>
      <sz val="11"/>
      <name val="ＭＳ Ｐゴシック"/>
      <family val="3"/>
      <charset val="128"/>
    </font>
    <font>
      <b/>
      <sz val="11"/>
      <name val="Times New Roman"/>
      <family val="1"/>
    </font>
    <font>
      <b/>
      <sz val="11"/>
      <color rgb="FFC00000"/>
      <name val="Times New Roman"/>
      <family val="1"/>
    </font>
    <font>
      <sz val="11"/>
      <name val="明朝"/>
      <family val="1"/>
      <charset val="128"/>
    </font>
    <font>
      <sz val="11"/>
      <name val="Times New Roman"/>
      <family val="1"/>
    </font>
    <font>
      <b/>
      <sz val="12"/>
      <color rgb="FFFFFFFF"/>
      <name val="Times New Roman"/>
      <family val="1"/>
    </font>
    <font>
      <sz val="12"/>
      <color theme="1"/>
      <name val="Times New Roman"/>
      <family val="1"/>
    </font>
    <font>
      <b/>
      <sz val="11"/>
      <color rgb="FF1F4E78"/>
      <name val="Times New Roman"/>
      <family val="1"/>
    </font>
    <font>
      <sz val="11"/>
      <color theme="1"/>
      <name val="Calibri"/>
      <scheme val="minor"/>
    </font>
    <font>
      <sz val="11"/>
      <color rgb="FF000000"/>
      <name val="Times New Roman"/>
      <family val="1"/>
      <charset val="163"/>
    </font>
    <font>
      <sz val="11"/>
      <color theme="1"/>
      <name val="Times New Roman"/>
      <family val="1"/>
    </font>
    <font>
      <sz val="11"/>
      <color theme="1"/>
      <name val="Times New Roman"/>
      <family val="1"/>
      <charset val="163"/>
    </font>
    <font>
      <sz val="11"/>
      <color rgb="FF000000"/>
      <name val="Times New Roman"/>
      <family val="1"/>
    </font>
    <font>
      <b/>
      <sz val="12"/>
      <color rgb="FF000000"/>
      <name val="Times New Roman"/>
      <family val="1"/>
      <charset val="1"/>
    </font>
    <font>
      <sz val="12"/>
      <color theme="1"/>
      <name val="Times New Roman"/>
      <family val="1"/>
      <charset val="1"/>
    </font>
    <font>
      <sz val="11"/>
      <name val="Times New Roman"/>
      <family val="1"/>
      <charset val="1"/>
    </font>
    <font>
      <sz val="12"/>
      <color rgb="FF000000"/>
      <name val="Times New Roman"/>
      <family val="1"/>
      <charset val="1"/>
    </font>
    <font>
      <b/>
      <sz val="11"/>
      <color rgb="FF1F4E78"/>
      <name val="Times New Roman"/>
      <family val="1"/>
      <charset val="1"/>
    </font>
    <font>
      <sz val="9"/>
      <color rgb="FF0451A5"/>
      <name val="IBMPlexMono,  Courier New"/>
      <family val="3"/>
      <charset val="1"/>
    </font>
    <font>
      <sz val="9"/>
      <color theme="1"/>
      <name val="Calibri"/>
      <family val="2"/>
      <scheme val="minor"/>
    </font>
    <font>
      <sz val="9"/>
      <color rgb="FF000000"/>
      <name val="Calibri"/>
      <family val="2"/>
    </font>
    <font>
      <b/>
      <sz val="11"/>
      <color theme="1"/>
      <name val="Calibri"/>
      <family val="2"/>
      <scheme val="minor"/>
    </font>
    <font>
      <b/>
      <sz val="9"/>
      <color rgb="FF000000"/>
      <name val="Calibri"/>
    </font>
    <font>
      <sz val="11"/>
      <color rgb="FF000000"/>
      <name val="Calibri"/>
      <family val="2"/>
      <scheme val="minor"/>
    </font>
  </fonts>
  <fills count="22">
    <fill>
      <patternFill patternType="none"/>
    </fill>
    <fill>
      <patternFill patternType="gray125"/>
    </fill>
    <fill>
      <patternFill patternType="solid">
        <fgColor rgb="FF1F4E79"/>
      </patternFill>
    </fill>
    <fill>
      <patternFill patternType="solid">
        <fgColor rgb="FFEBF3FB"/>
      </patternFill>
    </fill>
    <fill>
      <patternFill patternType="solid">
        <fgColor rgb="FF2E75B6"/>
      </patternFill>
    </fill>
    <fill>
      <patternFill patternType="solid">
        <fgColor rgb="FFBDD7EE"/>
      </patternFill>
    </fill>
    <fill>
      <patternFill patternType="solid">
        <fgColor rgb="FFFFFFFF"/>
      </patternFill>
    </fill>
    <fill>
      <patternFill patternType="solid">
        <fgColor rgb="FFFFE699"/>
      </patternFill>
    </fill>
    <fill>
      <patternFill patternType="solid">
        <fgColor theme="6" tint="0.39997558519241921"/>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rgb="FFF4B183"/>
      </patternFill>
    </fill>
    <fill>
      <patternFill patternType="solid">
        <fgColor rgb="FFC6EFCE"/>
      </patternFill>
    </fill>
    <fill>
      <patternFill patternType="solid">
        <fgColor rgb="FFF8CBAD"/>
      </patternFill>
    </fill>
    <fill>
      <patternFill patternType="solid">
        <fgColor theme="0"/>
        <bgColor indexed="64"/>
      </patternFill>
    </fill>
    <fill>
      <patternFill patternType="solid">
        <fgColor rgb="FFFFF2CC"/>
      </patternFill>
    </fill>
    <fill>
      <patternFill patternType="solid">
        <fgColor rgb="FF2F5597"/>
      </patternFill>
    </fill>
    <fill>
      <patternFill patternType="solid">
        <fgColor rgb="FF7030A0"/>
      </patternFill>
    </fill>
    <fill>
      <patternFill patternType="solid">
        <fgColor rgb="FFE2EFDA"/>
      </patternFill>
    </fill>
    <fill>
      <patternFill patternType="solid">
        <fgColor rgb="FFE2EFDA"/>
        <bgColor rgb="FFDBEEF4"/>
      </patternFill>
    </fill>
    <fill>
      <patternFill patternType="solid">
        <fgColor rgb="FFFFF2CC"/>
        <bgColor rgb="FFE2EFDA"/>
      </patternFill>
    </fill>
    <fill>
      <patternFill patternType="solid">
        <fgColor rgb="FFFFFF00"/>
        <bgColor indexed="64"/>
      </patternFill>
    </fill>
  </fills>
  <borders count="17">
    <border>
      <left/>
      <right/>
      <top/>
      <bottom/>
      <diagonal/>
    </border>
    <border>
      <left style="thin">
        <color rgb="FFAAAAAA"/>
      </left>
      <right style="thin">
        <color rgb="FFAAAAAA"/>
      </right>
      <top style="thin">
        <color rgb="FFAAAAAA"/>
      </top>
      <bottom style="thin">
        <color rgb="FFAAAAAA"/>
      </bottom>
      <diagonal/>
    </border>
    <border>
      <left style="thin">
        <color rgb="FFAAAAAA"/>
      </left>
      <right/>
      <top style="thin">
        <color rgb="FFAAAAAA"/>
      </top>
      <bottom style="thin">
        <color rgb="FFAAAAAA"/>
      </bottom>
      <diagonal/>
    </border>
    <border>
      <left/>
      <right/>
      <top style="thin">
        <color rgb="FFAAAAAA"/>
      </top>
      <bottom style="thin">
        <color rgb="FFAAAAAA"/>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thin">
        <color indexed="64"/>
      </left>
      <right style="thin">
        <color indexed="64"/>
      </right>
      <top style="thin">
        <color indexed="64"/>
      </top>
      <bottom style="thin">
        <color indexed="64"/>
      </bottom>
      <diagonal/>
    </border>
    <border>
      <left style="thin">
        <color rgb="FF808080"/>
      </left>
      <right style="thin">
        <color rgb="FF808080"/>
      </right>
      <top style="thin">
        <color rgb="FF808080"/>
      </top>
      <bottom style="thin">
        <color rgb="FF808080"/>
      </bottom>
      <diagonal/>
    </border>
    <border>
      <left style="thin">
        <color rgb="FF000000"/>
      </left>
      <right style="thin">
        <color rgb="FF000000"/>
      </right>
      <top style="thin">
        <color rgb="FF000000"/>
      </top>
      <bottom style="thin">
        <color rgb="FF000000"/>
      </bottom>
      <diagonal/>
    </border>
    <border>
      <left/>
      <right style="thin">
        <color rgb="FF808080"/>
      </right>
      <top/>
      <bottom style="thin">
        <color rgb="FF808080"/>
      </bottom>
      <diagonal/>
    </border>
    <border>
      <left style="thin">
        <color rgb="FF808080"/>
      </left>
      <right style="thin">
        <color rgb="FF808080"/>
      </right>
      <top/>
      <bottom style="thin">
        <color rgb="FF808080"/>
      </bottom>
      <diagonal/>
    </border>
    <border>
      <left/>
      <right style="thin">
        <color rgb="FF808080"/>
      </right>
      <top style="thin">
        <color rgb="FF808080"/>
      </top>
      <bottom style="thin">
        <color rgb="FF808080"/>
      </bottom>
      <diagonal/>
    </border>
    <border>
      <left/>
      <right/>
      <top/>
      <bottom style="thin">
        <color rgb="FF808080"/>
      </bottom>
      <diagonal/>
    </border>
    <border>
      <left style="thin">
        <color rgb="FFAAAAAA"/>
      </left>
      <right style="thin">
        <color rgb="FFAAAAAA"/>
      </right>
      <top style="thin">
        <color rgb="FFAAAAAA"/>
      </top>
      <bottom/>
      <diagonal/>
    </border>
    <border>
      <left style="thin">
        <color rgb="FF000000"/>
      </left>
      <right style="thin">
        <color rgb="FF000000"/>
      </right>
      <top style="thin">
        <color rgb="FF000000"/>
      </top>
      <bottom/>
      <diagonal/>
    </border>
  </borders>
  <cellStyleXfs count="5">
    <xf numFmtId="0" fontId="0" fillId="0" borderId="0"/>
    <xf numFmtId="164" fontId="12" fillId="0" borderId="0"/>
    <xf numFmtId="164" fontId="16" fillId="0" borderId="0"/>
    <xf numFmtId="164" fontId="19" fillId="0" borderId="0"/>
    <xf numFmtId="0" fontId="24" fillId="0" borderId="0"/>
  </cellStyleXfs>
  <cellXfs count="119">
    <xf numFmtId="0" fontId="0" fillId="0" borderId="0" xfId="0"/>
    <xf numFmtId="0" fontId="3" fillId="2" borderId="1" xfId="0" applyFont="1" applyFill="1" applyBorder="1" applyAlignment="1">
      <alignment horizontal="center" vertical="center" wrapText="1"/>
    </xf>
    <xf numFmtId="0" fontId="0" fillId="0" borderId="0" xfId="0" applyAlignment="1">
      <alignment vertical="top"/>
    </xf>
    <xf numFmtId="0" fontId="6" fillId="8"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6" fillId="9" borderId="1" xfId="0" applyFont="1" applyFill="1" applyBorder="1" applyAlignment="1">
      <alignment horizontal="center" vertical="center" wrapText="1"/>
    </xf>
    <xf numFmtId="0" fontId="6" fillId="10" borderId="1" xfId="0" applyFont="1" applyFill="1" applyBorder="1" applyAlignment="1">
      <alignment horizontal="center" vertical="center" wrapText="1"/>
    </xf>
    <xf numFmtId="164" fontId="7" fillId="0" borderId="0" xfId="0" applyNumberFormat="1" applyFont="1" applyAlignment="1">
      <alignment vertical="center" wrapText="1"/>
    </xf>
    <xf numFmtId="0" fontId="2" fillId="6" borderId="6" xfId="0" applyFont="1" applyFill="1" applyBorder="1" applyAlignment="1">
      <alignment horizontal="center" vertical="top" wrapText="1"/>
    </xf>
    <xf numFmtId="0" fontId="2" fillId="6" borderId="6" xfId="0" applyFont="1" applyFill="1" applyBorder="1" applyAlignment="1">
      <alignment horizontal="left" vertical="top" wrapText="1"/>
    </xf>
    <xf numFmtId="0" fontId="5" fillId="7" borderId="6" xfId="0" applyFont="1" applyFill="1" applyBorder="1" applyAlignment="1">
      <alignment horizontal="center" vertical="top" wrapText="1"/>
    </xf>
    <xf numFmtId="0" fontId="2" fillId="6" borderId="8" xfId="0" applyFont="1" applyFill="1" applyBorder="1" applyAlignment="1">
      <alignment horizontal="center" vertical="top" wrapText="1"/>
    </xf>
    <xf numFmtId="0" fontId="2" fillId="6" borderId="8" xfId="0" applyFont="1" applyFill="1" applyBorder="1" applyAlignment="1">
      <alignment horizontal="left" vertical="top" wrapText="1"/>
    </xf>
    <xf numFmtId="164" fontId="11" fillId="0" borderId="9" xfId="0" applyNumberFormat="1" applyFont="1" applyBorder="1" applyAlignment="1">
      <alignment horizontal="left" vertical="center" wrapText="1"/>
    </xf>
    <xf numFmtId="164" fontId="11" fillId="0" borderId="8" xfId="0" applyNumberFormat="1" applyFont="1" applyBorder="1" applyAlignment="1">
      <alignment horizontal="left" vertical="center" wrapText="1"/>
    </xf>
    <xf numFmtId="164" fontId="13" fillId="0" borderId="8" xfId="1" applyFont="1" applyBorder="1" applyAlignment="1">
      <alignment horizontal="left" vertical="center" wrapText="1"/>
    </xf>
    <xf numFmtId="49" fontId="13" fillId="0" borderId="0" xfId="1" applyNumberFormat="1" applyFont="1" applyAlignment="1">
      <alignment horizontal="left" vertical="center" wrapText="1"/>
    </xf>
    <xf numFmtId="164" fontId="14" fillId="0" borderId="0" xfId="1" applyFont="1" applyAlignment="1">
      <alignment horizontal="left" vertical="center" wrapText="1"/>
    </xf>
    <xf numFmtId="164" fontId="7" fillId="0" borderId="0" xfId="0" applyNumberFormat="1" applyFont="1" applyAlignment="1">
      <alignment horizontal="center" vertical="center" wrapText="1"/>
    </xf>
    <xf numFmtId="164" fontId="7" fillId="0" borderId="0" xfId="0" applyNumberFormat="1" applyFont="1" applyAlignment="1">
      <alignment horizontal="left" vertical="center" wrapText="1"/>
    </xf>
    <xf numFmtId="0" fontId="15" fillId="0" borderId="8" xfId="0" applyFont="1" applyBorder="1" applyAlignment="1">
      <alignment horizontal="left" vertical="center" wrapText="1"/>
    </xf>
    <xf numFmtId="164" fontId="15" fillId="0" borderId="8" xfId="1" applyFont="1" applyBorder="1" applyAlignment="1">
      <alignment horizontal="left" vertical="center" wrapText="1"/>
    </xf>
    <xf numFmtId="0" fontId="14" fillId="0" borderId="0" xfId="0" applyFont="1" applyAlignment="1">
      <alignment horizontal="center" vertical="center" wrapText="1"/>
    </xf>
    <xf numFmtId="0" fontId="14" fillId="0" borderId="0" xfId="0" applyFont="1" applyAlignment="1">
      <alignment vertical="center" wrapText="1"/>
    </xf>
    <xf numFmtId="0" fontId="14" fillId="0" borderId="0" xfId="0" applyFont="1" applyAlignment="1">
      <alignment horizontal="left" vertical="center" wrapText="1"/>
    </xf>
    <xf numFmtId="164" fontId="15" fillId="13" borderId="9" xfId="2" applyFont="1" applyFill="1" applyBorder="1" applyAlignment="1">
      <alignment horizontal="center" vertical="top" wrapText="1"/>
    </xf>
    <xf numFmtId="1" fontId="17" fillId="5" borderId="9" xfId="2" applyNumberFormat="1" applyFont="1" applyFill="1" applyBorder="1" applyAlignment="1">
      <alignment horizontal="center" vertical="center" wrapText="1"/>
    </xf>
    <xf numFmtId="0" fontId="14" fillId="14" borderId="0" xfId="0" applyFont="1" applyFill="1" applyAlignment="1">
      <alignment vertical="top" wrapText="1"/>
    </xf>
    <xf numFmtId="164" fontId="14" fillId="14" borderId="0" xfId="1" applyFont="1" applyFill="1" applyAlignment="1">
      <alignment wrapText="1"/>
    </xf>
    <xf numFmtId="0" fontId="14" fillId="14" borderId="0" xfId="0" applyFont="1" applyFill="1" applyAlignment="1">
      <alignment horizontal="center" vertical="center" wrapText="1"/>
    </xf>
    <xf numFmtId="0" fontId="15" fillId="13" borderId="9" xfId="0" applyFont="1" applyFill="1" applyBorder="1" applyAlignment="1">
      <alignment horizontal="left" vertical="top" wrapText="1"/>
    </xf>
    <xf numFmtId="1" fontId="18" fillId="15" borderId="9" xfId="0" applyNumberFormat="1" applyFont="1" applyFill="1" applyBorder="1" applyAlignment="1">
      <alignment horizontal="center" vertical="center" wrapText="1"/>
    </xf>
    <xf numFmtId="164" fontId="17" fillId="13" borderId="9" xfId="3" applyFont="1" applyFill="1" applyBorder="1" applyAlignment="1">
      <alignment horizontal="left" vertical="center" wrapText="1"/>
    </xf>
    <xf numFmtId="1" fontId="20" fillId="0" borderId="9" xfId="3" applyNumberFormat="1" applyFont="1" applyBorder="1" applyAlignment="1">
      <alignment horizontal="center" vertical="center" wrapText="1"/>
    </xf>
    <xf numFmtId="0" fontId="14" fillId="0" borderId="0" xfId="0" applyFont="1" applyAlignment="1">
      <alignment vertical="top" wrapText="1"/>
    </xf>
    <xf numFmtId="164" fontId="14" fillId="0" borderId="0" xfId="1" applyFont="1" applyAlignment="1">
      <alignment wrapText="1"/>
    </xf>
    <xf numFmtId="0" fontId="21" fillId="16" borderId="9" xfId="0" applyFont="1" applyFill="1" applyBorder="1" applyAlignment="1">
      <alignment horizontal="center" vertical="center" wrapText="1"/>
    </xf>
    <xf numFmtId="0" fontId="21" fillId="17" borderId="9" xfId="0" applyFont="1" applyFill="1" applyBorder="1" applyAlignment="1">
      <alignment horizontal="center" vertical="center" wrapText="1"/>
    </xf>
    <xf numFmtId="0" fontId="22" fillId="0" borderId="0" xfId="0" applyFont="1" applyAlignment="1">
      <alignment horizontal="center"/>
    </xf>
    <xf numFmtId="0" fontId="13" fillId="18" borderId="9" xfId="0" applyFont="1" applyFill="1" applyBorder="1" applyAlignment="1">
      <alignment horizontal="center" vertical="center" wrapText="1"/>
    </xf>
    <xf numFmtId="0" fontId="13" fillId="18" borderId="9" xfId="0" applyFont="1" applyFill="1" applyBorder="1" applyAlignment="1">
      <alignment horizontal="left" vertical="center"/>
    </xf>
    <xf numFmtId="0" fontId="22" fillId="0" borderId="0" xfId="0" applyFont="1"/>
    <xf numFmtId="0" fontId="23" fillId="0" borderId="10" xfId="0" applyFont="1" applyBorder="1" applyAlignment="1">
      <alignment horizontal="center" vertical="top" wrapText="1"/>
    </xf>
    <xf numFmtId="0" fontId="25" fillId="0" borderId="10" xfId="4" applyFont="1" applyBorder="1" applyAlignment="1">
      <alignment vertical="top" wrapText="1"/>
    </xf>
    <xf numFmtId="0" fontId="26" fillId="0" borderId="10" xfId="4" quotePrefix="1" applyFont="1" applyBorder="1" applyAlignment="1">
      <alignment horizontal="left" vertical="top" wrapText="1"/>
    </xf>
    <xf numFmtId="0" fontId="27" fillId="0" borderId="10" xfId="4" quotePrefix="1" applyFont="1" applyBorder="1" applyAlignment="1">
      <alignment vertical="top" wrapText="1"/>
    </xf>
    <xf numFmtId="0" fontId="20" fillId="0" borderId="10" xfId="0" applyFont="1" applyBorder="1" applyAlignment="1">
      <alignment horizontal="left" vertical="top" wrapText="1"/>
    </xf>
    <xf numFmtId="0" fontId="26" fillId="0" borderId="10" xfId="4" quotePrefix="1" applyFont="1" applyBorder="1" applyAlignment="1">
      <alignment vertical="top" wrapText="1"/>
    </xf>
    <xf numFmtId="0" fontId="20" fillId="0" borderId="10" xfId="0" applyFont="1" applyBorder="1" applyAlignment="1">
      <alignment horizontal="center" vertical="top" wrapText="1"/>
    </xf>
    <xf numFmtId="0" fontId="28" fillId="0" borderId="10" xfId="4" applyFont="1" applyBorder="1" applyAlignment="1">
      <alignment vertical="top" wrapText="1"/>
    </xf>
    <xf numFmtId="0" fontId="28" fillId="0" borderId="10" xfId="4" applyFont="1" applyBorder="1" applyAlignment="1">
      <alignment horizontal="left" vertical="top" wrapText="1"/>
    </xf>
    <xf numFmtId="0" fontId="29" fillId="19" borderId="8" xfId="0" applyFont="1" applyFill="1" applyBorder="1" applyAlignment="1">
      <alignment horizontal="center" vertical="center" wrapText="1"/>
    </xf>
    <xf numFmtId="0" fontId="29" fillId="19" borderId="11" xfId="0" applyFont="1" applyFill="1" applyBorder="1" applyAlignment="1">
      <alignment horizontal="left" vertical="center"/>
    </xf>
    <xf numFmtId="0" fontId="29" fillId="19" borderId="12" xfId="0" applyFont="1" applyFill="1" applyBorder="1" applyAlignment="1">
      <alignment horizontal="center" vertical="center" wrapText="1"/>
    </xf>
    <xf numFmtId="0" fontId="30" fillId="14" borderId="0" xfId="0" applyFont="1" applyFill="1"/>
    <xf numFmtId="0" fontId="29" fillId="14" borderId="8" xfId="0" applyFont="1" applyFill="1" applyBorder="1" applyAlignment="1">
      <alignment horizontal="center" vertical="center" wrapText="1"/>
    </xf>
    <xf numFmtId="0" fontId="29" fillId="14" borderId="11" xfId="0" applyFont="1" applyFill="1" applyBorder="1" applyAlignment="1">
      <alignment horizontal="left" vertical="center"/>
    </xf>
    <xf numFmtId="0" fontId="29" fillId="14" borderId="12" xfId="0" applyFont="1" applyFill="1" applyBorder="1" applyAlignment="1">
      <alignment horizontal="center" vertical="center" wrapText="1"/>
    </xf>
    <xf numFmtId="0" fontId="22" fillId="14" borderId="0" xfId="0" applyFont="1" applyFill="1" applyAlignment="1">
      <alignment horizontal="center"/>
    </xf>
    <xf numFmtId="0" fontId="29" fillId="20" borderId="12" xfId="0" applyFont="1" applyFill="1" applyBorder="1" applyAlignment="1">
      <alignment horizontal="center" vertical="center" wrapText="1"/>
    </xf>
    <xf numFmtId="0" fontId="29" fillId="20" borderId="9" xfId="0" applyFont="1" applyFill="1" applyBorder="1" applyAlignment="1">
      <alignment horizontal="left" vertical="center"/>
    </xf>
    <xf numFmtId="0" fontId="29" fillId="20" borderId="9" xfId="0" applyFont="1" applyFill="1" applyBorder="1" applyAlignment="1">
      <alignment horizontal="center" vertical="center" wrapText="1"/>
    </xf>
    <xf numFmtId="0" fontId="29" fillId="14" borderId="9" xfId="0" applyFont="1" applyFill="1" applyBorder="1" applyAlignment="1">
      <alignment horizontal="left" vertical="center"/>
    </xf>
    <xf numFmtId="0" fontId="29" fillId="14" borderId="9" xfId="0" applyFont="1" applyFill="1" applyBorder="1" applyAlignment="1">
      <alignment horizontal="center" vertical="center" wrapText="1"/>
    </xf>
    <xf numFmtId="0" fontId="22" fillId="14" borderId="0" xfId="0" applyFont="1" applyFill="1"/>
    <xf numFmtId="0" fontId="31" fillId="0" borderId="13" xfId="0" applyFont="1" applyBorder="1" applyAlignment="1">
      <alignment vertical="top" wrapText="1"/>
    </xf>
    <xf numFmtId="0" fontId="31" fillId="0" borderId="11" xfId="0" applyFont="1" applyBorder="1" applyAlignment="1">
      <alignment vertical="top" wrapText="1"/>
    </xf>
    <xf numFmtId="0" fontId="31" fillId="0" borderId="14" xfId="0" applyFont="1" applyBorder="1" applyAlignment="1">
      <alignment vertical="top" wrapText="1"/>
    </xf>
    <xf numFmtId="0" fontId="32" fillId="0" borderId="8" xfId="0" applyFont="1" applyBorder="1" applyAlignment="1">
      <alignment vertical="top"/>
    </xf>
    <xf numFmtId="0" fontId="33" fillId="0" borderId="9" xfId="0" applyFont="1" applyBorder="1" applyAlignment="1">
      <alignment horizontal="center" vertical="top" wrapText="1"/>
    </xf>
    <xf numFmtId="0" fontId="31" fillId="0" borderId="9" xfId="0" applyFont="1" applyBorder="1" applyAlignment="1">
      <alignment horizontal="left" vertical="top" wrapText="1"/>
    </xf>
    <xf numFmtId="0" fontId="2" fillId="6" borderId="6" xfId="0" quotePrefix="1" applyFont="1" applyFill="1" applyBorder="1" applyAlignment="1">
      <alignment horizontal="left" vertical="top" wrapText="1"/>
    </xf>
    <xf numFmtId="0" fontId="8" fillId="11" borderId="6" xfId="0" applyFont="1" applyFill="1" applyBorder="1" applyAlignment="1">
      <alignment horizontal="center" vertical="top" wrapText="1"/>
    </xf>
    <xf numFmtId="0" fontId="9" fillId="12" borderId="6" xfId="0" applyFont="1" applyFill="1" applyBorder="1" applyAlignment="1">
      <alignment horizontal="center" vertical="top" wrapText="1"/>
    </xf>
    <xf numFmtId="0" fontId="1" fillId="2" borderId="2" xfId="0" applyFont="1" applyFill="1" applyBorder="1" applyAlignment="1">
      <alignment horizontal="left" vertical="top" wrapText="1"/>
    </xf>
    <xf numFmtId="0" fontId="0" fillId="0" borderId="3" xfId="0" applyBorder="1"/>
    <xf numFmtId="0" fontId="34" fillId="0" borderId="0" xfId="0" applyFont="1" applyAlignment="1">
      <alignment wrapText="1"/>
    </xf>
    <xf numFmtId="1" fontId="20" fillId="14" borderId="0" xfId="3" applyNumberFormat="1" applyFont="1" applyFill="1" applyAlignment="1">
      <alignment horizontal="center" vertical="center" wrapText="1"/>
    </xf>
    <xf numFmtId="0" fontId="15" fillId="21" borderId="8" xfId="0" applyFont="1" applyFill="1" applyBorder="1" applyAlignment="1">
      <alignment horizontal="left" vertical="center" wrapText="1"/>
    </xf>
    <xf numFmtId="164" fontId="17" fillId="21" borderId="0" xfId="3" applyFont="1" applyFill="1" applyAlignment="1">
      <alignment horizontal="left" vertical="center" wrapText="1"/>
    </xf>
    <xf numFmtId="0" fontId="2" fillId="0" borderId="8" xfId="0" applyFont="1" applyBorder="1" applyAlignment="1">
      <alignment horizontal="center" vertical="top" wrapText="1"/>
    </xf>
    <xf numFmtId="0" fontId="2" fillId="0" borderId="8" xfId="0" applyFont="1" applyBorder="1" applyAlignment="1">
      <alignment horizontal="left" vertical="top" wrapText="1"/>
    </xf>
    <xf numFmtId="0" fontId="35" fillId="0" borderId="0" xfId="0" applyFont="1" applyAlignment="1">
      <alignment vertical="top"/>
    </xf>
    <xf numFmtId="0" fontId="36" fillId="6" borderId="8" xfId="0" applyFont="1" applyFill="1" applyBorder="1" applyAlignment="1">
      <alignment horizontal="left" vertical="top" wrapText="1"/>
    </xf>
    <xf numFmtId="0" fontId="36" fillId="0" borderId="8" xfId="0" applyFont="1" applyBorder="1" applyAlignment="1">
      <alignment horizontal="left" vertical="top" wrapText="1"/>
    </xf>
    <xf numFmtId="0" fontId="6" fillId="3" borderId="15" xfId="0" applyFont="1" applyFill="1" applyBorder="1" applyAlignment="1">
      <alignment horizontal="center" vertical="center" wrapText="1"/>
    </xf>
    <xf numFmtId="0" fontId="6" fillId="9" borderId="15"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3" fillId="4" borderId="8" xfId="0" applyFont="1" applyFill="1" applyBorder="1" applyAlignment="1">
      <alignment horizontal="left" vertical="center"/>
    </xf>
    <xf numFmtId="0" fontId="0" fillId="0" borderId="8" xfId="0" applyBorder="1"/>
    <xf numFmtId="0" fontId="4" fillId="5" borderId="8" xfId="0" applyFont="1" applyFill="1" applyBorder="1" applyAlignment="1">
      <alignment horizontal="left" vertical="center"/>
    </xf>
    <xf numFmtId="0" fontId="2" fillId="6" borderId="8" xfId="0" quotePrefix="1" applyFont="1" applyFill="1" applyBorder="1" applyAlignment="1">
      <alignment horizontal="left" vertical="top" wrapText="1"/>
    </xf>
    <xf numFmtId="0" fontId="5" fillId="7" borderId="8" xfId="0" applyFont="1" applyFill="1" applyBorder="1" applyAlignment="1">
      <alignment horizontal="center" vertical="top" wrapText="1"/>
    </xf>
    <xf numFmtId="0" fontId="8" fillId="11" borderId="8" xfId="0" applyFont="1" applyFill="1" applyBorder="1" applyAlignment="1">
      <alignment horizontal="center" vertical="top" wrapText="1"/>
    </xf>
    <xf numFmtId="0" fontId="9" fillId="12" borderId="8" xfId="0" applyFont="1" applyFill="1" applyBorder="1" applyAlignment="1">
      <alignment horizontal="center" vertical="top" wrapText="1"/>
    </xf>
    <xf numFmtId="0" fontId="5" fillId="0" borderId="8" xfId="0" applyFont="1" applyBorder="1" applyAlignment="1">
      <alignment horizontal="center" vertical="top" wrapText="1"/>
    </xf>
    <xf numFmtId="0" fontId="37" fillId="0" borderId="10" xfId="0" applyFont="1" applyBorder="1"/>
    <xf numFmtId="0" fontId="0" fillId="0" borderId="10" xfId="0" applyBorder="1"/>
    <xf numFmtId="0" fontId="0" fillId="10" borderId="10" xfId="0" applyFill="1" applyBorder="1"/>
    <xf numFmtId="0" fontId="37" fillId="0" borderId="16" xfId="0" applyFont="1" applyBorder="1"/>
    <xf numFmtId="0" fontId="0" fillId="0" borderId="16" xfId="0" applyBorder="1"/>
    <xf numFmtId="0" fontId="37" fillId="9" borderId="10" xfId="0" applyFont="1" applyFill="1" applyBorder="1" applyAlignment="1">
      <alignment horizontal="center" vertical="center"/>
    </xf>
    <xf numFmtId="0" fontId="37" fillId="9" borderId="10" xfId="0" applyFont="1" applyFill="1" applyBorder="1"/>
    <xf numFmtId="0" fontId="0" fillId="9" borderId="10" xfId="0" applyFill="1" applyBorder="1"/>
    <xf numFmtId="10" fontId="37" fillId="9" borderId="10" xfId="0" applyNumberFormat="1" applyFont="1" applyFill="1" applyBorder="1"/>
    <xf numFmtId="0" fontId="39" fillId="10" borderId="10" xfId="0" applyFont="1" applyFill="1" applyBorder="1"/>
    <xf numFmtId="0" fontId="38" fillId="10" borderId="10" xfId="0" applyFont="1" applyFill="1" applyBorder="1" applyAlignment="1">
      <alignment horizontal="center" vertical="center" wrapText="1"/>
    </xf>
    <xf numFmtId="0" fontId="32" fillId="0" borderId="8" xfId="0" applyFont="1" applyBorder="1" applyAlignment="1">
      <alignment vertical="top" wrapText="1"/>
    </xf>
    <xf numFmtId="0" fontId="4" fillId="5" borderId="8" xfId="0" applyFont="1" applyFill="1" applyBorder="1" applyAlignment="1">
      <alignment horizontal="left" vertical="center"/>
    </xf>
    <xf numFmtId="0" fontId="3" fillId="4" borderId="8" xfId="0" applyFont="1" applyFill="1" applyBorder="1" applyAlignment="1">
      <alignment horizontal="left" vertical="center"/>
    </xf>
    <xf numFmtId="0" fontId="4" fillId="5" borderId="7" xfId="0" applyFont="1" applyFill="1" applyBorder="1" applyAlignment="1">
      <alignment horizontal="left" vertical="center"/>
    </xf>
    <xf numFmtId="0" fontId="4" fillId="5" borderId="6" xfId="0" applyFont="1" applyFill="1" applyBorder="1" applyAlignment="1">
      <alignment horizontal="left" vertical="center"/>
    </xf>
    <xf numFmtId="0" fontId="3" fillId="4" borderId="6" xfId="0" applyFont="1" applyFill="1" applyBorder="1" applyAlignment="1">
      <alignment horizontal="left" vertical="center"/>
    </xf>
    <xf numFmtId="0" fontId="1" fillId="2" borderId="2" xfId="0" applyFont="1" applyFill="1" applyBorder="1" applyAlignment="1">
      <alignment horizontal="left" vertical="top" wrapText="1"/>
    </xf>
    <xf numFmtId="0" fontId="0" fillId="0" borderId="8" xfId="0" applyBorder="1" applyAlignment="1"/>
    <xf numFmtId="0" fontId="0" fillId="0" borderId="3" xfId="0" applyBorder="1" applyAlignment="1"/>
    <xf numFmtId="0" fontId="0" fillId="0" borderId="4" xfId="0" applyBorder="1" applyAlignment="1"/>
    <xf numFmtId="0" fontId="0" fillId="0" borderId="5" xfId="0" applyBorder="1" applyAlignment="1"/>
    <xf numFmtId="0" fontId="0" fillId="0" borderId="0" xfId="0" applyAlignment="1"/>
  </cellXfs>
  <cellStyles count="5">
    <cellStyle name="Bình thường" xfId="0" builtinId="0"/>
    <cellStyle name="Normal 2" xfId="4" xr:uid="{2F625EE9-3539-4656-957D-3E016987E7DA}"/>
    <cellStyle name="Normal 6" xfId="1" xr:uid="{A1C00B6B-E39B-439E-804A-48B65595F444}"/>
    <cellStyle name="Normal_Sheet1" xfId="2" xr:uid="{480BC351-6511-4B37-AD5A-967D81DE7D8B}"/>
    <cellStyle name="標準_打刻ﾃﾞｰﾀ収集" xfId="3" xr:uid="{F384202F-3788-4FC7-B524-9B07DCEC8D2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Records"/>
      <sheetName val="Test Report"/>
      <sheetName val="Testcase"/>
      <sheetName val="Sheet1"/>
      <sheetName val="Sheet2"/>
    </sheetNames>
    <sheetDataSet>
      <sheetData sheetId="0">
        <row r="11">
          <cell r="E11" t="str">
            <v>DỰ ÁN TRIỂN KHAI BẢN QUYỀN PHẦN MỀM HỆ THỐNG AML MỚI</v>
          </cell>
        </row>
      </sheetData>
      <sheetData sheetId="1"/>
      <sheetData sheetId="2"/>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B0950-D04B-4EB5-A2FC-D6F3AF2BC439}">
  <dimension ref="A2:H7"/>
  <sheetViews>
    <sheetView workbookViewId="0">
      <selection activeCell="E8" sqref="E8"/>
    </sheetView>
  </sheetViews>
  <sheetFormatPr defaultRowHeight="15"/>
  <cols>
    <col min="1" max="1" width="14.28515625" customWidth="1"/>
    <col min="2" max="2" width="13.7109375" customWidth="1"/>
    <col min="3" max="3" width="22.42578125" customWidth="1"/>
    <col min="4" max="5" width="13.7109375" customWidth="1"/>
    <col min="7" max="7" width="12.7109375" customWidth="1"/>
  </cols>
  <sheetData>
    <row r="2" spans="1:8">
      <c r="A2" s="105"/>
      <c r="B2" s="106" t="s">
        <v>0</v>
      </c>
      <c r="C2" s="106" t="s">
        <v>1</v>
      </c>
      <c r="D2" s="106" t="s">
        <v>2</v>
      </c>
      <c r="E2" s="106" t="s">
        <v>3</v>
      </c>
      <c r="F2" s="106" t="s">
        <v>4</v>
      </c>
      <c r="G2" s="106" t="s">
        <v>5</v>
      </c>
      <c r="H2" s="105"/>
    </row>
    <row r="3" spans="1:8">
      <c r="A3" s="96" t="s">
        <v>6</v>
      </c>
      <c r="B3" s="97">
        <f>COUNTIF('API Sàng Lọc'!$K:$K,Report!B2)</f>
        <v>208</v>
      </c>
      <c r="C3" s="97">
        <f>COUNTIF('API Sàng Lọc'!$K:$K,Report!C2)</f>
        <v>0</v>
      </c>
      <c r="D3" s="97">
        <f>COUNTIF('API Sàng Lọc'!$K:$K,Report!D2)</f>
        <v>95</v>
      </c>
      <c r="E3" s="97">
        <f>COUNTIF('API Sàng Lọc'!$K:$K,Report!E2)</f>
        <v>0</v>
      </c>
      <c r="F3" s="97">
        <f>COUNTIF('API Sàng Lọc'!$K:$K,Report!F2)</f>
        <v>0</v>
      </c>
      <c r="G3" s="97">
        <f>COUNTIF('API Sàng Lọc'!$K:$K,Report!G2)</f>
        <v>0</v>
      </c>
      <c r="H3" s="98">
        <f>SUM(B3:G3)</f>
        <v>303</v>
      </c>
    </row>
    <row r="4" spans="1:8">
      <c r="A4" s="96" t="s">
        <v>7</v>
      </c>
      <c r="B4" s="97">
        <f>COUNTIF('API Search'!$K:$K,Report!B2)</f>
        <v>0</v>
      </c>
      <c r="C4" s="97">
        <f>COUNTIF('API Search'!$K:$K,Report!C2)</f>
        <v>0</v>
      </c>
      <c r="D4" s="97">
        <f>COUNTIF('API Search'!$K:$K,Report!D2)</f>
        <v>0</v>
      </c>
      <c r="E4" s="97">
        <f>COUNTIF('API Search'!$K:$K,Report!E2)</f>
        <v>0</v>
      </c>
      <c r="F4" s="97">
        <f>COUNTIF('API Search'!$K:$K,Report!F2)</f>
        <v>1</v>
      </c>
      <c r="G4" s="97">
        <f>COUNTIF('API Search'!$K:$K,Report!G2)</f>
        <v>0</v>
      </c>
      <c r="H4" s="98">
        <f>SUM(B4:G4)</f>
        <v>1</v>
      </c>
    </row>
    <row r="5" spans="1:8">
      <c r="A5" s="99" t="s">
        <v>8</v>
      </c>
      <c r="B5" s="100">
        <f>COUNTIF('API Callback'!$K:$K,Report!B2)</f>
        <v>1</v>
      </c>
      <c r="C5" s="100">
        <f>COUNTIF('API Callback'!$K:$K,Report!C2)</f>
        <v>0</v>
      </c>
      <c r="D5" s="100">
        <f>COUNTIF('API Callback'!$K:$K,Report!D2)</f>
        <v>0</v>
      </c>
      <c r="E5" s="100">
        <f>COUNTIF('API Callback'!$K:$K,Report!E2)</f>
        <v>0</v>
      </c>
      <c r="F5" s="100">
        <f>COUNTIF('API Callback'!$K:$K,Report!F2)</f>
        <v>18</v>
      </c>
      <c r="G5" s="100">
        <f>COUNTIF('API Callback'!$K:$K,Report!G2)</f>
        <v>0</v>
      </c>
      <c r="H5" s="98">
        <f>SUM(B5:G5)</f>
        <v>19</v>
      </c>
    </row>
    <row r="6" spans="1:8">
      <c r="A6" s="101" t="s">
        <v>9</v>
      </c>
      <c r="B6" s="102">
        <f>SUM(B3:B5)</f>
        <v>209</v>
      </c>
      <c r="C6" s="102">
        <f>SUM(C3:C5)</f>
        <v>0</v>
      </c>
      <c r="D6" s="102">
        <f>SUM(D3:D5)</f>
        <v>95</v>
      </c>
      <c r="E6" s="102">
        <f>SUM(E3:E5)</f>
        <v>0</v>
      </c>
      <c r="F6" s="102">
        <f>SUM(F3:F5)</f>
        <v>19</v>
      </c>
      <c r="G6" s="102">
        <f>SUM(G3:G5)</f>
        <v>0</v>
      </c>
      <c r="H6" s="102">
        <f>SUM(B6:G6)</f>
        <v>323</v>
      </c>
    </row>
    <row r="7" spans="1:8">
      <c r="A7" s="103"/>
      <c r="B7" s="104">
        <f>B6/$H$6</f>
        <v>0.6470588235294118</v>
      </c>
      <c r="C7" s="104">
        <f>C6/$H$6</f>
        <v>0</v>
      </c>
      <c r="D7" s="104">
        <f>D6/$H$6</f>
        <v>0.29411764705882354</v>
      </c>
      <c r="E7" s="104">
        <f>E6/$H$6</f>
        <v>0</v>
      </c>
      <c r="F7" s="104">
        <f>F6/$H$6</f>
        <v>5.8823529411764705E-2</v>
      </c>
      <c r="G7" s="104">
        <f>G6/$H$6</f>
        <v>0</v>
      </c>
      <c r="H7" s="104">
        <f>H6/$H$6</f>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85"/>
  <sheetViews>
    <sheetView workbookViewId="0">
      <pane ySplit="11" topLeftCell="A35" activePane="bottomLeft" state="frozen"/>
      <selection pane="bottomLeft" activeCell="E44" sqref="E44"/>
    </sheetView>
  </sheetViews>
  <sheetFormatPr defaultRowHeight="22.5" customHeight="1"/>
  <cols>
    <col min="1" max="1" width="55" customWidth="1"/>
    <col min="2" max="2" width="23.28515625" customWidth="1"/>
    <col min="3" max="3" width="33.140625" customWidth="1"/>
    <col min="4" max="4" width="42" customWidth="1"/>
    <col min="5" max="5" width="37.5703125" customWidth="1"/>
    <col min="6" max="6" width="30" customWidth="1"/>
    <col min="7" max="7" width="14.42578125" hidden="1" customWidth="1"/>
    <col min="8" max="8" width="16.28515625" customWidth="1"/>
    <col min="9" max="9" width="18" hidden="1" customWidth="1"/>
    <col min="10" max="10" width="16" hidden="1" customWidth="1"/>
    <col min="11" max="11" width="13" customWidth="1"/>
    <col min="12" max="12" width="61.85546875" style="2" bestFit="1" customWidth="1"/>
    <col min="13" max="18" width="9.140625" style="2" customWidth="1"/>
  </cols>
  <sheetData>
    <row r="1" spans="1:11" ht="22.5" hidden="1" customHeight="1">
      <c r="A1" s="74" t="s">
        <v>10</v>
      </c>
      <c r="B1" s="75"/>
      <c r="C1" s="75"/>
      <c r="D1" s="75"/>
      <c r="E1" s="75"/>
      <c r="F1" s="75"/>
      <c r="G1" s="75"/>
      <c r="H1" s="75"/>
      <c r="I1" s="75"/>
      <c r="J1" s="75"/>
      <c r="K1" s="75"/>
    </row>
    <row r="2" spans="1:11" ht="22.5" hidden="1" customHeight="1">
      <c r="A2" s="3"/>
      <c r="B2" s="3" t="s">
        <v>11</v>
      </c>
      <c r="C2" s="3" t="s">
        <v>12</v>
      </c>
      <c r="D2" s="3" t="s">
        <v>13</v>
      </c>
      <c r="E2" s="6" t="s">
        <v>14</v>
      </c>
      <c r="J2" s="2"/>
      <c r="K2" s="2"/>
    </row>
    <row r="3" spans="1:11" ht="22.5" hidden="1" customHeight="1">
      <c r="A3" s="3" t="s">
        <v>0</v>
      </c>
      <c r="B3" s="3">
        <f>COUNTIFS($K$12:$K$389,A3,$H$12:$H$389,$B$2)</f>
        <v>44</v>
      </c>
      <c r="C3" s="3">
        <f>COUNTIFS($K$12:$K$389,A3,$H$12:$H$389,$C$2)</f>
        <v>162</v>
      </c>
      <c r="D3" s="3">
        <f>COUNTIFS($K$12:$K$389,A3,$H$12:$H$389,$D$2)</f>
        <v>2</v>
      </c>
      <c r="E3" s="6">
        <f t="shared" ref="E3:E8" si="0">SUM(B3:D3)</f>
        <v>208</v>
      </c>
      <c r="G3" s="7"/>
      <c r="J3" s="2"/>
      <c r="K3" s="2"/>
    </row>
    <row r="4" spans="1:11" ht="22.5" hidden="1" customHeight="1">
      <c r="A4" s="3" t="s">
        <v>1</v>
      </c>
      <c r="B4" s="3">
        <f>COUNTIFS($K$12:$K$389,A4,$H$12:$H$389,$B$2)</f>
        <v>0</v>
      </c>
      <c r="C4" s="3">
        <f>COUNTIFS($K$12:$K$389,A4,$H$12:$H$389,$C$2)</f>
        <v>0</v>
      </c>
      <c r="D4" s="3">
        <f>COUNTIFS($K$12:$K$389,A4,$H$12:$H$389,$D$2)</f>
        <v>0</v>
      </c>
      <c r="E4" s="6">
        <f t="shared" si="0"/>
        <v>0</v>
      </c>
      <c r="F4" t="s">
        <v>15</v>
      </c>
      <c r="J4" s="2"/>
      <c r="K4" s="2"/>
    </row>
    <row r="5" spans="1:11" ht="22.5" hidden="1" customHeight="1">
      <c r="A5" s="3" t="s">
        <v>2</v>
      </c>
      <c r="B5" s="3">
        <f>COUNTIFS($K$12:$K$389,A5,$H$12:$H$389,$B$2)</f>
        <v>9</v>
      </c>
      <c r="C5" s="3">
        <f>COUNTIFS($K$12:$K$389,A5,$H$12:$H$389,$C$2)</f>
        <v>86</v>
      </c>
      <c r="D5" s="3">
        <f>COUNTIFS($K$12:$K$389,A5,$H$12:$H$389,$D$2)</f>
        <v>0</v>
      </c>
      <c r="E5" s="6">
        <f t="shared" si="0"/>
        <v>95</v>
      </c>
      <c r="F5" t="s">
        <v>16</v>
      </c>
      <c r="J5" s="2"/>
      <c r="K5" s="2"/>
    </row>
    <row r="6" spans="1:11" ht="22.5" hidden="1" customHeight="1">
      <c r="A6" s="3" t="s">
        <v>3</v>
      </c>
      <c r="B6" s="3">
        <f>COUNTIFS($K$12:$K$389,A6,$H$12:$H$389,$B$2)</f>
        <v>0</v>
      </c>
      <c r="C6" s="3">
        <f>COUNTIFS($K$12:$K$389,A6,$H$12:$H$389,$C$2)</f>
        <v>0</v>
      </c>
      <c r="D6" s="3">
        <f>COUNTIFS($K$12:$K$389,A6,$H$12:$H$389,$D$2)</f>
        <v>0</v>
      </c>
      <c r="E6" s="6">
        <f t="shared" si="0"/>
        <v>0</v>
      </c>
      <c r="J6" s="2"/>
      <c r="K6" s="2"/>
    </row>
    <row r="7" spans="1:11" ht="22.5" hidden="1" customHeight="1">
      <c r="A7" s="3" t="s">
        <v>4</v>
      </c>
      <c r="B7" s="3">
        <f>COUNTIFS($K$12:$K$389,A7,$H$12:$H$389,$B$2)</f>
        <v>0</v>
      </c>
      <c r="C7" s="3">
        <f>COUNTIFS($K$12:$K$389,A7,$H$12:$H$389,$C$2)</f>
        <v>0</v>
      </c>
      <c r="D7" s="3">
        <f>COUNTIFS($K$12:$K$389,A7,$H$12:$H$389,$D$2)</f>
        <v>0</v>
      </c>
      <c r="E7" s="6">
        <f t="shared" si="0"/>
        <v>0</v>
      </c>
      <c r="J7" s="2"/>
      <c r="K7" s="2"/>
    </row>
    <row r="8" spans="1:11" ht="22.5" hidden="1" customHeight="1">
      <c r="A8" s="3" t="s">
        <v>5</v>
      </c>
      <c r="B8" s="3">
        <f>COUNTIFS($K$12:$K$389,A8,$H$12:$H$389,$B$2)</f>
        <v>0</v>
      </c>
      <c r="C8" s="3">
        <f>COUNTIFS($K$12:$K$389,A8,$H$12:$H$389,$C$2)</f>
        <v>0</v>
      </c>
      <c r="D8" s="3">
        <f>COUNTIFS($K$12:$K$389,A8,$H$12:$H$389,$D$2)</f>
        <v>0</v>
      </c>
      <c r="E8" s="6">
        <f t="shared" si="0"/>
        <v>0</v>
      </c>
      <c r="J8" s="2"/>
      <c r="K8" s="2"/>
    </row>
    <row r="9" spans="1:11" ht="22.5" hidden="1" customHeight="1">
      <c r="A9" s="4"/>
      <c r="B9" s="4"/>
      <c r="C9" s="4"/>
      <c r="D9" s="4"/>
      <c r="E9" s="5">
        <f>SUM(E3:E7)</f>
        <v>303</v>
      </c>
      <c r="J9" s="2"/>
      <c r="K9" s="2"/>
    </row>
    <row r="10" spans="1:11" ht="22.5" hidden="1" customHeight="1">
      <c r="A10" s="85"/>
      <c r="B10" s="85"/>
      <c r="C10" s="85"/>
      <c r="D10" s="85"/>
      <c r="E10" s="86"/>
    </row>
    <row r="11" spans="1:11" ht="22.5" customHeight="1">
      <c r="A11" s="87" t="s">
        <v>17</v>
      </c>
      <c r="B11" s="87" t="s">
        <v>18</v>
      </c>
      <c r="C11" s="87" t="s">
        <v>19</v>
      </c>
      <c r="D11" s="87" t="s">
        <v>20</v>
      </c>
      <c r="E11" s="87" t="s">
        <v>21</v>
      </c>
      <c r="F11" s="87" t="s">
        <v>22</v>
      </c>
      <c r="G11" s="87" t="s">
        <v>23</v>
      </c>
      <c r="H11" s="87" t="s">
        <v>24</v>
      </c>
      <c r="I11" s="87" t="s">
        <v>25</v>
      </c>
      <c r="J11" s="87" t="s">
        <v>26</v>
      </c>
      <c r="K11" s="87" t="s">
        <v>27</v>
      </c>
    </row>
    <row r="12" spans="1:11" ht="22.5" customHeight="1">
      <c r="A12" s="88" t="s">
        <v>28</v>
      </c>
      <c r="B12" s="89"/>
      <c r="C12" s="89"/>
      <c r="D12" s="89"/>
      <c r="E12" s="89"/>
      <c r="F12" s="89"/>
      <c r="G12" s="89"/>
      <c r="H12" s="89"/>
      <c r="I12" s="89"/>
      <c r="J12" s="89"/>
      <c r="K12" s="89"/>
    </row>
    <row r="13" spans="1:11" ht="22.5" customHeight="1">
      <c r="A13" s="90" t="s">
        <v>29</v>
      </c>
      <c r="B13" s="89"/>
      <c r="C13" s="89"/>
      <c r="D13" s="89"/>
      <c r="E13" s="89"/>
      <c r="F13" s="89"/>
      <c r="G13" s="89"/>
      <c r="H13" s="89"/>
      <c r="I13" s="89"/>
      <c r="J13" s="89"/>
      <c r="K13" s="89"/>
    </row>
    <row r="14" spans="1:11" ht="22.5" customHeight="1">
      <c r="A14" s="11" t="s">
        <v>30</v>
      </c>
      <c r="B14" s="12" t="s">
        <v>31</v>
      </c>
      <c r="C14" s="12" t="s">
        <v>32</v>
      </c>
      <c r="D14" s="12" t="s">
        <v>33</v>
      </c>
      <c r="E14" s="12" t="s">
        <v>34</v>
      </c>
      <c r="F14" s="91" t="s">
        <v>35</v>
      </c>
      <c r="G14" s="11" t="s">
        <v>36</v>
      </c>
      <c r="H14" s="92" t="s">
        <v>11</v>
      </c>
      <c r="I14" s="11" t="s">
        <v>37</v>
      </c>
      <c r="J14" s="11" t="s">
        <v>4</v>
      </c>
      <c r="K14" s="11" t="s">
        <v>0</v>
      </c>
    </row>
    <row r="15" spans="1:11" ht="22.5" customHeight="1">
      <c r="A15" s="11" t="s">
        <v>38</v>
      </c>
      <c r="B15" s="12" t="s">
        <v>39</v>
      </c>
      <c r="C15" s="12" t="s">
        <v>32</v>
      </c>
      <c r="D15" s="12" t="s">
        <v>40</v>
      </c>
      <c r="E15" s="12" t="s">
        <v>41</v>
      </c>
      <c r="F15" s="12" t="s">
        <v>42</v>
      </c>
      <c r="G15" s="11" t="s">
        <v>36</v>
      </c>
      <c r="H15" s="92" t="s">
        <v>11</v>
      </c>
      <c r="I15" s="11" t="s">
        <v>37</v>
      </c>
      <c r="J15" s="11" t="s">
        <v>4</v>
      </c>
      <c r="K15" s="11" t="s">
        <v>0</v>
      </c>
    </row>
    <row r="16" spans="1:11" ht="22.5" customHeight="1">
      <c r="A16" s="11" t="s">
        <v>43</v>
      </c>
      <c r="B16" s="12" t="s">
        <v>44</v>
      </c>
      <c r="C16" s="12" t="s">
        <v>32</v>
      </c>
      <c r="D16" s="12" t="s">
        <v>45</v>
      </c>
      <c r="E16" s="12" t="s">
        <v>46</v>
      </c>
      <c r="F16" s="12" t="s">
        <v>47</v>
      </c>
      <c r="G16" s="11" t="s">
        <v>36</v>
      </c>
      <c r="H16" s="93" t="s">
        <v>12</v>
      </c>
      <c r="I16" s="11" t="s">
        <v>37</v>
      </c>
      <c r="J16" s="11" t="s">
        <v>4</v>
      </c>
      <c r="K16" s="11" t="s">
        <v>0</v>
      </c>
    </row>
    <row r="17" spans="1:11" ht="22.5" customHeight="1">
      <c r="A17" s="88" t="s">
        <v>48</v>
      </c>
      <c r="B17" s="89"/>
      <c r="C17" s="89"/>
      <c r="D17" s="89"/>
      <c r="E17" s="89"/>
      <c r="F17" s="89"/>
      <c r="G17" s="89"/>
      <c r="H17" s="89"/>
      <c r="I17" s="89"/>
      <c r="J17" s="89"/>
      <c r="K17" s="89"/>
    </row>
    <row r="18" spans="1:11" ht="22.5" customHeight="1">
      <c r="A18" s="90" t="s">
        <v>49</v>
      </c>
      <c r="B18" s="89"/>
      <c r="C18" s="89"/>
      <c r="D18" s="89"/>
      <c r="E18" s="89"/>
      <c r="F18" s="89"/>
      <c r="G18" s="89"/>
      <c r="H18" s="89"/>
      <c r="I18" s="89"/>
      <c r="J18" s="89"/>
      <c r="K18" s="89"/>
    </row>
    <row r="19" spans="1:11" ht="22.5" customHeight="1">
      <c r="A19" s="11" t="s">
        <v>50</v>
      </c>
      <c r="B19" s="12" t="s">
        <v>51</v>
      </c>
      <c r="C19" s="12" t="s">
        <v>52</v>
      </c>
      <c r="D19" s="12" t="s">
        <v>53</v>
      </c>
      <c r="E19" s="12" t="s">
        <v>54</v>
      </c>
      <c r="F19" s="91" t="s">
        <v>35</v>
      </c>
      <c r="G19" s="11" t="s">
        <v>36</v>
      </c>
      <c r="H19" s="92" t="s">
        <v>11</v>
      </c>
      <c r="I19" s="11" t="s">
        <v>37</v>
      </c>
      <c r="J19" s="11" t="s">
        <v>4</v>
      </c>
      <c r="K19" s="11" t="s">
        <v>0</v>
      </c>
    </row>
    <row r="20" spans="1:11" ht="22.5" customHeight="1">
      <c r="A20" s="11" t="s">
        <v>55</v>
      </c>
      <c r="B20" s="12" t="s">
        <v>56</v>
      </c>
      <c r="C20" s="12" t="s">
        <v>57</v>
      </c>
      <c r="D20" s="12" t="s">
        <v>58</v>
      </c>
      <c r="E20" s="12" t="s">
        <v>59</v>
      </c>
      <c r="F20" s="12" t="s">
        <v>60</v>
      </c>
      <c r="G20" s="11" t="s">
        <v>36</v>
      </c>
      <c r="H20" s="92" t="s">
        <v>11</v>
      </c>
      <c r="I20" s="11" t="s">
        <v>37</v>
      </c>
      <c r="J20" s="11" t="s">
        <v>4</v>
      </c>
      <c r="K20" s="11" t="s">
        <v>0</v>
      </c>
    </row>
    <row r="21" spans="1:11" ht="22.5" customHeight="1">
      <c r="A21" s="11" t="s">
        <v>61</v>
      </c>
      <c r="B21" s="12" t="s">
        <v>62</v>
      </c>
      <c r="C21" s="12" t="s">
        <v>57</v>
      </c>
      <c r="D21" s="12" t="s">
        <v>63</v>
      </c>
      <c r="E21" s="12" t="s">
        <v>64</v>
      </c>
      <c r="F21" s="12" t="s">
        <v>65</v>
      </c>
      <c r="G21" s="11" t="s">
        <v>36</v>
      </c>
      <c r="H21" s="92" t="s">
        <v>11</v>
      </c>
      <c r="I21" s="11" t="s">
        <v>37</v>
      </c>
      <c r="J21" s="11" t="s">
        <v>4</v>
      </c>
      <c r="K21" s="11" t="s">
        <v>0</v>
      </c>
    </row>
    <row r="22" spans="1:11" ht="22.5" customHeight="1">
      <c r="A22" s="11" t="s">
        <v>66</v>
      </c>
      <c r="B22" s="12" t="s">
        <v>67</v>
      </c>
      <c r="C22" s="12" t="s">
        <v>57</v>
      </c>
      <c r="D22" s="12" t="s">
        <v>68</v>
      </c>
      <c r="E22" s="12" t="s">
        <v>69</v>
      </c>
      <c r="F22" s="12" t="s">
        <v>70</v>
      </c>
      <c r="G22" s="11" t="s">
        <v>36</v>
      </c>
      <c r="H22" s="92" t="s">
        <v>11</v>
      </c>
      <c r="I22" s="11" t="s">
        <v>37</v>
      </c>
      <c r="J22" s="11" t="s">
        <v>4</v>
      </c>
      <c r="K22" s="11" t="s">
        <v>0</v>
      </c>
    </row>
    <row r="23" spans="1:11" ht="22.5" customHeight="1">
      <c r="A23" s="11" t="s">
        <v>71</v>
      </c>
      <c r="B23" s="12" t="s">
        <v>72</v>
      </c>
      <c r="C23" s="12" t="s">
        <v>57</v>
      </c>
      <c r="D23" s="12" t="s">
        <v>73</v>
      </c>
      <c r="E23" s="12" t="s">
        <v>74</v>
      </c>
      <c r="F23" s="12" t="s">
        <v>75</v>
      </c>
      <c r="G23" s="11" t="s">
        <v>36</v>
      </c>
      <c r="H23" s="92" t="s">
        <v>11</v>
      </c>
      <c r="I23" s="11" t="s">
        <v>37</v>
      </c>
      <c r="J23" s="11" t="s">
        <v>4</v>
      </c>
      <c r="K23" s="11" t="s">
        <v>0</v>
      </c>
    </row>
    <row r="24" spans="1:11" ht="22.5" customHeight="1">
      <c r="A24" s="11" t="s">
        <v>76</v>
      </c>
      <c r="B24" s="12" t="s">
        <v>77</v>
      </c>
      <c r="C24" s="12" t="s">
        <v>57</v>
      </c>
      <c r="D24" s="12" t="s">
        <v>78</v>
      </c>
      <c r="E24" s="12" t="s">
        <v>79</v>
      </c>
      <c r="F24" s="12" t="s">
        <v>80</v>
      </c>
      <c r="G24" s="11" t="s">
        <v>36</v>
      </c>
      <c r="H24" s="92" t="s">
        <v>11</v>
      </c>
      <c r="I24" s="11" t="s">
        <v>37</v>
      </c>
      <c r="J24" s="11" t="s">
        <v>4</v>
      </c>
      <c r="K24" s="11" t="s">
        <v>0</v>
      </c>
    </row>
    <row r="25" spans="1:11" ht="22.5" customHeight="1">
      <c r="A25" s="11" t="s">
        <v>81</v>
      </c>
      <c r="B25" s="12" t="s">
        <v>82</v>
      </c>
      <c r="C25" s="12" t="s">
        <v>57</v>
      </c>
      <c r="D25" s="12" t="s">
        <v>83</v>
      </c>
      <c r="E25" s="12" t="s">
        <v>84</v>
      </c>
      <c r="F25" s="12" t="s">
        <v>85</v>
      </c>
      <c r="G25" s="11" t="s">
        <v>36</v>
      </c>
      <c r="H25" s="92" t="s">
        <v>11</v>
      </c>
      <c r="I25" s="11" t="s">
        <v>37</v>
      </c>
      <c r="J25" s="11" t="s">
        <v>4</v>
      </c>
      <c r="K25" s="11" t="s">
        <v>0</v>
      </c>
    </row>
    <row r="26" spans="1:11" ht="22.5" customHeight="1">
      <c r="A26" s="11" t="s">
        <v>86</v>
      </c>
      <c r="B26" s="12" t="s">
        <v>87</v>
      </c>
      <c r="C26" s="12" t="s">
        <v>88</v>
      </c>
      <c r="D26" s="12" t="s">
        <v>89</v>
      </c>
      <c r="E26" s="12" t="s">
        <v>90</v>
      </c>
      <c r="F26" s="91" t="s">
        <v>35</v>
      </c>
      <c r="G26" s="11" t="s">
        <v>36</v>
      </c>
      <c r="H26" s="93" t="s">
        <v>12</v>
      </c>
      <c r="I26" s="11" t="s">
        <v>37</v>
      </c>
      <c r="J26" s="11" t="s">
        <v>4</v>
      </c>
      <c r="K26" s="11" t="s">
        <v>0</v>
      </c>
    </row>
    <row r="27" spans="1:11" ht="22.5" customHeight="1">
      <c r="A27" s="11" t="s">
        <v>91</v>
      </c>
      <c r="B27" s="12" t="s">
        <v>92</v>
      </c>
      <c r="C27" s="12" t="s">
        <v>93</v>
      </c>
      <c r="D27" s="12" t="s">
        <v>94</v>
      </c>
      <c r="E27" s="12" t="s">
        <v>95</v>
      </c>
      <c r="F27" s="12" t="s">
        <v>96</v>
      </c>
      <c r="G27" s="11" t="s">
        <v>36</v>
      </c>
      <c r="H27" s="92" t="s">
        <v>11</v>
      </c>
      <c r="I27" s="11" t="s">
        <v>37</v>
      </c>
      <c r="J27" s="11" t="s">
        <v>4</v>
      </c>
      <c r="K27" s="11" t="s">
        <v>0</v>
      </c>
    </row>
    <row r="28" spans="1:11" ht="22.5" customHeight="1">
      <c r="A28" s="11" t="s">
        <v>97</v>
      </c>
      <c r="B28" s="12" t="s">
        <v>98</v>
      </c>
      <c r="C28" s="12" t="s">
        <v>57</v>
      </c>
      <c r="D28" s="12" t="s">
        <v>99</v>
      </c>
      <c r="E28" s="12" t="s">
        <v>100</v>
      </c>
      <c r="F28" s="91" t="s">
        <v>35</v>
      </c>
      <c r="G28" s="11" t="s">
        <v>36</v>
      </c>
      <c r="H28" s="93" t="s">
        <v>12</v>
      </c>
      <c r="I28" s="11" t="s">
        <v>37</v>
      </c>
      <c r="J28" s="11" t="s">
        <v>4</v>
      </c>
      <c r="K28" s="11" t="s">
        <v>0</v>
      </c>
    </row>
    <row r="29" spans="1:11" ht="22.5" customHeight="1">
      <c r="A29" s="11" t="s">
        <v>101</v>
      </c>
      <c r="B29" s="12" t="s">
        <v>102</v>
      </c>
      <c r="C29" s="12" t="s">
        <v>57</v>
      </c>
      <c r="D29" s="12" t="s">
        <v>103</v>
      </c>
      <c r="E29" s="12" t="s">
        <v>104</v>
      </c>
      <c r="F29" s="12" t="s">
        <v>105</v>
      </c>
      <c r="G29" s="11" t="s">
        <v>36</v>
      </c>
      <c r="H29" s="93" t="s">
        <v>12</v>
      </c>
      <c r="I29" s="11" t="s">
        <v>37</v>
      </c>
      <c r="J29" s="11" t="s">
        <v>4</v>
      </c>
      <c r="K29" s="11" t="s">
        <v>0</v>
      </c>
    </row>
    <row r="30" spans="1:11" ht="22.5" customHeight="1">
      <c r="A30" s="11" t="s">
        <v>106</v>
      </c>
      <c r="B30" s="12" t="s">
        <v>107</v>
      </c>
      <c r="C30" s="12" t="s">
        <v>57</v>
      </c>
      <c r="D30" s="12" t="s">
        <v>108</v>
      </c>
      <c r="E30" s="12" t="s">
        <v>109</v>
      </c>
      <c r="F30" s="12" t="s">
        <v>105</v>
      </c>
      <c r="G30" s="11" t="s">
        <v>36</v>
      </c>
      <c r="H30" s="93" t="s">
        <v>12</v>
      </c>
      <c r="I30" s="11" t="s">
        <v>37</v>
      </c>
      <c r="J30" s="11" t="s">
        <v>4</v>
      </c>
      <c r="K30" s="11" t="s">
        <v>0</v>
      </c>
    </row>
    <row r="31" spans="1:11" ht="22.5" customHeight="1">
      <c r="A31" s="11" t="s">
        <v>110</v>
      </c>
      <c r="B31" s="12" t="s">
        <v>111</v>
      </c>
      <c r="C31" s="12" t="s">
        <v>57</v>
      </c>
      <c r="D31" s="12" t="s">
        <v>112</v>
      </c>
      <c r="E31" s="12" t="s">
        <v>113</v>
      </c>
      <c r="F31" s="12" t="s">
        <v>105</v>
      </c>
      <c r="G31" s="11" t="s">
        <v>36</v>
      </c>
      <c r="H31" s="93" t="s">
        <v>12</v>
      </c>
      <c r="I31" s="11" t="s">
        <v>37</v>
      </c>
      <c r="J31" s="11" t="s">
        <v>4</v>
      </c>
      <c r="K31" s="11" t="s">
        <v>0</v>
      </c>
    </row>
    <row r="32" spans="1:11" ht="22.5" customHeight="1">
      <c r="A32" s="88" t="s">
        <v>114</v>
      </c>
      <c r="B32" s="89"/>
      <c r="C32" s="89"/>
      <c r="D32" s="89"/>
      <c r="E32" s="89"/>
      <c r="F32" s="89"/>
      <c r="G32" s="89"/>
      <c r="H32" s="89"/>
      <c r="I32" s="89"/>
      <c r="J32" s="89"/>
      <c r="K32" s="89"/>
    </row>
    <row r="33" spans="1:12" ht="22.5" customHeight="1">
      <c r="A33" s="90" t="s">
        <v>115</v>
      </c>
      <c r="B33" s="89"/>
      <c r="C33" s="89"/>
      <c r="D33" s="89"/>
      <c r="E33" s="89"/>
      <c r="F33" s="89"/>
      <c r="G33" s="89"/>
      <c r="H33" s="89"/>
      <c r="I33" s="89"/>
      <c r="J33" s="89"/>
      <c r="K33" s="89"/>
    </row>
    <row r="34" spans="1:12" ht="22.5" customHeight="1">
      <c r="A34" s="11" t="s">
        <v>116</v>
      </c>
      <c r="B34" s="12" t="s">
        <v>117</v>
      </c>
      <c r="C34" s="12" t="s">
        <v>118</v>
      </c>
      <c r="D34" s="12" t="s">
        <v>119</v>
      </c>
      <c r="E34" s="12" t="s">
        <v>120</v>
      </c>
      <c r="F34" s="12" t="s">
        <v>121</v>
      </c>
      <c r="G34" s="11" t="s">
        <v>36</v>
      </c>
      <c r="H34" s="92" t="s">
        <v>11</v>
      </c>
      <c r="I34" s="11" t="s">
        <v>37</v>
      </c>
      <c r="J34" s="11" t="s">
        <v>4</v>
      </c>
      <c r="K34" s="11" t="s">
        <v>0</v>
      </c>
    </row>
    <row r="35" spans="1:12" ht="22.5" customHeight="1">
      <c r="A35" s="11" t="s">
        <v>122</v>
      </c>
      <c r="B35" s="12" t="s">
        <v>123</v>
      </c>
      <c r="C35" s="12" t="s">
        <v>124</v>
      </c>
      <c r="D35" s="12" t="s">
        <v>125</v>
      </c>
      <c r="E35" s="12" t="s">
        <v>126</v>
      </c>
      <c r="F35" s="12" t="s">
        <v>127</v>
      </c>
      <c r="G35" s="11" t="s">
        <v>36</v>
      </c>
      <c r="H35" s="92" t="s">
        <v>11</v>
      </c>
      <c r="I35" s="11" t="s">
        <v>37</v>
      </c>
      <c r="J35" s="11" t="s">
        <v>4</v>
      </c>
      <c r="K35" s="11" t="s">
        <v>0</v>
      </c>
    </row>
    <row r="36" spans="1:12" ht="22.5" customHeight="1">
      <c r="A36" s="11" t="s">
        <v>128</v>
      </c>
      <c r="B36" s="12" t="s">
        <v>129</v>
      </c>
      <c r="C36" s="12" t="s">
        <v>130</v>
      </c>
      <c r="D36" s="12" t="s">
        <v>131</v>
      </c>
      <c r="E36" s="12" t="s">
        <v>132</v>
      </c>
      <c r="F36" s="12" t="s">
        <v>133</v>
      </c>
      <c r="G36" s="11" t="s">
        <v>36</v>
      </c>
      <c r="H36" s="92" t="s">
        <v>11</v>
      </c>
      <c r="I36" s="11" t="s">
        <v>37</v>
      </c>
      <c r="J36" s="11" t="s">
        <v>4</v>
      </c>
      <c r="K36" s="11" t="s">
        <v>0</v>
      </c>
    </row>
    <row r="37" spans="1:12" ht="22.5" customHeight="1">
      <c r="A37" s="11" t="s">
        <v>134</v>
      </c>
      <c r="B37" s="12" t="s">
        <v>135</v>
      </c>
      <c r="C37" s="12" t="s">
        <v>57</v>
      </c>
      <c r="D37" s="12" t="s">
        <v>136</v>
      </c>
      <c r="E37" s="12" t="s">
        <v>137</v>
      </c>
      <c r="F37" s="12" t="s">
        <v>138</v>
      </c>
      <c r="G37" s="11" t="s">
        <v>36</v>
      </c>
      <c r="H37" s="92" t="s">
        <v>11</v>
      </c>
      <c r="I37" s="11" t="s">
        <v>37</v>
      </c>
      <c r="J37" s="11" t="s">
        <v>4</v>
      </c>
      <c r="K37" s="11" t="s">
        <v>0</v>
      </c>
    </row>
    <row r="38" spans="1:12" ht="22.5" customHeight="1">
      <c r="A38" s="11" t="s">
        <v>139</v>
      </c>
      <c r="B38" s="12" t="s">
        <v>140</v>
      </c>
      <c r="C38" s="12" t="s">
        <v>57</v>
      </c>
      <c r="D38" s="12" t="s">
        <v>141</v>
      </c>
      <c r="E38" s="12" t="s">
        <v>142</v>
      </c>
      <c r="F38" s="12" t="s">
        <v>143</v>
      </c>
      <c r="G38" s="11" t="s">
        <v>36</v>
      </c>
      <c r="H38" s="92" t="s">
        <v>11</v>
      </c>
      <c r="I38" s="11" t="s">
        <v>37</v>
      </c>
      <c r="J38" s="11" t="s">
        <v>4</v>
      </c>
      <c r="K38" s="11" t="s">
        <v>0</v>
      </c>
    </row>
    <row r="39" spans="1:12" ht="22.5" customHeight="1">
      <c r="A39" s="11" t="s">
        <v>144</v>
      </c>
      <c r="B39" s="12" t="s">
        <v>145</v>
      </c>
      <c r="C39" s="12" t="s">
        <v>146</v>
      </c>
      <c r="D39" s="12" t="s">
        <v>147</v>
      </c>
      <c r="E39" s="12" t="s">
        <v>148</v>
      </c>
      <c r="F39" s="12" t="s">
        <v>149</v>
      </c>
      <c r="G39" s="11" t="s">
        <v>36</v>
      </c>
      <c r="H39" s="93" t="s">
        <v>12</v>
      </c>
      <c r="I39" s="11" t="s">
        <v>37</v>
      </c>
      <c r="J39" s="11" t="s">
        <v>4</v>
      </c>
      <c r="K39" s="11" t="s">
        <v>0</v>
      </c>
    </row>
    <row r="40" spans="1:12" ht="22.5" customHeight="1">
      <c r="A40" s="11" t="s">
        <v>150</v>
      </c>
      <c r="B40" s="12" t="s">
        <v>151</v>
      </c>
      <c r="C40" s="12" t="s">
        <v>152</v>
      </c>
      <c r="D40" s="12" t="s">
        <v>153</v>
      </c>
      <c r="E40" s="12" t="s">
        <v>154</v>
      </c>
      <c r="F40" s="12" t="s">
        <v>155</v>
      </c>
      <c r="G40" s="11" t="s">
        <v>36</v>
      </c>
      <c r="H40" s="92" t="s">
        <v>11</v>
      </c>
      <c r="I40" s="11" t="s">
        <v>37</v>
      </c>
      <c r="J40" s="11" t="s">
        <v>4</v>
      </c>
      <c r="K40" s="11" t="s">
        <v>2</v>
      </c>
      <c r="L40" s="2" t="s">
        <v>156</v>
      </c>
    </row>
    <row r="41" spans="1:12" ht="22.5" customHeight="1">
      <c r="A41" s="88" t="s">
        <v>157</v>
      </c>
      <c r="B41" s="89"/>
      <c r="C41" s="89"/>
      <c r="D41" s="89"/>
      <c r="E41" s="89"/>
      <c r="F41" s="89"/>
      <c r="G41" s="89"/>
      <c r="H41" s="89"/>
      <c r="I41" s="89"/>
      <c r="J41" s="89"/>
      <c r="K41" s="89"/>
    </row>
    <row r="42" spans="1:12" ht="22.5" customHeight="1">
      <c r="A42" s="90" t="s">
        <v>158</v>
      </c>
      <c r="B42" s="89"/>
      <c r="C42" s="89"/>
      <c r="D42" s="89"/>
      <c r="E42" s="89"/>
      <c r="F42" s="89"/>
      <c r="G42" s="89"/>
      <c r="H42" s="89"/>
      <c r="I42" s="89"/>
      <c r="J42" s="89"/>
      <c r="K42" s="89"/>
    </row>
    <row r="43" spans="1:12" ht="22.5" customHeight="1">
      <c r="A43" s="11" t="s">
        <v>159</v>
      </c>
      <c r="B43" s="12" t="s">
        <v>160</v>
      </c>
      <c r="C43" s="12" t="s">
        <v>161</v>
      </c>
      <c r="D43" s="12" t="s">
        <v>162</v>
      </c>
      <c r="E43" s="12" t="s">
        <v>163</v>
      </c>
      <c r="F43" s="12" t="s">
        <v>164</v>
      </c>
      <c r="G43" s="11" t="s">
        <v>36</v>
      </c>
      <c r="H43" s="92" t="s">
        <v>11</v>
      </c>
      <c r="I43" s="11" t="s">
        <v>37</v>
      </c>
      <c r="J43" s="11" t="s">
        <v>4</v>
      </c>
      <c r="K43" s="11" t="s">
        <v>0</v>
      </c>
    </row>
    <row r="44" spans="1:12" ht="22.5" customHeight="1">
      <c r="A44" s="11" t="s">
        <v>165</v>
      </c>
      <c r="B44" s="12" t="s">
        <v>166</v>
      </c>
      <c r="C44" s="12" t="s">
        <v>161</v>
      </c>
      <c r="D44" s="12" t="s">
        <v>167</v>
      </c>
      <c r="E44" s="12" t="s">
        <v>168</v>
      </c>
      <c r="F44" s="12" t="s">
        <v>164</v>
      </c>
      <c r="G44" s="11" t="s">
        <v>36</v>
      </c>
      <c r="H44" s="92" t="s">
        <v>11</v>
      </c>
      <c r="I44" s="11" t="s">
        <v>37</v>
      </c>
      <c r="J44" s="11" t="s">
        <v>4</v>
      </c>
      <c r="K44" s="11" t="s">
        <v>0</v>
      </c>
    </row>
    <row r="45" spans="1:12" ht="22.5" customHeight="1">
      <c r="A45" s="11" t="s">
        <v>169</v>
      </c>
      <c r="B45" s="12" t="s">
        <v>170</v>
      </c>
      <c r="C45" s="12" t="s">
        <v>171</v>
      </c>
      <c r="D45" s="12" t="s">
        <v>172</v>
      </c>
      <c r="E45" s="12" t="s">
        <v>173</v>
      </c>
      <c r="F45" s="12" t="s">
        <v>174</v>
      </c>
      <c r="G45" s="11" t="s">
        <v>36</v>
      </c>
      <c r="H45" s="92" t="s">
        <v>11</v>
      </c>
      <c r="I45" s="11" t="s">
        <v>37</v>
      </c>
      <c r="J45" s="11" t="s">
        <v>4</v>
      </c>
      <c r="K45" s="11" t="s">
        <v>0</v>
      </c>
    </row>
    <row r="46" spans="1:12" ht="22.5" customHeight="1">
      <c r="A46" s="11" t="s">
        <v>175</v>
      </c>
      <c r="B46" s="12" t="s">
        <v>176</v>
      </c>
      <c r="C46" s="12" t="s">
        <v>177</v>
      </c>
      <c r="D46" s="12" t="s">
        <v>178</v>
      </c>
      <c r="E46" s="12" t="s">
        <v>179</v>
      </c>
      <c r="F46" s="12" t="s">
        <v>133</v>
      </c>
      <c r="G46" s="11" t="s">
        <v>36</v>
      </c>
      <c r="H46" s="92" t="s">
        <v>11</v>
      </c>
      <c r="I46" s="11" t="s">
        <v>37</v>
      </c>
      <c r="J46" s="11" t="s">
        <v>4</v>
      </c>
      <c r="K46" s="11" t="s">
        <v>0</v>
      </c>
    </row>
    <row r="47" spans="1:12" ht="22.5" customHeight="1">
      <c r="A47" s="11" t="s">
        <v>180</v>
      </c>
      <c r="B47" s="12" t="s">
        <v>181</v>
      </c>
      <c r="C47" s="12" t="s">
        <v>57</v>
      </c>
      <c r="D47" s="12" t="s">
        <v>182</v>
      </c>
      <c r="E47" s="12" t="s">
        <v>183</v>
      </c>
      <c r="F47" s="12" t="s">
        <v>184</v>
      </c>
      <c r="G47" s="11" t="s">
        <v>36</v>
      </c>
      <c r="H47" s="92" t="s">
        <v>11</v>
      </c>
      <c r="I47" s="11" t="s">
        <v>37</v>
      </c>
      <c r="J47" s="11" t="s">
        <v>4</v>
      </c>
      <c r="K47" s="11" t="s">
        <v>0</v>
      </c>
    </row>
    <row r="48" spans="1:12" ht="22.5" customHeight="1">
      <c r="A48" s="11" t="s">
        <v>185</v>
      </c>
      <c r="B48" s="12" t="s">
        <v>186</v>
      </c>
      <c r="C48" s="12" t="s">
        <v>57</v>
      </c>
      <c r="D48" s="12" t="s">
        <v>187</v>
      </c>
      <c r="E48" s="12" t="s">
        <v>188</v>
      </c>
      <c r="F48" s="12" t="s">
        <v>189</v>
      </c>
      <c r="G48" s="11" t="s">
        <v>36</v>
      </c>
      <c r="H48" s="93" t="s">
        <v>12</v>
      </c>
      <c r="I48" s="11" t="s">
        <v>37</v>
      </c>
      <c r="J48" s="11" t="s">
        <v>4</v>
      </c>
      <c r="K48" s="11" t="s">
        <v>0</v>
      </c>
    </row>
    <row r="49" spans="1:11" ht="22.5" customHeight="1">
      <c r="A49" s="11" t="s">
        <v>185</v>
      </c>
      <c r="B49" s="12" t="s">
        <v>190</v>
      </c>
      <c r="C49" s="12" t="s">
        <v>57</v>
      </c>
      <c r="D49" s="12" t="s">
        <v>191</v>
      </c>
      <c r="E49" s="12" t="s">
        <v>192</v>
      </c>
      <c r="F49" s="12" t="s">
        <v>143</v>
      </c>
      <c r="G49" s="11" t="s">
        <v>36</v>
      </c>
      <c r="H49" s="93" t="s">
        <v>12</v>
      </c>
      <c r="I49" s="11" t="s">
        <v>37</v>
      </c>
      <c r="J49" s="11" t="s">
        <v>4</v>
      </c>
      <c r="K49" s="11" t="s">
        <v>0</v>
      </c>
    </row>
    <row r="50" spans="1:11" ht="22.5" customHeight="1">
      <c r="A50" s="88" t="s">
        <v>193</v>
      </c>
      <c r="B50" s="89"/>
      <c r="C50" s="89"/>
      <c r="D50" s="89"/>
      <c r="E50" s="89"/>
      <c r="F50" s="89"/>
      <c r="G50" s="89"/>
      <c r="H50" s="89"/>
      <c r="I50" s="89"/>
      <c r="J50" s="89"/>
      <c r="K50" s="89"/>
    </row>
    <row r="51" spans="1:11" ht="22.5" customHeight="1">
      <c r="A51" s="90" t="s">
        <v>194</v>
      </c>
      <c r="B51" s="89"/>
      <c r="C51" s="89"/>
      <c r="D51" s="89"/>
      <c r="E51" s="89"/>
      <c r="F51" s="89"/>
      <c r="G51" s="89"/>
      <c r="H51" s="89"/>
      <c r="I51" s="89"/>
      <c r="J51" s="89"/>
      <c r="K51" s="89"/>
    </row>
    <row r="52" spans="1:11" ht="82.5" customHeight="1">
      <c r="A52" s="11" t="s">
        <v>195</v>
      </c>
      <c r="B52" s="12" t="s">
        <v>196</v>
      </c>
      <c r="C52" s="12" t="s">
        <v>197</v>
      </c>
      <c r="D52" s="12" t="s">
        <v>198</v>
      </c>
      <c r="E52" s="12" t="s">
        <v>199</v>
      </c>
      <c r="F52" s="12" t="s">
        <v>200</v>
      </c>
      <c r="G52" s="11" t="s">
        <v>36</v>
      </c>
      <c r="H52" s="92" t="s">
        <v>11</v>
      </c>
      <c r="I52" s="11" t="s">
        <v>37</v>
      </c>
      <c r="J52" s="11" t="s">
        <v>4</v>
      </c>
      <c r="K52" s="11" t="s">
        <v>0</v>
      </c>
    </row>
    <row r="53" spans="1:11" ht="82.5" customHeight="1">
      <c r="A53" s="11" t="s">
        <v>201</v>
      </c>
      <c r="B53" s="12" t="s">
        <v>202</v>
      </c>
      <c r="C53" s="12" t="s">
        <v>203</v>
      </c>
      <c r="D53" s="12" t="s">
        <v>204</v>
      </c>
      <c r="E53" s="12" t="s">
        <v>205</v>
      </c>
      <c r="F53" s="12" t="s">
        <v>206</v>
      </c>
      <c r="G53" s="11" t="s">
        <v>36</v>
      </c>
      <c r="H53" s="92" t="s">
        <v>11</v>
      </c>
      <c r="I53" s="11" t="s">
        <v>37</v>
      </c>
      <c r="J53" s="11" t="s">
        <v>4</v>
      </c>
      <c r="K53" s="11" t="s">
        <v>2</v>
      </c>
    </row>
    <row r="54" spans="1:11" ht="22.5" customHeight="1">
      <c r="A54" s="11" t="s">
        <v>207</v>
      </c>
      <c r="B54" s="12" t="s">
        <v>208</v>
      </c>
      <c r="C54" s="12" t="s">
        <v>209</v>
      </c>
      <c r="D54" s="12" t="s">
        <v>210</v>
      </c>
      <c r="E54" s="12" t="s">
        <v>211</v>
      </c>
      <c r="F54" s="12" t="s">
        <v>212</v>
      </c>
      <c r="G54" s="11" t="s">
        <v>36</v>
      </c>
      <c r="H54" s="92" t="s">
        <v>11</v>
      </c>
      <c r="I54" s="11" t="s">
        <v>37</v>
      </c>
      <c r="J54" s="11" t="s">
        <v>4</v>
      </c>
      <c r="K54" s="11" t="s">
        <v>0</v>
      </c>
    </row>
    <row r="55" spans="1:11" ht="22.5" customHeight="1">
      <c r="A55" s="11" t="s">
        <v>213</v>
      </c>
      <c r="B55" s="12" t="s">
        <v>214</v>
      </c>
      <c r="C55" s="12" t="s">
        <v>57</v>
      </c>
      <c r="D55" s="12" t="s">
        <v>215</v>
      </c>
      <c r="E55" s="12" t="s">
        <v>216</v>
      </c>
      <c r="F55" s="12" t="s">
        <v>217</v>
      </c>
      <c r="G55" s="11" t="s">
        <v>36</v>
      </c>
      <c r="H55" s="92" t="s">
        <v>11</v>
      </c>
      <c r="I55" s="11" t="s">
        <v>37</v>
      </c>
      <c r="J55" s="11" t="s">
        <v>4</v>
      </c>
      <c r="K55" s="11" t="s">
        <v>0</v>
      </c>
    </row>
    <row r="56" spans="1:11" ht="22.5" customHeight="1">
      <c r="A56" s="11" t="s">
        <v>218</v>
      </c>
      <c r="B56" s="12" t="s">
        <v>219</v>
      </c>
      <c r="C56" s="12" t="s">
        <v>57</v>
      </c>
      <c r="D56" s="12" t="s">
        <v>220</v>
      </c>
      <c r="E56" s="12" t="s">
        <v>221</v>
      </c>
      <c r="F56" s="12" t="s">
        <v>222</v>
      </c>
      <c r="G56" s="11" t="s">
        <v>36</v>
      </c>
      <c r="H56" s="93" t="s">
        <v>12</v>
      </c>
      <c r="I56" s="11" t="s">
        <v>37</v>
      </c>
      <c r="J56" s="11" t="s">
        <v>4</v>
      </c>
      <c r="K56" s="11" t="s">
        <v>0</v>
      </c>
    </row>
    <row r="57" spans="1:11" ht="22.5" customHeight="1">
      <c r="A57" s="88" t="s">
        <v>223</v>
      </c>
      <c r="B57" s="89"/>
      <c r="C57" s="89"/>
      <c r="D57" s="89"/>
      <c r="E57" s="89"/>
      <c r="F57" s="89"/>
      <c r="G57" s="89"/>
      <c r="H57" s="89"/>
      <c r="I57" s="89"/>
      <c r="J57" s="89"/>
      <c r="K57" s="89"/>
    </row>
    <row r="58" spans="1:11" ht="22.5" customHeight="1">
      <c r="A58" s="90" t="s">
        <v>224</v>
      </c>
      <c r="B58" s="89"/>
      <c r="C58" s="89"/>
      <c r="D58" s="89"/>
      <c r="E58" s="89"/>
      <c r="F58" s="89"/>
      <c r="G58" s="89"/>
      <c r="H58" s="89"/>
      <c r="I58" s="89"/>
      <c r="J58" s="89"/>
      <c r="K58" s="89"/>
    </row>
    <row r="59" spans="1:11" ht="22.5" customHeight="1">
      <c r="A59" s="11" t="s">
        <v>225</v>
      </c>
      <c r="B59" s="12" t="s">
        <v>226</v>
      </c>
      <c r="C59" s="12" t="s">
        <v>227</v>
      </c>
      <c r="D59" s="12" t="s">
        <v>228</v>
      </c>
      <c r="E59" s="12" t="s">
        <v>229</v>
      </c>
      <c r="F59" s="12" t="s">
        <v>200</v>
      </c>
      <c r="G59" s="11" t="s">
        <v>36</v>
      </c>
      <c r="H59" s="92" t="s">
        <v>11</v>
      </c>
      <c r="I59" s="11" t="s">
        <v>37</v>
      </c>
      <c r="J59" s="11" t="s">
        <v>4</v>
      </c>
      <c r="K59" s="11" t="s">
        <v>0</v>
      </c>
    </row>
    <row r="60" spans="1:11" ht="22.5" customHeight="1">
      <c r="A60" s="11" t="s">
        <v>230</v>
      </c>
      <c r="B60" s="12" t="s">
        <v>231</v>
      </c>
      <c r="C60" s="12" t="s">
        <v>232</v>
      </c>
      <c r="D60" s="12" t="s">
        <v>233</v>
      </c>
      <c r="E60" s="12" t="s">
        <v>234</v>
      </c>
      <c r="F60" s="12" t="s">
        <v>206</v>
      </c>
      <c r="G60" s="11" t="s">
        <v>36</v>
      </c>
      <c r="H60" s="92" t="s">
        <v>11</v>
      </c>
      <c r="I60" s="11" t="s">
        <v>37</v>
      </c>
      <c r="J60" s="11" t="s">
        <v>4</v>
      </c>
      <c r="K60" s="11" t="s">
        <v>2</v>
      </c>
    </row>
    <row r="61" spans="1:11" ht="22.5" customHeight="1">
      <c r="A61" s="11" t="s">
        <v>235</v>
      </c>
      <c r="B61" s="12" t="s">
        <v>236</v>
      </c>
      <c r="C61" s="12" t="s">
        <v>237</v>
      </c>
      <c r="D61" s="12" t="s">
        <v>238</v>
      </c>
      <c r="E61" s="12" t="s">
        <v>239</v>
      </c>
      <c r="F61" s="12" t="s">
        <v>212</v>
      </c>
      <c r="G61" s="11" t="s">
        <v>36</v>
      </c>
      <c r="H61" s="92" t="s">
        <v>11</v>
      </c>
      <c r="I61" s="11" t="s">
        <v>37</v>
      </c>
      <c r="J61" s="11" t="s">
        <v>4</v>
      </c>
      <c r="K61" s="11" t="s">
        <v>0</v>
      </c>
    </row>
    <row r="62" spans="1:11" ht="22.5" customHeight="1">
      <c r="A62" s="11" t="s">
        <v>240</v>
      </c>
      <c r="B62" s="12" t="s">
        <v>241</v>
      </c>
      <c r="C62" s="12" t="s">
        <v>57</v>
      </c>
      <c r="D62" s="12" t="s">
        <v>242</v>
      </c>
      <c r="E62" s="12" t="s">
        <v>243</v>
      </c>
      <c r="F62" s="12" t="s">
        <v>244</v>
      </c>
      <c r="G62" s="11" t="s">
        <v>36</v>
      </c>
      <c r="H62" s="92" t="s">
        <v>11</v>
      </c>
      <c r="I62" s="11" t="s">
        <v>37</v>
      </c>
      <c r="J62" s="11" t="s">
        <v>4</v>
      </c>
      <c r="K62" s="11" t="s">
        <v>0</v>
      </c>
    </row>
    <row r="63" spans="1:11" ht="22.5" customHeight="1">
      <c r="A63" s="88" t="s">
        <v>245</v>
      </c>
      <c r="B63" s="89"/>
      <c r="C63" s="89"/>
      <c r="D63" s="89"/>
      <c r="E63" s="89"/>
      <c r="F63" s="89"/>
      <c r="G63" s="89"/>
      <c r="H63" s="89"/>
      <c r="I63" s="89"/>
      <c r="J63" s="89"/>
      <c r="K63" s="89"/>
    </row>
    <row r="64" spans="1:11" ht="22.5" customHeight="1">
      <c r="A64" s="90" t="s">
        <v>246</v>
      </c>
      <c r="B64" s="89"/>
      <c r="C64" s="89"/>
      <c r="D64" s="89"/>
      <c r="E64" s="89"/>
      <c r="F64" s="89"/>
      <c r="G64" s="89"/>
      <c r="H64" s="89"/>
      <c r="I64" s="89"/>
      <c r="J64" s="89"/>
      <c r="K64" s="89"/>
    </row>
    <row r="65" spans="1:11" ht="22.5" customHeight="1">
      <c r="A65" s="11" t="s">
        <v>247</v>
      </c>
      <c r="B65" s="12" t="s">
        <v>248</v>
      </c>
      <c r="C65" s="12" t="s">
        <v>249</v>
      </c>
      <c r="D65" s="12" t="s">
        <v>250</v>
      </c>
      <c r="E65" s="12" t="s">
        <v>251</v>
      </c>
      <c r="F65" s="12" t="s">
        <v>252</v>
      </c>
      <c r="G65" s="11" t="s">
        <v>36</v>
      </c>
      <c r="H65" s="92" t="s">
        <v>11</v>
      </c>
      <c r="I65" s="11" t="s">
        <v>37</v>
      </c>
      <c r="J65" s="11" t="s">
        <v>4</v>
      </c>
      <c r="K65" s="11" t="s">
        <v>0</v>
      </c>
    </row>
    <row r="66" spans="1:11" ht="22.5" customHeight="1">
      <c r="A66" s="11" t="s">
        <v>253</v>
      </c>
      <c r="B66" s="12" t="s">
        <v>254</v>
      </c>
      <c r="C66" s="12" t="s">
        <v>255</v>
      </c>
      <c r="D66" s="12" t="s">
        <v>256</v>
      </c>
      <c r="E66" s="12" t="s">
        <v>257</v>
      </c>
      <c r="F66" s="12" t="s">
        <v>258</v>
      </c>
      <c r="G66" s="11" t="s">
        <v>36</v>
      </c>
      <c r="H66" s="92" t="s">
        <v>11</v>
      </c>
      <c r="I66" s="11" t="s">
        <v>37</v>
      </c>
      <c r="J66" s="11" t="s">
        <v>4</v>
      </c>
      <c r="K66" s="11" t="s">
        <v>2</v>
      </c>
    </row>
    <row r="67" spans="1:11" ht="22.5" customHeight="1">
      <c r="A67" s="11" t="s">
        <v>259</v>
      </c>
      <c r="B67" s="12" t="s">
        <v>260</v>
      </c>
      <c r="C67" s="12" t="s">
        <v>261</v>
      </c>
      <c r="D67" s="12" t="s">
        <v>262</v>
      </c>
      <c r="E67" s="12" t="s">
        <v>263</v>
      </c>
      <c r="F67" s="12" t="s">
        <v>264</v>
      </c>
      <c r="G67" s="11" t="s">
        <v>36</v>
      </c>
      <c r="H67" s="92" t="s">
        <v>11</v>
      </c>
      <c r="I67" s="11" t="s">
        <v>37</v>
      </c>
      <c r="J67" s="11" t="s">
        <v>4</v>
      </c>
      <c r="K67" s="11" t="s">
        <v>0</v>
      </c>
    </row>
    <row r="68" spans="1:11" ht="22.5" customHeight="1">
      <c r="A68" s="11" t="s">
        <v>265</v>
      </c>
      <c r="B68" s="12" t="s">
        <v>266</v>
      </c>
      <c r="C68" s="12" t="s">
        <v>57</v>
      </c>
      <c r="D68" s="12" t="s">
        <v>267</v>
      </c>
      <c r="E68" s="12" t="s">
        <v>268</v>
      </c>
      <c r="F68" s="12" t="s">
        <v>269</v>
      </c>
      <c r="G68" s="11" t="s">
        <v>36</v>
      </c>
      <c r="H68" s="92" t="s">
        <v>11</v>
      </c>
      <c r="I68" s="11" t="s">
        <v>37</v>
      </c>
      <c r="J68" s="11" t="s">
        <v>4</v>
      </c>
      <c r="K68" s="11" t="s">
        <v>0</v>
      </c>
    </row>
    <row r="69" spans="1:11" ht="22.5" customHeight="1">
      <c r="A69" s="88" t="s">
        <v>270</v>
      </c>
      <c r="B69" s="89"/>
      <c r="C69" s="89"/>
      <c r="D69" s="89"/>
      <c r="E69" s="89"/>
      <c r="F69" s="89"/>
      <c r="G69" s="89"/>
      <c r="H69" s="89"/>
      <c r="I69" s="89"/>
      <c r="J69" s="89"/>
      <c r="K69" s="89"/>
    </row>
    <row r="70" spans="1:11" ht="22.5" customHeight="1">
      <c r="A70" s="90" t="s">
        <v>271</v>
      </c>
      <c r="B70" s="89"/>
      <c r="C70" s="89"/>
      <c r="D70" s="89"/>
      <c r="E70" s="89"/>
      <c r="F70" s="89"/>
      <c r="G70" s="89"/>
      <c r="H70" s="89"/>
      <c r="I70" s="89"/>
      <c r="J70" s="89"/>
      <c r="K70" s="89"/>
    </row>
    <row r="71" spans="1:11" ht="22.5" customHeight="1">
      <c r="A71" s="11" t="s">
        <v>272</v>
      </c>
      <c r="B71" s="12" t="s">
        <v>273</v>
      </c>
      <c r="C71" s="83" t="s">
        <v>274</v>
      </c>
      <c r="D71" s="83" t="s">
        <v>275</v>
      </c>
      <c r="E71" s="83" t="s">
        <v>276</v>
      </c>
      <c r="F71" s="12" t="s">
        <v>277</v>
      </c>
      <c r="G71" s="11" t="s">
        <v>36</v>
      </c>
      <c r="H71" s="92" t="s">
        <v>11</v>
      </c>
      <c r="I71" s="11" t="s">
        <v>37</v>
      </c>
      <c r="J71" s="11" t="s">
        <v>4</v>
      </c>
      <c r="K71" s="11" t="s">
        <v>0</v>
      </c>
    </row>
    <row r="72" spans="1:11" ht="22.5" customHeight="1">
      <c r="A72" s="11" t="s">
        <v>278</v>
      </c>
      <c r="B72" s="12" t="s">
        <v>279</v>
      </c>
      <c r="C72" s="12" t="s">
        <v>280</v>
      </c>
      <c r="D72" s="12" t="s">
        <v>281</v>
      </c>
      <c r="E72" s="83" t="s">
        <v>282</v>
      </c>
      <c r="F72" s="12" t="s">
        <v>283</v>
      </c>
      <c r="G72" s="11" t="s">
        <v>36</v>
      </c>
      <c r="H72" s="92" t="s">
        <v>11</v>
      </c>
      <c r="I72" s="11" t="s">
        <v>37</v>
      </c>
      <c r="J72" s="11" t="s">
        <v>4</v>
      </c>
      <c r="K72" s="11" t="s">
        <v>0</v>
      </c>
    </row>
    <row r="73" spans="1:11" ht="22.5" customHeight="1">
      <c r="A73" s="11" t="s">
        <v>284</v>
      </c>
      <c r="B73" s="12" t="s">
        <v>285</v>
      </c>
      <c r="C73" s="12" t="s">
        <v>286</v>
      </c>
      <c r="D73" s="12" t="s">
        <v>287</v>
      </c>
      <c r="E73" s="12" t="s">
        <v>288</v>
      </c>
      <c r="F73" s="12" t="s">
        <v>133</v>
      </c>
      <c r="G73" s="11" t="s">
        <v>36</v>
      </c>
      <c r="H73" s="92" t="s">
        <v>11</v>
      </c>
      <c r="I73" s="11" t="s">
        <v>37</v>
      </c>
      <c r="J73" s="11" t="s">
        <v>4</v>
      </c>
      <c r="K73" s="11" t="s">
        <v>0</v>
      </c>
    </row>
    <row r="74" spans="1:11" ht="22.5" customHeight="1">
      <c r="A74" s="11" t="s">
        <v>289</v>
      </c>
      <c r="B74" s="12" t="s">
        <v>290</v>
      </c>
      <c r="C74" s="12" t="s">
        <v>291</v>
      </c>
      <c r="D74" s="12" t="s">
        <v>292</v>
      </c>
      <c r="E74" s="12" t="s">
        <v>293</v>
      </c>
      <c r="F74" s="12" t="s">
        <v>294</v>
      </c>
      <c r="G74" s="11" t="s">
        <v>36</v>
      </c>
      <c r="H74" s="92" t="s">
        <v>11</v>
      </c>
      <c r="I74" s="11" t="s">
        <v>37</v>
      </c>
      <c r="J74" s="11" t="s">
        <v>4</v>
      </c>
      <c r="K74" s="11" t="s">
        <v>0</v>
      </c>
    </row>
    <row r="75" spans="1:11" ht="22.5" customHeight="1">
      <c r="A75" s="11" t="s">
        <v>295</v>
      </c>
      <c r="B75" s="83" t="s">
        <v>296</v>
      </c>
      <c r="C75" s="12" t="s">
        <v>297</v>
      </c>
      <c r="D75" s="83" t="s">
        <v>298</v>
      </c>
      <c r="E75" s="83" t="s">
        <v>299</v>
      </c>
      <c r="F75" s="83" t="s">
        <v>300</v>
      </c>
      <c r="G75" s="11" t="s">
        <v>36</v>
      </c>
      <c r="H75" s="92" t="s">
        <v>11</v>
      </c>
      <c r="I75" s="11" t="s">
        <v>37</v>
      </c>
      <c r="J75" s="11" t="s">
        <v>4</v>
      </c>
      <c r="K75" s="11" t="s">
        <v>0</v>
      </c>
    </row>
    <row r="76" spans="1:11" ht="22.5" customHeight="1">
      <c r="A76" s="11" t="s">
        <v>301</v>
      </c>
      <c r="B76" s="12" t="s">
        <v>302</v>
      </c>
      <c r="C76" s="12" t="s">
        <v>57</v>
      </c>
      <c r="D76" s="12" t="s">
        <v>303</v>
      </c>
      <c r="E76" s="12" t="s">
        <v>304</v>
      </c>
      <c r="F76" s="12" t="s">
        <v>305</v>
      </c>
      <c r="G76" s="11" t="s">
        <v>36</v>
      </c>
      <c r="H76" s="92" t="s">
        <v>11</v>
      </c>
      <c r="I76" s="11" t="s">
        <v>37</v>
      </c>
      <c r="J76" s="11" t="s">
        <v>4</v>
      </c>
      <c r="K76" s="11" t="s">
        <v>0</v>
      </c>
    </row>
    <row r="77" spans="1:11" ht="22.5" customHeight="1">
      <c r="A77" s="11" t="s">
        <v>306</v>
      </c>
      <c r="B77" s="12" t="s">
        <v>307</v>
      </c>
      <c r="C77" s="12" t="s">
        <v>57</v>
      </c>
      <c r="D77" s="12" t="s">
        <v>308</v>
      </c>
      <c r="E77" s="12" t="s">
        <v>309</v>
      </c>
      <c r="F77" s="12" t="s">
        <v>310</v>
      </c>
      <c r="G77" s="11" t="s">
        <v>36</v>
      </c>
      <c r="H77" s="92" t="s">
        <v>11</v>
      </c>
      <c r="I77" s="11" t="s">
        <v>37</v>
      </c>
      <c r="J77" s="11" t="s">
        <v>4</v>
      </c>
      <c r="K77" s="11" t="s">
        <v>0</v>
      </c>
    </row>
    <row r="78" spans="1:11" ht="22.5" customHeight="1">
      <c r="A78" s="11" t="s">
        <v>311</v>
      </c>
      <c r="B78" s="12" t="s">
        <v>312</v>
      </c>
      <c r="C78" s="12" t="s">
        <v>313</v>
      </c>
      <c r="D78" s="12" t="s">
        <v>314</v>
      </c>
      <c r="E78" s="12" t="s">
        <v>315</v>
      </c>
      <c r="F78" s="12" t="s">
        <v>316</v>
      </c>
      <c r="G78" s="11" t="s">
        <v>36</v>
      </c>
      <c r="H78" s="93" t="s">
        <v>12</v>
      </c>
      <c r="I78" s="11" t="s">
        <v>37</v>
      </c>
      <c r="J78" s="11" t="s">
        <v>4</v>
      </c>
      <c r="K78" s="11" t="s">
        <v>0</v>
      </c>
    </row>
    <row r="79" spans="1:11" ht="22.5" customHeight="1">
      <c r="A79" s="11" t="s">
        <v>317</v>
      </c>
      <c r="B79" s="12" t="s">
        <v>318</v>
      </c>
      <c r="C79" s="12" t="s">
        <v>57</v>
      </c>
      <c r="D79" s="12" t="s">
        <v>319</v>
      </c>
      <c r="E79" s="12" t="s">
        <v>320</v>
      </c>
      <c r="F79" s="12" t="s">
        <v>321</v>
      </c>
      <c r="G79" s="11" t="s">
        <v>36</v>
      </c>
      <c r="H79" s="93" t="s">
        <v>12</v>
      </c>
      <c r="I79" s="11" t="s">
        <v>37</v>
      </c>
      <c r="J79" s="11" t="s">
        <v>4</v>
      </c>
      <c r="K79" s="11" t="s">
        <v>0</v>
      </c>
    </row>
    <row r="80" spans="1:11" ht="22.5" customHeight="1">
      <c r="A80" s="11" t="s">
        <v>322</v>
      </c>
      <c r="B80" s="12" t="s">
        <v>323</v>
      </c>
      <c r="C80" s="12" t="s">
        <v>324</v>
      </c>
      <c r="D80" s="12" t="s">
        <v>325</v>
      </c>
      <c r="E80" s="12" t="s">
        <v>326</v>
      </c>
      <c r="F80" s="12" t="s">
        <v>327</v>
      </c>
      <c r="G80" s="11" t="s">
        <v>36</v>
      </c>
      <c r="H80" s="93" t="s">
        <v>12</v>
      </c>
      <c r="I80" s="11" t="s">
        <v>37</v>
      </c>
      <c r="J80" s="11" t="s">
        <v>4</v>
      </c>
      <c r="K80" s="11" t="s">
        <v>0</v>
      </c>
    </row>
    <row r="81" spans="1:12" ht="22.5" customHeight="1">
      <c r="A81" s="88" t="s">
        <v>328</v>
      </c>
      <c r="B81" s="89"/>
      <c r="C81" s="89"/>
      <c r="D81" s="89"/>
      <c r="E81" s="89"/>
      <c r="F81" s="89"/>
      <c r="G81" s="89"/>
      <c r="H81" s="89"/>
      <c r="I81" s="89"/>
      <c r="J81" s="89"/>
      <c r="K81" s="89"/>
    </row>
    <row r="82" spans="1:12" ht="22.5" customHeight="1">
      <c r="A82" s="90" t="s">
        <v>329</v>
      </c>
      <c r="B82" s="89"/>
      <c r="C82" s="89"/>
      <c r="D82" s="89"/>
      <c r="E82" s="89"/>
      <c r="F82" s="89"/>
      <c r="G82" s="89"/>
      <c r="H82" s="89"/>
      <c r="I82" s="89"/>
      <c r="J82" s="89"/>
      <c r="K82" s="89"/>
    </row>
    <row r="83" spans="1:12" ht="22.5" customHeight="1">
      <c r="A83" s="11" t="s">
        <v>330</v>
      </c>
      <c r="B83" s="12" t="s">
        <v>331</v>
      </c>
      <c r="C83" s="12" t="s">
        <v>332</v>
      </c>
      <c r="D83" s="12" t="s">
        <v>333</v>
      </c>
      <c r="E83" s="12" t="s">
        <v>334</v>
      </c>
      <c r="F83" s="12" t="s">
        <v>335</v>
      </c>
      <c r="G83" s="11" t="s">
        <v>36</v>
      </c>
      <c r="H83" s="92" t="s">
        <v>11</v>
      </c>
      <c r="I83" s="11" t="s">
        <v>37</v>
      </c>
      <c r="J83" s="11" t="s">
        <v>4</v>
      </c>
      <c r="K83" s="11" t="s">
        <v>0</v>
      </c>
    </row>
    <row r="84" spans="1:12" ht="22.5" customHeight="1">
      <c r="A84" s="11" t="s">
        <v>336</v>
      </c>
      <c r="B84" s="12" t="s">
        <v>337</v>
      </c>
      <c r="C84" s="12" t="s">
        <v>338</v>
      </c>
      <c r="D84" s="12" t="s">
        <v>339</v>
      </c>
      <c r="E84" s="12" t="s">
        <v>340</v>
      </c>
      <c r="F84" s="12" t="s">
        <v>341</v>
      </c>
      <c r="G84" s="11" t="s">
        <v>36</v>
      </c>
      <c r="H84" s="92" t="s">
        <v>11</v>
      </c>
      <c r="I84" s="11" t="s">
        <v>37</v>
      </c>
      <c r="J84" s="11" t="s">
        <v>4</v>
      </c>
      <c r="K84" s="11" t="s">
        <v>0</v>
      </c>
    </row>
    <row r="85" spans="1:12" ht="22.5" customHeight="1">
      <c r="A85" s="11" t="s">
        <v>342</v>
      </c>
      <c r="B85" s="12" t="s">
        <v>343</v>
      </c>
      <c r="C85" s="12" t="s">
        <v>344</v>
      </c>
      <c r="D85" s="12" t="s">
        <v>345</v>
      </c>
      <c r="E85" s="12" t="s">
        <v>346</v>
      </c>
      <c r="F85" s="12" t="s">
        <v>347</v>
      </c>
      <c r="G85" s="11" t="s">
        <v>36</v>
      </c>
      <c r="H85" s="92" t="s">
        <v>11</v>
      </c>
      <c r="I85" s="11" t="s">
        <v>37</v>
      </c>
      <c r="J85" s="11" t="s">
        <v>4</v>
      </c>
      <c r="K85" s="11" t="s">
        <v>0</v>
      </c>
    </row>
    <row r="86" spans="1:12" ht="22.5" customHeight="1">
      <c r="A86" s="11" t="s">
        <v>348</v>
      </c>
      <c r="B86" s="12" t="s">
        <v>349</v>
      </c>
      <c r="C86" s="12" t="s">
        <v>350</v>
      </c>
      <c r="D86" s="12" t="s">
        <v>351</v>
      </c>
      <c r="E86" s="12" t="s">
        <v>352</v>
      </c>
      <c r="F86" s="12" t="s">
        <v>353</v>
      </c>
      <c r="G86" s="11" t="s">
        <v>36</v>
      </c>
      <c r="H86" s="92" t="s">
        <v>11</v>
      </c>
      <c r="I86" s="11" t="s">
        <v>37</v>
      </c>
      <c r="J86" s="11" t="s">
        <v>4</v>
      </c>
      <c r="K86" s="11" t="s">
        <v>2</v>
      </c>
      <c r="L86" s="2" t="s">
        <v>354</v>
      </c>
    </row>
    <row r="87" spans="1:12" ht="22.5" customHeight="1">
      <c r="A87" s="11" t="s">
        <v>355</v>
      </c>
      <c r="B87" s="12" t="s">
        <v>356</v>
      </c>
      <c r="C87" s="12" t="s">
        <v>357</v>
      </c>
      <c r="D87" s="12" t="s">
        <v>358</v>
      </c>
      <c r="E87" s="12" t="s">
        <v>359</v>
      </c>
      <c r="F87" s="12" t="s">
        <v>360</v>
      </c>
      <c r="G87" s="11" t="s">
        <v>36</v>
      </c>
      <c r="H87" s="93" t="s">
        <v>12</v>
      </c>
      <c r="I87" s="11" t="s">
        <v>37</v>
      </c>
      <c r="J87" s="11" t="s">
        <v>4</v>
      </c>
      <c r="K87" s="11" t="s">
        <v>0</v>
      </c>
    </row>
    <row r="88" spans="1:12" ht="22.5" customHeight="1">
      <c r="A88" s="11" t="s">
        <v>361</v>
      </c>
      <c r="B88" s="12" t="s">
        <v>362</v>
      </c>
      <c r="C88" s="12" t="s">
        <v>363</v>
      </c>
      <c r="D88" s="12" t="s">
        <v>364</v>
      </c>
      <c r="E88" s="12" t="s">
        <v>365</v>
      </c>
      <c r="F88" s="12" t="s">
        <v>366</v>
      </c>
      <c r="G88" s="11" t="s">
        <v>36</v>
      </c>
      <c r="H88" s="92" t="s">
        <v>11</v>
      </c>
      <c r="I88" s="11" t="s">
        <v>37</v>
      </c>
      <c r="J88" s="11" t="s">
        <v>4</v>
      </c>
      <c r="K88" s="11" t="s">
        <v>2</v>
      </c>
      <c r="L88" s="2" t="s">
        <v>354</v>
      </c>
    </row>
    <row r="89" spans="1:12" ht="22.5" customHeight="1">
      <c r="A89" s="88" t="s">
        <v>367</v>
      </c>
      <c r="B89" s="89"/>
      <c r="C89" s="89"/>
      <c r="D89" s="89"/>
      <c r="E89" s="89"/>
      <c r="F89" s="89"/>
      <c r="G89" s="89"/>
      <c r="H89" s="89"/>
      <c r="I89" s="89"/>
      <c r="J89" s="89"/>
      <c r="K89" s="89"/>
    </row>
    <row r="90" spans="1:12" ht="22.5" customHeight="1">
      <c r="A90" s="90" t="s">
        <v>368</v>
      </c>
      <c r="B90" s="89"/>
      <c r="C90" s="89"/>
      <c r="D90" s="89"/>
      <c r="E90" s="89"/>
      <c r="F90" s="89"/>
      <c r="G90" s="89"/>
      <c r="H90" s="89"/>
      <c r="I90" s="89"/>
      <c r="J90" s="89"/>
      <c r="K90" s="89"/>
    </row>
    <row r="91" spans="1:12" ht="22.5" customHeight="1">
      <c r="A91" s="11" t="s">
        <v>369</v>
      </c>
      <c r="B91" s="12" t="s">
        <v>370</v>
      </c>
      <c r="C91" s="12" t="s">
        <v>371</v>
      </c>
      <c r="D91" s="12" t="s">
        <v>372</v>
      </c>
      <c r="E91" s="12" t="s">
        <v>373</v>
      </c>
      <c r="F91" s="12" t="s">
        <v>374</v>
      </c>
      <c r="G91" s="11" t="s">
        <v>36</v>
      </c>
      <c r="H91" s="92" t="s">
        <v>11</v>
      </c>
      <c r="I91" s="11" t="s">
        <v>37</v>
      </c>
      <c r="J91" s="11" t="s">
        <v>4</v>
      </c>
      <c r="K91" s="11" t="s">
        <v>0</v>
      </c>
    </row>
    <row r="92" spans="1:12" ht="22.5" customHeight="1">
      <c r="A92" s="11" t="s">
        <v>375</v>
      </c>
      <c r="B92" s="12" t="s">
        <v>376</v>
      </c>
      <c r="C92" s="12" t="s">
        <v>377</v>
      </c>
      <c r="D92" s="12" t="s">
        <v>378</v>
      </c>
      <c r="E92" s="12" t="s">
        <v>379</v>
      </c>
      <c r="F92" s="12" t="s">
        <v>380</v>
      </c>
      <c r="G92" s="11" t="s">
        <v>36</v>
      </c>
      <c r="H92" s="93" t="s">
        <v>12</v>
      </c>
      <c r="I92" s="11" t="s">
        <v>37</v>
      </c>
      <c r="J92" s="11" t="s">
        <v>4</v>
      </c>
      <c r="K92" s="11" t="s">
        <v>0</v>
      </c>
    </row>
    <row r="93" spans="1:12" ht="22.5" customHeight="1">
      <c r="A93" s="11" t="s">
        <v>381</v>
      </c>
      <c r="B93" s="12" t="s">
        <v>382</v>
      </c>
      <c r="C93" s="12" t="s">
        <v>383</v>
      </c>
      <c r="D93" s="12" t="s">
        <v>384</v>
      </c>
      <c r="E93" s="12" t="s">
        <v>385</v>
      </c>
      <c r="F93" s="12" t="s">
        <v>386</v>
      </c>
      <c r="G93" s="11" t="s">
        <v>36</v>
      </c>
      <c r="H93" s="92" t="s">
        <v>11</v>
      </c>
      <c r="I93" s="11" t="s">
        <v>37</v>
      </c>
      <c r="J93" s="11" t="s">
        <v>4</v>
      </c>
      <c r="K93" s="11" t="s">
        <v>0</v>
      </c>
    </row>
    <row r="94" spans="1:12" ht="22.5" customHeight="1">
      <c r="A94" s="11" t="s">
        <v>387</v>
      </c>
      <c r="B94" s="12" t="s">
        <v>388</v>
      </c>
      <c r="C94" s="12" t="s">
        <v>32</v>
      </c>
      <c r="D94" s="12" t="s">
        <v>389</v>
      </c>
      <c r="E94" s="12" t="s">
        <v>390</v>
      </c>
      <c r="F94" s="12" t="s">
        <v>391</v>
      </c>
      <c r="G94" s="11" t="s">
        <v>36</v>
      </c>
      <c r="H94" s="92" t="s">
        <v>11</v>
      </c>
      <c r="I94" s="11" t="s">
        <v>37</v>
      </c>
      <c r="J94" s="11" t="s">
        <v>4</v>
      </c>
      <c r="K94" s="11" t="s">
        <v>0</v>
      </c>
    </row>
    <row r="95" spans="1:12" ht="69.75" customHeight="1">
      <c r="A95" s="11" t="s">
        <v>392</v>
      </c>
      <c r="B95" s="12" t="s">
        <v>393</v>
      </c>
      <c r="C95" s="12" t="s">
        <v>394</v>
      </c>
      <c r="D95" s="12" t="s">
        <v>395</v>
      </c>
      <c r="E95" s="12" t="s">
        <v>396</v>
      </c>
      <c r="F95" s="12" t="s">
        <v>397</v>
      </c>
      <c r="G95" s="11" t="s">
        <v>36</v>
      </c>
      <c r="H95" s="93" t="s">
        <v>12</v>
      </c>
      <c r="I95" s="11" t="s">
        <v>37</v>
      </c>
      <c r="J95" s="11" t="s">
        <v>4</v>
      </c>
      <c r="K95" s="11" t="s">
        <v>2</v>
      </c>
      <c r="L95" s="2" t="s">
        <v>354</v>
      </c>
    </row>
    <row r="96" spans="1:12" ht="22.5" customHeight="1">
      <c r="A96" s="88" t="s">
        <v>398</v>
      </c>
      <c r="B96" s="89"/>
      <c r="C96" s="89"/>
      <c r="D96" s="89"/>
      <c r="E96" s="89"/>
      <c r="F96" s="89"/>
      <c r="G96" s="89"/>
      <c r="H96" s="89"/>
      <c r="I96" s="89"/>
      <c r="J96" s="89"/>
      <c r="K96" s="89"/>
    </row>
    <row r="97" spans="1:12" ht="22.5" customHeight="1">
      <c r="A97" s="90" t="s">
        <v>399</v>
      </c>
      <c r="B97" s="89"/>
      <c r="C97" s="89"/>
      <c r="D97" s="89"/>
      <c r="E97" s="89"/>
      <c r="F97" s="89"/>
      <c r="G97" s="89"/>
      <c r="H97" s="89"/>
      <c r="I97" s="89"/>
      <c r="J97" s="89"/>
      <c r="K97" s="89"/>
    </row>
    <row r="98" spans="1:12" ht="22.5" customHeight="1">
      <c r="A98" s="11" t="s">
        <v>400</v>
      </c>
      <c r="B98" s="12" t="s">
        <v>401</v>
      </c>
      <c r="C98" s="12" t="s">
        <v>57</v>
      </c>
      <c r="D98" s="12" t="s">
        <v>402</v>
      </c>
      <c r="E98" s="12" t="s">
        <v>403</v>
      </c>
      <c r="F98" s="12" t="s">
        <v>404</v>
      </c>
      <c r="G98" s="11" t="s">
        <v>36</v>
      </c>
      <c r="H98" s="93" t="s">
        <v>12</v>
      </c>
      <c r="I98" s="11" t="s">
        <v>37</v>
      </c>
      <c r="J98" s="11" t="s">
        <v>4</v>
      </c>
      <c r="K98" s="11" t="s">
        <v>0</v>
      </c>
    </row>
    <row r="99" spans="1:12" ht="22.5" customHeight="1">
      <c r="A99" s="11" t="s">
        <v>405</v>
      </c>
      <c r="B99" s="12" t="s">
        <v>406</v>
      </c>
      <c r="C99" s="12" t="s">
        <v>57</v>
      </c>
      <c r="D99" s="83" t="s">
        <v>407</v>
      </c>
      <c r="E99" s="83" t="s">
        <v>408</v>
      </c>
      <c r="F99" s="83" t="s">
        <v>409</v>
      </c>
      <c r="G99" s="11" t="s">
        <v>36</v>
      </c>
      <c r="H99" s="93" t="s">
        <v>12</v>
      </c>
      <c r="I99" s="11" t="s">
        <v>37</v>
      </c>
      <c r="J99" s="11" t="s">
        <v>4</v>
      </c>
      <c r="K99" s="11" t="s">
        <v>0</v>
      </c>
    </row>
    <row r="100" spans="1:12" ht="22.5" customHeight="1">
      <c r="A100" s="11" t="s">
        <v>410</v>
      </c>
      <c r="B100" s="12" t="s">
        <v>411</v>
      </c>
      <c r="C100" s="12" t="s">
        <v>57</v>
      </c>
      <c r="D100" s="12" t="s">
        <v>412</v>
      </c>
      <c r="E100" s="12" t="s">
        <v>413</v>
      </c>
      <c r="F100" s="12" t="s">
        <v>414</v>
      </c>
      <c r="G100" s="11" t="s">
        <v>36</v>
      </c>
      <c r="H100" s="94" t="s">
        <v>13</v>
      </c>
      <c r="I100" s="11" t="s">
        <v>37</v>
      </c>
      <c r="J100" s="11" t="s">
        <v>4</v>
      </c>
      <c r="K100" s="11" t="s">
        <v>0</v>
      </c>
    </row>
    <row r="101" spans="1:12" ht="22.5" customHeight="1">
      <c r="A101" s="11" t="s">
        <v>415</v>
      </c>
      <c r="B101" s="12" t="s">
        <v>416</v>
      </c>
      <c r="C101" s="12" t="s">
        <v>57</v>
      </c>
      <c r="D101" s="12" t="s">
        <v>417</v>
      </c>
      <c r="E101" s="12" t="s">
        <v>418</v>
      </c>
      <c r="F101" s="12" t="s">
        <v>149</v>
      </c>
      <c r="G101" s="11" t="s">
        <v>36</v>
      </c>
      <c r="H101" s="94" t="s">
        <v>13</v>
      </c>
      <c r="I101" s="11" t="s">
        <v>37</v>
      </c>
      <c r="J101" s="11" t="s">
        <v>4</v>
      </c>
      <c r="K101" s="11" t="s">
        <v>0</v>
      </c>
    </row>
    <row r="102" spans="1:12" ht="22.5" customHeight="1">
      <c r="A102" s="11" t="s">
        <v>419</v>
      </c>
      <c r="B102" s="12" t="s">
        <v>420</v>
      </c>
      <c r="C102" s="12" t="s">
        <v>421</v>
      </c>
      <c r="D102" s="12" t="s">
        <v>422</v>
      </c>
      <c r="E102" s="12" t="s">
        <v>423</v>
      </c>
      <c r="F102" s="12" t="s">
        <v>424</v>
      </c>
      <c r="G102" s="11" t="s">
        <v>36</v>
      </c>
      <c r="H102" s="92" t="s">
        <v>11</v>
      </c>
      <c r="I102" s="11" t="s">
        <v>37</v>
      </c>
      <c r="J102" s="11" t="s">
        <v>4</v>
      </c>
      <c r="K102" s="11" t="s">
        <v>0</v>
      </c>
    </row>
    <row r="103" spans="1:12" ht="22.5" customHeight="1">
      <c r="A103" s="11" t="s">
        <v>425</v>
      </c>
      <c r="B103" s="83" t="s">
        <v>426</v>
      </c>
      <c r="C103" s="83" t="s">
        <v>427</v>
      </c>
      <c r="D103" s="83" t="s">
        <v>428</v>
      </c>
      <c r="E103" s="83" t="s">
        <v>429</v>
      </c>
      <c r="F103" s="83" t="s">
        <v>430</v>
      </c>
      <c r="G103" s="11" t="s">
        <v>36</v>
      </c>
      <c r="H103" s="93" t="s">
        <v>12</v>
      </c>
      <c r="I103" s="11" t="s">
        <v>37</v>
      </c>
      <c r="J103" s="11" t="s">
        <v>4</v>
      </c>
      <c r="K103" s="11" t="s">
        <v>0</v>
      </c>
    </row>
    <row r="104" spans="1:12" ht="22.5" customHeight="1">
      <c r="A104" s="11" t="s">
        <v>431</v>
      </c>
      <c r="B104" s="12" t="s">
        <v>432</v>
      </c>
      <c r="C104" s="12" t="s">
        <v>57</v>
      </c>
      <c r="D104" s="12" t="s">
        <v>433</v>
      </c>
      <c r="E104" s="12" t="s">
        <v>434</v>
      </c>
      <c r="F104" s="12" t="s">
        <v>435</v>
      </c>
      <c r="G104" s="11" t="s">
        <v>36</v>
      </c>
      <c r="H104" s="93" t="s">
        <v>12</v>
      </c>
      <c r="I104" s="11" t="s">
        <v>37</v>
      </c>
      <c r="J104" s="11" t="s">
        <v>4</v>
      </c>
      <c r="K104" s="11" t="s">
        <v>0</v>
      </c>
    </row>
    <row r="105" spans="1:12" ht="22.5" customHeight="1">
      <c r="A105" s="11" t="s">
        <v>436</v>
      </c>
      <c r="B105" s="12" t="s">
        <v>437</v>
      </c>
      <c r="C105" s="12" t="s">
        <v>438</v>
      </c>
      <c r="D105" s="12" t="s">
        <v>439</v>
      </c>
      <c r="E105" s="12" t="s">
        <v>440</v>
      </c>
      <c r="F105" s="12" t="s">
        <v>441</v>
      </c>
      <c r="G105" s="11" t="s">
        <v>36</v>
      </c>
      <c r="H105" s="92" t="s">
        <v>11</v>
      </c>
      <c r="I105" s="11" t="s">
        <v>37</v>
      </c>
      <c r="J105" s="11" t="s">
        <v>4</v>
      </c>
      <c r="K105" s="11" t="s">
        <v>0</v>
      </c>
    </row>
    <row r="106" spans="1:12" ht="22.5" customHeight="1">
      <c r="A106" s="109" t="s">
        <v>442</v>
      </c>
      <c r="B106" s="114"/>
      <c r="C106" s="114"/>
      <c r="D106" s="114"/>
      <c r="E106" s="114"/>
      <c r="F106" s="114"/>
      <c r="G106" s="114"/>
      <c r="H106" s="114"/>
      <c r="I106" s="114"/>
      <c r="J106" s="114"/>
      <c r="K106" s="114"/>
    </row>
    <row r="107" spans="1:12" ht="22.5" customHeight="1">
      <c r="A107" s="108" t="s">
        <v>443</v>
      </c>
      <c r="B107" s="114"/>
      <c r="C107" s="114"/>
      <c r="D107" s="114"/>
      <c r="E107" s="114"/>
      <c r="F107" s="114"/>
      <c r="G107" s="114"/>
      <c r="H107" s="114"/>
      <c r="I107" s="114"/>
      <c r="J107" s="114"/>
      <c r="K107" s="114"/>
    </row>
    <row r="108" spans="1:12" ht="22.5" customHeight="1">
      <c r="A108" s="11" t="s">
        <v>444</v>
      </c>
      <c r="B108" s="12" t="s">
        <v>445</v>
      </c>
      <c r="C108" s="12" t="s">
        <v>446</v>
      </c>
      <c r="D108" s="12" t="s">
        <v>447</v>
      </c>
      <c r="E108" s="12" t="s">
        <v>448</v>
      </c>
      <c r="F108" s="12" t="s">
        <v>449</v>
      </c>
      <c r="G108" s="11" t="s">
        <v>36</v>
      </c>
      <c r="H108" s="92" t="s">
        <v>12</v>
      </c>
      <c r="I108" s="11" t="s">
        <v>37</v>
      </c>
      <c r="J108" s="11" t="s">
        <v>4</v>
      </c>
      <c r="K108" s="11" t="s">
        <v>0</v>
      </c>
      <c r="L108" s="2" t="s">
        <v>450</v>
      </c>
    </row>
    <row r="109" spans="1:12" ht="22.5" customHeight="1">
      <c r="A109" s="11" t="s">
        <v>451</v>
      </c>
      <c r="B109" s="12" t="s">
        <v>452</v>
      </c>
      <c r="C109" s="12" t="s">
        <v>453</v>
      </c>
      <c r="D109" s="12" t="s">
        <v>454</v>
      </c>
      <c r="E109" s="12" t="s">
        <v>455</v>
      </c>
      <c r="F109" s="12" t="s">
        <v>449</v>
      </c>
      <c r="G109" s="11" t="s">
        <v>36</v>
      </c>
      <c r="H109" s="92" t="s">
        <v>12</v>
      </c>
      <c r="I109" s="11" t="s">
        <v>37</v>
      </c>
      <c r="J109" s="11" t="s">
        <v>4</v>
      </c>
      <c r="K109" s="11" t="s">
        <v>0</v>
      </c>
      <c r="L109" s="2" t="s">
        <v>450</v>
      </c>
    </row>
    <row r="110" spans="1:12" ht="22.5" customHeight="1">
      <c r="A110" s="11" t="s">
        <v>456</v>
      </c>
      <c r="B110" s="12" t="s">
        <v>457</v>
      </c>
      <c r="C110" s="12" t="s">
        <v>458</v>
      </c>
      <c r="D110" s="12" t="s">
        <v>459</v>
      </c>
      <c r="E110" s="12" t="s">
        <v>460</v>
      </c>
      <c r="F110" s="12" t="s">
        <v>449</v>
      </c>
      <c r="G110" s="11" t="s">
        <v>36</v>
      </c>
      <c r="H110" s="92" t="s">
        <v>12</v>
      </c>
      <c r="I110" s="11" t="s">
        <v>37</v>
      </c>
      <c r="J110" s="11" t="s">
        <v>4</v>
      </c>
      <c r="K110" s="11" t="s">
        <v>0</v>
      </c>
      <c r="L110" s="2" t="s">
        <v>450</v>
      </c>
    </row>
    <row r="111" spans="1:12" ht="22.5" customHeight="1">
      <c r="A111" s="108" t="s">
        <v>461</v>
      </c>
      <c r="B111" s="114"/>
      <c r="C111" s="114"/>
      <c r="D111" s="114"/>
      <c r="E111" s="114"/>
      <c r="F111" s="114"/>
      <c r="G111" s="114"/>
      <c r="H111" s="114"/>
      <c r="I111" s="114"/>
      <c r="J111" s="114"/>
      <c r="K111" s="114"/>
    </row>
    <row r="112" spans="1:12" ht="22.5" customHeight="1">
      <c r="A112" s="11" t="s">
        <v>462</v>
      </c>
      <c r="B112" s="12" t="s">
        <v>463</v>
      </c>
      <c r="C112" s="12" t="s">
        <v>464</v>
      </c>
      <c r="D112" s="12" t="s">
        <v>465</v>
      </c>
      <c r="E112" s="12" t="s">
        <v>466</v>
      </c>
      <c r="F112" s="12" t="s">
        <v>449</v>
      </c>
      <c r="G112" s="11" t="s">
        <v>36</v>
      </c>
      <c r="H112" s="92" t="s">
        <v>12</v>
      </c>
      <c r="I112" s="11" t="s">
        <v>37</v>
      </c>
      <c r="J112" s="11" t="s">
        <v>4</v>
      </c>
      <c r="K112" s="11" t="s">
        <v>0</v>
      </c>
      <c r="L112" s="2" t="s">
        <v>450</v>
      </c>
    </row>
    <row r="113" spans="1:12" ht="22.5" customHeight="1">
      <c r="A113" s="108" t="s">
        <v>467</v>
      </c>
      <c r="B113" s="114"/>
      <c r="C113" s="114"/>
      <c r="D113" s="114"/>
      <c r="E113" s="114"/>
      <c r="F113" s="114"/>
      <c r="G113" s="114"/>
      <c r="H113" s="114"/>
      <c r="I113" s="114"/>
      <c r="J113" s="114"/>
      <c r="K113" s="114"/>
    </row>
    <row r="114" spans="1:12" ht="22.5" customHeight="1">
      <c r="A114" s="11" t="s">
        <v>468</v>
      </c>
      <c r="B114" s="12" t="s">
        <v>469</v>
      </c>
      <c r="C114" s="12" t="s">
        <v>470</v>
      </c>
      <c r="D114" s="12" t="s">
        <v>471</v>
      </c>
      <c r="E114" s="12" t="s">
        <v>472</v>
      </c>
      <c r="F114" s="12" t="s">
        <v>449</v>
      </c>
      <c r="G114" s="11" t="s">
        <v>36</v>
      </c>
      <c r="H114" s="92" t="s">
        <v>12</v>
      </c>
      <c r="I114" s="11" t="s">
        <v>37</v>
      </c>
      <c r="J114" s="11" t="s">
        <v>4</v>
      </c>
      <c r="K114" s="11" t="s">
        <v>0</v>
      </c>
      <c r="L114" s="2" t="s">
        <v>450</v>
      </c>
    </row>
    <row r="115" spans="1:12" ht="22.5" customHeight="1">
      <c r="A115" s="11" t="s">
        <v>473</v>
      </c>
      <c r="B115" s="12" t="s">
        <v>474</v>
      </c>
      <c r="C115" s="12" t="s">
        <v>475</v>
      </c>
      <c r="D115" s="12" t="s">
        <v>476</v>
      </c>
      <c r="E115" s="12" t="s">
        <v>477</v>
      </c>
      <c r="F115" s="12" t="s">
        <v>449</v>
      </c>
      <c r="G115" s="11" t="s">
        <v>36</v>
      </c>
      <c r="H115" s="92" t="s">
        <v>12</v>
      </c>
      <c r="I115" s="11" t="s">
        <v>37</v>
      </c>
      <c r="J115" s="11" t="s">
        <v>4</v>
      </c>
      <c r="K115" s="11" t="s">
        <v>0</v>
      </c>
      <c r="L115" s="2" t="s">
        <v>450</v>
      </c>
    </row>
    <row r="116" spans="1:12" ht="22.5" customHeight="1">
      <c r="A116" s="108" t="s">
        <v>478</v>
      </c>
      <c r="B116" s="114"/>
      <c r="C116" s="114"/>
      <c r="D116" s="114"/>
      <c r="E116" s="114"/>
      <c r="F116" s="114"/>
      <c r="G116" s="114"/>
      <c r="H116" s="114"/>
      <c r="I116" s="114"/>
      <c r="J116" s="114"/>
      <c r="K116" s="114"/>
    </row>
    <row r="117" spans="1:12" ht="22.5" customHeight="1">
      <c r="A117" s="11" t="s">
        <v>479</v>
      </c>
      <c r="B117" s="12" t="s">
        <v>480</v>
      </c>
      <c r="C117" s="12" t="s">
        <v>481</v>
      </c>
      <c r="D117" s="12" t="s">
        <v>482</v>
      </c>
      <c r="E117" s="12" t="s">
        <v>483</v>
      </c>
      <c r="F117" s="12" t="s">
        <v>449</v>
      </c>
      <c r="G117" s="11" t="s">
        <v>36</v>
      </c>
      <c r="H117" s="92" t="s">
        <v>12</v>
      </c>
      <c r="I117" s="11" t="s">
        <v>37</v>
      </c>
      <c r="J117" s="11" t="s">
        <v>4</v>
      </c>
      <c r="K117" s="11" t="s">
        <v>0</v>
      </c>
      <c r="L117" s="2" t="s">
        <v>450</v>
      </c>
    </row>
    <row r="118" spans="1:12" ht="22.5" customHeight="1">
      <c r="A118" s="11" t="s">
        <v>484</v>
      </c>
      <c r="B118" s="12" t="s">
        <v>485</v>
      </c>
      <c r="C118" s="12" t="s">
        <v>486</v>
      </c>
      <c r="D118" s="12" t="s">
        <v>487</v>
      </c>
      <c r="E118" s="12" t="s">
        <v>488</v>
      </c>
      <c r="F118" s="12" t="s">
        <v>449</v>
      </c>
      <c r="G118" s="11" t="s">
        <v>36</v>
      </c>
      <c r="H118" s="92" t="s">
        <v>12</v>
      </c>
      <c r="I118" s="11" t="s">
        <v>37</v>
      </c>
      <c r="J118" s="11" t="s">
        <v>4</v>
      </c>
      <c r="K118" s="11" t="s">
        <v>0</v>
      </c>
      <c r="L118" s="2" t="s">
        <v>450</v>
      </c>
    </row>
    <row r="119" spans="1:12" ht="22.5" customHeight="1">
      <c r="A119" s="11" t="s">
        <v>489</v>
      </c>
      <c r="B119" s="12" t="s">
        <v>490</v>
      </c>
      <c r="C119" s="12" t="s">
        <v>491</v>
      </c>
      <c r="D119" s="12" t="s">
        <v>492</v>
      </c>
      <c r="E119" s="12" t="s">
        <v>493</v>
      </c>
      <c r="F119" s="12" t="s">
        <v>449</v>
      </c>
      <c r="G119" s="11" t="s">
        <v>36</v>
      </c>
      <c r="H119" s="92" t="s">
        <v>12</v>
      </c>
      <c r="I119" s="11" t="s">
        <v>37</v>
      </c>
      <c r="J119" s="11" t="s">
        <v>4</v>
      </c>
      <c r="K119" s="11" t="s">
        <v>0</v>
      </c>
      <c r="L119" s="2" t="s">
        <v>450</v>
      </c>
    </row>
    <row r="120" spans="1:12" ht="22.5" customHeight="1">
      <c r="A120" s="108" t="s">
        <v>494</v>
      </c>
      <c r="B120" s="114"/>
      <c r="C120" s="114"/>
      <c r="D120" s="114"/>
      <c r="E120" s="114"/>
      <c r="F120" s="114"/>
      <c r="G120" s="114"/>
      <c r="H120" s="114"/>
      <c r="I120" s="114"/>
      <c r="J120" s="114"/>
      <c r="K120" s="114"/>
    </row>
    <row r="121" spans="1:12" ht="22.5" customHeight="1">
      <c r="A121" s="11" t="s">
        <v>495</v>
      </c>
      <c r="B121" s="12" t="s">
        <v>496</v>
      </c>
      <c r="C121" s="12" t="s">
        <v>497</v>
      </c>
      <c r="D121" s="12" t="s">
        <v>498</v>
      </c>
      <c r="E121" s="12" t="s">
        <v>499</v>
      </c>
      <c r="F121" s="12" t="s">
        <v>449</v>
      </c>
      <c r="G121" s="11" t="s">
        <v>36</v>
      </c>
      <c r="H121" s="92" t="s">
        <v>12</v>
      </c>
      <c r="I121" s="11" t="s">
        <v>37</v>
      </c>
      <c r="J121" s="11" t="s">
        <v>4</v>
      </c>
      <c r="K121" s="11" t="s">
        <v>0</v>
      </c>
      <c r="L121" s="2" t="s">
        <v>450</v>
      </c>
    </row>
    <row r="122" spans="1:12" ht="22.5" customHeight="1">
      <c r="A122" s="11" t="s">
        <v>500</v>
      </c>
      <c r="B122" s="12" t="s">
        <v>501</v>
      </c>
      <c r="C122" s="12" t="s">
        <v>502</v>
      </c>
      <c r="D122" s="12" t="s">
        <v>503</v>
      </c>
      <c r="E122" s="12" t="s">
        <v>504</v>
      </c>
      <c r="F122" s="12" t="s">
        <v>449</v>
      </c>
      <c r="G122" s="11" t="s">
        <v>36</v>
      </c>
      <c r="H122" s="92" t="s">
        <v>12</v>
      </c>
      <c r="I122" s="11" t="s">
        <v>37</v>
      </c>
      <c r="J122" s="11" t="s">
        <v>4</v>
      </c>
      <c r="K122" s="11" t="s">
        <v>0</v>
      </c>
      <c r="L122" s="2" t="s">
        <v>450</v>
      </c>
    </row>
    <row r="123" spans="1:12" ht="22.5" customHeight="1">
      <c r="A123" s="11" t="s">
        <v>505</v>
      </c>
      <c r="B123" s="12" t="s">
        <v>506</v>
      </c>
      <c r="C123" s="12" t="s">
        <v>507</v>
      </c>
      <c r="D123" s="12" t="s">
        <v>508</v>
      </c>
      <c r="E123" s="12" t="s">
        <v>509</v>
      </c>
      <c r="F123" s="12" t="s">
        <v>449</v>
      </c>
      <c r="G123" s="11" t="s">
        <v>36</v>
      </c>
      <c r="H123" s="92" t="s">
        <v>12</v>
      </c>
      <c r="I123" s="11" t="s">
        <v>37</v>
      </c>
      <c r="J123" s="11" t="s">
        <v>4</v>
      </c>
      <c r="K123" s="11" t="s">
        <v>0</v>
      </c>
      <c r="L123" s="2" t="s">
        <v>450</v>
      </c>
    </row>
    <row r="124" spans="1:12" ht="22.5" customHeight="1">
      <c r="A124" s="108" t="s">
        <v>510</v>
      </c>
      <c r="B124" s="114"/>
      <c r="C124" s="114"/>
      <c r="D124" s="114"/>
      <c r="E124" s="114"/>
      <c r="F124" s="114"/>
      <c r="G124" s="114"/>
      <c r="H124" s="114"/>
      <c r="I124" s="114"/>
      <c r="J124" s="114"/>
      <c r="K124" s="114"/>
    </row>
    <row r="125" spans="1:12" ht="22.5" customHeight="1">
      <c r="A125" s="11" t="s">
        <v>511</v>
      </c>
      <c r="B125" s="12" t="s">
        <v>512</v>
      </c>
      <c r="C125" s="12" t="s">
        <v>513</v>
      </c>
      <c r="D125" s="12" t="s">
        <v>514</v>
      </c>
      <c r="E125" s="12" t="s">
        <v>515</v>
      </c>
      <c r="F125" s="12" t="s">
        <v>449</v>
      </c>
      <c r="G125" s="11" t="s">
        <v>36</v>
      </c>
      <c r="H125" s="92" t="s">
        <v>12</v>
      </c>
      <c r="I125" s="11" t="s">
        <v>37</v>
      </c>
      <c r="J125" s="11" t="s">
        <v>4</v>
      </c>
      <c r="K125" s="11" t="s">
        <v>0</v>
      </c>
      <c r="L125" s="2" t="s">
        <v>450</v>
      </c>
    </row>
    <row r="126" spans="1:12" ht="22.5" customHeight="1">
      <c r="A126" s="11" t="s">
        <v>516</v>
      </c>
      <c r="B126" s="12" t="s">
        <v>517</v>
      </c>
      <c r="C126" s="12" t="s">
        <v>518</v>
      </c>
      <c r="D126" s="12" t="s">
        <v>519</v>
      </c>
      <c r="E126" s="12" t="s">
        <v>520</v>
      </c>
      <c r="F126" s="12" t="s">
        <v>449</v>
      </c>
      <c r="G126" s="11" t="s">
        <v>36</v>
      </c>
      <c r="H126" s="92" t="s">
        <v>12</v>
      </c>
      <c r="I126" s="11" t="s">
        <v>37</v>
      </c>
      <c r="J126" s="11" t="s">
        <v>4</v>
      </c>
      <c r="K126" s="11" t="s">
        <v>0</v>
      </c>
      <c r="L126" s="2" t="s">
        <v>450</v>
      </c>
    </row>
    <row r="127" spans="1:12" ht="22.5" customHeight="1">
      <c r="A127" s="108" t="s">
        <v>521</v>
      </c>
      <c r="B127" s="114"/>
      <c r="C127" s="114"/>
      <c r="D127" s="114"/>
      <c r="E127" s="114"/>
      <c r="F127" s="114"/>
      <c r="G127" s="114"/>
      <c r="H127" s="114"/>
      <c r="I127" s="114"/>
      <c r="J127" s="114"/>
      <c r="K127" s="114"/>
    </row>
    <row r="128" spans="1:12" ht="22.5" customHeight="1">
      <c r="A128" s="11" t="s">
        <v>522</v>
      </c>
      <c r="B128" s="12" t="s">
        <v>523</v>
      </c>
      <c r="C128" s="12" t="s">
        <v>524</v>
      </c>
      <c r="D128" s="12" t="s">
        <v>525</v>
      </c>
      <c r="E128" s="12" t="s">
        <v>526</v>
      </c>
      <c r="F128" s="12" t="s">
        <v>449</v>
      </c>
      <c r="G128" s="11" t="s">
        <v>36</v>
      </c>
      <c r="H128" s="92" t="s">
        <v>12</v>
      </c>
      <c r="I128" s="11" t="s">
        <v>37</v>
      </c>
      <c r="J128" s="11" t="s">
        <v>4</v>
      </c>
      <c r="K128" s="11" t="s">
        <v>0</v>
      </c>
      <c r="L128" s="2" t="s">
        <v>450</v>
      </c>
    </row>
    <row r="129" spans="1:12" ht="22.5" customHeight="1">
      <c r="A129" s="11" t="s">
        <v>527</v>
      </c>
      <c r="B129" s="12" t="s">
        <v>528</v>
      </c>
      <c r="C129" s="12" t="s">
        <v>529</v>
      </c>
      <c r="D129" s="12" t="s">
        <v>530</v>
      </c>
      <c r="E129" s="12" t="s">
        <v>531</v>
      </c>
      <c r="F129" s="12" t="s">
        <v>449</v>
      </c>
      <c r="G129" s="11" t="s">
        <v>36</v>
      </c>
      <c r="H129" s="92" t="s">
        <v>12</v>
      </c>
      <c r="I129" s="11" t="s">
        <v>37</v>
      </c>
      <c r="J129" s="11" t="s">
        <v>4</v>
      </c>
      <c r="K129" s="11" t="s">
        <v>0</v>
      </c>
      <c r="L129" s="2" t="s">
        <v>450</v>
      </c>
    </row>
    <row r="130" spans="1:12" ht="22.5" customHeight="1">
      <c r="A130" s="108" t="s">
        <v>532</v>
      </c>
      <c r="B130" s="114"/>
      <c r="C130" s="114"/>
      <c r="D130" s="114"/>
      <c r="E130" s="114"/>
      <c r="F130" s="114"/>
      <c r="G130" s="114"/>
      <c r="H130" s="114"/>
      <c r="I130" s="114"/>
      <c r="J130" s="114"/>
      <c r="K130" s="114"/>
    </row>
    <row r="131" spans="1:12" ht="22.5" customHeight="1">
      <c r="A131" s="11" t="s">
        <v>533</v>
      </c>
      <c r="B131" s="12" t="s">
        <v>534</v>
      </c>
      <c r="C131" s="12" t="s">
        <v>535</v>
      </c>
      <c r="D131" s="12" t="s">
        <v>536</v>
      </c>
      <c r="E131" s="12" t="s">
        <v>537</v>
      </c>
      <c r="F131" s="12" t="s">
        <v>449</v>
      </c>
      <c r="G131" s="11" t="s">
        <v>36</v>
      </c>
      <c r="H131" s="92" t="s">
        <v>12</v>
      </c>
      <c r="I131" s="11" t="s">
        <v>37</v>
      </c>
      <c r="J131" s="11" t="s">
        <v>4</v>
      </c>
      <c r="K131" s="11" t="s">
        <v>0</v>
      </c>
      <c r="L131" s="2" t="s">
        <v>450</v>
      </c>
    </row>
    <row r="132" spans="1:12" ht="22.5" customHeight="1">
      <c r="A132" s="11" t="s">
        <v>538</v>
      </c>
      <c r="B132" s="12" t="s">
        <v>539</v>
      </c>
      <c r="C132" s="12" t="s">
        <v>540</v>
      </c>
      <c r="D132" s="12" t="s">
        <v>541</v>
      </c>
      <c r="E132" s="12" t="s">
        <v>542</v>
      </c>
      <c r="F132" s="12" t="s">
        <v>449</v>
      </c>
      <c r="G132" s="11" t="s">
        <v>36</v>
      </c>
      <c r="H132" s="92" t="s">
        <v>12</v>
      </c>
      <c r="I132" s="11" t="s">
        <v>37</v>
      </c>
      <c r="J132" s="11" t="s">
        <v>4</v>
      </c>
      <c r="K132" s="11" t="s">
        <v>0</v>
      </c>
      <c r="L132" s="2" t="s">
        <v>450</v>
      </c>
    </row>
    <row r="133" spans="1:12" ht="22.5" customHeight="1">
      <c r="A133" s="11" t="s">
        <v>543</v>
      </c>
      <c r="B133" s="12" t="s">
        <v>544</v>
      </c>
      <c r="C133" s="12" t="s">
        <v>545</v>
      </c>
      <c r="D133" s="12" t="s">
        <v>546</v>
      </c>
      <c r="E133" s="12" t="s">
        <v>547</v>
      </c>
      <c r="F133" s="12" t="s">
        <v>449</v>
      </c>
      <c r="G133" s="11" t="s">
        <v>36</v>
      </c>
      <c r="H133" s="92" t="s">
        <v>12</v>
      </c>
      <c r="I133" s="11" t="s">
        <v>37</v>
      </c>
      <c r="J133" s="11" t="s">
        <v>4</v>
      </c>
      <c r="K133" s="11" t="s">
        <v>0</v>
      </c>
      <c r="L133" s="2" t="s">
        <v>450</v>
      </c>
    </row>
    <row r="134" spans="1:12" ht="22.5" customHeight="1">
      <c r="A134" s="11" t="s">
        <v>548</v>
      </c>
      <c r="B134" s="12" t="s">
        <v>549</v>
      </c>
      <c r="C134" s="12" t="s">
        <v>550</v>
      </c>
      <c r="D134" s="12" t="s">
        <v>551</v>
      </c>
      <c r="E134" s="12" t="s">
        <v>552</v>
      </c>
      <c r="F134" s="12" t="s">
        <v>449</v>
      </c>
      <c r="G134" s="11" t="s">
        <v>36</v>
      </c>
      <c r="H134" s="92" t="s">
        <v>12</v>
      </c>
      <c r="I134" s="11" t="s">
        <v>37</v>
      </c>
      <c r="J134" s="11" t="s">
        <v>4</v>
      </c>
      <c r="K134" s="11" t="s">
        <v>0</v>
      </c>
      <c r="L134" s="2" t="s">
        <v>450</v>
      </c>
    </row>
    <row r="135" spans="1:12" ht="22.5" customHeight="1">
      <c r="A135" s="11" t="s">
        <v>553</v>
      </c>
      <c r="B135" s="12" t="s">
        <v>554</v>
      </c>
      <c r="C135" s="12" t="s">
        <v>555</v>
      </c>
      <c r="D135" s="12" t="s">
        <v>556</v>
      </c>
      <c r="E135" s="12" t="s">
        <v>557</v>
      </c>
      <c r="F135" s="12" t="s">
        <v>449</v>
      </c>
      <c r="G135" s="11" t="s">
        <v>36</v>
      </c>
      <c r="H135" s="92" t="s">
        <v>12</v>
      </c>
      <c r="I135" s="11" t="s">
        <v>37</v>
      </c>
      <c r="J135" s="11" t="s">
        <v>4</v>
      </c>
      <c r="K135" s="11" t="s">
        <v>0</v>
      </c>
      <c r="L135" s="2" t="s">
        <v>450</v>
      </c>
    </row>
    <row r="136" spans="1:12" ht="22.5" customHeight="1">
      <c r="A136" s="11" t="s">
        <v>558</v>
      </c>
      <c r="B136" s="12" t="s">
        <v>559</v>
      </c>
      <c r="C136" s="12" t="s">
        <v>560</v>
      </c>
      <c r="D136" s="12" t="s">
        <v>561</v>
      </c>
      <c r="E136" s="12" t="s">
        <v>562</v>
      </c>
      <c r="F136" s="12" t="s">
        <v>449</v>
      </c>
      <c r="G136" s="11" t="s">
        <v>36</v>
      </c>
      <c r="H136" s="92" t="s">
        <v>12</v>
      </c>
      <c r="I136" s="11" t="s">
        <v>37</v>
      </c>
      <c r="J136" s="11" t="s">
        <v>4</v>
      </c>
      <c r="K136" s="11" t="s">
        <v>0</v>
      </c>
      <c r="L136" s="2" t="s">
        <v>450</v>
      </c>
    </row>
    <row r="137" spans="1:12" ht="22.5" customHeight="1">
      <c r="A137" s="11" t="s">
        <v>563</v>
      </c>
      <c r="B137" s="12" t="s">
        <v>564</v>
      </c>
      <c r="C137" s="12" t="s">
        <v>565</v>
      </c>
      <c r="D137" s="12" t="s">
        <v>566</v>
      </c>
      <c r="E137" s="12" t="s">
        <v>567</v>
      </c>
      <c r="F137" s="12" t="s">
        <v>449</v>
      </c>
      <c r="G137" s="11" t="s">
        <v>36</v>
      </c>
      <c r="H137" s="92" t="s">
        <v>12</v>
      </c>
      <c r="I137" s="11" t="s">
        <v>37</v>
      </c>
      <c r="J137" s="11" t="s">
        <v>4</v>
      </c>
      <c r="K137" s="11" t="s">
        <v>0</v>
      </c>
      <c r="L137" s="2" t="s">
        <v>450</v>
      </c>
    </row>
    <row r="138" spans="1:12" ht="22.5" customHeight="1">
      <c r="A138" s="11" t="s">
        <v>568</v>
      </c>
      <c r="B138" s="12" t="s">
        <v>569</v>
      </c>
      <c r="C138" s="12" t="s">
        <v>570</v>
      </c>
      <c r="D138" s="12" t="s">
        <v>571</v>
      </c>
      <c r="E138" s="12" t="s">
        <v>572</v>
      </c>
      <c r="F138" s="12" t="s">
        <v>449</v>
      </c>
      <c r="G138" s="11" t="s">
        <v>36</v>
      </c>
      <c r="H138" s="92" t="s">
        <v>12</v>
      </c>
      <c r="I138" s="11" t="s">
        <v>37</v>
      </c>
      <c r="J138" s="11" t="s">
        <v>4</v>
      </c>
      <c r="K138" s="11" t="s">
        <v>0</v>
      </c>
      <c r="L138" s="2" t="s">
        <v>450</v>
      </c>
    </row>
    <row r="139" spans="1:12" ht="22.5" customHeight="1">
      <c r="A139" s="11" t="s">
        <v>573</v>
      </c>
      <c r="B139" s="12" t="s">
        <v>574</v>
      </c>
      <c r="C139" s="12" t="s">
        <v>575</v>
      </c>
      <c r="D139" s="12" t="s">
        <v>576</v>
      </c>
      <c r="E139" s="12" t="s">
        <v>577</v>
      </c>
      <c r="F139" s="12" t="s">
        <v>449</v>
      </c>
      <c r="G139" s="11" t="s">
        <v>36</v>
      </c>
      <c r="H139" s="92" t="s">
        <v>12</v>
      </c>
      <c r="I139" s="11" t="s">
        <v>37</v>
      </c>
      <c r="J139" s="11" t="s">
        <v>4</v>
      </c>
      <c r="K139" s="11" t="s">
        <v>0</v>
      </c>
      <c r="L139" s="2" t="s">
        <v>450</v>
      </c>
    </row>
    <row r="140" spans="1:12" ht="22.5" customHeight="1">
      <c r="A140" s="11" t="s">
        <v>578</v>
      </c>
      <c r="B140" s="12" t="s">
        <v>579</v>
      </c>
      <c r="C140" s="12" t="s">
        <v>580</v>
      </c>
      <c r="D140" s="12" t="s">
        <v>581</v>
      </c>
      <c r="E140" s="12" t="s">
        <v>582</v>
      </c>
      <c r="F140" s="12" t="s">
        <v>449</v>
      </c>
      <c r="G140" s="11" t="s">
        <v>36</v>
      </c>
      <c r="H140" s="92" t="s">
        <v>12</v>
      </c>
      <c r="I140" s="11" t="s">
        <v>37</v>
      </c>
      <c r="J140" s="11" t="s">
        <v>4</v>
      </c>
      <c r="K140" s="11" t="s">
        <v>0</v>
      </c>
      <c r="L140" s="2" t="s">
        <v>450</v>
      </c>
    </row>
    <row r="141" spans="1:12" ht="22.5" customHeight="1">
      <c r="A141" s="11" t="s">
        <v>583</v>
      </c>
      <c r="B141" s="12" t="s">
        <v>584</v>
      </c>
      <c r="C141" s="12" t="s">
        <v>585</v>
      </c>
      <c r="D141" s="12" t="s">
        <v>586</v>
      </c>
      <c r="E141" s="12" t="s">
        <v>587</v>
      </c>
      <c r="F141" s="12" t="s">
        <v>449</v>
      </c>
      <c r="G141" s="11" t="s">
        <v>36</v>
      </c>
      <c r="H141" s="92" t="s">
        <v>12</v>
      </c>
      <c r="I141" s="11" t="s">
        <v>37</v>
      </c>
      <c r="J141" s="11" t="s">
        <v>4</v>
      </c>
      <c r="K141" s="11" t="s">
        <v>0</v>
      </c>
      <c r="L141" s="2" t="s">
        <v>450</v>
      </c>
    </row>
    <row r="142" spans="1:12" ht="22.5" customHeight="1">
      <c r="A142" s="11" t="s">
        <v>588</v>
      </c>
      <c r="B142" s="12" t="s">
        <v>589</v>
      </c>
      <c r="C142" s="12" t="s">
        <v>590</v>
      </c>
      <c r="D142" s="12" t="s">
        <v>591</v>
      </c>
      <c r="E142" s="12" t="s">
        <v>592</v>
      </c>
      <c r="F142" s="12" t="s">
        <v>449</v>
      </c>
      <c r="G142" s="11" t="s">
        <v>36</v>
      </c>
      <c r="H142" s="92" t="s">
        <v>12</v>
      </c>
      <c r="I142" s="11" t="s">
        <v>37</v>
      </c>
      <c r="J142" s="11" t="s">
        <v>4</v>
      </c>
      <c r="K142" s="11" t="s">
        <v>0</v>
      </c>
      <c r="L142" s="2" t="s">
        <v>450</v>
      </c>
    </row>
    <row r="143" spans="1:12" ht="22.5" customHeight="1">
      <c r="A143" s="108" t="s">
        <v>593</v>
      </c>
      <c r="B143" s="114"/>
      <c r="C143" s="114"/>
      <c r="D143" s="114"/>
      <c r="E143" s="114"/>
      <c r="F143" s="114"/>
      <c r="G143" s="114"/>
      <c r="H143" s="114"/>
      <c r="I143" s="114"/>
      <c r="J143" s="114"/>
      <c r="K143" s="114"/>
    </row>
    <row r="144" spans="1:12" ht="22.5" customHeight="1">
      <c r="A144" s="11" t="s">
        <v>594</v>
      </c>
      <c r="B144" s="12" t="s">
        <v>595</v>
      </c>
      <c r="C144" s="12" t="s">
        <v>596</v>
      </c>
      <c r="D144" s="12" t="s">
        <v>597</v>
      </c>
      <c r="E144" s="12" t="s">
        <v>598</v>
      </c>
      <c r="F144" s="12" t="s">
        <v>449</v>
      </c>
      <c r="G144" s="11" t="s">
        <v>36</v>
      </c>
      <c r="H144" s="92" t="s">
        <v>12</v>
      </c>
      <c r="I144" s="11" t="s">
        <v>37</v>
      </c>
      <c r="J144" s="11" t="s">
        <v>4</v>
      </c>
      <c r="K144" s="11" t="s">
        <v>0</v>
      </c>
      <c r="L144" s="2" t="s">
        <v>450</v>
      </c>
    </row>
    <row r="145" spans="1:12" ht="22.5" customHeight="1">
      <c r="A145" s="11" t="s">
        <v>599</v>
      </c>
      <c r="B145" s="12" t="s">
        <v>600</v>
      </c>
      <c r="C145" s="12" t="s">
        <v>601</v>
      </c>
      <c r="D145" s="12" t="s">
        <v>602</v>
      </c>
      <c r="E145" s="12" t="s">
        <v>603</v>
      </c>
      <c r="F145" s="12" t="s">
        <v>449</v>
      </c>
      <c r="G145" s="11" t="s">
        <v>36</v>
      </c>
      <c r="H145" s="92" t="s">
        <v>12</v>
      </c>
      <c r="I145" s="11" t="s">
        <v>37</v>
      </c>
      <c r="J145" s="11" t="s">
        <v>4</v>
      </c>
      <c r="K145" s="11" t="s">
        <v>0</v>
      </c>
      <c r="L145" s="2" t="s">
        <v>450</v>
      </c>
    </row>
    <row r="146" spans="1:12" ht="22.5" customHeight="1">
      <c r="A146" s="108" t="s">
        <v>604</v>
      </c>
      <c r="B146" s="114"/>
      <c r="C146" s="114"/>
      <c r="D146" s="114"/>
      <c r="E146" s="114"/>
      <c r="F146" s="114"/>
      <c r="G146" s="114"/>
      <c r="H146" s="114"/>
      <c r="I146" s="114"/>
      <c r="J146" s="114"/>
      <c r="K146" s="114"/>
    </row>
    <row r="147" spans="1:12" ht="22.5" customHeight="1">
      <c r="A147" s="11" t="s">
        <v>605</v>
      </c>
      <c r="B147" s="12" t="s">
        <v>606</v>
      </c>
      <c r="C147" s="12" t="s">
        <v>607</v>
      </c>
      <c r="D147" s="12" t="s">
        <v>608</v>
      </c>
      <c r="E147" s="12" t="s">
        <v>609</v>
      </c>
      <c r="F147" s="12" t="s">
        <v>449</v>
      </c>
      <c r="G147" s="11" t="s">
        <v>36</v>
      </c>
      <c r="H147" s="92" t="s">
        <v>12</v>
      </c>
      <c r="I147" s="11" t="s">
        <v>37</v>
      </c>
      <c r="J147" s="11" t="s">
        <v>4</v>
      </c>
      <c r="K147" s="11" t="s">
        <v>0</v>
      </c>
      <c r="L147" s="2" t="s">
        <v>450</v>
      </c>
    </row>
    <row r="148" spans="1:12" ht="22.5" customHeight="1">
      <c r="A148" s="11" t="s">
        <v>610</v>
      </c>
      <c r="B148" s="12" t="s">
        <v>611</v>
      </c>
      <c r="C148" s="12" t="s">
        <v>612</v>
      </c>
      <c r="D148" s="12" t="s">
        <v>613</v>
      </c>
      <c r="E148" s="12" t="s">
        <v>614</v>
      </c>
      <c r="F148" s="12" t="s">
        <v>449</v>
      </c>
      <c r="G148" s="11" t="s">
        <v>36</v>
      </c>
      <c r="H148" s="92" t="s">
        <v>12</v>
      </c>
      <c r="I148" s="11" t="s">
        <v>37</v>
      </c>
      <c r="J148" s="11" t="s">
        <v>4</v>
      </c>
      <c r="K148" s="11" t="s">
        <v>0</v>
      </c>
      <c r="L148" s="2" t="s">
        <v>450</v>
      </c>
    </row>
    <row r="149" spans="1:12" ht="22.5" customHeight="1">
      <c r="A149" s="11" t="s">
        <v>615</v>
      </c>
      <c r="B149" s="12" t="s">
        <v>616</v>
      </c>
      <c r="C149" s="12" t="s">
        <v>617</v>
      </c>
      <c r="D149" s="12" t="s">
        <v>618</v>
      </c>
      <c r="E149" s="12" t="s">
        <v>619</v>
      </c>
      <c r="F149" s="12" t="s">
        <v>449</v>
      </c>
      <c r="G149" s="11" t="s">
        <v>36</v>
      </c>
      <c r="H149" s="92" t="s">
        <v>12</v>
      </c>
      <c r="I149" s="11" t="s">
        <v>37</v>
      </c>
      <c r="J149" s="11" t="s">
        <v>4</v>
      </c>
      <c r="K149" s="11" t="s">
        <v>0</v>
      </c>
      <c r="L149" s="2" t="s">
        <v>450</v>
      </c>
    </row>
    <row r="150" spans="1:12" ht="22.5" customHeight="1">
      <c r="A150" s="11" t="s">
        <v>620</v>
      </c>
      <c r="B150" s="12" t="s">
        <v>621</v>
      </c>
      <c r="C150" s="12" t="s">
        <v>622</v>
      </c>
      <c r="D150" s="12" t="s">
        <v>623</v>
      </c>
      <c r="E150" s="12" t="s">
        <v>624</v>
      </c>
      <c r="F150" s="12" t="s">
        <v>449</v>
      </c>
      <c r="G150" s="11" t="s">
        <v>36</v>
      </c>
      <c r="H150" s="92" t="s">
        <v>12</v>
      </c>
      <c r="I150" s="11" t="s">
        <v>37</v>
      </c>
      <c r="J150" s="11" t="s">
        <v>4</v>
      </c>
      <c r="K150" s="11" t="s">
        <v>0</v>
      </c>
      <c r="L150" s="2" t="s">
        <v>450</v>
      </c>
    </row>
    <row r="151" spans="1:12" ht="22.5" customHeight="1">
      <c r="A151" s="11" t="s">
        <v>625</v>
      </c>
      <c r="B151" s="12" t="s">
        <v>626</v>
      </c>
      <c r="C151" s="12" t="s">
        <v>627</v>
      </c>
      <c r="D151" s="12" t="s">
        <v>628</v>
      </c>
      <c r="E151" s="12" t="s">
        <v>629</v>
      </c>
      <c r="F151" s="12" t="s">
        <v>449</v>
      </c>
      <c r="G151" s="11" t="s">
        <v>36</v>
      </c>
      <c r="H151" s="92" t="s">
        <v>12</v>
      </c>
      <c r="I151" s="11" t="s">
        <v>37</v>
      </c>
      <c r="J151" s="11" t="s">
        <v>4</v>
      </c>
      <c r="K151" s="11" t="s">
        <v>0</v>
      </c>
      <c r="L151" s="2" t="s">
        <v>450</v>
      </c>
    </row>
    <row r="152" spans="1:12" ht="22.5" customHeight="1">
      <c r="A152" s="11" t="s">
        <v>630</v>
      </c>
      <c r="B152" s="12" t="s">
        <v>631</v>
      </c>
      <c r="C152" s="12" t="s">
        <v>632</v>
      </c>
      <c r="D152" s="12" t="s">
        <v>633</v>
      </c>
      <c r="E152" s="12" t="s">
        <v>634</v>
      </c>
      <c r="F152" s="12" t="s">
        <v>449</v>
      </c>
      <c r="G152" s="11" t="s">
        <v>36</v>
      </c>
      <c r="H152" s="92" t="s">
        <v>12</v>
      </c>
      <c r="I152" s="11" t="s">
        <v>37</v>
      </c>
      <c r="J152" s="11" t="s">
        <v>4</v>
      </c>
      <c r="K152" s="11" t="s">
        <v>0</v>
      </c>
      <c r="L152" s="2" t="s">
        <v>450</v>
      </c>
    </row>
    <row r="153" spans="1:12" ht="22.5" customHeight="1">
      <c r="A153" s="11" t="s">
        <v>635</v>
      </c>
      <c r="B153" s="12" t="s">
        <v>636</v>
      </c>
      <c r="C153" s="12" t="s">
        <v>637</v>
      </c>
      <c r="D153" s="12" t="s">
        <v>638</v>
      </c>
      <c r="E153" s="12" t="s">
        <v>639</v>
      </c>
      <c r="F153" s="12" t="s">
        <v>449</v>
      </c>
      <c r="G153" s="11" t="s">
        <v>36</v>
      </c>
      <c r="H153" s="92" t="s">
        <v>12</v>
      </c>
      <c r="I153" s="11" t="s">
        <v>37</v>
      </c>
      <c r="J153" s="11" t="s">
        <v>4</v>
      </c>
      <c r="K153" s="11" t="s">
        <v>0</v>
      </c>
      <c r="L153" s="2" t="s">
        <v>450</v>
      </c>
    </row>
    <row r="154" spans="1:12" ht="22.5" customHeight="1">
      <c r="A154" s="11" t="s">
        <v>640</v>
      </c>
      <c r="B154" s="12" t="s">
        <v>641</v>
      </c>
      <c r="C154" s="12" t="s">
        <v>642</v>
      </c>
      <c r="D154" s="12" t="s">
        <v>643</v>
      </c>
      <c r="E154" s="12" t="s">
        <v>644</v>
      </c>
      <c r="F154" s="12" t="s">
        <v>449</v>
      </c>
      <c r="G154" s="11" t="s">
        <v>36</v>
      </c>
      <c r="H154" s="92" t="s">
        <v>12</v>
      </c>
      <c r="I154" s="11" t="s">
        <v>37</v>
      </c>
      <c r="J154" s="11" t="s">
        <v>4</v>
      </c>
      <c r="K154" s="11" t="s">
        <v>0</v>
      </c>
      <c r="L154" s="2" t="s">
        <v>450</v>
      </c>
    </row>
    <row r="155" spans="1:12" ht="22.5" customHeight="1">
      <c r="A155" s="108" t="s">
        <v>645</v>
      </c>
      <c r="B155" s="114"/>
      <c r="C155" s="114"/>
      <c r="D155" s="114"/>
      <c r="E155" s="114"/>
      <c r="F155" s="114"/>
      <c r="G155" s="114"/>
      <c r="H155" s="114"/>
      <c r="I155" s="114"/>
      <c r="J155" s="114"/>
      <c r="K155" s="114"/>
    </row>
    <row r="156" spans="1:12" ht="22.5" customHeight="1">
      <c r="A156" s="11" t="s">
        <v>646</v>
      </c>
      <c r="B156" s="12" t="s">
        <v>647</v>
      </c>
      <c r="C156" s="12" t="s">
        <v>648</v>
      </c>
      <c r="D156" s="12" t="s">
        <v>649</v>
      </c>
      <c r="E156" s="12" t="s">
        <v>650</v>
      </c>
      <c r="F156" s="12" t="s">
        <v>449</v>
      </c>
      <c r="G156" s="11" t="s">
        <v>36</v>
      </c>
      <c r="H156" s="92" t="s">
        <v>12</v>
      </c>
      <c r="I156" s="11" t="s">
        <v>37</v>
      </c>
      <c r="J156" s="11" t="s">
        <v>4</v>
      </c>
      <c r="K156" s="11" t="s">
        <v>0</v>
      </c>
      <c r="L156" s="2" t="s">
        <v>450</v>
      </c>
    </row>
    <row r="157" spans="1:12" ht="22.5" customHeight="1">
      <c r="A157" s="11" t="s">
        <v>651</v>
      </c>
      <c r="B157" s="12" t="s">
        <v>652</v>
      </c>
      <c r="C157" s="12" t="s">
        <v>653</v>
      </c>
      <c r="D157" s="12" t="s">
        <v>654</v>
      </c>
      <c r="E157" s="12" t="s">
        <v>655</v>
      </c>
      <c r="F157" s="12" t="s">
        <v>449</v>
      </c>
      <c r="G157" s="11" t="s">
        <v>36</v>
      </c>
      <c r="H157" s="92" t="s">
        <v>12</v>
      </c>
      <c r="I157" s="11" t="s">
        <v>37</v>
      </c>
      <c r="J157" s="11" t="s">
        <v>4</v>
      </c>
      <c r="K157" s="11" t="s">
        <v>0</v>
      </c>
      <c r="L157" s="2" t="s">
        <v>450</v>
      </c>
    </row>
    <row r="158" spans="1:12" ht="22.5" customHeight="1">
      <c r="A158" s="11" t="s">
        <v>656</v>
      </c>
      <c r="B158" s="12" t="s">
        <v>657</v>
      </c>
      <c r="C158" s="12" t="s">
        <v>658</v>
      </c>
      <c r="D158" s="12" t="s">
        <v>659</v>
      </c>
      <c r="E158" s="12" t="s">
        <v>660</v>
      </c>
      <c r="F158" s="12" t="s">
        <v>449</v>
      </c>
      <c r="G158" s="11" t="s">
        <v>36</v>
      </c>
      <c r="H158" s="92" t="s">
        <v>12</v>
      </c>
      <c r="I158" s="11" t="s">
        <v>37</v>
      </c>
      <c r="J158" s="11" t="s">
        <v>4</v>
      </c>
      <c r="K158" s="11" t="s">
        <v>0</v>
      </c>
      <c r="L158" s="2" t="s">
        <v>450</v>
      </c>
    </row>
    <row r="159" spans="1:12" ht="22.5" customHeight="1">
      <c r="A159" s="11" t="s">
        <v>661</v>
      </c>
      <c r="B159" s="12" t="s">
        <v>662</v>
      </c>
      <c r="C159" s="12" t="s">
        <v>663</v>
      </c>
      <c r="D159" s="12" t="s">
        <v>664</v>
      </c>
      <c r="E159" s="12" t="s">
        <v>665</v>
      </c>
      <c r="F159" s="12" t="s">
        <v>449</v>
      </c>
      <c r="G159" s="11" t="s">
        <v>36</v>
      </c>
      <c r="H159" s="92" t="s">
        <v>12</v>
      </c>
      <c r="I159" s="11" t="s">
        <v>37</v>
      </c>
      <c r="J159" s="11" t="s">
        <v>4</v>
      </c>
      <c r="K159" s="11" t="s">
        <v>0</v>
      </c>
      <c r="L159" s="2" t="s">
        <v>450</v>
      </c>
    </row>
    <row r="160" spans="1:12" ht="22.5" customHeight="1">
      <c r="A160" s="11" t="s">
        <v>666</v>
      </c>
      <c r="B160" s="12" t="s">
        <v>667</v>
      </c>
      <c r="C160" s="12" t="s">
        <v>668</v>
      </c>
      <c r="D160" s="12" t="s">
        <v>669</v>
      </c>
      <c r="E160" s="12" t="s">
        <v>670</v>
      </c>
      <c r="F160" s="12" t="s">
        <v>449</v>
      </c>
      <c r="G160" s="11" t="s">
        <v>36</v>
      </c>
      <c r="H160" s="92" t="s">
        <v>12</v>
      </c>
      <c r="I160" s="11" t="s">
        <v>37</v>
      </c>
      <c r="J160" s="11" t="s">
        <v>4</v>
      </c>
      <c r="K160" s="11" t="s">
        <v>0</v>
      </c>
      <c r="L160" s="2" t="s">
        <v>450</v>
      </c>
    </row>
    <row r="161" spans="1:12" ht="22.5" customHeight="1">
      <c r="A161" s="11" t="s">
        <v>671</v>
      </c>
      <c r="B161" s="12" t="s">
        <v>672</v>
      </c>
      <c r="C161" s="12" t="s">
        <v>673</v>
      </c>
      <c r="D161" s="12" t="s">
        <v>674</v>
      </c>
      <c r="E161" s="12" t="s">
        <v>675</v>
      </c>
      <c r="F161" s="12" t="s">
        <v>449</v>
      </c>
      <c r="G161" s="11" t="s">
        <v>36</v>
      </c>
      <c r="H161" s="92" t="s">
        <v>12</v>
      </c>
      <c r="I161" s="11" t="s">
        <v>37</v>
      </c>
      <c r="J161" s="11" t="s">
        <v>4</v>
      </c>
      <c r="K161" s="11" t="s">
        <v>0</v>
      </c>
      <c r="L161" s="2" t="s">
        <v>450</v>
      </c>
    </row>
    <row r="162" spans="1:12" ht="22.5" customHeight="1">
      <c r="A162" s="11" t="s">
        <v>676</v>
      </c>
      <c r="B162" s="12" t="s">
        <v>677</v>
      </c>
      <c r="C162" s="12" t="s">
        <v>678</v>
      </c>
      <c r="D162" s="12" t="s">
        <v>679</v>
      </c>
      <c r="E162" s="12" t="s">
        <v>680</v>
      </c>
      <c r="F162" s="12" t="s">
        <v>449</v>
      </c>
      <c r="G162" s="11" t="s">
        <v>36</v>
      </c>
      <c r="H162" s="92" t="s">
        <v>12</v>
      </c>
      <c r="I162" s="11" t="s">
        <v>37</v>
      </c>
      <c r="J162" s="11" t="s">
        <v>4</v>
      </c>
      <c r="K162" s="11" t="s">
        <v>0</v>
      </c>
      <c r="L162" s="2" t="s">
        <v>450</v>
      </c>
    </row>
    <row r="163" spans="1:12" ht="22.5" customHeight="1">
      <c r="A163" s="11" t="s">
        <v>681</v>
      </c>
      <c r="B163" s="12" t="s">
        <v>682</v>
      </c>
      <c r="C163" s="12" t="s">
        <v>683</v>
      </c>
      <c r="D163" s="12" t="s">
        <v>684</v>
      </c>
      <c r="E163" s="12" t="s">
        <v>685</v>
      </c>
      <c r="F163" s="12" t="s">
        <v>449</v>
      </c>
      <c r="G163" s="11" t="s">
        <v>36</v>
      </c>
      <c r="H163" s="92" t="s">
        <v>12</v>
      </c>
      <c r="I163" s="11" t="s">
        <v>37</v>
      </c>
      <c r="J163" s="11" t="s">
        <v>4</v>
      </c>
      <c r="K163" s="11" t="s">
        <v>0</v>
      </c>
      <c r="L163" s="2" t="s">
        <v>450</v>
      </c>
    </row>
    <row r="164" spans="1:12" ht="22.5" customHeight="1">
      <c r="A164" s="11" t="s">
        <v>686</v>
      </c>
      <c r="B164" s="12" t="s">
        <v>687</v>
      </c>
      <c r="C164" s="12" t="s">
        <v>688</v>
      </c>
      <c r="D164" s="12" t="s">
        <v>689</v>
      </c>
      <c r="E164" s="12" t="s">
        <v>690</v>
      </c>
      <c r="F164" s="12" t="s">
        <v>449</v>
      </c>
      <c r="G164" s="11" t="s">
        <v>36</v>
      </c>
      <c r="H164" s="92" t="s">
        <v>12</v>
      </c>
      <c r="I164" s="11" t="s">
        <v>37</v>
      </c>
      <c r="J164" s="11" t="s">
        <v>4</v>
      </c>
      <c r="K164" s="11" t="s">
        <v>0</v>
      </c>
      <c r="L164" s="2" t="s">
        <v>450</v>
      </c>
    </row>
    <row r="165" spans="1:12" ht="22.5" customHeight="1">
      <c r="A165" s="11" t="s">
        <v>691</v>
      </c>
      <c r="B165" s="12" t="s">
        <v>692</v>
      </c>
      <c r="C165" s="12" t="s">
        <v>693</v>
      </c>
      <c r="D165" s="12" t="s">
        <v>694</v>
      </c>
      <c r="E165" s="12" t="s">
        <v>695</v>
      </c>
      <c r="F165" s="12" t="s">
        <v>449</v>
      </c>
      <c r="G165" s="11" t="s">
        <v>36</v>
      </c>
      <c r="H165" s="92" t="s">
        <v>12</v>
      </c>
      <c r="I165" s="11" t="s">
        <v>37</v>
      </c>
      <c r="J165" s="11" t="s">
        <v>4</v>
      </c>
      <c r="K165" s="11" t="s">
        <v>0</v>
      </c>
      <c r="L165" s="2" t="s">
        <v>450</v>
      </c>
    </row>
    <row r="166" spans="1:12" ht="22.5" customHeight="1">
      <c r="A166" s="11" t="s">
        <v>696</v>
      </c>
      <c r="B166" s="12" t="s">
        <v>697</v>
      </c>
      <c r="C166" s="12" t="s">
        <v>698</v>
      </c>
      <c r="D166" s="12" t="s">
        <v>699</v>
      </c>
      <c r="E166" s="12" t="s">
        <v>700</v>
      </c>
      <c r="F166" s="12" t="s">
        <v>449</v>
      </c>
      <c r="G166" s="11" t="s">
        <v>36</v>
      </c>
      <c r="H166" s="92" t="s">
        <v>12</v>
      </c>
      <c r="I166" s="11" t="s">
        <v>37</v>
      </c>
      <c r="J166" s="11" t="s">
        <v>4</v>
      </c>
      <c r="K166" s="11" t="s">
        <v>0</v>
      </c>
      <c r="L166" s="2" t="s">
        <v>450</v>
      </c>
    </row>
    <row r="167" spans="1:12" ht="22.5" customHeight="1">
      <c r="A167" s="11" t="s">
        <v>701</v>
      </c>
      <c r="B167" s="12" t="s">
        <v>702</v>
      </c>
      <c r="C167" s="12" t="s">
        <v>703</v>
      </c>
      <c r="D167" s="12" t="s">
        <v>704</v>
      </c>
      <c r="E167" s="12" t="s">
        <v>705</v>
      </c>
      <c r="F167" s="12" t="s">
        <v>449</v>
      </c>
      <c r="G167" s="11" t="s">
        <v>36</v>
      </c>
      <c r="H167" s="92" t="s">
        <v>12</v>
      </c>
      <c r="I167" s="11" t="s">
        <v>37</v>
      </c>
      <c r="J167" s="11" t="s">
        <v>4</v>
      </c>
      <c r="K167" s="11" t="s">
        <v>0</v>
      </c>
      <c r="L167" s="2" t="s">
        <v>450</v>
      </c>
    </row>
    <row r="168" spans="1:12" ht="22.5" customHeight="1">
      <c r="A168" s="11" t="s">
        <v>706</v>
      </c>
      <c r="B168" s="12" t="s">
        <v>707</v>
      </c>
      <c r="C168" s="12" t="s">
        <v>708</v>
      </c>
      <c r="D168" s="12" t="s">
        <v>709</v>
      </c>
      <c r="E168" s="12" t="s">
        <v>710</v>
      </c>
      <c r="F168" s="12" t="s">
        <v>449</v>
      </c>
      <c r="G168" s="11" t="s">
        <v>36</v>
      </c>
      <c r="H168" s="92" t="s">
        <v>12</v>
      </c>
      <c r="I168" s="11" t="s">
        <v>37</v>
      </c>
      <c r="J168" s="11" t="s">
        <v>4</v>
      </c>
      <c r="K168" s="11" t="s">
        <v>0</v>
      </c>
      <c r="L168" s="2" t="s">
        <v>450</v>
      </c>
    </row>
    <row r="169" spans="1:12" ht="22.5" customHeight="1">
      <c r="A169" s="108" t="s">
        <v>711</v>
      </c>
      <c r="B169" s="114"/>
      <c r="C169" s="114"/>
      <c r="D169" s="114"/>
      <c r="E169" s="114"/>
      <c r="F169" s="114"/>
      <c r="G169" s="114"/>
      <c r="H169" s="114"/>
      <c r="I169" s="114"/>
      <c r="J169" s="114"/>
      <c r="K169" s="114"/>
    </row>
    <row r="170" spans="1:12" ht="22.5" customHeight="1">
      <c r="A170" s="11" t="s">
        <v>712</v>
      </c>
      <c r="B170" s="12" t="s">
        <v>713</v>
      </c>
      <c r="C170" s="12" t="s">
        <v>714</v>
      </c>
      <c r="D170" s="12" t="s">
        <v>715</v>
      </c>
      <c r="E170" s="12" t="s">
        <v>716</v>
      </c>
      <c r="F170" s="12" t="s">
        <v>449</v>
      </c>
      <c r="G170" s="11" t="s">
        <v>36</v>
      </c>
      <c r="H170" s="92" t="s">
        <v>12</v>
      </c>
      <c r="I170" s="11" t="s">
        <v>37</v>
      </c>
      <c r="J170" s="11" t="s">
        <v>4</v>
      </c>
      <c r="K170" s="11" t="s">
        <v>0</v>
      </c>
      <c r="L170" s="2" t="s">
        <v>450</v>
      </c>
    </row>
    <row r="171" spans="1:12" ht="22.5" customHeight="1">
      <c r="A171" s="11" t="s">
        <v>717</v>
      </c>
      <c r="B171" s="12" t="s">
        <v>718</v>
      </c>
      <c r="C171" s="12" t="s">
        <v>719</v>
      </c>
      <c r="D171" s="12" t="s">
        <v>720</v>
      </c>
      <c r="E171" s="12" t="s">
        <v>721</v>
      </c>
      <c r="F171" s="12" t="s">
        <v>449</v>
      </c>
      <c r="G171" s="11" t="s">
        <v>36</v>
      </c>
      <c r="H171" s="92" t="s">
        <v>12</v>
      </c>
      <c r="I171" s="11" t="s">
        <v>37</v>
      </c>
      <c r="J171" s="11" t="s">
        <v>4</v>
      </c>
      <c r="K171" s="11" t="s">
        <v>0</v>
      </c>
      <c r="L171" s="2" t="s">
        <v>450</v>
      </c>
    </row>
    <row r="172" spans="1:12" ht="22.5" customHeight="1">
      <c r="A172" s="11" t="s">
        <v>722</v>
      </c>
      <c r="B172" s="12" t="s">
        <v>723</v>
      </c>
      <c r="C172" s="12" t="s">
        <v>724</v>
      </c>
      <c r="D172" s="12" t="s">
        <v>725</v>
      </c>
      <c r="E172" s="12" t="s">
        <v>726</v>
      </c>
      <c r="F172" s="12" t="s">
        <v>449</v>
      </c>
      <c r="G172" s="11" t="s">
        <v>36</v>
      </c>
      <c r="H172" s="92" t="s">
        <v>12</v>
      </c>
      <c r="I172" s="11" t="s">
        <v>37</v>
      </c>
      <c r="J172" s="11" t="s">
        <v>4</v>
      </c>
      <c r="K172" s="11" t="s">
        <v>0</v>
      </c>
      <c r="L172" s="2" t="s">
        <v>450</v>
      </c>
    </row>
    <row r="173" spans="1:12" ht="22.5" customHeight="1">
      <c r="A173" s="108" t="s">
        <v>727</v>
      </c>
      <c r="B173" s="114"/>
      <c r="C173" s="114"/>
      <c r="D173" s="114"/>
      <c r="E173" s="114"/>
      <c r="F173" s="114"/>
      <c r="G173" s="114"/>
      <c r="H173" s="114"/>
      <c r="I173" s="114"/>
      <c r="J173" s="114"/>
      <c r="K173" s="114"/>
    </row>
    <row r="174" spans="1:12" ht="22.5" customHeight="1">
      <c r="A174" s="11" t="s">
        <v>728</v>
      </c>
      <c r="B174" s="12" t="s">
        <v>729</v>
      </c>
      <c r="C174" s="12" t="s">
        <v>730</v>
      </c>
      <c r="D174" s="12" t="s">
        <v>731</v>
      </c>
      <c r="E174" s="12" t="s">
        <v>732</v>
      </c>
      <c r="F174" s="12" t="s">
        <v>449</v>
      </c>
      <c r="G174" s="11" t="s">
        <v>36</v>
      </c>
      <c r="H174" s="92" t="s">
        <v>12</v>
      </c>
      <c r="I174" s="11" t="s">
        <v>37</v>
      </c>
      <c r="J174" s="11" t="s">
        <v>4</v>
      </c>
      <c r="K174" s="11" t="s">
        <v>0</v>
      </c>
      <c r="L174" s="2" t="s">
        <v>450</v>
      </c>
    </row>
    <row r="175" spans="1:12" ht="22.5" customHeight="1">
      <c r="A175" s="11" t="s">
        <v>733</v>
      </c>
      <c r="B175" s="12" t="s">
        <v>734</v>
      </c>
      <c r="C175" s="12" t="s">
        <v>735</v>
      </c>
      <c r="D175" s="12" t="s">
        <v>736</v>
      </c>
      <c r="E175" s="12" t="s">
        <v>737</v>
      </c>
      <c r="F175" s="12" t="s">
        <v>449</v>
      </c>
      <c r="G175" s="11" t="s">
        <v>36</v>
      </c>
      <c r="H175" s="92" t="s">
        <v>12</v>
      </c>
      <c r="I175" s="11" t="s">
        <v>37</v>
      </c>
      <c r="J175" s="11" t="s">
        <v>4</v>
      </c>
      <c r="K175" s="11" t="s">
        <v>0</v>
      </c>
      <c r="L175" s="2" t="s">
        <v>450</v>
      </c>
    </row>
    <row r="176" spans="1:12" ht="22.5" customHeight="1">
      <c r="A176" s="11" t="s">
        <v>738</v>
      </c>
      <c r="B176" s="12" t="s">
        <v>739</v>
      </c>
      <c r="C176" s="12" t="s">
        <v>740</v>
      </c>
      <c r="D176" s="12" t="s">
        <v>741</v>
      </c>
      <c r="E176" s="12" t="s">
        <v>742</v>
      </c>
      <c r="F176" s="12" t="s">
        <v>449</v>
      </c>
      <c r="G176" s="11" t="s">
        <v>36</v>
      </c>
      <c r="H176" s="92" t="s">
        <v>12</v>
      </c>
      <c r="I176" s="11" t="s">
        <v>37</v>
      </c>
      <c r="J176" s="11" t="s">
        <v>4</v>
      </c>
      <c r="K176" s="11" t="s">
        <v>0</v>
      </c>
      <c r="L176" s="2" t="s">
        <v>450</v>
      </c>
    </row>
    <row r="177" spans="1:12" ht="22.5" customHeight="1">
      <c r="A177" s="11" t="s">
        <v>743</v>
      </c>
      <c r="B177" s="12" t="s">
        <v>744</v>
      </c>
      <c r="C177" s="12" t="s">
        <v>745</v>
      </c>
      <c r="D177" s="12" t="s">
        <v>746</v>
      </c>
      <c r="E177" s="12" t="s">
        <v>747</v>
      </c>
      <c r="F177" s="12" t="s">
        <v>449</v>
      </c>
      <c r="G177" s="11" t="s">
        <v>36</v>
      </c>
      <c r="H177" s="92" t="s">
        <v>12</v>
      </c>
      <c r="I177" s="11" t="s">
        <v>37</v>
      </c>
      <c r="J177" s="11" t="s">
        <v>4</v>
      </c>
      <c r="K177" s="11" t="s">
        <v>0</v>
      </c>
      <c r="L177" s="2" t="s">
        <v>450</v>
      </c>
    </row>
    <row r="178" spans="1:12" ht="22.5" customHeight="1">
      <c r="A178" s="11" t="s">
        <v>748</v>
      </c>
      <c r="B178" s="12" t="s">
        <v>749</v>
      </c>
      <c r="C178" s="12" t="s">
        <v>750</v>
      </c>
      <c r="D178" s="12" t="s">
        <v>751</v>
      </c>
      <c r="E178" s="12" t="s">
        <v>752</v>
      </c>
      <c r="F178" s="12" t="s">
        <v>449</v>
      </c>
      <c r="G178" s="11" t="s">
        <v>36</v>
      </c>
      <c r="H178" s="92" t="s">
        <v>12</v>
      </c>
      <c r="I178" s="11" t="s">
        <v>37</v>
      </c>
      <c r="J178" s="11" t="s">
        <v>4</v>
      </c>
      <c r="K178" s="11" t="s">
        <v>0</v>
      </c>
      <c r="L178" s="2" t="s">
        <v>450</v>
      </c>
    </row>
    <row r="179" spans="1:12" ht="22.5" customHeight="1">
      <c r="A179" s="11" t="s">
        <v>753</v>
      </c>
      <c r="B179" s="12" t="s">
        <v>754</v>
      </c>
      <c r="C179" s="12" t="s">
        <v>755</v>
      </c>
      <c r="D179" s="12" t="s">
        <v>756</v>
      </c>
      <c r="E179" s="12" t="s">
        <v>757</v>
      </c>
      <c r="F179" s="12" t="s">
        <v>449</v>
      </c>
      <c r="G179" s="11" t="s">
        <v>36</v>
      </c>
      <c r="H179" s="92" t="s">
        <v>12</v>
      </c>
      <c r="I179" s="11" t="s">
        <v>37</v>
      </c>
      <c r="J179" s="11" t="s">
        <v>4</v>
      </c>
      <c r="K179" s="11" t="s">
        <v>0</v>
      </c>
      <c r="L179" s="2" t="s">
        <v>450</v>
      </c>
    </row>
    <row r="180" spans="1:12" ht="22.5" customHeight="1">
      <c r="A180" s="11" t="s">
        <v>758</v>
      </c>
      <c r="B180" s="12" t="s">
        <v>759</v>
      </c>
      <c r="C180" s="12" t="s">
        <v>760</v>
      </c>
      <c r="D180" s="12" t="s">
        <v>761</v>
      </c>
      <c r="E180" s="12" t="s">
        <v>762</v>
      </c>
      <c r="F180" s="12" t="s">
        <v>449</v>
      </c>
      <c r="G180" s="11" t="s">
        <v>36</v>
      </c>
      <c r="H180" s="92" t="s">
        <v>12</v>
      </c>
      <c r="I180" s="11" t="s">
        <v>37</v>
      </c>
      <c r="J180" s="11" t="s">
        <v>4</v>
      </c>
      <c r="K180" s="11" t="s">
        <v>0</v>
      </c>
      <c r="L180" s="2" t="s">
        <v>450</v>
      </c>
    </row>
    <row r="181" spans="1:12" ht="22.5" customHeight="1">
      <c r="A181" s="11" t="s">
        <v>763</v>
      </c>
      <c r="B181" s="12" t="s">
        <v>764</v>
      </c>
      <c r="C181" s="12" t="s">
        <v>765</v>
      </c>
      <c r="D181" s="12" t="s">
        <v>766</v>
      </c>
      <c r="E181" s="12" t="s">
        <v>767</v>
      </c>
      <c r="F181" s="12" t="s">
        <v>449</v>
      </c>
      <c r="G181" s="11" t="s">
        <v>36</v>
      </c>
      <c r="H181" s="92" t="s">
        <v>12</v>
      </c>
      <c r="I181" s="11" t="s">
        <v>37</v>
      </c>
      <c r="J181" s="11" t="s">
        <v>4</v>
      </c>
      <c r="K181" s="11" t="s">
        <v>0</v>
      </c>
      <c r="L181" s="2" t="s">
        <v>450</v>
      </c>
    </row>
    <row r="182" spans="1:12" ht="22.5" customHeight="1">
      <c r="A182" s="11" t="s">
        <v>768</v>
      </c>
      <c r="B182" s="12" t="s">
        <v>769</v>
      </c>
      <c r="C182" s="12" t="s">
        <v>770</v>
      </c>
      <c r="D182" s="12" t="s">
        <v>771</v>
      </c>
      <c r="E182" s="12" t="s">
        <v>772</v>
      </c>
      <c r="F182" s="12" t="s">
        <v>449</v>
      </c>
      <c r="G182" s="11" t="s">
        <v>36</v>
      </c>
      <c r="H182" s="92" t="s">
        <v>12</v>
      </c>
      <c r="I182" s="11" t="s">
        <v>37</v>
      </c>
      <c r="J182" s="11" t="s">
        <v>4</v>
      </c>
      <c r="K182" s="11" t="s">
        <v>0</v>
      </c>
      <c r="L182" s="2" t="s">
        <v>450</v>
      </c>
    </row>
    <row r="183" spans="1:12" ht="22.5" customHeight="1">
      <c r="A183" s="11" t="s">
        <v>773</v>
      </c>
      <c r="B183" s="12" t="s">
        <v>774</v>
      </c>
      <c r="C183" s="12" t="s">
        <v>775</v>
      </c>
      <c r="D183" s="12" t="s">
        <v>776</v>
      </c>
      <c r="E183" s="12" t="s">
        <v>777</v>
      </c>
      <c r="F183" s="12" t="s">
        <v>449</v>
      </c>
      <c r="G183" s="11" t="s">
        <v>36</v>
      </c>
      <c r="H183" s="92" t="s">
        <v>12</v>
      </c>
      <c r="I183" s="11" t="s">
        <v>37</v>
      </c>
      <c r="J183" s="11" t="s">
        <v>4</v>
      </c>
      <c r="K183" s="11" t="s">
        <v>0</v>
      </c>
      <c r="L183" s="2" t="s">
        <v>450</v>
      </c>
    </row>
    <row r="184" spans="1:12" ht="22.5" customHeight="1">
      <c r="A184" s="11" t="s">
        <v>778</v>
      </c>
      <c r="B184" s="12" t="s">
        <v>779</v>
      </c>
      <c r="C184" s="12" t="s">
        <v>780</v>
      </c>
      <c r="D184" s="12" t="s">
        <v>781</v>
      </c>
      <c r="E184" s="12" t="s">
        <v>782</v>
      </c>
      <c r="F184" s="12" t="s">
        <v>449</v>
      </c>
      <c r="G184" s="11" t="s">
        <v>36</v>
      </c>
      <c r="H184" s="92" t="s">
        <v>12</v>
      </c>
      <c r="I184" s="11" t="s">
        <v>37</v>
      </c>
      <c r="J184" s="11" t="s">
        <v>4</v>
      </c>
      <c r="K184" s="11" t="s">
        <v>0</v>
      </c>
      <c r="L184" s="2" t="s">
        <v>450</v>
      </c>
    </row>
    <row r="185" spans="1:12" ht="22.5" customHeight="1">
      <c r="A185" s="11" t="s">
        <v>783</v>
      </c>
      <c r="B185" s="12" t="s">
        <v>784</v>
      </c>
      <c r="C185" s="12" t="s">
        <v>785</v>
      </c>
      <c r="D185" s="12" t="s">
        <v>786</v>
      </c>
      <c r="E185" s="12" t="s">
        <v>787</v>
      </c>
      <c r="F185" s="12" t="s">
        <v>449</v>
      </c>
      <c r="G185" s="11" t="s">
        <v>36</v>
      </c>
      <c r="H185" s="92" t="s">
        <v>12</v>
      </c>
      <c r="I185" s="11" t="s">
        <v>37</v>
      </c>
      <c r="J185" s="11" t="s">
        <v>4</v>
      </c>
      <c r="K185" s="11" t="s">
        <v>0</v>
      </c>
      <c r="L185" s="2" t="s">
        <v>450</v>
      </c>
    </row>
    <row r="186" spans="1:12" ht="22.5" customHeight="1">
      <c r="A186" s="11" t="s">
        <v>788</v>
      </c>
      <c r="B186" s="12" t="s">
        <v>789</v>
      </c>
      <c r="C186" s="12" t="s">
        <v>790</v>
      </c>
      <c r="D186" s="12" t="s">
        <v>791</v>
      </c>
      <c r="E186" s="12" t="s">
        <v>792</v>
      </c>
      <c r="F186" s="12" t="s">
        <v>449</v>
      </c>
      <c r="G186" s="11" t="s">
        <v>36</v>
      </c>
      <c r="H186" s="92" t="s">
        <v>12</v>
      </c>
      <c r="I186" s="11" t="s">
        <v>37</v>
      </c>
      <c r="J186" s="11" t="s">
        <v>4</v>
      </c>
      <c r="K186" s="11" t="s">
        <v>0</v>
      </c>
      <c r="L186" s="2" t="s">
        <v>450</v>
      </c>
    </row>
    <row r="187" spans="1:12" ht="22.5" customHeight="1">
      <c r="A187" s="108" t="s">
        <v>793</v>
      </c>
      <c r="B187" s="114"/>
      <c r="C187" s="114"/>
      <c r="D187" s="114"/>
      <c r="E187" s="114"/>
      <c r="F187" s="114"/>
      <c r="G187" s="114"/>
      <c r="H187" s="114"/>
      <c r="I187" s="114"/>
      <c r="J187" s="114"/>
      <c r="K187" s="114"/>
    </row>
    <row r="188" spans="1:12" ht="22.5" customHeight="1">
      <c r="A188" s="11" t="s">
        <v>794</v>
      </c>
      <c r="B188" s="12" t="s">
        <v>795</v>
      </c>
      <c r="C188" s="12" t="s">
        <v>796</v>
      </c>
      <c r="D188" s="12" t="s">
        <v>797</v>
      </c>
      <c r="E188" s="12" t="s">
        <v>798</v>
      </c>
      <c r="F188" s="12" t="s">
        <v>449</v>
      </c>
      <c r="G188" s="11" t="s">
        <v>36</v>
      </c>
      <c r="H188" s="92" t="s">
        <v>12</v>
      </c>
      <c r="I188" s="11" t="s">
        <v>37</v>
      </c>
      <c r="J188" s="11" t="s">
        <v>4</v>
      </c>
      <c r="K188" s="11" t="s">
        <v>0</v>
      </c>
      <c r="L188" s="2" t="s">
        <v>450</v>
      </c>
    </row>
    <row r="189" spans="1:12" ht="22.5" customHeight="1">
      <c r="A189" s="11" t="s">
        <v>799</v>
      </c>
      <c r="B189" s="12" t="s">
        <v>800</v>
      </c>
      <c r="C189" s="12" t="s">
        <v>801</v>
      </c>
      <c r="D189" s="12" t="s">
        <v>802</v>
      </c>
      <c r="E189" s="12" t="s">
        <v>803</v>
      </c>
      <c r="F189" s="12" t="s">
        <v>449</v>
      </c>
      <c r="G189" s="11" t="s">
        <v>36</v>
      </c>
      <c r="H189" s="92" t="s">
        <v>12</v>
      </c>
      <c r="I189" s="11" t="s">
        <v>37</v>
      </c>
      <c r="J189" s="11" t="s">
        <v>4</v>
      </c>
      <c r="K189" s="11" t="s">
        <v>0</v>
      </c>
      <c r="L189" s="2" t="s">
        <v>450</v>
      </c>
    </row>
    <row r="190" spans="1:12" ht="22.5" customHeight="1">
      <c r="A190" s="11" t="s">
        <v>804</v>
      </c>
      <c r="B190" s="12" t="s">
        <v>805</v>
      </c>
      <c r="C190" s="12" t="s">
        <v>806</v>
      </c>
      <c r="D190" s="12" t="s">
        <v>807</v>
      </c>
      <c r="E190" s="12" t="s">
        <v>808</v>
      </c>
      <c r="F190" s="12" t="s">
        <v>449</v>
      </c>
      <c r="G190" s="11" t="s">
        <v>36</v>
      </c>
      <c r="H190" s="92" t="s">
        <v>12</v>
      </c>
      <c r="I190" s="11" t="s">
        <v>37</v>
      </c>
      <c r="J190" s="11" t="s">
        <v>4</v>
      </c>
      <c r="K190" s="11" t="s">
        <v>0</v>
      </c>
      <c r="L190" s="2" t="s">
        <v>450</v>
      </c>
    </row>
    <row r="191" spans="1:12" ht="22.5" customHeight="1">
      <c r="A191" s="11" t="s">
        <v>809</v>
      </c>
      <c r="B191" s="12" t="s">
        <v>810</v>
      </c>
      <c r="C191" s="12" t="s">
        <v>811</v>
      </c>
      <c r="D191" s="12" t="s">
        <v>812</v>
      </c>
      <c r="E191" s="12" t="s">
        <v>813</v>
      </c>
      <c r="F191" s="12" t="s">
        <v>449</v>
      </c>
      <c r="G191" s="11" t="s">
        <v>36</v>
      </c>
      <c r="H191" s="92" t="s">
        <v>12</v>
      </c>
      <c r="I191" s="11" t="s">
        <v>37</v>
      </c>
      <c r="J191" s="11" t="s">
        <v>4</v>
      </c>
      <c r="K191" s="11" t="s">
        <v>0</v>
      </c>
      <c r="L191" s="2" t="s">
        <v>450</v>
      </c>
    </row>
    <row r="192" spans="1:12" ht="22.5" customHeight="1">
      <c r="A192" s="11" t="s">
        <v>814</v>
      </c>
      <c r="B192" s="12" t="s">
        <v>815</v>
      </c>
      <c r="C192" s="12" t="s">
        <v>816</v>
      </c>
      <c r="D192" s="12" t="s">
        <v>817</v>
      </c>
      <c r="E192" s="12" t="s">
        <v>818</v>
      </c>
      <c r="F192" s="12" t="s">
        <v>449</v>
      </c>
      <c r="G192" s="11" t="s">
        <v>36</v>
      </c>
      <c r="H192" s="92" t="s">
        <v>12</v>
      </c>
      <c r="I192" s="11" t="s">
        <v>37</v>
      </c>
      <c r="J192" s="11" t="s">
        <v>4</v>
      </c>
      <c r="K192" s="11" t="s">
        <v>0</v>
      </c>
      <c r="L192" s="2" t="s">
        <v>450</v>
      </c>
    </row>
    <row r="193" spans="1:12" ht="22.5" customHeight="1">
      <c r="A193" s="108" t="s">
        <v>819</v>
      </c>
      <c r="B193" s="114"/>
      <c r="C193" s="114"/>
      <c r="D193" s="114"/>
      <c r="E193" s="114"/>
      <c r="F193" s="114"/>
      <c r="G193" s="114"/>
      <c r="H193" s="114"/>
      <c r="I193" s="114"/>
      <c r="J193" s="114"/>
      <c r="K193" s="114"/>
    </row>
    <row r="194" spans="1:12" ht="22.5" customHeight="1">
      <c r="A194" s="11" t="s">
        <v>820</v>
      </c>
      <c r="B194" s="12" t="s">
        <v>821</v>
      </c>
      <c r="C194" s="12" t="s">
        <v>822</v>
      </c>
      <c r="D194" s="12" t="s">
        <v>823</v>
      </c>
      <c r="E194" s="12" t="s">
        <v>824</v>
      </c>
      <c r="F194" s="12" t="s">
        <v>449</v>
      </c>
      <c r="G194" s="11" t="s">
        <v>36</v>
      </c>
      <c r="H194" s="92" t="s">
        <v>12</v>
      </c>
      <c r="I194" s="11" t="s">
        <v>37</v>
      </c>
      <c r="J194" s="11" t="s">
        <v>4</v>
      </c>
      <c r="K194" s="11" t="s">
        <v>0</v>
      </c>
      <c r="L194" s="2" t="s">
        <v>450</v>
      </c>
    </row>
    <row r="195" spans="1:12" ht="22.5" customHeight="1">
      <c r="A195" s="11" t="s">
        <v>825</v>
      </c>
      <c r="B195" s="12" t="s">
        <v>826</v>
      </c>
      <c r="C195" s="12" t="s">
        <v>827</v>
      </c>
      <c r="D195" s="12" t="s">
        <v>828</v>
      </c>
      <c r="E195" s="12" t="s">
        <v>829</v>
      </c>
      <c r="F195" s="12" t="s">
        <v>449</v>
      </c>
      <c r="G195" s="11" t="s">
        <v>36</v>
      </c>
      <c r="H195" s="92" t="s">
        <v>12</v>
      </c>
      <c r="I195" s="11" t="s">
        <v>37</v>
      </c>
      <c r="J195" s="11" t="s">
        <v>4</v>
      </c>
      <c r="K195" s="11" t="s">
        <v>0</v>
      </c>
      <c r="L195" s="2" t="s">
        <v>450</v>
      </c>
    </row>
    <row r="196" spans="1:12" ht="22.5" customHeight="1">
      <c r="A196" s="11" t="s">
        <v>830</v>
      </c>
      <c r="B196" s="12" t="s">
        <v>831</v>
      </c>
      <c r="C196" s="12" t="s">
        <v>832</v>
      </c>
      <c r="D196" s="12" t="s">
        <v>833</v>
      </c>
      <c r="E196" s="12" t="s">
        <v>834</v>
      </c>
      <c r="F196" s="12" t="s">
        <v>449</v>
      </c>
      <c r="G196" s="11" t="s">
        <v>36</v>
      </c>
      <c r="H196" s="92" t="s">
        <v>12</v>
      </c>
      <c r="I196" s="11" t="s">
        <v>37</v>
      </c>
      <c r="J196" s="11" t="s">
        <v>4</v>
      </c>
      <c r="K196" s="11" t="s">
        <v>0</v>
      </c>
      <c r="L196" s="2" t="s">
        <v>450</v>
      </c>
    </row>
    <row r="197" spans="1:12" ht="22.5" customHeight="1">
      <c r="A197" s="11" t="s">
        <v>835</v>
      </c>
      <c r="B197" s="12" t="s">
        <v>836</v>
      </c>
      <c r="C197" s="12" t="s">
        <v>837</v>
      </c>
      <c r="D197" s="12" t="s">
        <v>838</v>
      </c>
      <c r="E197" s="12" t="s">
        <v>839</v>
      </c>
      <c r="F197" s="12" t="s">
        <v>449</v>
      </c>
      <c r="G197" s="11" t="s">
        <v>36</v>
      </c>
      <c r="H197" s="92" t="s">
        <v>12</v>
      </c>
      <c r="I197" s="11" t="s">
        <v>37</v>
      </c>
      <c r="J197" s="11" t="s">
        <v>4</v>
      </c>
      <c r="K197" s="11" t="s">
        <v>0</v>
      </c>
      <c r="L197" s="2" t="s">
        <v>450</v>
      </c>
    </row>
    <row r="198" spans="1:12" ht="22.5" customHeight="1">
      <c r="A198" s="11" t="s">
        <v>840</v>
      </c>
      <c r="B198" s="12" t="s">
        <v>841</v>
      </c>
      <c r="C198" s="12" t="s">
        <v>842</v>
      </c>
      <c r="D198" s="12" t="s">
        <v>843</v>
      </c>
      <c r="E198" s="12" t="s">
        <v>844</v>
      </c>
      <c r="F198" s="12" t="s">
        <v>449</v>
      </c>
      <c r="G198" s="11" t="s">
        <v>36</v>
      </c>
      <c r="H198" s="92" t="s">
        <v>12</v>
      </c>
      <c r="I198" s="11" t="s">
        <v>37</v>
      </c>
      <c r="J198" s="11" t="s">
        <v>4</v>
      </c>
      <c r="K198" s="11" t="s">
        <v>0</v>
      </c>
      <c r="L198" s="2" t="s">
        <v>450</v>
      </c>
    </row>
    <row r="199" spans="1:12" ht="22.5" customHeight="1">
      <c r="A199" s="11" t="s">
        <v>845</v>
      </c>
      <c r="B199" s="12" t="s">
        <v>846</v>
      </c>
      <c r="C199" s="12" t="s">
        <v>847</v>
      </c>
      <c r="D199" s="12" t="s">
        <v>848</v>
      </c>
      <c r="E199" s="12" t="s">
        <v>849</v>
      </c>
      <c r="F199" s="12" t="s">
        <v>449</v>
      </c>
      <c r="G199" s="11" t="s">
        <v>36</v>
      </c>
      <c r="H199" s="92" t="s">
        <v>12</v>
      </c>
      <c r="I199" s="11" t="s">
        <v>37</v>
      </c>
      <c r="J199" s="11" t="s">
        <v>4</v>
      </c>
      <c r="K199" s="11" t="s">
        <v>0</v>
      </c>
      <c r="L199" s="2" t="s">
        <v>450</v>
      </c>
    </row>
    <row r="200" spans="1:12" ht="22.5" customHeight="1">
      <c r="A200" s="11" t="s">
        <v>850</v>
      </c>
      <c r="B200" s="12" t="s">
        <v>851</v>
      </c>
      <c r="C200" s="12" t="s">
        <v>852</v>
      </c>
      <c r="D200" s="12" t="s">
        <v>853</v>
      </c>
      <c r="E200" s="12" t="s">
        <v>854</v>
      </c>
      <c r="F200" s="12" t="s">
        <v>449</v>
      </c>
      <c r="G200" s="11" t="s">
        <v>36</v>
      </c>
      <c r="H200" s="92" t="s">
        <v>12</v>
      </c>
      <c r="I200" s="11" t="s">
        <v>37</v>
      </c>
      <c r="J200" s="11" t="s">
        <v>4</v>
      </c>
      <c r="K200" s="11" t="s">
        <v>0</v>
      </c>
      <c r="L200" s="2" t="s">
        <v>450</v>
      </c>
    </row>
    <row r="201" spans="1:12" ht="22.5" customHeight="1">
      <c r="A201" s="108" t="s">
        <v>855</v>
      </c>
      <c r="B201" s="114"/>
      <c r="C201" s="114"/>
      <c r="D201" s="114"/>
      <c r="E201" s="114"/>
      <c r="F201" s="114"/>
      <c r="G201" s="114"/>
      <c r="H201" s="114"/>
      <c r="I201" s="114"/>
      <c r="J201" s="114"/>
      <c r="K201" s="114"/>
    </row>
    <row r="202" spans="1:12" ht="22.5" customHeight="1">
      <c r="A202" s="11" t="s">
        <v>856</v>
      </c>
      <c r="B202" s="12" t="s">
        <v>857</v>
      </c>
      <c r="C202" s="12" t="s">
        <v>858</v>
      </c>
      <c r="D202" s="12" t="s">
        <v>859</v>
      </c>
      <c r="E202" s="12" t="s">
        <v>860</v>
      </c>
      <c r="F202" s="12" t="s">
        <v>449</v>
      </c>
      <c r="G202" s="11" t="s">
        <v>36</v>
      </c>
      <c r="H202" s="92" t="s">
        <v>12</v>
      </c>
      <c r="I202" s="11" t="s">
        <v>37</v>
      </c>
      <c r="J202" s="11" t="s">
        <v>4</v>
      </c>
      <c r="K202" s="11" t="s">
        <v>0</v>
      </c>
      <c r="L202" s="2" t="s">
        <v>450</v>
      </c>
    </row>
    <row r="203" spans="1:12" ht="22.5" customHeight="1">
      <c r="A203" s="11" t="s">
        <v>861</v>
      </c>
      <c r="B203" s="12" t="s">
        <v>862</v>
      </c>
      <c r="C203" s="12" t="s">
        <v>863</v>
      </c>
      <c r="D203" s="12" t="s">
        <v>864</v>
      </c>
      <c r="E203" s="12" t="s">
        <v>865</v>
      </c>
      <c r="F203" s="12" t="s">
        <v>449</v>
      </c>
      <c r="G203" s="11" t="s">
        <v>36</v>
      </c>
      <c r="H203" s="92" t="s">
        <v>12</v>
      </c>
      <c r="I203" s="11" t="s">
        <v>37</v>
      </c>
      <c r="J203" s="11" t="s">
        <v>4</v>
      </c>
      <c r="K203" s="11" t="s">
        <v>0</v>
      </c>
      <c r="L203" s="2" t="s">
        <v>450</v>
      </c>
    </row>
    <row r="204" spans="1:12" ht="22.5" customHeight="1">
      <c r="A204" s="108" t="s">
        <v>866</v>
      </c>
      <c r="B204" s="114"/>
      <c r="C204" s="114"/>
      <c r="D204" s="114"/>
      <c r="E204" s="114"/>
      <c r="F204" s="114"/>
      <c r="G204" s="114"/>
      <c r="H204" s="114"/>
      <c r="I204" s="114"/>
      <c r="J204" s="114"/>
      <c r="K204" s="114"/>
    </row>
    <row r="205" spans="1:12" ht="22.5" customHeight="1">
      <c r="A205" s="11" t="s">
        <v>867</v>
      </c>
      <c r="B205" s="12" t="s">
        <v>868</v>
      </c>
      <c r="C205" s="12" t="s">
        <v>869</v>
      </c>
      <c r="D205" s="12" t="s">
        <v>870</v>
      </c>
      <c r="E205" s="12" t="s">
        <v>871</v>
      </c>
      <c r="F205" s="12" t="s">
        <v>449</v>
      </c>
      <c r="G205" s="11" t="s">
        <v>36</v>
      </c>
      <c r="H205" s="92" t="s">
        <v>12</v>
      </c>
      <c r="I205" s="11" t="s">
        <v>37</v>
      </c>
      <c r="J205" s="11" t="s">
        <v>4</v>
      </c>
      <c r="K205" s="11" t="s">
        <v>0</v>
      </c>
      <c r="L205" s="2" t="s">
        <v>450</v>
      </c>
    </row>
    <row r="206" spans="1:12" ht="22.5" customHeight="1">
      <c r="A206" s="11" t="s">
        <v>872</v>
      </c>
      <c r="B206" s="12" t="s">
        <v>873</v>
      </c>
      <c r="C206" s="12" t="s">
        <v>874</v>
      </c>
      <c r="D206" s="12" t="s">
        <v>875</v>
      </c>
      <c r="E206" s="12" t="s">
        <v>876</v>
      </c>
      <c r="F206" s="12" t="s">
        <v>449</v>
      </c>
      <c r="G206" s="11" t="s">
        <v>36</v>
      </c>
      <c r="H206" s="92" t="s">
        <v>12</v>
      </c>
      <c r="I206" s="11" t="s">
        <v>37</v>
      </c>
      <c r="J206" s="11" t="s">
        <v>4</v>
      </c>
      <c r="K206" s="11" t="s">
        <v>0</v>
      </c>
      <c r="L206" s="2" t="s">
        <v>450</v>
      </c>
    </row>
    <row r="207" spans="1:12" ht="22.5" customHeight="1">
      <c r="A207" s="11" t="s">
        <v>877</v>
      </c>
      <c r="B207" s="12" t="s">
        <v>878</v>
      </c>
      <c r="C207" s="12" t="s">
        <v>879</v>
      </c>
      <c r="D207" s="12" t="s">
        <v>880</v>
      </c>
      <c r="E207" s="12" t="s">
        <v>881</v>
      </c>
      <c r="F207" s="12" t="s">
        <v>449</v>
      </c>
      <c r="G207" s="11" t="s">
        <v>36</v>
      </c>
      <c r="H207" s="92" t="s">
        <v>12</v>
      </c>
      <c r="I207" s="11" t="s">
        <v>37</v>
      </c>
      <c r="J207" s="11" t="s">
        <v>4</v>
      </c>
      <c r="K207" s="11" t="s">
        <v>0</v>
      </c>
      <c r="L207" s="2" t="s">
        <v>450</v>
      </c>
    </row>
    <row r="208" spans="1:12" ht="22.5" customHeight="1">
      <c r="A208" s="11" t="s">
        <v>882</v>
      </c>
      <c r="B208" s="12" t="s">
        <v>883</v>
      </c>
      <c r="C208" s="12" t="s">
        <v>884</v>
      </c>
      <c r="D208" s="12" t="s">
        <v>885</v>
      </c>
      <c r="E208" s="12" t="s">
        <v>886</v>
      </c>
      <c r="F208" s="12" t="s">
        <v>449</v>
      </c>
      <c r="G208" s="11" t="s">
        <v>36</v>
      </c>
      <c r="H208" s="92" t="s">
        <v>12</v>
      </c>
      <c r="I208" s="11" t="s">
        <v>37</v>
      </c>
      <c r="J208" s="11" t="s">
        <v>4</v>
      </c>
      <c r="K208" s="11" t="s">
        <v>0</v>
      </c>
      <c r="L208" s="2" t="s">
        <v>450</v>
      </c>
    </row>
    <row r="209" spans="1:12" ht="22.5" customHeight="1">
      <c r="A209" s="11" t="s">
        <v>887</v>
      </c>
      <c r="B209" s="12" t="s">
        <v>888</v>
      </c>
      <c r="C209" s="12" t="s">
        <v>889</v>
      </c>
      <c r="D209" s="12" t="s">
        <v>890</v>
      </c>
      <c r="E209" s="12" t="s">
        <v>891</v>
      </c>
      <c r="F209" s="12" t="s">
        <v>449</v>
      </c>
      <c r="G209" s="11" t="s">
        <v>36</v>
      </c>
      <c r="H209" s="92" t="s">
        <v>12</v>
      </c>
      <c r="I209" s="11" t="s">
        <v>37</v>
      </c>
      <c r="J209" s="11" t="s">
        <v>4</v>
      </c>
      <c r="K209" s="11" t="s">
        <v>0</v>
      </c>
      <c r="L209" s="2" t="s">
        <v>450</v>
      </c>
    </row>
    <row r="210" spans="1:12" ht="22.5" customHeight="1">
      <c r="A210" s="11" t="s">
        <v>892</v>
      </c>
      <c r="B210" s="12" t="s">
        <v>893</v>
      </c>
      <c r="C210" s="12" t="s">
        <v>894</v>
      </c>
      <c r="D210" s="12" t="s">
        <v>895</v>
      </c>
      <c r="E210" s="12" t="s">
        <v>896</v>
      </c>
      <c r="F210" s="12" t="s">
        <v>449</v>
      </c>
      <c r="G210" s="11" t="s">
        <v>36</v>
      </c>
      <c r="H210" s="92" t="s">
        <v>12</v>
      </c>
      <c r="I210" s="11" t="s">
        <v>37</v>
      </c>
      <c r="J210" s="11" t="s">
        <v>4</v>
      </c>
      <c r="K210" s="11" t="s">
        <v>0</v>
      </c>
      <c r="L210" s="2" t="s">
        <v>450</v>
      </c>
    </row>
    <row r="211" spans="1:12" ht="22.5" customHeight="1">
      <c r="A211" s="11" t="s">
        <v>897</v>
      </c>
      <c r="B211" s="12" t="s">
        <v>898</v>
      </c>
      <c r="C211" s="12" t="s">
        <v>899</v>
      </c>
      <c r="D211" s="12" t="s">
        <v>900</v>
      </c>
      <c r="E211" s="12" t="s">
        <v>901</v>
      </c>
      <c r="F211" s="12" t="s">
        <v>449</v>
      </c>
      <c r="G211" s="11" t="s">
        <v>36</v>
      </c>
      <c r="H211" s="92" t="s">
        <v>12</v>
      </c>
      <c r="I211" s="11" t="s">
        <v>37</v>
      </c>
      <c r="J211" s="11" t="s">
        <v>4</v>
      </c>
      <c r="K211" s="11" t="s">
        <v>0</v>
      </c>
      <c r="L211" s="2" t="s">
        <v>450</v>
      </c>
    </row>
    <row r="212" spans="1:12" ht="22.5" customHeight="1">
      <c r="A212" s="11" t="s">
        <v>902</v>
      </c>
      <c r="B212" s="12" t="s">
        <v>903</v>
      </c>
      <c r="C212" s="12" t="s">
        <v>904</v>
      </c>
      <c r="D212" s="12" t="s">
        <v>905</v>
      </c>
      <c r="E212" s="12" t="s">
        <v>906</v>
      </c>
      <c r="F212" s="12" t="s">
        <v>449</v>
      </c>
      <c r="G212" s="11" t="s">
        <v>36</v>
      </c>
      <c r="H212" s="92" t="s">
        <v>12</v>
      </c>
      <c r="I212" s="11" t="s">
        <v>37</v>
      </c>
      <c r="J212" s="11" t="s">
        <v>4</v>
      </c>
      <c r="K212" s="11" t="s">
        <v>0</v>
      </c>
      <c r="L212" s="2" t="s">
        <v>450</v>
      </c>
    </row>
    <row r="213" spans="1:12" ht="22.5" customHeight="1">
      <c r="A213" s="11" t="s">
        <v>907</v>
      </c>
      <c r="B213" s="12" t="s">
        <v>908</v>
      </c>
      <c r="C213" s="12" t="s">
        <v>909</v>
      </c>
      <c r="D213" s="12" t="s">
        <v>910</v>
      </c>
      <c r="E213" s="12" t="s">
        <v>911</v>
      </c>
      <c r="F213" s="12" t="s">
        <v>449</v>
      </c>
      <c r="G213" s="11" t="s">
        <v>36</v>
      </c>
      <c r="H213" s="92" t="s">
        <v>12</v>
      </c>
      <c r="I213" s="11" t="s">
        <v>37</v>
      </c>
      <c r="J213" s="11" t="s">
        <v>4</v>
      </c>
      <c r="K213" s="11" t="s">
        <v>0</v>
      </c>
      <c r="L213" s="2" t="s">
        <v>450</v>
      </c>
    </row>
    <row r="214" spans="1:12" ht="22.5" customHeight="1">
      <c r="A214" s="11" t="s">
        <v>912</v>
      </c>
      <c r="B214" s="12" t="s">
        <v>913</v>
      </c>
      <c r="C214" s="12" t="s">
        <v>914</v>
      </c>
      <c r="D214" s="12" t="s">
        <v>915</v>
      </c>
      <c r="E214" s="12" t="s">
        <v>916</v>
      </c>
      <c r="F214" s="12" t="s">
        <v>449</v>
      </c>
      <c r="G214" s="11" t="s">
        <v>36</v>
      </c>
      <c r="H214" s="92" t="s">
        <v>12</v>
      </c>
      <c r="I214" s="11" t="s">
        <v>37</v>
      </c>
      <c r="J214" s="11" t="s">
        <v>4</v>
      </c>
      <c r="K214" s="11" t="s">
        <v>0</v>
      </c>
      <c r="L214" s="2" t="s">
        <v>450</v>
      </c>
    </row>
    <row r="215" spans="1:12" ht="22.5" customHeight="1">
      <c r="A215" s="11" t="s">
        <v>917</v>
      </c>
      <c r="B215" s="12" t="s">
        <v>918</v>
      </c>
      <c r="C215" s="12" t="s">
        <v>919</v>
      </c>
      <c r="D215" s="12" t="s">
        <v>920</v>
      </c>
      <c r="E215" s="12" t="s">
        <v>921</v>
      </c>
      <c r="F215" s="12" t="s">
        <v>449</v>
      </c>
      <c r="G215" s="11" t="s">
        <v>36</v>
      </c>
      <c r="H215" s="92" t="s">
        <v>12</v>
      </c>
      <c r="I215" s="11" t="s">
        <v>37</v>
      </c>
      <c r="J215" s="11" t="s">
        <v>4</v>
      </c>
      <c r="K215" s="11" t="s">
        <v>0</v>
      </c>
      <c r="L215" s="2" t="s">
        <v>450</v>
      </c>
    </row>
    <row r="216" spans="1:12" ht="22.5" customHeight="1">
      <c r="A216" s="11" t="s">
        <v>922</v>
      </c>
      <c r="B216" s="12" t="s">
        <v>923</v>
      </c>
      <c r="C216" s="12" t="s">
        <v>924</v>
      </c>
      <c r="D216" s="12" t="s">
        <v>925</v>
      </c>
      <c r="E216" s="12" t="s">
        <v>926</v>
      </c>
      <c r="F216" s="12" t="s">
        <v>449</v>
      </c>
      <c r="G216" s="11" t="s">
        <v>36</v>
      </c>
      <c r="H216" s="92" t="s">
        <v>12</v>
      </c>
      <c r="I216" s="11" t="s">
        <v>37</v>
      </c>
      <c r="J216" s="11" t="s">
        <v>4</v>
      </c>
      <c r="K216" s="11" t="s">
        <v>0</v>
      </c>
      <c r="L216" s="2" t="s">
        <v>450</v>
      </c>
    </row>
    <row r="217" spans="1:12" ht="22.5" customHeight="1">
      <c r="A217" s="11" t="s">
        <v>927</v>
      </c>
      <c r="B217" s="12" t="s">
        <v>928</v>
      </c>
      <c r="C217" s="12" t="s">
        <v>929</v>
      </c>
      <c r="D217" s="12" t="s">
        <v>930</v>
      </c>
      <c r="E217" s="12" t="s">
        <v>931</v>
      </c>
      <c r="F217" s="12" t="s">
        <v>449</v>
      </c>
      <c r="G217" s="11" t="s">
        <v>36</v>
      </c>
      <c r="H217" s="92" t="s">
        <v>12</v>
      </c>
      <c r="I217" s="11" t="s">
        <v>37</v>
      </c>
      <c r="J217" s="11" t="s">
        <v>4</v>
      </c>
      <c r="K217" s="11" t="s">
        <v>0</v>
      </c>
      <c r="L217" s="2" t="s">
        <v>450</v>
      </c>
    </row>
    <row r="218" spans="1:12" ht="22.5" customHeight="1">
      <c r="A218" s="11" t="s">
        <v>932</v>
      </c>
      <c r="B218" s="12" t="s">
        <v>933</v>
      </c>
      <c r="C218" s="12" t="s">
        <v>934</v>
      </c>
      <c r="D218" s="12" t="s">
        <v>935</v>
      </c>
      <c r="E218" s="12" t="s">
        <v>936</v>
      </c>
      <c r="F218" s="12" t="s">
        <v>449</v>
      </c>
      <c r="G218" s="11" t="s">
        <v>36</v>
      </c>
      <c r="H218" s="92" t="s">
        <v>12</v>
      </c>
      <c r="I218" s="11" t="s">
        <v>37</v>
      </c>
      <c r="J218" s="11" t="s">
        <v>4</v>
      </c>
      <c r="K218" s="11" t="s">
        <v>0</v>
      </c>
      <c r="L218" s="2" t="s">
        <v>450</v>
      </c>
    </row>
    <row r="219" spans="1:12" ht="22.5" customHeight="1">
      <c r="A219" s="108" t="s">
        <v>937</v>
      </c>
      <c r="B219" s="114"/>
      <c r="C219" s="114"/>
      <c r="D219" s="114"/>
      <c r="E219" s="114"/>
      <c r="F219" s="114"/>
      <c r="G219" s="114"/>
      <c r="H219" s="114"/>
      <c r="I219" s="114"/>
      <c r="J219" s="114"/>
      <c r="K219" s="114"/>
    </row>
    <row r="220" spans="1:12" ht="22.5" customHeight="1">
      <c r="A220" s="11" t="s">
        <v>938</v>
      </c>
      <c r="B220" s="12" t="s">
        <v>939</v>
      </c>
      <c r="C220" s="12" t="s">
        <v>940</v>
      </c>
      <c r="D220" s="12" t="s">
        <v>941</v>
      </c>
      <c r="E220" s="12" t="s">
        <v>942</v>
      </c>
      <c r="F220" s="12" t="s">
        <v>449</v>
      </c>
      <c r="G220" s="11" t="s">
        <v>36</v>
      </c>
      <c r="H220" s="92" t="s">
        <v>12</v>
      </c>
      <c r="I220" s="11" t="s">
        <v>37</v>
      </c>
      <c r="J220" s="11" t="s">
        <v>4</v>
      </c>
      <c r="K220" s="11" t="s">
        <v>0</v>
      </c>
      <c r="L220" s="2" t="s">
        <v>450</v>
      </c>
    </row>
    <row r="221" spans="1:12" ht="22.5" customHeight="1">
      <c r="A221" s="11" t="s">
        <v>943</v>
      </c>
      <c r="B221" s="12" t="s">
        <v>944</v>
      </c>
      <c r="C221" s="12" t="s">
        <v>945</v>
      </c>
      <c r="D221" s="12" t="s">
        <v>946</v>
      </c>
      <c r="E221" s="12" t="s">
        <v>947</v>
      </c>
      <c r="F221" s="12" t="s">
        <v>449</v>
      </c>
      <c r="G221" s="11" t="s">
        <v>36</v>
      </c>
      <c r="H221" s="92" t="s">
        <v>12</v>
      </c>
      <c r="I221" s="11" t="s">
        <v>37</v>
      </c>
      <c r="J221" s="11" t="s">
        <v>4</v>
      </c>
      <c r="K221" s="11" t="s">
        <v>0</v>
      </c>
      <c r="L221" s="2" t="s">
        <v>450</v>
      </c>
    </row>
    <row r="222" spans="1:12" ht="22.5" customHeight="1">
      <c r="A222" s="11" t="s">
        <v>948</v>
      </c>
      <c r="B222" s="12" t="s">
        <v>949</v>
      </c>
      <c r="C222" s="12" t="s">
        <v>950</v>
      </c>
      <c r="D222" s="12" t="s">
        <v>951</v>
      </c>
      <c r="E222" s="12" t="s">
        <v>952</v>
      </c>
      <c r="F222" s="12" t="s">
        <v>449</v>
      </c>
      <c r="G222" s="11" t="s">
        <v>36</v>
      </c>
      <c r="H222" s="92" t="s">
        <v>12</v>
      </c>
      <c r="I222" s="11" t="s">
        <v>37</v>
      </c>
      <c r="J222" s="11" t="s">
        <v>4</v>
      </c>
      <c r="K222" s="11" t="s">
        <v>0</v>
      </c>
      <c r="L222" s="2" t="s">
        <v>450</v>
      </c>
    </row>
    <row r="223" spans="1:12" ht="22.5" customHeight="1">
      <c r="A223" s="11" t="s">
        <v>953</v>
      </c>
      <c r="B223" s="12" t="s">
        <v>954</v>
      </c>
      <c r="C223" s="12" t="s">
        <v>955</v>
      </c>
      <c r="D223" s="12" t="s">
        <v>956</v>
      </c>
      <c r="E223" s="12" t="s">
        <v>957</v>
      </c>
      <c r="F223" s="12" t="s">
        <v>449</v>
      </c>
      <c r="G223" s="11" t="s">
        <v>36</v>
      </c>
      <c r="H223" s="92" t="s">
        <v>12</v>
      </c>
      <c r="I223" s="11" t="s">
        <v>37</v>
      </c>
      <c r="J223" s="11" t="s">
        <v>4</v>
      </c>
      <c r="K223" s="11" t="s">
        <v>0</v>
      </c>
      <c r="L223" s="2" t="s">
        <v>450</v>
      </c>
    </row>
    <row r="224" spans="1:12" ht="22.5" customHeight="1">
      <c r="A224" s="11" t="s">
        <v>958</v>
      </c>
      <c r="B224" s="12" t="s">
        <v>959</v>
      </c>
      <c r="C224" s="12" t="s">
        <v>960</v>
      </c>
      <c r="D224" s="12" t="s">
        <v>961</v>
      </c>
      <c r="E224" s="12" t="s">
        <v>962</v>
      </c>
      <c r="F224" s="12" t="s">
        <v>449</v>
      </c>
      <c r="G224" s="11" t="s">
        <v>36</v>
      </c>
      <c r="H224" s="92" t="s">
        <v>12</v>
      </c>
      <c r="I224" s="11" t="s">
        <v>37</v>
      </c>
      <c r="J224" s="11" t="s">
        <v>4</v>
      </c>
      <c r="K224" s="11" t="s">
        <v>0</v>
      </c>
      <c r="L224" s="2" t="s">
        <v>450</v>
      </c>
    </row>
    <row r="225" spans="1:12" ht="22.5" customHeight="1">
      <c r="A225" s="11" t="s">
        <v>963</v>
      </c>
      <c r="B225" s="12" t="s">
        <v>964</v>
      </c>
      <c r="C225" s="12" t="s">
        <v>965</v>
      </c>
      <c r="D225" s="12" t="s">
        <v>966</v>
      </c>
      <c r="E225" s="12" t="s">
        <v>967</v>
      </c>
      <c r="F225" s="12" t="s">
        <v>449</v>
      </c>
      <c r="G225" s="11" t="s">
        <v>36</v>
      </c>
      <c r="H225" s="92" t="s">
        <v>12</v>
      </c>
      <c r="I225" s="11" t="s">
        <v>37</v>
      </c>
      <c r="J225" s="11" t="s">
        <v>4</v>
      </c>
      <c r="K225" s="11" t="s">
        <v>0</v>
      </c>
      <c r="L225" s="2" t="s">
        <v>450</v>
      </c>
    </row>
    <row r="226" spans="1:12" ht="22.5" customHeight="1">
      <c r="A226" s="11" t="s">
        <v>968</v>
      </c>
      <c r="B226" s="12" t="s">
        <v>969</v>
      </c>
      <c r="C226" s="12" t="s">
        <v>970</v>
      </c>
      <c r="D226" s="12" t="s">
        <v>971</v>
      </c>
      <c r="E226" s="12" t="s">
        <v>972</v>
      </c>
      <c r="F226" s="12" t="s">
        <v>449</v>
      </c>
      <c r="G226" s="11" t="s">
        <v>36</v>
      </c>
      <c r="H226" s="92" t="s">
        <v>12</v>
      </c>
      <c r="I226" s="11" t="s">
        <v>37</v>
      </c>
      <c r="J226" s="11" t="s">
        <v>4</v>
      </c>
      <c r="K226" s="11" t="s">
        <v>0</v>
      </c>
      <c r="L226" s="2" t="s">
        <v>450</v>
      </c>
    </row>
    <row r="227" spans="1:12" ht="22.5" customHeight="1">
      <c r="A227" s="11" t="s">
        <v>973</v>
      </c>
      <c r="B227" s="12" t="s">
        <v>974</v>
      </c>
      <c r="C227" s="12" t="s">
        <v>975</v>
      </c>
      <c r="D227" s="12" t="s">
        <v>976</v>
      </c>
      <c r="E227" s="12" t="s">
        <v>977</v>
      </c>
      <c r="F227" s="12" t="s">
        <v>449</v>
      </c>
      <c r="G227" s="11" t="s">
        <v>36</v>
      </c>
      <c r="H227" s="92" t="s">
        <v>12</v>
      </c>
      <c r="I227" s="11" t="s">
        <v>37</v>
      </c>
      <c r="J227" s="11" t="s">
        <v>4</v>
      </c>
      <c r="K227" s="11" t="s">
        <v>0</v>
      </c>
      <c r="L227" s="2" t="s">
        <v>450</v>
      </c>
    </row>
    <row r="228" spans="1:12" ht="22.5" customHeight="1">
      <c r="A228" s="11" t="s">
        <v>978</v>
      </c>
      <c r="B228" s="12" t="s">
        <v>979</v>
      </c>
      <c r="C228" s="12" t="s">
        <v>980</v>
      </c>
      <c r="D228" s="12" t="s">
        <v>981</v>
      </c>
      <c r="E228" s="12" t="s">
        <v>982</v>
      </c>
      <c r="F228" s="12" t="s">
        <v>449</v>
      </c>
      <c r="G228" s="11" t="s">
        <v>36</v>
      </c>
      <c r="H228" s="92" t="s">
        <v>12</v>
      </c>
      <c r="I228" s="11" t="s">
        <v>37</v>
      </c>
      <c r="J228" s="11" t="s">
        <v>4</v>
      </c>
      <c r="K228" s="11" t="s">
        <v>0</v>
      </c>
      <c r="L228" s="2" t="s">
        <v>450</v>
      </c>
    </row>
    <row r="229" spans="1:12" ht="22.5" customHeight="1">
      <c r="A229" s="108" t="s">
        <v>983</v>
      </c>
      <c r="B229" s="114"/>
      <c r="C229" s="114"/>
      <c r="D229" s="114"/>
      <c r="E229" s="114"/>
      <c r="F229" s="114"/>
      <c r="G229" s="114"/>
      <c r="H229" s="114"/>
      <c r="I229" s="114"/>
      <c r="J229" s="114"/>
      <c r="K229" s="114"/>
    </row>
    <row r="230" spans="1:12" ht="22.5" customHeight="1">
      <c r="A230" s="11" t="s">
        <v>984</v>
      </c>
      <c r="B230" s="12" t="s">
        <v>985</v>
      </c>
      <c r="C230" s="12" t="s">
        <v>986</v>
      </c>
      <c r="D230" s="12" t="s">
        <v>987</v>
      </c>
      <c r="E230" s="12" t="s">
        <v>988</v>
      </c>
      <c r="F230" s="12" t="s">
        <v>449</v>
      </c>
      <c r="G230" s="11" t="s">
        <v>36</v>
      </c>
      <c r="H230" s="92" t="s">
        <v>12</v>
      </c>
      <c r="I230" s="11" t="s">
        <v>37</v>
      </c>
      <c r="J230" s="11" t="s">
        <v>4</v>
      </c>
      <c r="K230" s="11" t="s">
        <v>0</v>
      </c>
      <c r="L230" s="2" t="s">
        <v>450</v>
      </c>
    </row>
    <row r="231" spans="1:12" ht="22.5" customHeight="1">
      <c r="A231" s="11" t="s">
        <v>989</v>
      </c>
      <c r="B231" s="12" t="s">
        <v>990</v>
      </c>
      <c r="C231" s="12" t="s">
        <v>991</v>
      </c>
      <c r="D231" s="12" t="s">
        <v>992</v>
      </c>
      <c r="E231" s="12" t="s">
        <v>993</v>
      </c>
      <c r="F231" s="12" t="s">
        <v>449</v>
      </c>
      <c r="G231" s="11" t="s">
        <v>36</v>
      </c>
      <c r="H231" s="92" t="s">
        <v>12</v>
      </c>
      <c r="I231" s="11" t="s">
        <v>37</v>
      </c>
      <c r="J231" s="11" t="s">
        <v>4</v>
      </c>
      <c r="K231" s="11" t="s">
        <v>0</v>
      </c>
      <c r="L231" s="2" t="s">
        <v>450</v>
      </c>
    </row>
    <row r="232" spans="1:12" ht="22.5" customHeight="1">
      <c r="A232" s="108" t="s">
        <v>994</v>
      </c>
      <c r="B232" s="114"/>
      <c r="C232" s="114"/>
      <c r="D232" s="114"/>
      <c r="E232" s="114"/>
      <c r="F232" s="114"/>
      <c r="G232" s="114"/>
      <c r="H232" s="114"/>
      <c r="I232" s="114"/>
      <c r="J232" s="114"/>
      <c r="K232" s="114"/>
    </row>
    <row r="233" spans="1:12" ht="22.5" customHeight="1">
      <c r="A233" s="11" t="s">
        <v>995</v>
      </c>
      <c r="B233" s="12" t="s">
        <v>996</v>
      </c>
      <c r="C233" s="12" t="s">
        <v>997</v>
      </c>
      <c r="D233" s="12" t="s">
        <v>998</v>
      </c>
      <c r="E233" s="12" t="s">
        <v>999</v>
      </c>
      <c r="F233" s="12" t="s">
        <v>449</v>
      </c>
      <c r="G233" s="11" t="s">
        <v>36</v>
      </c>
      <c r="H233" s="92" t="s">
        <v>12</v>
      </c>
      <c r="I233" s="11" t="s">
        <v>37</v>
      </c>
      <c r="J233" s="11" t="s">
        <v>4</v>
      </c>
      <c r="K233" s="11" t="s">
        <v>0</v>
      </c>
      <c r="L233" s="2" t="s">
        <v>450</v>
      </c>
    </row>
    <row r="234" spans="1:12" ht="22.5" customHeight="1">
      <c r="A234" s="11" t="s">
        <v>1000</v>
      </c>
      <c r="B234" s="12" t="s">
        <v>1001</v>
      </c>
      <c r="C234" s="12" t="s">
        <v>1002</v>
      </c>
      <c r="D234" s="12" t="s">
        <v>1003</v>
      </c>
      <c r="E234" s="12" t="s">
        <v>1004</v>
      </c>
      <c r="F234" s="12" t="s">
        <v>449</v>
      </c>
      <c r="G234" s="11" t="s">
        <v>36</v>
      </c>
      <c r="H234" s="92" t="s">
        <v>12</v>
      </c>
      <c r="I234" s="11" t="s">
        <v>37</v>
      </c>
      <c r="J234" s="11" t="s">
        <v>4</v>
      </c>
      <c r="K234" s="11" t="s">
        <v>0</v>
      </c>
      <c r="L234" s="2" t="s">
        <v>450</v>
      </c>
    </row>
    <row r="235" spans="1:12" ht="22.5" customHeight="1">
      <c r="A235" s="108" t="s">
        <v>1005</v>
      </c>
      <c r="B235" s="114"/>
      <c r="C235" s="114"/>
      <c r="D235" s="114"/>
      <c r="E235" s="114"/>
      <c r="F235" s="114"/>
      <c r="G235" s="114"/>
      <c r="H235" s="114"/>
      <c r="I235" s="114"/>
      <c r="J235" s="114"/>
      <c r="K235" s="114"/>
    </row>
    <row r="236" spans="1:12" ht="22.5" customHeight="1">
      <c r="A236" s="11" t="s">
        <v>1006</v>
      </c>
      <c r="B236" s="12" t="s">
        <v>1007</v>
      </c>
      <c r="C236" s="12" t="s">
        <v>1008</v>
      </c>
      <c r="D236" s="12" t="s">
        <v>1009</v>
      </c>
      <c r="E236" s="12" t="s">
        <v>1010</v>
      </c>
      <c r="F236" s="12" t="s">
        <v>449</v>
      </c>
      <c r="G236" s="11" t="s">
        <v>36</v>
      </c>
      <c r="H236" s="92" t="s">
        <v>12</v>
      </c>
      <c r="I236" s="11" t="s">
        <v>37</v>
      </c>
      <c r="J236" s="11" t="s">
        <v>4</v>
      </c>
      <c r="K236" s="11" t="s">
        <v>0</v>
      </c>
      <c r="L236" s="2" t="s">
        <v>450</v>
      </c>
    </row>
    <row r="237" spans="1:12" ht="22.5" customHeight="1">
      <c r="A237" s="11" t="s">
        <v>1011</v>
      </c>
      <c r="B237" s="12" t="s">
        <v>1012</v>
      </c>
      <c r="C237" s="12" t="s">
        <v>1013</v>
      </c>
      <c r="D237" s="12" t="s">
        <v>1014</v>
      </c>
      <c r="E237" s="12" t="s">
        <v>1015</v>
      </c>
      <c r="F237" s="12" t="s">
        <v>449</v>
      </c>
      <c r="G237" s="11" t="s">
        <v>36</v>
      </c>
      <c r="H237" s="92" t="s">
        <v>12</v>
      </c>
      <c r="I237" s="11" t="s">
        <v>37</v>
      </c>
      <c r="J237" s="11" t="s">
        <v>4</v>
      </c>
      <c r="K237" s="11" t="s">
        <v>0</v>
      </c>
      <c r="L237" s="2" t="s">
        <v>450</v>
      </c>
    </row>
    <row r="238" spans="1:12" ht="22.5" customHeight="1">
      <c r="A238" s="11" t="s">
        <v>1016</v>
      </c>
      <c r="B238" s="12" t="s">
        <v>1017</v>
      </c>
      <c r="C238" s="12" t="s">
        <v>1018</v>
      </c>
      <c r="D238" s="12" t="s">
        <v>1019</v>
      </c>
      <c r="E238" s="12" t="s">
        <v>1020</v>
      </c>
      <c r="F238" s="12" t="s">
        <v>449</v>
      </c>
      <c r="G238" s="11" t="s">
        <v>36</v>
      </c>
      <c r="H238" s="92" t="s">
        <v>12</v>
      </c>
      <c r="I238" s="11" t="s">
        <v>37</v>
      </c>
      <c r="J238" s="11" t="s">
        <v>4</v>
      </c>
      <c r="K238" s="11" t="s">
        <v>0</v>
      </c>
      <c r="L238" s="2" t="s">
        <v>450</v>
      </c>
    </row>
    <row r="239" spans="1:12" ht="22.5" customHeight="1">
      <c r="A239" s="11" t="s">
        <v>1021</v>
      </c>
      <c r="B239" s="12" t="s">
        <v>1022</v>
      </c>
      <c r="C239" s="12" t="s">
        <v>1023</v>
      </c>
      <c r="D239" s="12" t="s">
        <v>1024</v>
      </c>
      <c r="E239" s="12" t="s">
        <v>1025</v>
      </c>
      <c r="F239" s="12" t="s">
        <v>449</v>
      </c>
      <c r="G239" s="11" t="s">
        <v>36</v>
      </c>
      <c r="H239" s="92" t="s">
        <v>12</v>
      </c>
      <c r="I239" s="11" t="s">
        <v>37</v>
      </c>
      <c r="J239" s="11" t="s">
        <v>4</v>
      </c>
      <c r="K239" s="11" t="s">
        <v>0</v>
      </c>
      <c r="L239" s="2" t="s">
        <v>450</v>
      </c>
    </row>
    <row r="240" spans="1:12" ht="22.5" customHeight="1">
      <c r="A240" s="11" t="s">
        <v>1026</v>
      </c>
      <c r="B240" s="12" t="s">
        <v>1027</v>
      </c>
      <c r="C240" s="12" t="s">
        <v>1028</v>
      </c>
      <c r="D240" s="12" t="s">
        <v>1029</v>
      </c>
      <c r="E240" s="12" t="s">
        <v>1030</v>
      </c>
      <c r="F240" s="12" t="s">
        <v>449</v>
      </c>
      <c r="G240" s="11" t="s">
        <v>36</v>
      </c>
      <c r="H240" s="92" t="s">
        <v>12</v>
      </c>
      <c r="I240" s="11" t="s">
        <v>37</v>
      </c>
      <c r="J240" s="11" t="s">
        <v>4</v>
      </c>
      <c r="K240" s="11" t="s">
        <v>0</v>
      </c>
      <c r="L240" s="2" t="s">
        <v>450</v>
      </c>
    </row>
    <row r="241" spans="1:12" ht="22.5" customHeight="1">
      <c r="A241" s="11" t="s">
        <v>1031</v>
      </c>
      <c r="B241" s="12" t="s">
        <v>1032</v>
      </c>
      <c r="C241" s="12" t="s">
        <v>1033</v>
      </c>
      <c r="D241" s="12" t="s">
        <v>1034</v>
      </c>
      <c r="E241" s="12" t="s">
        <v>1035</v>
      </c>
      <c r="F241" s="12" t="s">
        <v>449</v>
      </c>
      <c r="G241" s="11" t="s">
        <v>36</v>
      </c>
      <c r="H241" s="92" t="s">
        <v>12</v>
      </c>
      <c r="I241" s="11" t="s">
        <v>37</v>
      </c>
      <c r="J241" s="11" t="s">
        <v>4</v>
      </c>
      <c r="K241" s="11" t="s">
        <v>0</v>
      </c>
      <c r="L241" s="2" t="s">
        <v>450</v>
      </c>
    </row>
    <row r="242" spans="1:12" ht="22.5" customHeight="1">
      <c r="A242" s="11" t="s">
        <v>1036</v>
      </c>
      <c r="B242" s="12" t="s">
        <v>1037</v>
      </c>
      <c r="C242" s="12" t="s">
        <v>1038</v>
      </c>
      <c r="D242" s="12" t="s">
        <v>1039</v>
      </c>
      <c r="E242" s="12" t="s">
        <v>1040</v>
      </c>
      <c r="F242" s="12" t="s">
        <v>449</v>
      </c>
      <c r="G242" s="11" t="s">
        <v>36</v>
      </c>
      <c r="H242" s="92" t="s">
        <v>12</v>
      </c>
      <c r="I242" s="11" t="s">
        <v>37</v>
      </c>
      <c r="J242" s="11" t="s">
        <v>4</v>
      </c>
      <c r="K242" s="11" t="s">
        <v>0</v>
      </c>
      <c r="L242" s="2" t="s">
        <v>450</v>
      </c>
    </row>
    <row r="243" spans="1:12" ht="22.5" customHeight="1">
      <c r="A243" s="11" t="s">
        <v>1041</v>
      </c>
      <c r="B243" s="12" t="s">
        <v>1042</v>
      </c>
      <c r="C243" s="12" t="s">
        <v>1043</v>
      </c>
      <c r="D243" s="12" t="s">
        <v>1044</v>
      </c>
      <c r="E243" s="12" t="s">
        <v>1045</v>
      </c>
      <c r="F243" s="12" t="s">
        <v>449</v>
      </c>
      <c r="G243" s="11" t="s">
        <v>36</v>
      </c>
      <c r="H243" s="92" t="s">
        <v>12</v>
      </c>
      <c r="I243" s="11" t="s">
        <v>37</v>
      </c>
      <c r="J243" s="11" t="s">
        <v>4</v>
      </c>
      <c r="K243" s="11" t="s">
        <v>0</v>
      </c>
      <c r="L243" s="2" t="s">
        <v>450</v>
      </c>
    </row>
    <row r="244" spans="1:12" ht="22.5" customHeight="1">
      <c r="A244" s="108" t="s">
        <v>1046</v>
      </c>
      <c r="B244" s="114"/>
      <c r="C244" s="114"/>
      <c r="D244" s="114"/>
      <c r="E244" s="114"/>
      <c r="F244" s="114"/>
      <c r="G244" s="114"/>
      <c r="H244" s="114"/>
      <c r="I244" s="114"/>
      <c r="J244" s="114"/>
      <c r="K244" s="114"/>
    </row>
    <row r="245" spans="1:12" ht="22.5" customHeight="1">
      <c r="A245" s="11" t="s">
        <v>1047</v>
      </c>
      <c r="B245" s="12" t="s">
        <v>1048</v>
      </c>
      <c r="C245" s="12" t="s">
        <v>1049</v>
      </c>
      <c r="D245" s="12" t="s">
        <v>1050</v>
      </c>
      <c r="E245" s="12" t="s">
        <v>1051</v>
      </c>
      <c r="F245" s="12" t="s">
        <v>449</v>
      </c>
      <c r="G245" s="11" t="s">
        <v>36</v>
      </c>
      <c r="H245" s="92" t="s">
        <v>12</v>
      </c>
      <c r="I245" s="11" t="s">
        <v>37</v>
      </c>
      <c r="J245" s="11" t="s">
        <v>4</v>
      </c>
      <c r="K245" s="11" t="s">
        <v>0</v>
      </c>
      <c r="L245" s="2" t="s">
        <v>450</v>
      </c>
    </row>
    <row r="246" spans="1:12" ht="22.5" customHeight="1">
      <c r="A246" s="11" t="s">
        <v>1052</v>
      </c>
      <c r="B246" s="12" t="s">
        <v>1053</v>
      </c>
      <c r="C246" s="12" t="s">
        <v>1054</v>
      </c>
      <c r="D246" s="12" t="s">
        <v>1055</v>
      </c>
      <c r="E246" s="12" t="s">
        <v>1056</v>
      </c>
      <c r="F246" s="12" t="s">
        <v>449</v>
      </c>
      <c r="G246" s="11" t="s">
        <v>36</v>
      </c>
      <c r="H246" s="92" t="s">
        <v>12</v>
      </c>
      <c r="I246" s="11" t="s">
        <v>37</v>
      </c>
      <c r="J246" s="11" t="s">
        <v>4</v>
      </c>
      <c r="K246" s="11" t="s">
        <v>0</v>
      </c>
      <c r="L246" s="2" t="s">
        <v>450</v>
      </c>
    </row>
    <row r="247" spans="1:12" ht="22.5" customHeight="1">
      <c r="A247" s="11" t="s">
        <v>1057</v>
      </c>
      <c r="B247" s="12" t="s">
        <v>1058</v>
      </c>
      <c r="C247" s="12" t="s">
        <v>1059</v>
      </c>
      <c r="D247" s="12" t="s">
        <v>1060</v>
      </c>
      <c r="E247" s="12" t="s">
        <v>1061</v>
      </c>
      <c r="F247" s="12" t="s">
        <v>449</v>
      </c>
      <c r="G247" s="11" t="s">
        <v>36</v>
      </c>
      <c r="H247" s="92" t="s">
        <v>12</v>
      </c>
      <c r="I247" s="11" t="s">
        <v>37</v>
      </c>
      <c r="J247" s="11" t="s">
        <v>4</v>
      </c>
      <c r="K247" s="11" t="s">
        <v>0</v>
      </c>
      <c r="L247" s="2" t="s">
        <v>450</v>
      </c>
    </row>
    <row r="248" spans="1:12" ht="22.5" customHeight="1">
      <c r="A248" s="11" t="s">
        <v>1062</v>
      </c>
      <c r="B248" s="12" t="s">
        <v>1063</v>
      </c>
      <c r="C248" s="12" t="s">
        <v>1064</v>
      </c>
      <c r="D248" s="12" t="s">
        <v>1065</v>
      </c>
      <c r="E248" s="12" t="s">
        <v>1066</v>
      </c>
      <c r="F248" s="12" t="s">
        <v>449</v>
      </c>
      <c r="G248" s="11" t="s">
        <v>36</v>
      </c>
      <c r="H248" s="92" t="s">
        <v>12</v>
      </c>
      <c r="I248" s="11" t="s">
        <v>37</v>
      </c>
      <c r="J248" s="11" t="s">
        <v>4</v>
      </c>
      <c r="K248" s="11" t="s">
        <v>0</v>
      </c>
      <c r="L248" s="2" t="s">
        <v>450</v>
      </c>
    </row>
    <row r="249" spans="1:12" ht="22.5" customHeight="1">
      <c r="A249" s="108" t="s">
        <v>1067</v>
      </c>
      <c r="B249" s="114"/>
      <c r="C249" s="114"/>
      <c r="D249" s="114"/>
      <c r="E249" s="114"/>
      <c r="F249" s="114"/>
      <c r="G249" s="114"/>
      <c r="H249" s="114"/>
      <c r="I249" s="114"/>
      <c r="J249" s="114"/>
      <c r="K249" s="114"/>
    </row>
    <row r="250" spans="1:12" ht="22.5" customHeight="1">
      <c r="A250" s="11" t="s">
        <v>1068</v>
      </c>
      <c r="B250" s="12" t="s">
        <v>1069</v>
      </c>
      <c r="C250" s="12" t="s">
        <v>1070</v>
      </c>
      <c r="D250" s="12" t="s">
        <v>1071</v>
      </c>
      <c r="E250" s="12" t="s">
        <v>1072</v>
      </c>
      <c r="F250" s="12" t="s">
        <v>449</v>
      </c>
      <c r="G250" s="11" t="s">
        <v>36</v>
      </c>
      <c r="H250" s="92" t="s">
        <v>12</v>
      </c>
      <c r="I250" s="11" t="s">
        <v>37</v>
      </c>
      <c r="J250" s="11" t="s">
        <v>4</v>
      </c>
      <c r="K250" s="11" t="s">
        <v>0</v>
      </c>
    </row>
    <row r="251" spans="1:12" ht="22.5" customHeight="1">
      <c r="A251" s="11" t="s">
        <v>1073</v>
      </c>
      <c r="B251" s="12" t="s">
        <v>1074</v>
      </c>
      <c r="C251" s="12" t="s">
        <v>1075</v>
      </c>
      <c r="D251" s="12" t="s">
        <v>1076</v>
      </c>
      <c r="E251" s="12" t="s">
        <v>1077</v>
      </c>
      <c r="F251" s="12" t="s">
        <v>449</v>
      </c>
      <c r="G251" s="11" t="s">
        <v>36</v>
      </c>
      <c r="H251" s="92" t="s">
        <v>12</v>
      </c>
      <c r="I251" s="11" t="s">
        <v>37</v>
      </c>
      <c r="J251" s="11" t="s">
        <v>4</v>
      </c>
      <c r="K251" s="11" t="s">
        <v>0</v>
      </c>
    </row>
    <row r="252" spans="1:12" ht="22.5" customHeight="1">
      <c r="A252" s="11" t="s">
        <v>1078</v>
      </c>
      <c r="B252" s="12" t="s">
        <v>1079</v>
      </c>
      <c r="C252" s="12" t="s">
        <v>1080</v>
      </c>
      <c r="D252" s="12" t="s">
        <v>1081</v>
      </c>
      <c r="E252" s="12" t="s">
        <v>1082</v>
      </c>
      <c r="F252" s="12" t="s">
        <v>449</v>
      </c>
      <c r="G252" s="11" t="s">
        <v>36</v>
      </c>
      <c r="H252" s="92" t="s">
        <v>12</v>
      </c>
      <c r="I252" s="11" t="s">
        <v>37</v>
      </c>
      <c r="J252" s="11" t="s">
        <v>4</v>
      </c>
      <c r="K252" s="11" t="s">
        <v>0</v>
      </c>
    </row>
    <row r="253" spans="1:12" ht="22.5" customHeight="1">
      <c r="A253" s="11" t="s">
        <v>1083</v>
      </c>
      <c r="B253" s="12" t="s">
        <v>1084</v>
      </c>
      <c r="C253" s="12" t="s">
        <v>1085</v>
      </c>
      <c r="D253" s="12" t="s">
        <v>1086</v>
      </c>
      <c r="E253" s="12" t="s">
        <v>1087</v>
      </c>
      <c r="F253" s="12" t="s">
        <v>449</v>
      </c>
      <c r="G253" s="11" t="s">
        <v>36</v>
      </c>
      <c r="H253" s="92" t="s">
        <v>12</v>
      </c>
      <c r="I253" s="11" t="s">
        <v>37</v>
      </c>
      <c r="J253" s="11" t="s">
        <v>4</v>
      </c>
      <c r="K253" s="11" t="s">
        <v>0</v>
      </c>
    </row>
    <row r="254" spans="1:12" ht="22.5" customHeight="1">
      <c r="A254" s="11" t="s">
        <v>1088</v>
      </c>
      <c r="B254" s="12" t="s">
        <v>1089</v>
      </c>
      <c r="C254" s="12" t="s">
        <v>1090</v>
      </c>
      <c r="D254" s="12" t="s">
        <v>1091</v>
      </c>
      <c r="E254" s="12" t="s">
        <v>1092</v>
      </c>
      <c r="F254" s="12" t="s">
        <v>449</v>
      </c>
      <c r="G254" s="11" t="s">
        <v>36</v>
      </c>
      <c r="H254" s="92" t="s">
        <v>12</v>
      </c>
      <c r="I254" s="11" t="s">
        <v>37</v>
      </c>
      <c r="J254" s="11" t="s">
        <v>4</v>
      </c>
      <c r="K254" s="11" t="s">
        <v>0</v>
      </c>
    </row>
    <row r="255" spans="1:12" ht="22.5" customHeight="1">
      <c r="A255" s="11" t="s">
        <v>1093</v>
      </c>
      <c r="B255" s="12" t="s">
        <v>1094</v>
      </c>
      <c r="C255" s="12" t="s">
        <v>1095</v>
      </c>
      <c r="D255" s="12" t="s">
        <v>1096</v>
      </c>
      <c r="E255" s="12" t="s">
        <v>1097</v>
      </c>
      <c r="F255" s="12" t="s">
        <v>449</v>
      </c>
      <c r="G255" s="11" t="s">
        <v>36</v>
      </c>
      <c r="H255" s="92" t="s">
        <v>12</v>
      </c>
      <c r="I255" s="11" t="s">
        <v>37</v>
      </c>
      <c r="J255" s="11" t="s">
        <v>4</v>
      </c>
      <c r="K255" s="11" t="s">
        <v>0</v>
      </c>
    </row>
    <row r="256" spans="1:12" ht="22.5" customHeight="1">
      <c r="A256" s="11" t="s">
        <v>1098</v>
      </c>
      <c r="B256" s="12" t="s">
        <v>1099</v>
      </c>
      <c r="C256" s="12" t="s">
        <v>1100</v>
      </c>
      <c r="D256" s="12" t="s">
        <v>1101</v>
      </c>
      <c r="E256" s="12" t="s">
        <v>1102</v>
      </c>
      <c r="F256" s="12" t="s">
        <v>449</v>
      </c>
      <c r="G256" s="11" t="s">
        <v>36</v>
      </c>
      <c r="H256" s="92" t="s">
        <v>12</v>
      </c>
      <c r="I256" s="11" t="s">
        <v>37</v>
      </c>
      <c r="J256" s="11" t="s">
        <v>4</v>
      </c>
      <c r="K256" s="11" t="s">
        <v>0</v>
      </c>
    </row>
    <row r="257" spans="1:11" ht="22.5" customHeight="1">
      <c r="A257" s="11" t="s">
        <v>1103</v>
      </c>
      <c r="B257" s="12" t="s">
        <v>1104</v>
      </c>
      <c r="C257" s="12" t="s">
        <v>1105</v>
      </c>
      <c r="D257" s="12" t="s">
        <v>1106</v>
      </c>
      <c r="E257" s="12" t="s">
        <v>1107</v>
      </c>
      <c r="F257" s="12" t="s">
        <v>449</v>
      </c>
      <c r="G257" s="11" t="s">
        <v>36</v>
      </c>
      <c r="H257" s="92" t="s">
        <v>12</v>
      </c>
      <c r="I257" s="11" t="s">
        <v>37</v>
      </c>
      <c r="J257" s="11" t="s">
        <v>4</v>
      </c>
      <c r="K257" s="11" t="s">
        <v>0</v>
      </c>
    </row>
    <row r="258" spans="1:11" ht="22.5" customHeight="1">
      <c r="A258" s="11" t="s">
        <v>1108</v>
      </c>
      <c r="B258" s="12" t="s">
        <v>1109</v>
      </c>
      <c r="C258" s="12" t="s">
        <v>1110</v>
      </c>
      <c r="D258" s="12" t="s">
        <v>1111</v>
      </c>
      <c r="E258" s="12" t="s">
        <v>1112</v>
      </c>
      <c r="F258" s="12" t="s">
        <v>449</v>
      </c>
      <c r="G258" s="11" t="s">
        <v>36</v>
      </c>
      <c r="H258" s="92" t="s">
        <v>12</v>
      </c>
      <c r="I258" s="11" t="s">
        <v>37</v>
      </c>
      <c r="J258" s="11" t="s">
        <v>4</v>
      </c>
      <c r="K258" s="11" t="s">
        <v>0</v>
      </c>
    </row>
    <row r="259" spans="1:11" ht="22.5" customHeight="1">
      <c r="A259" s="11" t="s">
        <v>1113</v>
      </c>
      <c r="B259" s="12" t="s">
        <v>1114</v>
      </c>
      <c r="C259" s="12" t="s">
        <v>1115</v>
      </c>
      <c r="D259" s="12" t="s">
        <v>1116</v>
      </c>
      <c r="E259" s="12" t="s">
        <v>1117</v>
      </c>
      <c r="F259" s="12" t="s">
        <v>449</v>
      </c>
      <c r="G259" s="11" t="s">
        <v>36</v>
      </c>
      <c r="H259" s="92" t="s">
        <v>12</v>
      </c>
      <c r="I259" s="11" t="s">
        <v>37</v>
      </c>
      <c r="J259" s="11" t="s">
        <v>4</v>
      </c>
      <c r="K259" s="11" t="s">
        <v>0</v>
      </c>
    </row>
    <row r="260" spans="1:11" ht="22.5" customHeight="1">
      <c r="A260" s="11" t="s">
        <v>1118</v>
      </c>
      <c r="B260" s="12" t="s">
        <v>1119</v>
      </c>
      <c r="C260" s="12" t="s">
        <v>1120</v>
      </c>
      <c r="D260" s="12" t="s">
        <v>1121</v>
      </c>
      <c r="E260" s="12" t="s">
        <v>1122</v>
      </c>
      <c r="F260" s="12" t="s">
        <v>449</v>
      </c>
      <c r="G260" s="11" t="s">
        <v>36</v>
      </c>
      <c r="H260" s="92" t="s">
        <v>12</v>
      </c>
      <c r="I260" s="11" t="s">
        <v>37</v>
      </c>
      <c r="J260" s="11" t="s">
        <v>4</v>
      </c>
      <c r="K260" s="11" t="s">
        <v>0</v>
      </c>
    </row>
    <row r="261" spans="1:11" ht="22.5" customHeight="1">
      <c r="A261" s="108" t="s">
        <v>1123</v>
      </c>
      <c r="B261" s="114"/>
      <c r="C261" s="114"/>
      <c r="D261" s="114"/>
      <c r="E261" s="114"/>
      <c r="F261" s="114"/>
      <c r="G261" s="114"/>
      <c r="H261" s="114"/>
      <c r="I261" s="114"/>
      <c r="J261" s="114"/>
      <c r="K261" s="114"/>
    </row>
    <row r="262" spans="1:11" ht="22.5" customHeight="1">
      <c r="A262" s="11" t="s">
        <v>1124</v>
      </c>
      <c r="B262" s="12" t="s">
        <v>1125</v>
      </c>
      <c r="C262" s="12" t="s">
        <v>1126</v>
      </c>
      <c r="D262" s="12" t="s">
        <v>1127</v>
      </c>
      <c r="E262" s="12" t="s">
        <v>1128</v>
      </c>
      <c r="F262" s="12" t="s">
        <v>449</v>
      </c>
      <c r="G262" s="11" t="s">
        <v>36</v>
      </c>
      <c r="H262" s="92" t="s">
        <v>12</v>
      </c>
      <c r="I262" s="11" t="s">
        <v>37</v>
      </c>
      <c r="J262" s="11" t="s">
        <v>4</v>
      </c>
      <c r="K262" s="11" t="s">
        <v>0</v>
      </c>
    </row>
    <row r="263" spans="1:11" ht="22.5" customHeight="1">
      <c r="A263" s="11" t="s">
        <v>1129</v>
      </c>
      <c r="B263" s="12" t="s">
        <v>1130</v>
      </c>
      <c r="C263" s="12" t="s">
        <v>1131</v>
      </c>
      <c r="D263" s="12" t="s">
        <v>1132</v>
      </c>
      <c r="E263" s="12" t="s">
        <v>1133</v>
      </c>
      <c r="F263" s="12" t="s">
        <v>449</v>
      </c>
      <c r="G263" s="11" t="s">
        <v>36</v>
      </c>
      <c r="H263" s="92" t="s">
        <v>12</v>
      </c>
      <c r="I263" s="11" t="s">
        <v>37</v>
      </c>
      <c r="J263" s="11" t="s">
        <v>4</v>
      </c>
      <c r="K263" s="11" t="s">
        <v>0</v>
      </c>
    </row>
    <row r="264" spans="1:11" ht="22.5" customHeight="1">
      <c r="A264" s="11" t="s">
        <v>1134</v>
      </c>
      <c r="B264" s="12" t="s">
        <v>1135</v>
      </c>
      <c r="C264" s="12" t="s">
        <v>1136</v>
      </c>
      <c r="D264" s="12" t="s">
        <v>1137</v>
      </c>
      <c r="E264" s="12" t="s">
        <v>1138</v>
      </c>
      <c r="F264" s="12" t="s">
        <v>449</v>
      </c>
      <c r="G264" s="11" t="s">
        <v>36</v>
      </c>
      <c r="H264" s="92" t="s">
        <v>12</v>
      </c>
      <c r="I264" s="11" t="s">
        <v>37</v>
      </c>
      <c r="J264" s="11" t="s">
        <v>4</v>
      </c>
      <c r="K264" s="11" t="s">
        <v>0</v>
      </c>
    </row>
    <row r="265" spans="1:11" ht="22.5" customHeight="1">
      <c r="A265" s="11" t="s">
        <v>1139</v>
      </c>
      <c r="B265" s="12" t="s">
        <v>1140</v>
      </c>
      <c r="C265" s="12" t="s">
        <v>1141</v>
      </c>
      <c r="D265" s="12" t="s">
        <v>1142</v>
      </c>
      <c r="E265" s="12" t="s">
        <v>1143</v>
      </c>
      <c r="F265" s="12" t="s">
        <v>449</v>
      </c>
      <c r="G265" s="11" t="s">
        <v>36</v>
      </c>
      <c r="H265" s="92" t="s">
        <v>12</v>
      </c>
      <c r="I265" s="11" t="s">
        <v>37</v>
      </c>
      <c r="J265" s="11" t="s">
        <v>4</v>
      </c>
      <c r="K265" s="11" t="s">
        <v>0</v>
      </c>
    </row>
    <row r="266" spans="1:11" ht="22.5" customHeight="1">
      <c r="A266" s="11" t="s">
        <v>1144</v>
      </c>
      <c r="B266" s="12" t="s">
        <v>1145</v>
      </c>
      <c r="C266" s="12" t="s">
        <v>1146</v>
      </c>
      <c r="D266" s="12" t="s">
        <v>1147</v>
      </c>
      <c r="E266" s="12" t="s">
        <v>1148</v>
      </c>
      <c r="F266" s="12" t="s">
        <v>449</v>
      </c>
      <c r="G266" s="11" t="s">
        <v>36</v>
      </c>
      <c r="H266" s="92" t="s">
        <v>12</v>
      </c>
      <c r="I266" s="11" t="s">
        <v>37</v>
      </c>
      <c r="J266" s="11" t="s">
        <v>4</v>
      </c>
      <c r="K266" s="11" t="s">
        <v>0</v>
      </c>
    </row>
    <row r="267" spans="1:11" ht="22.5" customHeight="1">
      <c r="A267" s="11" t="s">
        <v>1149</v>
      </c>
      <c r="B267" s="12" t="s">
        <v>1150</v>
      </c>
      <c r="C267" s="12" t="s">
        <v>1151</v>
      </c>
      <c r="D267" s="12" t="s">
        <v>1152</v>
      </c>
      <c r="E267" s="12" t="s">
        <v>1153</v>
      </c>
      <c r="F267" s="12" t="s">
        <v>449</v>
      </c>
      <c r="G267" s="11" t="s">
        <v>36</v>
      </c>
      <c r="H267" s="92" t="s">
        <v>12</v>
      </c>
      <c r="I267" s="11" t="s">
        <v>37</v>
      </c>
      <c r="J267" s="11" t="s">
        <v>4</v>
      </c>
      <c r="K267" s="11" t="s">
        <v>0</v>
      </c>
    </row>
    <row r="268" spans="1:11" ht="22.5" customHeight="1">
      <c r="A268" s="108" t="s">
        <v>1154</v>
      </c>
      <c r="B268" s="114"/>
      <c r="C268" s="114"/>
      <c r="D268" s="114"/>
      <c r="E268" s="114"/>
      <c r="F268" s="114"/>
      <c r="G268" s="114"/>
      <c r="H268" s="114"/>
      <c r="I268" s="114"/>
      <c r="J268" s="114"/>
      <c r="K268" s="114"/>
    </row>
    <row r="269" spans="1:11" ht="22.5" customHeight="1">
      <c r="A269" s="11" t="s">
        <v>1155</v>
      </c>
      <c r="B269" s="12" t="s">
        <v>1156</v>
      </c>
      <c r="C269" s="12" t="s">
        <v>1157</v>
      </c>
      <c r="D269" s="12" t="s">
        <v>1158</v>
      </c>
      <c r="E269" s="12" t="s">
        <v>1159</v>
      </c>
      <c r="F269" s="12" t="s">
        <v>449</v>
      </c>
      <c r="G269" s="11" t="s">
        <v>36</v>
      </c>
      <c r="H269" s="92" t="s">
        <v>12</v>
      </c>
      <c r="I269" s="11" t="s">
        <v>37</v>
      </c>
      <c r="J269" s="11" t="s">
        <v>4</v>
      </c>
      <c r="K269" s="11" t="s">
        <v>0</v>
      </c>
    </row>
    <row r="270" spans="1:11" ht="22.5" customHeight="1">
      <c r="A270" s="11" t="s">
        <v>1160</v>
      </c>
      <c r="B270" s="12" t="s">
        <v>1161</v>
      </c>
      <c r="C270" s="12" t="s">
        <v>1162</v>
      </c>
      <c r="D270" s="12" t="s">
        <v>1163</v>
      </c>
      <c r="E270" s="12" t="s">
        <v>1164</v>
      </c>
      <c r="F270" s="12" t="s">
        <v>449</v>
      </c>
      <c r="G270" s="11" t="s">
        <v>36</v>
      </c>
      <c r="H270" s="92" t="s">
        <v>12</v>
      </c>
      <c r="I270" s="11" t="s">
        <v>37</v>
      </c>
      <c r="J270" s="11" t="s">
        <v>4</v>
      </c>
      <c r="K270" s="11" t="s">
        <v>0</v>
      </c>
    </row>
    <row r="271" spans="1:11" ht="22.5" customHeight="1">
      <c r="A271" s="11" t="s">
        <v>1165</v>
      </c>
      <c r="B271" s="12" t="s">
        <v>1166</v>
      </c>
      <c r="C271" s="12" t="s">
        <v>1167</v>
      </c>
      <c r="D271" s="12" t="s">
        <v>1168</v>
      </c>
      <c r="E271" s="12" t="s">
        <v>1169</v>
      </c>
      <c r="F271" s="12" t="s">
        <v>449</v>
      </c>
      <c r="G271" s="11" t="s">
        <v>36</v>
      </c>
      <c r="H271" s="92" t="s">
        <v>12</v>
      </c>
      <c r="I271" s="11" t="s">
        <v>37</v>
      </c>
      <c r="J271" s="11" t="s">
        <v>4</v>
      </c>
      <c r="K271" s="11" t="s">
        <v>0</v>
      </c>
    </row>
    <row r="272" spans="1:11" ht="22.5" customHeight="1">
      <c r="A272" s="11" t="s">
        <v>1170</v>
      </c>
      <c r="B272" s="12" t="s">
        <v>1171</v>
      </c>
      <c r="C272" s="12" t="s">
        <v>1172</v>
      </c>
      <c r="D272" s="12" t="s">
        <v>1173</v>
      </c>
      <c r="E272" s="12" t="s">
        <v>1174</v>
      </c>
      <c r="F272" s="12" t="s">
        <v>449</v>
      </c>
      <c r="G272" s="11" t="s">
        <v>36</v>
      </c>
      <c r="H272" s="92" t="s">
        <v>12</v>
      </c>
      <c r="I272" s="11" t="s">
        <v>37</v>
      </c>
      <c r="J272" s="11" t="s">
        <v>4</v>
      </c>
      <c r="K272" s="11" t="s">
        <v>0</v>
      </c>
    </row>
    <row r="273" spans="1:11" ht="22.5" customHeight="1">
      <c r="A273" s="11" t="s">
        <v>1175</v>
      </c>
      <c r="B273" s="12" t="s">
        <v>1176</v>
      </c>
      <c r="C273" s="12" t="s">
        <v>1177</v>
      </c>
      <c r="D273" s="12" t="s">
        <v>1178</v>
      </c>
      <c r="E273" s="12" t="s">
        <v>1179</v>
      </c>
      <c r="F273" s="12" t="s">
        <v>449</v>
      </c>
      <c r="G273" s="11" t="s">
        <v>36</v>
      </c>
      <c r="H273" s="92" t="s">
        <v>12</v>
      </c>
      <c r="I273" s="11" t="s">
        <v>37</v>
      </c>
      <c r="J273" s="11" t="s">
        <v>4</v>
      </c>
      <c r="K273" s="11" t="s">
        <v>0</v>
      </c>
    </row>
    <row r="274" spans="1:11" ht="22.5" customHeight="1">
      <c r="A274" s="11" t="s">
        <v>1180</v>
      </c>
      <c r="B274" s="12" t="s">
        <v>1181</v>
      </c>
      <c r="C274" s="12" t="s">
        <v>1182</v>
      </c>
      <c r="D274" s="12" t="s">
        <v>1183</v>
      </c>
      <c r="E274" s="12" t="s">
        <v>1184</v>
      </c>
      <c r="F274" s="12" t="s">
        <v>449</v>
      </c>
      <c r="G274" s="11" t="s">
        <v>36</v>
      </c>
      <c r="H274" s="92" t="s">
        <v>12</v>
      </c>
      <c r="I274" s="11" t="s">
        <v>37</v>
      </c>
      <c r="J274" s="11" t="s">
        <v>4</v>
      </c>
      <c r="K274" s="11" t="s">
        <v>0</v>
      </c>
    </row>
    <row r="275" spans="1:11" ht="22.5" customHeight="1">
      <c r="A275" s="108" t="s">
        <v>1185</v>
      </c>
      <c r="B275" s="114"/>
      <c r="C275" s="114"/>
      <c r="D275" s="114"/>
      <c r="E275" s="114"/>
      <c r="F275" s="114"/>
      <c r="G275" s="114"/>
      <c r="H275" s="114"/>
      <c r="I275" s="114"/>
      <c r="J275" s="114"/>
      <c r="K275" s="114"/>
    </row>
    <row r="276" spans="1:11" ht="22.5" customHeight="1">
      <c r="A276" s="11" t="s">
        <v>1186</v>
      </c>
      <c r="B276" s="12" t="s">
        <v>1187</v>
      </c>
      <c r="C276" s="12" t="s">
        <v>1188</v>
      </c>
      <c r="D276" s="12" t="s">
        <v>1189</v>
      </c>
      <c r="E276" s="12" t="s">
        <v>1190</v>
      </c>
      <c r="F276" s="12" t="s">
        <v>1191</v>
      </c>
      <c r="G276" s="89"/>
      <c r="H276" s="92" t="s">
        <v>11</v>
      </c>
      <c r="I276" s="89"/>
      <c r="J276" s="89"/>
      <c r="K276" s="11" t="s">
        <v>2</v>
      </c>
    </row>
    <row r="277" spans="1:11" ht="22.5" customHeight="1">
      <c r="A277" s="11" t="s">
        <v>1192</v>
      </c>
      <c r="B277" s="12" t="s">
        <v>1193</v>
      </c>
      <c r="C277" s="12" t="s">
        <v>1194</v>
      </c>
      <c r="D277" s="12" t="s">
        <v>1195</v>
      </c>
      <c r="E277" s="12" t="s">
        <v>1196</v>
      </c>
      <c r="F277" s="12" t="s">
        <v>449</v>
      </c>
      <c r="G277" s="11" t="s">
        <v>36</v>
      </c>
      <c r="H277" s="92" t="s">
        <v>12</v>
      </c>
      <c r="I277" s="11" t="s">
        <v>37</v>
      </c>
      <c r="J277" s="11" t="s">
        <v>4</v>
      </c>
      <c r="K277" s="11" t="s">
        <v>2</v>
      </c>
    </row>
    <row r="278" spans="1:11" ht="22.5" customHeight="1">
      <c r="A278" s="11" t="s">
        <v>1197</v>
      </c>
      <c r="B278" s="12" t="s">
        <v>1198</v>
      </c>
      <c r="C278" s="12" t="s">
        <v>1199</v>
      </c>
      <c r="D278" s="12" t="s">
        <v>1200</v>
      </c>
      <c r="E278" s="12" t="s">
        <v>1201</v>
      </c>
      <c r="F278" s="12" t="s">
        <v>449</v>
      </c>
      <c r="G278" s="11" t="s">
        <v>36</v>
      </c>
      <c r="H278" s="92" t="s">
        <v>12</v>
      </c>
      <c r="I278" s="11" t="s">
        <v>37</v>
      </c>
      <c r="J278" s="11" t="s">
        <v>4</v>
      </c>
      <c r="K278" s="11" t="s">
        <v>2</v>
      </c>
    </row>
    <row r="279" spans="1:11" ht="22.5" customHeight="1">
      <c r="A279" s="11" t="s">
        <v>1202</v>
      </c>
      <c r="B279" s="12" t="s">
        <v>1203</v>
      </c>
      <c r="C279" s="12" t="s">
        <v>1204</v>
      </c>
      <c r="D279" s="12" t="s">
        <v>1205</v>
      </c>
      <c r="E279" s="12" t="s">
        <v>1206</v>
      </c>
      <c r="F279" s="12" t="s">
        <v>449</v>
      </c>
      <c r="G279" s="11" t="s">
        <v>36</v>
      </c>
      <c r="H279" s="92" t="s">
        <v>12</v>
      </c>
      <c r="I279" s="11" t="s">
        <v>37</v>
      </c>
      <c r="J279" s="11" t="s">
        <v>4</v>
      </c>
      <c r="K279" s="11" t="s">
        <v>2</v>
      </c>
    </row>
    <row r="280" spans="1:11" ht="22.5" customHeight="1">
      <c r="A280" s="11" t="s">
        <v>1207</v>
      </c>
      <c r="B280" s="12" t="s">
        <v>1208</v>
      </c>
      <c r="C280" s="12" t="s">
        <v>1209</v>
      </c>
      <c r="D280" s="12" t="s">
        <v>1210</v>
      </c>
      <c r="E280" s="12" t="s">
        <v>1211</v>
      </c>
      <c r="F280" s="12" t="s">
        <v>449</v>
      </c>
      <c r="G280" s="11" t="s">
        <v>36</v>
      </c>
      <c r="H280" s="92" t="s">
        <v>12</v>
      </c>
      <c r="I280" s="11" t="s">
        <v>37</v>
      </c>
      <c r="J280" s="11" t="s">
        <v>4</v>
      </c>
      <c r="K280" s="11" t="s">
        <v>2</v>
      </c>
    </row>
    <row r="281" spans="1:11" ht="22.5" customHeight="1">
      <c r="A281" s="11" t="s">
        <v>1212</v>
      </c>
      <c r="B281" s="81" t="s">
        <v>1213</v>
      </c>
      <c r="C281" s="81" t="s">
        <v>1214</v>
      </c>
      <c r="D281" s="81" t="s">
        <v>1215</v>
      </c>
      <c r="E281" s="81" t="s">
        <v>1216</v>
      </c>
      <c r="F281" s="81" t="s">
        <v>449</v>
      </c>
      <c r="G281" s="80" t="s">
        <v>36</v>
      </c>
      <c r="H281" s="95" t="s">
        <v>12</v>
      </c>
      <c r="I281" s="80" t="s">
        <v>37</v>
      </c>
      <c r="J281" s="80" t="s">
        <v>4</v>
      </c>
      <c r="K281" s="11" t="s">
        <v>2</v>
      </c>
    </row>
    <row r="282" spans="1:11" ht="22.5" customHeight="1">
      <c r="A282" s="11" t="s">
        <v>1217</v>
      </c>
      <c r="B282" s="81" t="s">
        <v>1218</v>
      </c>
      <c r="C282" s="81" t="s">
        <v>1219</v>
      </c>
      <c r="D282" s="81" t="s">
        <v>1220</v>
      </c>
      <c r="E282" s="81" t="s">
        <v>1221</v>
      </c>
      <c r="F282" s="81" t="s">
        <v>449</v>
      </c>
      <c r="G282" s="80" t="s">
        <v>36</v>
      </c>
      <c r="H282" s="95" t="s">
        <v>12</v>
      </c>
      <c r="I282" s="80" t="s">
        <v>37</v>
      </c>
      <c r="J282" s="80" t="s">
        <v>4</v>
      </c>
      <c r="K282" s="11" t="s">
        <v>2</v>
      </c>
    </row>
    <row r="283" spans="1:11" ht="22.5" customHeight="1">
      <c r="A283" s="11" t="s">
        <v>1222</v>
      </c>
      <c r="B283" s="81" t="s">
        <v>1223</v>
      </c>
      <c r="C283" s="81" t="s">
        <v>1224</v>
      </c>
      <c r="D283" s="81" t="s">
        <v>1225</v>
      </c>
      <c r="E283" s="81" t="s">
        <v>1226</v>
      </c>
      <c r="F283" s="81" t="s">
        <v>449</v>
      </c>
      <c r="G283" s="80" t="s">
        <v>36</v>
      </c>
      <c r="H283" s="95" t="s">
        <v>12</v>
      </c>
      <c r="I283" s="80" t="s">
        <v>37</v>
      </c>
      <c r="J283" s="80" t="s">
        <v>4</v>
      </c>
      <c r="K283" s="11" t="s">
        <v>2</v>
      </c>
    </row>
    <row r="284" spans="1:11" ht="22.5" customHeight="1">
      <c r="A284" s="11" t="s">
        <v>1227</v>
      </c>
      <c r="B284" s="81" t="s">
        <v>1228</v>
      </c>
      <c r="C284" s="81" t="s">
        <v>1229</v>
      </c>
      <c r="D284" s="81" t="s">
        <v>1230</v>
      </c>
      <c r="E284" s="81" t="s">
        <v>1231</v>
      </c>
      <c r="F284" s="81" t="s">
        <v>449</v>
      </c>
      <c r="G284" s="80" t="s">
        <v>36</v>
      </c>
      <c r="H284" s="95" t="s">
        <v>12</v>
      </c>
      <c r="I284" s="80" t="s">
        <v>37</v>
      </c>
      <c r="J284" s="80" t="s">
        <v>4</v>
      </c>
      <c r="K284" s="11" t="s">
        <v>2</v>
      </c>
    </row>
    <row r="285" spans="1:11" ht="22.5" customHeight="1">
      <c r="A285" s="11" t="s">
        <v>1232</v>
      </c>
      <c r="B285" s="81" t="s">
        <v>1233</v>
      </c>
      <c r="C285" s="81" t="s">
        <v>1234</v>
      </c>
      <c r="D285" s="81" t="s">
        <v>1235</v>
      </c>
      <c r="E285" s="81" t="s">
        <v>1236</v>
      </c>
      <c r="F285" s="81" t="s">
        <v>449</v>
      </c>
      <c r="G285" s="80" t="s">
        <v>36</v>
      </c>
      <c r="H285" s="95" t="s">
        <v>12</v>
      </c>
      <c r="I285" s="80" t="s">
        <v>37</v>
      </c>
      <c r="J285" s="80" t="s">
        <v>4</v>
      </c>
      <c r="K285" s="11" t="s">
        <v>2</v>
      </c>
    </row>
    <row r="286" spans="1:11" ht="22.5" customHeight="1">
      <c r="A286" s="11" t="s">
        <v>1237</v>
      </c>
      <c r="B286" s="81" t="s">
        <v>1238</v>
      </c>
      <c r="C286" s="81" t="s">
        <v>1239</v>
      </c>
      <c r="D286" s="81" t="s">
        <v>1240</v>
      </c>
      <c r="E286" s="81" t="s">
        <v>1241</v>
      </c>
      <c r="F286" s="81" t="s">
        <v>449</v>
      </c>
      <c r="G286" s="80" t="s">
        <v>36</v>
      </c>
      <c r="H286" s="95" t="s">
        <v>12</v>
      </c>
      <c r="I286" s="80" t="s">
        <v>37</v>
      </c>
      <c r="J286" s="80" t="s">
        <v>4</v>
      </c>
      <c r="K286" s="11" t="s">
        <v>2</v>
      </c>
    </row>
    <row r="287" spans="1:11" ht="22.5" customHeight="1">
      <c r="A287" s="11" t="s">
        <v>1242</v>
      </c>
      <c r="B287" s="81" t="s">
        <v>1243</v>
      </c>
      <c r="C287" s="81" t="s">
        <v>1244</v>
      </c>
      <c r="D287" s="81" t="s">
        <v>1245</v>
      </c>
      <c r="E287" s="81" t="s">
        <v>1246</v>
      </c>
      <c r="F287" s="81" t="s">
        <v>449</v>
      </c>
      <c r="G287" s="80" t="s">
        <v>36</v>
      </c>
      <c r="H287" s="95" t="s">
        <v>12</v>
      </c>
      <c r="I287" s="80" t="s">
        <v>37</v>
      </c>
      <c r="J287" s="80" t="s">
        <v>4</v>
      </c>
      <c r="K287" s="11" t="s">
        <v>2</v>
      </c>
    </row>
    <row r="288" spans="1:11" ht="22.5" customHeight="1">
      <c r="A288" s="11" t="s">
        <v>1247</v>
      </c>
      <c r="B288" s="81" t="s">
        <v>1248</v>
      </c>
      <c r="C288" s="81" t="s">
        <v>1249</v>
      </c>
      <c r="D288" s="81" t="s">
        <v>1250</v>
      </c>
      <c r="E288" s="81" t="s">
        <v>1251</v>
      </c>
      <c r="F288" s="81" t="s">
        <v>449</v>
      </c>
      <c r="G288" s="80" t="s">
        <v>36</v>
      </c>
      <c r="H288" s="95" t="s">
        <v>12</v>
      </c>
      <c r="I288" s="80" t="s">
        <v>37</v>
      </c>
      <c r="J288" s="80" t="s">
        <v>4</v>
      </c>
      <c r="K288" s="11" t="s">
        <v>2</v>
      </c>
    </row>
    <row r="289" spans="1:11" ht="22.5" customHeight="1">
      <c r="A289" s="11" t="s">
        <v>1252</v>
      </c>
      <c r="B289" s="81" t="s">
        <v>1253</v>
      </c>
      <c r="C289" s="81" t="s">
        <v>1254</v>
      </c>
      <c r="D289" s="81" t="s">
        <v>1255</v>
      </c>
      <c r="E289" s="81" t="s">
        <v>1256</v>
      </c>
      <c r="F289" s="81" t="s">
        <v>449</v>
      </c>
      <c r="G289" s="80" t="s">
        <v>36</v>
      </c>
      <c r="H289" s="95" t="s">
        <v>12</v>
      </c>
      <c r="I289" s="80" t="s">
        <v>37</v>
      </c>
      <c r="J289" s="80" t="s">
        <v>4</v>
      </c>
      <c r="K289" s="11" t="s">
        <v>2</v>
      </c>
    </row>
    <row r="290" spans="1:11" ht="22.5" customHeight="1">
      <c r="A290" s="11" t="s">
        <v>1257</v>
      </c>
      <c r="B290" s="81" t="s">
        <v>1258</v>
      </c>
      <c r="C290" s="81" t="s">
        <v>1259</v>
      </c>
      <c r="D290" s="81" t="s">
        <v>1260</v>
      </c>
      <c r="E290" s="81" t="s">
        <v>1261</v>
      </c>
      <c r="F290" s="81" t="s">
        <v>449</v>
      </c>
      <c r="G290" s="80" t="s">
        <v>36</v>
      </c>
      <c r="H290" s="95" t="s">
        <v>12</v>
      </c>
      <c r="I290" s="80" t="s">
        <v>37</v>
      </c>
      <c r="J290" s="80" t="s">
        <v>4</v>
      </c>
      <c r="K290" s="11" t="s">
        <v>2</v>
      </c>
    </row>
    <row r="291" spans="1:11" ht="22.5" customHeight="1">
      <c r="A291" s="11" t="s">
        <v>1262</v>
      </c>
      <c r="B291" s="81" t="s">
        <v>1263</v>
      </c>
      <c r="C291" s="81" t="s">
        <v>1264</v>
      </c>
      <c r="D291" s="81" t="s">
        <v>1265</v>
      </c>
      <c r="E291" s="81" t="s">
        <v>1266</v>
      </c>
      <c r="F291" s="81" t="s">
        <v>449</v>
      </c>
      <c r="G291" s="80" t="s">
        <v>36</v>
      </c>
      <c r="H291" s="95" t="s">
        <v>12</v>
      </c>
      <c r="I291" s="80" t="s">
        <v>37</v>
      </c>
      <c r="J291" s="80" t="s">
        <v>4</v>
      </c>
      <c r="K291" s="11" t="s">
        <v>2</v>
      </c>
    </row>
    <row r="292" spans="1:11" ht="22.5" customHeight="1">
      <c r="A292" s="11" t="s">
        <v>1267</v>
      </c>
      <c r="B292" s="81" t="s">
        <v>1268</v>
      </c>
      <c r="C292" s="81" t="s">
        <v>1269</v>
      </c>
      <c r="D292" s="81" t="s">
        <v>1270</v>
      </c>
      <c r="E292" s="81" t="s">
        <v>1271</v>
      </c>
      <c r="F292" s="81" t="s">
        <v>449</v>
      </c>
      <c r="G292" s="80" t="s">
        <v>36</v>
      </c>
      <c r="H292" s="95" t="s">
        <v>12</v>
      </c>
      <c r="I292" s="80" t="s">
        <v>37</v>
      </c>
      <c r="J292" s="80" t="s">
        <v>4</v>
      </c>
      <c r="K292" s="11" t="s">
        <v>2</v>
      </c>
    </row>
    <row r="293" spans="1:11" ht="22.5" customHeight="1">
      <c r="A293" s="11" t="s">
        <v>1272</v>
      </c>
      <c r="B293" s="81" t="s">
        <v>1273</v>
      </c>
      <c r="C293" s="81" t="s">
        <v>1274</v>
      </c>
      <c r="D293" s="81" t="s">
        <v>1275</v>
      </c>
      <c r="E293" s="81" t="s">
        <v>1276</v>
      </c>
      <c r="F293" s="81" t="s">
        <v>449</v>
      </c>
      <c r="G293" s="80" t="s">
        <v>36</v>
      </c>
      <c r="H293" s="95" t="s">
        <v>12</v>
      </c>
      <c r="I293" s="80" t="s">
        <v>37</v>
      </c>
      <c r="J293" s="80" t="s">
        <v>4</v>
      </c>
      <c r="K293" s="11" t="s">
        <v>2</v>
      </c>
    </row>
    <row r="294" spans="1:11" ht="22.5" customHeight="1">
      <c r="A294" s="11" t="s">
        <v>1277</v>
      </c>
      <c r="B294" s="12" t="s">
        <v>1278</v>
      </c>
      <c r="C294" s="12" t="s">
        <v>1279</v>
      </c>
      <c r="D294" s="12" t="s">
        <v>1280</v>
      </c>
      <c r="E294" s="12" t="s">
        <v>1281</v>
      </c>
      <c r="F294" s="12" t="s">
        <v>449</v>
      </c>
      <c r="G294" s="11" t="s">
        <v>36</v>
      </c>
      <c r="H294" s="92" t="s">
        <v>12</v>
      </c>
      <c r="I294" s="11" t="s">
        <v>37</v>
      </c>
      <c r="J294" s="11" t="s">
        <v>4</v>
      </c>
      <c r="K294" s="11" t="s">
        <v>2</v>
      </c>
    </row>
    <row r="295" spans="1:11" ht="22.5" customHeight="1">
      <c r="A295" s="11" t="s">
        <v>1282</v>
      </c>
      <c r="B295" s="12" t="s">
        <v>1283</v>
      </c>
      <c r="C295" s="12" t="s">
        <v>1284</v>
      </c>
      <c r="D295" s="12" t="s">
        <v>1285</v>
      </c>
      <c r="E295" s="12" t="s">
        <v>1286</v>
      </c>
      <c r="F295" s="12" t="s">
        <v>449</v>
      </c>
      <c r="G295" s="11" t="s">
        <v>36</v>
      </c>
      <c r="H295" s="92" t="s">
        <v>12</v>
      </c>
      <c r="I295" s="11" t="s">
        <v>37</v>
      </c>
      <c r="J295" s="11" t="s">
        <v>4</v>
      </c>
      <c r="K295" s="11" t="s">
        <v>2</v>
      </c>
    </row>
    <row r="296" spans="1:11" ht="22.5" customHeight="1">
      <c r="A296" s="11" t="s">
        <v>1287</v>
      </c>
      <c r="B296" s="12" t="s">
        <v>1288</v>
      </c>
      <c r="C296" s="12" t="s">
        <v>1289</v>
      </c>
      <c r="D296" s="12" t="s">
        <v>1290</v>
      </c>
      <c r="E296" s="12" t="s">
        <v>1291</v>
      </c>
      <c r="F296" s="12" t="s">
        <v>449</v>
      </c>
      <c r="G296" s="11" t="s">
        <v>36</v>
      </c>
      <c r="H296" s="92" t="s">
        <v>12</v>
      </c>
      <c r="I296" s="11" t="s">
        <v>37</v>
      </c>
      <c r="J296" s="11" t="s">
        <v>4</v>
      </c>
      <c r="K296" s="11" t="s">
        <v>2</v>
      </c>
    </row>
    <row r="297" spans="1:11" ht="22.5" customHeight="1">
      <c r="A297" s="108" t="s">
        <v>1292</v>
      </c>
      <c r="B297" s="114"/>
      <c r="C297" s="114"/>
      <c r="D297" s="114"/>
      <c r="E297" s="114"/>
      <c r="F297" s="114"/>
      <c r="G297" s="114"/>
      <c r="H297" s="114"/>
      <c r="I297" s="114"/>
      <c r="J297" s="114"/>
      <c r="K297" s="114"/>
    </row>
    <row r="298" spans="1:11" ht="22.5" customHeight="1">
      <c r="A298" s="11" t="s">
        <v>1293</v>
      </c>
      <c r="B298" s="12" t="s">
        <v>1294</v>
      </c>
      <c r="C298" s="12" t="s">
        <v>1295</v>
      </c>
      <c r="D298" s="12" t="s">
        <v>1296</v>
      </c>
      <c r="E298" s="12" t="s">
        <v>1190</v>
      </c>
      <c r="F298" s="12" t="s">
        <v>1191</v>
      </c>
      <c r="G298" s="89"/>
      <c r="H298" s="92" t="s">
        <v>11</v>
      </c>
      <c r="I298" s="89"/>
      <c r="J298" s="89"/>
      <c r="K298" s="11" t="s">
        <v>2</v>
      </c>
    </row>
    <row r="299" spans="1:11" ht="22.5" customHeight="1">
      <c r="A299" s="11" t="s">
        <v>1297</v>
      </c>
      <c r="B299" s="12" t="s">
        <v>1298</v>
      </c>
      <c r="C299" s="12" t="s">
        <v>1299</v>
      </c>
      <c r="D299" s="12" t="s">
        <v>1300</v>
      </c>
      <c r="E299" s="12" t="s">
        <v>1301</v>
      </c>
      <c r="F299" s="12" t="s">
        <v>449</v>
      </c>
      <c r="G299" s="11" t="s">
        <v>36</v>
      </c>
      <c r="H299" s="92" t="s">
        <v>12</v>
      </c>
      <c r="I299" s="11" t="s">
        <v>37</v>
      </c>
      <c r="J299" s="11" t="s">
        <v>4</v>
      </c>
      <c r="K299" s="11" t="s">
        <v>2</v>
      </c>
    </row>
    <row r="300" spans="1:11" ht="22.5" customHeight="1">
      <c r="A300" s="11" t="s">
        <v>1302</v>
      </c>
      <c r="B300" s="12" t="s">
        <v>1303</v>
      </c>
      <c r="C300" s="12" t="s">
        <v>1304</v>
      </c>
      <c r="D300" s="12" t="s">
        <v>1305</v>
      </c>
      <c r="E300" s="12" t="s">
        <v>1306</v>
      </c>
      <c r="F300" s="12" t="s">
        <v>449</v>
      </c>
      <c r="G300" s="11" t="s">
        <v>36</v>
      </c>
      <c r="H300" s="92" t="s">
        <v>12</v>
      </c>
      <c r="I300" s="11" t="s">
        <v>37</v>
      </c>
      <c r="J300" s="11" t="s">
        <v>4</v>
      </c>
      <c r="K300" s="11" t="s">
        <v>2</v>
      </c>
    </row>
    <row r="301" spans="1:11" ht="22.5" customHeight="1">
      <c r="A301" s="11" t="s">
        <v>1307</v>
      </c>
      <c r="B301" s="12" t="s">
        <v>1308</v>
      </c>
      <c r="C301" s="12" t="s">
        <v>1309</v>
      </c>
      <c r="D301" s="12" t="s">
        <v>1310</v>
      </c>
      <c r="E301" s="12" t="s">
        <v>1311</v>
      </c>
      <c r="F301" s="12" t="s">
        <v>449</v>
      </c>
      <c r="G301" s="11" t="s">
        <v>36</v>
      </c>
      <c r="H301" s="92" t="s">
        <v>12</v>
      </c>
      <c r="I301" s="11" t="s">
        <v>37</v>
      </c>
      <c r="J301" s="11" t="s">
        <v>4</v>
      </c>
      <c r="K301" s="11" t="s">
        <v>2</v>
      </c>
    </row>
    <row r="302" spans="1:11" ht="22.5" customHeight="1">
      <c r="A302" s="11" t="s">
        <v>1312</v>
      </c>
      <c r="B302" s="12" t="s">
        <v>1313</v>
      </c>
      <c r="C302" s="12" t="s">
        <v>1314</v>
      </c>
      <c r="D302" s="12" t="s">
        <v>1315</v>
      </c>
      <c r="E302" s="12" t="s">
        <v>1316</v>
      </c>
      <c r="F302" s="12" t="s">
        <v>449</v>
      </c>
      <c r="G302" s="11" t="s">
        <v>36</v>
      </c>
      <c r="H302" s="92" t="s">
        <v>12</v>
      </c>
      <c r="I302" s="11" t="s">
        <v>37</v>
      </c>
      <c r="J302" s="11" t="s">
        <v>4</v>
      </c>
      <c r="K302" s="11" t="s">
        <v>2</v>
      </c>
    </row>
    <row r="303" spans="1:11" ht="22.5" customHeight="1">
      <c r="A303" s="11" t="s">
        <v>1317</v>
      </c>
      <c r="B303" s="81" t="s">
        <v>1318</v>
      </c>
      <c r="C303" s="81" t="s">
        <v>1319</v>
      </c>
      <c r="D303" s="81" t="s">
        <v>1320</v>
      </c>
      <c r="E303" s="81" t="s">
        <v>1321</v>
      </c>
      <c r="F303" s="81" t="s">
        <v>449</v>
      </c>
      <c r="G303" s="80" t="s">
        <v>36</v>
      </c>
      <c r="H303" s="95" t="s">
        <v>12</v>
      </c>
      <c r="I303" s="80" t="s">
        <v>37</v>
      </c>
      <c r="J303" s="80" t="s">
        <v>4</v>
      </c>
      <c r="K303" s="11" t="s">
        <v>2</v>
      </c>
    </row>
    <row r="304" spans="1:11" ht="22.5" customHeight="1">
      <c r="A304" s="11" t="s">
        <v>1322</v>
      </c>
      <c r="B304" s="81" t="s">
        <v>1323</v>
      </c>
      <c r="C304" s="81" t="s">
        <v>1324</v>
      </c>
      <c r="D304" s="81" t="s">
        <v>1325</v>
      </c>
      <c r="E304" s="81" t="s">
        <v>1326</v>
      </c>
      <c r="F304" s="81" t="s">
        <v>449</v>
      </c>
      <c r="G304" s="80" t="s">
        <v>36</v>
      </c>
      <c r="H304" s="95" t="s">
        <v>12</v>
      </c>
      <c r="I304" s="80" t="s">
        <v>37</v>
      </c>
      <c r="J304" s="80" t="s">
        <v>4</v>
      </c>
      <c r="K304" s="11" t="s">
        <v>2</v>
      </c>
    </row>
    <row r="305" spans="1:11" ht="22.5" customHeight="1">
      <c r="A305" s="11" t="s">
        <v>1327</v>
      </c>
      <c r="B305" s="81" t="s">
        <v>1328</v>
      </c>
      <c r="C305" s="81" t="s">
        <v>1329</v>
      </c>
      <c r="D305" s="81" t="s">
        <v>1330</v>
      </c>
      <c r="E305" s="81" t="s">
        <v>1331</v>
      </c>
      <c r="F305" s="81" t="s">
        <v>449</v>
      </c>
      <c r="G305" s="80" t="s">
        <v>36</v>
      </c>
      <c r="H305" s="95" t="s">
        <v>12</v>
      </c>
      <c r="I305" s="80" t="s">
        <v>37</v>
      </c>
      <c r="J305" s="80" t="s">
        <v>4</v>
      </c>
      <c r="K305" s="11" t="s">
        <v>2</v>
      </c>
    </row>
    <row r="306" spans="1:11" ht="22.5" customHeight="1">
      <c r="A306" s="11" t="s">
        <v>1332</v>
      </c>
      <c r="B306" s="81" t="s">
        <v>1333</v>
      </c>
      <c r="C306" s="81" t="s">
        <v>1334</v>
      </c>
      <c r="D306" s="81" t="s">
        <v>1335</v>
      </c>
      <c r="E306" s="81" t="s">
        <v>1336</v>
      </c>
      <c r="F306" s="81" t="s">
        <v>449</v>
      </c>
      <c r="G306" s="80" t="s">
        <v>36</v>
      </c>
      <c r="H306" s="95" t="s">
        <v>12</v>
      </c>
      <c r="I306" s="80" t="s">
        <v>37</v>
      </c>
      <c r="J306" s="80" t="s">
        <v>4</v>
      </c>
      <c r="K306" s="11" t="s">
        <v>2</v>
      </c>
    </row>
    <row r="307" spans="1:11" ht="22.5" customHeight="1">
      <c r="A307" s="11" t="s">
        <v>1337</v>
      </c>
      <c r="B307" s="81" t="s">
        <v>1338</v>
      </c>
      <c r="C307" s="81" t="s">
        <v>1339</v>
      </c>
      <c r="D307" s="81" t="s">
        <v>1340</v>
      </c>
      <c r="E307" s="81" t="s">
        <v>1341</v>
      </c>
      <c r="F307" s="81" t="s">
        <v>449</v>
      </c>
      <c r="G307" s="80" t="s">
        <v>36</v>
      </c>
      <c r="H307" s="95" t="s">
        <v>12</v>
      </c>
      <c r="I307" s="80" t="s">
        <v>37</v>
      </c>
      <c r="J307" s="80" t="s">
        <v>4</v>
      </c>
      <c r="K307" s="11" t="s">
        <v>2</v>
      </c>
    </row>
    <row r="308" spans="1:11" ht="22.5" customHeight="1">
      <c r="A308" s="11" t="s">
        <v>1342</v>
      </c>
      <c r="B308" s="81" t="s">
        <v>1343</v>
      </c>
      <c r="C308" s="81" t="s">
        <v>1344</v>
      </c>
      <c r="D308" s="81" t="s">
        <v>1345</v>
      </c>
      <c r="E308" s="81" t="s">
        <v>1346</v>
      </c>
      <c r="F308" s="81" t="s">
        <v>449</v>
      </c>
      <c r="G308" s="80" t="s">
        <v>36</v>
      </c>
      <c r="H308" s="95" t="s">
        <v>12</v>
      </c>
      <c r="I308" s="80" t="s">
        <v>37</v>
      </c>
      <c r="J308" s="80" t="s">
        <v>4</v>
      </c>
      <c r="K308" s="11" t="s">
        <v>2</v>
      </c>
    </row>
    <row r="309" spans="1:11" ht="22.5" customHeight="1">
      <c r="A309" s="11" t="s">
        <v>1347</v>
      </c>
      <c r="B309" s="81" t="s">
        <v>1348</v>
      </c>
      <c r="C309" s="81" t="s">
        <v>1349</v>
      </c>
      <c r="D309" s="81" t="s">
        <v>1350</v>
      </c>
      <c r="E309" s="81" t="s">
        <v>1351</v>
      </c>
      <c r="F309" s="81" t="s">
        <v>449</v>
      </c>
      <c r="G309" s="80" t="s">
        <v>36</v>
      </c>
      <c r="H309" s="95" t="s">
        <v>12</v>
      </c>
      <c r="I309" s="80" t="s">
        <v>37</v>
      </c>
      <c r="J309" s="80" t="s">
        <v>4</v>
      </c>
      <c r="K309" s="11" t="s">
        <v>2</v>
      </c>
    </row>
    <row r="310" spans="1:11" ht="22.5" customHeight="1">
      <c r="A310" s="11" t="s">
        <v>1352</v>
      </c>
      <c r="B310" s="81" t="s">
        <v>1353</v>
      </c>
      <c r="C310" s="81" t="s">
        <v>1354</v>
      </c>
      <c r="D310" s="81" t="s">
        <v>1355</v>
      </c>
      <c r="E310" s="81" t="s">
        <v>1356</v>
      </c>
      <c r="F310" s="81" t="s">
        <v>449</v>
      </c>
      <c r="G310" s="80" t="s">
        <v>36</v>
      </c>
      <c r="H310" s="95" t="s">
        <v>12</v>
      </c>
      <c r="I310" s="80" t="s">
        <v>37</v>
      </c>
      <c r="J310" s="80" t="s">
        <v>4</v>
      </c>
      <c r="K310" s="11" t="s">
        <v>2</v>
      </c>
    </row>
    <row r="311" spans="1:11" ht="22.5" customHeight="1">
      <c r="A311" s="11" t="s">
        <v>1357</v>
      </c>
      <c r="B311" s="81" t="s">
        <v>1358</v>
      </c>
      <c r="C311" s="81" t="s">
        <v>1359</v>
      </c>
      <c r="D311" s="81" t="s">
        <v>1360</v>
      </c>
      <c r="E311" s="81" t="s">
        <v>1361</v>
      </c>
      <c r="F311" s="81" t="s">
        <v>449</v>
      </c>
      <c r="G311" s="80" t="s">
        <v>36</v>
      </c>
      <c r="H311" s="95" t="s">
        <v>12</v>
      </c>
      <c r="I311" s="80" t="s">
        <v>37</v>
      </c>
      <c r="J311" s="80" t="s">
        <v>4</v>
      </c>
      <c r="K311" s="11" t="s">
        <v>2</v>
      </c>
    </row>
    <row r="312" spans="1:11" ht="22.5" customHeight="1">
      <c r="A312" s="11" t="s">
        <v>1362</v>
      </c>
      <c r="B312" s="81" t="s">
        <v>1363</v>
      </c>
      <c r="C312" s="81" t="s">
        <v>1364</v>
      </c>
      <c r="D312" s="81" t="s">
        <v>1365</v>
      </c>
      <c r="E312" s="81" t="s">
        <v>1366</v>
      </c>
      <c r="F312" s="81" t="s">
        <v>449</v>
      </c>
      <c r="G312" s="80" t="s">
        <v>36</v>
      </c>
      <c r="H312" s="95" t="s">
        <v>12</v>
      </c>
      <c r="I312" s="80" t="s">
        <v>37</v>
      </c>
      <c r="J312" s="80" t="s">
        <v>4</v>
      </c>
      <c r="K312" s="11" t="s">
        <v>2</v>
      </c>
    </row>
    <row r="313" spans="1:11" ht="22.5" customHeight="1">
      <c r="A313" s="11" t="s">
        <v>1367</v>
      </c>
      <c r="B313" s="81" t="s">
        <v>1368</v>
      </c>
      <c r="C313" s="81" t="s">
        <v>1369</v>
      </c>
      <c r="D313" s="81" t="s">
        <v>1370</v>
      </c>
      <c r="E313" s="81" t="s">
        <v>1371</v>
      </c>
      <c r="F313" s="81" t="s">
        <v>449</v>
      </c>
      <c r="G313" s="80" t="s">
        <v>36</v>
      </c>
      <c r="H313" s="95" t="s">
        <v>12</v>
      </c>
      <c r="I313" s="80" t="s">
        <v>37</v>
      </c>
      <c r="J313" s="80" t="s">
        <v>4</v>
      </c>
      <c r="K313" s="11" t="s">
        <v>2</v>
      </c>
    </row>
    <row r="314" spans="1:11" ht="22.5" customHeight="1">
      <c r="A314" s="11" t="s">
        <v>1372</v>
      </c>
      <c r="B314" s="81" t="s">
        <v>1373</v>
      </c>
      <c r="C314" s="81" t="s">
        <v>1374</v>
      </c>
      <c r="D314" s="81" t="s">
        <v>1375</v>
      </c>
      <c r="E314" s="81" t="s">
        <v>1376</v>
      </c>
      <c r="F314" s="81" t="s">
        <v>449</v>
      </c>
      <c r="G314" s="80" t="s">
        <v>36</v>
      </c>
      <c r="H314" s="95" t="s">
        <v>12</v>
      </c>
      <c r="I314" s="80" t="s">
        <v>37</v>
      </c>
      <c r="J314" s="80" t="s">
        <v>4</v>
      </c>
      <c r="K314" s="11" t="s">
        <v>2</v>
      </c>
    </row>
    <row r="315" spans="1:11" ht="22.5" customHeight="1">
      <c r="A315" s="11" t="s">
        <v>1377</v>
      </c>
      <c r="B315" s="81" t="s">
        <v>1378</v>
      </c>
      <c r="C315" s="81" t="s">
        <v>1379</v>
      </c>
      <c r="D315" s="81" t="s">
        <v>1380</v>
      </c>
      <c r="E315" s="81" t="s">
        <v>1381</v>
      </c>
      <c r="F315" s="81" t="s">
        <v>449</v>
      </c>
      <c r="G315" s="80" t="s">
        <v>36</v>
      </c>
      <c r="H315" s="95" t="s">
        <v>12</v>
      </c>
      <c r="I315" s="80" t="s">
        <v>37</v>
      </c>
      <c r="J315" s="80" t="s">
        <v>4</v>
      </c>
      <c r="K315" s="11" t="s">
        <v>2</v>
      </c>
    </row>
    <row r="316" spans="1:11" ht="22.5" customHeight="1">
      <c r="A316" s="11" t="s">
        <v>1382</v>
      </c>
      <c r="B316" s="12" t="s">
        <v>1383</v>
      </c>
      <c r="C316" s="12" t="s">
        <v>1384</v>
      </c>
      <c r="D316" s="12" t="s">
        <v>1385</v>
      </c>
      <c r="E316" s="12" t="s">
        <v>1386</v>
      </c>
      <c r="F316" s="12" t="s">
        <v>449</v>
      </c>
      <c r="G316" s="11" t="s">
        <v>36</v>
      </c>
      <c r="H316" s="92" t="s">
        <v>12</v>
      </c>
      <c r="I316" s="11" t="s">
        <v>37</v>
      </c>
      <c r="J316" s="11" t="s">
        <v>4</v>
      </c>
      <c r="K316" s="11" t="s">
        <v>2</v>
      </c>
    </row>
    <row r="317" spans="1:11" ht="22.5" customHeight="1">
      <c r="A317" s="11" t="s">
        <v>1387</v>
      </c>
      <c r="B317" s="12" t="s">
        <v>1388</v>
      </c>
      <c r="C317" s="12" t="s">
        <v>1389</v>
      </c>
      <c r="D317" s="12" t="s">
        <v>1390</v>
      </c>
      <c r="E317" s="12" t="s">
        <v>1391</v>
      </c>
      <c r="F317" s="12" t="s">
        <v>449</v>
      </c>
      <c r="G317" s="11" t="s">
        <v>36</v>
      </c>
      <c r="H317" s="92" t="s">
        <v>12</v>
      </c>
      <c r="I317" s="11" t="s">
        <v>37</v>
      </c>
      <c r="J317" s="11" t="s">
        <v>4</v>
      </c>
      <c r="K317" s="11" t="s">
        <v>2</v>
      </c>
    </row>
    <row r="318" spans="1:11" ht="22.5" customHeight="1">
      <c r="A318" s="11" t="s">
        <v>1392</v>
      </c>
      <c r="B318" s="12" t="s">
        <v>1393</v>
      </c>
      <c r="C318" s="12" t="s">
        <v>1394</v>
      </c>
      <c r="D318" s="12" t="s">
        <v>1395</v>
      </c>
      <c r="E318" s="12" t="s">
        <v>1396</v>
      </c>
      <c r="F318" s="12" t="s">
        <v>449</v>
      </c>
      <c r="G318" s="11" t="s">
        <v>36</v>
      </c>
      <c r="H318" s="92" t="s">
        <v>12</v>
      </c>
      <c r="I318" s="11" t="s">
        <v>37</v>
      </c>
      <c r="J318" s="11" t="s">
        <v>4</v>
      </c>
      <c r="K318" s="11" t="s">
        <v>2</v>
      </c>
    </row>
    <row r="319" spans="1:11" ht="22.5" customHeight="1">
      <c r="A319" s="108" t="s">
        <v>1397</v>
      </c>
      <c r="B319" s="114"/>
      <c r="C319" s="114"/>
      <c r="D319" s="114"/>
      <c r="E319" s="114"/>
      <c r="F319" s="114"/>
      <c r="G319" s="114"/>
      <c r="H319" s="114"/>
      <c r="I319" s="114"/>
      <c r="J319" s="114"/>
      <c r="K319" s="114"/>
    </row>
    <row r="320" spans="1:11" ht="22.5" customHeight="1">
      <c r="A320" s="11" t="s">
        <v>1398</v>
      </c>
      <c r="B320" s="12" t="s">
        <v>1399</v>
      </c>
      <c r="C320" s="12" t="s">
        <v>1400</v>
      </c>
      <c r="D320" s="12" t="s">
        <v>1401</v>
      </c>
      <c r="E320" s="12" t="s">
        <v>1190</v>
      </c>
      <c r="F320" s="12" t="s">
        <v>1191</v>
      </c>
      <c r="G320" s="89"/>
      <c r="H320" s="92" t="s">
        <v>11</v>
      </c>
      <c r="I320" s="89"/>
      <c r="J320" s="89"/>
      <c r="K320" s="11" t="s">
        <v>2</v>
      </c>
    </row>
    <row r="321" spans="1:12" ht="22.5" customHeight="1">
      <c r="A321" s="11" t="s">
        <v>1398</v>
      </c>
      <c r="B321" s="81" t="s">
        <v>1402</v>
      </c>
      <c r="C321" s="81" t="s">
        <v>1403</v>
      </c>
      <c r="D321" s="81" t="s">
        <v>1404</v>
      </c>
      <c r="E321" s="12" t="s">
        <v>1190</v>
      </c>
      <c r="F321" s="81" t="s">
        <v>449</v>
      </c>
      <c r="G321" s="89"/>
      <c r="H321" s="95" t="s">
        <v>12</v>
      </c>
      <c r="I321" s="89"/>
      <c r="J321" s="89"/>
      <c r="K321" s="11" t="s">
        <v>2</v>
      </c>
    </row>
    <row r="322" spans="1:12" ht="22.5" customHeight="1">
      <c r="A322" s="11" t="s">
        <v>1405</v>
      </c>
      <c r="B322" s="84" t="s">
        <v>1406</v>
      </c>
      <c r="C322" s="81" t="s">
        <v>1407</v>
      </c>
      <c r="D322" s="81" t="s">
        <v>1408</v>
      </c>
      <c r="E322" s="81" t="s">
        <v>1409</v>
      </c>
      <c r="F322" s="81" t="s">
        <v>449</v>
      </c>
      <c r="G322" s="80" t="s">
        <v>36</v>
      </c>
      <c r="H322" s="95" t="s">
        <v>12</v>
      </c>
      <c r="I322" s="80" t="s">
        <v>37</v>
      </c>
      <c r="J322" s="80" t="s">
        <v>4</v>
      </c>
      <c r="K322" s="11" t="s">
        <v>2</v>
      </c>
      <c r="L322" s="82"/>
    </row>
    <row r="323" spans="1:12" ht="22.5" customHeight="1">
      <c r="A323" s="11" t="s">
        <v>1410</v>
      </c>
      <c r="B323" s="84" t="s">
        <v>1411</v>
      </c>
      <c r="C323" s="81" t="s">
        <v>1412</v>
      </c>
      <c r="D323" s="81" t="s">
        <v>1413</v>
      </c>
      <c r="E323" s="81" t="s">
        <v>1414</v>
      </c>
      <c r="F323" s="84" t="s">
        <v>449</v>
      </c>
      <c r="G323" s="80" t="s">
        <v>36</v>
      </c>
      <c r="H323" s="95" t="s">
        <v>12</v>
      </c>
      <c r="I323" s="80" t="s">
        <v>37</v>
      </c>
      <c r="J323" s="80" t="s">
        <v>4</v>
      </c>
      <c r="K323" s="11" t="s">
        <v>2</v>
      </c>
      <c r="L323" s="82"/>
    </row>
    <row r="324" spans="1:12" ht="22.5" customHeight="1">
      <c r="A324" s="11" t="s">
        <v>1415</v>
      </c>
      <c r="B324" s="84" t="s">
        <v>1416</v>
      </c>
      <c r="C324" s="81" t="s">
        <v>1417</v>
      </c>
      <c r="D324" s="81" t="s">
        <v>1418</v>
      </c>
      <c r="E324" s="81" t="s">
        <v>1419</v>
      </c>
      <c r="F324" s="81" t="s">
        <v>449</v>
      </c>
      <c r="G324" s="80" t="s">
        <v>36</v>
      </c>
      <c r="H324" s="95" t="s">
        <v>12</v>
      </c>
      <c r="I324" s="80" t="s">
        <v>37</v>
      </c>
      <c r="J324" s="80" t="s">
        <v>4</v>
      </c>
      <c r="K324" s="11" t="s">
        <v>2</v>
      </c>
      <c r="L324" s="82"/>
    </row>
    <row r="325" spans="1:12" ht="22.5" customHeight="1">
      <c r="A325" s="11" t="s">
        <v>1420</v>
      </c>
      <c r="B325" s="84" t="s">
        <v>1421</v>
      </c>
      <c r="C325" s="81" t="s">
        <v>1422</v>
      </c>
      <c r="D325" s="81" t="s">
        <v>1423</v>
      </c>
      <c r="E325" s="81" t="s">
        <v>1424</v>
      </c>
      <c r="F325" s="81" t="s">
        <v>449</v>
      </c>
      <c r="G325" s="80" t="s">
        <v>36</v>
      </c>
      <c r="H325" s="95" t="s">
        <v>12</v>
      </c>
      <c r="I325" s="80" t="s">
        <v>37</v>
      </c>
      <c r="J325" s="80" t="s">
        <v>4</v>
      </c>
      <c r="K325" s="11" t="s">
        <v>2</v>
      </c>
      <c r="L325" s="82"/>
    </row>
    <row r="326" spans="1:12" ht="22.5" customHeight="1">
      <c r="A326" s="11" t="s">
        <v>1425</v>
      </c>
      <c r="B326" s="84" t="s">
        <v>1426</v>
      </c>
      <c r="C326" s="81" t="s">
        <v>1427</v>
      </c>
      <c r="D326" s="81" t="s">
        <v>1428</v>
      </c>
      <c r="E326" s="81" t="s">
        <v>1429</v>
      </c>
      <c r="F326" s="81" t="s">
        <v>449</v>
      </c>
      <c r="G326" s="80" t="s">
        <v>36</v>
      </c>
      <c r="H326" s="95" t="s">
        <v>12</v>
      </c>
      <c r="I326" s="80" t="s">
        <v>37</v>
      </c>
      <c r="J326" s="80" t="s">
        <v>4</v>
      </c>
      <c r="K326" s="11" t="s">
        <v>2</v>
      </c>
      <c r="L326" s="82"/>
    </row>
    <row r="327" spans="1:12" ht="22.5" customHeight="1">
      <c r="A327" s="11" t="s">
        <v>1430</v>
      </c>
      <c r="B327" s="84" t="s">
        <v>1431</v>
      </c>
      <c r="C327" s="81" t="s">
        <v>1432</v>
      </c>
      <c r="D327" s="81" t="s">
        <v>1433</v>
      </c>
      <c r="E327" s="81" t="s">
        <v>1434</v>
      </c>
      <c r="F327" s="81" t="s">
        <v>449</v>
      </c>
      <c r="G327" s="80" t="s">
        <v>36</v>
      </c>
      <c r="H327" s="95" t="s">
        <v>12</v>
      </c>
      <c r="I327" s="80" t="s">
        <v>37</v>
      </c>
      <c r="J327" s="80" t="s">
        <v>4</v>
      </c>
      <c r="K327" s="11" t="s">
        <v>2</v>
      </c>
      <c r="L327" s="82"/>
    </row>
    <row r="328" spans="1:12" ht="22.5" customHeight="1">
      <c r="A328" s="11" t="s">
        <v>1435</v>
      </c>
      <c r="B328" s="84" t="s">
        <v>1436</v>
      </c>
      <c r="C328" s="81" t="s">
        <v>1437</v>
      </c>
      <c r="D328" s="81" t="s">
        <v>1438</v>
      </c>
      <c r="E328" s="81" t="s">
        <v>1439</v>
      </c>
      <c r="F328" s="81" t="s">
        <v>449</v>
      </c>
      <c r="G328" s="80" t="s">
        <v>36</v>
      </c>
      <c r="H328" s="95" t="s">
        <v>12</v>
      </c>
      <c r="I328" s="80" t="s">
        <v>37</v>
      </c>
      <c r="J328" s="80" t="s">
        <v>4</v>
      </c>
      <c r="K328" s="11" t="s">
        <v>2</v>
      </c>
      <c r="L328" s="82"/>
    </row>
    <row r="329" spans="1:12" ht="22.5" customHeight="1">
      <c r="A329" s="11" t="s">
        <v>1440</v>
      </c>
      <c r="B329" s="84" t="s">
        <v>1441</v>
      </c>
      <c r="C329" s="81" t="s">
        <v>1442</v>
      </c>
      <c r="D329" s="81" t="s">
        <v>1443</v>
      </c>
      <c r="E329" s="81" t="s">
        <v>1444</v>
      </c>
      <c r="F329" s="81" t="s">
        <v>449</v>
      </c>
      <c r="G329" s="80" t="s">
        <v>36</v>
      </c>
      <c r="H329" s="95" t="s">
        <v>12</v>
      </c>
      <c r="I329" s="80" t="s">
        <v>37</v>
      </c>
      <c r="J329" s="80" t="s">
        <v>4</v>
      </c>
      <c r="K329" s="11" t="s">
        <v>2</v>
      </c>
      <c r="L329" s="82"/>
    </row>
    <row r="330" spans="1:12" ht="22.5" customHeight="1">
      <c r="A330" s="11" t="s">
        <v>1445</v>
      </c>
      <c r="B330" s="84" t="s">
        <v>1446</v>
      </c>
      <c r="C330" s="81" t="s">
        <v>1447</v>
      </c>
      <c r="D330" s="81" t="s">
        <v>1448</v>
      </c>
      <c r="E330" s="81" t="s">
        <v>1449</v>
      </c>
      <c r="F330" s="81" t="s">
        <v>449</v>
      </c>
      <c r="G330" s="80" t="s">
        <v>36</v>
      </c>
      <c r="H330" s="95" t="s">
        <v>12</v>
      </c>
      <c r="I330" s="80" t="s">
        <v>37</v>
      </c>
      <c r="J330" s="80" t="s">
        <v>4</v>
      </c>
      <c r="K330" s="11" t="s">
        <v>2</v>
      </c>
      <c r="L330" s="82"/>
    </row>
    <row r="331" spans="1:12" ht="22.5" customHeight="1">
      <c r="A331" s="11" t="s">
        <v>1450</v>
      </c>
      <c r="B331" s="84" t="s">
        <v>1451</v>
      </c>
      <c r="C331" s="81" t="s">
        <v>1452</v>
      </c>
      <c r="D331" s="81" t="s">
        <v>1453</v>
      </c>
      <c r="E331" s="81" t="s">
        <v>1454</v>
      </c>
      <c r="F331" s="81" t="s">
        <v>449</v>
      </c>
      <c r="G331" s="80" t="s">
        <v>36</v>
      </c>
      <c r="H331" s="95" t="s">
        <v>12</v>
      </c>
      <c r="I331" s="80" t="s">
        <v>37</v>
      </c>
      <c r="J331" s="80" t="s">
        <v>4</v>
      </c>
      <c r="K331" s="11" t="s">
        <v>2</v>
      </c>
      <c r="L331" s="82"/>
    </row>
    <row r="332" spans="1:12" ht="22.5" customHeight="1">
      <c r="A332" s="11" t="s">
        <v>1455</v>
      </c>
      <c r="B332" s="84" t="s">
        <v>1456</v>
      </c>
      <c r="C332" s="81" t="s">
        <v>1457</v>
      </c>
      <c r="D332" s="81" t="s">
        <v>1458</v>
      </c>
      <c r="E332" s="81" t="s">
        <v>1459</v>
      </c>
      <c r="F332" s="81" t="s">
        <v>449</v>
      </c>
      <c r="G332" s="80" t="s">
        <v>36</v>
      </c>
      <c r="H332" s="95" t="s">
        <v>12</v>
      </c>
      <c r="I332" s="80" t="s">
        <v>37</v>
      </c>
      <c r="J332" s="80" t="s">
        <v>4</v>
      </c>
      <c r="K332" s="11" t="s">
        <v>2</v>
      </c>
      <c r="L332" s="82"/>
    </row>
    <row r="333" spans="1:12" ht="22.5" customHeight="1">
      <c r="A333" s="11" t="s">
        <v>1460</v>
      </c>
      <c r="B333" s="84" t="s">
        <v>1461</v>
      </c>
      <c r="C333" s="81" t="s">
        <v>1462</v>
      </c>
      <c r="D333" s="81" t="s">
        <v>1463</v>
      </c>
      <c r="E333" s="81" t="s">
        <v>1464</v>
      </c>
      <c r="F333" s="81" t="s">
        <v>449</v>
      </c>
      <c r="G333" s="80" t="s">
        <v>36</v>
      </c>
      <c r="H333" s="95" t="s">
        <v>12</v>
      </c>
      <c r="I333" s="80" t="s">
        <v>37</v>
      </c>
      <c r="J333" s="80" t="s">
        <v>4</v>
      </c>
      <c r="K333" s="11" t="s">
        <v>2</v>
      </c>
      <c r="L333" s="82"/>
    </row>
    <row r="334" spans="1:12" ht="22.5" customHeight="1">
      <c r="A334" s="11" t="s">
        <v>1465</v>
      </c>
      <c r="B334" s="84" t="s">
        <v>1466</v>
      </c>
      <c r="C334" s="81" t="s">
        <v>1467</v>
      </c>
      <c r="D334" s="81" t="s">
        <v>1468</v>
      </c>
      <c r="E334" s="81" t="s">
        <v>1469</v>
      </c>
      <c r="F334" s="81" t="s">
        <v>449</v>
      </c>
      <c r="G334" s="80" t="s">
        <v>36</v>
      </c>
      <c r="H334" s="95" t="s">
        <v>12</v>
      </c>
      <c r="I334" s="80" t="s">
        <v>37</v>
      </c>
      <c r="J334" s="80" t="s">
        <v>4</v>
      </c>
      <c r="K334" s="11" t="s">
        <v>2</v>
      </c>
      <c r="L334" s="82"/>
    </row>
    <row r="335" spans="1:12" ht="22.5" customHeight="1">
      <c r="A335" s="11" t="s">
        <v>1470</v>
      </c>
      <c r="B335" s="84" t="s">
        <v>1471</v>
      </c>
      <c r="C335" s="81" t="s">
        <v>1472</v>
      </c>
      <c r="D335" s="81" t="s">
        <v>1473</v>
      </c>
      <c r="E335" s="81" t="s">
        <v>1474</v>
      </c>
      <c r="F335" s="81" t="s">
        <v>449</v>
      </c>
      <c r="G335" s="80" t="s">
        <v>36</v>
      </c>
      <c r="H335" s="95" t="s">
        <v>12</v>
      </c>
      <c r="I335" s="80" t="s">
        <v>37</v>
      </c>
      <c r="J335" s="80" t="s">
        <v>4</v>
      </c>
      <c r="K335" s="11" t="s">
        <v>2</v>
      </c>
      <c r="L335" s="82"/>
    </row>
    <row r="336" spans="1:12" ht="22.5" customHeight="1">
      <c r="A336" s="11" t="s">
        <v>1475</v>
      </c>
      <c r="B336" s="84" t="s">
        <v>1476</v>
      </c>
      <c r="C336" s="81" t="s">
        <v>1477</v>
      </c>
      <c r="D336" s="81" t="s">
        <v>1478</v>
      </c>
      <c r="E336" s="81" t="s">
        <v>1479</v>
      </c>
      <c r="F336" s="81" t="s">
        <v>449</v>
      </c>
      <c r="G336" s="80" t="s">
        <v>36</v>
      </c>
      <c r="H336" s="95" t="s">
        <v>12</v>
      </c>
      <c r="I336" s="80" t="s">
        <v>37</v>
      </c>
      <c r="J336" s="80" t="s">
        <v>4</v>
      </c>
      <c r="K336" s="11" t="s">
        <v>2</v>
      </c>
      <c r="L336" s="82"/>
    </row>
    <row r="337" spans="1:12" ht="22.5" customHeight="1">
      <c r="A337" s="11" t="s">
        <v>1480</v>
      </c>
      <c r="B337" s="84" t="s">
        <v>1481</v>
      </c>
      <c r="C337" s="81" t="s">
        <v>1482</v>
      </c>
      <c r="D337" s="81" t="s">
        <v>1483</v>
      </c>
      <c r="E337" s="81" t="s">
        <v>1484</v>
      </c>
      <c r="F337" s="81" t="s">
        <v>449</v>
      </c>
      <c r="G337" s="80" t="s">
        <v>36</v>
      </c>
      <c r="H337" s="95" t="s">
        <v>12</v>
      </c>
      <c r="I337" s="80" t="s">
        <v>37</v>
      </c>
      <c r="J337" s="80" t="s">
        <v>4</v>
      </c>
      <c r="K337" s="11" t="s">
        <v>2</v>
      </c>
      <c r="L337" s="82"/>
    </row>
    <row r="338" spans="1:12" ht="22.5" customHeight="1">
      <c r="A338" s="11" t="s">
        <v>1485</v>
      </c>
      <c r="B338" s="84" t="s">
        <v>1486</v>
      </c>
      <c r="C338" s="81" t="s">
        <v>1487</v>
      </c>
      <c r="D338" s="81" t="s">
        <v>1488</v>
      </c>
      <c r="E338" s="81" t="s">
        <v>1489</v>
      </c>
      <c r="F338" s="81" t="s">
        <v>449</v>
      </c>
      <c r="G338" s="80" t="s">
        <v>36</v>
      </c>
      <c r="H338" s="95" t="s">
        <v>12</v>
      </c>
      <c r="I338" s="80" t="s">
        <v>37</v>
      </c>
      <c r="J338" s="80" t="s">
        <v>4</v>
      </c>
      <c r="K338" s="11" t="s">
        <v>2</v>
      </c>
      <c r="L338" s="82"/>
    </row>
    <row r="339" spans="1:12" ht="22.5" customHeight="1">
      <c r="A339" s="11" t="s">
        <v>1490</v>
      </c>
      <c r="B339" s="84" t="s">
        <v>1491</v>
      </c>
      <c r="C339" s="81" t="s">
        <v>1492</v>
      </c>
      <c r="D339" s="81" t="s">
        <v>1493</v>
      </c>
      <c r="E339" s="81" t="s">
        <v>1494</v>
      </c>
      <c r="F339" s="81" t="s">
        <v>449</v>
      </c>
      <c r="G339" s="80" t="s">
        <v>36</v>
      </c>
      <c r="H339" s="95" t="s">
        <v>12</v>
      </c>
      <c r="I339" s="80" t="s">
        <v>37</v>
      </c>
      <c r="J339" s="80" t="s">
        <v>4</v>
      </c>
      <c r="K339" s="11" t="s">
        <v>2</v>
      </c>
      <c r="L339" s="82"/>
    </row>
    <row r="340" spans="1:12" ht="22.5" customHeight="1">
      <c r="A340" s="11" t="s">
        <v>1495</v>
      </c>
      <c r="B340" s="84" t="s">
        <v>1496</v>
      </c>
      <c r="C340" s="81" t="s">
        <v>1497</v>
      </c>
      <c r="D340" s="81" t="s">
        <v>1498</v>
      </c>
      <c r="E340" s="81" t="s">
        <v>1499</v>
      </c>
      <c r="F340" s="81" t="s">
        <v>449</v>
      </c>
      <c r="G340" s="80" t="s">
        <v>36</v>
      </c>
      <c r="H340" s="95" t="s">
        <v>12</v>
      </c>
      <c r="I340" s="80" t="s">
        <v>37</v>
      </c>
      <c r="J340" s="80" t="s">
        <v>4</v>
      </c>
      <c r="K340" s="11" t="s">
        <v>2</v>
      </c>
      <c r="L340" s="82"/>
    </row>
    <row r="341" spans="1:12" ht="22.5" customHeight="1">
      <c r="A341" s="11" t="s">
        <v>1500</v>
      </c>
      <c r="B341" s="84" t="s">
        <v>1501</v>
      </c>
      <c r="C341" s="81" t="s">
        <v>1502</v>
      </c>
      <c r="D341" s="81" t="s">
        <v>1503</v>
      </c>
      <c r="E341" s="81" t="s">
        <v>1504</v>
      </c>
      <c r="F341" s="81" t="s">
        <v>449</v>
      </c>
      <c r="G341" s="80" t="s">
        <v>36</v>
      </c>
      <c r="H341" s="95" t="s">
        <v>12</v>
      </c>
      <c r="I341" s="80" t="s">
        <v>37</v>
      </c>
      <c r="J341" s="80" t="s">
        <v>4</v>
      </c>
      <c r="K341" s="11" t="s">
        <v>2</v>
      </c>
      <c r="L341" s="82"/>
    </row>
    <row r="342" spans="1:12" ht="22.5" customHeight="1">
      <c r="A342" s="11" t="s">
        <v>1505</v>
      </c>
      <c r="B342" s="84" t="s">
        <v>1506</v>
      </c>
      <c r="C342" s="81" t="s">
        <v>1507</v>
      </c>
      <c r="D342" s="81" t="s">
        <v>1508</v>
      </c>
      <c r="E342" s="81" t="s">
        <v>1509</v>
      </c>
      <c r="F342" s="81" t="s">
        <v>449</v>
      </c>
      <c r="G342" s="80" t="s">
        <v>36</v>
      </c>
      <c r="H342" s="95" t="s">
        <v>12</v>
      </c>
      <c r="I342" s="80" t="s">
        <v>37</v>
      </c>
      <c r="J342" s="80" t="s">
        <v>4</v>
      </c>
      <c r="K342" s="11" t="s">
        <v>2</v>
      </c>
    </row>
    <row r="343" spans="1:12" ht="22.5" customHeight="1">
      <c r="A343" s="11" t="s">
        <v>1510</v>
      </c>
      <c r="B343" s="84" t="s">
        <v>1511</v>
      </c>
      <c r="C343" s="81" t="s">
        <v>1512</v>
      </c>
      <c r="D343" s="81" t="s">
        <v>1513</v>
      </c>
      <c r="E343" s="81" t="s">
        <v>1514</v>
      </c>
      <c r="F343" s="81" t="s">
        <v>449</v>
      </c>
      <c r="G343" s="80" t="s">
        <v>36</v>
      </c>
      <c r="H343" s="95" t="s">
        <v>12</v>
      </c>
      <c r="I343" s="80" t="s">
        <v>37</v>
      </c>
      <c r="J343" s="80" t="s">
        <v>4</v>
      </c>
      <c r="K343" s="11" t="s">
        <v>2</v>
      </c>
    </row>
    <row r="344" spans="1:12" ht="22.5" customHeight="1">
      <c r="A344" s="11" t="s">
        <v>1515</v>
      </c>
      <c r="B344" s="84" t="s">
        <v>1516</v>
      </c>
      <c r="C344" s="81" t="s">
        <v>1517</v>
      </c>
      <c r="D344" s="81" t="s">
        <v>1518</v>
      </c>
      <c r="E344" s="81" t="s">
        <v>1519</v>
      </c>
      <c r="F344" s="81" t="s">
        <v>449</v>
      </c>
      <c r="G344" s="80" t="s">
        <v>36</v>
      </c>
      <c r="H344" s="95" t="s">
        <v>12</v>
      </c>
      <c r="I344" s="80" t="s">
        <v>37</v>
      </c>
      <c r="J344" s="80" t="s">
        <v>4</v>
      </c>
      <c r="K344" s="11" t="s">
        <v>2</v>
      </c>
    </row>
    <row r="345" spans="1:12" ht="22.5" customHeight="1">
      <c r="A345" s="11" t="s">
        <v>1520</v>
      </c>
      <c r="B345" s="84" t="s">
        <v>1521</v>
      </c>
      <c r="C345" s="81" t="s">
        <v>1522</v>
      </c>
      <c r="D345" s="81" t="s">
        <v>1523</v>
      </c>
      <c r="E345" s="81" t="s">
        <v>1524</v>
      </c>
      <c r="F345" s="81" t="s">
        <v>449</v>
      </c>
      <c r="G345" s="80" t="s">
        <v>36</v>
      </c>
      <c r="H345" s="95" t="s">
        <v>12</v>
      </c>
      <c r="I345" s="80" t="s">
        <v>37</v>
      </c>
      <c r="J345" s="80" t="s">
        <v>4</v>
      </c>
      <c r="K345" s="11" t="s">
        <v>2</v>
      </c>
    </row>
    <row r="346" spans="1:12" ht="22.5" customHeight="1">
      <c r="A346" s="11" t="s">
        <v>1525</v>
      </c>
      <c r="B346" s="84" t="s">
        <v>1526</v>
      </c>
      <c r="C346" s="81" t="s">
        <v>1527</v>
      </c>
      <c r="D346" s="81" t="s">
        <v>1528</v>
      </c>
      <c r="E346" s="81" t="s">
        <v>1529</v>
      </c>
      <c r="F346" s="81" t="s">
        <v>449</v>
      </c>
      <c r="G346" s="80" t="s">
        <v>36</v>
      </c>
      <c r="H346" s="95" t="s">
        <v>12</v>
      </c>
      <c r="I346" s="80" t="s">
        <v>37</v>
      </c>
      <c r="J346" s="80" t="s">
        <v>4</v>
      </c>
      <c r="K346" s="11" t="s">
        <v>2</v>
      </c>
    </row>
    <row r="347" spans="1:12" ht="22.5" customHeight="1">
      <c r="A347" s="11" t="s">
        <v>1530</v>
      </c>
      <c r="B347" s="84" t="s">
        <v>1531</v>
      </c>
      <c r="C347" s="81" t="s">
        <v>1532</v>
      </c>
      <c r="D347" s="81" t="s">
        <v>1533</v>
      </c>
      <c r="E347" s="81" t="s">
        <v>1534</v>
      </c>
      <c r="F347" s="81" t="s">
        <v>449</v>
      </c>
      <c r="G347" s="80" t="s">
        <v>36</v>
      </c>
      <c r="H347" s="95" t="s">
        <v>12</v>
      </c>
      <c r="I347" s="80" t="s">
        <v>37</v>
      </c>
      <c r="J347" s="80" t="s">
        <v>4</v>
      </c>
      <c r="K347" s="11" t="s">
        <v>2</v>
      </c>
    </row>
    <row r="348" spans="1:12" ht="22.5" customHeight="1">
      <c r="A348" s="11" t="s">
        <v>1535</v>
      </c>
      <c r="B348" s="84" t="s">
        <v>1536</v>
      </c>
      <c r="C348" s="81" t="s">
        <v>1537</v>
      </c>
      <c r="D348" s="81" t="s">
        <v>1538</v>
      </c>
      <c r="E348" s="81" t="s">
        <v>1539</v>
      </c>
      <c r="F348" s="81" t="s">
        <v>449</v>
      </c>
      <c r="G348" s="80" t="s">
        <v>36</v>
      </c>
      <c r="H348" s="95" t="s">
        <v>12</v>
      </c>
      <c r="I348" s="80" t="s">
        <v>37</v>
      </c>
      <c r="J348" s="80" t="s">
        <v>4</v>
      </c>
      <c r="K348" s="11" t="s">
        <v>2</v>
      </c>
    </row>
    <row r="349" spans="1:12" ht="22.5" customHeight="1">
      <c r="A349" s="11" t="s">
        <v>1540</v>
      </c>
      <c r="B349" s="84" t="s">
        <v>1541</v>
      </c>
      <c r="C349" s="81" t="s">
        <v>1542</v>
      </c>
      <c r="D349" s="81" t="s">
        <v>1543</v>
      </c>
      <c r="E349" s="81" t="s">
        <v>1544</v>
      </c>
      <c r="F349" s="81" t="s">
        <v>449</v>
      </c>
      <c r="G349" s="80" t="s">
        <v>36</v>
      </c>
      <c r="H349" s="95" t="s">
        <v>12</v>
      </c>
      <c r="I349" s="80" t="s">
        <v>37</v>
      </c>
      <c r="J349" s="80" t="s">
        <v>4</v>
      </c>
      <c r="K349" s="11" t="s">
        <v>2</v>
      </c>
    </row>
    <row r="350" spans="1:12" ht="22.5" customHeight="1">
      <c r="A350" s="11" t="s">
        <v>1545</v>
      </c>
      <c r="B350" s="84" t="s">
        <v>1546</v>
      </c>
      <c r="C350" s="81" t="s">
        <v>1547</v>
      </c>
      <c r="D350" s="81" t="s">
        <v>1548</v>
      </c>
      <c r="E350" s="81" t="s">
        <v>1549</v>
      </c>
      <c r="F350" s="81" t="s">
        <v>449</v>
      </c>
      <c r="G350" s="80" t="s">
        <v>36</v>
      </c>
      <c r="H350" s="95" t="s">
        <v>12</v>
      </c>
      <c r="I350" s="80" t="s">
        <v>37</v>
      </c>
      <c r="J350" s="80" t="s">
        <v>4</v>
      </c>
      <c r="K350" s="11" t="s">
        <v>2</v>
      </c>
    </row>
    <row r="351" spans="1:12" ht="22.5" customHeight="1">
      <c r="A351" s="11" t="s">
        <v>1550</v>
      </c>
      <c r="B351" s="84" t="s">
        <v>1551</v>
      </c>
      <c r="C351" s="81" t="s">
        <v>1552</v>
      </c>
      <c r="D351" s="81" t="s">
        <v>1553</v>
      </c>
      <c r="E351" s="81" t="s">
        <v>1554</v>
      </c>
      <c r="F351" s="81" t="s">
        <v>449</v>
      </c>
      <c r="G351" s="80" t="s">
        <v>36</v>
      </c>
      <c r="H351" s="95" t="s">
        <v>12</v>
      </c>
      <c r="I351" s="80" t="s">
        <v>37</v>
      </c>
      <c r="J351" s="80" t="s">
        <v>4</v>
      </c>
      <c r="K351" s="11" t="s">
        <v>2</v>
      </c>
    </row>
    <row r="352" spans="1:12" ht="22.5" customHeight="1">
      <c r="A352" s="11" t="s">
        <v>1555</v>
      </c>
      <c r="B352" s="84" t="s">
        <v>1556</v>
      </c>
      <c r="C352" s="81" t="s">
        <v>1557</v>
      </c>
      <c r="D352" s="81" t="s">
        <v>1558</v>
      </c>
      <c r="E352" s="81" t="s">
        <v>1559</v>
      </c>
      <c r="F352" s="81" t="s">
        <v>449</v>
      </c>
      <c r="G352" s="80" t="s">
        <v>36</v>
      </c>
      <c r="H352" s="95" t="s">
        <v>12</v>
      </c>
      <c r="I352" s="80" t="s">
        <v>37</v>
      </c>
      <c r="J352" s="80" t="s">
        <v>4</v>
      </c>
      <c r="K352" s="11" t="s">
        <v>2</v>
      </c>
    </row>
    <row r="353" spans="1:12" ht="22.5" customHeight="1">
      <c r="A353" s="11" t="s">
        <v>1560</v>
      </c>
      <c r="B353" s="84" t="s">
        <v>1561</v>
      </c>
      <c r="C353" s="81" t="s">
        <v>1562</v>
      </c>
      <c r="D353" s="81" t="s">
        <v>1563</v>
      </c>
      <c r="E353" s="81" t="s">
        <v>1564</v>
      </c>
      <c r="F353" s="81" t="s">
        <v>449</v>
      </c>
      <c r="G353" s="80" t="s">
        <v>36</v>
      </c>
      <c r="H353" s="95" t="s">
        <v>12</v>
      </c>
      <c r="I353" s="80" t="s">
        <v>37</v>
      </c>
      <c r="J353" s="80" t="s">
        <v>4</v>
      </c>
      <c r="K353" s="11" t="s">
        <v>2</v>
      </c>
    </row>
    <row r="354" spans="1:12" ht="22.5" customHeight="1">
      <c r="A354" s="11" t="s">
        <v>1565</v>
      </c>
      <c r="B354" s="84" t="s">
        <v>1566</v>
      </c>
      <c r="C354" s="81" t="s">
        <v>1567</v>
      </c>
      <c r="D354" s="81" t="s">
        <v>1568</v>
      </c>
      <c r="E354" s="81" t="s">
        <v>1569</v>
      </c>
      <c r="F354" s="81" t="s">
        <v>449</v>
      </c>
      <c r="G354" s="80" t="s">
        <v>36</v>
      </c>
      <c r="H354" s="95" t="s">
        <v>12</v>
      </c>
      <c r="I354" s="80" t="s">
        <v>37</v>
      </c>
      <c r="J354" s="80" t="s">
        <v>4</v>
      </c>
      <c r="K354" s="11" t="s">
        <v>2</v>
      </c>
    </row>
    <row r="355" spans="1:12" ht="22.5" customHeight="1">
      <c r="A355" s="11" t="s">
        <v>1570</v>
      </c>
      <c r="B355" s="84" t="s">
        <v>1571</v>
      </c>
      <c r="C355" s="81" t="s">
        <v>1572</v>
      </c>
      <c r="D355" s="81" t="s">
        <v>1573</v>
      </c>
      <c r="E355" s="81" t="s">
        <v>1574</v>
      </c>
      <c r="F355" s="81" t="s">
        <v>449</v>
      </c>
      <c r="G355" s="80" t="s">
        <v>36</v>
      </c>
      <c r="H355" s="95" t="s">
        <v>12</v>
      </c>
      <c r="I355" s="80" t="s">
        <v>37</v>
      </c>
      <c r="J355" s="80" t="s">
        <v>4</v>
      </c>
      <c r="K355" s="11" t="s">
        <v>2</v>
      </c>
    </row>
    <row r="356" spans="1:12" ht="22.5" customHeight="1">
      <c r="A356" s="11" t="s">
        <v>1575</v>
      </c>
      <c r="B356" s="84" t="s">
        <v>1576</v>
      </c>
      <c r="C356" s="81" t="s">
        <v>1577</v>
      </c>
      <c r="D356" s="81" t="s">
        <v>1578</v>
      </c>
      <c r="E356" s="81" t="s">
        <v>1579</v>
      </c>
      <c r="F356" s="81" t="s">
        <v>449</v>
      </c>
      <c r="G356" s="80" t="s">
        <v>36</v>
      </c>
      <c r="H356" s="95" t="s">
        <v>12</v>
      </c>
      <c r="I356" s="80" t="s">
        <v>37</v>
      </c>
      <c r="J356" s="80" t="s">
        <v>4</v>
      </c>
      <c r="K356" s="11" t="s">
        <v>2</v>
      </c>
    </row>
    <row r="357" spans="1:12" ht="22.5" customHeight="1">
      <c r="A357" s="11" t="s">
        <v>1580</v>
      </c>
      <c r="B357" s="84" t="s">
        <v>1581</v>
      </c>
      <c r="C357" s="81" t="s">
        <v>1582</v>
      </c>
      <c r="D357" s="81" t="s">
        <v>1583</v>
      </c>
      <c r="E357" s="81" t="s">
        <v>1584</v>
      </c>
      <c r="F357" s="81" t="s">
        <v>449</v>
      </c>
      <c r="G357" s="80" t="s">
        <v>36</v>
      </c>
      <c r="H357" s="95" t="s">
        <v>12</v>
      </c>
      <c r="I357" s="80" t="s">
        <v>37</v>
      </c>
      <c r="J357" s="80" t="s">
        <v>4</v>
      </c>
      <c r="K357" s="11" t="s">
        <v>2</v>
      </c>
    </row>
    <row r="358" spans="1:12" ht="22.5" customHeight="1">
      <c r="A358" s="11" t="s">
        <v>1585</v>
      </c>
      <c r="B358" s="84" t="s">
        <v>1586</v>
      </c>
      <c r="C358" s="81" t="s">
        <v>1587</v>
      </c>
      <c r="D358" s="81" t="s">
        <v>1588</v>
      </c>
      <c r="E358" s="81" t="s">
        <v>1589</v>
      </c>
      <c r="F358" s="81" t="s">
        <v>449</v>
      </c>
      <c r="G358" s="80" t="s">
        <v>36</v>
      </c>
      <c r="H358" s="95" t="s">
        <v>12</v>
      </c>
      <c r="I358" s="80" t="s">
        <v>37</v>
      </c>
      <c r="J358" s="80" t="s">
        <v>4</v>
      </c>
      <c r="K358" s="11" t="s">
        <v>2</v>
      </c>
    </row>
    <row r="359" spans="1:12" ht="22.5" customHeight="1">
      <c r="A359" s="11" t="s">
        <v>1590</v>
      </c>
      <c r="B359" s="84" t="s">
        <v>1591</v>
      </c>
      <c r="C359" s="81" t="s">
        <v>1592</v>
      </c>
      <c r="D359" s="81" t="s">
        <v>1593</v>
      </c>
      <c r="E359" s="81" t="s">
        <v>1594</v>
      </c>
      <c r="F359" s="81" t="s">
        <v>449</v>
      </c>
      <c r="G359" s="80" t="s">
        <v>36</v>
      </c>
      <c r="H359" s="95" t="s">
        <v>12</v>
      </c>
      <c r="I359" s="80" t="s">
        <v>37</v>
      </c>
      <c r="J359" s="80" t="s">
        <v>4</v>
      </c>
      <c r="K359" s="11" t="s">
        <v>2</v>
      </c>
    </row>
    <row r="360" spans="1:12" ht="22.5" customHeight="1">
      <c r="A360" s="11" t="s">
        <v>1595</v>
      </c>
      <c r="B360" s="84" t="s">
        <v>1596</v>
      </c>
      <c r="C360" s="81" t="s">
        <v>1597</v>
      </c>
      <c r="D360" s="81" t="s">
        <v>1598</v>
      </c>
      <c r="E360" s="81" t="s">
        <v>1599</v>
      </c>
      <c r="F360" s="81" t="s">
        <v>449</v>
      </c>
      <c r="G360" s="80" t="s">
        <v>36</v>
      </c>
      <c r="H360" s="95" t="s">
        <v>12</v>
      </c>
      <c r="I360" s="80" t="s">
        <v>37</v>
      </c>
      <c r="J360" s="80" t="s">
        <v>4</v>
      </c>
      <c r="K360" s="11" t="s">
        <v>2</v>
      </c>
    </row>
    <row r="361" spans="1:12" ht="22.5" customHeight="1">
      <c r="A361" s="11" t="s">
        <v>1600</v>
      </c>
      <c r="B361" s="84" t="s">
        <v>1601</v>
      </c>
      <c r="C361" s="81" t="s">
        <v>1602</v>
      </c>
      <c r="D361" s="81" t="s">
        <v>1603</v>
      </c>
      <c r="E361" s="81" t="s">
        <v>1604</v>
      </c>
      <c r="F361" s="81" t="s">
        <v>449</v>
      </c>
      <c r="G361" s="80" t="s">
        <v>36</v>
      </c>
      <c r="H361" s="95" t="s">
        <v>12</v>
      </c>
      <c r="I361" s="80" t="s">
        <v>37</v>
      </c>
      <c r="J361" s="80" t="s">
        <v>4</v>
      </c>
      <c r="K361" s="11" t="s">
        <v>2</v>
      </c>
    </row>
    <row r="362" spans="1:12" ht="22.5" customHeight="1">
      <c r="A362" s="11" t="s">
        <v>1605</v>
      </c>
      <c r="B362" s="84" t="s">
        <v>1606</v>
      </c>
      <c r="C362" s="81" t="s">
        <v>1607</v>
      </c>
      <c r="D362" s="81" t="s">
        <v>1608</v>
      </c>
      <c r="E362" s="81" t="s">
        <v>1609</v>
      </c>
      <c r="F362" s="81" t="s">
        <v>449</v>
      </c>
      <c r="G362" s="80" t="s">
        <v>36</v>
      </c>
      <c r="H362" s="95" t="s">
        <v>12</v>
      </c>
      <c r="I362" s="80" t="s">
        <v>37</v>
      </c>
      <c r="J362" s="80" t="s">
        <v>4</v>
      </c>
      <c r="K362" s="11" t="s">
        <v>2</v>
      </c>
    </row>
    <row r="363" spans="1:12" ht="22.5" customHeight="1">
      <c r="A363" s="11" t="s">
        <v>1610</v>
      </c>
      <c r="B363" s="84" t="s">
        <v>1611</v>
      </c>
      <c r="C363" s="81" t="s">
        <v>1612</v>
      </c>
      <c r="D363" s="81" t="s">
        <v>1613</v>
      </c>
      <c r="E363" s="81" t="s">
        <v>1614</v>
      </c>
      <c r="F363" s="81" t="s">
        <v>449</v>
      </c>
      <c r="G363" s="80" t="s">
        <v>36</v>
      </c>
      <c r="H363" s="95" t="s">
        <v>12</v>
      </c>
      <c r="I363" s="80" t="s">
        <v>37</v>
      </c>
      <c r="J363" s="80" t="s">
        <v>4</v>
      </c>
      <c r="K363" s="11" t="s">
        <v>2</v>
      </c>
    </row>
    <row r="364" spans="1:12" ht="22.5" customHeight="1">
      <c r="A364" s="11" t="s">
        <v>1615</v>
      </c>
      <c r="B364" s="84" t="s">
        <v>1616</v>
      </c>
      <c r="C364" s="81" t="s">
        <v>1617</v>
      </c>
      <c r="D364" s="81" t="s">
        <v>1618</v>
      </c>
      <c r="E364" s="81" t="s">
        <v>1619</v>
      </c>
      <c r="F364" s="81" t="s">
        <v>449</v>
      </c>
      <c r="G364" s="80" t="s">
        <v>36</v>
      </c>
      <c r="H364" s="95" t="s">
        <v>12</v>
      </c>
      <c r="I364" s="80" t="s">
        <v>37</v>
      </c>
      <c r="J364" s="80" t="s">
        <v>4</v>
      </c>
      <c r="K364" s="11" t="s">
        <v>2</v>
      </c>
    </row>
    <row r="365" spans="1:12" ht="22.5" customHeight="1">
      <c r="A365" s="11" t="s">
        <v>1620</v>
      </c>
      <c r="B365" s="84" t="s">
        <v>1621</v>
      </c>
      <c r="C365" s="81" t="s">
        <v>1622</v>
      </c>
      <c r="D365" s="81" t="s">
        <v>1623</v>
      </c>
      <c r="E365" s="81" t="s">
        <v>1624</v>
      </c>
      <c r="F365" s="81" t="s">
        <v>449</v>
      </c>
      <c r="G365" s="80" t="s">
        <v>36</v>
      </c>
      <c r="H365" s="95" t="s">
        <v>12</v>
      </c>
      <c r="I365" s="80" t="s">
        <v>37</v>
      </c>
      <c r="J365" s="80" t="s">
        <v>4</v>
      </c>
      <c r="K365" s="11" t="s">
        <v>2</v>
      </c>
    </row>
    <row r="366" spans="1:12" ht="22.5" customHeight="1">
      <c r="L366" s="82"/>
    </row>
    <row r="367" spans="1:12" ht="22.5" customHeight="1">
      <c r="L367" s="82"/>
    </row>
    <row r="368" spans="1:12" ht="22.5" customHeight="1">
      <c r="L368" s="82"/>
    </row>
    <row r="369" spans="12:12" ht="22.5" customHeight="1">
      <c r="L369" s="82"/>
    </row>
    <row r="370" spans="12:12" ht="22.5" customHeight="1">
      <c r="L370" s="82"/>
    </row>
    <row r="371" spans="12:12" ht="22.5" customHeight="1">
      <c r="L371" s="82"/>
    </row>
    <row r="372" spans="12:12" ht="22.5" customHeight="1">
      <c r="L372" s="82"/>
    </row>
    <row r="373" spans="12:12" ht="22.5" customHeight="1">
      <c r="L373" s="82"/>
    </row>
    <row r="374" spans="12:12" ht="22.5" customHeight="1">
      <c r="L374" s="82"/>
    </row>
    <row r="375" spans="12:12" ht="22.5" customHeight="1">
      <c r="L375" s="82"/>
    </row>
    <row r="376" spans="12:12" ht="22.5" customHeight="1">
      <c r="L376" s="82"/>
    </row>
    <row r="377" spans="12:12" ht="22.5" customHeight="1">
      <c r="L377" s="82"/>
    </row>
    <row r="378" spans="12:12" ht="22.5" customHeight="1">
      <c r="L378" s="82"/>
    </row>
    <row r="379" spans="12:12" ht="22.5" customHeight="1">
      <c r="L379" s="82"/>
    </row>
    <row r="380" spans="12:12" ht="22.5" customHeight="1">
      <c r="L380" s="82"/>
    </row>
    <row r="381" spans="12:12" ht="22.5" customHeight="1">
      <c r="L381" s="82"/>
    </row>
    <row r="382" spans="12:12" ht="22.5" customHeight="1">
      <c r="L382" s="82"/>
    </row>
    <row r="383" spans="12:12" ht="22.5" customHeight="1">
      <c r="L383" s="82"/>
    </row>
    <row r="384" spans="12:12" ht="22.5" customHeight="1">
      <c r="L384" s="82"/>
    </row>
    <row r="385" spans="12:12" ht="22.5" customHeight="1">
      <c r="L385" s="82"/>
    </row>
  </sheetData>
  <autoFilter ref="A11:K365" xr:uid="{00000000-0009-0000-0000-000000000000}"/>
  <mergeCells count="29">
    <mergeCell ref="A155:K155"/>
    <mergeCell ref="A106:K106"/>
    <mergeCell ref="A107:K107"/>
    <mergeCell ref="A111:K111"/>
    <mergeCell ref="A113:K113"/>
    <mergeCell ref="A116:K116"/>
    <mergeCell ref="A120:K120"/>
    <mergeCell ref="A124:K124"/>
    <mergeCell ref="A127:K127"/>
    <mergeCell ref="A130:K130"/>
    <mergeCell ref="A143:K143"/>
    <mergeCell ref="A146:K146"/>
    <mergeCell ref="A249:K249"/>
    <mergeCell ref="A169:K169"/>
    <mergeCell ref="A173:K173"/>
    <mergeCell ref="A187:K187"/>
    <mergeCell ref="A193:K193"/>
    <mergeCell ref="A201:K201"/>
    <mergeCell ref="A204:K204"/>
    <mergeCell ref="A219:K219"/>
    <mergeCell ref="A229:K229"/>
    <mergeCell ref="A232:K232"/>
    <mergeCell ref="A235:K235"/>
    <mergeCell ref="A244:K244"/>
    <mergeCell ref="A261:K261"/>
    <mergeCell ref="A268:K268"/>
    <mergeCell ref="A275:K275"/>
    <mergeCell ref="A297:K297"/>
    <mergeCell ref="A319:K319"/>
  </mergeCells>
  <phoneticPr fontId="10" type="noConversion"/>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34743-AE04-49ED-B1A4-B19F1F3BEE35}">
  <sheetPr>
    <tabColor theme="9" tint="0.39997558519241921"/>
    <outlinePr summaryBelow="0" summaryRight="0"/>
  </sheetPr>
  <dimension ref="A1:N47"/>
  <sheetViews>
    <sheetView topLeftCell="A18" workbookViewId="0">
      <selection activeCell="E22" sqref="E22"/>
    </sheetView>
  </sheetViews>
  <sheetFormatPr defaultColWidth="9" defaultRowHeight="15.4"/>
  <cols>
    <col min="1" max="1" width="19.7109375" style="41" bestFit="1" customWidth="1"/>
    <col min="2" max="2" width="23.7109375" style="41" customWidth="1"/>
    <col min="3" max="3" width="32" style="41" customWidth="1"/>
    <col min="4" max="4" width="50" style="41" customWidth="1"/>
    <col min="5" max="5" width="48" style="41" customWidth="1"/>
    <col min="6" max="6" width="27" style="41" customWidth="1"/>
    <col min="7" max="7" width="8.85546875" style="41" customWidth="1"/>
    <col min="8" max="8" width="8.85546875" customWidth="1"/>
    <col min="9" max="9" width="8.85546875" style="41" customWidth="1"/>
    <col min="10" max="10" width="14" customWidth="1"/>
    <col min="11" max="11" width="9" customWidth="1"/>
    <col min="12" max="12" width="12" style="41" customWidth="1"/>
    <col min="13" max="13" width="25" style="41" customWidth="1"/>
    <col min="14" max="14" width="19.42578125" style="41" customWidth="1"/>
    <col min="15" max="16384" width="9" style="41"/>
  </cols>
  <sheetData>
    <row r="1" spans="1:13" s="19" customFormat="1" ht="31.15" customHeight="1">
      <c r="A1" s="13" t="s">
        <v>1625</v>
      </c>
      <c r="B1" s="13" t="str">
        <f>[1]Cover!E11</f>
        <v>DỰ ÁN TRIỂN KHAI BẢN QUYỀN PHẦN MỀM HỆ THỐNG AML MỚI</v>
      </c>
      <c r="C1" s="14"/>
      <c r="D1" s="14"/>
      <c r="E1" s="15"/>
      <c r="F1" s="16"/>
      <c r="G1" s="17"/>
      <c r="H1" s="18"/>
      <c r="I1" s="18"/>
      <c r="J1" s="18"/>
      <c r="K1" s="18"/>
      <c r="L1" s="18"/>
      <c r="M1" s="7"/>
    </row>
    <row r="2" spans="1:13" s="19" customFormat="1">
      <c r="A2" s="13" t="s">
        <v>1626</v>
      </c>
      <c r="B2" s="13" t="s">
        <v>1627</v>
      </c>
      <c r="C2" s="14"/>
      <c r="D2" s="14"/>
      <c r="E2" s="15"/>
      <c r="F2" s="16"/>
      <c r="G2" s="17"/>
      <c r="H2" s="18"/>
      <c r="I2" s="18"/>
      <c r="J2" s="18"/>
      <c r="K2" s="18"/>
      <c r="L2" s="18"/>
      <c r="M2" s="7"/>
    </row>
    <row r="3" spans="1:13" s="24" customFormat="1">
      <c r="A3" s="78" t="s">
        <v>1628</v>
      </c>
      <c r="B3" s="21"/>
      <c r="C3" s="21"/>
      <c r="D3" s="21"/>
      <c r="E3" s="15"/>
      <c r="F3" s="16"/>
      <c r="G3" s="17"/>
      <c r="H3" s="18"/>
      <c r="I3" s="22"/>
      <c r="J3" s="22"/>
      <c r="K3" s="22"/>
      <c r="L3" s="22"/>
      <c r="M3" s="23"/>
    </row>
    <row r="4" spans="1:13" s="27" customFormat="1">
      <c r="A4" s="25"/>
      <c r="B4" s="26" t="s">
        <v>11</v>
      </c>
      <c r="C4" s="26" t="s">
        <v>12</v>
      </c>
      <c r="D4" s="26" t="s">
        <v>13</v>
      </c>
      <c r="E4" s="26" t="s">
        <v>1629</v>
      </c>
      <c r="G4" s="28"/>
      <c r="I4" s="29"/>
      <c r="J4" s="29"/>
      <c r="K4" s="29"/>
    </row>
    <row r="5" spans="1:13" s="27" customFormat="1">
      <c r="A5" s="30"/>
      <c r="B5" s="31">
        <f>SUM(B6:B10)</f>
        <v>24</v>
      </c>
      <c r="C5" s="31">
        <f>SUM(C6:C10)</f>
        <v>0</v>
      </c>
      <c r="D5" s="31">
        <f>SUM(D6:D10)</f>
        <v>0</v>
      </c>
      <c r="E5" s="31">
        <f t="shared" ref="E5:E10" si="0">SUM(B5:D5)</f>
        <v>24</v>
      </c>
      <c r="G5" s="28"/>
      <c r="I5" s="29"/>
      <c r="J5" s="29"/>
      <c r="K5" s="29"/>
    </row>
    <row r="6" spans="1:13" s="34" customFormat="1">
      <c r="A6" s="32" t="s">
        <v>1630</v>
      </c>
      <c r="B6" s="33">
        <f>COUNTIFS($J:$J, $A$6,$H:$H,B$4)</f>
        <v>0</v>
      </c>
      <c r="C6" s="33">
        <f>COUNTIFS($J:$J, $A$6,$H:$H,C$4)</f>
        <v>0</v>
      </c>
      <c r="D6" s="33">
        <f>COUNTIFS($J:$J, $A$6,$H:$H,D$4)</f>
        <v>0</v>
      </c>
      <c r="E6" s="33">
        <f t="shared" si="0"/>
        <v>0</v>
      </c>
      <c r="G6" s="35"/>
      <c r="I6" s="22"/>
      <c r="J6" s="22"/>
      <c r="K6" s="22"/>
    </row>
    <row r="7" spans="1:13" s="34" customFormat="1">
      <c r="A7" s="32" t="s">
        <v>1631</v>
      </c>
      <c r="B7" s="33">
        <f>COUNTIFS($J:$J, $A$7,$H:$H,B$4)</f>
        <v>0</v>
      </c>
      <c r="C7" s="33">
        <f>COUNTIFS($J:$J, $A$7,$H:$H,C$4)</f>
        <v>0</v>
      </c>
      <c r="D7" s="33">
        <f>COUNTIFS($J:$J, $A$7,$H:$H,D$4)</f>
        <v>0</v>
      </c>
      <c r="E7" s="33">
        <f t="shared" si="0"/>
        <v>0</v>
      </c>
      <c r="G7" s="35"/>
      <c r="I7" s="22"/>
      <c r="J7" s="22"/>
      <c r="K7" s="22"/>
    </row>
    <row r="8" spans="1:13" s="34" customFormat="1">
      <c r="A8" s="32" t="s">
        <v>4</v>
      </c>
      <c r="B8" s="33">
        <f>COUNTIFS($J:$J, $A$8,$H:$H,B$4)</f>
        <v>24</v>
      </c>
      <c r="C8" s="33">
        <f>COUNTIFS($J:$J, $A$8,$H:$H,C$4)</f>
        <v>0</v>
      </c>
      <c r="D8" s="33">
        <f>COUNTIFS($J:$J, $A$8,$H:$H,D$4)</f>
        <v>0</v>
      </c>
      <c r="E8" s="33">
        <f t="shared" si="0"/>
        <v>24</v>
      </c>
      <c r="G8" s="35"/>
      <c r="I8" s="22"/>
      <c r="J8" s="22"/>
      <c r="K8" s="22"/>
    </row>
    <row r="9" spans="1:13" s="34" customFormat="1">
      <c r="A9" s="32" t="s">
        <v>1632</v>
      </c>
      <c r="B9" s="33">
        <f>COUNTIFS($J:$J, $A$9,$H:$H,B$4)</f>
        <v>0</v>
      </c>
      <c r="C9" s="33">
        <f>COUNTIFS($J:$J, $A$9,$H:$H,C$4)</f>
        <v>0</v>
      </c>
      <c r="D9" s="33">
        <f>COUNTIFS($J:$J, $A$9,$H:$H,D$4)</f>
        <v>0</v>
      </c>
      <c r="E9" s="33">
        <f t="shared" si="0"/>
        <v>0</v>
      </c>
      <c r="G9" s="35"/>
      <c r="I9" s="22"/>
      <c r="J9" s="22"/>
      <c r="K9" s="22"/>
    </row>
    <row r="10" spans="1:13" s="34" customFormat="1">
      <c r="A10" s="32" t="s">
        <v>1633</v>
      </c>
      <c r="B10" s="33">
        <f>COUNTIFS($J:$J, $A$10,H:H,B$4)</f>
        <v>0</v>
      </c>
      <c r="C10" s="33">
        <f>COUNTIFS($J:$J, $A$10,I:I,C$4)</f>
        <v>0</v>
      </c>
      <c r="D10" s="33">
        <f>COUNTIFS($J:$J, $A$10,J:J,D$4)</f>
        <v>0</v>
      </c>
      <c r="E10" s="33">
        <f t="shared" si="0"/>
        <v>0</v>
      </c>
      <c r="G10" s="35"/>
      <c r="I10" s="22"/>
      <c r="J10" s="22"/>
      <c r="K10" s="22"/>
    </row>
    <row r="11" spans="1:13" s="27" customFormat="1">
      <c r="A11" s="79" t="s">
        <v>1634</v>
      </c>
      <c r="B11" s="77"/>
      <c r="C11" s="77"/>
      <c r="D11" s="77"/>
      <c r="E11" s="77"/>
      <c r="G11" s="28"/>
      <c r="I11" s="29"/>
      <c r="J11" s="29"/>
      <c r="K11" s="29"/>
    </row>
    <row r="12" spans="1:13" s="34" customFormat="1">
      <c r="A12" s="25"/>
      <c r="B12" s="26" t="s">
        <v>11</v>
      </c>
      <c r="C12" s="26" t="s">
        <v>12</v>
      </c>
      <c r="D12" s="26" t="s">
        <v>13</v>
      </c>
      <c r="E12" s="26" t="s">
        <v>1629</v>
      </c>
      <c r="G12" s="35"/>
      <c r="I12" s="22"/>
      <c r="J12" s="22"/>
      <c r="K12" s="22"/>
    </row>
    <row r="13" spans="1:13" s="34" customFormat="1">
      <c r="A13" s="30"/>
      <c r="B13" s="31">
        <f>SUM(B14:B18)</f>
        <v>24</v>
      </c>
      <c r="C13" s="31">
        <f>SUM(C14:C18)</f>
        <v>0</v>
      </c>
      <c r="D13" s="31">
        <f>SUM(D14:D18)</f>
        <v>0</v>
      </c>
      <c r="E13" s="31">
        <f>SUM(B13:D13)</f>
        <v>24</v>
      </c>
      <c r="G13" s="35"/>
      <c r="I13" s="22"/>
      <c r="J13" s="22"/>
      <c r="K13" s="22"/>
    </row>
    <row r="14" spans="1:13" s="34" customFormat="1">
      <c r="A14" s="32" t="s">
        <v>1630</v>
      </c>
      <c r="B14" s="33">
        <f>COUNTIFS($K:$K,$A$14,$H:$H,B12)</f>
        <v>23</v>
      </c>
      <c r="C14" s="33">
        <f>COUNTIFS($K:$K,$A$14,$H:$H,C12)</f>
        <v>0</v>
      </c>
      <c r="D14" s="33">
        <f>COUNTIFS($K:$K,$A$14,$H:$H,D12)</f>
        <v>0</v>
      </c>
      <c r="E14" s="33">
        <f>SUM(B14:D14)</f>
        <v>23</v>
      </c>
      <c r="G14" s="35"/>
      <c r="I14" s="22"/>
      <c r="J14" s="22"/>
      <c r="K14" s="22"/>
    </row>
    <row r="15" spans="1:13" s="34" customFormat="1">
      <c r="A15" s="32" t="s">
        <v>1631</v>
      </c>
      <c r="B15" s="33">
        <f>COUNTIFS($K:$K,$A$15,$H:$H,B12)</f>
        <v>0</v>
      </c>
      <c r="C15" s="33">
        <f>COUNTIFS($K:$K,$A$15,$H:$H,C12)</f>
        <v>0</v>
      </c>
      <c r="D15" s="33">
        <f>COUNTIFS($K:$K,$A$15,$H:$H,D12)</f>
        <v>0</v>
      </c>
      <c r="E15" s="33">
        <f>SUM(B15:D15)</f>
        <v>0</v>
      </c>
      <c r="G15" s="35"/>
      <c r="I15" s="22"/>
      <c r="J15" s="22"/>
      <c r="K15" s="22"/>
    </row>
    <row r="16" spans="1:13" s="34" customFormat="1" ht="15.75">
      <c r="A16" s="32" t="s">
        <v>4</v>
      </c>
      <c r="B16" s="33">
        <f>COUNTIFS($K:$K,$A$16,$H:$H,B12)</f>
        <v>1</v>
      </c>
      <c r="C16" s="33">
        <f>COUNTIFS($K:$K,$A$16,$H:$H,C12)</f>
        <v>0</v>
      </c>
      <c r="D16" s="33">
        <f>COUNTIFS($K:$K,$A$16,$H:$H,D12)</f>
        <v>0</v>
      </c>
      <c r="E16" s="33">
        <f>SUM(B16:D16)</f>
        <v>1</v>
      </c>
      <c r="F16" s="34" t="s">
        <v>1635</v>
      </c>
      <c r="G16" s="35"/>
      <c r="I16" s="22"/>
      <c r="J16" s="22"/>
      <c r="K16" s="22"/>
    </row>
    <row r="17" spans="1:14" s="34" customFormat="1">
      <c r="A17" s="32" t="s">
        <v>1632</v>
      </c>
      <c r="B17" s="33">
        <f>COUNTIFS($K:$K,$A$17,$H:$H,B12)</f>
        <v>0</v>
      </c>
      <c r="C17" s="33">
        <f>COUNTIFS($K:$K,$A$17,$H:$H,C12)</f>
        <v>0</v>
      </c>
      <c r="D17" s="33">
        <f>COUNTIFS($K:$K,$A$17,$H:$H,D12)</f>
        <v>0</v>
      </c>
      <c r="E17" s="33">
        <f>SUM(B17:D17)</f>
        <v>0</v>
      </c>
      <c r="G17" s="35"/>
      <c r="I17" s="22"/>
      <c r="J17" s="22"/>
      <c r="K17" s="22"/>
    </row>
    <row r="18" spans="1:14" s="34" customFormat="1">
      <c r="A18" s="32"/>
      <c r="B18" s="33"/>
      <c r="C18" s="33"/>
      <c r="D18" s="33"/>
      <c r="E18" s="33"/>
      <c r="G18" s="35"/>
      <c r="I18" s="22"/>
      <c r="J18" s="22"/>
      <c r="K18" s="22"/>
    </row>
    <row r="20" spans="1:14" s="38" customFormat="1" ht="28.9" customHeight="1">
      <c r="A20" s="36" t="s">
        <v>1636</v>
      </c>
      <c r="B20" s="36" t="s">
        <v>18</v>
      </c>
      <c r="C20" s="36" t="s">
        <v>19</v>
      </c>
      <c r="D20" s="36" t="s">
        <v>20</v>
      </c>
      <c r="E20" s="36" t="s">
        <v>21</v>
      </c>
      <c r="F20" s="36" t="s">
        <v>22</v>
      </c>
      <c r="G20" s="36" t="s">
        <v>23</v>
      </c>
      <c r="H20" s="37" t="s">
        <v>24</v>
      </c>
      <c r="I20" s="37" t="s">
        <v>25</v>
      </c>
      <c r="J20" s="37" t="s">
        <v>26</v>
      </c>
      <c r="K20" s="37" t="s">
        <v>1637</v>
      </c>
      <c r="L20" s="36" t="s">
        <v>1638</v>
      </c>
      <c r="M20" s="36" t="s">
        <v>1639</v>
      </c>
    </row>
    <row r="21" spans="1:14" ht="22.9" customHeight="1">
      <c r="A21" s="39" t="s">
        <v>1640</v>
      </c>
      <c r="B21" s="40" t="s">
        <v>1641</v>
      </c>
      <c r="C21" s="39"/>
      <c r="D21" s="39"/>
      <c r="E21" s="39"/>
      <c r="F21" s="39"/>
      <c r="G21" s="39"/>
      <c r="H21" s="39"/>
      <c r="I21" s="39"/>
      <c r="J21" s="39"/>
      <c r="K21" s="39"/>
      <c r="L21" s="39"/>
      <c r="M21" s="39"/>
    </row>
    <row r="22" spans="1:14" ht="273.75">
      <c r="A22" s="42" t="s">
        <v>1642</v>
      </c>
      <c r="B22" s="43" t="s">
        <v>1643</v>
      </c>
      <c r="C22" s="44" t="s">
        <v>1644</v>
      </c>
      <c r="D22" s="45" t="s">
        <v>1645</v>
      </c>
      <c r="E22" s="76" t="s">
        <v>1646</v>
      </c>
      <c r="F22" s="47" t="s">
        <v>1647</v>
      </c>
      <c r="G22" s="48" t="s">
        <v>36</v>
      </c>
      <c r="H22" s="48" t="s">
        <v>11</v>
      </c>
      <c r="I22" s="47"/>
      <c r="J22" s="48" t="s">
        <v>4</v>
      </c>
      <c r="K22" s="48" t="s">
        <v>1630</v>
      </c>
      <c r="L22" s="48"/>
      <c r="M22" s="46"/>
      <c r="N22" s="46" t="s">
        <v>1648</v>
      </c>
    </row>
    <row r="23" spans="1:14" ht="395.25">
      <c r="A23" s="42" t="s">
        <v>1649</v>
      </c>
      <c r="B23" s="43" t="s">
        <v>1650</v>
      </c>
      <c r="C23" s="44" t="s">
        <v>1651</v>
      </c>
      <c r="D23" s="45" t="s">
        <v>1645</v>
      </c>
      <c r="E23" s="46" t="s">
        <v>1652</v>
      </c>
      <c r="F23" s="47" t="s">
        <v>1653</v>
      </c>
      <c r="G23" s="48" t="s">
        <v>36</v>
      </c>
      <c r="H23" s="48" t="s">
        <v>11</v>
      </c>
      <c r="I23" s="48"/>
      <c r="J23" s="48" t="s">
        <v>4</v>
      </c>
      <c r="K23" s="48" t="s">
        <v>1630</v>
      </c>
      <c r="L23" s="48"/>
      <c r="M23" s="46"/>
    </row>
    <row r="24" spans="1:14" ht="409.6">
      <c r="A24" s="42" t="s">
        <v>1654</v>
      </c>
      <c r="B24" s="43" t="s">
        <v>1655</v>
      </c>
      <c r="C24" s="44" t="s">
        <v>1656</v>
      </c>
      <c r="D24" s="45" t="s">
        <v>1645</v>
      </c>
      <c r="E24" s="46" t="s">
        <v>1657</v>
      </c>
      <c r="F24" s="47" t="s">
        <v>1658</v>
      </c>
      <c r="G24" s="48" t="s">
        <v>36</v>
      </c>
      <c r="H24" s="48" t="s">
        <v>11</v>
      </c>
      <c r="I24" s="48"/>
      <c r="J24" s="48" t="s">
        <v>4</v>
      </c>
      <c r="K24" s="48" t="s">
        <v>1630</v>
      </c>
      <c r="L24" s="48"/>
      <c r="M24" s="46"/>
    </row>
    <row r="25" spans="1:14" ht="409.6">
      <c r="A25" s="42" t="s">
        <v>1659</v>
      </c>
      <c r="B25" s="43" t="s">
        <v>1660</v>
      </c>
      <c r="C25" s="44" t="s">
        <v>1661</v>
      </c>
      <c r="D25" s="45" t="s">
        <v>1662</v>
      </c>
      <c r="E25" s="46" t="s">
        <v>1663</v>
      </c>
      <c r="F25" s="47" t="s">
        <v>1664</v>
      </c>
      <c r="G25" s="48" t="s">
        <v>36</v>
      </c>
      <c r="H25" s="48" t="s">
        <v>11</v>
      </c>
      <c r="I25" s="48"/>
      <c r="J25" s="48" t="s">
        <v>4</v>
      </c>
      <c r="K25" s="48" t="s">
        <v>1630</v>
      </c>
      <c r="L25" s="48"/>
      <c r="M25" s="46"/>
    </row>
    <row r="26" spans="1:14" ht="409.6">
      <c r="A26" s="42" t="s">
        <v>1665</v>
      </c>
      <c r="B26" s="43" t="s">
        <v>1666</v>
      </c>
      <c r="C26" s="44" t="s">
        <v>1667</v>
      </c>
      <c r="D26" s="45" t="s">
        <v>1662</v>
      </c>
      <c r="E26" s="46" t="s">
        <v>1668</v>
      </c>
      <c r="F26" s="47" t="s">
        <v>1669</v>
      </c>
      <c r="G26" s="48" t="s">
        <v>36</v>
      </c>
      <c r="H26" s="48" t="s">
        <v>11</v>
      </c>
      <c r="I26" s="48"/>
      <c r="J26" s="48" t="s">
        <v>4</v>
      </c>
      <c r="K26" s="48" t="s">
        <v>1630</v>
      </c>
      <c r="L26" s="48"/>
      <c r="M26" s="46"/>
    </row>
    <row r="27" spans="1:14" ht="319.5">
      <c r="A27" s="42" t="s">
        <v>1670</v>
      </c>
      <c r="B27" s="43" t="s">
        <v>1671</v>
      </c>
      <c r="C27" s="44" t="s">
        <v>1672</v>
      </c>
      <c r="D27" s="45" t="s">
        <v>1662</v>
      </c>
      <c r="E27" s="46"/>
      <c r="F27" s="47" t="s">
        <v>1673</v>
      </c>
      <c r="G27" s="48" t="s">
        <v>36</v>
      </c>
      <c r="H27" s="48" t="s">
        <v>11</v>
      </c>
      <c r="I27" s="48"/>
      <c r="J27" s="48" t="s">
        <v>4</v>
      </c>
      <c r="K27" s="48" t="s">
        <v>1630</v>
      </c>
      <c r="L27" s="48"/>
      <c r="M27" s="46"/>
    </row>
    <row r="28" spans="1:14" ht="319.5">
      <c r="A28" s="42" t="s">
        <v>1674</v>
      </c>
      <c r="B28" s="43" t="s">
        <v>1675</v>
      </c>
      <c r="C28" s="44" t="s">
        <v>1676</v>
      </c>
      <c r="D28" s="45" t="s">
        <v>1662</v>
      </c>
      <c r="E28" s="46"/>
      <c r="F28" s="47" t="s">
        <v>1677</v>
      </c>
      <c r="G28" s="48" t="s">
        <v>36</v>
      </c>
      <c r="H28" s="48" t="s">
        <v>11</v>
      </c>
      <c r="I28" s="48"/>
      <c r="J28" s="48" t="s">
        <v>4</v>
      </c>
      <c r="K28" s="48" t="s">
        <v>1630</v>
      </c>
      <c r="L28" s="48"/>
      <c r="M28" s="46"/>
    </row>
    <row r="29" spans="1:14" ht="319.5">
      <c r="A29" s="42" t="s">
        <v>1678</v>
      </c>
      <c r="B29" s="43" t="s">
        <v>1679</v>
      </c>
      <c r="C29" s="44" t="s">
        <v>1680</v>
      </c>
      <c r="D29" s="45" t="s">
        <v>1662</v>
      </c>
      <c r="E29" s="46"/>
      <c r="F29" s="47" t="s">
        <v>1681</v>
      </c>
      <c r="G29" s="48" t="s">
        <v>36</v>
      </c>
      <c r="H29" s="48" t="s">
        <v>11</v>
      </c>
      <c r="I29" s="48"/>
      <c r="J29" s="48" t="s">
        <v>4</v>
      </c>
      <c r="K29" s="48" t="s">
        <v>1630</v>
      </c>
      <c r="L29" s="48"/>
      <c r="M29" s="46"/>
    </row>
    <row r="30" spans="1:14" ht="319.5">
      <c r="A30" s="42" t="s">
        <v>1682</v>
      </c>
      <c r="B30" s="43" t="s">
        <v>1683</v>
      </c>
      <c r="C30" s="44" t="s">
        <v>1684</v>
      </c>
      <c r="D30" s="45" t="s">
        <v>1662</v>
      </c>
      <c r="E30" s="46"/>
      <c r="F30" s="47" t="s">
        <v>1685</v>
      </c>
      <c r="G30" s="48" t="s">
        <v>36</v>
      </c>
      <c r="H30" s="48" t="s">
        <v>11</v>
      </c>
      <c r="I30" s="48"/>
      <c r="J30" s="48" t="s">
        <v>4</v>
      </c>
      <c r="K30" s="48" t="s">
        <v>1630</v>
      </c>
      <c r="L30" s="48"/>
      <c r="M30" s="46"/>
    </row>
    <row r="31" spans="1:14" ht="304.5">
      <c r="A31" s="42" t="s">
        <v>1686</v>
      </c>
      <c r="B31" s="43" t="s">
        <v>1687</v>
      </c>
      <c r="C31" s="44" t="s">
        <v>1651</v>
      </c>
      <c r="D31" s="45" t="s">
        <v>1688</v>
      </c>
      <c r="E31" s="46"/>
      <c r="F31" s="47" t="s">
        <v>1653</v>
      </c>
      <c r="G31" s="48" t="s">
        <v>36</v>
      </c>
      <c r="H31" s="48" t="s">
        <v>11</v>
      </c>
      <c r="I31" s="48"/>
      <c r="J31" s="48" t="s">
        <v>4</v>
      </c>
      <c r="K31" s="48" t="s">
        <v>1630</v>
      </c>
      <c r="L31" s="48"/>
      <c r="M31" s="46"/>
    </row>
    <row r="32" spans="1:14" ht="304.5">
      <c r="A32" s="42" t="s">
        <v>1689</v>
      </c>
      <c r="B32" s="43" t="s">
        <v>1690</v>
      </c>
      <c r="C32" s="44" t="s">
        <v>1656</v>
      </c>
      <c r="D32" s="45" t="s">
        <v>1688</v>
      </c>
      <c r="E32" s="46" t="s">
        <v>1691</v>
      </c>
      <c r="F32" s="47" t="s">
        <v>1692</v>
      </c>
      <c r="G32" s="48" t="s">
        <v>36</v>
      </c>
      <c r="H32" s="48" t="s">
        <v>11</v>
      </c>
      <c r="I32" s="48"/>
      <c r="J32" s="48" t="s">
        <v>4</v>
      </c>
      <c r="K32" s="48" t="s">
        <v>1630</v>
      </c>
      <c r="L32" s="48"/>
      <c r="M32" s="46"/>
    </row>
    <row r="33" spans="1:13" ht="180" customHeight="1">
      <c r="A33" s="42" t="s">
        <v>1693</v>
      </c>
      <c r="B33" s="43" t="s">
        <v>1694</v>
      </c>
      <c r="C33" s="44" t="s">
        <v>1661</v>
      </c>
      <c r="D33" s="45" t="s">
        <v>1695</v>
      </c>
      <c r="E33" s="46"/>
      <c r="F33" s="47" t="s">
        <v>1696</v>
      </c>
      <c r="G33" s="48" t="s">
        <v>36</v>
      </c>
      <c r="H33" s="48" t="s">
        <v>11</v>
      </c>
      <c r="I33" s="48"/>
      <c r="J33" s="48" t="s">
        <v>4</v>
      </c>
      <c r="K33" s="48" t="s">
        <v>1630</v>
      </c>
      <c r="L33" s="48"/>
      <c r="M33" s="46"/>
    </row>
    <row r="34" spans="1:13" ht="204" customHeight="1">
      <c r="A34" s="42" t="s">
        <v>1697</v>
      </c>
      <c r="B34" s="43" t="s">
        <v>1698</v>
      </c>
      <c r="C34" s="44" t="s">
        <v>1667</v>
      </c>
      <c r="D34" s="45" t="s">
        <v>1695</v>
      </c>
      <c r="E34" s="46"/>
      <c r="F34" s="47" t="s">
        <v>1669</v>
      </c>
      <c r="G34" s="48" t="s">
        <v>36</v>
      </c>
      <c r="H34" s="48" t="s">
        <v>11</v>
      </c>
      <c r="I34" s="48"/>
      <c r="J34" s="48" t="s">
        <v>4</v>
      </c>
      <c r="K34" s="48" t="s">
        <v>1630</v>
      </c>
      <c r="L34" s="48"/>
      <c r="M34" s="46"/>
    </row>
    <row r="35" spans="1:13" ht="319.5">
      <c r="A35" s="42" t="s">
        <v>1699</v>
      </c>
      <c r="B35" s="43" t="s">
        <v>1700</v>
      </c>
      <c r="C35" s="44" t="s">
        <v>1672</v>
      </c>
      <c r="D35" s="45" t="s">
        <v>1695</v>
      </c>
      <c r="E35" s="46"/>
      <c r="F35" s="47" t="s">
        <v>1673</v>
      </c>
      <c r="G35" s="48" t="s">
        <v>36</v>
      </c>
      <c r="H35" s="48" t="s">
        <v>11</v>
      </c>
      <c r="I35" s="48"/>
      <c r="J35" s="48" t="s">
        <v>4</v>
      </c>
      <c r="K35" s="48" t="s">
        <v>1630</v>
      </c>
      <c r="L35" s="48"/>
      <c r="M35" s="46"/>
    </row>
    <row r="36" spans="1:13" ht="141" customHeight="1">
      <c r="A36" s="42" t="s">
        <v>1701</v>
      </c>
      <c r="B36" s="43" t="s">
        <v>1702</v>
      </c>
      <c r="C36" s="44" t="s">
        <v>1676</v>
      </c>
      <c r="D36" s="45" t="s">
        <v>1695</v>
      </c>
      <c r="E36" s="46"/>
      <c r="F36" s="47" t="s">
        <v>1677</v>
      </c>
      <c r="G36" s="48" t="s">
        <v>36</v>
      </c>
      <c r="H36" s="48" t="s">
        <v>11</v>
      </c>
      <c r="I36" s="48"/>
      <c r="J36" s="48" t="s">
        <v>4</v>
      </c>
      <c r="K36" s="48" t="s">
        <v>1630</v>
      </c>
      <c r="L36" s="48"/>
      <c r="M36" s="46"/>
    </row>
    <row r="37" spans="1:13" ht="319.5">
      <c r="A37" s="42" t="s">
        <v>1703</v>
      </c>
      <c r="B37" s="43" t="s">
        <v>1704</v>
      </c>
      <c r="C37" s="44" t="s">
        <v>1680</v>
      </c>
      <c r="D37" s="45" t="s">
        <v>1695</v>
      </c>
      <c r="E37" s="46"/>
      <c r="F37" s="47" t="s">
        <v>1681</v>
      </c>
      <c r="G37" s="48" t="s">
        <v>36</v>
      </c>
      <c r="H37" s="48" t="s">
        <v>11</v>
      </c>
      <c r="I37" s="48"/>
      <c r="J37" s="48" t="s">
        <v>4</v>
      </c>
      <c r="K37" s="48" t="s">
        <v>1630</v>
      </c>
      <c r="L37" s="48"/>
      <c r="M37" s="46"/>
    </row>
    <row r="38" spans="1:13" ht="195.75" customHeight="1">
      <c r="A38" s="42" t="s">
        <v>1705</v>
      </c>
      <c r="B38" s="43" t="s">
        <v>1706</v>
      </c>
      <c r="C38" s="44" t="s">
        <v>1684</v>
      </c>
      <c r="D38" s="45" t="s">
        <v>1688</v>
      </c>
      <c r="E38" s="46"/>
      <c r="F38" s="47" t="s">
        <v>1685</v>
      </c>
      <c r="G38" s="48" t="s">
        <v>36</v>
      </c>
      <c r="H38" s="48" t="s">
        <v>11</v>
      </c>
      <c r="I38" s="48"/>
      <c r="J38" s="48" t="s">
        <v>4</v>
      </c>
      <c r="K38" s="48" t="s">
        <v>1630</v>
      </c>
      <c r="L38" s="48"/>
      <c r="M38" s="46"/>
    </row>
    <row r="39" spans="1:13" ht="266.25" customHeight="1">
      <c r="A39" s="42" t="s">
        <v>1707</v>
      </c>
      <c r="B39" s="49" t="s">
        <v>1708</v>
      </c>
      <c r="C39" s="50"/>
      <c r="D39" s="45" t="s">
        <v>1709</v>
      </c>
      <c r="E39" s="46"/>
      <c r="F39" s="47" t="s">
        <v>1710</v>
      </c>
      <c r="G39" s="48" t="s">
        <v>36</v>
      </c>
      <c r="H39" s="48" t="s">
        <v>11</v>
      </c>
      <c r="I39" s="48"/>
      <c r="J39" s="48" t="s">
        <v>4</v>
      </c>
      <c r="K39" s="48" t="s">
        <v>1630</v>
      </c>
      <c r="L39" s="48"/>
      <c r="M39" s="46"/>
    </row>
    <row r="40" spans="1:13" ht="258.75">
      <c r="A40" s="42" t="s">
        <v>1711</v>
      </c>
      <c r="B40" s="49" t="s">
        <v>1712</v>
      </c>
      <c r="C40" s="50"/>
      <c r="D40" s="45" t="s">
        <v>1695</v>
      </c>
      <c r="E40" s="46"/>
      <c r="F40" s="47" t="s">
        <v>1713</v>
      </c>
      <c r="G40" s="48" t="s">
        <v>36</v>
      </c>
      <c r="H40" s="48" t="s">
        <v>11</v>
      </c>
      <c r="I40" s="48"/>
      <c r="J40" s="48" t="s">
        <v>4</v>
      </c>
      <c r="K40" s="48" t="s">
        <v>1630</v>
      </c>
      <c r="L40" s="48"/>
      <c r="M40" s="46"/>
    </row>
    <row r="41" spans="1:13" ht="255.75" customHeight="1">
      <c r="A41" s="42" t="s">
        <v>1714</v>
      </c>
      <c r="B41" s="49" t="s">
        <v>1715</v>
      </c>
      <c r="C41" s="50"/>
      <c r="D41" s="45" t="s">
        <v>1716</v>
      </c>
      <c r="E41" s="46"/>
      <c r="F41" s="47" t="s">
        <v>1713</v>
      </c>
      <c r="G41" s="48" t="s">
        <v>36</v>
      </c>
      <c r="H41" s="48" t="s">
        <v>11</v>
      </c>
      <c r="I41" s="48"/>
      <c r="J41" s="48" t="s">
        <v>4</v>
      </c>
      <c r="K41" s="48" t="s">
        <v>1630</v>
      </c>
      <c r="L41" s="48"/>
      <c r="M41" s="46"/>
    </row>
    <row r="42" spans="1:13" ht="273.75">
      <c r="A42" s="42" t="s">
        <v>1717</v>
      </c>
      <c r="B42" s="49" t="s">
        <v>1718</v>
      </c>
      <c r="C42" s="50" t="s">
        <v>1719</v>
      </c>
      <c r="D42" s="45" t="s">
        <v>1720</v>
      </c>
      <c r="E42" s="46"/>
      <c r="F42" s="47" t="s">
        <v>1721</v>
      </c>
      <c r="G42" s="48" t="s">
        <v>36</v>
      </c>
      <c r="H42" s="48" t="s">
        <v>11</v>
      </c>
      <c r="I42" s="48"/>
      <c r="J42" s="48" t="s">
        <v>4</v>
      </c>
      <c r="K42" s="48" t="s">
        <v>1630</v>
      </c>
      <c r="L42" s="48"/>
      <c r="M42" s="46"/>
    </row>
    <row r="43" spans="1:13" ht="273.75">
      <c r="A43" s="42" t="s">
        <v>1722</v>
      </c>
      <c r="B43" s="49" t="s">
        <v>1723</v>
      </c>
      <c r="C43" s="50" t="s">
        <v>1724</v>
      </c>
      <c r="D43" s="45" t="s">
        <v>1725</v>
      </c>
      <c r="E43" s="46"/>
      <c r="F43" s="47" t="s">
        <v>1726</v>
      </c>
      <c r="G43" s="48" t="s">
        <v>36</v>
      </c>
      <c r="H43" s="48" t="s">
        <v>11</v>
      </c>
      <c r="I43" s="48"/>
      <c r="J43" s="48" t="s">
        <v>4</v>
      </c>
      <c r="K43" s="48" t="s">
        <v>4</v>
      </c>
      <c r="M43" s="46"/>
    </row>
    <row r="44" spans="1:13" ht="260.25" customHeight="1">
      <c r="A44" s="42" t="s">
        <v>1727</v>
      </c>
      <c r="B44" s="49" t="s">
        <v>1728</v>
      </c>
      <c r="C44" s="50" t="s">
        <v>1729</v>
      </c>
      <c r="D44" s="45" t="s">
        <v>1730</v>
      </c>
      <c r="E44" s="46"/>
      <c r="F44" s="47" t="s">
        <v>1731</v>
      </c>
      <c r="G44" s="48" t="s">
        <v>36</v>
      </c>
      <c r="H44" s="48" t="s">
        <v>11</v>
      </c>
      <c r="I44" s="48"/>
      <c r="J44" s="48" t="s">
        <v>4</v>
      </c>
      <c r="K44" s="48" t="s">
        <v>1630</v>
      </c>
      <c r="M44" s="46"/>
    </row>
    <row r="45" spans="1:13" ht="183" customHeight="1">
      <c r="A45" s="42" t="s">
        <v>1732</v>
      </c>
      <c r="B45" s="49" t="s">
        <v>1733</v>
      </c>
      <c r="C45" s="50" t="s">
        <v>1734</v>
      </c>
      <c r="D45" s="45" t="s">
        <v>1735</v>
      </c>
      <c r="E45" s="46"/>
      <c r="F45" s="47" t="s">
        <v>1736</v>
      </c>
      <c r="G45" s="48" t="s">
        <v>36</v>
      </c>
      <c r="H45" s="48" t="s">
        <v>11</v>
      </c>
      <c r="I45" s="48"/>
      <c r="J45" s="48" t="s">
        <v>4</v>
      </c>
      <c r="K45" s="48" t="s">
        <v>1630</v>
      </c>
      <c r="L45" s="48"/>
      <c r="M45" s="46"/>
    </row>
    <row r="46" spans="1:13" ht="15.75"/>
    <row r="47" spans="1:13" ht="15.75"/>
  </sheetData>
  <autoFilter ref="A20:N20" xr:uid="{C5134743-AE04-49ED-B1A4-B19F1F3BEE35}"/>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C7BB5-37C0-4450-8EDC-F2A018DAE6C6}">
  <sheetPr filterMode="1">
    <tabColor theme="9" tint="0.39997558519241921"/>
    <outlinePr summaryBelow="0" summaryRight="0"/>
  </sheetPr>
  <dimension ref="A1:XFD37"/>
  <sheetViews>
    <sheetView tabSelected="1" topLeftCell="C24" workbookViewId="0">
      <selection activeCell="F27" sqref="F27"/>
    </sheetView>
  </sheetViews>
  <sheetFormatPr defaultColWidth="9" defaultRowHeight="15.4"/>
  <cols>
    <col min="1" max="1" width="27.140625" style="41" customWidth="1"/>
    <col min="2" max="2" width="38" style="41" customWidth="1"/>
    <col min="3" max="3" width="32" style="41" customWidth="1"/>
    <col min="4" max="4" width="50" style="41" customWidth="1"/>
    <col min="5" max="5" width="48" style="41" customWidth="1"/>
    <col min="6" max="6" width="50" style="41" customWidth="1"/>
    <col min="7" max="7" width="12" style="41" customWidth="1"/>
    <col min="8" max="8" width="10" customWidth="1"/>
    <col min="9" max="9" width="14" style="41" customWidth="1"/>
    <col min="10" max="11" width="14" customWidth="1"/>
    <col min="12" max="12" width="12" style="41" customWidth="1"/>
    <col min="13" max="13" width="25" style="41" customWidth="1"/>
    <col min="14" max="14" width="9" style="41" customWidth="1"/>
    <col min="15" max="16384" width="9" style="41"/>
  </cols>
  <sheetData>
    <row r="1" spans="1:16384" s="19" customFormat="1" ht="31.15" customHeight="1">
      <c r="A1" s="13" t="s">
        <v>1625</v>
      </c>
      <c r="B1" s="13" t="str">
        <f>[1]Cover!E11</f>
        <v>DỰ ÁN TRIỂN KHAI BẢN QUYỀN PHẦN MỀM HỆ THỐNG AML MỚI</v>
      </c>
      <c r="C1" s="14"/>
      <c r="D1" s="14"/>
      <c r="E1" s="15"/>
      <c r="F1" s="16"/>
      <c r="G1" s="17"/>
      <c r="H1" s="18"/>
      <c r="I1" s="18"/>
      <c r="J1" s="18"/>
      <c r="K1" s="18"/>
      <c r="L1" s="18"/>
      <c r="M1" s="7"/>
    </row>
    <row r="2" spans="1:16384" s="19" customFormat="1">
      <c r="A2" s="13" t="s">
        <v>1626</v>
      </c>
      <c r="B2" s="13" t="s">
        <v>1627</v>
      </c>
      <c r="C2" s="14"/>
      <c r="D2" s="14"/>
      <c r="E2" s="15"/>
      <c r="F2" s="16"/>
      <c r="G2" s="17"/>
      <c r="H2" s="18"/>
      <c r="I2" s="18"/>
      <c r="J2" s="18"/>
      <c r="K2" s="18"/>
      <c r="L2" s="18"/>
      <c r="M2" s="7"/>
    </row>
    <row r="3" spans="1:16384" s="24" customFormat="1">
      <c r="A3" s="20"/>
      <c r="B3" s="21"/>
      <c r="C3" s="21"/>
      <c r="D3" s="21"/>
      <c r="E3" s="15"/>
      <c r="F3" s="16"/>
      <c r="G3" s="17"/>
      <c r="H3" s="18"/>
      <c r="I3" s="22"/>
      <c r="J3" s="22"/>
      <c r="K3" s="22"/>
      <c r="L3" s="22"/>
      <c r="M3" s="23"/>
    </row>
    <row r="4" spans="1:16384" s="27" customFormat="1">
      <c r="A4" s="25"/>
      <c r="B4" s="26" t="s">
        <v>11</v>
      </c>
      <c r="C4" s="26" t="s">
        <v>12</v>
      </c>
      <c r="D4" s="26" t="s">
        <v>13</v>
      </c>
      <c r="E4" s="26" t="s">
        <v>1629</v>
      </c>
      <c r="G4" s="28"/>
      <c r="I4" s="29"/>
      <c r="J4" s="29"/>
      <c r="K4" s="29"/>
    </row>
    <row r="5" spans="1:16384" s="27" customFormat="1">
      <c r="A5" s="30"/>
      <c r="B5" s="31">
        <f>SUM(B6:B10)</f>
        <v>18</v>
      </c>
      <c r="C5" s="31">
        <f>SUM(C6:C10)</f>
        <v>0</v>
      </c>
      <c r="D5" s="31">
        <f>SUM(D6:D10)</f>
        <v>0</v>
      </c>
      <c r="E5" s="31">
        <f t="shared" ref="E5:E10" si="0">SUM(B5:D5)</f>
        <v>18</v>
      </c>
      <c r="G5" s="28"/>
      <c r="I5" s="29"/>
      <c r="J5" s="29"/>
      <c r="K5" s="29"/>
    </row>
    <row r="6" spans="1:16384" s="34" customFormat="1" ht="15.75">
      <c r="A6" s="32" t="s">
        <v>0</v>
      </c>
      <c r="B6" s="33">
        <f>COUNTIFS($J:$J, $A$6,$H:$H,B$4)</f>
        <v>18</v>
      </c>
      <c r="C6" s="33">
        <f>COUNTIFS($J:$J, $A$6,$H:$H,C$4)</f>
        <v>0</v>
      </c>
      <c r="D6" s="33">
        <f>COUNTIFS($J:$J, $A$6,$H:$H,D$4)</f>
        <v>0</v>
      </c>
      <c r="E6" s="33">
        <f t="shared" si="0"/>
        <v>18</v>
      </c>
      <c r="G6" s="35"/>
      <c r="I6" s="22"/>
      <c r="J6" s="22"/>
      <c r="K6" s="22"/>
    </row>
    <row r="7" spans="1:16384" s="34" customFormat="1" ht="15.75">
      <c r="A7" s="32" t="s">
        <v>1</v>
      </c>
      <c r="B7" s="33">
        <f>COUNTIFS($J:$J, $A$7,$H:$H,B$4)</f>
        <v>0</v>
      </c>
      <c r="C7" s="33">
        <f>COUNTIFS($J:$J, $A$7,$H:$H,C$4)</f>
        <v>0</v>
      </c>
      <c r="D7" s="33">
        <f>COUNTIFS($J:$J, $A$7,$H:$H,D$4)</f>
        <v>0</v>
      </c>
      <c r="E7" s="33">
        <f t="shared" si="0"/>
        <v>0</v>
      </c>
      <c r="G7" s="35"/>
      <c r="I7" s="22"/>
      <c r="J7" s="22"/>
      <c r="K7" s="22"/>
    </row>
    <row r="8" spans="1:16384" s="34" customFormat="1">
      <c r="A8" s="32" t="s">
        <v>4</v>
      </c>
      <c r="B8" s="33">
        <f>COUNTIFS($J:$J, $A$8,$H:$H,B$4)</f>
        <v>0</v>
      </c>
      <c r="C8" s="33">
        <f>COUNTIFS($J:$J, $A$8,$H:$H,C$4)</f>
        <v>0</v>
      </c>
      <c r="D8" s="33">
        <f>COUNTIFS($J:$J, $A$8,$H:$H,D$4)</f>
        <v>0</v>
      </c>
      <c r="E8" s="33">
        <f t="shared" si="0"/>
        <v>0</v>
      </c>
      <c r="G8" s="35"/>
      <c r="I8" s="22"/>
      <c r="J8" s="22"/>
      <c r="K8" s="22"/>
    </row>
    <row r="9" spans="1:16384" s="34" customFormat="1">
      <c r="A9" s="32" t="s">
        <v>1632</v>
      </c>
      <c r="B9" s="33">
        <f>COUNTIFS($J:$J, $A$9,$H:$H,B$4)</f>
        <v>0</v>
      </c>
      <c r="C9" s="33">
        <f>COUNTIFS($J:$J, $A$9,$H:$H,C$4)</f>
        <v>0</v>
      </c>
      <c r="D9" s="33">
        <f>COUNTIFS($J:$J, $A$9,$H:$H,D$4)</f>
        <v>0</v>
      </c>
      <c r="E9" s="33">
        <f t="shared" si="0"/>
        <v>0</v>
      </c>
      <c r="G9" s="35"/>
      <c r="I9" s="22"/>
      <c r="J9" s="22"/>
      <c r="K9" s="22"/>
    </row>
    <row r="10" spans="1:16384" s="34" customFormat="1">
      <c r="A10" s="32" t="s">
        <v>1633</v>
      </c>
      <c r="B10" s="33">
        <f>COUNTIFS($J:$J, $A$10,H:H,B$4)</f>
        <v>0</v>
      </c>
      <c r="C10" s="33">
        <f>COUNTIFS($J:$J, $A$10,I:I,C$4)</f>
        <v>0</v>
      </c>
      <c r="D10" s="33">
        <f>COUNTIFS($J:$J, $A$10,J:J,D$4)</f>
        <v>0</v>
      </c>
      <c r="E10" s="33">
        <f t="shared" si="0"/>
        <v>0</v>
      </c>
      <c r="G10" s="35"/>
      <c r="I10" s="22"/>
      <c r="J10" s="22"/>
      <c r="K10" s="22"/>
    </row>
    <row r="12" spans="1:16384" s="38" customFormat="1" ht="28.9" customHeight="1">
      <c r="A12" s="36" t="s">
        <v>1636</v>
      </c>
      <c r="B12" s="36" t="s">
        <v>18</v>
      </c>
      <c r="C12" s="36" t="s">
        <v>19</v>
      </c>
      <c r="D12" s="36" t="s">
        <v>20</v>
      </c>
      <c r="E12" s="36" t="s">
        <v>21</v>
      </c>
      <c r="F12" s="36" t="s">
        <v>22</v>
      </c>
      <c r="G12" s="36" t="s">
        <v>23</v>
      </c>
      <c r="H12" s="37" t="s">
        <v>24</v>
      </c>
      <c r="I12" s="37" t="s">
        <v>25</v>
      </c>
      <c r="J12" s="37" t="s">
        <v>26</v>
      </c>
      <c r="K12" s="37" t="s">
        <v>1637</v>
      </c>
      <c r="L12" s="36" t="s">
        <v>1638</v>
      </c>
      <c r="M12" s="36" t="s">
        <v>1639</v>
      </c>
    </row>
    <row r="13" spans="1:16384" s="58" customFormat="1" ht="28.9" hidden="1" customHeight="1">
      <c r="A13" s="51" t="s">
        <v>1737</v>
      </c>
      <c r="B13" s="52" t="s">
        <v>1738</v>
      </c>
      <c r="C13" s="53"/>
      <c r="D13" s="53"/>
      <c r="E13" s="53"/>
      <c r="F13" s="53"/>
      <c r="G13" s="53"/>
      <c r="H13" s="53"/>
      <c r="I13" s="53"/>
      <c r="J13" s="53"/>
      <c r="K13" s="53"/>
      <c r="L13" s="53"/>
      <c r="M13" s="53"/>
      <c r="N13" s="54"/>
      <c r="O13" s="54"/>
      <c r="P13" s="54"/>
      <c r="Q13" s="55"/>
      <c r="R13" s="56"/>
      <c r="S13" s="57"/>
      <c r="T13" s="57"/>
      <c r="U13" s="57"/>
      <c r="V13" s="57"/>
      <c r="W13" s="57"/>
      <c r="X13" s="57"/>
      <c r="Y13" s="57"/>
      <c r="Z13" s="57"/>
      <c r="AA13" s="57"/>
      <c r="AB13" s="57"/>
      <c r="AC13" s="57"/>
      <c r="AD13" s="54"/>
      <c r="AE13" s="54"/>
      <c r="AF13" s="54"/>
      <c r="AG13" s="55"/>
      <c r="AH13" s="56"/>
      <c r="AI13" s="57"/>
      <c r="AJ13" s="57"/>
      <c r="AK13" s="57"/>
      <c r="AL13" s="57"/>
      <c r="AM13" s="57"/>
      <c r="AN13" s="57"/>
      <c r="AO13" s="57"/>
      <c r="AP13" s="57"/>
      <c r="AQ13" s="57"/>
      <c r="AR13" s="57"/>
      <c r="AS13" s="57"/>
      <c r="AT13" s="54"/>
      <c r="AU13" s="54"/>
      <c r="AV13" s="54"/>
      <c r="AW13" s="55"/>
      <c r="AX13" s="56"/>
      <c r="AY13" s="57"/>
      <c r="AZ13" s="57"/>
      <c r="BA13" s="57"/>
      <c r="BB13" s="57"/>
      <c r="BC13" s="57"/>
      <c r="BD13" s="57"/>
      <c r="BE13" s="57"/>
      <c r="BF13" s="57"/>
      <c r="BG13" s="57"/>
      <c r="BH13" s="57"/>
      <c r="BI13" s="57"/>
      <c r="BJ13" s="54"/>
      <c r="BK13" s="54"/>
      <c r="BL13" s="54"/>
      <c r="BM13" s="55"/>
      <c r="BN13" s="56"/>
      <c r="BO13" s="57"/>
      <c r="BP13" s="57"/>
      <c r="BQ13" s="57"/>
      <c r="BR13" s="57"/>
      <c r="BS13" s="57"/>
      <c r="BT13" s="57"/>
      <c r="BU13" s="57"/>
      <c r="BV13" s="57"/>
      <c r="BW13" s="57"/>
      <c r="BX13" s="57"/>
      <c r="BY13" s="57"/>
      <c r="BZ13" s="54"/>
      <c r="CA13" s="54"/>
      <c r="CB13" s="54"/>
      <c r="CC13" s="55"/>
      <c r="CD13" s="56"/>
      <c r="CE13" s="57"/>
      <c r="CF13" s="57"/>
      <c r="CG13" s="57"/>
      <c r="CH13" s="57"/>
      <c r="CI13" s="57"/>
      <c r="CJ13" s="57"/>
      <c r="CK13" s="57"/>
      <c r="CL13" s="57"/>
      <c r="CM13" s="57"/>
      <c r="CN13" s="57"/>
      <c r="CO13" s="57"/>
      <c r="CP13" s="54"/>
      <c r="CQ13" s="54"/>
      <c r="CR13" s="54"/>
      <c r="CS13" s="55"/>
      <c r="CT13" s="56"/>
      <c r="CU13" s="57"/>
      <c r="CV13" s="57"/>
      <c r="CW13" s="57"/>
      <c r="CX13" s="57"/>
      <c r="CY13" s="57"/>
      <c r="CZ13" s="57"/>
      <c r="DA13" s="57"/>
      <c r="DB13" s="57"/>
      <c r="DC13" s="57"/>
      <c r="DD13" s="57"/>
      <c r="DE13" s="57"/>
      <c r="DF13" s="54"/>
      <c r="DG13" s="54"/>
      <c r="DH13" s="54"/>
      <c r="DI13" s="55"/>
      <c r="DJ13" s="56"/>
      <c r="DK13" s="57"/>
      <c r="DL13" s="57"/>
      <c r="DM13" s="57"/>
      <c r="DN13" s="57"/>
      <c r="DO13" s="57"/>
      <c r="DP13" s="57"/>
      <c r="DQ13" s="57"/>
      <c r="DR13" s="57"/>
      <c r="DS13" s="57"/>
      <c r="DT13" s="57"/>
      <c r="DU13" s="57"/>
      <c r="DV13" s="54"/>
      <c r="DW13" s="54"/>
      <c r="DX13" s="54"/>
      <c r="DY13" s="55"/>
      <c r="DZ13" s="56"/>
      <c r="EA13" s="57"/>
      <c r="EB13" s="57"/>
      <c r="EC13" s="57"/>
      <c r="ED13" s="57"/>
      <c r="EE13" s="57"/>
      <c r="EF13" s="57"/>
      <c r="EG13" s="57"/>
      <c r="EH13" s="57"/>
      <c r="EI13" s="57"/>
      <c r="EJ13" s="57"/>
      <c r="EK13" s="57"/>
      <c r="EL13" s="54"/>
      <c r="EM13" s="54"/>
      <c r="EN13" s="54"/>
      <c r="EO13" s="55"/>
      <c r="EP13" s="56"/>
      <c r="EQ13" s="57"/>
      <c r="ER13" s="57"/>
      <c r="ES13" s="57"/>
      <c r="ET13" s="57"/>
      <c r="EU13" s="57"/>
      <c r="EV13" s="57"/>
      <c r="EW13" s="57"/>
      <c r="EX13" s="57"/>
      <c r="EY13" s="57"/>
      <c r="EZ13" s="57"/>
      <c r="FA13" s="57"/>
      <c r="FB13" s="54"/>
      <c r="FC13" s="54"/>
      <c r="FD13" s="54"/>
      <c r="FE13" s="55"/>
      <c r="FF13" s="56"/>
      <c r="FG13" s="57"/>
      <c r="FH13" s="57"/>
      <c r="FI13" s="57"/>
      <c r="FJ13" s="57"/>
      <c r="FK13" s="57"/>
      <c r="FL13" s="57"/>
      <c r="FM13" s="57"/>
      <c r="FN13" s="57"/>
      <c r="FO13" s="57"/>
      <c r="FP13" s="57"/>
      <c r="FQ13" s="57"/>
      <c r="FR13" s="54"/>
      <c r="FS13" s="54"/>
      <c r="FT13" s="54"/>
      <c r="FU13" s="55"/>
      <c r="FV13" s="56"/>
      <c r="FW13" s="57"/>
      <c r="FX13" s="57"/>
      <c r="FY13" s="57"/>
      <c r="FZ13" s="57"/>
      <c r="GA13" s="57"/>
      <c r="GB13" s="57"/>
      <c r="GC13" s="57"/>
      <c r="GD13" s="57"/>
      <c r="GE13" s="57"/>
      <c r="GF13" s="57"/>
      <c r="GG13" s="57"/>
      <c r="GH13" s="54"/>
      <c r="GI13" s="54"/>
      <c r="GJ13" s="54"/>
      <c r="GK13" s="55"/>
      <c r="GL13" s="56"/>
      <c r="GM13" s="57"/>
      <c r="GN13" s="57"/>
      <c r="GO13" s="57"/>
      <c r="GP13" s="57"/>
      <c r="GQ13" s="57"/>
      <c r="GR13" s="57"/>
      <c r="GS13" s="57"/>
      <c r="GT13" s="57"/>
      <c r="GU13" s="57"/>
      <c r="GV13" s="57"/>
      <c r="GW13" s="57"/>
      <c r="GX13" s="54"/>
      <c r="GY13" s="54"/>
      <c r="GZ13" s="54"/>
      <c r="HA13" s="55"/>
      <c r="HB13" s="56"/>
      <c r="HC13" s="57"/>
      <c r="HD13" s="57"/>
      <c r="HE13" s="57"/>
      <c r="HF13" s="57"/>
      <c r="HG13" s="57"/>
      <c r="HH13" s="57"/>
      <c r="HI13" s="57"/>
      <c r="HJ13" s="57"/>
      <c r="HK13" s="57"/>
      <c r="HL13" s="57"/>
      <c r="HM13" s="57"/>
      <c r="HN13" s="54"/>
      <c r="HO13" s="54"/>
      <c r="HP13" s="54"/>
      <c r="HQ13" s="55"/>
      <c r="HR13" s="56"/>
      <c r="HS13" s="57"/>
      <c r="HT13" s="57"/>
      <c r="HU13" s="57"/>
      <c r="HV13" s="57"/>
      <c r="HW13" s="57"/>
      <c r="HX13" s="57"/>
      <c r="HY13" s="57"/>
      <c r="HZ13" s="57"/>
      <c r="IA13" s="57"/>
      <c r="IB13" s="57"/>
      <c r="IC13" s="57"/>
      <c r="ID13" s="54"/>
      <c r="IE13" s="54"/>
      <c r="IF13" s="54"/>
      <c r="IG13" s="55"/>
      <c r="IH13" s="56"/>
      <c r="II13" s="57"/>
      <c r="IJ13" s="57"/>
      <c r="IK13" s="57"/>
      <c r="IL13" s="57"/>
      <c r="IM13" s="57"/>
      <c r="IN13" s="57"/>
      <c r="IO13" s="57"/>
      <c r="IP13" s="57"/>
      <c r="IQ13" s="57"/>
      <c r="IR13" s="57"/>
      <c r="IS13" s="57"/>
      <c r="IT13" s="54"/>
      <c r="IU13" s="54"/>
      <c r="IV13" s="54"/>
      <c r="IW13" s="55"/>
      <c r="IX13" s="56"/>
      <c r="IY13" s="57"/>
      <c r="IZ13" s="57"/>
      <c r="JA13" s="57"/>
      <c r="JB13" s="57"/>
      <c r="JC13" s="57"/>
      <c r="JD13" s="57"/>
      <c r="JE13" s="57"/>
      <c r="JF13" s="57"/>
      <c r="JG13" s="57"/>
      <c r="JH13" s="57"/>
      <c r="JI13" s="57"/>
      <c r="JJ13" s="54"/>
      <c r="JK13" s="54"/>
      <c r="JL13" s="54"/>
      <c r="JM13" s="55"/>
      <c r="JN13" s="56"/>
      <c r="JO13" s="57"/>
      <c r="JP13" s="57"/>
      <c r="JQ13" s="57"/>
      <c r="JR13" s="57"/>
      <c r="JS13" s="57"/>
      <c r="JT13" s="57"/>
      <c r="JU13" s="57"/>
      <c r="JV13" s="57"/>
      <c r="JW13" s="57"/>
      <c r="JX13" s="57"/>
      <c r="JY13" s="57"/>
      <c r="JZ13" s="54"/>
      <c r="KA13" s="54"/>
      <c r="KB13" s="54"/>
      <c r="KC13" s="55"/>
      <c r="KD13" s="56"/>
      <c r="KE13" s="57"/>
      <c r="KF13" s="57"/>
      <c r="KG13" s="57"/>
      <c r="KH13" s="57"/>
      <c r="KI13" s="57"/>
      <c r="KJ13" s="57"/>
      <c r="KK13" s="57"/>
      <c r="KL13" s="57"/>
      <c r="KM13" s="57"/>
      <c r="KN13" s="57"/>
      <c r="KO13" s="57"/>
      <c r="KP13" s="54"/>
      <c r="KQ13" s="54"/>
      <c r="KR13" s="54"/>
      <c r="KS13" s="55"/>
      <c r="KT13" s="56"/>
      <c r="KU13" s="57"/>
      <c r="KV13" s="57"/>
      <c r="KW13" s="57"/>
      <c r="KX13" s="57"/>
      <c r="KY13" s="57"/>
      <c r="KZ13" s="57"/>
      <c r="LA13" s="57"/>
      <c r="LB13" s="57"/>
      <c r="LC13" s="57"/>
      <c r="LD13" s="57"/>
      <c r="LE13" s="57"/>
      <c r="LF13" s="54"/>
      <c r="LG13" s="54"/>
      <c r="LH13" s="54"/>
      <c r="LI13" s="55"/>
      <c r="LJ13" s="56"/>
      <c r="LK13" s="57"/>
      <c r="LL13" s="57"/>
      <c r="LM13" s="57"/>
      <c r="LN13" s="57"/>
      <c r="LO13" s="57"/>
      <c r="LP13" s="57"/>
      <c r="LQ13" s="57"/>
      <c r="LR13" s="57"/>
      <c r="LS13" s="57"/>
      <c r="LT13" s="57"/>
      <c r="LU13" s="57"/>
      <c r="LV13" s="54"/>
      <c r="LW13" s="54"/>
      <c r="LX13" s="54"/>
      <c r="LY13" s="55"/>
      <c r="LZ13" s="56"/>
      <c r="MA13" s="57"/>
      <c r="MB13" s="57"/>
      <c r="MC13" s="57"/>
      <c r="MD13" s="57"/>
      <c r="ME13" s="57"/>
      <c r="MF13" s="57"/>
      <c r="MG13" s="57"/>
      <c r="MH13" s="57"/>
      <c r="MI13" s="57"/>
      <c r="MJ13" s="57"/>
      <c r="MK13" s="57"/>
      <c r="ML13" s="54"/>
      <c r="MM13" s="54"/>
      <c r="MN13" s="54"/>
      <c r="MO13" s="55"/>
      <c r="MP13" s="56"/>
      <c r="MQ13" s="57"/>
      <c r="MR13" s="57"/>
      <c r="MS13" s="57"/>
      <c r="MT13" s="57"/>
      <c r="MU13" s="57"/>
      <c r="MV13" s="57"/>
      <c r="MW13" s="57"/>
      <c r="MX13" s="57"/>
      <c r="MY13" s="57"/>
      <c r="MZ13" s="57"/>
      <c r="NA13" s="57"/>
      <c r="NB13" s="54"/>
      <c r="NC13" s="54"/>
      <c r="ND13" s="54"/>
      <c r="NE13" s="55"/>
      <c r="NF13" s="56"/>
      <c r="NG13" s="57"/>
      <c r="NH13" s="57"/>
      <c r="NI13" s="57"/>
      <c r="NJ13" s="57"/>
      <c r="NK13" s="57"/>
      <c r="NL13" s="57"/>
      <c r="NM13" s="57"/>
      <c r="NN13" s="57"/>
      <c r="NO13" s="57"/>
      <c r="NP13" s="57"/>
      <c r="NQ13" s="57"/>
      <c r="NR13" s="54"/>
      <c r="NS13" s="54"/>
      <c r="NT13" s="54"/>
      <c r="NU13" s="55"/>
      <c r="NV13" s="56"/>
      <c r="NW13" s="57"/>
      <c r="NX13" s="57"/>
      <c r="NY13" s="57"/>
      <c r="NZ13" s="57"/>
      <c r="OA13" s="57"/>
      <c r="OB13" s="57"/>
      <c r="OC13" s="57"/>
      <c r="OD13" s="57"/>
      <c r="OE13" s="57"/>
      <c r="OF13" s="57"/>
      <c r="OG13" s="57"/>
      <c r="OH13" s="54"/>
      <c r="OI13" s="54"/>
      <c r="OJ13" s="54"/>
      <c r="OK13" s="55"/>
      <c r="OL13" s="56"/>
      <c r="OM13" s="57"/>
      <c r="ON13" s="57"/>
      <c r="OO13" s="57"/>
      <c r="OP13" s="57"/>
      <c r="OQ13" s="57"/>
      <c r="OR13" s="57"/>
      <c r="OS13" s="57"/>
      <c r="OT13" s="57"/>
      <c r="OU13" s="57"/>
      <c r="OV13" s="57"/>
      <c r="OW13" s="57"/>
      <c r="OX13" s="54"/>
      <c r="OY13" s="54"/>
      <c r="OZ13" s="54"/>
      <c r="PA13" s="55"/>
      <c r="PB13" s="56"/>
      <c r="PC13" s="57"/>
      <c r="PD13" s="57"/>
      <c r="PE13" s="57"/>
      <c r="PF13" s="57"/>
      <c r="PG13" s="57"/>
      <c r="PH13" s="57"/>
      <c r="PI13" s="57"/>
      <c r="PJ13" s="57"/>
      <c r="PK13" s="57"/>
      <c r="PL13" s="57"/>
      <c r="PM13" s="57"/>
      <c r="PN13" s="54"/>
      <c r="PO13" s="54"/>
      <c r="PP13" s="54"/>
      <c r="PQ13" s="55"/>
      <c r="PR13" s="56"/>
      <c r="PS13" s="57"/>
      <c r="PT13" s="57"/>
      <c r="PU13" s="57"/>
      <c r="PV13" s="57"/>
      <c r="PW13" s="57"/>
      <c r="PX13" s="57"/>
      <c r="PY13" s="57"/>
      <c r="PZ13" s="57"/>
      <c r="QA13" s="57"/>
      <c r="QB13" s="57"/>
      <c r="QC13" s="57"/>
      <c r="QD13" s="54"/>
      <c r="QE13" s="54"/>
      <c r="QF13" s="54"/>
      <c r="QG13" s="55"/>
      <c r="QH13" s="56"/>
      <c r="QI13" s="57"/>
      <c r="QJ13" s="57"/>
      <c r="QK13" s="57"/>
      <c r="QL13" s="57"/>
      <c r="QM13" s="57"/>
      <c r="QN13" s="57"/>
      <c r="QO13" s="57"/>
      <c r="QP13" s="57"/>
      <c r="QQ13" s="57"/>
      <c r="QR13" s="57"/>
      <c r="QS13" s="57"/>
      <c r="QT13" s="54"/>
      <c r="QU13" s="54"/>
      <c r="QV13" s="54"/>
      <c r="QW13" s="55"/>
      <c r="QX13" s="56"/>
      <c r="QY13" s="57"/>
      <c r="QZ13" s="57"/>
      <c r="RA13" s="57"/>
      <c r="RB13" s="57"/>
      <c r="RC13" s="57"/>
      <c r="RD13" s="57"/>
      <c r="RE13" s="57"/>
      <c r="RF13" s="57"/>
      <c r="RG13" s="57"/>
      <c r="RH13" s="57"/>
      <c r="RI13" s="57"/>
      <c r="RJ13" s="54"/>
      <c r="RK13" s="54"/>
      <c r="RL13" s="54"/>
      <c r="RM13" s="55"/>
      <c r="RN13" s="56"/>
      <c r="RO13" s="57"/>
      <c r="RP13" s="57"/>
      <c r="RQ13" s="57"/>
      <c r="RR13" s="57"/>
      <c r="RS13" s="57"/>
      <c r="RT13" s="57"/>
      <c r="RU13" s="57"/>
      <c r="RV13" s="57"/>
      <c r="RW13" s="57"/>
      <c r="RX13" s="57"/>
      <c r="RY13" s="57"/>
      <c r="RZ13" s="54"/>
      <c r="SA13" s="54"/>
      <c r="SB13" s="54"/>
      <c r="SC13" s="55"/>
      <c r="SD13" s="56"/>
      <c r="SE13" s="57"/>
      <c r="SF13" s="57"/>
      <c r="SG13" s="57"/>
      <c r="SH13" s="57"/>
      <c r="SI13" s="57"/>
      <c r="SJ13" s="57"/>
      <c r="SK13" s="57"/>
      <c r="SL13" s="57"/>
      <c r="SM13" s="57"/>
      <c r="SN13" s="57"/>
      <c r="SO13" s="57"/>
      <c r="SP13" s="54"/>
      <c r="SQ13" s="54"/>
      <c r="SR13" s="54"/>
      <c r="SS13" s="55"/>
      <c r="ST13" s="56"/>
      <c r="SU13" s="57"/>
      <c r="SV13" s="57"/>
      <c r="SW13" s="57"/>
      <c r="SX13" s="57"/>
      <c r="SY13" s="57"/>
      <c r="SZ13" s="57"/>
      <c r="TA13" s="57"/>
      <c r="TB13" s="57"/>
      <c r="TC13" s="57"/>
      <c r="TD13" s="57"/>
      <c r="TE13" s="57"/>
      <c r="TF13" s="54"/>
      <c r="TG13" s="54"/>
      <c r="TH13" s="54"/>
      <c r="TI13" s="55"/>
      <c r="TJ13" s="56"/>
      <c r="TK13" s="57"/>
      <c r="TL13" s="57"/>
      <c r="TM13" s="57"/>
      <c r="TN13" s="57"/>
      <c r="TO13" s="57"/>
      <c r="TP13" s="57"/>
      <c r="TQ13" s="57"/>
      <c r="TR13" s="57"/>
      <c r="TS13" s="57"/>
      <c r="TT13" s="57"/>
      <c r="TU13" s="57"/>
      <c r="TV13" s="54"/>
      <c r="TW13" s="54"/>
      <c r="TX13" s="54"/>
      <c r="TY13" s="55"/>
      <c r="TZ13" s="56"/>
      <c r="UA13" s="57"/>
      <c r="UB13" s="57"/>
      <c r="UC13" s="57"/>
      <c r="UD13" s="57"/>
      <c r="UE13" s="57"/>
      <c r="UF13" s="57"/>
      <c r="UG13" s="57"/>
      <c r="UH13" s="57"/>
      <c r="UI13" s="57"/>
      <c r="UJ13" s="57"/>
      <c r="UK13" s="57"/>
      <c r="UL13" s="54"/>
      <c r="UM13" s="54"/>
      <c r="UN13" s="54"/>
      <c r="UO13" s="55"/>
      <c r="UP13" s="56"/>
      <c r="UQ13" s="57"/>
      <c r="UR13" s="57"/>
      <c r="US13" s="57"/>
      <c r="UT13" s="57"/>
      <c r="UU13" s="57"/>
      <c r="UV13" s="57"/>
      <c r="UW13" s="57"/>
      <c r="UX13" s="57"/>
      <c r="UY13" s="57"/>
      <c r="UZ13" s="57"/>
      <c r="VA13" s="57"/>
      <c r="VB13" s="54"/>
      <c r="VC13" s="54"/>
      <c r="VD13" s="54"/>
      <c r="VE13" s="55"/>
      <c r="VF13" s="56"/>
      <c r="VG13" s="57"/>
      <c r="VH13" s="57"/>
      <c r="VI13" s="57"/>
      <c r="VJ13" s="57"/>
      <c r="VK13" s="57"/>
      <c r="VL13" s="57"/>
      <c r="VM13" s="57"/>
      <c r="VN13" s="57"/>
      <c r="VO13" s="57"/>
      <c r="VP13" s="57"/>
      <c r="VQ13" s="57"/>
      <c r="VR13" s="54"/>
      <c r="VS13" s="54"/>
      <c r="VT13" s="54"/>
      <c r="VU13" s="55"/>
      <c r="VV13" s="56"/>
      <c r="VW13" s="57"/>
      <c r="VX13" s="57"/>
      <c r="VY13" s="57"/>
      <c r="VZ13" s="57"/>
      <c r="WA13" s="57"/>
      <c r="WB13" s="57"/>
      <c r="WC13" s="57"/>
      <c r="WD13" s="57"/>
      <c r="WE13" s="57"/>
      <c r="WF13" s="57"/>
      <c r="WG13" s="57"/>
      <c r="WH13" s="54"/>
      <c r="WI13" s="54"/>
      <c r="WJ13" s="54"/>
      <c r="WK13" s="55"/>
      <c r="WL13" s="56"/>
      <c r="WM13" s="57"/>
      <c r="WN13" s="57"/>
      <c r="WO13" s="57"/>
      <c r="WP13" s="57"/>
      <c r="WQ13" s="57"/>
      <c r="WR13" s="57"/>
      <c r="WS13" s="57"/>
      <c r="WT13" s="57"/>
      <c r="WU13" s="57"/>
      <c r="WV13" s="57"/>
      <c r="WW13" s="57"/>
      <c r="WX13" s="54"/>
      <c r="WY13" s="54"/>
      <c r="WZ13" s="54"/>
      <c r="XA13" s="55"/>
      <c r="XB13" s="56"/>
      <c r="XC13" s="57"/>
      <c r="XD13" s="57"/>
      <c r="XE13" s="57"/>
      <c r="XF13" s="57"/>
      <c r="XG13" s="57"/>
      <c r="XH13" s="57"/>
      <c r="XI13" s="57"/>
      <c r="XJ13" s="57"/>
      <c r="XK13" s="57"/>
      <c r="XL13" s="57"/>
      <c r="XM13" s="57"/>
      <c r="XN13" s="54"/>
      <c r="XO13" s="54"/>
      <c r="XP13" s="54"/>
      <c r="XQ13" s="55"/>
      <c r="XR13" s="56"/>
      <c r="XS13" s="57"/>
      <c r="XT13" s="57"/>
      <c r="XU13" s="57"/>
      <c r="XV13" s="57"/>
      <c r="XW13" s="57"/>
      <c r="XX13" s="57"/>
      <c r="XY13" s="57"/>
      <c r="XZ13" s="57"/>
      <c r="YA13" s="57"/>
      <c r="YB13" s="57"/>
      <c r="YC13" s="57"/>
      <c r="YD13" s="54"/>
      <c r="YE13" s="54"/>
      <c r="YF13" s="54"/>
      <c r="YG13" s="55"/>
      <c r="YH13" s="56"/>
      <c r="YI13" s="57"/>
      <c r="YJ13" s="57"/>
      <c r="YK13" s="57"/>
      <c r="YL13" s="57"/>
      <c r="YM13" s="57"/>
      <c r="YN13" s="57"/>
      <c r="YO13" s="57"/>
      <c r="YP13" s="57"/>
      <c r="YQ13" s="57"/>
      <c r="YR13" s="57"/>
      <c r="YS13" s="57"/>
      <c r="YT13" s="54"/>
      <c r="YU13" s="54"/>
      <c r="YV13" s="54"/>
      <c r="YW13" s="55"/>
      <c r="YX13" s="56"/>
      <c r="YY13" s="57"/>
      <c r="YZ13" s="57"/>
      <c r="ZA13" s="57"/>
      <c r="ZB13" s="57"/>
      <c r="ZC13" s="57"/>
      <c r="ZD13" s="57"/>
      <c r="ZE13" s="57"/>
      <c r="ZF13" s="57"/>
      <c r="ZG13" s="57"/>
      <c r="ZH13" s="57"/>
      <c r="ZI13" s="57"/>
      <c r="ZJ13" s="54"/>
      <c r="ZK13" s="54"/>
      <c r="ZL13" s="54"/>
      <c r="ZM13" s="55"/>
      <c r="ZN13" s="56"/>
      <c r="ZO13" s="57"/>
      <c r="ZP13" s="57"/>
      <c r="ZQ13" s="57"/>
      <c r="ZR13" s="57"/>
      <c r="ZS13" s="57"/>
      <c r="ZT13" s="57"/>
      <c r="ZU13" s="57"/>
      <c r="ZV13" s="57"/>
      <c r="ZW13" s="57"/>
      <c r="ZX13" s="57"/>
      <c r="ZY13" s="57"/>
      <c r="ZZ13" s="54"/>
      <c r="AAA13" s="54"/>
      <c r="AAB13" s="54"/>
      <c r="AAC13" s="55"/>
      <c r="AAD13" s="56"/>
      <c r="AAE13" s="57"/>
      <c r="AAF13" s="57"/>
      <c r="AAG13" s="57"/>
      <c r="AAH13" s="57"/>
      <c r="AAI13" s="57"/>
      <c r="AAJ13" s="57"/>
      <c r="AAK13" s="57"/>
      <c r="AAL13" s="57"/>
      <c r="AAM13" s="57"/>
      <c r="AAN13" s="57"/>
      <c r="AAO13" s="57"/>
      <c r="AAP13" s="54"/>
      <c r="AAQ13" s="54"/>
      <c r="AAR13" s="54"/>
      <c r="AAS13" s="55"/>
      <c r="AAT13" s="56"/>
      <c r="AAU13" s="57"/>
      <c r="AAV13" s="57"/>
      <c r="AAW13" s="57"/>
      <c r="AAX13" s="57"/>
      <c r="AAY13" s="57"/>
      <c r="AAZ13" s="57"/>
      <c r="ABA13" s="57"/>
      <c r="ABB13" s="57"/>
      <c r="ABC13" s="57"/>
      <c r="ABD13" s="57"/>
      <c r="ABE13" s="57"/>
      <c r="ABF13" s="54"/>
      <c r="ABG13" s="54"/>
      <c r="ABH13" s="54"/>
      <c r="ABI13" s="55"/>
      <c r="ABJ13" s="56"/>
      <c r="ABK13" s="57"/>
      <c r="ABL13" s="57"/>
      <c r="ABM13" s="57"/>
      <c r="ABN13" s="57"/>
      <c r="ABO13" s="57"/>
      <c r="ABP13" s="57"/>
      <c r="ABQ13" s="57"/>
      <c r="ABR13" s="57"/>
      <c r="ABS13" s="57"/>
      <c r="ABT13" s="57"/>
      <c r="ABU13" s="57"/>
      <c r="ABV13" s="54"/>
      <c r="ABW13" s="54"/>
      <c r="ABX13" s="54"/>
      <c r="ABY13" s="55"/>
      <c r="ABZ13" s="56"/>
      <c r="ACA13" s="57"/>
      <c r="ACB13" s="57"/>
      <c r="ACC13" s="57"/>
      <c r="ACD13" s="57"/>
      <c r="ACE13" s="57"/>
      <c r="ACF13" s="57"/>
      <c r="ACG13" s="57"/>
      <c r="ACH13" s="57"/>
      <c r="ACI13" s="57"/>
      <c r="ACJ13" s="57"/>
      <c r="ACK13" s="57"/>
      <c r="ACL13" s="54"/>
      <c r="ACM13" s="54"/>
      <c r="ACN13" s="54"/>
      <c r="ACO13" s="55"/>
      <c r="ACP13" s="56"/>
      <c r="ACQ13" s="57"/>
      <c r="ACR13" s="57"/>
      <c r="ACS13" s="57"/>
      <c r="ACT13" s="57"/>
      <c r="ACU13" s="57"/>
      <c r="ACV13" s="57"/>
      <c r="ACW13" s="57"/>
      <c r="ACX13" s="57"/>
      <c r="ACY13" s="57"/>
      <c r="ACZ13" s="57"/>
      <c r="ADA13" s="57"/>
      <c r="ADB13" s="54"/>
      <c r="ADC13" s="54"/>
      <c r="ADD13" s="54"/>
      <c r="ADE13" s="55"/>
      <c r="ADF13" s="56"/>
      <c r="ADG13" s="57"/>
      <c r="ADH13" s="57"/>
      <c r="ADI13" s="57"/>
      <c r="ADJ13" s="57"/>
      <c r="ADK13" s="57"/>
      <c r="ADL13" s="57"/>
      <c r="ADM13" s="57"/>
      <c r="ADN13" s="57"/>
      <c r="ADO13" s="57"/>
      <c r="ADP13" s="57"/>
      <c r="ADQ13" s="57"/>
      <c r="ADR13" s="54"/>
      <c r="ADS13" s="54"/>
      <c r="ADT13" s="54"/>
      <c r="ADU13" s="55"/>
      <c r="ADV13" s="56"/>
      <c r="ADW13" s="57"/>
      <c r="ADX13" s="57"/>
      <c r="ADY13" s="57"/>
      <c r="ADZ13" s="57"/>
      <c r="AEA13" s="57"/>
      <c r="AEB13" s="57"/>
      <c r="AEC13" s="57"/>
      <c r="AED13" s="57"/>
      <c r="AEE13" s="57"/>
      <c r="AEF13" s="57"/>
      <c r="AEG13" s="57"/>
      <c r="AEH13" s="54"/>
      <c r="AEI13" s="54"/>
      <c r="AEJ13" s="54"/>
      <c r="AEK13" s="55"/>
      <c r="AEL13" s="56"/>
      <c r="AEM13" s="57"/>
      <c r="AEN13" s="57"/>
      <c r="AEO13" s="57"/>
      <c r="AEP13" s="57"/>
      <c r="AEQ13" s="57"/>
      <c r="AER13" s="57"/>
      <c r="AES13" s="57"/>
      <c r="AET13" s="57"/>
      <c r="AEU13" s="57"/>
      <c r="AEV13" s="57"/>
      <c r="AEW13" s="57"/>
      <c r="AEX13" s="54"/>
      <c r="AEY13" s="54"/>
      <c r="AEZ13" s="54"/>
      <c r="AFA13" s="55"/>
      <c r="AFB13" s="56"/>
      <c r="AFC13" s="57"/>
      <c r="AFD13" s="57"/>
      <c r="AFE13" s="57"/>
      <c r="AFF13" s="57"/>
      <c r="AFG13" s="57"/>
      <c r="AFH13" s="57"/>
      <c r="AFI13" s="57"/>
      <c r="AFJ13" s="57"/>
      <c r="AFK13" s="57"/>
      <c r="AFL13" s="57"/>
      <c r="AFM13" s="57"/>
      <c r="AFN13" s="54"/>
      <c r="AFO13" s="54"/>
      <c r="AFP13" s="54"/>
      <c r="AFQ13" s="55"/>
      <c r="AFR13" s="56"/>
      <c r="AFS13" s="57"/>
      <c r="AFT13" s="57"/>
      <c r="AFU13" s="57"/>
      <c r="AFV13" s="57"/>
      <c r="AFW13" s="57"/>
      <c r="AFX13" s="57"/>
      <c r="AFY13" s="57"/>
      <c r="AFZ13" s="57"/>
      <c r="AGA13" s="57"/>
      <c r="AGB13" s="57"/>
      <c r="AGC13" s="57"/>
      <c r="AGD13" s="54"/>
      <c r="AGE13" s="54"/>
      <c r="AGF13" s="54"/>
      <c r="AGG13" s="55"/>
      <c r="AGH13" s="56"/>
      <c r="AGI13" s="57"/>
      <c r="AGJ13" s="57"/>
      <c r="AGK13" s="57"/>
      <c r="AGL13" s="57"/>
      <c r="AGM13" s="57"/>
      <c r="AGN13" s="57"/>
      <c r="AGO13" s="57"/>
      <c r="AGP13" s="57"/>
      <c r="AGQ13" s="57"/>
      <c r="AGR13" s="57"/>
      <c r="AGS13" s="57"/>
      <c r="AGT13" s="54"/>
      <c r="AGU13" s="54"/>
      <c r="AGV13" s="54"/>
      <c r="AGW13" s="55"/>
      <c r="AGX13" s="56"/>
      <c r="AGY13" s="57"/>
      <c r="AGZ13" s="57"/>
      <c r="AHA13" s="57"/>
      <c r="AHB13" s="57"/>
      <c r="AHC13" s="57"/>
      <c r="AHD13" s="57"/>
      <c r="AHE13" s="57"/>
      <c r="AHF13" s="57"/>
      <c r="AHG13" s="57"/>
      <c r="AHH13" s="57"/>
      <c r="AHI13" s="57"/>
      <c r="AHJ13" s="54"/>
      <c r="AHK13" s="54"/>
      <c r="AHL13" s="54"/>
      <c r="AHM13" s="55"/>
      <c r="AHN13" s="56"/>
      <c r="AHO13" s="57"/>
      <c r="AHP13" s="57"/>
      <c r="AHQ13" s="57"/>
      <c r="AHR13" s="57"/>
      <c r="AHS13" s="57"/>
      <c r="AHT13" s="57"/>
      <c r="AHU13" s="57"/>
      <c r="AHV13" s="57"/>
      <c r="AHW13" s="57"/>
      <c r="AHX13" s="57"/>
      <c r="AHY13" s="57"/>
      <c r="AHZ13" s="54"/>
      <c r="AIA13" s="54"/>
      <c r="AIB13" s="54"/>
      <c r="AIC13" s="55"/>
      <c r="AID13" s="56"/>
      <c r="AIE13" s="57"/>
      <c r="AIF13" s="57"/>
      <c r="AIG13" s="57"/>
      <c r="AIH13" s="57"/>
      <c r="AII13" s="57"/>
      <c r="AIJ13" s="57"/>
      <c r="AIK13" s="57"/>
      <c r="AIL13" s="57"/>
      <c r="AIM13" s="57"/>
      <c r="AIN13" s="57"/>
      <c r="AIO13" s="57"/>
      <c r="AIP13" s="54"/>
      <c r="AIQ13" s="54"/>
      <c r="AIR13" s="54"/>
      <c r="AIS13" s="55"/>
      <c r="AIT13" s="56"/>
      <c r="AIU13" s="57"/>
      <c r="AIV13" s="57"/>
      <c r="AIW13" s="57"/>
      <c r="AIX13" s="57"/>
      <c r="AIY13" s="57"/>
      <c r="AIZ13" s="57"/>
      <c r="AJA13" s="57"/>
      <c r="AJB13" s="57"/>
      <c r="AJC13" s="57"/>
      <c r="AJD13" s="57"/>
      <c r="AJE13" s="57"/>
      <c r="AJF13" s="54"/>
      <c r="AJG13" s="54"/>
      <c r="AJH13" s="54"/>
      <c r="AJI13" s="55"/>
      <c r="AJJ13" s="56"/>
      <c r="AJK13" s="57"/>
      <c r="AJL13" s="57"/>
      <c r="AJM13" s="57"/>
      <c r="AJN13" s="57"/>
      <c r="AJO13" s="57"/>
      <c r="AJP13" s="57"/>
      <c r="AJQ13" s="57"/>
      <c r="AJR13" s="57"/>
      <c r="AJS13" s="57"/>
      <c r="AJT13" s="57"/>
      <c r="AJU13" s="57"/>
      <c r="AJV13" s="54"/>
      <c r="AJW13" s="54"/>
      <c r="AJX13" s="54"/>
      <c r="AJY13" s="55"/>
      <c r="AJZ13" s="56"/>
      <c r="AKA13" s="57"/>
      <c r="AKB13" s="57"/>
      <c r="AKC13" s="57"/>
      <c r="AKD13" s="57"/>
      <c r="AKE13" s="57"/>
      <c r="AKF13" s="57"/>
      <c r="AKG13" s="57"/>
      <c r="AKH13" s="57"/>
      <c r="AKI13" s="57"/>
      <c r="AKJ13" s="57"/>
      <c r="AKK13" s="57"/>
      <c r="AKL13" s="54"/>
      <c r="AKM13" s="54"/>
      <c r="AKN13" s="54"/>
      <c r="AKO13" s="55"/>
      <c r="AKP13" s="56"/>
      <c r="AKQ13" s="57"/>
      <c r="AKR13" s="57"/>
      <c r="AKS13" s="57"/>
      <c r="AKT13" s="57"/>
      <c r="AKU13" s="57"/>
      <c r="AKV13" s="57"/>
      <c r="AKW13" s="57"/>
      <c r="AKX13" s="57"/>
      <c r="AKY13" s="57"/>
      <c r="AKZ13" s="57"/>
      <c r="ALA13" s="57"/>
      <c r="ALB13" s="54"/>
      <c r="ALC13" s="54"/>
      <c r="ALD13" s="54"/>
      <c r="ALE13" s="55"/>
      <c r="ALF13" s="56"/>
      <c r="ALG13" s="57"/>
      <c r="ALH13" s="57"/>
      <c r="ALI13" s="57"/>
      <c r="ALJ13" s="57"/>
      <c r="ALK13" s="57"/>
      <c r="ALL13" s="57"/>
      <c r="ALM13" s="57"/>
      <c r="ALN13" s="57"/>
      <c r="ALO13" s="57"/>
      <c r="ALP13" s="57"/>
      <c r="ALQ13" s="57"/>
      <c r="ALR13" s="54"/>
      <c r="ALS13" s="54"/>
      <c r="ALT13" s="54"/>
      <c r="ALU13" s="55"/>
      <c r="ALV13" s="56"/>
      <c r="ALW13" s="57"/>
      <c r="ALX13" s="57"/>
      <c r="ALY13" s="57"/>
      <c r="ALZ13" s="57"/>
      <c r="AMA13" s="57"/>
      <c r="AMB13" s="57"/>
      <c r="AMC13" s="57"/>
      <c r="AMD13" s="57"/>
      <c r="AME13" s="57"/>
      <c r="AMF13" s="57"/>
      <c r="AMG13" s="57"/>
      <c r="AMH13" s="54"/>
      <c r="AMI13" s="54"/>
      <c r="AMJ13" s="54"/>
      <c r="AMK13" s="55"/>
      <c r="AML13" s="56"/>
      <c r="AMM13" s="57"/>
      <c r="AMN13" s="57"/>
      <c r="AMO13" s="57"/>
      <c r="AMP13" s="57"/>
      <c r="AMQ13" s="57"/>
      <c r="AMR13" s="57"/>
      <c r="AMS13" s="57"/>
      <c r="AMT13" s="57"/>
      <c r="AMU13" s="57"/>
      <c r="AMV13" s="57"/>
      <c r="AMW13" s="57"/>
      <c r="AMX13" s="54"/>
      <c r="AMY13" s="54"/>
      <c r="AMZ13" s="54"/>
      <c r="ANA13" s="55"/>
      <c r="ANB13" s="56"/>
      <c r="ANC13" s="57"/>
      <c r="AND13" s="57"/>
      <c r="ANE13" s="57"/>
      <c r="ANF13" s="57"/>
      <c r="ANG13" s="57"/>
      <c r="ANH13" s="57"/>
      <c r="ANI13" s="57"/>
      <c r="ANJ13" s="57"/>
      <c r="ANK13" s="57"/>
      <c r="ANL13" s="57"/>
      <c r="ANM13" s="57"/>
      <c r="ANN13" s="54"/>
      <c r="ANO13" s="54"/>
      <c r="ANP13" s="54"/>
      <c r="ANQ13" s="55"/>
      <c r="ANR13" s="56"/>
      <c r="ANS13" s="57"/>
      <c r="ANT13" s="57"/>
      <c r="ANU13" s="57"/>
      <c r="ANV13" s="57"/>
      <c r="ANW13" s="57"/>
      <c r="ANX13" s="57"/>
      <c r="ANY13" s="57"/>
      <c r="ANZ13" s="57"/>
      <c r="AOA13" s="57"/>
      <c r="AOB13" s="57"/>
      <c r="AOC13" s="57"/>
      <c r="AOD13" s="54"/>
      <c r="AOE13" s="54"/>
      <c r="AOF13" s="54"/>
      <c r="AOG13" s="55"/>
      <c r="AOH13" s="56"/>
      <c r="AOI13" s="57"/>
      <c r="AOJ13" s="57"/>
      <c r="AOK13" s="57"/>
      <c r="AOL13" s="57"/>
      <c r="AOM13" s="57"/>
      <c r="AON13" s="57"/>
      <c r="AOO13" s="57"/>
      <c r="AOP13" s="57"/>
      <c r="AOQ13" s="57"/>
      <c r="AOR13" s="57"/>
      <c r="AOS13" s="57"/>
      <c r="AOT13" s="54"/>
      <c r="AOU13" s="54"/>
      <c r="AOV13" s="54"/>
      <c r="AOW13" s="55"/>
      <c r="AOX13" s="56"/>
      <c r="AOY13" s="57"/>
      <c r="AOZ13" s="57"/>
      <c r="APA13" s="57"/>
      <c r="APB13" s="57"/>
      <c r="APC13" s="57"/>
      <c r="APD13" s="57"/>
      <c r="APE13" s="57"/>
      <c r="APF13" s="57"/>
      <c r="APG13" s="57"/>
      <c r="APH13" s="57"/>
      <c r="API13" s="57"/>
      <c r="APJ13" s="54"/>
      <c r="APK13" s="54"/>
      <c r="APL13" s="54"/>
      <c r="APM13" s="55"/>
      <c r="APN13" s="56"/>
      <c r="APO13" s="57"/>
      <c r="APP13" s="57"/>
      <c r="APQ13" s="57"/>
      <c r="APR13" s="57"/>
      <c r="APS13" s="57"/>
      <c r="APT13" s="57"/>
      <c r="APU13" s="57"/>
      <c r="APV13" s="57"/>
      <c r="APW13" s="57"/>
      <c r="APX13" s="57"/>
      <c r="APY13" s="57"/>
      <c r="APZ13" s="54"/>
      <c r="AQA13" s="54"/>
      <c r="AQB13" s="54"/>
      <c r="AQC13" s="55"/>
      <c r="AQD13" s="56"/>
      <c r="AQE13" s="57"/>
      <c r="AQF13" s="57"/>
      <c r="AQG13" s="57"/>
      <c r="AQH13" s="57"/>
      <c r="AQI13" s="57"/>
      <c r="AQJ13" s="57"/>
      <c r="AQK13" s="57"/>
      <c r="AQL13" s="57"/>
      <c r="AQM13" s="57"/>
      <c r="AQN13" s="57"/>
      <c r="AQO13" s="57"/>
      <c r="AQP13" s="54"/>
      <c r="AQQ13" s="54"/>
      <c r="AQR13" s="54"/>
      <c r="AQS13" s="55"/>
      <c r="AQT13" s="56"/>
      <c r="AQU13" s="57"/>
      <c r="AQV13" s="57"/>
      <c r="AQW13" s="57"/>
      <c r="AQX13" s="57"/>
      <c r="AQY13" s="57"/>
      <c r="AQZ13" s="57"/>
      <c r="ARA13" s="57"/>
      <c r="ARB13" s="57"/>
      <c r="ARC13" s="57"/>
      <c r="ARD13" s="57"/>
      <c r="ARE13" s="57"/>
      <c r="ARF13" s="54"/>
      <c r="ARG13" s="54"/>
      <c r="ARH13" s="54"/>
      <c r="ARI13" s="55"/>
      <c r="ARJ13" s="56"/>
      <c r="ARK13" s="57"/>
      <c r="ARL13" s="57"/>
      <c r="ARM13" s="57"/>
      <c r="ARN13" s="57"/>
      <c r="ARO13" s="57"/>
      <c r="ARP13" s="57"/>
      <c r="ARQ13" s="57"/>
      <c r="ARR13" s="57"/>
      <c r="ARS13" s="57"/>
      <c r="ART13" s="57"/>
      <c r="ARU13" s="57"/>
      <c r="ARV13" s="54"/>
      <c r="ARW13" s="54"/>
      <c r="ARX13" s="54"/>
      <c r="ARY13" s="55"/>
      <c r="ARZ13" s="56"/>
      <c r="ASA13" s="57"/>
      <c r="ASB13" s="57"/>
      <c r="ASC13" s="57"/>
      <c r="ASD13" s="57"/>
      <c r="ASE13" s="57"/>
      <c r="ASF13" s="57"/>
      <c r="ASG13" s="57"/>
      <c r="ASH13" s="57"/>
      <c r="ASI13" s="57"/>
      <c r="ASJ13" s="57"/>
      <c r="ASK13" s="57"/>
      <c r="ASL13" s="54"/>
      <c r="ASM13" s="54"/>
      <c r="ASN13" s="54"/>
      <c r="ASO13" s="55"/>
      <c r="ASP13" s="56"/>
      <c r="ASQ13" s="57"/>
      <c r="ASR13" s="57"/>
      <c r="ASS13" s="57"/>
      <c r="AST13" s="57"/>
      <c r="ASU13" s="57"/>
      <c r="ASV13" s="57"/>
      <c r="ASW13" s="57"/>
      <c r="ASX13" s="57"/>
      <c r="ASY13" s="57"/>
      <c r="ASZ13" s="57"/>
      <c r="ATA13" s="57"/>
      <c r="ATB13" s="54"/>
      <c r="ATC13" s="54"/>
      <c r="ATD13" s="54"/>
      <c r="ATE13" s="55"/>
      <c r="ATF13" s="56"/>
      <c r="ATG13" s="57"/>
      <c r="ATH13" s="57"/>
      <c r="ATI13" s="57"/>
      <c r="ATJ13" s="57"/>
      <c r="ATK13" s="57"/>
      <c r="ATL13" s="57"/>
      <c r="ATM13" s="57"/>
      <c r="ATN13" s="57"/>
      <c r="ATO13" s="57"/>
      <c r="ATP13" s="57"/>
      <c r="ATQ13" s="57"/>
      <c r="ATR13" s="54"/>
      <c r="ATS13" s="54"/>
      <c r="ATT13" s="54"/>
      <c r="ATU13" s="55"/>
      <c r="ATV13" s="56"/>
      <c r="ATW13" s="57"/>
      <c r="ATX13" s="57"/>
      <c r="ATY13" s="57"/>
      <c r="ATZ13" s="57"/>
      <c r="AUA13" s="57"/>
      <c r="AUB13" s="57"/>
      <c r="AUC13" s="57"/>
      <c r="AUD13" s="57"/>
      <c r="AUE13" s="57"/>
      <c r="AUF13" s="57"/>
      <c r="AUG13" s="57"/>
      <c r="AUH13" s="54"/>
      <c r="AUI13" s="54"/>
      <c r="AUJ13" s="54"/>
      <c r="AUK13" s="55"/>
      <c r="AUL13" s="56"/>
      <c r="AUM13" s="57"/>
      <c r="AUN13" s="57"/>
      <c r="AUO13" s="57"/>
      <c r="AUP13" s="57"/>
      <c r="AUQ13" s="57"/>
      <c r="AUR13" s="57"/>
      <c r="AUS13" s="57"/>
      <c r="AUT13" s="57"/>
      <c r="AUU13" s="57"/>
      <c r="AUV13" s="57"/>
      <c r="AUW13" s="57"/>
      <c r="AUX13" s="54"/>
      <c r="AUY13" s="54"/>
      <c r="AUZ13" s="54"/>
      <c r="AVA13" s="55"/>
      <c r="AVB13" s="56"/>
      <c r="AVC13" s="57"/>
      <c r="AVD13" s="57"/>
      <c r="AVE13" s="57"/>
      <c r="AVF13" s="57"/>
      <c r="AVG13" s="57"/>
      <c r="AVH13" s="57"/>
      <c r="AVI13" s="57"/>
      <c r="AVJ13" s="57"/>
      <c r="AVK13" s="57"/>
      <c r="AVL13" s="57"/>
      <c r="AVM13" s="57"/>
      <c r="AVN13" s="54"/>
      <c r="AVO13" s="54"/>
      <c r="AVP13" s="54"/>
      <c r="AVQ13" s="55"/>
      <c r="AVR13" s="56"/>
      <c r="AVS13" s="57"/>
      <c r="AVT13" s="57"/>
      <c r="AVU13" s="57"/>
      <c r="AVV13" s="57"/>
      <c r="AVW13" s="57"/>
      <c r="AVX13" s="57"/>
      <c r="AVY13" s="57"/>
      <c r="AVZ13" s="57"/>
      <c r="AWA13" s="57"/>
      <c r="AWB13" s="57"/>
      <c r="AWC13" s="57"/>
      <c r="AWD13" s="54"/>
      <c r="AWE13" s="54"/>
      <c r="AWF13" s="54"/>
      <c r="AWG13" s="55"/>
      <c r="AWH13" s="56"/>
      <c r="AWI13" s="57"/>
      <c r="AWJ13" s="57"/>
      <c r="AWK13" s="57"/>
      <c r="AWL13" s="57"/>
      <c r="AWM13" s="57"/>
      <c r="AWN13" s="57"/>
      <c r="AWO13" s="57"/>
      <c r="AWP13" s="57"/>
      <c r="AWQ13" s="57"/>
      <c r="AWR13" s="57"/>
      <c r="AWS13" s="57"/>
      <c r="AWT13" s="54"/>
      <c r="AWU13" s="54"/>
      <c r="AWV13" s="54"/>
      <c r="AWW13" s="55"/>
      <c r="AWX13" s="56"/>
      <c r="AWY13" s="57"/>
      <c r="AWZ13" s="57"/>
      <c r="AXA13" s="57"/>
      <c r="AXB13" s="57"/>
      <c r="AXC13" s="57"/>
      <c r="AXD13" s="57"/>
      <c r="AXE13" s="57"/>
      <c r="AXF13" s="57"/>
      <c r="AXG13" s="57"/>
      <c r="AXH13" s="57"/>
      <c r="AXI13" s="57"/>
      <c r="AXJ13" s="54"/>
      <c r="AXK13" s="54"/>
      <c r="AXL13" s="54"/>
      <c r="AXM13" s="55"/>
      <c r="AXN13" s="56"/>
      <c r="AXO13" s="57"/>
      <c r="AXP13" s="57"/>
      <c r="AXQ13" s="57"/>
      <c r="AXR13" s="57"/>
      <c r="AXS13" s="57"/>
      <c r="AXT13" s="57"/>
      <c r="AXU13" s="57"/>
      <c r="AXV13" s="57"/>
      <c r="AXW13" s="57"/>
      <c r="AXX13" s="57"/>
      <c r="AXY13" s="57"/>
      <c r="AXZ13" s="54"/>
      <c r="AYA13" s="54"/>
      <c r="AYB13" s="54"/>
      <c r="AYC13" s="55"/>
      <c r="AYD13" s="56"/>
      <c r="AYE13" s="57"/>
      <c r="AYF13" s="57"/>
      <c r="AYG13" s="57"/>
      <c r="AYH13" s="57"/>
      <c r="AYI13" s="57"/>
      <c r="AYJ13" s="57"/>
      <c r="AYK13" s="57"/>
      <c r="AYL13" s="57"/>
      <c r="AYM13" s="57"/>
      <c r="AYN13" s="57"/>
      <c r="AYO13" s="57"/>
      <c r="AYP13" s="54"/>
      <c r="AYQ13" s="54"/>
      <c r="AYR13" s="54"/>
      <c r="AYS13" s="55"/>
      <c r="AYT13" s="56"/>
      <c r="AYU13" s="57"/>
      <c r="AYV13" s="57"/>
      <c r="AYW13" s="57"/>
      <c r="AYX13" s="57"/>
      <c r="AYY13" s="57"/>
      <c r="AYZ13" s="57"/>
      <c r="AZA13" s="57"/>
      <c r="AZB13" s="57"/>
      <c r="AZC13" s="57"/>
      <c r="AZD13" s="57"/>
      <c r="AZE13" s="57"/>
      <c r="AZF13" s="54"/>
      <c r="AZG13" s="54"/>
      <c r="AZH13" s="54"/>
      <c r="AZI13" s="55"/>
      <c r="AZJ13" s="56"/>
      <c r="AZK13" s="57"/>
      <c r="AZL13" s="57"/>
      <c r="AZM13" s="57"/>
      <c r="AZN13" s="57"/>
      <c r="AZO13" s="57"/>
      <c r="AZP13" s="57"/>
      <c r="AZQ13" s="57"/>
      <c r="AZR13" s="57"/>
      <c r="AZS13" s="57"/>
      <c r="AZT13" s="57"/>
      <c r="AZU13" s="57"/>
      <c r="AZV13" s="54"/>
      <c r="AZW13" s="54"/>
      <c r="AZX13" s="54"/>
      <c r="AZY13" s="55"/>
      <c r="AZZ13" s="56"/>
      <c r="BAA13" s="57"/>
      <c r="BAB13" s="57"/>
      <c r="BAC13" s="57"/>
      <c r="BAD13" s="57"/>
      <c r="BAE13" s="57"/>
      <c r="BAF13" s="57"/>
      <c r="BAG13" s="57"/>
      <c r="BAH13" s="57"/>
      <c r="BAI13" s="57"/>
      <c r="BAJ13" s="57"/>
      <c r="BAK13" s="57"/>
      <c r="BAL13" s="54"/>
      <c r="BAM13" s="54"/>
      <c r="BAN13" s="54"/>
      <c r="BAO13" s="55"/>
      <c r="BAP13" s="56"/>
      <c r="BAQ13" s="57"/>
      <c r="BAR13" s="57"/>
      <c r="BAS13" s="57"/>
      <c r="BAT13" s="57"/>
      <c r="BAU13" s="57"/>
      <c r="BAV13" s="57"/>
      <c r="BAW13" s="57"/>
      <c r="BAX13" s="57"/>
      <c r="BAY13" s="57"/>
      <c r="BAZ13" s="57"/>
      <c r="BBA13" s="57"/>
      <c r="BBB13" s="54"/>
      <c r="BBC13" s="54"/>
      <c r="BBD13" s="54"/>
      <c r="BBE13" s="55"/>
      <c r="BBF13" s="56"/>
      <c r="BBG13" s="57"/>
      <c r="BBH13" s="57"/>
      <c r="BBI13" s="57"/>
      <c r="BBJ13" s="57"/>
      <c r="BBK13" s="57"/>
      <c r="BBL13" s="57"/>
      <c r="BBM13" s="57"/>
      <c r="BBN13" s="57"/>
      <c r="BBO13" s="57"/>
      <c r="BBP13" s="57"/>
      <c r="BBQ13" s="57"/>
      <c r="BBR13" s="54"/>
      <c r="BBS13" s="54"/>
      <c r="BBT13" s="54"/>
      <c r="BBU13" s="55"/>
      <c r="BBV13" s="56"/>
      <c r="BBW13" s="57"/>
      <c r="BBX13" s="57"/>
      <c r="BBY13" s="57"/>
      <c r="BBZ13" s="57"/>
      <c r="BCA13" s="57"/>
      <c r="BCB13" s="57"/>
      <c r="BCC13" s="57"/>
      <c r="BCD13" s="57"/>
      <c r="BCE13" s="57"/>
      <c r="BCF13" s="57"/>
      <c r="BCG13" s="57"/>
      <c r="BCH13" s="54"/>
      <c r="BCI13" s="54"/>
      <c r="BCJ13" s="54"/>
      <c r="BCK13" s="55"/>
      <c r="BCL13" s="56"/>
      <c r="BCM13" s="57"/>
      <c r="BCN13" s="57"/>
      <c r="BCO13" s="57"/>
      <c r="BCP13" s="57"/>
      <c r="BCQ13" s="57"/>
      <c r="BCR13" s="57"/>
      <c r="BCS13" s="57"/>
      <c r="BCT13" s="57"/>
      <c r="BCU13" s="57"/>
      <c r="BCV13" s="57"/>
      <c r="BCW13" s="57"/>
      <c r="BCX13" s="54"/>
      <c r="BCY13" s="54"/>
      <c r="BCZ13" s="54"/>
      <c r="BDA13" s="55"/>
      <c r="BDB13" s="56"/>
      <c r="BDC13" s="57"/>
      <c r="BDD13" s="57"/>
      <c r="BDE13" s="57"/>
      <c r="BDF13" s="57"/>
      <c r="BDG13" s="57"/>
      <c r="BDH13" s="57"/>
      <c r="BDI13" s="57"/>
      <c r="BDJ13" s="57"/>
      <c r="BDK13" s="57"/>
      <c r="BDL13" s="57"/>
      <c r="BDM13" s="57"/>
      <c r="BDN13" s="54"/>
      <c r="BDO13" s="54"/>
      <c r="BDP13" s="54"/>
      <c r="BDQ13" s="55"/>
      <c r="BDR13" s="56"/>
      <c r="BDS13" s="57"/>
      <c r="BDT13" s="57"/>
      <c r="BDU13" s="57"/>
      <c r="BDV13" s="57"/>
      <c r="BDW13" s="57"/>
      <c r="BDX13" s="57"/>
      <c r="BDY13" s="57"/>
      <c r="BDZ13" s="57"/>
      <c r="BEA13" s="57"/>
      <c r="BEB13" s="57"/>
      <c r="BEC13" s="57"/>
      <c r="BED13" s="54"/>
      <c r="BEE13" s="54"/>
      <c r="BEF13" s="54"/>
      <c r="BEG13" s="55"/>
      <c r="BEH13" s="56"/>
      <c r="BEI13" s="57"/>
      <c r="BEJ13" s="57"/>
      <c r="BEK13" s="57"/>
      <c r="BEL13" s="57"/>
      <c r="BEM13" s="57"/>
      <c r="BEN13" s="57"/>
      <c r="BEO13" s="57"/>
      <c r="BEP13" s="57"/>
      <c r="BEQ13" s="57"/>
      <c r="BER13" s="57"/>
      <c r="BES13" s="57"/>
      <c r="BET13" s="54"/>
      <c r="BEU13" s="54"/>
      <c r="BEV13" s="54"/>
      <c r="BEW13" s="55"/>
      <c r="BEX13" s="56"/>
      <c r="BEY13" s="57"/>
      <c r="BEZ13" s="57"/>
      <c r="BFA13" s="57"/>
      <c r="BFB13" s="57"/>
      <c r="BFC13" s="57"/>
      <c r="BFD13" s="57"/>
      <c r="BFE13" s="57"/>
      <c r="BFF13" s="57"/>
      <c r="BFG13" s="57"/>
      <c r="BFH13" s="57"/>
      <c r="BFI13" s="57"/>
      <c r="BFJ13" s="54"/>
      <c r="BFK13" s="54"/>
      <c r="BFL13" s="54"/>
      <c r="BFM13" s="55"/>
      <c r="BFN13" s="56"/>
      <c r="BFO13" s="57"/>
      <c r="BFP13" s="57"/>
      <c r="BFQ13" s="57"/>
      <c r="BFR13" s="57"/>
      <c r="BFS13" s="57"/>
      <c r="BFT13" s="57"/>
      <c r="BFU13" s="57"/>
      <c r="BFV13" s="57"/>
      <c r="BFW13" s="57"/>
      <c r="BFX13" s="57"/>
      <c r="BFY13" s="57"/>
      <c r="BFZ13" s="54"/>
      <c r="BGA13" s="54"/>
      <c r="BGB13" s="54"/>
      <c r="BGC13" s="55"/>
      <c r="BGD13" s="56"/>
      <c r="BGE13" s="57"/>
      <c r="BGF13" s="57"/>
      <c r="BGG13" s="57"/>
      <c r="BGH13" s="57"/>
      <c r="BGI13" s="57"/>
      <c r="BGJ13" s="57"/>
      <c r="BGK13" s="57"/>
      <c r="BGL13" s="57"/>
      <c r="BGM13" s="57"/>
      <c r="BGN13" s="57"/>
      <c r="BGO13" s="57"/>
      <c r="BGP13" s="54"/>
      <c r="BGQ13" s="54"/>
      <c r="BGR13" s="54"/>
      <c r="BGS13" s="55"/>
      <c r="BGT13" s="56"/>
      <c r="BGU13" s="57"/>
      <c r="BGV13" s="57"/>
      <c r="BGW13" s="57"/>
      <c r="BGX13" s="57"/>
      <c r="BGY13" s="57"/>
      <c r="BGZ13" s="57"/>
      <c r="BHA13" s="57"/>
      <c r="BHB13" s="57"/>
      <c r="BHC13" s="57"/>
      <c r="BHD13" s="57"/>
      <c r="BHE13" s="57"/>
      <c r="BHF13" s="54"/>
      <c r="BHG13" s="54"/>
      <c r="BHH13" s="54"/>
      <c r="BHI13" s="55"/>
      <c r="BHJ13" s="56"/>
      <c r="BHK13" s="57"/>
      <c r="BHL13" s="57"/>
      <c r="BHM13" s="57"/>
      <c r="BHN13" s="57"/>
      <c r="BHO13" s="57"/>
      <c r="BHP13" s="57"/>
      <c r="BHQ13" s="57"/>
      <c r="BHR13" s="57"/>
      <c r="BHS13" s="57"/>
      <c r="BHT13" s="57"/>
      <c r="BHU13" s="57"/>
      <c r="BHV13" s="54"/>
      <c r="BHW13" s="54"/>
      <c r="BHX13" s="54"/>
      <c r="BHY13" s="55"/>
      <c r="BHZ13" s="56"/>
      <c r="BIA13" s="57"/>
      <c r="BIB13" s="57"/>
      <c r="BIC13" s="57"/>
      <c r="BID13" s="57"/>
      <c r="BIE13" s="57"/>
      <c r="BIF13" s="57"/>
      <c r="BIG13" s="57"/>
      <c r="BIH13" s="57"/>
      <c r="BII13" s="57"/>
      <c r="BIJ13" s="57"/>
      <c r="BIK13" s="57"/>
      <c r="BIL13" s="54"/>
      <c r="BIM13" s="54"/>
      <c r="BIN13" s="54"/>
      <c r="BIO13" s="55"/>
      <c r="BIP13" s="56"/>
      <c r="BIQ13" s="57"/>
      <c r="BIR13" s="57"/>
      <c r="BIS13" s="57"/>
      <c r="BIT13" s="57"/>
      <c r="BIU13" s="57"/>
      <c r="BIV13" s="57"/>
      <c r="BIW13" s="57"/>
      <c r="BIX13" s="57"/>
      <c r="BIY13" s="57"/>
      <c r="BIZ13" s="57"/>
      <c r="BJA13" s="57"/>
      <c r="BJB13" s="54"/>
      <c r="BJC13" s="54"/>
      <c r="BJD13" s="54"/>
      <c r="BJE13" s="55"/>
      <c r="BJF13" s="56"/>
      <c r="BJG13" s="57"/>
      <c r="BJH13" s="57"/>
      <c r="BJI13" s="57"/>
      <c r="BJJ13" s="57"/>
      <c r="BJK13" s="57"/>
      <c r="BJL13" s="57"/>
      <c r="BJM13" s="57"/>
      <c r="BJN13" s="57"/>
      <c r="BJO13" s="57"/>
      <c r="BJP13" s="57"/>
      <c r="BJQ13" s="57"/>
      <c r="BJR13" s="54"/>
      <c r="BJS13" s="54"/>
      <c r="BJT13" s="54"/>
      <c r="BJU13" s="55"/>
      <c r="BJV13" s="56"/>
      <c r="BJW13" s="57"/>
      <c r="BJX13" s="57"/>
      <c r="BJY13" s="57"/>
      <c r="BJZ13" s="57"/>
      <c r="BKA13" s="57"/>
      <c r="BKB13" s="57"/>
      <c r="BKC13" s="57"/>
      <c r="BKD13" s="57"/>
      <c r="BKE13" s="57"/>
      <c r="BKF13" s="57"/>
      <c r="BKG13" s="57"/>
      <c r="BKH13" s="54"/>
      <c r="BKI13" s="54"/>
      <c r="BKJ13" s="54"/>
      <c r="BKK13" s="55"/>
      <c r="BKL13" s="56"/>
      <c r="BKM13" s="57"/>
      <c r="BKN13" s="57"/>
      <c r="BKO13" s="57"/>
      <c r="BKP13" s="57"/>
      <c r="BKQ13" s="57"/>
      <c r="BKR13" s="57"/>
      <c r="BKS13" s="57"/>
      <c r="BKT13" s="57"/>
      <c r="BKU13" s="57"/>
      <c r="BKV13" s="57"/>
      <c r="BKW13" s="57"/>
      <c r="BKX13" s="54"/>
      <c r="BKY13" s="54"/>
      <c r="BKZ13" s="54"/>
      <c r="BLA13" s="55"/>
      <c r="BLB13" s="56"/>
      <c r="BLC13" s="57"/>
      <c r="BLD13" s="57"/>
      <c r="BLE13" s="57"/>
      <c r="BLF13" s="57"/>
      <c r="BLG13" s="57"/>
      <c r="BLH13" s="57"/>
      <c r="BLI13" s="57"/>
      <c r="BLJ13" s="57"/>
      <c r="BLK13" s="57"/>
      <c r="BLL13" s="57"/>
      <c r="BLM13" s="57"/>
      <c r="BLN13" s="54"/>
      <c r="BLO13" s="54"/>
      <c r="BLP13" s="54"/>
      <c r="BLQ13" s="55"/>
      <c r="BLR13" s="56"/>
      <c r="BLS13" s="57"/>
      <c r="BLT13" s="57"/>
      <c r="BLU13" s="57"/>
      <c r="BLV13" s="57"/>
      <c r="BLW13" s="57"/>
      <c r="BLX13" s="57"/>
      <c r="BLY13" s="57"/>
      <c r="BLZ13" s="57"/>
      <c r="BMA13" s="57"/>
      <c r="BMB13" s="57"/>
      <c r="BMC13" s="57"/>
      <c r="BMD13" s="54"/>
      <c r="BME13" s="54"/>
      <c r="BMF13" s="54"/>
      <c r="BMG13" s="55"/>
      <c r="BMH13" s="56"/>
      <c r="BMI13" s="57"/>
      <c r="BMJ13" s="57"/>
      <c r="BMK13" s="57"/>
      <c r="BML13" s="57"/>
      <c r="BMM13" s="57"/>
      <c r="BMN13" s="57"/>
      <c r="BMO13" s="57"/>
      <c r="BMP13" s="57"/>
      <c r="BMQ13" s="57"/>
      <c r="BMR13" s="57"/>
      <c r="BMS13" s="57"/>
      <c r="BMT13" s="54"/>
      <c r="BMU13" s="54"/>
      <c r="BMV13" s="54"/>
      <c r="BMW13" s="55"/>
      <c r="BMX13" s="56"/>
      <c r="BMY13" s="57"/>
      <c r="BMZ13" s="57"/>
      <c r="BNA13" s="57"/>
      <c r="BNB13" s="57"/>
      <c r="BNC13" s="57"/>
      <c r="BND13" s="57"/>
      <c r="BNE13" s="57"/>
      <c r="BNF13" s="57"/>
      <c r="BNG13" s="57"/>
      <c r="BNH13" s="57"/>
      <c r="BNI13" s="57"/>
      <c r="BNJ13" s="54"/>
      <c r="BNK13" s="54"/>
      <c r="BNL13" s="54"/>
      <c r="BNM13" s="55"/>
      <c r="BNN13" s="56"/>
      <c r="BNO13" s="57"/>
      <c r="BNP13" s="57"/>
      <c r="BNQ13" s="57"/>
      <c r="BNR13" s="57"/>
      <c r="BNS13" s="57"/>
      <c r="BNT13" s="57"/>
      <c r="BNU13" s="57"/>
      <c r="BNV13" s="57"/>
      <c r="BNW13" s="57"/>
      <c r="BNX13" s="57"/>
      <c r="BNY13" s="57"/>
      <c r="BNZ13" s="54"/>
      <c r="BOA13" s="54"/>
      <c r="BOB13" s="54"/>
      <c r="BOC13" s="55"/>
      <c r="BOD13" s="56"/>
      <c r="BOE13" s="57"/>
      <c r="BOF13" s="57"/>
      <c r="BOG13" s="57"/>
      <c r="BOH13" s="57"/>
      <c r="BOI13" s="57"/>
      <c r="BOJ13" s="57"/>
      <c r="BOK13" s="57"/>
      <c r="BOL13" s="57"/>
      <c r="BOM13" s="57"/>
      <c r="BON13" s="57"/>
      <c r="BOO13" s="57"/>
      <c r="BOP13" s="54"/>
      <c r="BOQ13" s="54"/>
      <c r="BOR13" s="54"/>
      <c r="BOS13" s="55"/>
      <c r="BOT13" s="56"/>
      <c r="BOU13" s="57"/>
      <c r="BOV13" s="57"/>
      <c r="BOW13" s="57"/>
      <c r="BOX13" s="57"/>
      <c r="BOY13" s="57"/>
      <c r="BOZ13" s="57"/>
      <c r="BPA13" s="57"/>
      <c r="BPB13" s="57"/>
      <c r="BPC13" s="57"/>
      <c r="BPD13" s="57"/>
      <c r="BPE13" s="57"/>
      <c r="BPF13" s="54"/>
      <c r="BPG13" s="54"/>
      <c r="BPH13" s="54"/>
      <c r="BPI13" s="55"/>
      <c r="BPJ13" s="56"/>
      <c r="BPK13" s="57"/>
      <c r="BPL13" s="57"/>
      <c r="BPM13" s="57"/>
      <c r="BPN13" s="57"/>
      <c r="BPO13" s="57"/>
      <c r="BPP13" s="57"/>
      <c r="BPQ13" s="57"/>
      <c r="BPR13" s="57"/>
      <c r="BPS13" s="57"/>
      <c r="BPT13" s="57"/>
      <c r="BPU13" s="57"/>
      <c r="BPV13" s="54"/>
      <c r="BPW13" s="54"/>
      <c r="BPX13" s="54"/>
      <c r="BPY13" s="55"/>
      <c r="BPZ13" s="56"/>
      <c r="BQA13" s="57"/>
      <c r="BQB13" s="57"/>
      <c r="BQC13" s="57"/>
      <c r="BQD13" s="57"/>
      <c r="BQE13" s="57"/>
      <c r="BQF13" s="57"/>
      <c r="BQG13" s="57"/>
      <c r="BQH13" s="57"/>
      <c r="BQI13" s="57"/>
      <c r="BQJ13" s="57"/>
      <c r="BQK13" s="57"/>
      <c r="BQL13" s="54"/>
      <c r="BQM13" s="54"/>
      <c r="BQN13" s="54"/>
      <c r="BQO13" s="55"/>
      <c r="BQP13" s="56"/>
      <c r="BQQ13" s="57"/>
      <c r="BQR13" s="57"/>
      <c r="BQS13" s="57"/>
      <c r="BQT13" s="57"/>
      <c r="BQU13" s="57"/>
      <c r="BQV13" s="57"/>
      <c r="BQW13" s="57"/>
      <c r="BQX13" s="57"/>
      <c r="BQY13" s="57"/>
      <c r="BQZ13" s="57"/>
      <c r="BRA13" s="57"/>
      <c r="BRB13" s="54"/>
      <c r="BRC13" s="54"/>
      <c r="BRD13" s="54"/>
      <c r="BRE13" s="55"/>
      <c r="BRF13" s="56"/>
      <c r="BRG13" s="57"/>
      <c r="BRH13" s="57"/>
      <c r="BRI13" s="57"/>
      <c r="BRJ13" s="57"/>
      <c r="BRK13" s="57"/>
      <c r="BRL13" s="57"/>
      <c r="BRM13" s="57"/>
      <c r="BRN13" s="57"/>
      <c r="BRO13" s="57"/>
      <c r="BRP13" s="57"/>
      <c r="BRQ13" s="57"/>
      <c r="BRR13" s="54"/>
      <c r="BRS13" s="54"/>
      <c r="BRT13" s="54"/>
      <c r="BRU13" s="55"/>
      <c r="BRV13" s="56"/>
      <c r="BRW13" s="57"/>
      <c r="BRX13" s="57"/>
      <c r="BRY13" s="57"/>
      <c r="BRZ13" s="57"/>
      <c r="BSA13" s="57"/>
      <c r="BSB13" s="57"/>
      <c r="BSC13" s="57"/>
      <c r="BSD13" s="57"/>
      <c r="BSE13" s="57"/>
      <c r="BSF13" s="57"/>
      <c r="BSG13" s="57"/>
      <c r="BSH13" s="54"/>
      <c r="BSI13" s="54"/>
      <c r="BSJ13" s="54"/>
      <c r="BSK13" s="55"/>
      <c r="BSL13" s="56"/>
      <c r="BSM13" s="57"/>
      <c r="BSN13" s="57"/>
      <c r="BSO13" s="57"/>
      <c r="BSP13" s="57"/>
      <c r="BSQ13" s="57"/>
      <c r="BSR13" s="57"/>
      <c r="BSS13" s="57"/>
      <c r="BST13" s="57"/>
      <c r="BSU13" s="57"/>
      <c r="BSV13" s="57"/>
      <c r="BSW13" s="57"/>
      <c r="BSX13" s="54"/>
      <c r="BSY13" s="54"/>
      <c r="BSZ13" s="54"/>
      <c r="BTA13" s="55"/>
      <c r="BTB13" s="56"/>
      <c r="BTC13" s="57"/>
      <c r="BTD13" s="57"/>
      <c r="BTE13" s="57"/>
      <c r="BTF13" s="57"/>
      <c r="BTG13" s="57"/>
      <c r="BTH13" s="57"/>
      <c r="BTI13" s="57"/>
      <c r="BTJ13" s="57"/>
      <c r="BTK13" s="57"/>
      <c r="BTL13" s="57"/>
      <c r="BTM13" s="57"/>
      <c r="BTN13" s="54"/>
      <c r="BTO13" s="54"/>
      <c r="BTP13" s="54"/>
      <c r="BTQ13" s="55"/>
      <c r="BTR13" s="56"/>
      <c r="BTS13" s="57"/>
      <c r="BTT13" s="57"/>
      <c r="BTU13" s="57"/>
      <c r="BTV13" s="57"/>
      <c r="BTW13" s="57"/>
      <c r="BTX13" s="57"/>
      <c r="BTY13" s="57"/>
      <c r="BTZ13" s="57"/>
      <c r="BUA13" s="57"/>
      <c r="BUB13" s="57"/>
      <c r="BUC13" s="57"/>
      <c r="BUD13" s="54"/>
      <c r="BUE13" s="54"/>
      <c r="BUF13" s="54"/>
      <c r="BUG13" s="55"/>
      <c r="BUH13" s="56"/>
      <c r="BUI13" s="57"/>
      <c r="BUJ13" s="57"/>
      <c r="BUK13" s="57"/>
      <c r="BUL13" s="57"/>
      <c r="BUM13" s="57"/>
      <c r="BUN13" s="57"/>
      <c r="BUO13" s="57"/>
      <c r="BUP13" s="57"/>
      <c r="BUQ13" s="57"/>
      <c r="BUR13" s="57"/>
      <c r="BUS13" s="57"/>
      <c r="BUT13" s="54"/>
      <c r="BUU13" s="54"/>
      <c r="BUV13" s="54"/>
      <c r="BUW13" s="55"/>
      <c r="BUX13" s="56"/>
      <c r="BUY13" s="57"/>
      <c r="BUZ13" s="57"/>
      <c r="BVA13" s="57"/>
      <c r="BVB13" s="57"/>
      <c r="BVC13" s="57"/>
      <c r="BVD13" s="57"/>
      <c r="BVE13" s="57"/>
      <c r="BVF13" s="57"/>
      <c r="BVG13" s="57"/>
      <c r="BVH13" s="57"/>
      <c r="BVI13" s="57"/>
      <c r="BVJ13" s="54"/>
      <c r="BVK13" s="54"/>
      <c r="BVL13" s="54"/>
      <c r="BVM13" s="55"/>
      <c r="BVN13" s="56"/>
      <c r="BVO13" s="57"/>
      <c r="BVP13" s="57"/>
      <c r="BVQ13" s="57"/>
      <c r="BVR13" s="57"/>
      <c r="BVS13" s="57"/>
      <c r="BVT13" s="57"/>
      <c r="BVU13" s="57"/>
      <c r="BVV13" s="57"/>
      <c r="BVW13" s="57"/>
      <c r="BVX13" s="57"/>
      <c r="BVY13" s="57"/>
      <c r="BVZ13" s="54"/>
      <c r="BWA13" s="54"/>
      <c r="BWB13" s="54"/>
      <c r="BWC13" s="55"/>
      <c r="BWD13" s="56"/>
      <c r="BWE13" s="57"/>
      <c r="BWF13" s="57"/>
      <c r="BWG13" s="57"/>
      <c r="BWH13" s="57"/>
      <c r="BWI13" s="57"/>
      <c r="BWJ13" s="57"/>
      <c r="BWK13" s="57"/>
      <c r="BWL13" s="57"/>
      <c r="BWM13" s="57"/>
      <c r="BWN13" s="57"/>
      <c r="BWO13" s="57"/>
      <c r="BWP13" s="54"/>
      <c r="BWQ13" s="54"/>
      <c r="BWR13" s="54"/>
      <c r="BWS13" s="55"/>
      <c r="BWT13" s="56"/>
      <c r="BWU13" s="57"/>
      <c r="BWV13" s="57"/>
      <c r="BWW13" s="57"/>
      <c r="BWX13" s="57"/>
      <c r="BWY13" s="57"/>
      <c r="BWZ13" s="57"/>
      <c r="BXA13" s="57"/>
      <c r="BXB13" s="57"/>
      <c r="BXC13" s="57"/>
      <c r="BXD13" s="57"/>
      <c r="BXE13" s="57"/>
      <c r="BXF13" s="54"/>
      <c r="BXG13" s="54"/>
      <c r="BXH13" s="54"/>
      <c r="BXI13" s="55"/>
      <c r="BXJ13" s="56"/>
      <c r="BXK13" s="57"/>
      <c r="BXL13" s="57"/>
      <c r="BXM13" s="57"/>
      <c r="BXN13" s="57"/>
      <c r="BXO13" s="57"/>
      <c r="BXP13" s="57"/>
      <c r="BXQ13" s="57"/>
      <c r="BXR13" s="57"/>
      <c r="BXS13" s="57"/>
      <c r="BXT13" s="57"/>
      <c r="BXU13" s="57"/>
      <c r="BXV13" s="54"/>
      <c r="BXW13" s="54"/>
      <c r="BXX13" s="54"/>
      <c r="BXY13" s="55"/>
      <c r="BXZ13" s="56"/>
      <c r="BYA13" s="57"/>
      <c r="BYB13" s="57"/>
      <c r="BYC13" s="57"/>
      <c r="BYD13" s="57"/>
      <c r="BYE13" s="57"/>
      <c r="BYF13" s="57"/>
      <c r="BYG13" s="57"/>
      <c r="BYH13" s="57"/>
      <c r="BYI13" s="57"/>
      <c r="BYJ13" s="57"/>
      <c r="BYK13" s="57"/>
      <c r="BYL13" s="54"/>
      <c r="BYM13" s="54"/>
      <c r="BYN13" s="54"/>
      <c r="BYO13" s="55"/>
      <c r="BYP13" s="56"/>
      <c r="BYQ13" s="57"/>
      <c r="BYR13" s="57"/>
      <c r="BYS13" s="57"/>
      <c r="BYT13" s="57"/>
      <c r="BYU13" s="57"/>
      <c r="BYV13" s="57"/>
      <c r="BYW13" s="57"/>
      <c r="BYX13" s="57"/>
      <c r="BYY13" s="57"/>
      <c r="BYZ13" s="57"/>
      <c r="BZA13" s="57"/>
      <c r="BZB13" s="54"/>
      <c r="BZC13" s="54"/>
      <c r="BZD13" s="54"/>
      <c r="BZE13" s="55"/>
      <c r="BZF13" s="56"/>
      <c r="BZG13" s="57"/>
      <c r="BZH13" s="57"/>
      <c r="BZI13" s="57"/>
      <c r="BZJ13" s="57"/>
      <c r="BZK13" s="57"/>
      <c r="BZL13" s="57"/>
      <c r="BZM13" s="57"/>
      <c r="BZN13" s="57"/>
      <c r="BZO13" s="57"/>
      <c r="BZP13" s="57"/>
      <c r="BZQ13" s="57"/>
      <c r="BZR13" s="54"/>
      <c r="BZS13" s="54"/>
      <c r="BZT13" s="54"/>
      <c r="BZU13" s="55"/>
      <c r="BZV13" s="56"/>
      <c r="BZW13" s="57"/>
      <c r="BZX13" s="57"/>
      <c r="BZY13" s="57"/>
      <c r="BZZ13" s="57"/>
      <c r="CAA13" s="57"/>
      <c r="CAB13" s="57"/>
      <c r="CAC13" s="57"/>
      <c r="CAD13" s="57"/>
      <c r="CAE13" s="57"/>
      <c r="CAF13" s="57"/>
      <c r="CAG13" s="57"/>
      <c r="CAH13" s="54"/>
      <c r="CAI13" s="54"/>
      <c r="CAJ13" s="54"/>
      <c r="CAK13" s="55"/>
      <c r="CAL13" s="56"/>
      <c r="CAM13" s="57"/>
      <c r="CAN13" s="57"/>
      <c r="CAO13" s="57"/>
      <c r="CAP13" s="57"/>
      <c r="CAQ13" s="57"/>
      <c r="CAR13" s="57"/>
      <c r="CAS13" s="57"/>
      <c r="CAT13" s="57"/>
      <c r="CAU13" s="57"/>
      <c r="CAV13" s="57"/>
      <c r="CAW13" s="57"/>
      <c r="CAX13" s="54"/>
      <c r="CAY13" s="54"/>
      <c r="CAZ13" s="54"/>
      <c r="CBA13" s="55"/>
      <c r="CBB13" s="56"/>
      <c r="CBC13" s="57"/>
      <c r="CBD13" s="57"/>
      <c r="CBE13" s="57"/>
      <c r="CBF13" s="57"/>
      <c r="CBG13" s="57"/>
      <c r="CBH13" s="57"/>
      <c r="CBI13" s="57"/>
      <c r="CBJ13" s="57"/>
      <c r="CBK13" s="57"/>
      <c r="CBL13" s="57"/>
      <c r="CBM13" s="57"/>
      <c r="CBN13" s="54"/>
      <c r="CBO13" s="54"/>
      <c r="CBP13" s="54"/>
      <c r="CBQ13" s="55"/>
      <c r="CBR13" s="56"/>
      <c r="CBS13" s="57"/>
      <c r="CBT13" s="57"/>
      <c r="CBU13" s="57"/>
      <c r="CBV13" s="57"/>
      <c r="CBW13" s="57"/>
      <c r="CBX13" s="57"/>
      <c r="CBY13" s="57"/>
      <c r="CBZ13" s="57"/>
      <c r="CCA13" s="57"/>
      <c r="CCB13" s="57"/>
      <c r="CCC13" s="57"/>
      <c r="CCD13" s="54"/>
      <c r="CCE13" s="54"/>
      <c r="CCF13" s="54"/>
      <c r="CCG13" s="55"/>
      <c r="CCH13" s="56"/>
      <c r="CCI13" s="57"/>
      <c r="CCJ13" s="57"/>
      <c r="CCK13" s="57"/>
      <c r="CCL13" s="57"/>
      <c r="CCM13" s="57"/>
      <c r="CCN13" s="57"/>
      <c r="CCO13" s="57"/>
      <c r="CCP13" s="57"/>
      <c r="CCQ13" s="57"/>
      <c r="CCR13" s="57"/>
      <c r="CCS13" s="57"/>
      <c r="CCT13" s="54"/>
      <c r="CCU13" s="54"/>
      <c r="CCV13" s="54"/>
      <c r="CCW13" s="55"/>
      <c r="CCX13" s="56"/>
      <c r="CCY13" s="57"/>
      <c r="CCZ13" s="57"/>
      <c r="CDA13" s="57"/>
      <c r="CDB13" s="57"/>
      <c r="CDC13" s="57"/>
      <c r="CDD13" s="57"/>
      <c r="CDE13" s="57"/>
      <c r="CDF13" s="57"/>
      <c r="CDG13" s="57"/>
      <c r="CDH13" s="57"/>
      <c r="CDI13" s="57"/>
      <c r="CDJ13" s="54"/>
      <c r="CDK13" s="54"/>
      <c r="CDL13" s="54"/>
      <c r="CDM13" s="55"/>
      <c r="CDN13" s="56"/>
      <c r="CDO13" s="57"/>
      <c r="CDP13" s="57"/>
      <c r="CDQ13" s="57"/>
      <c r="CDR13" s="57"/>
      <c r="CDS13" s="57"/>
      <c r="CDT13" s="57"/>
      <c r="CDU13" s="57"/>
      <c r="CDV13" s="57"/>
      <c r="CDW13" s="57"/>
      <c r="CDX13" s="57"/>
      <c r="CDY13" s="57"/>
      <c r="CDZ13" s="54"/>
      <c r="CEA13" s="54"/>
      <c r="CEB13" s="54"/>
      <c r="CEC13" s="55"/>
      <c r="CED13" s="56"/>
      <c r="CEE13" s="57"/>
      <c r="CEF13" s="57"/>
      <c r="CEG13" s="57"/>
      <c r="CEH13" s="57"/>
      <c r="CEI13" s="57"/>
      <c r="CEJ13" s="57"/>
      <c r="CEK13" s="57"/>
      <c r="CEL13" s="57"/>
      <c r="CEM13" s="57"/>
      <c r="CEN13" s="57"/>
      <c r="CEO13" s="57"/>
      <c r="CEP13" s="54"/>
      <c r="CEQ13" s="54"/>
      <c r="CER13" s="54"/>
      <c r="CES13" s="55"/>
      <c r="CET13" s="56"/>
      <c r="CEU13" s="57"/>
      <c r="CEV13" s="57"/>
      <c r="CEW13" s="57"/>
      <c r="CEX13" s="57"/>
      <c r="CEY13" s="57"/>
      <c r="CEZ13" s="57"/>
      <c r="CFA13" s="57"/>
      <c r="CFB13" s="57"/>
      <c r="CFC13" s="57"/>
      <c r="CFD13" s="57"/>
      <c r="CFE13" s="57"/>
      <c r="CFF13" s="54"/>
      <c r="CFG13" s="54"/>
      <c r="CFH13" s="54"/>
      <c r="CFI13" s="55"/>
      <c r="CFJ13" s="56"/>
      <c r="CFK13" s="57"/>
      <c r="CFL13" s="57"/>
      <c r="CFM13" s="57"/>
      <c r="CFN13" s="57"/>
      <c r="CFO13" s="57"/>
      <c r="CFP13" s="57"/>
      <c r="CFQ13" s="57"/>
      <c r="CFR13" s="57"/>
      <c r="CFS13" s="57"/>
      <c r="CFT13" s="57"/>
      <c r="CFU13" s="57"/>
      <c r="CFV13" s="54"/>
      <c r="CFW13" s="54"/>
      <c r="CFX13" s="54"/>
      <c r="CFY13" s="55"/>
      <c r="CFZ13" s="56"/>
      <c r="CGA13" s="57"/>
      <c r="CGB13" s="57"/>
      <c r="CGC13" s="57"/>
      <c r="CGD13" s="57"/>
      <c r="CGE13" s="57"/>
      <c r="CGF13" s="57"/>
      <c r="CGG13" s="57"/>
      <c r="CGH13" s="57"/>
      <c r="CGI13" s="57"/>
      <c r="CGJ13" s="57"/>
      <c r="CGK13" s="57"/>
      <c r="CGL13" s="54"/>
      <c r="CGM13" s="54"/>
      <c r="CGN13" s="54"/>
      <c r="CGO13" s="55"/>
      <c r="CGP13" s="56"/>
      <c r="CGQ13" s="57"/>
      <c r="CGR13" s="57"/>
      <c r="CGS13" s="57"/>
      <c r="CGT13" s="57"/>
      <c r="CGU13" s="57"/>
      <c r="CGV13" s="57"/>
      <c r="CGW13" s="57"/>
      <c r="CGX13" s="57"/>
      <c r="CGY13" s="57"/>
      <c r="CGZ13" s="57"/>
      <c r="CHA13" s="57"/>
      <c r="CHB13" s="54"/>
      <c r="CHC13" s="54"/>
      <c r="CHD13" s="54"/>
      <c r="CHE13" s="55"/>
      <c r="CHF13" s="56"/>
      <c r="CHG13" s="57"/>
      <c r="CHH13" s="57"/>
      <c r="CHI13" s="57"/>
      <c r="CHJ13" s="57"/>
      <c r="CHK13" s="57"/>
      <c r="CHL13" s="57"/>
      <c r="CHM13" s="57"/>
      <c r="CHN13" s="57"/>
      <c r="CHO13" s="57"/>
      <c r="CHP13" s="57"/>
      <c r="CHQ13" s="57"/>
      <c r="CHR13" s="54"/>
      <c r="CHS13" s="54"/>
      <c r="CHT13" s="54"/>
      <c r="CHU13" s="55"/>
      <c r="CHV13" s="56"/>
      <c r="CHW13" s="57"/>
      <c r="CHX13" s="57"/>
      <c r="CHY13" s="57"/>
      <c r="CHZ13" s="57"/>
      <c r="CIA13" s="57"/>
      <c r="CIB13" s="57"/>
      <c r="CIC13" s="57"/>
      <c r="CID13" s="57"/>
      <c r="CIE13" s="57"/>
      <c r="CIF13" s="57"/>
      <c r="CIG13" s="57"/>
      <c r="CIH13" s="54"/>
      <c r="CII13" s="54"/>
      <c r="CIJ13" s="54"/>
      <c r="CIK13" s="55"/>
      <c r="CIL13" s="56"/>
      <c r="CIM13" s="57"/>
      <c r="CIN13" s="57"/>
      <c r="CIO13" s="57"/>
      <c r="CIP13" s="57"/>
      <c r="CIQ13" s="57"/>
      <c r="CIR13" s="57"/>
      <c r="CIS13" s="57"/>
      <c r="CIT13" s="57"/>
      <c r="CIU13" s="57"/>
      <c r="CIV13" s="57"/>
      <c r="CIW13" s="57"/>
      <c r="CIX13" s="54"/>
      <c r="CIY13" s="54"/>
      <c r="CIZ13" s="54"/>
      <c r="CJA13" s="55"/>
      <c r="CJB13" s="56"/>
      <c r="CJC13" s="57"/>
      <c r="CJD13" s="57"/>
      <c r="CJE13" s="57"/>
      <c r="CJF13" s="57"/>
      <c r="CJG13" s="57"/>
      <c r="CJH13" s="57"/>
      <c r="CJI13" s="57"/>
      <c r="CJJ13" s="57"/>
      <c r="CJK13" s="57"/>
      <c r="CJL13" s="57"/>
      <c r="CJM13" s="57"/>
      <c r="CJN13" s="54"/>
      <c r="CJO13" s="54"/>
      <c r="CJP13" s="54"/>
      <c r="CJQ13" s="55"/>
      <c r="CJR13" s="56"/>
      <c r="CJS13" s="57"/>
      <c r="CJT13" s="57"/>
      <c r="CJU13" s="57"/>
      <c r="CJV13" s="57"/>
      <c r="CJW13" s="57"/>
      <c r="CJX13" s="57"/>
      <c r="CJY13" s="57"/>
      <c r="CJZ13" s="57"/>
      <c r="CKA13" s="57"/>
      <c r="CKB13" s="57"/>
      <c r="CKC13" s="57"/>
      <c r="CKD13" s="54"/>
      <c r="CKE13" s="54"/>
      <c r="CKF13" s="54"/>
      <c r="CKG13" s="55"/>
      <c r="CKH13" s="56"/>
      <c r="CKI13" s="57"/>
      <c r="CKJ13" s="57"/>
      <c r="CKK13" s="57"/>
      <c r="CKL13" s="57"/>
      <c r="CKM13" s="57"/>
      <c r="CKN13" s="57"/>
      <c r="CKO13" s="57"/>
      <c r="CKP13" s="57"/>
      <c r="CKQ13" s="57"/>
      <c r="CKR13" s="57"/>
      <c r="CKS13" s="57"/>
      <c r="CKT13" s="54"/>
      <c r="CKU13" s="54"/>
      <c r="CKV13" s="54"/>
      <c r="CKW13" s="55"/>
      <c r="CKX13" s="56"/>
      <c r="CKY13" s="57"/>
      <c r="CKZ13" s="57"/>
      <c r="CLA13" s="57"/>
      <c r="CLB13" s="57"/>
      <c r="CLC13" s="57"/>
      <c r="CLD13" s="57"/>
      <c r="CLE13" s="57"/>
      <c r="CLF13" s="57"/>
      <c r="CLG13" s="57"/>
      <c r="CLH13" s="57"/>
      <c r="CLI13" s="57"/>
      <c r="CLJ13" s="54"/>
      <c r="CLK13" s="54"/>
      <c r="CLL13" s="54"/>
      <c r="CLM13" s="55"/>
      <c r="CLN13" s="56"/>
      <c r="CLO13" s="57"/>
      <c r="CLP13" s="57"/>
      <c r="CLQ13" s="57"/>
      <c r="CLR13" s="57"/>
      <c r="CLS13" s="57"/>
      <c r="CLT13" s="57"/>
      <c r="CLU13" s="57"/>
      <c r="CLV13" s="57"/>
      <c r="CLW13" s="57"/>
      <c r="CLX13" s="57"/>
      <c r="CLY13" s="57"/>
      <c r="CLZ13" s="54"/>
      <c r="CMA13" s="54"/>
      <c r="CMB13" s="54"/>
      <c r="CMC13" s="55"/>
      <c r="CMD13" s="56"/>
      <c r="CME13" s="57"/>
      <c r="CMF13" s="57"/>
      <c r="CMG13" s="57"/>
      <c r="CMH13" s="57"/>
      <c r="CMI13" s="57"/>
      <c r="CMJ13" s="57"/>
      <c r="CMK13" s="57"/>
      <c r="CML13" s="57"/>
      <c r="CMM13" s="57"/>
      <c r="CMN13" s="57"/>
      <c r="CMO13" s="57"/>
      <c r="CMP13" s="54"/>
      <c r="CMQ13" s="54"/>
      <c r="CMR13" s="54"/>
      <c r="CMS13" s="55"/>
      <c r="CMT13" s="56"/>
      <c r="CMU13" s="57"/>
      <c r="CMV13" s="57"/>
      <c r="CMW13" s="57"/>
      <c r="CMX13" s="57"/>
      <c r="CMY13" s="57"/>
      <c r="CMZ13" s="57"/>
      <c r="CNA13" s="57"/>
      <c r="CNB13" s="57"/>
      <c r="CNC13" s="57"/>
      <c r="CND13" s="57"/>
      <c r="CNE13" s="57"/>
      <c r="CNF13" s="54"/>
      <c r="CNG13" s="54"/>
      <c r="CNH13" s="54"/>
      <c r="CNI13" s="55"/>
      <c r="CNJ13" s="56"/>
      <c r="CNK13" s="57"/>
      <c r="CNL13" s="57"/>
      <c r="CNM13" s="57"/>
      <c r="CNN13" s="57"/>
      <c r="CNO13" s="57"/>
      <c r="CNP13" s="57"/>
      <c r="CNQ13" s="57"/>
      <c r="CNR13" s="57"/>
      <c r="CNS13" s="57"/>
      <c r="CNT13" s="57"/>
      <c r="CNU13" s="57"/>
      <c r="CNV13" s="54"/>
      <c r="CNW13" s="54"/>
      <c r="CNX13" s="54"/>
      <c r="CNY13" s="55"/>
      <c r="CNZ13" s="56"/>
      <c r="COA13" s="57"/>
      <c r="COB13" s="57"/>
      <c r="COC13" s="57"/>
      <c r="COD13" s="57"/>
      <c r="COE13" s="57"/>
      <c r="COF13" s="57"/>
      <c r="COG13" s="57"/>
      <c r="COH13" s="57"/>
      <c r="COI13" s="57"/>
      <c r="COJ13" s="57"/>
      <c r="COK13" s="57"/>
      <c r="COL13" s="54"/>
      <c r="COM13" s="54"/>
      <c r="CON13" s="54"/>
      <c r="COO13" s="55"/>
      <c r="COP13" s="56"/>
      <c r="COQ13" s="57"/>
      <c r="COR13" s="57"/>
      <c r="COS13" s="57"/>
      <c r="COT13" s="57"/>
      <c r="COU13" s="57"/>
      <c r="COV13" s="57"/>
      <c r="COW13" s="57"/>
      <c r="COX13" s="57"/>
      <c r="COY13" s="57"/>
      <c r="COZ13" s="57"/>
      <c r="CPA13" s="57"/>
      <c r="CPB13" s="54"/>
      <c r="CPC13" s="54"/>
      <c r="CPD13" s="54"/>
      <c r="CPE13" s="55"/>
      <c r="CPF13" s="56"/>
      <c r="CPG13" s="57"/>
      <c r="CPH13" s="57"/>
      <c r="CPI13" s="57"/>
      <c r="CPJ13" s="57"/>
      <c r="CPK13" s="57"/>
      <c r="CPL13" s="57"/>
      <c r="CPM13" s="57"/>
      <c r="CPN13" s="57"/>
      <c r="CPO13" s="57"/>
      <c r="CPP13" s="57"/>
      <c r="CPQ13" s="57"/>
      <c r="CPR13" s="54"/>
      <c r="CPS13" s="54"/>
      <c r="CPT13" s="54"/>
      <c r="CPU13" s="55"/>
      <c r="CPV13" s="56"/>
      <c r="CPW13" s="57"/>
      <c r="CPX13" s="57"/>
      <c r="CPY13" s="57"/>
      <c r="CPZ13" s="57"/>
      <c r="CQA13" s="57"/>
      <c r="CQB13" s="57"/>
      <c r="CQC13" s="57"/>
      <c r="CQD13" s="57"/>
      <c r="CQE13" s="57"/>
      <c r="CQF13" s="57"/>
      <c r="CQG13" s="57"/>
      <c r="CQH13" s="54"/>
      <c r="CQI13" s="54"/>
      <c r="CQJ13" s="54"/>
      <c r="CQK13" s="55"/>
      <c r="CQL13" s="56"/>
      <c r="CQM13" s="57"/>
      <c r="CQN13" s="57"/>
      <c r="CQO13" s="57"/>
      <c r="CQP13" s="57"/>
      <c r="CQQ13" s="57"/>
      <c r="CQR13" s="57"/>
      <c r="CQS13" s="57"/>
      <c r="CQT13" s="57"/>
      <c r="CQU13" s="57"/>
      <c r="CQV13" s="57"/>
      <c r="CQW13" s="57"/>
      <c r="CQX13" s="54"/>
      <c r="CQY13" s="54"/>
      <c r="CQZ13" s="54"/>
      <c r="CRA13" s="55"/>
      <c r="CRB13" s="56"/>
      <c r="CRC13" s="57"/>
      <c r="CRD13" s="57"/>
      <c r="CRE13" s="57"/>
      <c r="CRF13" s="57"/>
      <c r="CRG13" s="57"/>
      <c r="CRH13" s="57"/>
      <c r="CRI13" s="57"/>
      <c r="CRJ13" s="57"/>
      <c r="CRK13" s="57"/>
      <c r="CRL13" s="57"/>
      <c r="CRM13" s="57"/>
      <c r="CRN13" s="54"/>
      <c r="CRO13" s="54"/>
      <c r="CRP13" s="54"/>
      <c r="CRQ13" s="55"/>
      <c r="CRR13" s="56"/>
      <c r="CRS13" s="57"/>
      <c r="CRT13" s="57"/>
      <c r="CRU13" s="57"/>
      <c r="CRV13" s="57"/>
      <c r="CRW13" s="57"/>
      <c r="CRX13" s="57"/>
      <c r="CRY13" s="57"/>
      <c r="CRZ13" s="57"/>
      <c r="CSA13" s="57"/>
      <c r="CSB13" s="57"/>
      <c r="CSC13" s="57"/>
      <c r="CSD13" s="54"/>
      <c r="CSE13" s="54"/>
      <c r="CSF13" s="54"/>
      <c r="CSG13" s="55"/>
      <c r="CSH13" s="56"/>
      <c r="CSI13" s="57"/>
      <c r="CSJ13" s="57"/>
      <c r="CSK13" s="57"/>
      <c r="CSL13" s="57"/>
      <c r="CSM13" s="57"/>
      <c r="CSN13" s="57"/>
      <c r="CSO13" s="57"/>
      <c r="CSP13" s="57"/>
      <c r="CSQ13" s="57"/>
      <c r="CSR13" s="57"/>
      <c r="CSS13" s="57"/>
      <c r="CST13" s="54"/>
      <c r="CSU13" s="54"/>
      <c r="CSV13" s="54"/>
      <c r="CSW13" s="55"/>
      <c r="CSX13" s="56"/>
      <c r="CSY13" s="57"/>
      <c r="CSZ13" s="57"/>
      <c r="CTA13" s="57"/>
      <c r="CTB13" s="57"/>
      <c r="CTC13" s="57"/>
      <c r="CTD13" s="57"/>
      <c r="CTE13" s="57"/>
      <c r="CTF13" s="57"/>
      <c r="CTG13" s="57"/>
      <c r="CTH13" s="57"/>
      <c r="CTI13" s="57"/>
      <c r="CTJ13" s="54"/>
      <c r="CTK13" s="54"/>
      <c r="CTL13" s="54"/>
      <c r="CTM13" s="55"/>
      <c r="CTN13" s="56"/>
      <c r="CTO13" s="57"/>
      <c r="CTP13" s="57"/>
      <c r="CTQ13" s="57"/>
      <c r="CTR13" s="57"/>
      <c r="CTS13" s="57"/>
      <c r="CTT13" s="57"/>
      <c r="CTU13" s="57"/>
      <c r="CTV13" s="57"/>
      <c r="CTW13" s="57"/>
      <c r="CTX13" s="57"/>
      <c r="CTY13" s="57"/>
      <c r="CTZ13" s="54"/>
      <c r="CUA13" s="54"/>
      <c r="CUB13" s="54"/>
      <c r="CUC13" s="55"/>
      <c r="CUD13" s="56"/>
      <c r="CUE13" s="57"/>
      <c r="CUF13" s="57"/>
      <c r="CUG13" s="57"/>
      <c r="CUH13" s="57"/>
      <c r="CUI13" s="57"/>
      <c r="CUJ13" s="57"/>
      <c r="CUK13" s="57"/>
      <c r="CUL13" s="57"/>
      <c r="CUM13" s="57"/>
      <c r="CUN13" s="57"/>
      <c r="CUO13" s="57"/>
      <c r="CUP13" s="54"/>
      <c r="CUQ13" s="54"/>
      <c r="CUR13" s="54"/>
      <c r="CUS13" s="55"/>
      <c r="CUT13" s="56"/>
      <c r="CUU13" s="57"/>
      <c r="CUV13" s="57"/>
      <c r="CUW13" s="57"/>
      <c r="CUX13" s="57"/>
      <c r="CUY13" s="57"/>
      <c r="CUZ13" s="57"/>
      <c r="CVA13" s="57"/>
      <c r="CVB13" s="57"/>
      <c r="CVC13" s="57"/>
      <c r="CVD13" s="57"/>
      <c r="CVE13" s="57"/>
      <c r="CVF13" s="54"/>
      <c r="CVG13" s="54"/>
      <c r="CVH13" s="54"/>
      <c r="CVI13" s="55"/>
      <c r="CVJ13" s="56"/>
      <c r="CVK13" s="57"/>
      <c r="CVL13" s="57"/>
      <c r="CVM13" s="57"/>
      <c r="CVN13" s="57"/>
      <c r="CVO13" s="57"/>
      <c r="CVP13" s="57"/>
      <c r="CVQ13" s="57"/>
      <c r="CVR13" s="57"/>
      <c r="CVS13" s="57"/>
      <c r="CVT13" s="57"/>
      <c r="CVU13" s="57"/>
      <c r="CVV13" s="54"/>
      <c r="CVW13" s="54"/>
      <c r="CVX13" s="54"/>
      <c r="CVY13" s="55"/>
      <c r="CVZ13" s="56"/>
      <c r="CWA13" s="57"/>
      <c r="CWB13" s="57"/>
      <c r="CWC13" s="57"/>
      <c r="CWD13" s="57"/>
      <c r="CWE13" s="57"/>
      <c r="CWF13" s="57"/>
      <c r="CWG13" s="57"/>
      <c r="CWH13" s="57"/>
      <c r="CWI13" s="57"/>
      <c r="CWJ13" s="57"/>
      <c r="CWK13" s="57"/>
      <c r="CWL13" s="54"/>
      <c r="CWM13" s="54"/>
      <c r="CWN13" s="54"/>
      <c r="CWO13" s="55"/>
      <c r="CWP13" s="56"/>
      <c r="CWQ13" s="57"/>
      <c r="CWR13" s="57"/>
      <c r="CWS13" s="57"/>
      <c r="CWT13" s="57"/>
      <c r="CWU13" s="57"/>
      <c r="CWV13" s="57"/>
      <c r="CWW13" s="57"/>
      <c r="CWX13" s="57"/>
      <c r="CWY13" s="57"/>
      <c r="CWZ13" s="57"/>
      <c r="CXA13" s="57"/>
      <c r="CXB13" s="54"/>
      <c r="CXC13" s="54"/>
      <c r="CXD13" s="54"/>
      <c r="CXE13" s="55"/>
      <c r="CXF13" s="56"/>
      <c r="CXG13" s="57"/>
      <c r="CXH13" s="57"/>
      <c r="CXI13" s="57"/>
      <c r="CXJ13" s="57"/>
      <c r="CXK13" s="57"/>
      <c r="CXL13" s="57"/>
      <c r="CXM13" s="57"/>
      <c r="CXN13" s="57"/>
      <c r="CXO13" s="57"/>
      <c r="CXP13" s="57"/>
      <c r="CXQ13" s="57"/>
      <c r="CXR13" s="54"/>
      <c r="CXS13" s="54"/>
      <c r="CXT13" s="54"/>
      <c r="CXU13" s="55"/>
      <c r="CXV13" s="56"/>
      <c r="CXW13" s="57"/>
      <c r="CXX13" s="57"/>
      <c r="CXY13" s="57"/>
      <c r="CXZ13" s="57"/>
      <c r="CYA13" s="57"/>
      <c r="CYB13" s="57"/>
      <c r="CYC13" s="57"/>
      <c r="CYD13" s="57"/>
      <c r="CYE13" s="57"/>
      <c r="CYF13" s="57"/>
      <c r="CYG13" s="57"/>
      <c r="CYH13" s="54"/>
      <c r="CYI13" s="54"/>
      <c r="CYJ13" s="54"/>
      <c r="CYK13" s="55"/>
      <c r="CYL13" s="56"/>
      <c r="CYM13" s="57"/>
      <c r="CYN13" s="57"/>
      <c r="CYO13" s="57"/>
      <c r="CYP13" s="57"/>
      <c r="CYQ13" s="57"/>
      <c r="CYR13" s="57"/>
      <c r="CYS13" s="57"/>
      <c r="CYT13" s="57"/>
      <c r="CYU13" s="57"/>
      <c r="CYV13" s="57"/>
      <c r="CYW13" s="57"/>
      <c r="CYX13" s="54"/>
      <c r="CYY13" s="54"/>
      <c r="CYZ13" s="54"/>
      <c r="CZA13" s="55"/>
      <c r="CZB13" s="56"/>
      <c r="CZC13" s="57"/>
      <c r="CZD13" s="57"/>
      <c r="CZE13" s="57"/>
      <c r="CZF13" s="57"/>
      <c r="CZG13" s="57"/>
      <c r="CZH13" s="57"/>
      <c r="CZI13" s="57"/>
      <c r="CZJ13" s="57"/>
      <c r="CZK13" s="57"/>
      <c r="CZL13" s="57"/>
      <c r="CZM13" s="57"/>
      <c r="CZN13" s="54"/>
      <c r="CZO13" s="54"/>
      <c r="CZP13" s="54"/>
      <c r="CZQ13" s="55"/>
      <c r="CZR13" s="56"/>
      <c r="CZS13" s="57"/>
      <c r="CZT13" s="57"/>
      <c r="CZU13" s="57"/>
      <c r="CZV13" s="57"/>
      <c r="CZW13" s="57"/>
      <c r="CZX13" s="57"/>
      <c r="CZY13" s="57"/>
      <c r="CZZ13" s="57"/>
      <c r="DAA13" s="57"/>
      <c r="DAB13" s="57"/>
      <c r="DAC13" s="57"/>
      <c r="DAD13" s="54"/>
      <c r="DAE13" s="54"/>
      <c r="DAF13" s="54"/>
      <c r="DAG13" s="55"/>
      <c r="DAH13" s="56"/>
      <c r="DAI13" s="57"/>
      <c r="DAJ13" s="57"/>
      <c r="DAK13" s="57"/>
      <c r="DAL13" s="57"/>
      <c r="DAM13" s="57"/>
      <c r="DAN13" s="57"/>
      <c r="DAO13" s="57"/>
      <c r="DAP13" s="57"/>
      <c r="DAQ13" s="57"/>
      <c r="DAR13" s="57"/>
      <c r="DAS13" s="57"/>
      <c r="DAT13" s="54"/>
      <c r="DAU13" s="54"/>
      <c r="DAV13" s="54"/>
      <c r="DAW13" s="55"/>
      <c r="DAX13" s="56"/>
      <c r="DAY13" s="57"/>
      <c r="DAZ13" s="57"/>
      <c r="DBA13" s="57"/>
      <c r="DBB13" s="57"/>
      <c r="DBC13" s="57"/>
      <c r="DBD13" s="57"/>
      <c r="DBE13" s="57"/>
      <c r="DBF13" s="57"/>
      <c r="DBG13" s="57"/>
      <c r="DBH13" s="57"/>
      <c r="DBI13" s="57"/>
      <c r="DBJ13" s="54"/>
      <c r="DBK13" s="54"/>
      <c r="DBL13" s="54"/>
      <c r="DBM13" s="55"/>
      <c r="DBN13" s="56"/>
      <c r="DBO13" s="57"/>
      <c r="DBP13" s="57"/>
      <c r="DBQ13" s="57"/>
      <c r="DBR13" s="57"/>
      <c r="DBS13" s="57"/>
      <c r="DBT13" s="57"/>
      <c r="DBU13" s="57"/>
      <c r="DBV13" s="57"/>
      <c r="DBW13" s="57"/>
      <c r="DBX13" s="57"/>
      <c r="DBY13" s="57"/>
      <c r="DBZ13" s="54"/>
      <c r="DCA13" s="54"/>
      <c r="DCB13" s="54"/>
      <c r="DCC13" s="55"/>
      <c r="DCD13" s="56"/>
      <c r="DCE13" s="57"/>
      <c r="DCF13" s="57"/>
      <c r="DCG13" s="57"/>
      <c r="DCH13" s="57"/>
      <c r="DCI13" s="57"/>
      <c r="DCJ13" s="57"/>
      <c r="DCK13" s="57"/>
      <c r="DCL13" s="57"/>
      <c r="DCM13" s="57"/>
      <c r="DCN13" s="57"/>
      <c r="DCO13" s="57"/>
      <c r="DCP13" s="54"/>
      <c r="DCQ13" s="54"/>
      <c r="DCR13" s="54"/>
      <c r="DCS13" s="55"/>
      <c r="DCT13" s="56"/>
      <c r="DCU13" s="57"/>
      <c r="DCV13" s="57"/>
      <c r="DCW13" s="57"/>
      <c r="DCX13" s="57"/>
      <c r="DCY13" s="57"/>
      <c r="DCZ13" s="57"/>
      <c r="DDA13" s="57"/>
      <c r="DDB13" s="57"/>
      <c r="DDC13" s="57"/>
      <c r="DDD13" s="57"/>
      <c r="DDE13" s="57"/>
      <c r="DDF13" s="54"/>
      <c r="DDG13" s="54"/>
      <c r="DDH13" s="54"/>
      <c r="DDI13" s="55"/>
      <c r="DDJ13" s="56"/>
      <c r="DDK13" s="57"/>
      <c r="DDL13" s="57"/>
      <c r="DDM13" s="57"/>
      <c r="DDN13" s="57"/>
      <c r="DDO13" s="57"/>
      <c r="DDP13" s="57"/>
      <c r="DDQ13" s="57"/>
      <c r="DDR13" s="57"/>
      <c r="DDS13" s="57"/>
      <c r="DDT13" s="57"/>
      <c r="DDU13" s="57"/>
      <c r="DDV13" s="54"/>
      <c r="DDW13" s="54"/>
      <c r="DDX13" s="54"/>
      <c r="DDY13" s="55"/>
      <c r="DDZ13" s="56"/>
      <c r="DEA13" s="57"/>
      <c r="DEB13" s="57"/>
      <c r="DEC13" s="57"/>
      <c r="DED13" s="57"/>
      <c r="DEE13" s="57"/>
      <c r="DEF13" s="57"/>
      <c r="DEG13" s="57"/>
      <c r="DEH13" s="57"/>
      <c r="DEI13" s="57"/>
      <c r="DEJ13" s="57"/>
      <c r="DEK13" s="57"/>
      <c r="DEL13" s="54"/>
      <c r="DEM13" s="54"/>
      <c r="DEN13" s="54"/>
      <c r="DEO13" s="55"/>
      <c r="DEP13" s="56"/>
      <c r="DEQ13" s="57"/>
      <c r="DER13" s="57"/>
      <c r="DES13" s="57"/>
      <c r="DET13" s="57"/>
      <c r="DEU13" s="57"/>
      <c r="DEV13" s="57"/>
      <c r="DEW13" s="57"/>
      <c r="DEX13" s="57"/>
      <c r="DEY13" s="57"/>
      <c r="DEZ13" s="57"/>
      <c r="DFA13" s="57"/>
      <c r="DFB13" s="54"/>
      <c r="DFC13" s="54"/>
      <c r="DFD13" s="54"/>
      <c r="DFE13" s="55"/>
      <c r="DFF13" s="56"/>
      <c r="DFG13" s="57"/>
      <c r="DFH13" s="57"/>
      <c r="DFI13" s="57"/>
      <c r="DFJ13" s="57"/>
      <c r="DFK13" s="57"/>
      <c r="DFL13" s="57"/>
      <c r="DFM13" s="57"/>
      <c r="DFN13" s="57"/>
      <c r="DFO13" s="57"/>
      <c r="DFP13" s="57"/>
      <c r="DFQ13" s="57"/>
      <c r="DFR13" s="54"/>
      <c r="DFS13" s="54"/>
      <c r="DFT13" s="54"/>
      <c r="DFU13" s="55"/>
      <c r="DFV13" s="56"/>
      <c r="DFW13" s="57"/>
      <c r="DFX13" s="57"/>
      <c r="DFY13" s="57"/>
      <c r="DFZ13" s="57"/>
      <c r="DGA13" s="57"/>
      <c r="DGB13" s="57"/>
      <c r="DGC13" s="57"/>
      <c r="DGD13" s="57"/>
      <c r="DGE13" s="57"/>
      <c r="DGF13" s="57"/>
      <c r="DGG13" s="57"/>
      <c r="DGH13" s="54"/>
      <c r="DGI13" s="54"/>
      <c r="DGJ13" s="54"/>
      <c r="DGK13" s="55"/>
      <c r="DGL13" s="56"/>
      <c r="DGM13" s="57"/>
      <c r="DGN13" s="57"/>
      <c r="DGO13" s="57"/>
      <c r="DGP13" s="57"/>
      <c r="DGQ13" s="57"/>
      <c r="DGR13" s="57"/>
      <c r="DGS13" s="57"/>
      <c r="DGT13" s="57"/>
      <c r="DGU13" s="57"/>
      <c r="DGV13" s="57"/>
      <c r="DGW13" s="57"/>
      <c r="DGX13" s="54"/>
      <c r="DGY13" s="54"/>
      <c r="DGZ13" s="54"/>
      <c r="DHA13" s="55"/>
      <c r="DHB13" s="56"/>
      <c r="DHC13" s="57"/>
      <c r="DHD13" s="57"/>
      <c r="DHE13" s="57"/>
      <c r="DHF13" s="57"/>
      <c r="DHG13" s="57"/>
      <c r="DHH13" s="57"/>
      <c r="DHI13" s="57"/>
      <c r="DHJ13" s="57"/>
      <c r="DHK13" s="57"/>
      <c r="DHL13" s="57"/>
      <c r="DHM13" s="57"/>
      <c r="DHN13" s="54"/>
      <c r="DHO13" s="54"/>
      <c r="DHP13" s="54"/>
      <c r="DHQ13" s="55"/>
      <c r="DHR13" s="56"/>
      <c r="DHS13" s="57"/>
      <c r="DHT13" s="57"/>
      <c r="DHU13" s="57"/>
      <c r="DHV13" s="57"/>
      <c r="DHW13" s="57"/>
      <c r="DHX13" s="57"/>
      <c r="DHY13" s="57"/>
      <c r="DHZ13" s="57"/>
      <c r="DIA13" s="57"/>
      <c r="DIB13" s="57"/>
      <c r="DIC13" s="57"/>
      <c r="DID13" s="54"/>
      <c r="DIE13" s="54"/>
      <c r="DIF13" s="54"/>
      <c r="DIG13" s="55"/>
      <c r="DIH13" s="56"/>
      <c r="DII13" s="57"/>
      <c r="DIJ13" s="57"/>
      <c r="DIK13" s="57"/>
      <c r="DIL13" s="57"/>
      <c r="DIM13" s="57"/>
      <c r="DIN13" s="57"/>
      <c r="DIO13" s="57"/>
      <c r="DIP13" s="57"/>
      <c r="DIQ13" s="57"/>
      <c r="DIR13" s="57"/>
      <c r="DIS13" s="57"/>
      <c r="DIT13" s="54"/>
      <c r="DIU13" s="54"/>
      <c r="DIV13" s="54"/>
      <c r="DIW13" s="55"/>
      <c r="DIX13" s="56"/>
      <c r="DIY13" s="57"/>
      <c r="DIZ13" s="57"/>
      <c r="DJA13" s="57"/>
      <c r="DJB13" s="57"/>
      <c r="DJC13" s="57"/>
      <c r="DJD13" s="57"/>
      <c r="DJE13" s="57"/>
      <c r="DJF13" s="57"/>
      <c r="DJG13" s="57"/>
      <c r="DJH13" s="57"/>
      <c r="DJI13" s="57"/>
      <c r="DJJ13" s="54"/>
      <c r="DJK13" s="54"/>
      <c r="DJL13" s="54"/>
      <c r="DJM13" s="55"/>
      <c r="DJN13" s="56"/>
      <c r="DJO13" s="57"/>
      <c r="DJP13" s="57"/>
      <c r="DJQ13" s="57"/>
      <c r="DJR13" s="57"/>
      <c r="DJS13" s="57"/>
      <c r="DJT13" s="57"/>
      <c r="DJU13" s="57"/>
      <c r="DJV13" s="57"/>
      <c r="DJW13" s="57"/>
      <c r="DJX13" s="57"/>
      <c r="DJY13" s="57"/>
      <c r="DJZ13" s="54"/>
      <c r="DKA13" s="54"/>
      <c r="DKB13" s="54"/>
      <c r="DKC13" s="55"/>
      <c r="DKD13" s="56"/>
      <c r="DKE13" s="57"/>
      <c r="DKF13" s="57"/>
      <c r="DKG13" s="57"/>
      <c r="DKH13" s="57"/>
      <c r="DKI13" s="57"/>
      <c r="DKJ13" s="57"/>
      <c r="DKK13" s="57"/>
      <c r="DKL13" s="57"/>
      <c r="DKM13" s="57"/>
      <c r="DKN13" s="57"/>
      <c r="DKO13" s="57"/>
      <c r="DKP13" s="54"/>
      <c r="DKQ13" s="54"/>
      <c r="DKR13" s="54"/>
      <c r="DKS13" s="55"/>
      <c r="DKT13" s="56"/>
      <c r="DKU13" s="57"/>
      <c r="DKV13" s="57"/>
      <c r="DKW13" s="57"/>
      <c r="DKX13" s="57"/>
      <c r="DKY13" s="57"/>
      <c r="DKZ13" s="57"/>
      <c r="DLA13" s="57"/>
      <c r="DLB13" s="57"/>
      <c r="DLC13" s="57"/>
      <c r="DLD13" s="57"/>
      <c r="DLE13" s="57"/>
      <c r="DLF13" s="54"/>
      <c r="DLG13" s="54"/>
      <c r="DLH13" s="54"/>
      <c r="DLI13" s="55"/>
      <c r="DLJ13" s="56"/>
      <c r="DLK13" s="57"/>
      <c r="DLL13" s="57"/>
      <c r="DLM13" s="57"/>
      <c r="DLN13" s="57"/>
      <c r="DLO13" s="57"/>
      <c r="DLP13" s="57"/>
      <c r="DLQ13" s="57"/>
      <c r="DLR13" s="57"/>
      <c r="DLS13" s="57"/>
      <c r="DLT13" s="57"/>
      <c r="DLU13" s="57"/>
      <c r="DLV13" s="54"/>
      <c r="DLW13" s="54"/>
      <c r="DLX13" s="54"/>
      <c r="DLY13" s="55"/>
      <c r="DLZ13" s="56"/>
      <c r="DMA13" s="57"/>
      <c r="DMB13" s="57"/>
      <c r="DMC13" s="57"/>
      <c r="DMD13" s="57"/>
      <c r="DME13" s="57"/>
      <c r="DMF13" s="57"/>
      <c r="DMG13" s="57"/>
      <c r="DMH13" s="57"/>
      <c r="DMI13" s="57"/>
      <c r="DMJ13" s="57"/>
      <c r="DMK13" s="57"/>
      <c r="DML13" s="54"/>
      <c r="DMM13" s="54"/>
      <c r="DMN13" s="54"/>
      <c r="DMO13" s="55"/>
      <c r="DMP13" s="56"/>
      <c r="DMQ13" s="57"/>
      <c r="DMR13" s="57"/>
      <c r="DMS13" s="57"/>
      <c r="DMT13" s="57"/>
      <c r="DMU13" s="57"/>
      <c r="DMV13" s="57"/>
      <c r="DMW13" s="57"/>
      <c r="DMX13" s="57"/>
      <c r="DMY13" s="57"/>
      <c r="DMZ13" s="57"/>
      <c r="DNA13" s="57"/>
      <c r="DNB13" s="54"/>
      <c r="DNC13" s="54"/>
      <c r="DND13" s="54"/>
      <c r="DNE13" s="55"/>
      <c r="DNF13" s="56"/>
      <c r="DNG13" s="57"/>
      <c r="DNH13" s="57"/>
      <c r="DNI13" s="57"/>
      <c r="DNJ13" s="57"/>
      <c r="DNK13" s="57"/>
      <c r="DNL13" s="57"/>
      <c r="DNM13" s="57"/>
      <c r="DNN13" s="57"/>
      <c r="DNO13" s="57"/>
      <c r="DNP13" s="57"/>
      <c r="DNQ13" s="57"/>
      <c r="DNR13" s="54"/>
      <c r="DNS13" s="54"/>
      <c r="DNT13" s="54"/>
      <c r="DNU13" s="55"/>
      <c r="DNV13" s="56"/>
      <c r="DNW13" s="57"/>
      <c r="DNX13" s="57"/>
      <c r="DNY13" s="57"/>
      <c r="DNZ13" s="57"/>
      <c r="DOA13" s="57"/>
      <c r="DOB13" s="57"/>
      <c r="DOC13" s="57"/>
      <c r="DOD13" s="57"/>
      <c r="DOE13" s="57"/>
      <c r="DOF13" s="57"/>
      <c r="DOG13" s="57"/>
      <c r="DOH13" s="54"/>
      <c r="DOI13" s="54"/>
      <c r="DOJ13" s="54"/>
      <c r="DOK13" s="55"/>
      <c r="DOL13" s="56"/>
      <c r="DOM13" s="57"/>
      <c r="DON13" s="57"/>
      <c r="DOO13" s="57"/>
      <c r="DOP13" s="57"/>
      <c r="DOQ13" s="57"/>
      <c r="DOR13" s="57"/>
      <c r="DOS13" s="57"/>
      <c r="DOT13" s="57"/>
      <c r="DOU13" s="57"/>
      <c r="DOV13" s="57"/>
      <c r="DOW13" s="57"/>
      <c r="DOX13" s="54"/>
      <c r="DOY13" s="54"/>
      <c r="DOZ13" s="54"/>
      <c r="DPA13" s="55"/>
      <c r="DPB13" s="56"/>
      <c r="DPC13" s="57"/>
      <c r="DPD13" s="57"/>
      <c r="DPE13" s="57"/>
      <c r="DPF13" s="57"/>
      <c r="DPG13" s="57"/>
      <c r="DPH13" s="57"/>
      <c r="DPI13" s="57"/>
      <c r="DPJ13" s="57"/>
      <c r="DPK13" s="57"/>
      <c r="DPL13" s="57"/>
      <c r="DPM13" s="57"/>
      <c r="DPN13" s="54"/>
      <c r="DPO13" s="54"/>
      <c r="DPP13" s="54"/>
      <c r="DPQ13" s="55"/>
      <c r="DPR13" s="56"/>
      <c r="DPS13" s="57"/>
      <c r="DPT13" s="57"/>
      <c r="DPU13" s="57"/>
      <c r="DPV13" s="57"/>
      <c r="DPW13" s="57"/>
      <c r="DPX13" s="57"/>
      <c r="DPY13" s="57"/>
      <c r="DPZ13" s="57"/>
      <c r="DQA13" s="57"/>
      <c r="DQB13" s="57"/>
      <c r="DQC13" s="57"/>
      <c r="DQD13" s="54"/>
      <c r="DQE13" s="54"/>
      <c r="DQF13" s="54"/>
      <c r="DQG13" s="55"/>
      <c r="DQH13" s="56"/>
      <c r="DQI13" s="57"/>
      <c r="DQJ13" s="57"/>
      <c r="DQK13" s="57"/>
      <c r="DQL13" s="57"/>
      <c r="DQM13" s="57"/>
      <c r="DQN13" s="57"/>
      <c r="DQO13" s="57"/>
      <c r="DQP13" s="57"/>
      <c r="DQQ13" s="57"/>
      <c r="DQR13" s="57"/>
      <c r="DQS13" s="57"/>
      <c r="DQT13" s="54"/>
      <c r="DQU13" s="54"/>
      <c r="DQV13" s="54"/>
      <c r="DQW13" s="55"/>
      <c r="DQX13" s="56"/>
      <c r="DQY13" s="57"/>
      <c r="DQZ13" s="57"/>
      <c r="DRA13" s="57"/>
      <c r="DRB13" s="57"/>
      <c r="DRC13" s="57"/>
      <c r="DRD13" s="57"/>
      <c r="DRE13" s="57"/>
      <c r="DRF13" s="57"/>
      <c r="DRG13" s="57"/>
      <c r="DRH13" s="57"/>
      <c r="DRI13" s="57"/>
      <c r="DRJ13" s="54"/>
      <c r="DRK13" s="54"/>
      <c r="DRL13" s="54"/>
      <c r="DRM13" s="55"/>
      <c r="DRN13" s="56"/>
      <c r="DRO13" s="57"/>
      <c r="DRP13" s="57"/>
      <c r="DRQ13" s="57"/>
      <c r="DRR13" s="57"/>
      <c r="DRS13" s="57"/>
      <c r="DRT13" s="57"/>
      <c r="DRU13" s="57"/>
      <c r="DRV13" s="57"/>
      <c r="DRW13" s="57"/>
      <c r="DRX13" s="57"/>
      <c r="DRY13" s="57"/>
      <c r="DRZ13" s="54"/>
      <c r="DSA13" s="54"/>
      <c r="DSB13" s="54"/>
      <c r="DSC13" s="55"/>
      <c r="DSD13" s="56"/>
      <c r="DSE13" s="57"/>
      <c r="DSF13" s="57"/>
      <c r="DSG13" s="57"/>
      <c r="DSH13" s="57"/>
      <c r="DSI13" s="57"/>
      <c r="DSJ13" s="57"/>
      <c r="DSK13" s="57"/>
      <c r="DSL13" s="57"/>
      <c r="DSM13" s="57"/>
      <c r="DSN13" s="57"/>
      <c r="DSO13" s="57"/>
      <c r="DSP13" s="54"/>
      <c r="DSQ13" s="54"/>
      <c r="DSR13" s="54"/>
      <c r="DSS13" s="55"/>
      <c r="DST13" s="56"/>
      <c r="DSU13" s="57"/>
      <c r="DSV13" s="57"/>
      <c r="DSW13" s="57"/>
      <c r="DSX13" s="57"/>
      <c r="DSY13" s="57"/>
      <c r="DSZ13" s="57"/>
      <c r="DTA13" s="57"/>
      <c r="DTB13" s="57"/>
      <c r="DTC13" s="57"/>
      <c r="DTD13" s="57"/>
      <c r="DTE13" s="57"/>
      <c r="DTF13" s="54"/>
      <c r="DTG13" s="54"/>
      <c r="DTH13" s="54"/>
      <c r="DTI13" s="55"/>
      <c r="DTJ13" s="56"/>
      <c r="DTK13" s="57"/>
      <c r="DTL13" s="57"/>
      <c r="DTM13" s="57"/>
      <c r="DTN13" s="57"/>
      <c r="DTO13" s="57"/>
      <c r="DTP13" s="57"/>
      <c r="DTQ13" s="57"/>
      <c r="DTR13" s="57"/>
      <c r="DTS13" s="57"/>
      <c r="DTT13" s="57"/>
      <c r="DTU13" s="57"/>
      <c r="DTV13" s="54"/>
      <c r="DTW13" s="54"/>
      <c r="DTX13" s="54"/>
      <c r="DTY13" s="55"/>
      <c r="DTZ13" s="56"/>
      <c r="DUA13" s="57"/>
      <c r="DUB13" s="57"/>
      <c r="DUC13" s="57"/>
      <c r="DUD13" s="57"/>
      <c r="DUE13" s="57"/>
      <c r="DUF13" s="57"/>
      <c r="DUG13" s="57"/>
      <c r="DUH13" s="57"/>
      <c r="DUI13" s="57"/>
      <c r="DUJ13" s="57"/>
      <c r="DUK13" s="57"/>
      <c r="DUL13" s="54"/>
      <c r="DUM13" s="54"/>
      <c r="DUN13" s="54"/>
      <c r="DUO13" s="55"/>
      <c r="DUP13" s="56"/>
      <c r="DUQ13" s="57"/>
      <c r="DUR13" s="57"/>
      <c r="DUS13" s="57"/>
      <c r="DUT13" s="57"/>
      <c r="DUU13" s="57"/>
      <c r="DUV13" s="57"/>
      <c r="DUW13" s="57"/>
      <c r="DUX13" s="57"/>
      <c r="DUY13" s="57"/>
      <c r="DUZ13" s="57"/>
      <c r="DVA13" s="57"/>
      <c r="DVB13" s="54"/>
      <c r="DVC13" s="54"/>
      <c r="DVD13" s="54"/>
      <c r="DVE13" s="55"/>
      <c r="DVF13" s="56"/>
      <c r="DVG13" s="57"/>
      <c r="DVH13" s="57"/>
      <c r="DVI13" s="57"/>
      <c r="DVJ13" s="57"/>
      <c r="DVK13" s="57"/>
      <c r="DVL13" s="57"/>
      <c r="DVM13" s="57"/>
      <c r="DVN13" s="57"/>
      <c r="DVO13" s="57"/>
      <c r="DVP13" s="57"/>
      <c r="DVQ13" s="57"/>
      <c r="DVR13" s="54"/>
      <c r="DVS13" s="54"/>
      <c r="DVT13" s="54"/>
      <c r="DVU13" s="55"/>
      <c r="DVV13" s="56"/>
      <c r="DVW13" s="57"/>
      <c r="DVX13" s="57"/>
      <c r="DVY13" s="57"/>
      <c r="DVZ13" s="57"/>
      <c r="DWA13" s="57"/>
      <c r="DWB13" s="57"/>
      <c r="DWC13" s="57"/>
      <c r="DWD13" s="57"/>
      <c r="DWE13" s="57"/>
      <c r="DWF13" s="57"/>
      <c r="DWG13" s="57"/>
      <c r="DWH13" s="54"/>
      <c r="DWI13" s="54"/>
      <c r="DWJ13" s="54"/>
      <c r="DWK13" s="55"/>
      <c r="DWL13" s="56"/>
      <c r="DWM13" s="57"/>
      <c r="DWN13" s="57"/>
      <c r="DWO13" s="57"/>
      <c r="DWP13" s="57"/>
      <c r="DWQ13" s="57"/>
      <c r="DWR13" s="57"/>
      <c r="DWS13" s="57"/>
      <c r="DWT13" s="57"/>
      <c r="DWU13" s="57"/>
      <c r="DWV13" s="57"/>
      <c r="DWW13" s="57"/>
      <c r="DWX13" s="54"/>
      <c r="DWY13" s="54"/>
      <c r="DWZ13" s="54"/>
      <c r="DXA13" s="55"/>
      <c r="DXB13" s="56"/>
      <c r="DXC13" s="57"/>
      <c r="DXD13" s="57"/>
      <c r="DXE13" s="57"/>
      <c r="DXF13" s="57"/>
      <c r="DXG13" s="57"/>
      <c r="DXH13" s="57"/>
      <c r="DXI13" s="57"/>
      <c r="DXJ13" s="57"/>
      <c r="DXK13" s="57"/>
      <c r="DXL13" s="57"/>
      <c r="DXM13" s="57"/>
      <c r="DXN13" s="54"/>
      <c r="DXO13" s="54"/>
      <c r="DXP13" s="54"/>
      <c r="DXQ13" s="55"/>
      <c r="DXR13" s="56"/>
      <c r="DXS13" s="57"/>
      <c r="DXT13" s="57"/>
      <c r="DXU13" s="57"/>
      <c r="DXV13" s="57"/>
      <c r="DXW13" s="57"/>
      <c r="DXX13" s="57"/>
      <c r="DXY13" s="57"/>
      <c r="DXZ13" s="57"/>
      <c r="DYA13" s="57"/>
      <c r="DYB13" s="57"/>
      <c r="DYC13" s="57"/>
      <c r="DYD13" s="54"/>
      <c r="DYE13" s="54"/>
      <c r="DYF13" s="54"/>
      <c r="DYG13" s="55"/>
      <c r="DYH13" s="56"/>
      <c r="DYI13" s="57"/>
      <c r="DYJ13" s="57"/>
      <c r="DYK13" s="57"/>
      <c r="DYL13" s="57"/>
      <c r="DYM13" s="57"/>
      <c r="DYN13" s="57"/>
      <c r="DYO13" s="57"/>
      <c r="DYP13" s="57"/>
      <c r="DYQ13" s="57"/>
      <c r="DYR13" s="57"/>
      <c r="DYS13" s="57"/>
      <c r="DYT13" s="54"/>
      <c r="DYU13" s="54"/>
      <c r="DYV13" s="54"/>
      <c r="DYW13" s="55"/>
      <c r="DYX13" s="56"/>
      <c r="DYY13" s="57"/>
      <c r="DYZ13" s="57"/>
      <c r="DZA13" s="57"/>
      <c r="DZB13" s="57"/>
      <c r="DZC13" s="57"/>
      <c r="DZD13" s="57"/>
      <c r="DZE13" s="57"/>
      <c r="DZF13" s="57"/>
      <c r="DZG13" s="57"/>
      <c r="DZH13" s="57"/>
      <c r="DZI13" s="57"/>
      <c r="DZJ13" s="54"/>
      <c r="DZK13" s="54"/>
      <c r="DZL13" s="54"/>
      <c r="DZM13" s="55"/>
      <c r="DZN13" s="56"/>
      <c r="DZO13" s="57"/>
      <c r="DZP13" s="57"/>
      <c r="DZQ13" s="57"/>
      <c r="DZR13" s="57"/>
      <c r="DZS13" s="57"/>
      <c r="DZT13" s="57"/>
      <c r="DZU13" s="57"/>
      <c r="DZV13" s="57"/>
      <c r="DZW13" s="57"/>
      <c r="DZX13" s="57"/>
      <c r="DZY13" s="57"/>
      <c r="DZZ13" s="54"/>
      <c r="EAA13" s="54"/>
      <c r="EAB13" s="54"/>
      <c r="EAC13" s="55"/>
      <c r="EAD13" s="56"/>
      <c r="EAE13" s="57"/>
      <c r="EAF13" s="57"/>
      <c r="EAG13" s="57"/>
      <c r="EAH13" s="57"/>
      <c r="EAI13" s="57"/>
      <c r="EAJ13" s="57"/>
      <c r="EAK13" s="57"/>
      <c r="EAL13" s="57"/>
      <c r="EAM13" s="57"/>
      <c r="EAN13" s="57"/>
      <c r="EAO13" s="57"/>
      <c r="EAP13" s="54"/>
      <c r="EAQ13" s="54"/>
      <c r="EAR13" s="54"/>
      <c r="EAS13" s="55"/>
      <c r="EAT13" s="56"/>
      <c r="EAU13" s="57"/>
      <c r="EAV13" s="57"/>
      <c r="EAW13" s="57"/>
      <c r="EAX13" s="57"/>
      <c r="EAY13" s="57"/>
      <c r="EAZ13" s="57"/>
      <c r="EBA13" s="57"/>
      <c r="EBB13" s="57"/>
      <c r="EBC13" s="57"/>
      <c r="EBD13" s="57"/>
      <c r="EBE13" s="57"/>
      <c r="EBF13" s="54"/>
      <c r="EBG13" s="54"/>
      <c r="EBH13" s="54"/>
      <c r="EBI13" s="55"/>
      <c r="EBJ13" s="56"/>
      <c r="EBK13" s="57"/>
      <c r="EBL13" s="57"/>
      <c r="EBM13" s="57"/>
      <c r="EBN13" s="57"/>
      <c r="EBO13" s="57"/>
      <c r="EBP13" s="57"/>
      <c r="EBQ13" s="57"/>
      <c r="EBR13" s="57"/>
      <c r="EBS13" s="57"/>
      <c r="EBT13" s="57"/>
      <c r="EBU13" s="57"/>
      <c r="EBV13" s="54"/>
      <c r="EBW13" s="54"/>
      <c r="EBX13" s="54"/>
      <c r="EBY13" s="55"/>
      <c r="EBZ13" s="56"/>
      <c r="ECA13" s="57"/>
      <c r="ECB13" s="57"/>
      <c r="ECC13" s="57"/>
      <c r="ECD13" s="57"/>
      <c r="ECE13" s="57"/>
      <c r="ECF13" s="57"/>
      <c r="ECG13" s="57"/>
      <c r="ECH13" s="57"/>
      <c r="ECI13" s="57"/>
      <c r="ECJ13" s="57"/>
      <c r="ECK13" s="57"/>
      <c r="ECL13" s="54"/>
      <c r="ECM13" s="54"/>
      <c r="ECN13" s="54"/>
      <c r="ECO13" s="55"/>
      <c r="ECP13" s="56"/>
      <c r="ECQ13" s="57"/>
      <c r="ECR13" s="57"/>
      <c r="ECS13" s="57"/>
      <c r="ECT13" s="57"/>
      <c r="ECU13" s="57"/>
      <c r="ECV13" s="57"/>
      <c r="ECW13" s="57"/>
      <c r="ECX13" s="57"/>
      <c r="ECY13" s="57"/>
      <c r="ECZ13" s="57"/>
      <c r="EDA13" s="57"/>
      <c r="EDB13" s="54"/>
      <c r="EDC13" s="54"/>
      <c r="EDD13" s="54"/>
      <c r="EDE13" s="55"/>
      <c r="EDF13" s="56"/>
      <c r="EDG13" s="57"/>
      <c r="EDH13" s="57"/>
      <c r="EDI13" s="57"/>
      <c r="EDJ13" s="57"/>
      <c r="EDK13" s="57"/>
      <c r="EDL13" s="57"/>
      <c r="EDM13" s="57"/>
      <c r="EDN13" s="57"/>
      <c r="EDO13" s="57"/>
      <c r="EDP13" s="57"/>
      <c r="EDQ13" s="57"/>
      <c r="EDR13" s="54"/>
      <c r="EDS13" s="54"/>
      <c r="EDT13" s="54"/>
      <c r="EDU13" s="55"/>
      <c r="EDV13" s="56"/>
      <c r="EDW13" s="57"/>
      <c r="EDX13" s="57"/>
      <c r="EDY13" s="57"/>
      <c r="EDZ13" s="57"/>
      <c r="EEA13" s="57"/>
      <c r="EEB13" s="57"/>
      <c r="EEC13" s="57"/>
      <c r="EED13" s="57"/>
      <c r="EEE13" s="57"/>
      <c r="EEF13" s="57"/>
      <c r="EEG13" s="57"/>
      <c r="EEH13" s="54"/>
      <c r="EEI13" s="54"/>
      <c r="EEJ13" s="54"/>
      <c r="EEK13" s="55"/>
      <c r="EEL13" s="56"/>
      <c r="EEM13" s="57"/>
      <c r="EEN13" s="57"/>
      <c r="EEO13" s="57"/>
      <c r="EEP13" s="57"/>
      <c r="EEQ13" s="57"/>
      <c r="EER13" s="57"/>
      <c r="EES13" s="57"/>
      <c r="EET13" s="57"/>
      <c r="EEU13" s="57"/>
      <c r="EEV13" s="57"/>
      <c r="EEW13" s="57"/>
      <c r="EEX13" s="54"/>
      <c r="EEY13" s="54"/>
      <c r="EEZ13" s="54"/>
      <c r="EFA13" s="55"/>
      <c r="EFB13" s="56"/>
      <c r="EFC13" s="57"/>
      <c r="EFD13" s="57"/>
      <c r="EFE13" s="57"/>
      <c r="EFF13" s="57"/>
      <c r="EFG13" s="57"/>
      <c r="EFH13" s="57"/>
      <c r="EFI13" s="57"/>
      <c r="EFJ13" s="57"/>
      <c r="EFK13" s="57"/>
      <c r="EFL13" s="57"/>
      <c r="EFM13" s="57"/>
      <c r="EFN13" s="54"/>
      <c r="EFO13" s="54"/>
      <c r="EFP13" s="54"/>
      <c r="EFQ13" s="55"/>
      <c r="EFR13" s="56"/>
      <c r="EFS13" s="57"/>
      <c r="EFT13" s="57"/>
      <c r="EFU13" s="57"/>
      <c r="EFV13" s="57"/>
      <c r="EFW13" s="57"/>
      <c r="EFX13" s="57"/>
      <c r="EFY13" s="57"/>
      <c r="EFZ13" s="57"/>
      <c r="EGA13" s="57"/>
      <c r="EGB13" s="57"/>
      <c r="EGC13" s="57"/>
      <c r="EGD13" s="54"/>
      <c r="EGE13" s="54"/>
      <c r="EGF13" s="54"/>
      <c r="EGG13" s="55"/>
      <c r="EGH13" s="56"/>
      <c r="EGI13" s="57"/>
      <c r="EGJ13" s="57"/>
      <c r="EGK13" s="57"/>
      <c r="EGL13" s="57"/>
      <c r="EGM13" s="57"/>
      <c r="EGN13" s="57"/>
      <c r="EGO13" s="57"/>
      <c r="EGP13" s="57"/>
      <c r="EGQ13" s="57"/>
      <c r="EGR13" s="57"/>
      <c r="EGS13" s="57"/>
      <c r="EGT13" s="54"/>
      <c r="EGU13" s="54"/>
      <c r="EGV13" s="54"/>
      <c r="EGW13" s="55"/>
      <c r="EGX13" s="56"/>
      <c r="EGY13" s="57"/>
      <c r="EGZ13" s="57"/>
      <c r="EHA13" s="57"/>
      <c r="EHB13" s="57"/>
      <c r="EHC13" s="57"/>
      <c r="EHD13" s="57"/>
      <c r="EHE13" s="57"/>
      <c r="EHF13" s="57"/>
      <c r="EHG13" s="57"/>
      <c r="EHH13" s="57"/>
      <c r="EHI13" s="57"/>
      <c r="EHJ13" s="54"/>
      <c r="EHK13" s="54"/>
      <c r="EHL13" s="54"/>
      <c r="EHM13" s="55"/>
      <c r="EHN13" s="56"/>
      <c r="EHO13" s="57"/>
      <c r="EHP13" s="57"/>
      <c r="EHQ13" s="57"/>
      <c r="EHR13" s="57"/>
      <c r="EHS13" s="57"/>
      <c r="EHT13" s="57"/>
      <c r="EHU13" s="57"/>
      <c r="EHV13" s="57"/>
      <c r="EHW13" s="57"/>
      <c r="EHX13" s="57"/>
      <c r="EHY13" s="57"/>
      <c r="EHZ13" s="54"/>
      <c r="EIA13" s="54"/>
      <c r="EIB13" s="54"/>
      <c r="EIC13" s="55"/>
      <c r="EID13" s="56"/>
      <c r="EIE13" s="57"/>
      <c r="EIF13" s="57"/>
      <c r="EIG13" s="57"/>
      <c r="EIH13" s="57"/>
      <c r="EII13" s="57"/>
      <c r="EIJ13" s="57"/>
      <c r="EIK13" s="57"/>
      <c r="EIL13" s="57"/>
      <c r="EIM13" s="57"/>
      <c r="EIN13" s="57"/>
      <c r="EIO13" s="57"/>
      <c r="EIP13" s="54"/>
      <c r="EIQ13" s="54"/>
      <c r="EIR13" s="54"/>
      <c r="EIS13" s="55"/>
      <c r="EIT13" s="56"/>
      <c r="EIU13" s="57"/>
      <c r="EIV13" s="57"/>
      <c r="EIW13" s="57"/>
      <c r="EIX13" s="57"/>
      <c r="EIY13" s="57"/>
      <c r="EIZ13" s="57"/>
      <c r="EJA13" s="57"/>
      <c r="EJB13" s="57"/>
      <c r="EJC13" s="57"/>
      <c r="EJD13" s="57"/>
      <c r="EJE13" s="57"/>
      <c r="EJF13" s="54"/>
      <c r="EJG13" s="54"/>
      <c r="EJH13" s="54"/>
      <c r="EJI13" s="55"/>
      <c r="EJJ13" s="56"/>
      <c r="EJK13" s="57"/>
      <c r="EJL13" s="57"/>
      <c r="EJM13" s="57"/>
      <c r="EJN13" s="57"/>
      <c r="EJO13" s="57"/>
      <c r="EJP13" s="57"/>
      <c r="EJQ13" s="57"/>
      <c r="EJR13" s="57"/>
      <c r="EJS13" s="57"/>
      <c r="EJT13" s="57"/>
      <c r="EJU13" s="57"/>
      <c r="EJV13" s="54"/>
      <c r="EJW13" s="54"/>
      <c r="EJX13" s="54"/>
      <c r="EJY13" s="55"/>
      <c r="EJZ13" s="56"/>
      <c r="EKA13" s="57"/>
      <c r="EKB13" s="57"/>
      <c r="EKC13" s="57"/>
      <c r="EKD13" s="57"/>
      <c r="EKE13" s="57"/>
      <c r="EKF13" s="57"/>
      <c r="EKG13" s="57"/>
      <c r="EKH13" s="57"/>
      <c r="EKI13" s="57"/>
      <c r="EKJ13" s="57"/>
      <c r="EKK13" s="57"/>
      <c r="EKL13" s="54"/>
      <c r="EKM13" s="54"/>
      <c r="EKN13" s="54"/>
      <c r="EKO13" s="55"/>
      <c r="EKP13" s="56"/>
      <c r="EKQ13" s="57"/>
      <c r="EKR13" s="57"/>
      <c r="EKS13" s="57"/>
      <c r="EKT13" s="57"/>
      <c r="EKU13" s="57"/>
      <c r="EKV13" s="57"/>
      <c r="EKW13" s="57"/>
      <c r="EKX13" s="57"/>
      <c r="EKY13" s="57"/>
      <c r="EKZ13" s="57"/>
      <c r="ELA13" s="57"/>
      <c r="ELB13" s="54"/>
      <c r="ELC13" s="54"/>
      <c r="ELD13" s="54"/>
      <c r="ELE13" s="55"/>
      <c r="ELF13" s="56"/>
      <c r="ELG13" s="57"/>
      <c r="ELH13" s="57"/>
      <c r="ELI13" s="57"/>
      <c r="ELJ13" s="57"/>
      <c r="ELK13" s="57"/>
      <c r="ELL13" s="57"/>
      <c r="ELM13" s="57"/>
      <c r="ELN13" s="57"/>
      <c r="ELO13" s="57"/>
      <c r="ELP13" s="57"/>
      <c r="ELQ13" s="57"/>
      <c r="ELR13" s="54"/>
      <c r="ELS13" s="54"/>
      <c r="ELT13" s="54"/>
      <c r="ELU13" s="55"/>
      <c r="ELV13" s="56"/>
      <c r="ELW13" s="57"/>
      <c r="ELX13" s="57"/>
      <c r="ELY13" s="57"/>
      <c r="ELZ13" s="57"/>
      <c r="EMA13" s="57"/>
      <c r="EMB13" s="57"/>
      <c r="EMC13" s="57"/>
      <c r="EMD13" s="57"/>
      <c r="EME13" s="57"/>
      <c r="EMF13" s="57"/>
      <c r="EMG13" s="57"/>
      <c r="EMH13" s="54"/>
      <c r="EMI13" s="54"/>
      <c r="EMJ13" s="54"/>
      <c r="EMK13" s="55"/>
      <c r="EML13" s="56"/>
      <c r="EMM13" s="57"/>
      <c r="EMN13" s="57"/>
      <c r="EMO13" s="57"/>
      <c r="EMP13" s="57"/>
      <c r="EMQ13" s="57"/>
      <c r="EMR13" s="57"/>
      <c r="EMS13" s="57"/>
      <c r="EMT13" s="57"/>
      <c r="EMU13" s="57"/>
      <c r="EMV13" s="57"/>
      <c r="EMW13" s="57"/>
      <c r="EMX13" s="54"/>
      <c r="EMY13" s="54"/>
      <c r="EMZ13" s="54"/>
      <c r="ENA13" s="55"/>
      <c r="ENB13" s="56"/>
      <c r="ENC13" s="57"/>
      <c r="END13" s="57"/>
      <c r="ENE13" s="57"/>
      <c r="ENF13" s="57"/>
      <c r="ENG13" s="57"/>
      <c r="ENH13" s="57"/>
      <c r="ENI13" s="57"/>
      <c r="ENJ13" s="57"/>
      <c r="ENK13" s="57"/>
      <c r="ENL13" s="57"/>
      <c r="ENM13" s="57"/>
      <c r="ENN13" s="54"/>
      <c r="ENO13" s="54"/>
      <c r="ENP13" s="54"/>
      <c r="ENQ13" s="55"/>
      <c r="ENR13" s="56"/>
      <c r="ENS13" s="57"/>
      <c r="ENT13" s="57"/>
      <c r="ENU13" s="57"/>
      <c r="ENV13" s="57"/>
      <c r="ENW13" s="57"/>
      <c r="ENX13" s="57"/>
      <c r="ENY13" s="57"/>
      <c r="ENZ13" s="57"/>
      <c r="EOA13" s="57"/>
      <c r="EOB13" s="57"/>
      <c r="EOC13" s="57"/>
      <c r="EOD13" s="54"/>
      <c r="EOE13" s="54"/>
      <c r="EOF13" s="54"/>
      <c r="EOG13" s="55"/>
      <c r="EOH13" s="56"/>
      <c r="EOI13" s="57"/>
      <c r="EOJ13" s="57"/>
      <c r="EOK13" s="57"/>
      <c r="EOL13" s="57"/>
      <c r="EOM13" s="57"/>
      <c r="EON13" s="57"/>
      <c r="EOO13" s="57"/>
      <c r="EOP13" s="57"/>
      <c r="EOQ13" s="57"/>
      <c r="EOR13" s="57"/>
      <c r="EOS13" s="57"/>
      <c r="EOT13" s="54"/>
      <c r="EOU13" s="54"/>
      <c r="EOV13" s="54"/>
      <c r="EOW13" s="55"/>
      <c r="EOX13" s="56"/>
      <c r="EOY13" s="57"/>
      <c r="EOZ13" s="57"/>
      <c r="EPA13" s="57"/>
      <c r="EPB13" s="57"/>
      <c r="EPC13" s="57"/>
      <c r="EPD13" s="57"/>
      <c r="EPE13" s="57"/>
      <c r="EPF13" s="57"/>
      <c r="EPG13" s="57"/>
      <c r="EPH13" s="57"/>
      <c r="EPI13" s="57"/>
      <c r="EPJ13" s="54"/>
      <c r="EPK13" s="54"/>
      <c r="EPL13" s="54"/>
      <c r="EPM13" s="55"/>
      <c r="EPN13" s="56"/>
      <c r="EPO13" s="57"/>
      <c r="EPP13" s="57"/>
      <c r="EPQ13" s="57"/>
      <c r="EPR13" s="57"/>
      <c r="EPS13" s="57"/>
      <c r="EPT13" s="57"/>
      <c r="EPU13" s="57"/>
      <c r="EPV13" s="57"/>
      <c r="EPW13" s="57"/>
      <c r="EPX13" s="57"/>
      <c r="EPY13" s="57"/>
      <c r="EPZ13" s="54"/>
      <c r="EQA13" s="54"/>
      <c r="EQB13" s="54"/>
      <c r="EQC13" s="55"/>
      <c r="EQD13" s="56"/>
      <c r="EQE13" s="57"/>
      <c r="EQF13" s="57"/>
      <c r="EQG13" s="57"/>
      <c r="EQH13" s="57"/>
      <c r="EQI13" s="57"/>
      <c r="EQJ13" s="57"/>
      <c r="EQK13" s="57"/>
      <c r="EQL13" s="57"/>
      <c r="EQM13" s="57"/>
      <c r="EQN13" s="57"/>
      <c r="EQO13" s="57"/>
      <c r="EQP13" s="54"/>
      <c r="EQQ13" s="54"/>
      <c r="EQR13" s="54"/>
      <c r="EQS13" s="55"/>
      <c r="EQT13" s="56"/>
      <c r="EQU13" s="57"/>
      <c r="EQV13" s="57"/>
      <c r="EQW13" s="57"/>
      <c r="EQX13" s="57"/>
      <c r="EQY13" s="57"/>
      <c r="EQZ13" s="57"/>
      <c r="ERA13" s="57"/>
      <c r="ERB13" s="57"/>
      <c r="ERC13" s="57"/>
      <c r="ERD13" s="57"/>
      <c r="ERE13" s="57"/>
      <c r="ERF13" s="54"/>
      <c r="ERG13" s="54"/>
      <c r="ERH13" s="54"/>
      <c r="ERI13" s="55"/>
      <c r="ERJ13" s="56"/>
      <c r="ERK13" s="57"/>
      <c r="ERL13" s="57"/>
      <c r="ERM13" s="57"/>
      <c r="ERN13" s="57"/>
      <c r="ERO13" s="57"/>
      <c r="ERP13" s="57"/>
      <c r="ERQ13" s="57"/>
      <c r="ERR13" s="57"/>
      <c r="ERS13" s="57"/>
      <c r="ERT13" s="57"/>
      <c r="ERU13" s="57"/>
      <c r="ERV13" s="54"/>
      <c r="ERW13" s="54"/>
      <c r="ERX13" s="54"/>
      <c r="ERY13" s="55"/>
      <c r="ERZ13" s="56"/>
      <c r="ESA13" s="57"/>
      <c r="ESB13" s="57"/>
      <c r="ESC13" s="57"/>
      <c r="ESD13" s="57"/>
      <c r="ESE13" s="57"/>
      <c r="ESF13" s="57"/>
      <c r="ESG13" s="57"/>
      <c r="ESH13" s="57"/>
      <c r="ESI13" s="57"/>
      <c r="ESJ13" s="57"/>
      <c r="ESK13" s="57"/>
      <c r="ESL13" s="54"/>
      <c r="ESM13" s="54"/>
      <c r="ESN13" s="54"/>
      <c r="ESO13" s="55"/>
      <c r="ESP13" s="56"/>
      <c r="ESQ13" s="57"/>
      <c r="ESR13" s="57"/>
      <c r="ESS13" s="57"/>
      <c r="EST13" s="57"/>
      <c r="ESU13" s="57"/>
      <c r="ESV13" s="57"/>
      <c r="ESW13" s="57"/>
      <c r="ESX13" s="57"/>
      <c r="ESY13" s="57"/>
      <c r="ESZ13" s="57"/>
      <c r="ETA13" s="57"/>
      <c r="ETB13" s="54"/>
      <c r="ETC13" s="54"/>
      <c r="ETD13" s="54"/>
      <c r="ETE13" s="55"/>
      <c r="ETF13" s="56"/>
      <c r="ETG13" s="57"/>
      <c r="ETH13" s="57"/>
      <c r="ETI13" s="57"/>
      <c r="ETJ13" s="57"/>
      <c r="ETK13" s="57"/>
      <c r="ETL13" s="57"/>
      <c r="ETM13" s="57"/>
      <c r="ETN13" s="57"/>
      <c r="ETO13" s="57"/>
      <c r="ETP13" s="57"/>
      <c r="ETQ13" s="57"/>
      <c r="ETR13" s="54"/>
      <c r="ETS13" s="54"/>
      <c r="ETT13" s="54"/>
      <c r="ETU13" s="55"/>
      <c r="ETV13" s="56"/>
      <c r="ETW13" s="57"/>
      <c r="ETX13" s="57"/>
      <c r="ETY13" s="57"/>
      <c r="ETZ13" s="57"/>
      <c r="EUA13" s="57"/>
      <c r="EUB13" s="57"/>
      <c r="EUC13" s="57"/>
      <c r="EUD13" s="57"/>
      <c r="EUE13" s="57"/>
      <c r="EUF13" s="57"/>
      <c r="EUG13" s="57"/>
      <c r="EUH13" s="54"/>
      <c r="EUI13" s="54"/>
      <c r="EUJ13" s="54"/>
      <c r="EUK13" s="55"/>
      <c r="EUL13" s="56"/>
      <c r="EUM13" s="57"/>
      <c r="EUN13" s="57"/>
      <c r="EUO13" s="57"/>
      <c r="EUP13" s="57"/>
      <c r="EUQ13" s="57"/>
      <c r="EUR13" s="57"/>
      <c r="EUS13" s="57"/>
      <c r="EUT13" s="57"/>
      <c r="EUU13" s="57"/>
      <c r="EUV13" s="57"/>
      <c r="EUW13" s="57"/>
      <c r="EUX13" s="54"/>
      <c r="EUY13" s="54"/>
      <c r="EUZ13" s="54"/>
      <c r="EVA13" s="55"/>
      <c r="EVB13" s="56"/>
      <c r="EVC13" s="57"/>
      <c r="EVD13" s="57"/>
      <c r="EVE13" s="57"/>
      <c r="EVF13" s="57"/>
      <c r="EVG13" s="57"/>
      <c r="EVH13" s="57"/>
      <c r="EVI13" s="57"/>
      <c r="EVJ13" s="57"/>
      <c r="EVK13" s="57"/>
      <c r="EVL13" s="57"/>
      <c r="EVM13" s="57"/>
      <c r="EVN13" s="54"/>
      <c r="EVO13" s="54"/>
      <c r="EVP13" s="54"/>
      <c r="EVQ13" s="55"/>
      <c r="EVR13" s="56"/>
      <c r="EVS13" s="57"/>
      <c r="EVT13" s="57"/>
      <c r="EVU13" s="57"/>
      <c r="EVV13" s="57"/>
      <c r="EVW13" s="57"/>
      <c r="EVX13" s="57"/>
      <c r="EVY13" s="57"/>
      <c r="EVZ13" s="57"/>
      <c r="EWA13" s="57"/>
      <c r="EWB13" s="57"/>
      <c r="EWC13" s="57"/>
      <c r="EWD13" s="54"/>
      <c r="EWE13" s="54"/>
      <c r="EWF13" s="54"/>
      <c r="EWG13" s="55"/>
      <c r="EWH13" s="56"/>
      <c r="EWI13" s="57"/>
      <c r="EWJ13" s="57"/>
      <c r="EWK13" s="57"/>
      <c r="EWL13" s="57"/>
      <c r="EWM13" s="57"/>
      <c r="EWN13" s="57"/>
      <c r="EWO13" s="57"/>
      <c r="EWP13" s="57"/>
      <c r="EWQ13" s="57"/>
      <c r="EWR13" s="57"/>
      <c r="EWS13" s="57"/>
      <c r="EWT13" s="54"/>
      <c r="EWU13" s="54"/>
      <c r="EWV13" s="54"/>
      <c r="EWW13" s="55"/>
      <c r="EWX13" s="56"/>
      <c r="EWY13" s="57"/>
      <c r="EWZ13" s="57"/>
      <c r="EXA13" s="57"/>
      <c r="EXB13" s="57"/>
      <c r="EXC13" s="57"/>
      <c r="EXD13" s="57"/>
      <c r="EXE13" s="57"/>
      <c r="EXF13" s="57"/>
      <c r="EXG13" s="57"/>
      <c r="EXH13" s="57"/>
      <c r="EXI13" s="57"/>
      <c r="EXJ13" s="54"/>
      <c r="EXK13" s="54"/>
      <c r="EXL13" s="54"/>
      <c r="EXM13" s="55"/>
      <c r="EXN13" s="56"/>
      <c r="EXO13" s="57"/>
      <c r="EXP13" s="57"/>
      <c r="EXQ13" s="57"/>
      <c r="EXR13" s="57"/>
      <c r="EXS13" s="57"/>
      <c r="EXT13" s="57"/>
      <c r="EXU13" s="57"/>
      <c r="EXV13" s="57"/>
      <c r="EXW13" s="57"/>
      <c r="EXX13" s="57"/>
      <c r="EXY13" s="57"/>
      <c r="EXZ13" s="54"/>
      <c r="EYA13" s="54"/>
      <c r="EYB13" s="54"/>
      <c r="EYC13" s="55"/>
      <c r="EYD13" s="56"/>
      <c r="EYE13" s="57"/>
      <c r="EYF13" s="57"/>
      <c r="EYG13" s="57"/>
      <c r="EYH13" s="57"/>
      <c r="EYI13" s="57"/>
      <c r="EYJ13" s="57"/>
      <c r="EYK13" s="57"/>
      <c r="EYL13" s="57"/>
      <c r="EYM13" s="57"/>
      <c r="EYN13" s="57"/>
      <c r="EYO13" s="57"/>
      <c r="EYP13" s="54"/>
      <c r="EYQ13" s="54"/>
      <c r="EYR13" s="54"/>
      <c r="EYS13" s="55"/>
      <c r="EYT13" s="56"/>
      <c r="EYU13" s="57"/>
      <c r="EYV13" s="57"/>
      <c r="EYW13" s="57"/>
      <c r="EYX13" s="57"/>
      <c r="EYY13" s="57"/>
      <c r="EYZ13" s="57"/>
      <c r="EZA13" s="57"/>
      <c r="EZB13" s="57"/>
      <c r="EZC13" s="57"/>
      <c r="EZD13" s="57"/>
      <c r="EZE13" s="57"/>
      <c r="EZF13" s="54"/>
      <c r="EZG13" s="54"/>
      <c r="EZH13" s="54"/>
      <c r="EZI13" s="55"/>
      <c r="EZJ13" s="56"/>
      <c r="EZK13" s="57"/>
      <c r="EZL13" s="57"/>
      <c r="EZM13" s="57"/>
      <c r="EZN13" s="57"/>
      <c r="EZO13" s="57"/>
      <c r="EZP13" s="57"/>
      <c r="EZQ13" s="57"/>
      <c r="EZR13" s="57"/>
      <c r="EZS13" s="57"/>
      <c r="EZT13" s="57"/>
      <c r="EZU13" s="57"/>
      <c r="EZV13" s="54"/>
      <c r="EZW13" s="54"/>
      <c r="EZX13" s="54"/>
      <c r="EZY13" s="55"/>
      <c r="EZZ13" s="56"/>
      <c r="FAA13" s="57"/>
      <c r="FAB13" s="57"/>
      <c r="FAC13" s="57"/>
      <c r="FAD13" s="57"/>
      <c r="FAE13" s="57"/>
      <c r="FAF13" s="57"/>
      <c r="FAG13" s="57"/>
      <c r="FAH13" s="57"/>
      <c r="FAI13" s="57"/>
      <c r="FAJ13" s="57"/>
      <c r="FAK13" s="57"/>
      <c r="FAL13" s="54"/>
      <c r="FAM13" s="54"/>
      <c r="FAN13" s="54"/>
      <c r="FAO13" s="55"/>
      <c r="FAP13" s="56"/>
      <c r="FAQ13" s="57"/>
      <c r="FAR13" s="57"/>
      <c r="FAS13" s="57"/>
      <c r="FAT13" s="57"/>
      <c r="FAU13" s="57"/>
      <c r="FAV13" s="57"/>
      <c r="FAW13" s="57"/>
      <c r="FAX13" s="57"/>
      <c r="FAY13" s="57"/>
      <c r="FAZ13" s="57"/>
      <c r="FBA13" s="57"/>
      <c r="FBB13" s="54"/>
      <c r="FBC13" s="54"/>
      <c r="FBD13" s="54"/>
      <c r="FBE13" s="55"/>
      <c r="FBF13" s="56"/>
      <c r="FBG13" s="57"/>
      <c r="FBH13" s="57"/>
      <c r="FBI13" s="57"/>
      <c r="FBJ13" s="57"/>
      <c r="FBK13" s="57"/>
      <c r="FBL13" s="57"/>
      <c r="FBM13" s="57"/>
      <c r="FBN13" s="57"/>
      <c r="FBO13" s="57"/>
      <c r="FBP13" s="57"/>
      <c r="FBQ13" s="57"/>
      <c r="FBR13" s="54"/>
      <c r="FBS13" s="54"/>
      <c r="FBT13" s="54"/>
      <c r="FBU13" s="55"/>
      <c r="FBV13" s="56"/>
      <c r="FBW13" s="57"/>
      <c r="FBX13" s="57"/>
      <c r="FBY13" s="57"/>
      <c r="FBZ13" s="57"/>
      <c r="FCA13" s="57"/>
      <c r="FCB13" s="57"/>
      <c r="FCC13" s="57"/>
      <c r="FCD13" s="57"/>
      <c r="FCE13" s="57"/>
      <c r="FCF13" s="57"/>
      <c r="FCG13" s="57"/>
      <c r="FCH13" s="54"/>
      <c r="FCI13" s="54"/>
      <c r="FCJ13" s="54"/>
      <c r="FCK13" s="55"/>
      <c r="FCL13" s="56"/>
      <c r="FCM13" s="57"/>
      <c r="FCN13" s="57"/>
      <c r="FCO13" s="57"/>
      <c r="FCP13" s="57"/>
      <c r="FCQ13" s="57"/>
      <c r="FCR13" s="57"/>
      <c r="FCS13" s="57"/>
      <c r="FCT13" s="57"/>
      <c r="FCU13" s="57"/>
      <c r="FCV13" s="57"/>
      <c r="FCW13" s="57"/>
      <c r="FCX13" s="54"/>
      <c r="FCY13" s="54"/>
      <c r="FCZ13" s="54"/>
      <c r="FDA13" s="55"/>
      <c r="FDB13" s="56"/>
      <c r="FDC13" s="57"/>
      <c r="FDD13" s="57"/>
      <c r="FDE13" s="57"/>
      <c r="FDF13" s="57"/>
      <c r="FDG13" s="57"/>
      <c r="FDH13" s="57"/>
      <c r="FDI13" s="57"/>
      <c r="FDJ13" s="57"/>
      <c r="FDK13" s="57"/>
      <c r="FDL13" s="57"/>
      <c r="FDM13" s="57"/>
      <c r="FDN13" s="54"/>
      <c r="FDO13" s="54"/>
      <c r="FDP13" s="54"/>
      <c r="FDQ13" s="55"/>
      <c r="FDR13" s="56"/>
      <c r="FDS13" s="57"/>
      <c r="FDT13" s="57"/>
      <c r="FDU13" s="57"/>
      <c r="FDV13" s="57"/>
      <c r="FDW13" s="57"/>
      <c r="FDX13" s="57"/>
      <c r="FDY13" s="57"/>
      <c r="FDZ13" s="57"/>
      <c r="FEA13" s="57"/>
      <c r="FEB13" s="57"/>
      <c r="FEC13" s="57"/>
      <c r="FED13" s="54"/>
      <c r="FEE13" s="54"/>
      <c r="FEF13" s="54"/>
      <c r="FEG13" s="55"/>
      <c r="FEH13" s="56"/>
      <c r="FEI13" s="57"/>
      <c r="FEJ13" s="57"/>
      <c r="FEK13" s="57"/>
      <c r="FEL13" s="57"/>
      <c r="FEM13" s="57"/>
      <c r="FEN13" s="57"/>
      <c r="FEO13" s="57"/>
      <c r="FEP13" s="57"/>
      <c r="FEQ13" s="57"/>
      <c r="FER13" s="57"/>
      <c r="FES13" s="57"/>
      <c r="FET13" s="54"/>
      <c r="FEU13" s="54"/>
      <c r="FEV13" s="54"/>
      <c r="FEW13" s="55"/>
      <c r="FEX13" s="56"/>
      <c r="FEY13" s="57"/>
      <c r="FEZ13" s="57"/>
      <c r="FFA13" s="57"/>
      <c r="FFB13" s="57"/>
      <c r="FFC13" s="57"/>
      <c r="FFD13" s="57"/>
      <c r="FFE13" s="57"/>
      <c r="FFF13" s="57"/>
      <c r="FFG13" s="57"/>
      <c r="FFH13" s="57"/>
      <c r="FFI13" s="57"/>
      <c r="FFJ13" s="54"/>
      <c r="FFK13" s="54"/>
      <c r="FFL13" s="54"/>
      <c r="FFM13" s="55"/>
      <c r="FFN13" s="56"/>
      <c r="FFO13" s="57"/>
      <c r="FFP13" s="57"/>
      <c r="FFQ13" s="57"/>
      <c r="FFR13" s="57"/>
      <c r="FFS13" s="57"/>
      <c r="FFT13" s="57"/>
      <c r="FFU13" s="57"/>
      <c r="FFV13" s="57"/>
      <c r="FFW13" s="57"/>
      <c r="FFX13" s="57"/>
      <c r="FFY13" s="57"/>
      <c r="FFZ13" s="54"/>
      <c r="FGA13" s="54"/>
      <c r="FGB13" s="54"/>
      <c r="FGC13" s="55"/>
      <c r="FGD13" s="56"/>
      <c r="FGE13" s="57"/>
      <c r="FGF13" s="57"/>
      <c r="FGG13" s="57"/>
      <c r="FGH13" s="57"/>
      <c r="FGI13" s="57"/>
      <c r="FGJ13" s="57"/>
      <c r="FGK13" s="57"/>
      <c r="FGL13" s="57"/>
      <c r="FGM13" s="57"/>
      <c r="FGN13" s="57"/>
      <c r="FGO13" s="57"/>
      <c r="FGP13" s="54"/>
      <c r="FGQ13" s="54"/>
      <c r="FGR13" s="54"/>
      <c r="FGS13" s="55"/>
      <c r="FGT13" s="56"/>
      <c r="FGU13" s="57"/>
      <c r="FGV13" s="57"/>
      <c r="FGW13" s="57"/>
      <c r="FGX13" s="57"/>
      <c r="FGY13" s="57"/>
      <c r="FGZ13" s="57"/>
      <c r="FHA13" s="57"/>
      <c r="FHB13" s="57"/>
      <c r="FHC13" s="57"/>
      <c r="FHD13" s="57"/>
      <c r="FHE13" s="57"/>
      <c r="FHF13" s="54"/>
      <c r="FHG13" s="54"/>
      <c r="FHH13" s="54"/>
      <c r="FHI13" s="55"/>
      <c r="FHJ13" s="56"/>
      <c r="FHK13" s="57"/>
      <c r="FHL13" s="57"/>
      <c r="FHM13" s="57"/>
      <c r="FHN13" s="57"/>
      <c r="FHO13" s="57"/>
      <c r="FHP13" s="57"/>
      <c r="FHQ13" s="57"/>
      <c r="FHR13" s="57"/>
      <c r="FHS13" s="57"/>
      <c r="FHT13" s="57"/>
      <c r="FHU13" s="57"/>
      <c r="FHV13" s="54"/>
      <c r="FHW13" s="54"/>
      <c r="FHX13" s="54"/>
      <c r="FHY13" s="55"/>
      <c r="FHZ13" s="56"/>
      <c r="FIA13" s="57"/>
      <c r="FIB13" s="57"/>
      <c r="FIC13" s="57"/>
      <c r="FID13" s="57"/>
      <c r="FIE13" s="57"/>
      <c r="FIF13" s="57"/>
      <c r="FIG13" s="57"/>
      <c r="FIH13" s="57"/>
      <c r="FII13" s="57"/>
      <c r="FIJ13" s="57"/>
      <c r="FIK13" s="57"/>
      <c r="FIL13" s="54"/>
      <c r="FIM13" s="54"/>
      <c r="FIN13" s="54"/>
      <c r="FIO13" s="55"/>
      <c r="FIP13" s="56"/>
      <c r="FIQ13" s="57"/>
      <c r="FIR13" s="57"/>
      <c r="FIS13" s="57"/>
      <c r="FIT13" s="57"/>
      <c r="FIU13" s="57"/>
      <c r="FIV13" s="57"/>
      <c r="FIW13" s="57"/>
      <c r="FIX13" s="57"/>
      <c r="FIY13" s="57"/>
      <c r="FIZ13" s="57"/>
      <c r="FJA13" s="57"/>
      <c r="FJB13" s="54"/>
      <c r="FJC13" s="54"/>
      <c r="FJD13" s="54"/>
      <c r="FJE13" s="55"/>
      <c r="FJF13" s="56"/>
      <c r="FJG13" s="57"/>
      <c r="FJH13" s="57"/>
      <c r="FJI13" s="57"/>
      <c r="FJJ13" s="57"/>
      <c r="FJK13" s="57"/>
      <c r="FJL13" s="57"/>
      <c r="FJM13" s="57"/>
      <c r="FJN13" s="57"/>
      <c r="FJO13" s="57"/>
      <c r="FJP13" s="57"/>
      <c r="FJQ13" s="57"/>
      <c r="FJR13" s="54"/>
      <c r="FJS13" s="54"/>
      <c r="FJT13" s="54"/>
      <c r="FJU13" s="55"/>
      <c r="FJV13" s="56"/>
      <c r="FJW13" s="57"/>
      <c r="FJX13" s="57"/>
      <c r="FJY13" s="57"/>
      <c r="FJZ13" s="57"/>
      <c r="FKA13" s="57"/>
      <c r="FKB13" s="57"/>
      <c r="FKC13" s="57"/>
      <c r="FKD13" s="57"/>
      <c r="FKE13" s="57"/>
      <c r="FKF13" s="57"/>
      <c r="FKG13" s="57"/>
      <c r="FKH13" s="54"/>
      <c r="FKI13" s="54"/>
      <c r="FKJ13" s="54"/>
      <c r="FKK13" s="55"/>
      <c r="FKL13" s="56"/>
      <c r="FKM13" s="57"/>
      <c r="FKN13" s="57"/>
      <c r="FKO13" s="57"/>
      <c r="FKP13" s="57"/>
      <c r="FKQ13" s="57"/>
      <c r="FKR13" s="57"/>
      <c r="FKS13" s="57"/>
      <c r="FKT13" s="57"/>
      <c r="FKU13" s="57"/>
      <c r="FKV13" s="57"/>
      <c r="FKW13" s="57"/>
      <c r="FKX13" s="54"/>
      <c r="FKY13" s="54"/>
      <c r="FKZ13" s="54"/>
      <c r="FLA13" s="55"/>
      <c r="FLB13" s="56"/>
      <c r="FLC13" s="57"/>
      <c r="FLD13" s="57"/>
      <c r="FLE13" s="57"/>
      <c r="FLF13" s="57"/>
      <c r="FLG13" s="57"/>
      <c r="FLH13" s="57"/>
      <c r="FLI13" s="57"/>
      <c r="FLJ13" s="57"/>
      <c r="FLK13" s="57"/>
      <c r="FLL13" s="57"/>
      <c r="FLM13" s="57"/>
      <c r="FLN13" s="54"/>
      <c r="FLO13" s="54"/>
      <c r="FLP13" s="54"/>
      <c r="FLQ13" s="55"/>
      <c r="FLR13" s="56"/>
      <c r="FLS13" s="57"/>
      <c r="FLT13" s="57"/>
      <c r="FLU13" s="57"/>
      <c r="FLV13" s="57"/>
      <c r="FLW13" s="57"/>
      <c r="FLX13" s="57"/>
      <c r="FLY13" s="57"/>
      <c r="FLZ13" s="57"/>
      <c r="FMA13" s="57"/>
      <c r="FMB13" s="57"/>
      <c r="FMC13" s="57"/>
      <c r="FMD13" s="54"/>
      <c r="FME13" s="54"/>
      <c r="FMF13" s="54"/>
      <c r="FMG13" s="55"/>
      <c r="FMH13" s="56"/>
      <c r="FMI13" s="57"/>
      <c r="FMJ13" s="57"/>
      <c r="FMK13" s="57"/>
      <c r="FML13" s="57"/>
      <c r="FMM13" s="57"/>
      <c r="FMN13" s="57"/>
      <c r="FMO13" s="57"/>
      <c r="FMP13" s="57"/>
      <c r="FMQ13" s="57"/>
      <c r="FMR13" s="57"/>
      <c r="FMS13" s="57"/>
      <c r="FMT13" s="54"/>
      <c r="FMU13" s="54"/>
      <c r="FMV13" s="54"/>
      <c r="FMW13" s="55"/>
      <c r="FMX13" s="56"/>
      <c r="FMY13" s="57"/>
      <c r="FMZ13" s="57"/>
      <c r="FNA13" s="57"/>
      <c r="FNB13" s="57"/>
      <c r="FNC13" s="57"/>
      <c r="FND13" s="57"/>
      <c r="FNE13" s="57"/>
      <c r="FNF13" s="57"/>
      <c r="FNG13" s="57"/>
      <c r="FNH13" s="57"/>
      <c r="FNI13" s="57"/>
      <c r="FNJ13" s="54"/>
      <c r="FNK13" s="54"/>
      <c r="FNL13" s="54"/>
      <c r="FNM13" s="55"/>
      <c r="FNN13" s="56"/>
      <c r="FNO13" s="57"/>
      <c r="FNP13" s="57"/>
      <c r="FNQ13" s="57"/>
      <c r="FNR13" s="57"/>
      <c r="FNS13" s="57"/>
      <c r="FNT13" s="57"/>
      <c r="FNU13" s="57"/>
      <c r="FNV13" s="57"/>
      <c r="FNW13" s="57"/>
      <c r="FNX13" s="57"/>
      <c r="FNY13" s="57"/>
      <c r="FNZ13" s="54"/>
      <c r="FOA13" s="54"/>
      <c r="FOB13" s="54"/>
      <c r="FOC13" s="55"/>
      <c r="FOD13" s="56"/>
      <c r="FOE13" s="57"/>
      <c r="FOF13" s="57"/>
      <c r="FOG13" s="57"/>
      <c r="FOH13" s="57"/>
      <c r="FOI13" s="57"/>
      <c r="FOJ13" s="57"/>
      <c r="FOK13" s="57"/>
      <c r="FOL13" s="57"/>
      <c r="FOM13" s="57"/>
      <c r="FON13" s="57"/>
      <c r="FOO13" s="57"/>
      <c r="FOP13" s="54"/>
      <c r="FOQ13" s="54"/>
      <c r="FOR13" s="54"/>
      <c r="FOS13" s="55"/>
      <c r="FOT13" s="56"/>
      <c r="FOU13" s="57"/>
      <c r="FOV13" s="57"/>
      <c r="FOW13" s="57"/>
      <c r="FOX13" s="57"/>
      <c r="FOY13" s="57"/>
      <c r="FOZ13" s="57"/>
      <c r="FPA13" s="57"/>
      <c r="FPB13" s="57"/>
      <c r="FPC13" s="57"/>
      <c r="FPD13" s="57"/>
      <c r="FPE13" s="57"/>
      <c r="FPF13" s="54"/>
      <c r="FPG13" s="54"/>
      <c r="FPH13" s="54"/>
      <c r="FPI13" s="55"/>
      <c r="FPJ13" s="56"/>
      <c r="FPK13" s="57"/>
      <c r="FPL13" s="57"/>
      <c r="FPM13" s="57"/>
      <c r="FPN13" s="57"/>
      <c r="FPO13" s="57"/>
      <c r="FPP13" s="57"/>
      <c r="FPQ13" s="57"/>
      <c r="FPR13" s="57"/>
      <c r="FPS13" s="57"/>
      <c r="FPT13" s="57"/>
      <c r="FPU13" s="57"/>
      <c r="FPV13" s="54"/>
      <c r="FPW13" s="54"/>
      <c r="FPX13" s="54"/>
      <c r="FPY13" s="55"/>
      <c r="FPZ13" s="56"/>
      <c r="FQA13" s="57"/>
      <c r="FQB13" s="57"/>
      <c r="FQC13" s="57"/>
      <c r="FQD13" s="57"/>
      <c r="FQE13" s="57"/>
      <c r="FQF13" s="57"/>
      <c r="FQG13" s="57"/>
      <c r="FQH13" s="57"/>
      <c r="FQI13" s="57"/>
      <c r="FQJ13" s="57"/>
      <c r="FQK13" s="57"/>
      <c r="FQL13" s="54"/>
      <c r="FQM13" s="54"/>
      <c r="FQN13" s="54"/>
      <c r="FQO13" s="55"/>
      <c r="FQP13" s="56"/>
      <c r="FQQ13" s="57"/>
      <c r="FQR13" s="57"/>
      <c r="FQS13" s="57"/>
      <c r="FQT13" s="57"/>
      <c r="FQU13" s="57"/>
      <c r="FQV13" s="57"/>
      <c r="FQW13" s="57"/>
      <c r="FQX13" s="57"/>
      <c r="FQY13" s="57"/>
      <c r="FQZ13" s="57"/>
      <c r="FRA13" s="57"/>
      <c r="FRB13" s="54"/>
      <c r="FRC13" s="54"/>
      <c r="FRD13" s="54"/>
      <c r="FRE13" s="55"/>
      <c r="FRF13" s="56"/>
      <c r="FRG13" s="57"/>
      <c r="FRH13" s="57"/>
      <c r="FRI13" s="57"/>
      <c r="FRJ13" s="57"/>
      <c r="FRK13" s="57"/>
      <c r="FRL13" s="57"/>
      <c r="FRM13" s="57"/>
      <c r="FRN13" s="57"/>
      <c r="FRO13" s="57"/>
      <c r="FRP13" s="57"/>
      <c r="FRQ13" s="57"/>
      <c r="FRR13" s="54"/>
      <c r="FRS13" s="54"/>
      <c r="FRT13" s="54"/>
      <c r="FRU13" s="55"/>
      <c r="FRV13" s="56"/>
      <c r="FRW13" s="57"/>
      <c r="FRX13" s="57"/>
      <c r="FRY13" s="57"/>
      <c r="FRZ13" s="57"/>
      <c r="FSA13" s="57"/>
      <c r="FSB13" s="57"/>
      <c r="FSC13" s="57"/>
      <c r="FSD13" s="57"/>
      <c r="FSE13" s="57"/>
      <c r="FSF13" s="57"/>
      <c r="FSG13" s="57"/>
      <c r="FSH13" s="54"/>
      <c r="FSI13" s="54"/>
      <c r="FSJ13" s="54"/>
      <c r="FSK13" s="55"/>
      <c r="FSL13" s="56"/>
      <c r="FSM13" s="57"/>
      <c r="FSN13" s="57"/>
      <c r="FSO13" s="57"/>
      <c r="FSP13" s="57"/>
      <c r="FSQ13" s="57"/>
      <c r="FSR13" s="57"/>
      <c r="FSS13" s="57"/>
      <c r="FST13" s="57"/>
      <c r="FSU13" s="57"/>
      <c r="FSV13" s="57"/>
      <c r="FSW13" s="57"/>
      <c r="FSX13" s="54"/>
      <c r="FSY13" s="54"/>
      <c r="FSZ13" s="54"/>
      <c r="FTA13" s="55"/>
      <c r="FTB13" s="56"/>
      <c r="FTC13" s="57"/>
      <c r="FTD13" s="57"/>
      <c r="FTE13" s="57"/>
      <c r="FTF13" s="57"/>
      <c r="FTG13" s="57"/>
      <c r="FTH13" s="57"/>
      <c r="FTI13" s="57"/>
      <c r="FTJ13" s="57"/>
      <c r="FTK13" s="57"/>
      <c r="FTL13" s="57"/>
      <c r="FTM13" s="57"/>
      <c r="FTN13" s="54"/>
      <c r="FTO13" s="54"/>
      <c r="FTP13" s="54"/>
      <c r="FTQ13" s="55"/>
      <c r="FTR13" s="56"/>
      <c r="FTS13" s="57"/>
      <c r="FTT13" s="57"/>
      <c r="FTU13" s="57"/>
      <c r="FTV13" s="57"/>
      <c r="FTW13" s="57"/>
      <c r="FTX13" s="57"/>
      <c r="FTY13" s="57"/>
      <c r="FTZ13" s="57"/>
      <c r="FUA13" s="57"/>
      <c r="FUB13" s="57"/>
      <c r="FUC13" s="57"/>
      <c r="FUD13" s="54"/>
      <c r="FUE13" s="54"/>
      <c r="FUF13" s="54"/>
      <c r="FUG13" s="55"/>
      <c r="FUH13" s="56"/>
      <c r="FUI13" s="57"/>
      <c r="FUJ13" s="57"/>
      <c r="FUK13" s="57"/>
      <c r="FUL13" s="57"/>
      <c r="FUM13" s="57"/>
      <c r="FUN13" s="57"/>
      <c r="FUO13" s="57"/>
      <c r="FUP13" s="57"/>
      <c r="FUQ13" s="57"/>
      <c r="FUR13" s="57"/>
      <c r="FUS13" s="57"/>
      <c r="FUT13" s="54"/>
      <c r="FUU13" s="54"/>
      <c r="FUV13" s="54"/>
      <c r="FUW13" s="55"/>
      <c r="FUX13" s="56"/>
      <c r="FUY13" s="57"/>
      <c r="FUZ13" s="57"/>
      <c r="FVA13" s="57"/>
      <c r="FVB13" s="57"/>
      <c r="FVC13" s="57"/>
      <c r="FVD13" s="57"/>
      <c r="FVE13" s="57"/>
      <c r="FVF13" s="57"/>
      <c r="FVG13" s="57"/>
      <c r="FVH13" s="57"/>
      <c r="FVI13" s="57"/>
      <c r="FVJ13" s="54"/>
      <c r="FVK13" s="54"/>
      <c r="FVL13" s="54"/>
      <c r="FVM13" s="55"/>
      <c r="FVN13" s="56"/>
      <c r="FVO13" s="57"/>
      <c r="FVP13" s="57"/>
      <c r="FVQ13" s="57"/>
      <c r="FVR13" s="57"/>
      <c r="FVS13" s="57"/>
      <c r="FVT13" s="57"/>
      <c r="FVU13" s="57"/>
      <c r="FVV13" s="57"/>
      <c r="FVW13" s="57"/>
      <c r="FVX13" s="57"/>
      <c r="FVY13" s="57"/>
      <c r="FVZ13" s="54"/>
      <c r="FWA13" s="54"/>
      <c r="FWB13" s="54"/>
      <c r="FWC13" s="55"/>
      <c r="FWD13" s="56"/>
      <c r="FWE13" s="57"/>
      <c r="FWF13" s="57"/>
      <c r="FWG13" s="57"/>
      <c r="FWH13" s="57"/>
      <c r="FWI13" s="57"/>
      <c r="FWJ13" s="57"/>
      <c r="FWK13" s="57"/>
      <c r="FWL13" s="57"/>
      <c r="FWM13" s="57"/>
      <c r="FWN13" s="57"/>
      <c r="FWO13" s="57"/>
      <c r="FWP13" s="54"/>
      <c r="FWQ13" s="54"/>
      <c r="FWR13" s="54"/>
      <c r="FWS13" s="55"/>
      <c r="FWT13" s="56"/>
      <c r="FWU13" s="57"/>
      <c r="FWV13" s="57"/>
      <c r="FWW13" s="57"/>
      <c r="FWX13" s="57"/>
      <c r="FWY13" s="57"/>
      <c r="FWZ13" s="57"/>
      <c r="FXA13" s="57"/>
      <c r="FXB13" s="57"/>
      <c r="FXC13" s="57"/>
      <c r="FXD13" s="57"/>
      <c r="FXE13" s="57"/>
      <c r="FXF13" s="54"/>
      <c r="FXG13" s="54"/>
      <c r="FXH13" s="54"/>
      <c r="FXI13" s="55"/>
      <c r="FXJ13" s="56"/>
      <c r="FXK13" s="57"/>
      <c r="FXL13" s="57"/>
      <c r="FXM13" s="57"/>
      <c r="FXN13" s="57"/>
      <c r="FXO13" s="57"/>
      <c r="FXP13" s="57"/>
      <c r="FXQ13" s="57"/>
      <c r="FXR13" s="57"/>
      <c r="FXS13" s="57"/>
      <c r="FXT13" s="57"/>
      <c r="FXU13" s="57"/>
      <c r="FXV13" s="54"/>
      <c r="FXW13" s="54"/>
      <c r="FXX13" s="54"/>
      <c r="FXY13" s="55"/>
      <c r="FXZ13" s="56"/>
      <c r="FYA13" s="57"/>
      <c r="FYB13" s="57"/>
      <c r="FYC13" s="57"/>
      <c r="FYD13" s="57"/>
      <c r="FYE13" s="57"/>
      <c r="FYF13" s="57"/>
      <c r="FYG13" s="57"/>
      <c r="FYH13" s="57"/>
      <c r="FYI13" s="57"/>
      <c r="FYJ13" s="57"/>
      <c r="FYK13" s="57"/>
      <c r="FYL13" s="54"/>
      <c r="FYM13" s="54"/>
      <c r="FYN13" s="54"/>
      <c r="FYO13" s="55"/>
      <c r="FYP13" s="56"/>
      <c r="FYQ13" s="57"/>
      <c r="FYR13" s="57"/>
      <c r="FYS13" s="57"/>
      <c r="FYT13" s="57"/>
      <c r="FYU13" s="57"/>
      <c r="FYV13" s="57"/>
      <c r="FYW13" s="57"/>
      <c r="FYX13" s="57"/>
      <c r="FYY13" s="57"/>
      <c r="FYZ13" s="57"/>
      <c r="FZA13" s="57"/>
      <c r="FZB13" s="54"/>
      <c r="FZC13" s="54"/>
      <c r="FZD13" s="54"/>
      <c r="FZE13" s="55"/>
      <c r="FZF13" s="56"/>
      <c r="FZG13" s="57"/>
      <c r="FZH13" s="57"/>
      <c r="FZI13" s="57"/>
      <c r="FZJ13" s="57"/>
      <c r="FZK13" s="57"/>
      <c r="FZL13" s="57"/>
      <c r="FZM13" s="57"/>
      <c r="FZN13" s="57"/>
      <c r="FZO13" s="57"/>
      <c r="FZP13" s="57"/>
      <c r="FZQ13" s="57"/>
      <c r="FZR13" s="54"/>
      <c r="FZS13" s="54"/>
      <c r="FZT13" s="54"/>
      <c r="FZU13" s="55"/>
      <c r="FZV13" s="56"/>
      <c r="FZW13" s="57"/>
      <c r="FZX13" s="57"/>
      <c r="FZY13" s="57"/>
      <c r="FZZ13" s="57"/>
      <c r="GAA13" s="57"/>
      <c r="GAB13" s="57"/>
      <c r="GAC13" s="57"/>
      <c r="GAD13" s="57"/>
      <c r="GAE13" s="57"/>
      <c r="GAF13" s="57"/>
      <c r="GAG13" s="57"/>
      <c r="GAH13" s="54"/>
      <c r="GAI13" s="54"/>
      <c r="GAJ13" s="54"/>
      <c r="GAK13" s="55"/>
      <c r="GAL13" s="56"/>
      <c r="GAM13" s="57"/>
      <c r="GAN13" s="57"/>
      <c r="GAO13" s="57"/>
      <c r="GAP13" s="57"/>
      <c r="GAQ13" s="57"/>
      <c r="GAR13" s="57"/>
      <c r="GAS13" s="57"/>
      <c r="GAT13" s="57"/>
      <c r="GAU13" s="57"/>
      <c r="GAV13" s="57"/>
      <c r="GAW13" s="57"/>
      <c r="GAX13" s="54"/>
      <c r="GAY13" s="54"/>
      <c r="GAZ13" s="54"/>
      <c r="GBA13" s="55"/>
      <c r="GBB13" s="56"/>
      <c r="GBC13" s="57"/>
      <c r="GBD13" s="57"/>
      <c r="GBE13" s="57"/>
      <c r="GBF13" s="57"/>
      <c r="GBG13" s="57"/>
      <c r="GBH13" s="57"/>
      <c r="GBI13" s="57"/>
      <c r="GBJ13" s="57"/>
      <c r="GBK13" s="57"/>
      <c r="GBL13" s="57"/>
      <c r="GBM13" s="57"/>
      <c r="GBN13" s="54"/>
      <c r="GBO13" s="54"/>
      <c r="GBP13" s="54"/>
      <c r="GBQ13" s="55"/>
      <c r="GBR13" s="56"/>
      <c r="GBS13" s="57"/>
      <c r="GBT13" s="57"/>
      <c r="GBU13" s="57"/>
      <c r="GBV13" s="57"/>
      <c r="GBW13" s="57"/>
      <c r="GBX13" s="57"/>
      <c r="GBY13" s="57"/>
      <c r="GBZ13" s="57"/>
      <c r="GCA13" s="57"/>
      <c r="GCB13" s="57"/>
      <c r="GCC13" s="57"/>
      <c r="GCD13" s="54"/>
      <c r="GCE13" s="54"/>
      <c r="GCF13" s="54"/>
      <c r="GCG13" s="55"/>
      <c r="GCH13" s="56"/>
      <c r="GCI13" s="57"/>
      <c r="GCJ13" s="57"/>
      <c r="GCK13" s="57"/>
      <c r="GCL13" s="57"/>
      <c r="GCM13" s="57"/>
      <c r="GCN13" s="57"/>
      <c r="GCO13" s="57"/>
      <c r="GCP13" s="57"/>
      <c r="GCQ13" s="57"/>
      <c r="GCR13" s="57"/>
      <c r="GCS13" s="57"/>
      <c r="GCT13" s="54"/>
      <c r="GCU13" s="54"/>
      <c r="GCV13" s="54"/>
      <c r="GCW13" s="55"/>
      <c r="GCX13" s="56"/>
      <c r="GCY13" s="57"/>
      <c r="GCZ13" s="57"/>
      <c r="GDA13" s="57"/>
      <c r="GDB13" s="57"/>
      <c r="GDC13" s="57"/>
      <c r="GDD13" s="57"/>
      <c r="GDE13" s="57"/>
      <c r="GDF13" s="57"/>
      <c r="GDG13" s="57"/>
      <c r="GDH13" s="57"/>
      <c r="GDI13" s="57"/>
      <c r="GDJ13" s="54"/>
      <c r="GDK13" s="54"/>
      <c r="GDL13" s="54"/>
      <c r="GDM13" s="55"/>
      <c r="GDN13" s="56"/>
      <c r="GDO13" s="57"/>
      <c r="GDP13" s="57"/>
      <c r="GDQ13" s="57"/>
      <c r="GDR13" s="57"/>
      <c r="GDS13" s="57"/>
      <c r="GDT13" s="57"/>
      <c r="GDU13" s="57"/>
      <c r="GDV13" s="57"/>
      <c r="GDW13" s="57"/>
      <c r="GDX13" s="57"/>
      <c r="GDY13" s="57"/>
      <c r="GDZ13" s="54"/>
      <c r="GEA13" s="54"/>
      <c r="GEB13" s="54"/>
      <c r="GEC13" s="55"/>
      <c r="GED13" s="56"/>
      <c r="GEE13" s="57"/>
      <c r="GEF13" s="57"/>
      <c r="GEG13" s="57"/>
      <c r="GEH13" s="57"/>
      <c r="GEI13" s="57"/>
      <c r="GEJ13" s="57"/>
      <c r="GEK13" s="57"/>
      <c r="GEL13" s="57"/>
      <c r="GEM13" s="57"/>
      <c r="GEN13" s="57"/>
      <c r="GEO13" s="57"/>
      <c r="GEP13" s="54"/>
      <c r="GEQ13" s="54"/>
      <c r="GER13" s="54"/>
      <c r="GES13" s="55"/>
      <c r="GET13" s="56"/>
      <c r="GEU13" s="57"/>
      <c r="GEV13" s="57"/>
      <c r="GEW13" s="57"/>
      <c r="GEX13" s="57"/>
      <c r="GEY13" s="57"/>
      <c r="GEZ13" s="57"/>
      <c r="GFA13" s="57"/>
      <c r="GFB13" s="57"/>
      <c r="GFC13" s="57"/>
      <c r="GFD13" s="57"/>
      <c r="GFE13" s="57"/>
      <c r="GFF13" s="54"/>
      <c r="GFG13" s="54"/>
      <c r="GFH13" s="54"/>
      <c r="GFI13" s="55"/>
      <c r="GFJ13" s="56"/>
      <c r="GFK13" s="57"/>
      <c r="GFL13" s="57"/>
      <c r="GFM13" s="57"/>
      <c r="GFN13" s="57"/>
      <c r="GFO13" s="57"/>
      <c r="GFP13" s="57"/>
      <c r="GFQ13" s="57"/>
      <c r="GFR13" s="57"/>
      <c r="GFS13" s="57"/>
      <c r="GFT13" s="57"/>
      <c r="GFU13" s="57"/>
      <c r="GFV13" s="54"/>
      <c r="GFW13" s="54"/>
      <c r="GFX13" s="54"/>
      <c r="GFY13" s="55"/>
      <c r="GFZ13" s="56"/>
      <c r="GGA13" s="57"/>
      <c r="GGB13" s="57"/>
      <c r="GGC13" s="57"/>
      <c r="GGD13" s="57"/>
      <c r="GGE13" s="57"/>
      <c r="GGF13" s="57"/>
      <c r="GGG13" s="57"/>
      <c r="GGH13" s="57"/>
      <c r="GGI13" s="57"/>
      <c r="GGJ13" s="57"/>
      <c r="GGK13" s="57"/>
      <c r="GGL13" s="54"/>
      <c r="GGM13" s="54"/>
      <c r="GGN13" s="54"/>
      <c r="GGO13" s="55"/>
      <c r="GGP13" s="56"/>
      <c r="GGQ13" s="57"/>
      <c r="GGR13" s="57"/>
      <c r="GGS13" s="57"/>
      <c r="GGT13" s="57"/>
      <c r="GGU13" s="57"/>
      <c r="GGV13" s="57"/>
      <c r="GGW13" s="57"/>
      <c r="GGX13" s="57"/>
      <c r="GGY13" s="57"/>
      <c r="GGZ13" s="57"/>
      <c r="GHA13" s="57"/>
      <c r="GHB13" s="54"/>
      <c r="GHC13" s="54"/>
      <c r="GHD13" s="54"/>
      <c r="GHE13" s="55"/>
      <c r="GHF13" s="56"/>
      <c r="GHG13" s="57"/>
      <c r="GHH13" s="57"/>
      <c r="GHI13" s="57"/>
      <c r="GHJ13" s="57"/>
      <c r="GHK13" s="57"/>
      <c r="GHL13" s="57"/>
      <c r="GHM13" s="57"/>
      <c r="GHN13" s="57"/>
      <c r="GHO13" s="57"/>
      <c r="GHP13" s="57"/>
      <c r="GHQ13" s="57"/>
      <c r="GHR13" s="54"/>
      <c r="GHS13" s="54"/>
      <c r="GHT13" s="54"/>
      <c r="GHU13" s="55"/>
      <c r="GHV13" s="56"/>
      <c r="GHW13" s="57"/>
      <c r="GHX13" s="57"/>
      <c r="GHY13" s="57"/>
      <c r="GHZ13" s="57"/>
      <c r="GIA13" s="57"/>
      <c r="GIB13" s="57"/>
      <c r="GIC13" s="57"/>
      <c r="GID13" s="57"/>
      <c r="GIE13" s="57"/>
      <c r="GIF13" s="57"/>
      <c r="GIG13" s="57"/>
      <c r="GIH13" s="54"/>
      <c r="GII13" s="54"/>
      <c r="GIJ13" s="54"/>
      <c r="GIK13" s="55"/>
      <c r="GIL13" s="56"/>
      <c r="GIM13" s="57"/>
      <c r="GIN13" s="57"/>
      <c r="GIO13" s="57"/>
      <c r="GIP13" s="57"/>
      <c r="GIQ13" s="57"/>
      <c r="GIR13" s="57"/>
      <c r="GIS13" s="57"/>
      <c r="GIT13" s="57"/>
      <c r="GIU13" s="57"/>
      <c r="GIV13" s="57"/>
      <c r="GIW13" s="57"/>
      <c r="GIX13" s="54"/>
      <c r="GIY13" s="54"/>
      <c r="GIZ13" s="54"/>
      <c r="GJA13" s="55"/>
      <c r="GJB13" s="56"/>
      <c r="GJC13" s="57"/>
      <c r="GJD13" s="57"/>
      <c r="GJE13" s="57"/>
      <c r="GJF13" s="57"/>
      <c r="GJG13" s="57"/>
      <c r="GJH13" s="57"/>
      <c r="GJI13" s="57"/>
      <c r="GJJ13" s="57"/>
      <c r="GJK13" s="57"/>
      <c r="GJL13" s="57"/>
      <c r="GJM13" s="57"/>
      <c r="GJN13" s="54"/>
      <c r="GJO13" s="54"/>
      <c r="GJP13" s="54"/>
      <c r="GJQ13" s="55"/>
      <c r="GJR13" s="56"/>
      <c r="GJS13" s="57"/>
      <c r="GJT13" s="57"/>
      <c r="GJU13" s="57"/>
      <c r="GJV13" s="57"/>
      <c r="GJW13" s="57"/>
      <c r="GJX13" s="57"/>
      <c r="GJY13" s="57"/>
      <c r="GJZ13" s="57"/>
      <c r="GKA13" s="57"/>
      <c r="GKB13" s="57"/>
      <c r="GKC13" s="57"/>
      <c r="GKD13" s="54"/>
      <c r="GKE13" s="54"/>
      <c r="GKF13" s="54"/>
      <c r="GKG13" s="55"/>
      <c r="GKH13" s="56"/>
      <c r="GKI13" s="57"/>
      <c r="GKJ13" s="57"/>
      <c r="GKK13" s="57"/>
      <c r="GKL13" s="57"/>
      <c r="GKM13" s="57"/>
      <c r="GKN13" s="57"/>
      <c r="GKO13" s="57"/>
      <c r="GKP13" s="57"/>
      <c r="GKQ13" s="57"/>
      <c r="GKR13" s="57"/>
      <c r="GKS13" s="57"/>
      <c r="GKT13" s="54"/>
      <c r="GKU13" s="54"/>
      <c r="GKV13" s="54"/>
      <c r="GKW13" s="55"/>
      <c r="GKX13" s="56"/>
      <c r="GKY13" s="57"/>
      <c r="GKZ13" s="57"/>
      <c r="GLA13" s="57"/>
      <c r="GLB13" s="57"/>
      <c r="GLC13" s="57"/>
      <c r="GLD13" s="57"/>
      <c r="GLE13" s="57"/>
      <c r="GLF13" s="57"/>
      <c r="GLG13" s="57"/>
      <c r="GLH13" s="57"/>
      <c r="GLI13" s="57"/>
      <c r="GLJ13" s="54"/>
      <c r="GLK13" s="54"/>
      <c r="GLL13" s="54"/>
      <c r="GLM13" s="55"/>
      <c r="GLN13" s="56"/>
      <c r="GLO13" s="57"/>
      <c r="GLP13" s="57"/>
      <c r="GLQ13" s="57"/>
      <c r="GLR13" s="57"/>
      <c r="GLS13" s="57"/>
      <c r="GLT13" s="57"/>
      <c r="GLU13" s="57"/>
      <c r="GLV13" s="57"/>
      <c r="GLW13" s="57"/>
      <c r="GLX13" s="57"/>
      <c r="GLY13" s="57"/>
      <c r="GLZ13" s="54"/>
      <c r="GMA13" s="54"/>
      <c r="GMB13" s="54"/>
      <c r="GMC13" s="55"/>
      <c r="GMD13" s="56"/>
      <c r="GME13" s="57"/>
      <c r="GMF13" s="57"/>
      <c r="GMG13" s="57"/>
      <c r="GMH13" s="57"/>
      <c r="GMI13" s="57"/>
      <c r="GMJ13" s="57"/>
      <c r="GMK13" s="57"/>
      <c r="GML13" s="57"/>
      <c r="GMM13" s="57"/>
      <c r="GMN13" s="57"/>
      <c r="GMO13" s="57"/>
      <c r="GMP13" s="54"/>
      <c r="GMQ13" s="54"/>
      <c r="GMR13" s="54"/>
      <c r="GMS13" s="55"/>
      <c r="GMT13" s="56"/>
      <c r="GMU13" s="57"/>
      <c r="GMV13" s="57"/>
      <c r="GMW13" s="57"/>
      <c r="GMX13" s="57"/>
      <c r="GMY13" s="57"/>
      <c r="GMZ13" s="57"/>
      <c r="GNA13" s="57"/>
      <c r="GNB13" s="57"/>
      <c r="GNC13" s="57"/>
      <c r="GND13" s="57"/>
      <c r="GNE13" s="57"/>
      <c r="GNF13" s="54"/>
      <c r="GNG13" s="54"/>
      <c r="GNH13" s="54"/>
      <c r="GNI13" s="55"/>
      <c r="GNJ13" s="56"/>
      <c r="GNK13" s="57"/>
      <c r="GNL13" s="57"/>
      <c r="GNM13" s="57"/>
      <c r="GNN13" s="57"/>
      <c r="GNO13" s="57"/>
      <c r="GNP13" s="57"/>
      <c r="GNQ13" s="57"/>
      <c r="GNR13" s="57"/>
      <c r="GNS13" s="57"/>
      <c r="GNT13" s="57"/>
      <c r="GNU13" s="57"/>
      <c r="GNV13" s="54"/>
      <c r="GNW13" s="54"/>
      <c r="GNX13" s="54"/>
      <c r="GNY13" s="55"/>
      <c r="GNZ13" s="56"/>
      <c r="GOA13" s="57"/>
      <c r="GOB13" s="57"/>
      <c r="GOC13" s="57"/>
      <c r="GOD13" s="57"/>
      <c r="GOE13" s="57"/>
      <c r="GOF13" s="57"/>
      <c r="GOG13" s="57"/>
      <c r="GOH13" s="57"/>
      <c r="GOI13" s="57"/>
      <c r="GOJ13" s="57"/>
      <c r="GOK13" s="57"/>
      <c r="GOL13" s="54"/>
      <c r="GOM13" s="54"/>
      <c r="GON13" s="54"/>
      <c r="GOO13" s="55"/>
      <c r="GOP13" s="56"/>
      <c r="GOQ13" s="57"/>
      <c r="GOR13" s="57"/>
      <c r="GOS13" s="57"/>
      <c r="GOT13" s="57"/>
      <c r="GOU13" s="57"/>
      <c r="GOV13" s="57"/>
      <c r="GOW13" s="57"/>
      <c r="GOX13" s="57"/>
      <c r="GOY13" s="57"/>
      <c r="GOZ13" s="57"/>
      <c r="GPA13" s="57"/>
      <c r="GPB13" s="54"/>
      <c r="GPC13" s="54"/>
      <c r="GPD13" s="54"/>
      <c r="GPE13" s="55"/>
      <c r="GPF13" s="56"/>
      <c r="GPG13" s="57"/>
      <c r="GPH13" s="57"/>
      <c r="GPI13" s="57"/>
      <c r="GPJ13" s="57"/>
      <c r="GPK13" s="57"/>
      <c r="GPL13" s="57"/>
      <c r="GPM13" s="57"/>
      <c r="GPN13" s="57"/>
      <c r="GPO13" s="57"/>
      <c r="GPP13" s="57"/>
      <c r="GPQ13" s="57"/>
      <c r="GPR13" s="54"/>
      <c r="GPS13" s="54"/>
      <c r="GPT13" s="54"/>
      <c r="GPU13" s="55"/>
      <c r="GPV13" s="56"/>
      <c r="GPW13" s="57"/>
      <c r="GPX13" s="57"/>
      <c r="GPY13" s="57"/>
      <c r="GPZ13" s="57"/>
      <c r="GQA13" s="57"/>
      <c r="GQB13" s="57"/>
      <c r="GQC13" s="57"/>
      <c r="GQD13" s="57"/>
      <c r="GQE13" s="57"/>
      <c r="GQF13" s="57"/>
      <c r="GQG13" s="57"/>
      <c r="GQH13" s="54"/>
      <c r="GQI13" s="54"/>
      <c r="GQJ13" s="54"/>
      <c r="GQK13" s="55"/>
      <c r="GQL13" s="56"/>
      <c r="GQM13" s="57"/>
      <c r="GQN13" s="57"/>
      <c r="GQO13" s="57"/>
      <c r="GQP13" s="57"/>
      <c r="GQQ13" s="57"/>
      <c r="GQR13" s="57"/>
      <c r="GQS13" s="57"/>
      <c r="GQT13" s="57"/>
      <c r="GQU13" s="57"/>
      <c r="GQV13" s="57"/>
      <c r="GQW13" s="57"/>
      <c r="GQX13" s="54"/>
      <c r="GQY13" s="54"/>
      <c r="GQZ13" s="54"/>
      <c r="GRA13" s="55"/>
      <c r="GRB13" s="56"/>
      <c r="GRC13" s="57"/>
      <c r="GRD13" s="57"/>
      <c r="GRE13" s="57"/>
      <c r="GRF13" s="57"/>
      <c r="GRG13" s="57"/>
      <c r="GRH13" s="57"/>
      <c r="GRI13" s="57"/>
      <c r="GRJ13" s="57"/>
      <c r="GRK13" s="57"/>
      <c r="GRL13" s="57"/>
      <c r="GRM13" s="57"/>
      <c r="GRN13" s="54"/>
      <c r="GRO13" s="54"/>
      <c r="GRP13" s="54"/>
      <c r="GRQ13" s="55"/>
      <c r="GRR13" s="56"/>
      <c r="GRS13" s="57"/>
      <c r="GRT13" s="57"/>
      <c r="GRU13" s="57"/>
      <c r="GRV13" s="57"/>
      <c r="GRW13" s="57"/>
      <c r="GRX13" s="57"/>
      <c r="GRY13" s="57"/>
      <c r="GRZ13" s="57"/>
      <c r="GSA13" s="57"/>
      <c r="GSB13" s="57"/>
      <c r="GSC13" s="57"/>
      <c r="GSD13" s="54"/>
      <c r="GSE13" s="54"/>
      <c r="GSF13" s="54"/>
      <c r="GSG13" s="55"/>
      <c r="GSH13" s="56"/>
      <c r="GSI13" s="57"/>
      <c r="GSJ13" s="57"/>
      <c r="GSK13" s="57"/>
      <c r="GSL13" s="57"/>
      <c r="GSM13" s="57"/>
      <c r="GSN13" s="57"/>
      <c r="GSO13" s="57"/>
      <c r="GSP13" s="57"/>
      <c r="GSQ13" s="57"/>
      <c r="GSR13" s="57"/>
      <c r="GSS13" s="57"/>
      <c r="GST13" s="54"/>
      <c r="GSU13" s="54"/>
      <c r="GSV13" s="54"/>
      <c r="GSW13" s="55"/>
      <c r="GSX13" s="56"/>
      <c r="GSY13" s="57"/>
      <c r="GSZ13" s="57"/>
      <c r="GTA13" s="57"/>
      <c r="GTB13" s="57"/>
      <c r="GTC13" s="57"/>
      <c r="GTD13" s="57"/>
      <c r="GTE13" s="57"/>
      <c r="GTF13" s="57"/>
      <c r="GTG13" s="57"/>
      <c r="GTH13" s="57"/>
      <c r="GTI13" s="57"/>
      <c r="GTJ13" s="54"/>
      <c r="GTK13" s="54"/>
      <c r="GTL13" s="54"/>
      <c r="GTM13" s="55"/>
      <c r="GTN13" s="56"/>
      <c r="GTO13" s="57"/>
      <c r="GTP13" s="57"/>
      <c r="GTQ13" s="57"/>
      <c r="GTR13" s="57"/>
      <c r="GTS13" s="57"/>
      <c r="GTT13" s="57"/>
      <c r="GTU13" s="57"/>
      <c r="GTV13" s="57"/>
      <c r="GTW13" s="57"/>
      <c r="GTX13" s="57"/>
      <c r="GTY13" s="57"/>
      <c r="GTZ13" s="54"/>
      <c r="GUA13" s="54"/>
      <c r="GUB13" s="54"/>
      <c r="GUC13" s="55"/>
      <c r="GUD13" s="56"/>
      <c r="GUE13" s="57"/>
      <c r="GUF13" s="57"/>
      <c r="GUG13" s="57"/>
      <c r="GUH13" s="57"/>
      <c r="GUI13" s="57"/>
      <c r="GUJ13" s="57"/>
      <c r="GUK13" s="57"/>
      <c r="GUL13" s="57"/>
      <c r="GUM13" s="57"/>
      <c r="GUN13" s="57"/>
      <c r="GUO13" s="57"/>
      <c r="GUP13" s="54"/>
      <c r="GUQ13" s="54"/>
      <c r="GUR13" s="54"/>
      <c r="GUS13" s="55"/>
      <c r="GUT13" s="56"/>
      <c r="GUU13" s="57"/>
      <c r="GUV13" s="57"/>
      <c r="GUW13" s="57"/>
      <c r="GUX13" s="57"/>
      <c r="GUY13" s="57"/>
      <c r="GUZ13" s="57"/>
      <c r="GVA13" s="57"/>
      <c r="GVB13" s="57"/>
      <c r="GVC13" s="57"/>
      <c r="GVD13" s="57"/>
      <c r="GVE13" s="57"/>
      <c r="GVF13" s="54"/>
      <c r="GVG13" s="54"/>
      <c r="GVH13" s="54"/>
      <c r="GVI13" s="55"/>
      <c r="GVJ13" s="56"/>
      <c r="GVK13" s="57"/>
      <c r="GVL13" s="57"/>
      <c r="GVM13" s="57"/>
      <c r="GVN13" s="57"/>
      <c r="GVO13" s="57"/>
      <c r="GVP13" s="57"/>
      <c r="GVQ13" s="57"/>
      <c r="GVR13" s="57"/>
      <c r="GVS13" s="57"/>
      <c r="GVT13" s="57"/>
      <c r="GVU13" s="57"/>
      <c r="GVV13" s="54"/>
      <c r="GVW13" s="54"/>
      <c r="GVX13" s="54"/>
      <c r="GVY13" s="55"/>
      <c r="GVZ13" s="56"/>
      <c r="GWA13" s="57"/>
      <c r="GWB13" s="57"/>
      <c r="GWC13" s="57"/>
      <c r="GWD13" s="57"/>
      <c r="GWE13" s="57"/>
      <c r="GWF13" s="57"/>
      <c r="GWG13" s="57"/>
      <c r="GWH13" s="57"/>
      <c r="GWI13" s="57"/>
      <c r="GWJ13" s="57"/>
      <c r="GWK13" s="57"/>
      <c r="GWL13" s="54"/>
      <c r="GWM13" s="54"/>
      <c r="GWN13" s="54"/>
      <c r="GWO13" s="55"/>
      <c r="GWP13" s="56"/>
      <c r="GWQ13" s="57"/>
      <c r="GWR13" s="57"/>
      <c r="GWS13" s="57"/>
      <c r="GWT13" s="57"/>
      <c r="GWU13" s="57"/>
      <c r="GWV13" s="57"/>
      <c r="GWW13" s="57"/>
      <c r="GWX13" s="57"/>
      <c r="GWY13" s="57"/>
      <c r="GWZ13" s="57"/>
      <c r="GXA13" s="57"/>
      <c r="GXB13" s="54"/>
      <c r="GXC13" s="54"/>
      <c r="GXD13" s="54"/>
      <c r="GXE13" s="55"/>
      <c r="GXF13" s="56"/>
      <c r="GXG13" s="57"/>
      <c r="GXH13" s="57"/>
      <c r="GXI13" s="57"/>
      <c r="GXJ13" s="57"/>
      <c r="GXK13" s="57"/>
      <c r="GXL13" s="57"/>
      <c r="GXM13" s="57"/>
      <c r="GXN13" s="57"/>
      <c r="GXO13" s="57"/>
      <c r="GXP13" s="57"/>
      <c r="GXQ13" s="57"/>
      <c r="GXR13" s="54"/>
      <c r="GXS13" s="54"/>
      <c r="GXT13" s="54"/>
      <c r="GXU13" s="55"/>
      <c r="GXV13" s="56"/>
      <c r="GXW13" s="57"/>
      <c r="GXX13" s="57"/>
      <c r="GXY13" s="57"/>
      <c r="GXZ13" s="57"/>
      <c r="GYA13" s="57"/>
      <c r="GYB13" s="57"/>
      <c r="GYC13" s="57"/>
      <c r="GYD13" s="57"/>
      <c r="GYE13" s="57"/>
      <c r="GYF13" s="57"/>
      <c r="GYG13" s="57"/>
      <c r="GYH13" s="54"/>
      <c r="GYI13" s="54"/>
      <c r="GYJ13" s="54"/>
      <c r="GYK13" s="55"/>
      <c r="GYL13" s="56"/>
      <c r="GYM13" s="57"/>
      <c r="GYN13" s="57"/>
      <c r="GYO13" s="57"/>
      <c r="GYP13" s="57"/>
      <c r="GYQ13" s="57"/>
      <c r="GYR13" s="57"/>
      <c r="GYS13" s="57"/>
      <c r="GYT13" s="57"/>
      <c r="GYU13" s="57"/>
      <c r="GYV13" s="57"/>
      <c r="GYW13" s="57"/>
      <c r="GYX13" s="54"/>
      <c r="GYY13" s="54"/>
      <c r="GYZ13" s="54"/>
      <c r="GZA13" s="55"/>
      <c r="GZB13" s="56"/>
      <c r="GZC13" s="57"/>
      <c r="GZD13" s="57"/>
      <c r="GZE13" s="57"/>
      <c r="GZF13" s="57"/>
      <c r="GZG13" s="57"/>
      <c r="GZH13" s="57"/>
      <c r="GZI13" s="57"/>
      <c r="GZJ13" s="57"/>
      <c r="GZK13" s="57"/>
      <c r="GZL13" s="57"/>
      <c r="GZM13" s="57"/>
      <c r="GZN13" s="54"/>
      <c r="GZO13" s="54"/>
      <c r="GZP13" s="54"/>
      <c r="GZQ13" s="55"/>
      <c r="GZR13" s="56"/>
      <c r="GZS13" s="57"/>
      <c r="GZT13" s="57"/>
      <c r="GZU13" s="57"/>
      <c r="GZV13" s="57"/>
      <c r="GZW13" s="57"/>
      <c r="GZX13" s="57"/>
      <c r="GZY13" s="57"/>
      <c r="GZZ13" s="57"/>
      <c r="HAA13" s="57"/>
      <c r="HAB13" s="57"/>
      <c r="HAC13" s="57"/>
      <c r="HAD13" s="54"/>
      <c r="HAE13" s="54"/>
      <c r="HAF13" s="54"/>
      <c r="HAG13" s="55"/>
      <c r="HAH13" s="56"/>
      <c r="HAI13" s="57"/>
      <c r="HAJ13" s="57"/>
      <c r="HAK13" s="57"/>
      <c r="HAL13" s="57"/>
      <c r="HAM13" s="57"/>
      <c r="HAN13" s="57"/>
      <c r="HAO13" s="57"/>
      <c r="HAP13" s="57"/>
      <c r="HAQ13" s="57"/>
      <c r="HAR13" s="57"/>
      <c r="HAS13" s="57"/>
      <c r="HAT13" s="54"/>
      <c r="HAU13" s="54"/>
      <c r="HAV13" s="54"/>
      <c r="HAW13" s="55"/>
      <c r="HAX13" s="56"/>
      <c r="HAY13" s="57"/>
      <c r="HAZ13" s="57"/>
      <c r="HBA13" s="57"/>
      <c r="HBB13" s="57"/>
      <c r="HBC13" s="57"/>
      <c r="HBD13" s="57"/>
      <c r="HBE13" s="57"/>
      <c r="HBF13" s="57"/>
      <c r="HBG13" s="57"/>
      <c r="HBH13" s="57"/>
      <c r="HBI13" s="57"/>
      <c r="HBJ13" s="54"/>
      <c r="HBK13" s="54"/>
      <c r="HBL13" s="54"/>
      <c r="HBM13" s="55"/>
      <c r="HBN13" s="56"/>
      <c r="HBO13" s="57"/>
      <c r="HBP13" s="57"/>
      <c r="HBQ13" s="57"/>
      <c r="HBR13" s="57"/>
      <c r="HBS13" s="57"/>
      <c r="HBT13" s="57"/>
      <c r="HBU13" s="57"/>
      <c r="HBV13" s="57"/>
      <c r="HBW13" s="57"/>
      <c r="HBX13" s="57"/>
      <c r="HBY13" s="57"/>
      <c r="HBZ13" s="54"/>
      <c r="HCA13" s="54"/>
      <c r="HCB13" s="54"/>
      <c r="HCC13" s="55"/>
      <c r="HCD13" s="56"/>
      <c r="HCE13" s="57"/>
      <c r="HCF13" s="57"/>
      <c r="HCG13" s="57"/>
      <c r="HCH13" s="57"/>
      <c r="HCI13" s="57"/>
      <c r="HCJ13" s="57"/>
      <c r="HCK13" s="57"/>
      <c r="HCL13" s="57"/>
      <c r="HCM13" s="57"/>
      <c r="HCN13" s="57"/>
      <c r="HCO13" s="57"/>
      <c r="HCP13" s="54"/>
      <c r="HCQ13" s="54"/>
      <c r="HCR13" s="54"/>
      <c r="HCS13" s="55"/>
      <c r="HCT13" s="56"/>
      <c r="HCU13" s="57"/>
      <c r="HCV13" s="57"/>
      <c r="HCW13" s="57"/>
      <c r="HCX13" s="57"/>
      <c r="HCY13" s="57"/>
      <c r="HCZ13" s="57"/>
      <c r="HDA13" s="57"/>
      <c r="HDB13" s="57"/>
      <c r="HDC13" s="57"/>
      <c r="HDD13" s="57"/>
      <c r="HDE13" s="57"/>
      <c r="HDF13" s="54"/>
      <c r="HDG13" s="54"/>
      <c r="HDH13" s="54"/>
      <c r="HDI13" s="55"/>
      <c r="HDJ13" s="56"/>
      <c r="HDK13" s="57"/>
      <c r="HDL13" s="57"/>
      <c r="HDM13" s="57"/>
      <c r="HDN13" s="57"/>
      <c r="HDO13" s="57"/>
      <c r="HDP13" s="57"/>
      <c r="HDQ13" s="57"/>
      <c r="HDR13" s="57"/>
      <c r="HDS13" s="57"/>
      <c r="HDT13" s="57"/>
      <c r="HDU13" s="57"/>
      <c r="HDV13" s="54"/>
      <c r="HDW13" s="54"/>
      <c r="HDX13" s="54"/>
      <c r="HDY13" s="55"/>
      <c r="HDZ13" s="56"/>
      <c r="HEA13" s="57"/>
      <c r="HEB13" s="57"/>
      <c r="HEC13" s="57"/>
      <c r="HED13" s="57"/>
      <c r="HEE13" s="57"/>
      <c r="HEF13" s="57"/>
      <c r="HEG13" s="57"/>
      <c r="HEH13" s="57"/>
      <c r="HEI13" s="57"/>
      <c r="HEJ13" s="57"/>
      <c r="HEK13" s="57"/>
      <c r="HEL13" s="54"/>
      <c r="HEM13" s="54"/>
      <c r="HEN13" s="54"/>
      <c r="HEO13" s="55"/>
      <c r="HEP13" s="56"/>
      <c r="HEQ13" s="57"/>
      <c r="HER13" s="57"/>
      <c r="HES13" s="57"/>
      <c r="HET13" s="57"/>
      <c r="HEU13" s="57"/>
      <c r="HEV13" s="57"/>
      <c r="HEW13" s="57"/>
      <c r="HEX13" s="57"/>
      <c r="HEY13" s="57"/>
      <c r="HEZ13" s="57"/>
      <c r="HFA13" s="57"/>
      <c r="HFB13" s="54"/>
      <c r="HFC13" s="54"/>
      <c r="HFD13" s="54"/>
      <c r="HFE13" s="55"/>
      <c r="HFF13" s="56"/>
      <c r="HFG13" s="57"/>
      <c r="HFH13" s="57"/>
      <c r="HFI13" s="57"/>
      <c r="HFJ13" s="57"/>
      <c r="HFK13" s="57"/>
      <c r="HFL13" s="57"/>
      <c r="HFM13" s="57"/>
      <c r="HFN13" s="57"/>
      <c r="HFO13" s="57"/>
      <c r="HFP13" s="57"/>
      <c r="HFQ13" s="57"/>
      <c r="HFR13" s="54"/>
      <c r="HFS13" s="54"/>
      <c r="HFT13" s="54"/>
      <c r="HFU13" s="55"/>
      <c r="HFV13" s="56"/>
      <c r="HFW13" s="57"/>
      <c r="HFX13" s="57"/>
      <c r="HFY13" s="57"/>
      <c r="HFZ13" s="57"/>
      <c r="HGA13" s="57"/>
      <c r="HGB13" s="57"/>
      <c r="HGC13" s="57"/>
      <c r="HGD13" s="57"/>
      <c r="HGE13" s="57"/>
      <c r="HGF13" s="57"/>
      <c r="HGG13" s="57"/>
      <c r="HGH13" s="54"/>
      <c r="HGI13" s="54"/>
      <c r="HGJ13" s="54"/>
      <c r="HGK13" s="55"/>
      <c r="HGL13" s="56"/>
      <c r="HGM13" s="57"/>
      <c r="HGN13" s="57"/>
      <c r="HGO13" s="57"/>
      <c r="HGP13" s="57"/>
      <c r="HGQ13" s="57"/>
      <c r="HGR13" s="57"/>
      <c r="HGS13" s="57"/>
      <c r="HGT13" s="57"/>
      <c r="HGU13" s="57"/>
      <c r="HGV13" s="57"/>
      <c r="HGW13" s="57"/>
      <c r="HGX13" s="54"/>
      <c r="HGY13" s="54"/>
      <c r="HGZ13" s="54"/>
      <c r="HHA13" s="55"/>
      <c r="HHB13" s="56"/>
      <c r="HHC13" s="57"/>
      <c r="HHD13" s="57"/>
      <c r="HHE13" s="57"/>
      <c r="HHF13" s="57"/>
      <c r="HHG13" s="57"/>
      <c r="HHH13" s="57"/>
      <c r="HHI13" s="57"/>
      <c r="HHJ13" s="57"/>
      <c r="HHK13" s="57"/>
      <c r="HHL13" s="57"/>
      <c r="HHM13" s="57"/>
      <c r="HHN13" s="54"/>
      <c r="HHO13" s="54"/>
      <c r="HHP13" s="54"/>
      <c r="HHQ13" s="55"/>
      <c r="HHR13" s="56"/>
      <c r="HHS13" s="57"/>
      <c r="HHT13" s="57"/>
      <c r="HHU13" s="57"/>
      <c r="HHV13" s="57"/>
      <c r="HHW13" s="57"/>
      <c r="HHX13" s="57"/>
      <c r="HHY13" s="57"/>
      <c r="HHZ13" s="57"/>
      <c r="HIA13" s="57"/>
      <c r="HIB13" s="57"/>
      <c r="HIC13" s="57"/>
      <c r="HID13" s="54"/>
      <c r="HIE13" s="54"/>
      <c r="HIF13" s="54"/>
      <c r="HIG13" s="55"/>
      <c r="HIH13" s="56"/>
      <c r="HII13" s="57"/>
      <c r="HIJ13" s="57"/>
      <c r="HIK13" s="57"/>
      <c r="HIL13" s="57"/>
      <c r="HIM13" s="57"/>
      <c r="HIN13" s="57"/>
      <c r="HIO13" s="57"/>
      <c r="HIP13" s="57"/>
      <c r="HIQ13" s="57"/>
      <c r="HIR13" s="57"/>
      <c r="HIS13" s="57"/>
      <c r="HIT13" s="54"/>
      <c r="HIU13" s="54"/>
      <c r="HIV13" s="54"/>
      <c r="HIW13" s="55"/>
      <c r="HIX13" s="56"/>
      <c r="HIY13" s="57"/>
      <c r="HIZ13" s="57"/>
      <c r="HJA13" s="57"/>
      <c r="HJB13" s="57"/>
      <c r="HJC13" s="57"/>
      <c r="HJD13" s="57"/>
      <c r="HJE13" s="57"/>
      <c r="HJF13" s="57"/>
      <c r="HJG13" s="57"/>
      <c r="HJH13" s="57"/>
      <c r="HJI13" s="57"/>
      <c r="HJJ13" s="54"/>
      <c r="HJK13" s="54"/>
      <c r="HJL13" s="54"/>
      <c r="HJM13" s="55"/>
      <c r="HJN13" s="56"/>
      <c r="HJO13" s="57"/>
      <c r="HJP13" s="57"/>
      <c r="HJQ13" s="57"/>
      <c r="HJR13" s="57"/>
      <c r="HJS13" s="57"/>
      <c r="HJT13" s="57"/>
      <c r="HJU13" s="57"/>
      <c r="HJV13" s="57"/>
      <c r="HJW13" s="57"/>
      <c r="HJX13" s="57"/>
      <c r="HJY13" s="57"/>
      <c r="HJZ13" s="54"/>
      <c r="HKA13" s="54"/>
      <c r="HKB13" s="54"/>
      <c r="HKC13" s="55"/>
      <c r="HKD13" s="56"/>
      <c r="HKE13" s="57"/>
      <c r="HKF13" s="57"/>
      <c r="HKG13" s="57"/>
      <c r="HKH13" s="57"/>
      <c r="HKI13" s="57"/>
      <c r="HKJ13" s="57"/>
      <c r="HKK13" s="57"/>
      <c r="HKL13" s="57"/>
      <c r="HKM13" s="57"/>
      <c r="HKN13" s="57"/>
      <c r="HKO13" s="57"/>
      <c r="HKP13" s="54"/>
      <c r="HKQ13" s="54"/>
      <c r="HKR13" s="54"/>
      <c r="HKS13" s="55"/>
      <c r="HKT13" s="56"/>
      <c r="HKU13" s="57"/>
      <c r="HKV13" s="57"/>
      <c r="HKW13" s="57"/>
      <c r="HKX13" s="57"/>
      <c r="HKY13" s="57"/>
      <c r="HKZ13" s="57"/>
      <c r="HLA13" s="57"/>
      <c r="HLB13" s="57"/>
      <c r="HLC13" s="57"/>
      <c r="HLD13" s="57"/>
      <c r="HLE13" s="57"/>
      <c r="HLF13" s="54"/>
      <c r="HLG13" s="54"/>
      <c r="HLH13" s="54"/>
      <c r="HLI13" s="55"/>
      <c r="HLJ13" s="56"/>
      <c r="HLK13" s="57"/>
      <c r="HLL13" s="57"/>
      <c r="HLM13" s="57"/>
      <c r="HLN13" s="57"/>
      <c r="HLO13" s="57"/>
      <c r="HLP13" s="57"/>
      <c r="HLQ13" s="57"/>
      <c r="HLR13" s="57"/>
      <c r="HLS13" s="57"/>
      <c r="HLT13" s="57"/>
      <c r="HLU13" s="57"/>
      <c r="HLV13" s="54"/>
      <c r="HLW13" s="54"/>
      <c r="HLX13" s="54"/>
      <c r="HLY13" s="55"/>
      <c r="HLZ13" s="56"/>
      <c r="HMA13" s="57"/>
      <c r="HMB13" s="57"/>
      <c r="HMC13" s="57"/>
      <c r="HMD13" s="57"/>
      <c r="HME13" s="57"/>
      <c r="HMF13" s="57"/>
      <c r="HMG13" s="57"/>
      <c r="HMH13" s="57"/>
      <c r="HMI13" s="57"/>
      <c r="HMJ13" s="57"/>
      <c r="HMK13" s="57"/>
      <c r="HML13" s="54"/>
      <c r="HMM13" s="54"/>
      <c r="HMN13" s="54"/>
      <c r="HMO13" s="55"/>
      <c r="HMP13" s="56"/>
      <c r="HMQ13" s="57"/>
      <c r="HMR13" s="57"/>
      <c r="HMS13" s="57"/>
      <c r="HMT13" s="57"/>
      <c r="HMU13" s="57"/>
      <c r="HMV13" s="57"/>
      <c r="HMW13" s="57"/>
      <c r="HMX13" s="57"/>
      <c r="HMY13" s="57"/>
      <c r="HMZ13" s="57"/>
      <c r="HNA13" s="57"/>
      <c r="HNB13" s="54"/>
      <c r="HNC13" s="54"/>
      <c r="HND13" s="54"/>
      <c r="HNE13" s="55"/>
      <c r="HNF13" s="56"/>
      <c r="HNG13" s="57"/>
      <c r="HNH13" s="57"/>
      <c r="HNI13" s="57"/>
      <c r="HNJ13" s="57"/>
      <c r="HNK13" s="57"/>
      <c r="HNL13" s="57"/>
      <c r="HNM13" s="57"/>
      <c r="HNN13" s="57"/>
      <c r="HNO13" s="57"/>
      <c r="HNP13" s="57"/>
      <c r="HNQ13" s="57"/>
      <c r="HNR13" s="54"/>
      <c r="HNS13" s="54"/>
      <c r="HNT13" s="54"/>
      <c r="HNU13" s="55"/>
      <c r="HNV13" s="56"/>
      <c r="HNW13" s="57"/>
      <c r="HNX13" s="57"/>
      <c r="HNY13" s="57"/>
      <c r="HNZ13" s="57"/>
      <c r="HOA13" s="57"/>
      <c r="HOB13" s="57"/>
      <c r="HOC13" s="57"/>
      <c r="HOD13" s="57"/>
      <c r="HOE13" s="57"/>
      <c r="HOF13" s="57"/>
      <c r="HOG13" s="57"/>
      <c r="HOH13" s="54"/>
      <c r="HOI13" s="54"/>
      <c r="HOJ13" s="54"/>
      <c r="HOK13" s="55"/>
      <c r="HOL13" s="56"/>
      <c r="HOM13" s="57"/>
      <c r="HON13" s="57"/>
      <c r="HOO13" s="57"/>
      <c r="HOP13" s="57"/>
      <c r="HOQ13" s="57"/>
      <c r="HOR13" s="57"/>
      <c r="HOS13" s="57"/>
      <c r="HOT13" s="57"/>
      <c r="HOU13" s="57"/>
      <c r="HOV13" s="57"/>
      <c r="HOW13" s="57"/>
      <c r="HOX13" s="54"/>
      <c r="HOY13" s="54"/>
      <c r="HOZ13" s="54"/>
      <c r="HPA13" s="55"/>
      <c r="HPB13" s="56"/>
      <c r="HPC13" s="57"/>
      <c r="HPD13" s="57"/>
      <c r="HPE13" s="57"/>
      <c r="HPF13" s="57"/>
      <c r="HPG13" s="57"/>
      <c r="HPH13" s="57"/>
      <c r="HPI13" s="57"/>
      <c r="HPJ13" s="57"/>
      <c r="HPK13" s="57"/>
      <c r="HPL13" s="57"/>
      <c r="HPM13" s="57"/>
      <c r="HPN13" s="54"/>
      <c r="HPO13" s="54"/>
      <c r="HPP13" s="54"/>
      <c r="HPQ13" s="55"/>
      <c r="HPR13" s="56"/>
      <c r="HPS13" s="57"/>
      <c r="HPT13" s="57"/>
      <c r="HPU13" s="57"/>
      <c r="HPV13" s="57"/>
      <c r="HPW13" s="57"/>
      <c r="HPX13" s="57"/>
      <c r="HPY13" s="57"/>
      <c r="HPZ13" s="57"/>
      <c r="HQA13" s="57"/>
      <c r="HQB13" s="57"/>
      <c r="HQC13" s="57"/>
      <c r="HQD13" s="54"/>
      <c r="HQE13" s="54"/>
      <c r="HQF13" s="54"/>
      <c r="HQG13" s="55"/>
      <c r="HQH13" s="56"/>
      <c r="HQI13" s="57"/>
      <c r="HQJ13" s="57"/>
      <c r="HQK13" s="57"/>
      <c r="HQL13" s="57"/>
      <c r="HQM13" s="57"/>
      <c r="HQN13" s="57"/>
      <c r="HQO13" s="57"/>
      <c r="HQP13" s="57"/>
      <c r="HQQ13" s="57"/>
      <c r="HQR13" s="57"/>
      <c r="HQS13" s="57"/>
      <c r="HQT13" s="54"/>
      <c r="HQU13" s="54"/>
      <c r="HQV13" s="54"/>
      <c r="HQW13" s="55"/>
      <c r="HQX13" s="56"/>
      <c r="HQY13" s="57"/>
      <c r="HQZ13" s="57"/>
      <c r="HRA13" s="57"/>
      <c r="HRB13" s="57"/>
      <c r="HRC13" s="57"/>
      <c r="HRD13" s="57"/>
      <c r="HRE13" s="57"/>
      <c r="HRF13" s="57"/>
      <c r="HRG13" s="57"/>
      <c r="HRH13" s="57"/>
      <c r="HRI13" s="57"/>
      <c r="HRJ13" s="54"/>
      <c r="HRK13" s="54"/>
      <c r="HRL13" s="54"/>
      <c r="HRM13" s="55"/>
      <c r="HRN13" s="56"/>
      <c r="HRO13" s="57"/>
      <c r="HRP13" s="57"/>
      <c r="HRQ13" s="57"/>
      <c r="HRR13" s="57"/>
      <c r="HRS13" s="57"/>
      <c r="HRT13" s="57"/>
      <c r="HRU13" s="57"/>
      <c r="HRV13" s="57"/>
      <c r="HRW13" s="57"/>
      <c r="HRX13" s="57"/>
      <c r="HRY13" s="57"/>
      <c r="HRZ13" s="54"/>
      <c r="HSA13" s="54"/>
      <c r="HSB13" s="54"/>
      <c r="HSC13" s="55"/>
      <c r="HSD13" s="56"/>
      <c r="HSE13" s="57"/>
      <c r="HSF13" s="57"/>
      <c r="HSG13" s="57"/>
      <c r="HSH13" s="57"/>
      <c r="HSI13" s="57"/>
      <c r="HSJ13" s="57"/>
      <c r="HSK13" s="57"/>
      <c r="HSL13" s="57"/>
      <c r="HSM13" s="57"/>
      <c r="HSN13" s="57"/>
      <c r="HSO13" s="57"/>
      <c r="HSP13" s="54"/>
      <c r="HSQ13" s="54"/>
      <c r="HSR13" s="54"/>
      <c r="HSS13" s="55"/>
      <c r="HST13" s="56"/>
      <c r="HSU13" s="57"/>
      <c r="HSV13" s="57"/>
      <c r="HSW13" s="57"/>
      <c r="HSX13" s="57"/>
      <c r="HSY13" s="57"/>
      <c r="HSZ13" s="57"/>
      <c r="HTA13" s="57"/>
      <c r="HTB13" s="57"/>
      <c r="HTC13" s="57"/>
      <c r="HTD13" s="57"/>
      <c r="HTE13" s="57"/>
      <c r="HTF13" s="54"/>
      <c r="HTG13" s="54"/>
      <c r="HTH13" s="54"/>
      <c r="HTI13" s="55"/>
      <c r="HTJ13" s="56"/>
      <c r="HTK13" s="57"/>
      <c r="HTL13" s="57"/>
      <c r="HTM13" s="57"/>
      <c r="HTN13" s="57"/>
      <c r="HTO13" s="57"/>
      <c r="HTP13" s="57"/>
      <c r="HTQ13" s="57"/>
      <c r="HTR13" s="57"/>
      <c r="HTS13" s="57"/>
      <c r="HTT13" s="57"/>
      <c r="HTU13" s="57"/>
      <c r="HTV13" s="54"/>
      <c r="HTW13" s="54"/>
      <c r="HTX13" s="54"/>
      <c r="HTY13" s="55"/>
      <c r="HTZ13" s="56"/>
      <c r="HUA13" s="57"/>
      <c r="HUB13" s="57"/>
      <c r="HUC13" s="57"/>
      <c r="HUD13" s="57"/>
      <c r="HUE13" s="57"/>
      <c r="HUF13" s="57"/>
      <c r="HUG13" s="57"/>
      <c r="HUH13" s="57"/>
      <c r="HUI13" s="57"/>
      <c r="HUJ13" s="57"/>
      <c r="HUK13" s="57"/>
      <c r="HUL13" s="54"/>
      <c r="HUM13" s="54"/>
      <c r="HUN13" s="54"/>
      <c r="HUO13" s="55"/>
      <c r="HUP13" s="56"/>
      <c r="HUQ13" s="57"/>
      <c r="HUR13" s="57"/>
      <c r="HUS13" s="57"/>
      <c r="HUT13" s="57"/>
      <c r="HUU13" s="57"/>
      <c r="HUV13" s="57"/>
      <c r="HUW13" s="57"/>
      <c r="HUX13" s="57"/>
      <c r="HUY13" s="57"/>
      <c r="HUZ13" s="57"/>
      <c r="HVA13" s="57"/>
      <c r="HVB13" s="54"/>
      <c r="HVC13" s="54"/>
      <c r="HVD13" s="54"/>
      <c r="HVE13" s="55"/>
      <c r="HVF13" s="56"/>
      <c r="HVG13" s="57"/>
      <c r="HVH13" s="57"/>
      <c r="HVI13" s="57"/>
      <c r="HVJ13" s="57"/>
      <c r="HVK13" s="57"/>
      <c r="HVL13" s="57"/>
      <c r="HVM13" s="57"/>
      <c r="HVN13" s="57"/>
      <c r="HVO13" s="57"/>
      <c r="HVP13" s="57"/>
      <c r="HVQ13" s="57"/>
      <c r="HVR13" s="54"/>
      <c r="HVS13" s="54"/>
      <c r="HVT13" s="54"/>
      <c r="HVU13" s="55"/>
      <c r="HVV13" s="56"/>
      <c r="HVW13" s="57"/>
      <c r="HVX13" s="57"/>
      <c r="HVY13" s="57"/>
      <c r="HVZ13" s="57"/>
      <c r="HWA13" s="57"/>
      <c r="HWB13" s="57"/>
      <c r="HWC13" s="57"/>
      <c r="HWD13" s="57"/>
      <c r="HWE13" s="57"/>
      <c r="HWF13" s="57"/>
      <c r="HWG13" s="57"/>
      <c r="HWH13" s="54"/>
      <c r="HWI13" s="54"/>
      <c r="HWJ13" s="54"/>
      <c r="HWK13" s="55"/>
      <c r="HWL13" s="56"/>
      <c r="HWM13" s="57"/>
      <c r="HWN13" s="57"/>
      <c r="HWO13" s="57"/>
      <c r="HWP13" s="57"/>
      <c r="HWQ13" s="57"/>
      <c r="HWR13" s="57"/>
      <c r="HWS13" s="57"/>
      <c r="HWT13" s="57"/>
      <c r="HWU13" s="57"/>
      <c r="HWV13" s="57"/>
      <c r="HWW13" s="57"/>
      <c r="HWX13" s="54"/>
      <c r="HWY13" s="54"/>
      <c r="HWZ13" s="54"/>
      <c r="HXA13" s="55"/>
      <c r="HXB13" s="56"/>
      <c r="HXC13" s="57"/>
      <c r="HXD13" s="57"/>
      <c r="HXE13" s="57"/>
      <c r="HXF13" s="57"/>
      <c r="HXG13" s="57"/>
      <c r="HXH13" s="57"/>
      <c r="HXI13" s="57"/>
      <c r="HXJ13" s="57"/>
      <c r="HXK13" s="57"/>
      <c r="HXL13" s="57"/>
      <c r="HXM13" s="57"/>
      <c r="HXN13" s="54"/>
      <c r="HXO13" s="54"/>
      <c r="HXP13" s="54"/>
      <c r="HXQ13" s="55"/>
      <c r="HXR13" s="56"/>
      <c r="HXS13" s="57"/>
      <c r="HXT13" s="57"/>
      <c r="HXU13" s="57"/>
      <c r="HXV13" s="57"/>
      <c r="HXW13" s="57"/>
      <c r="HXX13" s="57"/>
      <c r="HXY13" s="57"/>
      <c r="HXZ13" s="57"/>
      <c r="HYA13" s="57"/>
      <c r="HYB13" s="57"/>
      <c r="HYC13" s="57"/>
      <c r="HYD13" s="54"/>
      <c r="HYE13" s="54"/>
      <c r="HYF13" s="54"/>
      <c r="HYG13" s="55"/>
      <c r="HYH13" s="56"/>
      <c r="HYI13" s="57"/>
      <c r="HYJ13" s="57"/>
      <c r="HYK13" s="57"/>
      <c r="HYL13" s="57"/>
      <c r="HYM13" s="57"/>
      <c r="HYN13" s="57"/>
      <c r="HYO13" s="57"/>
      <c r="HYP13" s="57"/>
      <c r="HYQ13" s="57"/>
      <c r="HYR13" s="57"/>
      <c r="HYS13" s="57"/>
      <c r="HYT13" s="54"/>
      <c r="HYU13" s="54"/>
      <c r="HYV13" s="54"/>
      <c r="HYW13" s="55"/>
      <c r="HYX13" s="56"/>
      <c r="HYY13" s="57"/>
      <c r="HYZ13" s="57"/>
      <c r="HZA13" s="57"/>
      <c r="HZB13" s="57"/>
      <c r="HZC13" s="57"/>
      <c r="HZD13" s="57"/>
      <c r="HZE13" s="57"/>
      <c r="HZF13" s="57"/>
      <c r="HZG13" s="57"/>
      <c r="HZH13" s="57"/>
      <c r="HZI13" s="57"/>
      <c r="HZJ13" s="54"/>
      <c r="HZK13" s="54"/>
      <c r="HZL13" s="54"/>
      <c r="HZM13" s="55"/>
      <c r="HZN13" s="56"/>
      <c r="HZO13" s="57"/>
      <c r="HZP13" s="57"/>
      <c r="HZQ13" s="57"/>
      <c r="HZR13" s="57"/>
      <c r="HZS13" s="57"/>
      <c r="HZT13" s="57"/>
      <c r="HZU13" s="57"/>
      <c r="HZV13" s="57"/>
      <c r="HZW13" s="57"/>
      <c r="HZX13" s="57"/>
      <c r="HZY13" s="57"/>
      <c r="HZZ13" s="54"/>
      <c r="IAA13" s="54"/>
      <c r="IAB13" s="54"/>
      <c r="IAC13" s="55"/>
      <c r="IAD13" s="56"/>
      <c r="IAE13" s="57"/>
      <c r="IAF13" s="57"/>
      <c r="IAG13" s="57"/>
      <c r="IAH13" s="57"/>
      <c r="IAI13" s="57"/>
      <c r="IAJ13" s="57"/>
      <c r="IAK13" s="57"/>
      <c r="IAL13" s="57"/>
      <c r="IAM13" s="57"/>
      <c r="IAN13" s="57"/>
      <c r="IAO13" s="57"/>
      <c r="IAP13" s="54"/>
      <c r="IAQ13" s="54"/>
      <c r="IAR13" s="54"/>
      <c r="IAS13" s="55"/>
      <c r="IAT13" s="56"/>
      <c r="IAU13" s="57"/>
      <c r="IAV13" s="57"/>
      <c r="IAW13" s="57"/>
      <c r="IAX13" s="57"/>
      <c r="IAY13" s="57"/>
      <c r="IAZ13" s="57"/>
      <c r="IBA13" s="57"/>
      <c r="IBB13" s="57"/>
      <c r="IBC13" s="57"/>
      <c r="IBD13" s="57"/>
      <c r="IBE13" s="57"/>
      <c r="IBF13" s="54"/>
      <c r="IBG13" s="54"/>
      <c r="IBH13" s="54"/>
      <c r="IBI13" s="55"/>
      <c r="IBJ13" s="56"/>
      <c r="IBK13" s="57"/>
      <c r="IBL13" s="57"/>
      <c r="IBM13" s="57"/>
      <c r="IBN13" s="57"/>
      <c r="IBO13" s="57"/>
      <c r="IBP13" s="57"/>
      <c r="IBQ13" s="57"/>
      <c r="IBR13" s="57"/>
      <c r="IBS13" s="57"/>
      <c r="IBT13" s="57"/>
      <c r="IBU13" s="57"/>
      <c r="IBV13" s="54"/>
      <c r="IBW13" s="54"/>
      <c r="IBX13" s="54"/>
      <c r="IBY13" s="55"/>
      <c r="IBZ13" s="56"/>
      <c r="ICA13" s="57"/>
      <c r="ICB13" s="57"/>
      <c r="ICC13" s="57"/>
      <c r="ICD13" s="57"/>
      <c r="ICE13" s="57"/>
      <c r="ICF13" s="57"/>
      <c r="ICG13" s="57"/>
      <c r="ICH13" s="57"/>
      <c r="ICI13" s="57"/>
      <c r="ICJ13" s="57"/>
      <c r="ICK13" s="57"/>
      <c r="ICL13" s="54"/>
      <c r="ICM13" s="54"/>
      <c r="ICN13" s="54"/>
      <c r="ICO13" s="55"/>
      <c r="ICP13" s="56"/>
      <c r="ICQ13" s="57"/>
      <c r="ICR13" s="57"/>
      <c r="ICS13" s="57"/>
      <c r="ICT13" s="57"/>
      <c r="ICU13" s="57"/>
      <c r="ICV13" s="57"/>
      <c r="ICW13" s="57"/>
      <c r="ICX13" s="57"/>
      <c r="ICY13" s="57"/>
      <c r="ICZ13" s="57"/>
      <c r="IDA13" s="57"/>
      <c r="IDB13" s="54"/>
      <c r="IDC13" s="54"/>
      <c r="IDD13" s="54"/>
      <c r="IDE13" s="55"/>
      <c r="IDF13" s="56"/>
      <c r="IDG13" s="57"/>
      <c r="IDH13" s="57"/>
      <c r="IDI13" s="57"/>
      <c r="IDJ13" s="57"/>
      <c r="IDK13" s="57"/>
      <c r="IDL13" s="57"/>
      <c r="IDM13" s="57"/>
      <c r="IDN13" s="57"/>
      <c r="IDO13" s="57"/>
      <c r="IDP13" s="57"/>
      <c r="IDQ13" s="57"/>
      <c r="IDR13" s="54"/>
      <c r="IDS13" s="54"/>
      <c r="IDT13" s="54"/>
      <c r="IDU13" s="55"/>
      <c r="IDV13" s="56"/>
      <c r="IDW13" s="57"/>
      <c r="IDX13" s="57"/>
      <c r="IDY13" s="57"/>
      <c r="IDZ13" s="57"/>
      <c r="IEA13" s="57"/>
      <c r="IEB13" s="57"/>
      <c r="IEC13" s="57"/>
      <c r="IED13" s="57"/>
      <c r="IEE13" s="57"/>
      <c r="IEF13" s="57"/>
      <c r="IEG13" s="57"/>
      <c r="IEH13" s="54"/>
      <c r="IEI13" s="54"/>
      <c r="IEJ13" s="54"/>
      <c r="IEK13" s="55"/>
      <c r="IEL13" s="56"/>
      <c r="IEM13" s="57"/>
      <c r="IEN13" s="57"/>
      <c r="IEO13" s="57"/>
      <c r="IEP13" s="57"/>
      <c r="IEQ13" s="57"/>
      <c r="IER13" s="57"/>
      <c r="IES13" s="57"/>
      <c r="IET13" s="57"/>
      <c r="IEU13" s="57"/>
      <c r="IEV13" s="57"/>
      <c r="IEW13" s="57"/>
      <c r="IEX13" s="54"/>
      <c r="IEY13" s="54"/>
      <c r="IEZ13" s="54"/>
      <c r="IFA13" s="55"/>
      <c r="IFB13" s="56"/>
      <c r="IFC13" s="57"/>
      <c r="IFD13" s="57"/>
      <c r="IFE13" s="57"/>
      <c r="IFF13" s="57"/>
      <c r="IFG13" s="57"/>
      <c r="IFH13" s="57"/>
      <c r="IFI13" s="57"/>
      <c r="IFJ13" s="57"/>
      <c r="IFK13" s="57"/>
      <c r="IFL13" s="57"/>
      <c r="IFM13" s="57"/>
      <c r="IFN13" s="54"/>
      <c r="IFO13" s="54"/>
      <c r="IFP13" s="54"/>
      <c r="IFQ13" s="55"/>
      <c r="IFR13" s="56"/>
      <c r="IFS13" s="57"/>
      <c r="IFT13" s="57"/>
      <c r="IFU13" s="57"/>
      <c r="IFV13" s="57"/>
      <c r="IFW13" s="57"/>
      <c r="IFX13" s="57"/>
      <c r="IFY13" s="57"/>
      <c r="IFZ13" s="57"/>
      <c r="IGA13" s="57"/>
      <c r="IGB13" s="57"/>
      <c r="IGC13" s="57"/>
      <c r="IGD13" s="54"/>
      <c r="IGE13" s="54"/>
      <c r="IGF13" s="54"/>
      <c r="IGG13" s="55"/>
      <c r="IGH13" s="56"/>
      <c r="IGI13" s="57"/>
      <c r="IGJ13" s="57"/>
      <c r="IGK13" s="57"/>
      <c r="IGL13" s="57"/>
      <c r="IGM13" s="57"/>
      <c r="IGN13" s="57"/>
      <c r="IGO13" s="57"/>
      <c r="IGP13" s="57"/>
      <c r="IGQ13" s="57"/>
      <c r="IGR13" s="57"/>
      <c r="IGS13" s="57"/>
      <c r="IGT13" s="54"/>
      <c r="IGU13" s="54"/>
      <c r="IGV13" s="54"/>
      <c r="IGW13" s="55"/>
      <c r="IGX13" s="56"/>
      <c r="IGY13" s="57"/>
      <c r="IGZ13" s="57"/>
      <c r="IHA13" s="57"/>
      <c r="IHB13" s="57"/>
      <c r="IHC13" s="57"/>
      <c r="IHD13" s="57"/>
      <c r="IHE13" s="57"/>
      <c r="IHF13" s="57"/>
      <c r="IHG13" s="57"/>
      <c r="IHH13" s="57"/>
      <c r="IHI13" s="57"/>
      <c r="IHJ13" s="54"/>
      <c r="IHK13" s="54"/>
      <c r="IHL13" s="54"/>
      <c r="IHM13" s="55"/>
      <c r="IHN13" s="56"/>
      <c r="IHO13" s="57"/>
      <c r="IHP13" s="57"/>
      <c r="IHQ13" s="57"/>
      <c r="IHR13" s="57"/>
      <c r="IHS13" s="57"/>
      <c r="IHT13" s="57"/>
      <c r="IHU13" s="57"/>
      <c r="IHV13" s="57"/>
      <c r="IHW13" s="57"/>
      <c r="IHX13" s="57"/>
      <c r="IHY13" s="57"/>
      <c r="IHZ13" s="54"/>
      <c r="IIA13" s="54"/>
      <c r="IIB13" s="54"/>
      <c r="IIC13" s="55"/>
      <c r="IID13" s="56"/>
      <c r="IIE13" s="57"/>
      <c r="IIF13" s="57"/>
      <c r="IIG13" s="57"/>
      <c r="IIH13" s="57"/>
      <c r="III13" s="57"/>
      <c r="IIJ13" s="57"/>
      <c r="IIK13" s="57"/>
      <c r="IIL13" s="57"/>
      <c r="IIM13" s="57"/>
      <c r="IIN13" s="57"/>
      <c r="IIO13" s="57"/>
      <c r="IIP13" s="54"/>
      <c r="IIQ13" s="54"/>
      <c r="IIR13" s="54"/>
      <c r="IIS13" s="55"/>
      <c r="IIT13" s="56"/>
      <c r="IIU13" s="57"/>
      <c r="IIV13" s="57"/>
      <c r="IIW13" s="57"/>
      <c r="IIX13" s="57"/>
      <c r="IIY13" s="57"/>
      <c r="IIZ13" s="57"/>
      <c r="IJA13" s="57"/>
      <c r="IJB13" s="57"/>
      <c r="IJC13" s="57"/>
      <c r="IJD13" s="57"/>
      <c r="IJE13" s="57"/>
      <c r="IJF13" s="54"/>
      <c r="IJG13" s="54"/>
      <c r="IJH13" s="54"/>
      <c r="IJI13" s="55"/>
      <c r="IJJ13" s="56"/>
      <c r="IJK13" s="57"/>
      <c r="IJL13" s="57"/>
      <c r="IJM13" s="57"/>
      <c r="IJN13" s="57"/>
      <c r="IJO13" s="57"/>
      <c r="IJP13" s="57"/>
      <c r="IJQ13" s="57"/>
      <c r="IJR13" s="57"/>
      <c r="IJS13" s="57"/>
      <c r="IJT13" s="57"/>
      <c r="IJU13" s="57"/>
      <c r="IJV13" s="54"/>
      <c r="IJW13" s="54"/>
      <c r="IJX13" s="54"/>
      <c r="IJY13" s="55"/>
      <c r="IJZ13" s="56"/>
      <c r="IKA13" s="57"/>
      <c r="IKB13" s="57"/>
      <c r="IKC13" s="57"/>
      <c r="IKD13" s="57"/>
      <c r="IKE13" s="57"/>
      <c r="IKF13" s="57"/>
      <c r="IKG13" s="57"/>
      <c r="IKH13" s="57"/>
      <c r="IKI13" s="57"/>
      <c r="IKJ13" s="57"/>
      <c r="IKK13" s="57"/>
      <c r="IKL13" s="54"/>
      <c r="IKM13" s="54"/>
      <c r="IKN13" s="54"/>
      <c r="IKO13" s="55"/>
      <c r="IKP13" s="56"/>
      <c r="IKQ13" s="57"/>
      <c r="IKR13" s="57"/>
      <c r="IKS13" s="57"/>
      <c r="IKT13" s="57"/>
      <c r="IKU13" s="57"/>
      <c r="IKV13" s="57"/>
      <c r="IKW13" s="57"/>
      <c r="IKX13" s="57"/>
      <c r="IKY13" s="57"/>
      <c r="IKZ13" s="57"/>
      <c r="ILA13" s="57"/>
      <c r="ILB13" s="54"/>
      <c r="ILC13" s="54"/>
      <c r="ILD13" s="54"/>
      <c r="ILE13" s="55"/>
      <c r="ILF13" s="56"/>
      <c r="ILG13" s="57"/>
      <c r="ILH13" s="57"/>
      <c r="ILI13" s="57"/>
      <c r="ILJ13" s="57"/>
      <c r="ILK13" s="57"/>
      <c r="ILL13" s="57"/>
      <c r="ILM13" s="57"/>
      <c r="ILN13" s="57"/>
      <c r="ILO13" s="57"/>
      <c r="ILP13" s="57"/>
      <c r="ILQ13" s="57"/>
      <c r="ILR13" s="54"/>
      <c r="ILS13" s="54"/>
      <c r="ILT13" s="54"/>
      <c r="ILU13" s="55"/>
      <c r="ILV13" s="56"/>
      <c r="ILW13" s="57"/>
      <c r="ILX13" s="57"/>
      <c r="ILY13" s="57"/>
      <c r="ILZ13" s="57"/>
      <c r="IMA13" s="57"/>
      <c r="IMB13" s="57"/>
      <c r="IMC13" s="57"/>
      <c r="IMD13" s="57"/>
      <c r="IME13" s="57"/>
      <c r="IMF13" s="57"/>
      <c r="IMG13" s="57"/>
      <c r="IMH13" s="54"/>
      <c r="IMI13" s="54"/>
      <c r="IMJ13" s="54"/>
      <c r="IMK13" s="55"/>
      <c r="IML13" s="56"/>
      <c r="IMM13" s="57"/>
      <c r="IMN13" s="57"/>
      <c r="IMO13" s="57"/>
      <c r="IMP13" s="57"/>
      <c r="IMQ13" s="57"/>
      <c r="IMR13" s="57"/>
      <c r="IMS13" s="57"/>
      <c r="IMT13" s="57"/>
      <c r="IMU13" s="57"/>
      <c r="IMV13" s="57"/>
      <c r="IMW13" s="57"/>
      <c r="IMX13" s="54"/>
      <c r="IMY13" s="54"/>
      <c r="IMZ13" s="54"/>
      <c r="INA13" s="55"/>
      <c r="INB13" s="56"/>
      <c r="INC13" s="57"/>
      <c r="IND13" s="57"/>
      <c r="INE13" s="57"/>
      <c r="INF13" s="57"/>
      <c r="ING13" s="57"/>
      <c r="INH13" s="57"/>
      <c r="INI13" s="57"/>
      <c r="INJ13" s="57"/>
      <c r="INK13" s="57"/>
      <c r="INL13" s="57"/>
      <c r="INM13" s="57"/>
      <c r="INN13" s="54"/>
      <c r="INO13" s="54"/>
      <c r="INP13" s="54"/>
      <c r="INQ13" s="55"/>
      <c r="INR13" s="56"/>
      <c r="INS13" s="57"/>
      <c r="INT13" s="57"/>
      <c r="INU13" s="57"/>
      <c r="INV13" s="57"/>
      <c r="INW13" s="57"/>
      <c r="INX13" s="57"/>
      <c r="INY13" s="57"/>
      <c r="INZ13" s="57"/>
      <c r="IOA13" s="57"/>
      <c r="IOB13" s="57"/>
      <c r="IOC13" s="57"/>
      <c r="IOD13" s="54"/>
      <c r="IOE13" s="54"/>
      <c r="IOF13" s="54"/>
      <c r="IOG13" s="55"/>
      <c r="IOH13" s="56"/>
      <c r="IOI13" s="57"/>
      <c r="IOJ13" s="57"/>
      <c r="IOK13" s="57"/>
      <c r="IOL13" s="57"/>
      <c r="IOM13" s="57"/>
      <c r="ION13" s="57"/>
      <c r="IOO13" s="57"/>
      <c r="IOP13" s="57"/>
      <c r="IOQ13" s="57"/>
      <c r="IOR13" s="57"/>
      <c r="IOS13" s="57"/>
      <c r="IOT13" s="54"/>
      <c r="IOU13" s="54"/>
      <c r="IOV13" s="54"/>
      <c r="IOW13" s="55"/>
      <c r="IOX13" s="56"/>
      <c r="IOY13" s="57"/>
      <c r="IOZ13" s="57"/>
      <c r="IPA13" s="57"/>
      <c r="IPB13" s="57"/>
      <c r="IPC13" s="57"/>
      <c r="IPD13" s="57"/>
      <c r="IPE13" s="57"/>
      <c r="IPF13" s="57"/>
      <c r="IPG13" s="57"/>
      <c r="IPH13" s="57"/>
      <c r="IPI13" s="57"/>
      <c r="IPJ13" s="54"/>
      <c r="IPK13" s="54"/>
      <c r="IPL13" s="54"/>
      <c r="IPM13" s="55"/>
      <c r="IPN13" s="56"/>
      <c r="IPO13" s="57"/>
      <c r="IPP13" s="57"/>
      <c r="IPQ13" s="57"/>
      <c r="IPR13" s="57"/>
      <c r="IPS13" s="57"/>
      <c r="IPT13" s="57"/>
      <c r="IPU13" s="57"/>
      <c r="IPV13" s="57"/>
      <c r="IPW13" s="57"/>
      <c r="IPX13" s="57"/>
      <c r="IPY13" s="57"/>
      <c r="IPZ13" s="54"/>
      <c r="IQA13" s="54"/>
      <c r="IQB13" s="54"/>
      <c r="IQC13" s="55"/>
      <c r="IQD13" s="56"/>
      <c r="IQE13" s="57"/>
      <c r="IQF13" s="57"/>
      <c r="IQG13" s="57"/>
      <c r="IQH13" s="57"/>
      <c r="IQI13" s="57"/>
      <c r="IQJ13" s="57"/>
      <c r="IQK13" s="57"/>
      <c r="IQL13" s="57"/>
      <c r="IQM13" s="57"/>
      <c r="IQN13" s="57"/>
      <c r="IQO13" s="57"/>
      <c r="IQP13" s="54"/>
      <c r="IQQ13" s="54"/>
      <c r="IQR13" s="54"/>
      <c r="IQS13" s="55"/>
      <c r="IQT13" s="56"/>
      <c r="IQU13" s="57"/>
      <c r="IQV13" s="57"/>
      <c r="IQW13" s="57"/>
      <c r="IQX13" s="57"/>
      <c r="IQY13" s="57"/>
      <c r="IQZ13" s="57"/>
      <c r="IRA13" s="57"/>
      <c r="IRB13" s="57"/>
      <c r="IRC13" s="57"/>
      <c r="IRD13" s="57"/>
      <c r="IRE13" s="57"/>
      <c r="IRF13" s="54"/>
      <c r="IRG13" s="54"/>
      <c r="IRH13" s="54"/>
      <c r="IRI13" s="55"/>
      <c r="IRJ13" s="56"/>
      <c r="IRK13" s="57"/>
      <c r="IRL13" s="57"/>
      <c r="IRM13" s="57"/>
      <c r="IRN13" s="57"/>
      <c r="IRO13" s="57"/>
      <c r="IRP13" s="57"/>
      <c r="IRQ13" s="57"/>
      <c r="IRR13" s="57"/>
      <c r="IRS13" s="57"/>
      <c r="IRT13" s="57"/>
      <c r="IRU13" s="57"/>
      <c r="IRV13" s="54"/>
      <c r="IRW13" s="54"/>
      <c r="IRX13" s="54"/>
      <c r="IRY13" s="55"/>
      <c r="IRZ13" s="56"/>
      <c r="ISA13" s="57"/>
      <c r="ISB13" s="57"/>
      <c r="ISC13" s="57"/>
      <c r="ISD13" s="57"/>
      <c r="ISE13" s="57"/>
      <c r="ISF13" s="57"/>
      <c r="ISG13" s="57"/>
      <c r="ISH13" s="57"/>
      <c r="ISI13" s="57"/>
      <c r="ISJ13" s="57"/>
      <c r="ISK13" s="57"/>
      <c r="ISL13" s="54"/>
      <c r="ISM13" s="54"/>
      <c r="ISN13" s="54"/>
      <c r="ISO13" s="55"/>
      <c r="ISP13" s="56"/>
      <c r="ISQ13" s="57"/>
      <c r="ISR13" s="57"/>
      <c r="ISS13" s="57"/>
      <c r="IST13" s="57"/>
      <c r="ISU13" s="57"/>
      <c r="ISV13" s="57"/>
      <c r="ISW13" s="57"/>
      <c r="ISX13" s="57"/>
      <c r="ISY13" s="57"/>
      <c r="ISZ13" s="57"/>
      <c r="ITA13" s="57"/>
      <c r="ITB13" s="54"/>
      <c r="ITC13" s="54"/>
      <c r="ITD13" s="54"/>
      <c r="ITE13" s="55"/>
      <c r="ITF13" s="56"/>
      <c r="ITG13" s="57"/>
      <c r="ITH13" s="57"/>
      <c r="ITI13" s="57"/>
      <c r="ITJ13" s="57"/>
      <c r="ITK13" s="57"/>
      <c r="ITL13" s="57"/>
      <c r="ITM13" s="57"/>
      <c r="ITN13" s="57"/>
      <c r="ITO13" s="57"/>
      <c r="ITP13" s="57"/>
      <c r="ITQ13" s="57"/>
      <c r="ITR13" s="54"/>
      <c r="ITS13" s="54"/>
      <c r="ITT13" s="54"/>
      <c r="ITU13" s="55"/>
      <c r="ITV13" s="56"/>
      <c r="ITW13" s="57"/>
      <c r="ITX13" s="57"/>
      <c r="ITY13" s="57"/>
      <c r="ITZ13" s="57"/>
      <c r="IUA13" s="57"/>
      <c r="IUB13" s="57"/>
      <c r="IUC13" s="57"/>
      <c r="IUD13" s="57"/>
      <c r="IUE13" s="57"/>
      <c r="IUF13" s="57"/>
      <c r="IUG13" s="57"/>
      <c r="IUH13" s="54"/>
      <c r="IUI13" s="54"/>
      <c r="IUJ13" s="54"/>
      <c r="IUK13" s="55"/>
      <c r="IUL13" s="56"/>
      <c r="IUM13" s="57"/>
      <c r="IUN13" s="57"/>
      <c r="IUO13" s="57"/>
      <c r="IUP13" s="57"/>
      <c r="IUQ13" s="57"/>
      <c r="IUR13" s="57"/>
      <c r="IUS13" s="57"/>
      <c r="IUT13" s="57"/>
      <c r="IUU13" s="57"/>
      <c r="IUV13" s="57"/>
      <c r="IUW13" s="57"/>
      <c r="IUX13" s="54"/>
      <c r="IUY13" s="54"/>
      <c r="IUZ13" s="54"/>
      <c r="IVA13" s="55"/>
      <c r="IVB13" s="56"/>
      <c r="IVC13" s="57"/>
      <c r="IVD13" s="57"/>
      <c r="IVE13" s="57"/>
      <c r="IVF13" s="57"/>
      <c r="IVG13" s="57"/>
      <c r="IVH13" s="57"/>
      <c r="IVI13" s="57"/>
      <c r="IVJ13" s="57"/>
      <c r="IVK13" s="57"/>
      <c r="IVL13" s="57"/>
      <c r="IVM13" s="57"/>
      <c r="IVN13" s="54"/>
      <c r="IVO13" s="54"/>
      <c r="IVP13" s="54"/>
      <c r="IVQ13" s="55"/>
      <c r="IVR13" s="56"/>
      <c r="IVS13" s="57"/>
      <c r="IVT13" s="57"/>
      <c r="IVU13" s="57"/>
      <c r="IVV13" s="57"/>
      <c r="IVW13" s="57"/>
      <c r="IVX13" s="57"/>
      <c r="IVY13" s="57"/>
      <c r="IVZ13" s="57"/>
      <c r="IWA13" s="57"/>
      <c r="IWB13" s="57"/>
      <c r="IWC13" s="57"/>
      <c r="IWD13" s="54"/>
      <c r="IWE13" s="54"/>
      <c r="IWF13" s="54"/>
      <c r="IWG13" s="55"/>
      <c r="IWH13" s="56"/>
      <c r="IWI13" s="57"/>
      <c r="IWJ13" s="57"/>
      <c r="IWK13" s="57"/>
      <c r="IWL13" s="57"/>
      <c r="IWM13" s="57"/>
      <c r="IWN13" s="57"/>
      <c r="IWO13" s="57"/>
      <c r="IWP13" s="57"/>
      <c r="IWQ13" s="57"/>
      <c r="IWR13" s="57"/>
      <c r="IWS13" s="57"/>
      <c r="IWT13" s="54"/>
      <c r="IWU13" s="54"/>
      <c r="IWV13" s="54"/>
      <c r="IWW13" s="55"/>
      <c r="IWX13" s="56"/>
      <c r="IWY13" s="57"/>
      <c r="IWZ13" s="57"/>
      <c r="IXA13" s="57"/>
      <c r="IXB13" s="57"/>
      <c r="IXC13" s="57"/>
      <c r="IXD13" s="57"/>
      <c r="IXE13" s="57"/>
      <c r="IXF13" s="57"/>
      <c r="IXG13" s="57"/>
      <c r="IXH13" s="57"/>
      <c r="IXI13" s="57"/>
      <c r="IXJ13" s="54"/>
      <c r="IXK13" s="54"/>
      <c r="IXL13" s="54"/>
      <c r="IXM13" s="55"/>
      <c r="IXN13" s="56"/>
      <c r="IXO13" s="57"/>
      <c r="IXP13" s="57"/>
      <c r="IXQ13" s="57"/>
      <c r="IXR13" s="57"/>
      <c r="IXS13" s="57"/>
      <c r="IXT13" s="57"/>
      <c r="IXU13" s="57"/>
      <c r="IXV13" s="57"/>
      <c r="IXW13" s="57"/>
      <c r="IXX13" s="57"/>
      <c r="IXY13" s="57"/>
      <c r="IXZ13" s="54"/>
      <c r="IYA13" s="54"/>
      <c r="IYB13" s="54"/>
      <c r="IYC13" s="55"/>
      <c r="IYD13" s="56"/>
      <c r="IYE13" s="57"/>
      <c r="IYF13" s="57"/>
      <c r="IYG13" s="57"/>
      <c r="IYH13" s="57"/>
      <c r="IYI13" s="57"/>
      <c r="IYJ13" s="57"/>
      <c r="IYK13" s="57"/>
      <c r="IYL13" s="57"/>
      <c r="IYM13" s="57"/>
      <c r="IYN13" s="57"/>
      <c r="IYO13" s="57"/>
      <c r="IYP13" s="54"/>
      <c r="IYQ13" s="54"/>
      <c r="IYR13" s="54"/>
      <c r="IYS13" s="55"/>
      <c r="IYT13" s="56"/>
      <c r="IYU13" s="57"/>
      <c r="IYV13" s="57"/>
      <c r="IYW13" s="57"/>
      <c r="IYX13" s="57"/>
      <c r="IYY13" s="57"/>
      <c r="IYZ13" s="57"/>
      <c r="IZA13" s="57"/>
      <c r="IZB13" s="57"/>
      <c r="IZC13" s="57"/>
      <c r="IZD13" s="57"/>
      <c r="IZE13" s="57"/>
      <c r="IZF13" s="54"/>
      <c r="IZG13" s="54"/>
      <c r="IZH13" s="54"/>
      <c r="IZI13" s="55"/>
      <c r="IZJ13" s="56"/>
      <c r="IZK13" s="57"/>
      <c r="IZL13" s="57"/>
      <c r="IZM13" s="57"/>
      <c r="IZN13" s="57"/>
      <c r="IZO13" s="57"/>
      <c r="IZP13" s="57"/>
      <c r="IZQ13" s="57"/>
      <c r="IZR13" s="57"/>
      <c r="IZS13" s="57"/>
      <c r="IZT13" s="57"/>
      <c r="IZU13" s="57"/>
      <c r="IZV13" s="54"/>
      <c r="IZW13" s="54"/>
      <c r="IZX13" s="54"/>
      <c r="IZY13" s="55"/>
      <c r="IZZ13" s="56"/>
      <c r="JAA13" s="57"/>
      <c r="JAB13" s="57"/>
      <c r="JAC13" s="57"/>
      <c r="JAD13" s="57"/>
      <c r="JAE13" s="57"/>
      <c r="JAF13" s="57"/>
      <c r="JAG13" s="57"/>
      <c r="JAH13" s="57"/>
      <c r="JAI13" s="57"/>
      <c r="JAJ13" s="57"/>
      <c r="JAK13" s="57"/>
      <c r="JAL13" s="54"/>
      <c r="JAM13" s="54"/>
      <c r="JAN13" s="54"/>
      <c r="JAO13" s="55"/>
      <c r="JAP13" s="56"/>
      <c r="JAQ13" s="57"/>
      <c r="JAR13" s="57"/>
      <c r="JAS13" s="57"/>
      <c r="JAT13" s="57"/>
      <c r="JAU13" s="57"/>
      <c r="JAV13" s="57"/>
      <c r="JAW13" s="57"/>
      <c r="JAX13" s="57"/>
      <c r="JAY13" s="57"/>
      <c r="JAZ13" s="57"/>
      <c r="JBA13" s="57"/>
      <c r="JBB13" s="54"/>
      <c r="JBC13" s="54"/>
      <c r="JBD13" s="54"/>
      <c r="JBE13" s="55"/>
      <c r="JBF13" s="56"/>
      <c r="JBG13" s="57"/>
      <c r="JBH13" s="57"/>
      <c r="JBI13" s="57"/>
      <c r="JBJ13" s="57"/>
      <c r="JBK13" s="57"/>
      <c r="JBL13" s="57"/>
      <c r="JBM13" s="57"/>
      <c r="JBN13" s="57"/>
      <c r="JBO13" s="57"/>
      <c r="JBP13" s="57"/>
      <c r="JBQ13" s="57"/>
      <c r="JBR13" s="54"/>
      <c r="JBS13" s="54"/>
      <c r="JBT13" s="54"/>
      <c r="JBU13" s="55"/>
      <c r="JBV13" s="56"/>
      <c r="JBW13" s="57"/>
      <c r="JBX13" s="57"/>
      <c r="JBY13" s="57"/>
      <c r="JBZ13" s="57"/>
      <c r="JCA13" s="57"/>
      <c r="JCB13" s="57"/>
      <c r="JCC13" s="57"/>
      <c r="JCD13" s="57"/>
      <c r="JCE13" s="57"/>
      <c r="JCF13" s="57"/>
      <c r="JCG13" s="57"/>
      <c r="JCH13" s="54"/>
      <c r="JCI13" s="54"/>
      <c r="JCJ13" s="54"/>
      <c r="JCK13" s="55"/>
      <c r="JCL13" s="56"/>
      <c r="JCM13" s="57"/>
      <c r="JCN13" s="57"/>
      <c r="JCO13" s="57"/>
      <c r="JCP13" s="57"/>
      <c r="JCQ13" s="57"/>
      <c r="JCR13" s="57"/>
      <c r="JCS13" s="57"/>
      <c r="JCT13" s="57"/>
      <c r="JCU13" s="57"/>
      <c r="JCV13" s="57"/>
      <c r="JCW13" s="57"/>
      <c r="JCX13" s="54"/>
      <c r="JCY13" s="54"/>
      <c r="JCZ13" s="54"/>
      <c r="JDA13" s="55"/>
      <c r="JDB13" s="56"/>
      <c r="JDC13" s="57"/>
      <c r="JDD13" s="57"/>
      <c r="JDE13" s="57"/>
      <c r="JDF13" s="57"/>
      <c r="JDG13" s="57"/>
      <c r="JDH13" s="57"/>
      <c r="JDI13" s="57"/>
      <c r="JDJ13" s="57"/>
      <c r="JDK13" s="57"/>
      <c r="JDL13" s="57"/>
      <c r="JDM13" s="57"/>
      <c r="JDN13" s="54"/>
      <c r="JDO13" s="54"/>
      <c r="JDP13" s="54"/>
      <c r="JDQ13" s="55"/>
      <c r="JDR13" s="56"/>
      <c r="JDS13" s="57"/>
      <c r="JDT13" s="57"/>
      <c r="JDU13" s="57"/>
      <c r="JDV13" s="57"/>
      <c r="JDW13" s="57"/>
      <c r="JDX13" s="57"/>
      <c r="JDY13" s="57"/>
      <c r="JDZ13" s="57"/>
      <c r="JEA13" s="57"/>
      <c r="JEB13" s="57"/>
      <c r="JEC13" s="57"/>
      <c r="JED13" s="54"/>
      <c r="JEE13" s="54"/>
      <c r="JEF13" s="54"/>
      <c r="JEG13" s="55"/>
      <c r="JEH13" s="56"/>
      <c r="JEI13" s="57"/>
      <c r="JEJ13" s="57"/>
      <c r="JEK13" s="57"/>
      <c r="JEL13" s="57"/>
      <c r="JEM13" s="57"/>
      <c r="JEN13" s="57"/>
      <c r="JEO13" s="57"/>
      <c r="JEP13" s="57"/>
      <c r="JEQ13" s="57"/>
      <c r="JER13" s="57"/>
      <c r="JES13" s="57"/>
      <c r="JET13" s="54"/>
      <c r="JEU13" s="54"/>
      <c r="JEV13" s="54"/>
      <c r="JEW13" s="55"/>
      <c r="JEX13" s="56"/>
      <c r="JEY13" s="57"/>
      <c r="JEZ13" s="57"/>
      <c r="JFA13" s="57"/>
      <c r="JFB13" s="57"/>
      <c r="JFC13" s="57"/>
      <c r="JFD13" s="57"/>
      <c r="JFE13" s="57"/>
      <c r="JFF13" s="57"/>
      <c r="JFG13" s="57"/>
      <c r="JFH13" s="57"/>
      <c r="JFI13" s="57"/>
      <c r="JFJ13" s="54"/>
      <c r="JFK13" s="54"/>
      <c r="JFL13" s="54"/>
      <c r="JFM13" s="55"/>
      <c r="JFN13" s="56"/>
      <c r="JFO13" s="57"/>
      <c r="JFP13" s="57"/>
      <c r="JFQ13" s="57"/>
      <c r="JFR13" s="57"/>
      <c r="JFS13" s="57"/>
      <c r="JFT13" s="57"/>
      <c r="JFU13" s="57"/>
      <c r="JFV13" s="57"/>
      <c r="JFW13" s="57"/>
      <c r="JFX13" s="57"/>
      <c r="JFY13" s="57"/>
      <c r="JFZ13" s="54"/>
      <c r="JGA13" s="54"/>
      <c r="JGB13" s="54"/>
      <c r="JGC13" s="55"/>
      <c r="JGD13" s="56"/>
      <c r="JGE13" s="57"/>
      <c r="JGF13" s="57"/>
      <c r="JGG13" s="57"/>
      <c r="JGH13" s="57"/>
      <c r="JGI13" s="57"/>
      <c r="JGJ13" s="57"/>
      <c r="JGK13" s="57"/>
      <c r="JGL13" s="57"/>
      <c r="JGM13" s="57"/>
      <c r="JGN13" s="57"/>
      <c r="JGO13" s="57"/>
      <c r="JGP13" s="54"/>
      <c r="JGQ13" s="54"/>
      <c r="JGR13" s="54"/>
      <c r="JGS13" s="55"/>
      <c r="JGT13" s="56"/>
      <c r="JGU13" s="57"/>
      <c r="JGV13" s="57"/>
      <c r="JGW13" s="57"/>
      <c r="JGX13" s="57"/>
      <c r="JGY13" s="57"/>
      <c r="JGZ13" s="57"/>
      <c r="JHA13" s="57"/>
      <c r="JHB13" s="57"/>
      <c r="JHC13" s="57"/>
      <c r="JHD13" s="57"/>
      <c r="JHE13" s="57"/>
      <c r="JHF13" s="54"/>
      <c r="JHG13" s="54"/>
      <c r="JHH13" s="54"/>
      <c r="JHI13" s="55"/>
      <c r="JHJ13" s="56"/>
      <c r="JHK13" s="57"/>
      <c r="JHL13" s="57"/>
      <c r="JHM13" s="57"/>
      <c r="JHN13" s="57"/>
      <c r="JHO13" s="57"/>
      <c r="JHP13" s="57"/>
      <c r="JHQ13" s="57"/>
      <c r="JHR13" s="57"/>
      <c r="JHS13" s="57"/>
      <c r="JHT13" s="57"/>
      <c r="JHU13" s="57"/>
      <c r="JHV13" s="54"/>
      <c r="JHW13" s="54"/>
      <c r="JHX13" s="54"/>
      <c r="JHY13" s="55"/>
      <c r="JHZ13" s="56"/>
      <c r="JIA13" s="57"/>
      <c r="JIB13" s="57"/>
      <c r="JIC13" s="57"/>
      <c r="JID13" s="57"/>
      <c r="JIE13" s="57"/>
      <c r="JIF13" s="57"/>
      <c r="JIG13" s="57"/>
      <c r="JIH13" s="57"/>
      <c r="JII13" s="57"/>
      <c r="JIJ13" s="57"/>
      <c r="JIK13" s="57"/>
      <c r="JIL13" s="54"/>
      <c r="JIM13" s="54"/>
      <c r="JIN13" s="54"/>
      <c r="JIO13" s="55"/>
      <c r="JIP13" s="56"/>
      <c r="JIQ13" s="57"/>
      <c r="JIR13" s="57"/>
      <c r="JIS13" s="57"/>
      <c r="JIT13" s="57"/>
      <c r="JIU13" s="57"/>
      <c r="JIV13" s="57"/>
      <c r="JIW13" s="57"/>
      <c r="JIX13" s="57"/>
      <c r="JIY13" s="57"/>
      <c r="JIZ13" s="57"/>
      <c r="JJA13" s="57"/>
      <c r="JJB13" s="54"/>
      <c r="JJC13" s="54"/>
      <c r="JJD13" s="54"/>
      <c r="JJE13" s="55"/>
      <c r="JJF13" s="56"/>
      <c r="JJG13" s="57"/>
      <c r="JJH13" s="57"/>
      <c r="JJI13" s="57"/>
      <c r="JJJ13" s="57"/>
      <c r="JJK13" s="57"/>
      <c r="JJL13" s="57"/>
      <c r="JJM13" s="57"/>
      <c r="JJN13" s="57"/>
      <c r="JJO13" s="57"/>
      <c r="JJP13" s="57"/>
      <c r="JJQ13" s="57"/>
      <c r="JJR13" s="54"/>
      <c r="JJS13" s="54"/>
      <c r="JJT13" s="54"/>
      <c r="JJU13" s="55"/>
      <c r="JJV13" s="56"/>
      <c r="JJW13" s="57"/>
      <c r="JJX13" s="57"/>
      <c r="JJY13" s="57"/>
      <c r="JJZ13" s="57"/>
      <c r="JKA13" s="57"/>
      <c r="JKB13" s="57"/>
      <c r="JKC13" s="57"/>
      <c r="JKD13" s="57"/>
      <c r="JKE13" s="57"/>
      <c r="JKF13" s="57"/>
      <c r="JKG13" s="57"/>
      <c r="JKH13" s="54"/>
      <c r="JKI13" s="54"/>
      <c r="JKJ13" s="54"/>
      <c r="JKK13" s="55"/>
      <c r="JKL13" s="56"/>
      <c r="JKM13" s="57"/>
      <c r="JKN13" s="57"/>
      <c r="JKO13" s="57"/>
      <c r="JKP13" s="57"/>
      <c r="JKQ13" s="57"/>
      <c r="JKR13" s="57"/>
      <c r="JKS13" s="57"/>
      <c r="JKT13" s="57"/>
      <c r="JKU13" s="57"/>
      <c r="JKV13" s="57"/>
      <c r="JKW13" s="57"/>
      <c r="JKX13" s="54"/>
      <c r="JKY13" s="54"/>
      <c r="JKZ13" s="54"/>
      <c r="JLA13" s="55"/>
      <c r="JLB13" s="56"/>
      <c r="JLC13" s="57"/>
      <c r="JLD13" s="57"/>
      <c r="JLE13" s="57"/>
      <c r="JLF13" s="57"/>
      <c r="JLG13" s="57"/>
      <c r="JLH13" s="57"/>
      <c r="JLI13" s="57"/>
      <c r="JLJ13" s="57"/>
      <c r="JLK13" s="57"/>
      <c r="JLL13" s="57"/>
      <c r="JLM13" s="57"/>
      <c r="JLN13" s="54"/>
      <c r="JLO13" s="54"/>
      <c r="JLP13" s="54"/>
      <c r="JLQ13" s="55"/>
      <c r="JLR13" s="56"/>
      <c r="JLS13" s="57"/>
      <c r="JLT13" s="57"/>
      <c r="JLU13" s="57"/>
      <c r="JLV13" s="57"/>
      <c r="JLW13" s="57"/>
      <c r="JLX13" s="57"/>
      <c r="JLY13" s="57"/>
      <c r="JLZ13" s="57"/>
      <c r="JMA13" s="57"/>
      <c r="JMB13" s="57"/>
      <c r="JMC13" s="57"/>
      <c r="JMD13" s="54"/>
      <c r="JME13" s="54"/>
      <c r="JMF13" s="54"/>
      <c r="JMG13" s="55"/>
      <c r="JMH13" s="56"/>
      <c r="JMI13" s="57"/>
      <c r="JMJ13" s="57"/>
      <c r="JMK13" s="57"/>
      <c r="JML13" s="57"/>
      <c r="JMM13" s="57"/>
      <c r="JMN13" s="57"/>
      <c r="JMO13" s="57"/>
      <c r="JMP13" s="57"/>
      <c r="JMQ13" s="57"/>
      <c r="JMR13" s="57"/>
      <c r="JMS13" s="57"/>
      <c r="JMT13" s="54"/>
      <c r="JMU13" s="54"/>
      <c r="JMV13" s="54"/>
      <c r="JMW13" s="55"/>
      <c r="JMX13" s="56"/>
      <c r="JMY13" s="57"/>
      <c r="JMZ13" s="57"/>
      <c r="JNA13" s="57"/>
      <c r="JNB13" s="57"/>
      <c r="JNC13" s="57"/>
      <c r="JND13" s="57"/>
      <c r="JNE13" s="57"/>
      <c r="JNF13" s="57"/>
      <c r="JNG13" s="57"/>
      <c r="JNH13" s="57"/>
      <c r="JNI13" s="57"/>
      <c r="JNJ13" s="54"/>
      <c r="JNK13" s="54"/>
      <c r="JNL13" s="54"/>
      <c r="JNM13" s="55"/>
      <c r="JNN13" s="56"/>
      <c r="JNO13" s="57"/>
      <c r="JNP13" s="57"/>
      <c r="JNQ13" s="57"/>
      <c r="JNR13" s="57"/>
      <c r="JNS13" s="57"/>
      <c r="JNT13" s="57"/>
      <c r="JNU13" s="57"/>
      <c r="JNV13" s="57"/>
      <c r="JNW13" s="57"/>
      <c r="JNX13" s="57"/>
      <c r="JNY13" s="57"/>
      <c r="JNZ13" s="54"/>
      <c r="JOA13" s="54"/>
      <c r="JOB13" s="54"/>
      <c r="JOC13" s="55"/>
      <c r="JOD13" s="56"/>
      <c r="JOE13" s="57"/>
      <c r="JOF13" s="57"/>
      <c r="JOG13" s="57"/>
      <c r="JOH13" s="57"/>
      <c r="JOI13" s="57"/>
      <c r="JOJ13" s="57"/>
      <c r="JOK13" s="57"/>
      <c r="JOL13" s="57"/>
      <c r="JOM13" s="57"/>
      <c r="JON13" s="57"/>
      <c r="JOO13" s="57"/>
      <c r="JOP13" s="54"/>
      <c r="JOQ13" s="54"/>
      <c r="JOR13" s="54"/>
      <c r="JOS13" s="55"/>
      <c r="JOT13" s="56"/>
      <c r="JOU13" s="57"/>
      <c r="JOV13" s="57"/>
      <c r="JOW13" s="57"/>
      <c r="JOX13" s="57"/>
      <c r="JOY13" s="57"/>
      <c r="JOZ13" s="57"/>
      <c r="JPA13" s="57"/>
      <c r="JPB13" s="57"/>
      <c r="JPC13" s="57"/>
      <c r="JPD13" s="57"/>
      <c r="JPE13" s="57"/>
      <c r="JPF13" s="54"/>
      <c r="JPG13" s="54"/>
      <c r="JPH13" s="54"/>
      <c r="JPI13" s="55"/>
      <c r="JPJ13" s="56"/>
      <c r="JPK13" s="57"/>
      <c r="JPL13" s="57"/>
      <c r="JPM13" s="57"/>
      <c r="JPN13" s="57"/>
      <c r="JPO13" s="57"/>
      <c r="JPP13" s="57"/>
      <c r="JPQ13" s="57"/>
      <c r="JPR13" s="57"/>
      <c r="JPS13" s="57"/>
      <c r="JPT13" s="57"/>
      <c r="JPU13" s="57"/>
      <c r="JPV13" s="54"/>
      <c r="JPW13" s="54"/>
      <c r="JPX13" s="54"/>
      <c r="JPY13" s="55"/>
      <c r="JPZ13" s="56"/>
      <c r="JQA13" s="57"/>
      <c r="JQB13" s="57"/>
      <c r="JQC13" s="57"/>
      <c r="JQD13" s="57"/>
      <c r="JQE13" s="57"/>
      <c r="JQF13" s="57"/>
      <c r="JQG13" s="57"/>
      <c r="JQH13" s="57"/>
      <c r="JQI13" s="57"/>
      <c r="JQJ13" s="57"/>
      <c r="JQK13" s="57"/>
      <c r="JQL13" s="54"/>
      <c r="JQM13" s="54"/>
      <c r="JQN13" s="54"/>
      <c r="JQO13" s="55"/>
      <c r="JQP13" s="56"/>
      <c r="JQQ13" s="57"/>
      <c r="JQR13" s="57"/>
      <c r="JQS13" s="57"/>
      <c r="JQT13" s="57"/>
      <c r="JQU13" s="57"/>
      <c r="JQV13" s="57"/>
      <c r="JQW13" s="57"/>
      <c r="JQX13" s="57"/>
      <c r="JQY13" s="57"/>
      <c r="JQZ13" s="57"/>
      <c r="JRA13" s="57"/>
      <c r="JRB13" s="54"/>
      <c r="JRC13" s="54"/>
      <c r="JRD13" s="54"/>
      <c r="JRE13" s="55"/>
      <c r="JRF13" s="56"/>
      <c r="JRG13" s="57"/>
      <c r="JRH13" s="57"/>
      <c r="JRI13" s="57"/>
      <c r="JRJ13" s="57"/>
      <c r="JRK13" s="57"/>
      <c r="JRL13" s="57"/>
      <c r="JRM13" s="57"/>
      <c r="JRN13" s="57"/>
      <c r="JRO13" s="57"/>
      <c r="JRP13" s="57"/>
      <c r="JRQ13" s="57"/>
      <c r="JRR13" s="54"/>
      <c r="JRS13" s="54"/>
      <c r="JRT13" s="54"/>
      <c r="JRU13" s="55"/>
      <c r="JRV13" s="56"/>
      <c r="JRW13" s="57"/>
      <c r="JRX13" s="57"/>
      <c r="JRY13" s="57"/>
      <c r="JRZ13" s="57"/>
      <c r="JSA13" s="57"/>
      <c r="JSB13" s="57"/>
      <c r="JSC13" s="57"/>
      <c r="JSD13" s="57"/>
      <c r="JSE13" s="57"/>
      <c r="JSF13" s="57"/>
      <c r="JSG13" s="57"/>
      <c r="JSH13" s="54"/>
      <c r="JSI13" s="54"/>
      <c r="JSJ13" s="54"/>
      <c r="JSK13" s="55"/>
      <c r="JSL13" s="56"/>
      <c r="JSM13" s="57"/>
      <c r="JSN13" s="57"/>
      <c r="JSO13" s="57"/>
      <c r="JSP13" s="57"/>
      <c r="JSQ13" s="57"/>
      <c r="JSR13" s="57"/>
      <c r="JSS13" s="57"/>
      <c r="JST13" s="57"/>
      <c r="JSU13" s="57"/>
      <c r="JSV13" s="57"/>
      <c r="JSW13" s="57"/>
      <c r="JSX13" s="54"/>
      <c r="JSY13" s="54"/>
      <c r="JSZ13" s="54"/>
      <c r="JTA13" s="55"/>
      <c r="JTB13" s="56"/>
      <c r="JTC13" s="57"/>
      <c r="JTD13" s="57"/>
      <c r="JTE13" s="57"/>
      <c r="JTF13" s="57"/>
      <c r="JTG13" s="57"/>
      <c r="JTH13" s="57"/>
      <c r="JTI13" s="57"/>
      <c r="JTJ13" s="57"/>
      <c r="JTK13" s="57"/>
      <c r="JTL13" s="57"/>
      <c r="JTM13" s="57"/>
      <c r="JTN13" s="54"/>
      <c r="JTO13" s="54"/>
      <c r="JTP13" s="54"/>
      <c r="JTQ13" s="55"/>
      <c r="JTR13" s="56"/>
      <c r="JTS13" s="57"/>
      <c r="JTT13" s="57"/>
      <c r="JTU13" s="57"/>
      <c r="JTV13" s="57"/>
      <c r="JTW13" s="57"/>
      <c r="JTX13" s="57"/>
      <c r="JTY13" s="57"/>
      <c r="JTZ13" s="57"/>
      <c r="JUA13" s="57"/>
      <c r="JUB13" s="57"/>
      <c r="JUC13" s="57"/>
      <c r="JUD13" s="54"/>
      <c r="JUE13" s="54"/>
      <c r="JUF13" s="54"/>
      <c r="JUG13" s="55"/>
      <c r="JUH13" s="56"/>
      <c r="JUI13" s="57"/>
      <c r="JUJ13" s="57"/>
      <c r="JUK13" s="57"/>
      <c r="JUL13" s="57"/>
      <c r="JUM13" s="57"/>
      <c r="JUN13" s="57"/>
      <c r="JUO13" s="57"/>
      <c r="JUP13" s="57"/>
      <c r="JUQ13" s="57"/>
      <c r="JUR13" s="57"/>
      <c r="JUS13" s="57"/>
      <c r="JUT13" s="54"/>
      <c r="JUU13" s="54"/>
      <c r="JUV13" s="54"/>
      <c r="JUW13" s="55"/>
      <c r="JUX13" s="56"/>
      <c r="JUY13" s="57"/>
      <c r="JUZ13" s="57"/>
      <c r="JVA13" s="57"/>
      <c r="JVB13" s="57"/>
      <c r="JVC13" s="57"/>
      <c r="JVD13" s="57"/>
      <c r="JVE13" s="57"/>
      <c r="JVF13" s="57"/>
      <c r="JVG13" s="57"/>
      <c r="JVH13" s="57"/>
      <c r="JVI13" s="57"/>
      <c r="JVJ13" s="54"/>
      <c r="JVK13" s="54"/>
      <c r="JVL13" s="54"/>
      <c r="JVM13" s="55"/>
      <c r="JVN13" s="56"/>
      <c r="JVO13" s="57"/>
      <c r="JVP13" s="57"/>
      <c r="JVQ13" s="57"/>
      <c r="JVR13" s="57"/>
      <c r="JVS13" s="57"/>
      <c r="JVT13" s="57"/>
      <c r="JVU13" s="57"/>
      <c r="JVV13" s="57"/>
      <c r="JVW13" s="57"/>
      <c r="JVX13" s="57"/>
      <c r="JVY13" s="57"/>
      <c r="JVZ13" s="54"/>
      <c r="JWA13" s="54"/>
      <c r="JWB13" s="54"/>
      <c r="JWC13" s="55"/>
      <c r="JWD13" s="56"/>
      <c r="JWE13" s="57"/>
      <c r="JWF13" s="57"/>
      <c r="JWG13" s="57"/>
      <c r="JWH13" s="57"/>
      <c r="JWI13" s="57"/>
      <c r="JWJ13" s="57"/>
      <c r="JWK13" s="57"/>
      <c r="JWL13" s="57"/>
      <c r="JWM13" s="57"/>
      <c r="JWN13" s="57"/>
      <c r="JWO13" s="57"/>
      <c r="JWP13" s="54"/>
      <c r="JWQ13" s="54"/>
      <c r="JWR13" s="54"/>
      <c r="JWS13" s="55"/>
      <c r="JWT13" s="56"/>
      <c r="JWU13" s="57"/>
      <c r="JWV13" s="57"/>
      <c r="JWW13" s="57"/>
      <c r="JWX13" s="57"/>
      <c r="JWY13" s="57"/>
      <c r="JWZ13" s="57"/>
      <c r="JXA13" s="57"/>
      <c r="JXB13" s="57"/>
      <c r="JXC13" s="57"/>
      <c r="JXD13" s="57"/>
      <c r="JXE13" s="57"/>
      <c r="JXF13" s="54"/>
      <c r="JXG13" s="54"/>
      <c r="JXH13" s="54"/>
      <c r="JXI13" s="55"/>
      <c r="JXJ13" s="56"/>
      <c r="JXK13" s="57"/>
      <c r="JXL13" s="57"/>
      <c r="JXM13" s="57"/>
      <c r="JXN13" s="57"/>
      <c r="JXO13" s="57"/>
      <c r="JXP13" s="57"/>
      <c r="JXQ13" s="57"/>
      <c r="JXR13" s="57"/>
      <c r="JXS13" s="57"/>
      <c r="JXT13" s="57"/>
      <c r="JXU13" s="57"/>
      <c r="JXV13" s="54"/>
      <c r="JXW13" s="54"/>
      <c r="JXX13" s="54"/>
      <c r="JXY13" s="55"/>
      <c r="JXZ13" s="56"/>
      <c r="JYA13" s="57"/>
      <c r="JYB13" s="57"/>
      <c r="JYC13" s="57"/>
      <c r="JYD13" s="57"/>
      <c r="JYE13" s="57"/>
      <c r="JYF13" s="57"/>
      <c r="JYG13" s="57"/>
      <c r="JYH13" s="57"/>
      <c r="JYI13" s="57"/>
      <c r="JYJ13" s="57"/>
      <c r="JYK13" s="57"/>
      <c r="JYL13" s="54"/>
      <c r="JYM13" s="54"/>
      <c r="JYN13" s="54"/>
      <c r="JYO13" s="55"/>
      <c r="JYP13" s="56"/>
      <c r="JYQ13" s="57"/>
      <c r="JYR13" s="57"/>
      <c r="JYS13" s="57"/>
      <c r="JYT13" s="57"/>
      <c r="JYU13" s="57"/>
      <c r="JYV13" s="57"/>
      <c r="JYW13" s="57"/>
      <c r="JYX13" s="57"/>
      <c r="JYY13" s="57"/>
      <c r="JYZ13" s="57"/>
      <c r="JZA13" s="57"/>
      <c r="JZB13" s="54"/>
      <c r="JZC13" s="54"/>
      <c r="JZD13" s="54"/>
      <c r="JZE13" s="55"/>
      <c r="JZF13" s="56"/>
      <c r="JZG13" s="57"/>
      <c r="JZH13" s="57"/>
      <c r="JZI13" s="57"/>
      <c r="JZJ13" s="57"/>
      <c r="JZK13" s="57"/>
      <c r="JZL13" s="57"/>
      <c r="JZM13" s="57"/>
      <c r="JZN13" s="57"/>
      <c r="JZO13" s="57"/>
      <c r="JZP13" s="57"/>
      <c r="JZQ13" s="57"/>
      <c r="JZR13" s="54"/>
      <c r="JZS13" s="54"/>
      <c r="JZT13" s="54"/>
      <c r="JZU13" s="55"/>
      <c r="JZV13" s="56"/>
      <c r="JZW13" s="57"/>
      <c r="JZX13" s="57"/>
      <c r="JZY13" s="57"/>
      <c r="JZZ13" s="57"/>
      <c r="KAA13" s="57"/>
      <c r="KAB13" s="57"/>
      <c r="KAC13" s="57"/>
      <c r="KAD13" s="57"/>
      <c r="KAE13" s="57"/>
      <c r="KAF13" s="57"/>
      <c r="KAG13" s="57"/>
      <c r="KAH13" s="54"/>
      <c r="KAI13" s="54"/>
      <c r="KAJ13" s="54"/>
      <c r="KAK13" s="55"/>
      <c r="KAL13" s="56"/>
      <c r="KAM13" s="57"/>
      <c r="KAN13" s="57"/>
      <c r="KAO13" s="57"/>
      <c r="KAP13" s="57"/>
      <c r="KAQ13" s="57"/>
      <c r="KAR13" s="57"/>
      <c r="KAS13" s="57"/>
      <c r="KAT13" s="57"/>
      <c r="KAU13" s="57"/>
      <c r="KAV13" s="57"/>
      <c r="KAW13" s="57"/>
      <c r="KAX13" s="54"/>
      <c r="KAY13" s="54"/>
      <c r="KAZ13" s="54"/>
      <c r="KBA13" s="55"/>
      <c r="KBB13" s="56"/>
      <c r="KBC13" s="57"/>
      <c r="KBD13" s="57"/>
      <c r="KBE13" s="57"/>
      <c r="KBF13" s="57"/>
      <c r="KBG13" s="57"/>
      <c r="KBH13" s="57"/>
      <c r="KBI13" s="57"/>
      <c r="KBJ13" s="57"/>
      <c r="KBK13" s="57"/>
      <c r="KBL13" s="57"/>
      <c r="KBM13" s="57"/>
      <c r="KBN13" s="54"/>
      <c r="KBO13" s="54"/>
      <c r="KBP13" s="54"/>
      <c r="KBQ13" s="55"/>
      <c r="KBR13" s="56"/>
      <c r="KBS13" s="57"/>
      <c r="KBT13" s="57"/>
      <c r="KBU13" s="57"/>
      <c r="KBV13" s="57"/>
      <c r="KBW13" s="57"/>
      <c r="KBX13" s="57"/>
      <c r="KBY13" s="57"/>
      <c r="KBZ13" s="57"/>
      <c r="KCA13" s="57"/>
      <c r="KCB13" s="57"/>
      <c r="KCC13" s="57"/>
      <c r="KCD13" s="54"/>
      <c r="KCE13" s="54"/>
      <c r="KCF13" s="54"/>
      <c r="KCG13" s="55"/>
      <c r="KCH13" s="56"/>
      <c r="KCI13" s="57"/>
      <c r="KCJ13" s="57"/>
      <c r="KCK13" s="57"/>
      <c r="KCL13" s="57"/>
      <c r="KCM13" s="57"/>
      <c r="KCN13" s="57"/>
      <c r="KCO13" s="57"/>
      <c r="KCP13" s="57"/>
      <c r="KCQ13" s="57"/>
      <c r="KCR13" s="57"/>
      <c r="KCS13" s="57"/>
      <c r="KCT13" s="54"/>
      <c r="KCU13" s="54"/>
      <c r="KCV13" s="54"/>
      <c r="KCW13" s="55"/>
      <c r="KCX13" s="56"/>
      <c r="KCY13" s="57"/>
      <c r="KCZ13" s="57"/>
      <c r="KDA13" s="57"/>
      <c r="KDB13" s="57"/>
      <c r="KDC13" s="57"/>
      <c r="KDD13" s="57"/>
      <c r="KDE13" s="57"/>
      <c r="KDF13" s="57"/>
      <c r="KDG13" s="57"/>
      <c r="KDH13" s="57"/>
      <c r="KDI13" s="57"/>
      <c r="KDJ13" s="54"/>
      <c r="KDK13" s="54"/>
      <c r="KDL13" s="54"/>
      <c r="KDM13" s="55"/>
      <c r="KDN13" s="56"/>
      <c r="KDO13" s="57"/>
      <c r="KDP13" s="57"/>
      <c r="KDQ13" s="57"/>
      <c r="KDR13" s="57"/>
      <c r="KDS13" s="57"/>
      <c r="KDT13" s="57"/>
      <c r="KDU13" s="57"/>
      <c r="KDV13" s="57"/>
      <c r="KDW13" s="57"/>
      <c r="KDX13" s="57"/>
      <c r="KDY13" s="57"/>
      <c r="KDZ13" s="54"/>
      <c r="KEA13" s="54"/>
      <c r="KEB13" s="54"/>
      <c r="KEC13" s="55"/>
      <c r="KED13" s="56"/>
      <c r="KEE13" s="57"/>
      <c r="KEF13" s="57"/>
      <c r="KEG13" s="57"/>
      <c r="KEH13" s="57"/>
      <c r="KEI13" s="57"/>
      <c r="KEJ13" s="57"/>
      <c r="KEK13" s="57"/>
      <c r="KEL13" s="57"/>
      <c r="KEM13" s="57"/>
      <c r="KEN13" s="57"/>
      <c r="KEO13" s="57"/>
      <c r="KEP13" s="54"/>
      <c r="KEQ13" s="54"/>
      <c r="KER13" s="54"/>
      <c r="KES13" s="55"/>
      <c r="KET13" s="56"/>
      <c r="KEU13" s="57"/>
      <c r="KEV13" s="57"/>
      <c r="KEW13" s="57"/>
      <c r="KEX13" s="57"/>
      <c r="KEY13" s="57"/>
      <c r="KEZ13" s="57"/>
      <c r="KFA13" s="57"/>
      <c r="KFB13" s="57"/>
      <c r="KFC13" s="57"/>
      <c r="KFD13" s="57"/>
      <c r="KFE13" s="57"/>
      <c r="KFF13" s="54"/>
      <c r="KFG13" s="54"/>
      <c r="KFH13" s="54"/>
      <c r="KFI13" s="55"/>
      <c r="KFJ13" s="56"/>
      <c r="KFK13" s="57"/>
      <c r="KFL13" s="57"/>
      <c r="KFM13" s="57"/>
      <c r="KFN13" s="57"/>
      <c r="KFO13" s="57"/>
      <c r="KFP13" s="57"/>
      <c r="KFQ13" s="57"/>
      <c r="KFR13" s="57"/>
      <c r="KFS13" s="57"/>
      <c r="KFT13" s="57"/>
      <c r="KFU13" s="57"/>
      <c r="KFV13" s="54"/>
      <c r="KFW13" s="54"/>
      <c r="KFX13" s="54"/>
      <c r="KFY13" s="55"/>
      <c r="KFZ13" s="56"/>
      <c r="KGA13" s="57"/>
      <c r="KGB13" s="57"/>
      <c r="KGC13" s="57"/>
      <c r="KGD13" s="57"/>
      <c r="KGE13" s="57"/>
      <c r="KGF13" s="57"/>
      <c r="KGG13" s="57"/>
      <c r="KGH13" s="57"/>
      <c r="KGI13" s="57"/>
      <c r="KGJ13" s="57"/>
      <c r="KGK13" s="57"/>
      <c r="KGL13" s="54"/>
      <c r="KGM13" s="54"/>
      <c r="KGN13" s="54"/>
      <c r="KGO13" s="55"/>
      <c r="KGP13" s="56"/>
      <c r="KGQ13" s="57"/>
      <c r="KGR13" s="57"/>
      <c r="KGS13" s="57"/>
      <c r="KGT13" s="57"/>
      <c r="KGU13" s="57"/>
      <c r="KGV13" s="57"/>
      <c r="KGW13" s="57"/>
      <c r="KGX13" s="57"/>
      <c r="KGY13" s="57"/>
      <c r="KGZ13" s="57"/>
      <c r="KHA13" s="57"/>
      <c r="KHB13" s="54"/>
      <c r="KHC13" s="54"/>
      <c r="KHD13" s="54"/>
      <c r="KHE13" s="55"/>
      <c r="KHF13" s="56"/>
      <c r="KHG13" s="57"/>
      <c r="KHH13" s="57"/>
      <c r="KHI13" s="57"/>
      <c r="KHJ13" s="57"/>
      <c r="KHK13" s="57"/>
      <c r="KHL13" s="57"/>
      <c r="KHM13" s="57"/>
      <c r="KHN13" s="57"/>
      <c r="KHO13" s="57"/>
      <c r="KHP13" s="57"/>
      <c r="KHQ13" s="57"/>
      <c r="KHR13" s="54"/>
      <c r="KHS13" s="54"/>
      <c r="KHT13" s="54"/>
      <c r="KHU13" s="55"/>
      <c r="KHV13" s="56"/>
      <c r="KHW13" s="57"/>
      <c r="KHX13" s="57"/>
      <c r="KHY13" s="57"/>
      <c r="KHZ13" s="57"/>
      <c r="KIA13" s="57"/>
      <c r="KIB13" s="57"/>
      <c r="KIC13" s="57"/>
      <c r="KID13" s="57"/>
      <c r="KIE13" s="57"/>
      <c r="KIF13" s="57"/>
      <c r="KIG13" s="57"/>
      <c r="KIH13" s="54"/>
      <c r="KII13" s="54"/>
      <c r="KIJ13" s="54"/>
      <c r="KIK13" s="55"/>
      <c r="KIL13" s="56"/>
      <c r="KIM13" s="57"/>
      <c r="KIN13" s="57"/>
      <c r="KIO13" s="57"/>
      <c r="KIP13" s="57"/>
      <c r="KIQ13" s="57"/>
      <c r="KIR13" s="57"/>
      <c r="KIS13" s="57"/>
      <c r="KIT13" s="57"/>
      <c r="KIU13" s="57"/>
      <c r="KIV13" s="57"/>
      <c r="KIW13" s="57"/>
      <c r="KIX13" s="54"/>
      <c r="KIY13" s="54"/>
      <c r="KIZ13" s="54"/>
      <c r="KJA13" s="55"/>
      <c r="KJB13" s="56"/>
      <c r="KJC13" s="57"/>
      <c r="KJD13" s="57"/>
      <c r="KJE13" s="57"/>
      <c r="KJF13" s="57"/>
      <c r="KJG13" s="57"/>
      <c r="KJH13" s="57"/>
      <c r="KJI13" s="57"/>
      <c r="KJJ13" s="57"/>
      <c r="KJK13" s="57"/>
      <c r="KJL13" s="57"/>
      <c r="KJM13" s="57"/>
      <c r="KJN13" s="54"/>
      <c r="KJO13" s="54"/>
      <c r="KJP13" s="54"/>
      <c r="KJQ13" s="55"/>
      <c r="KJR13" s="56"/>
      <c r="KJS13" s="57"/>
      <c r="KJT13" s="57"/>
      <c r="KJU13" s="57"/>
      <c r="KJV13" s="57"/>
      <c r="KJW13" s="57"/>
      <c r="KJX13" s="57"/>
      <c r="KJY13" s="57"/>
      <c r="KJZ13" s="57"/>
      <c r="KKA13" s="57"/>
      <c r="KKB13" s="57"/>
      <c r="KKC13" s="57"/>
      <c r="KKD13" s="54"/>
      <c r="KKE13" s="54"/>
      <c r="KKF13" s="54"/>
      <c r="KKG13" s="55"/>
      <c r="KKH13" s="56"/>
      <c r="KKI13" s="57"/>
      <c r="KKJ13" s="57"/>
      <c r="KKK13" s="57"/>
      <c r="KKL13" s="57"/>
      <c r="KKM13" s="57"/>
      <c r="KKN13" s="57"/>
      <c r="KKO13" s="57"/>
      <c r="KKP13" s="57"/>
      <c r="KKQ13" s="57"/>
      <c r="KKR13" s="57"/>
      <c r="KKS13" s="57"/>
      <c r="KKT13" s="54"/>
      <c r="KKU13" s="54"/>
      <c r="KKV13" s="54"/>
      <c r="KKW13" s="55"/>
      <c r="KKX13" s="56"/>
      <c r="KKY13" s="57"/>
      <c r="KKZ13" s="57"/>
      <c r="KLA13" s="57"/>
      <c r="KLB13" s="57"/>
      <c r="KLC13" s="57"/>
      <c r="KLD13" s="57"/>
      <c r="KLE13" s="57"/>
      <c r="KLF13" s="57"/>
      <c r="KLG13" s="57"/>
      <c r="KLH13" s="57"/>
      <c r="KLI13" s="57"/>
      <c r="KLJ13" s="54"/>
      <c r="KLK13" s="54"/>
      <c r="KLL13" s="54"/>
      <c r="KLM13" s="55"/>
      <c r="KLN13" s="56"/>
      <c r="KLO13" s="57"/>
      <c r="KLP13" s="57"/>
      <c r="KLQ13" s="57"/>
      <c r="KLR13" s="57"/>
      <c r="KLS13" s="57"/>
      <c r="KLT13" s="57"/>
      <c r="KLU13" s="57"/>
      <c r="KLV13" s="57"/>
      <c r="KLW13" s="57"/>
      <c r="KLX13" s="57"/>
      <c r="KLY13" s="57"/>
      <c r="KLZ13" s="54"/>
      <c r="KMA13" s="54"/>
      <c r="KMB13" s="54"/>
      <c r="KMC13" s="55"/>
      <c r="KMD13" s="56"/>
      <c r="KME13" s="57"/>
      <c r="KMF13" s="57"/>
      <c r="KMG13" s="57"/>
      <c r="KMH13" s="57"/>
      <c r="KMI13" s="57"/>
      <c r="KMJ13" s="57"/>
      <c r="KMK13" s="57"/>
      <c r="KML13" s="57"/>
      <c r="KMM13" s="57"/>
      <c r="KMN13" s="57"/>
      <c r="KMO13" s="57"/>
      <c r="KMP13" s="54"/>
      <c r="KMQ13" s="54"/>
      <c r="KMR13" s="54"/>
      <c r="KMS13" s="55"/>
      <c r="KMT13" s="56"/>
      <c r="KMU13" s="57"/>
      <c r="KMV13" s="57"/>
      <c r="KMW13" s="57"/>
      <c r="KMX13" s="57"/>
      <c r="KMY13" s="57"/>
      <c r="KMZ13" s="57"/>
      <c r="KNA13" s="57"/>
      <c r="KNB13" s="57"/>
      <c r="KNC13" s="57"/>
      <c r="KND13" s="57"/>
      <c r="KNE13" s="57"/>
      <c r="KNF13" s="54"/>
      <c r="KNG13" s="54"/>
      <c r="KNH13" s="54"/>
      <c r="KNI13" s="55"/>
      <c r="KNJ13" s="56"/>
      <c r="KNK13" s="57"/>
      <c r="KNL13" s="57"/>
      <c r="KNM13" s="57"/>
      <c r="KNN13" s="57"/>
      <c r="KNO13" s="57"/>
      <c r="KNP13" s="57"/>
      <c r="KNQ13" s="57"/>
      <c r="KNR13" s="57"/>
      <c r="KNS13" s="57"/>
      <c r="KNT13" s="57"/>
      <c r="KNU13" s="57"/>
      <c r="KNV13" s="54"/>
      <c r="KNW13" s="54"/>
      <c r="KNX13" s="54"/>
      <c r="KNY13" s="55"/>
      <c r="KNZ13" s="56"/>
      <c r="KOA13" s="57"/>
      <c r="KOB13" s="57"/>
      <c r="KOC13" s="57"/>
      <c r="KOD13" s="57"/>
      <c r="KOE13" s="57"/>
      <c r="KOF13" s="57"/>
      <c r="KOG13" s="57"/>
      <c r="KOH13" s="57"/>
      <c r="KOI13" s="57"/>
      <c r="KOJ13" s="57"/>
      <c r="KOK13" s="57"/>
      <c r="KOL13" s="54"/>
      <c r="KOM13" s="54"/>
      <c r="KON13" s="54"/>
      <c r="KOO13" s="55"/>
      <c r="KOP13" s="56"/>
      <c r="KOQ13" s="57"/>
      <c r="KOR13" s="57"/>
      <c r="KOS13" s="57"/>
      <c r="KOT13" s="57"/>
      <c r="KOU13" s="57"/>
      <c r="KOV13" s="57"/>
      <c r="KOW13" s="57"/>
      <c r="KOX13" s="57"/>
      <c r="KOY13" s="57"/>
      <c r="KOZ13" s="57"/>
      <c r="KPA13" s="57"/>
      <c r="KPB13" s="54"/>
      <c r="KPC13" s="54"/>
      <c r="KPD13" s="54"/>
      <c r="KPE13" s="55"/>
      <c r="KPF13" s="56"/>
      <c r="KPG13" s="57"/>
      <c r="KPH13" s="57"/>
      <c r="KPI13" s="57"/>
      <c r="KPJ13" s="57"/>
      <c r="KPK13" s="57"/>
      <c r="KPL13" s="57"/>
      <c r="KPM13" s="57"/>
      <c r="KPN13" s="57"/>
      <c r="KPO13" s="57"/>
      <c r="KPP13" s="57"/>
      <c r="KPQ13" s="57"/>
      <c r="KPR13" s="54"/>
      <c r="KPS13" s="54"/>
      <c r="KPT13" s="54"/>
      <c r="KPU13" s="55"/>
      <c r="KPV13" s="56"/>
      <c r="KPW13" s="57"/>
      <c r="KPX13" s="57"/>
      <c r="KPY13" s="57"/>
      <c r="KPZ13" s="57"/>
      <c r="KQA13" s="57"/>
      <c r="KQB13" s="57"/>
      <c r="KQC13" s="57"/>
      <c r="KQD13" s="57"/>
      <c r="KQE13" s="57"/>
      <c r="KQF13" s="57"/>
      <c r="KQG13" s="57"/>
      <c r="KQH13" s="54"/>
      <c r="KQI13" s="54"/>
      <c r="KQJ13" s="54"/>
      <c r="KQK13" s="55"/>
      <c r="KQL13" s="56"/>
      <c r="KQM13" s="57"/>
      <c r="KQN13" s="57"/>
      <c r="KQO13" s="57"/>
      <c r="KQP13" s="57"/>
      <c r="KQQ13" s="57"/>
      <c r="KQR13" s="57"/>
      <c r="KQS13" s="57"/>
      <c r="KQT13" s="57"/>
      <c r="KQU13" s="57"/>
      <c r="KQV13" s="57"/>
      <c r="KQW13" s="57"/>
      <c r="KQX13" s="54"/>
      <c r="KQY13" s="54"/>
      <c r="KQZ13" s="54"/>
      <c r="KRA13" s="55"/>
      <c r="KRB13" s="56"/>
      <c r="KRC13" s="57"/>
      <c r="KRD13" s="57"/>
      <c r="KRE13" s="57"/>
      <c r="KRF13" s="57"/>
      <c r="KRG13" s="57"/>
      <c r="KRH13" s="57"/>
      <c r="KRI13" s="57"/>
      <c r="KRJ13" s="57"/>
      <c r="KRK13" s="57"/>
      <c r="KRL13" s="57"/>
      <c r="KRM13" s="57"/>
      <c r="KRN13" s="54"/>
      <c r="KRO13" s="54"/>
      <c r="KRP13" s="54"/>
      <c r="KRQ13" s="55"/>
      <c r="KRR13" s="56"/>
      <c r="KRS13" s="57"/>
      <c r="KRT13" s="57"/>
      <c r="KRU13" s="57"/>
      <c r="KRV13" s="57"/>
      <c r="KRW13" s="57"/>
      <c r="KRX13" s="57"/>
      <c r="KRY13" s="57"/>
      <c r="KRZ13" s="57"/>
      <c r="KSA13" s="57"/>
      <c r="KSB13" s="57"/>
      <c r="KSC13" s="57"/>
      <c r="KSD13" s="54"/>
      <c r="KSE13" s="54"/>
      <c r="KSF13" s="54"/>
      <c r="KSG13" s="55"/>
      <c r="KSH13" s="56"/>
      <c r="KSI13" s="57"/>
      <c r="KSJ13" s="57"/>
      <c r="KSK13" s="57"/>
      <c r="KSL13" s="57"/>
      <c r="KSM13" s="57"/>
      <c r="KSN13" s="57"/>
      <c r="KSO13" s="57"/>
      <c r="KSP13" s="57"/>
      <c r="KSQ13" s="57"/>
      <c r="KSR13" s="57"/>
      <c r="KSS13" s="57"/>
      <c r="KST13" s="54"/>
      <c r="KSU13" s="54"/>
      <c r="KSV13" s="54"/>
      <c r="KSW13" s="55"/>
      <c r="KSX13" s="56"/>
      <c r="KSY13" s="57"/>
      <c r="KSZ13" s="57"/>
      <c r="KTA13" s="57"/>
      <c r="KTB13" s="57"/>
      <c r="KTC13" s="57"/>
      <c r="KTD13" s="57"/>
      <c r="KTE13" s="57"/>
      <c r="KTF13" s="57"/>
      <c r="KTG13" s="57"/>
      <c r="KTH13" s="57"/>
      <c r="KTI13" s="57"/>
      <c r="KTJ13" s="54"/>
      <c r="KTK13" s="54"/>
      <c r="KTL13" s="54"/>
      <c r="KTM13" s="55"/>
      <c r="KTN13" s="56"/>
      <c r="KTO13" s="57"/>
      <c r="KTP13" s="57"/>
      <c r="KTQ13" s="57"/>
      <c r="KTR13" s="57"/>
      <c r="KTS13" s="57"/>
      <c r="KTT13" s="57"/>
      <c r="KTU13" s="57"/>
      <c r="KTV13" s="57"/>
      <c r="KTW13" s="57"/>
      <c r="KTX13" s="57"/>
      <c r="KTY13" s="57"/>
      <c r="KTZ13" s="54"/>
      <c r="KUA13" s="54"/>
      <c r="KUB13" s="54"/>
      <c r="KUC13" s="55"/>
      <c r="KUD13" s="56"/>
      <c r="KUE13" s="57"/>
      <c r="KUF13" s="57"/>
      <c r="KUG13" s="57"/>
      <c r="KUH13" s="57"/>
      <c r="KUI13" s="57"/>
      <c r="KUJ13" s="57"/>
      <c r="KUK13" s="57"/>
      <c r="KUL13" s="57"/>
      <c r="KUM13" s="57"/>
      <c r="KUN13" s="57"/>
      <c r="KUO13" s="57"/>
      <c r="KUP13" s="54"/>
      <c r="KUQ13" s="54"/>
      <c r="KUR13" s="54"/>
      <c r="KUS13" s="55"/>
      <c r="KUT13" s="56"/>
      <c r="KUU13" s="57"/>
      <c r="KUV13" s="57"/>
      <c r="KUW13" s="57"/>
      <c r="KUX13" s="57"/>
      <c r="KUY13" s="57"/>
      <c r="KUZ13" s="57"/>
      <c r="KVA13" s="57"/>
      <c r="KVB13" s="57"/>
      <c r="KVC13" s="57"/>
      <c r="KVD13" s="57"/>
      <c r="KVE13" s="57"/>
      <c r="KVF13" s="54"/>
      <c r="KVG13" s="54"/>
      <c r="KVH13" s="54"/>
      <c r="KVI13" s="55"/>
      <c r="KVJ13" s="56"/>
      <c r="KVK13" s="57"/>
      <c r="KVL13" s="57"/>
      <c r="KVM13" s="57"/>
      <c r="KVN13" s="57"/>
      <c r="KVO13" s="57"/>
      <c r="KVP13" s="57"/>
      <c r="KVQ13" s="57"/>
      <c r="KVR13" s="57"/>
      <c r="KVS13" s="57"/>
      <c r="KVT13" s="57"/>
      <c r="KVU13" s="57"/>
      <c r="KVV13" s="54"/>
      <c r="KVW13" s="54"/>
      <c r="KVX13" s="54"/>
      <c r="KVY13" s="55"/>
      <c r="KVZ13" s="56"/>
      <c r="KWA13" s="57"/>
      <c r="KWB13" s="57"/>
      <c r="KWC13" s="57"/>
      <c r="KWD13" s="57"/>
      <c r="KWE13" s="57"/>
      <c r="KWF13" s="57"/>
      <c r="KWG13" s="57"/>
      <c r="KWH13" s="57"/>
      <c r="KWI13" s="57"/>
      <c r="KWJ13" s="57"/>
      <c r="KWK13" s="57"/>
      <c r="KWL13" s="54"/>
      <c r="KWM13" s="54"/>
      <c r="KWN13" s="54"/>
      <c r="KWO13" s="55"/>
      <c r="KWP13" s="56"/>
      <c r="KWQ13" s="57"/>
      <c r="KWR13" s="57"/>
      <c r="KWS13" s="57"/>
      <c r="KWT13" s="57"/>
      <c r="KWU13" s="57"/>
      <c r="KWV13" s="57"/>
      <c r="KWW13" s="57"/>
      <c r="KWX13" s="57"/>
      <c r="KWY13" s="57"/>
      <c r="KWZ13" s="57"/>
      <c r="KXA13" s="57"/>
      <c r="KXB13" s="54"/>
      <c r="KXC13" s="54"/>
      <c r="KXD13" s="54"/>
      <c r="KXE13" s="55"/>
      <c r="KXF13" s="56"/>
      <c r="KXG13" s="57"/>
      <c r="KXH13" s="57"/>
      <c r="KXI13" s="57"/>
      <c r="KXJ13" s="57"/>
      <c r="KXK13" s="57"/>
      <c r="KXL13" s="57"/>
      <c r="KXM13" s="57"/>
      <c r="KXN13" s="57"/>
      <c r="KXO13" s="57"/>
      <c r="KXP13" s="57"/>
      <c r="KXQ13" s="57"/>
      <c r="KXR13" s="54"/>
      <c r="KXS13" s="54"/>
      <c r="KXT13" s="54"/>
      <c r="KXU13" s="55"/>
      <c r="KXV13" s="56"/>
      <c r="KXW13" s="57"/>
      <c r="KXX13" s="57"/>
      <c r="KXY13" s="57"/>
      <c r="KXZ13" s="57"/>
      <c r="KYA13" s="57"/>
      <c r="KYB13" s="57"/>
      <c r="KYC13" s="57"/>
      <c r="KYD13" s="57"/>
      <c r="KYE13" s="57"/>
      <c r="KYF13" s="57"/>
      <c r="KYG13" s="57"/>
      <c r="KYH13" s="54"/>
      <c r="KYI13" s="54"/>
      <c r="KYJ13" s="54"/>
      <c r="KYK13" s="55"/>
      <c r="KYL13" s="56"/>
      <c r="KYM13" s="57"/>
      <c r="KYN13" s="57"/>
      <c r="KYO13" s="57"/>
      <c r="KYP13" s="57"/>
      <c r="KYQ13" s="57"/>
      <c r="KYR13" s="57"/>
      <c r="KYS13" s="57"/>
      <c r="KYT13" s="57"/>
      <c r="KYU13" s="57"/>
      <c r="KYV13" s="57"/>
      <c r="KYW13" s="57"/>
      <c r="KYX13" s="54"/>
      <c r="KYY13" s="54"/>
      <c r="KYZ13" s="54"/>
      <c r="KZA13" s="55"/>
      <c r="KZB13" s="56"/>
      <c r="KZC13" s="57"/>
      <c r="KZD13" s="57"/>
      <c r="KZE13" s="57"/>
      <c r="KZF13" s="57"/>
      <c r="KZG13" s="57"/>
      <c r="KZH13" s="57"/>
      <c r="KZI13" s="57"/>
      <c r="KZJ13" s="57"/>
      <c r="KZK13" s="57"/>
      <c r="KZL13" s="57"/>
      <c r="KZM13" s="57"/>
      <c r="KZN13" s="54"/>
      <c r="KZO13" s="54"/>
      <c r="KZP13" s="54"/>
      <c r="KZQ13" s="55"/>
      <c r="KZR13" s="56"/>
      <c r="KZS13" s="57"/>
      <c r="KZT13" s="57"/>
      <c r="KZU13" s="57"/>
      <c r="KZV13" s="57"/>
      <c r="KZW13" s="57"/>
      <c r="KZX13" s="57"/>
      <c r="KZY13" s="57"/>
      <c r="KZZ13" s="57"/>
      <c r="LAA13" s="57"/>
      <c r="LAB13" s="57"/>
      <c r="LAC13" s="57"/>
      <c r="LAD13" s="54"/>
      <c r="LAE13" s="54"/>
      <c r="LAF13" s="54"/>
      <c r="LAG13" s="55"/>
      <c r="LAH13" s="56"/>
      <c r="LAI13" s="57"/>
      <c r="LAJ13" s="57"/>
      <c r="LAK13" s="57"/>
      <c r="LAL13" s="57"/>
      <c r="LAM13" s="57"/>
      <c r="LAN13" s="57"/>
      <c r="LAO13" s="57"/>
      <c r="LAP13" s="57"/>
      <c r="LAQ13" s="57"/>
      <c r="LAR13" s="57"/>
      <c r="LAS13" s="57"/>
      <c r="LAT13" s="54"/>
      <c r="LAU13" s="54"/>
      <c r="LAV13" s="54"/>
      <c r="LAW13" s="55"/>
      <c r="LAX13" s="56"/>
      <c r="LAY13" s="57"/>
      <c r="LAZ13" s="57"/>
      <c r="LBA13" s="57"/>
      <c r="LBB13" s="57"/>
      <c r="LBC13" s="57"/>
      <c r="LBD13" s="57"/>
      <c r="LBE13" s="57"/>
      <c r="LBF13" s="57"/>
      <c r="LBG13" s="57"/>
      <c r="LBH13" s="57"/>
      <c r="LBI13" s="57"/>
      <c r="LBJ13" s="54"/>
      <c r="LBK13" s="54"/>
      <c r="LBL13" s="54"/>
      <c r="LBM13" s="55"/>
      <c r="LBN13" s="56"/>
      <c r="LBO13" s="57"/>
      <c r="LBP13" s="57"/>
      <c r="LBQ13" s="57"/>
      <c r="LBR13" s="57"/>
      <c r="LBS13" s="57"/>
      <c r="LBT13" s="57"/>
      <c r="LBU13" s="57"/>
      <c r="LBV13" s="57"/>
      <c r="LBW13" s="57"/>
      <c r="LBX13" s="57"/>
      <c r="LBY13" s="57"/>
      <c r="LBZ13" s="54"/>
      <c r="LCA13" s="54"/>
      <c r="LCB13" s="54"/>
      <c r="LCC13" s="55"/>
      <c r="LCD13" s="56"/>
      <c r="LCE13" s="57"/>
      <c r="LCF13" s="57"/>
      <c r="LCG13" s="57"/>
      <c r="LCH13" s="57"/>
      <c r="LCI13" s="57"/>
      <c r="LCJ13" s="57"/>
      <c r="LCK13" s="57"/>
      <c r="LCL13" s="57"/>
      <c r="LCM13" s="57"/>
      <c r="LCN13" s="57"/>
      <c r="LCO13" s="57"/>
      <c r="LCP13" s="54"/>
      <c r="LCQ13" s="54"/>
      <c r="LCR13" s="54"/>
      <c r="LCS13" s="55"/>
      <c r="LCT13" s="56"/>
      <c r="LCU13" s="57"/>
      <c r="LCV13" s="57"/>
      <c r="LCW13" s="57"/>
      <c r="LCX13" s="57"/>
      <c r="LCY13" s="57"/>
      <c r="LCZ13" s="57"/>
      <c r="LDA13" s="57"/>
      <c r="LDB13" s="57"/>
      <c r="LDC13" s="57"/>
      <c r="LDD13" s="57"/>
      <c r="LDE13" s="57"/>
      <c r="LDF13" s="54"/>
      <c r="LDG13" s="54"/>
      <c r="LDH13" s="54"/>
      <c r="LDI13" s="55"/>
      <c r="LDJ13" s="56"/>
      <c r="LDK13" s="57"/>
      <c r="LDL13" s="57"/>
      <c r="LDM13" s="57"/>
      <c r="LDN13" s="57"/>
      <c r="LDO13" s="57"/>
      <c r="LDP13" s="57"/>
      <c r="LDQ13" s="57"/>
      <c r="LDR13" s="57"/>
      <c r="LDS13" s="57"/>
      <c r="LDT13" s="57"/>
      <c r="LDU13" s="57"/>
      <c r="LDV13" s="54"/>
      <c r="LDW13" s="54"/>
      <c r="LDX13" s="54"/>
      <c r="LDY13" s="55"/>
      <c r="LDZ13" s="56"/>
      <c r="LEA13" s="57"/>
      <c r="LEB13" s="57"/>
      <c r="LEC13" s="57"/>
      <c r="LED13" s="57"/>
      <c r="LEE13" s="57"/>
      <c r="LEF13" s="57"/>
      <c r="LEG13" s="57"/>
      <c r="LEH13" s="57"/>
      <c r="LEI13" s="57"/>
      <c r="LEJ13" s="57"/>
      <c r="LEK13" s="57"/>
      <c r="LEL13" s="54"/>
      <c r="LEM13" s="54"/>
      <c r="LEN13" s="54"/>
      <c r="LEO13" s="55"/>
      <c r="LEP13" s="56"/>
      <c r="LEQ13" s="57"/>
      <c r="LER13" s="57"/>
      <c r="LES13" s="57"/>
      <c r="LET13" s="57"/>
      <c r="LEU13" s="57"/>
      <c r="LEV13" s="57"/>
      <c r="LEW13" s="57"/>
      <c r="LEX13" s="57"/>
      <c r="LEY13" s="57"/>
      <c r="LEZ13" s="57"/>
      <c r="LFA13" s="57"/>
      <c r="LFB13" s="54"/>
      <c r="LFC13" s="54"/>
      <c r="LFD13" s="54"/>
      <c r="LFE13" s="55"/>
      <c r="LFF13" s="56"/>
      <c r="LFG13" s="57"/>
      <c r="LFH13" s="57"/>
      <c r="LFI13" s="57"/>
      <c r="LFJ13" s="57"/>
      <c r="LFK13" s="57"/>
      <c r="LFL13" s="57"/>
      <c r="LFM13" s="57"/>
      <c r="LFN13" s="57"/>
      <c r="LFO13" s="57"/>
      <c r="LFP13" s="57"/>
      <c r="LFQ13" s="57"/>
      <c r="LFR13" s="54"/>
      <c r="LFS13" s="54"/>
      <c r="LFT13" s="54"/>
      <c r="LFU13" s="55"/>
      <c r="LFV13" s="56"/>
      <c r="LFW13" s="57"/>
      <c r="LFX13" s="57"/>
      <c r="LFY13" s="57"/>
      <c r="LFZ13" s="57"/>
      <c r="LGA13" s="57"/>
      <c r="LGB13" s="57"/>
      <c r="LGC13" s="57"/>
      <c r="LGD13" s="57"/>
      <c r="LGE13" s="57"/>
      <c r="LGF13" s="57"/>
      <c r="LGG13" s="57"/>
      <c r="LGH13" s="54"/>
      <c r="LGI13" s="54"/>
      <c r="LGJ13" s="54"/>
      <c r="LGK13" s="55"/>
      <c r="LGL13" s="56"/>
      <c r="LGM13" s="57"/>
      <c r="LGN13" s="57"/>
      <c r="LGO13" s="57"/>
      <c r="LGP13" s="57"/>
      <c r="LGQ13" s="57"/>
      <c r="LGR13" s="57"/>
      <c r="LGS13" s="57"/>
      <c r="LGT13" s="57"/>
      <c r="LGU13" s="57"/>
      <c r="LGV13" s="57"/>
      <c r="LGW13" s="57"/>
      <c r="LGX13" s="54"/>
      <c r="LGY13" s="54"/>
      <c r="LGZ13" s="54"/>
      <c r="LHA13" s="55"/>
      <c r="LHB13" s="56"/>
      <c r="LHC13" s="57"/>
      <c r="LHD13" s="57"/>
      <c r="LHE13" s="57"/>
      <c r="LHF13" s="57"/>
      <c r="LHG13" s="57"/>
      <c r="LHH13" s="57"/>
      <c r="LHI13" s="57"/>
      <c r="LHJ13" s="57"/>
      <c r="LHK13" s="57"/>
      <c r="LHL13" s="57"/>
      <c r="LHM13" s="57"/>
      <c r="LHN13" s="54"/>
      <c r="LHO13" s="54"/>
      <c r="LHP13" s="54"/>
      <c r="LHQ13" s="55"/>
      <c r="LHR13" s="56"/>
      <c r="LHS13" s="57"/>
      <c r="LHT13" s="57"/>
      <c r="LHU13" s="57"/>
      <c r="LHV13" s="57"/>
      <c r="LHW13" s="57"/>
      <c r="LHX13" s="57"/>
      <c r="LHY13" s="57"/>
      <c r="LHZ13" s="57"/>
      <c r="LIA13" s="57"/>
      <c r="LIB13" s="57"/>
      <c r="LIC13" s="57"/>
      <c r="LID13" s="54"/>
      <c r="LIE13" s="54"/>
      <c r="LIF13" s="54"/>
      <c r="LIG13" s="55"/>
      <c r="LIH13" s="56"/>
      <c r="LII13" s="57"/>
      <c r="LIJ13" s="57"/>
      <c r="LIK13" s="57"/>
      <c r="LIL13" s="57"/>
      <c r="LIM13" s="57"/>
      <c r="LIN13" s="57"/>
      <c r="LIO13" s="57"/>
      <c r="LIP13" s="57"/>
      <c r="LIQ13" s="57"/>
      <c r="LIR13" s="57"/>
      <c r="LIS13" s="57"/>
      <c r="LIT13" s="54"/>
      <c r="LIU13" s="54"/>
      <c r="LIV13" s="54"/>
      <c r="LIW13" s="55"/>
      <c r="LIX13" s="56"/>
      <c r="LIY13" s="57"/>
      <c r="LIZ13" s="57"/>
      <c r="LJA13" s="57"/>
      <c r="LJB13" s="57"/>
      <c r="LJC13" s="57"/>
      <c r="LJD13" s="57"/>
      <c r="LJE13" s="57"/>
      <c r="LJF13" s="57"/>
      <c r="LJG13" s="57"/>
      <c r="LJH13" s="57"/>
      <c r="LJI13" s="57"/>
      <c r="LJJ13" s="54"/>
      <c r="LJK13" s="54"/>
      <c r="LJL13" s="54"/>
      <c r="LJM13" s="55"/>
      <c r="LJN13" s="56"/>
      <c r="LJO13" s="57"/>
      <c r="LJP13" s="57"/>
      <c r="LJQ13" s="57"/>
      <c r="LJR13" s="57"/>
      <c r="LJS13" s="57"/>
      <c r="LJT13" s="57"/>
      <c r="LJU13" s="57"/>
      <c r="LJV13" s="57"/>
      <c r="LJW13" s="57"/>
      <c r="LJX13" s="57"/>
      <c r="LJY13" s="57"/>
      <c r="LJZ13" s="54"/>
      <c r="LKA13" s="54"/>
      <c r="LKB13" s="54"/>
      <c r="LKC13" s="55"/>
      <c r="LKD13" s="56"/>
      <c r="LKE13" s="57"/>
      <c r="LKF13" s="57"/>
      <c r="LKG13" s="57"/>
      <c r="LKH13" s="57"/>
      <c r="LKI13" s="57"/>
      <c r="LKJ13" s="57"/>
      <c r="LKK13" s="57"/>
      <c r="LKL13" s="57"/>
      <c r="LKM13" s="57"/>
      <c r="LKN13" s="57"/>
      <c r="LKO13" s="57"/>
      <c r="LKP13" s="54"/>
      <c r="LKQ13" s="54"/>
      <c r="LKR13" s="54"/>
      <c r="LKS13" s="55"/>
      <c r="LKT13" s="56"/>
      <c r="LKU13" s="57"/>
      <c r="LKV13" s="57"/>
      <c r="LKW13" s="57"/>
      <c r="LKX13" s="57"/>
      <c r="LKY13" s="57"/>
      <c r="LKZ13" s="57"/>
      <c r="LLA13" s="57"/>
      <c r="LLB13" s="57"/>
      <c r="LLC13" s="57"/>
      <c r="LLD13" s="57"/>
      <c r="LLE13" s="57"/>
      <c r="LLF13" s="54"/>
      <c r="LLG13" s="54"/>
      <c r="LLH13" s="54"/>
      <c r="LLI13" s="55"/>
      <c r="LLJ13" s="56"/>
      <c r="LLK13" s="57"/>
      <c r="LLL13" s="57"/>
      <c r="LLM13" s="57"/>
      <c r="LLN13" s="57"/>
      <c r="LLO13" s="57"/>
      <c r="LLP13" s="57"/>
      <c r="LLQ13" s="57"/>
      <c r="LLR13" s="57"/>
      <c r="LLS13" s="57"/>
      <c r="LLT13" s="57"/>
      <c r="LLU13" s="57"/>
      <c r="LLV13" s="54"/>
      <c r="LLW13" s="54"/>
      <c r="LLX13" s="54"/>
      <c r="LLY13" s="55"/>
      <c r="LLZ13" s="56"/>
      <c r="LMA13" s="57"/>
      <c r="LMB13" s="57"/>
      <c r="LMC13" s="57"/>
      <c r="LMD13" s="57"/>
      <c r="LME13" s="57"/>
      <c r="LMF13" s="57"/>
      <c r="LMG13" s="57"/>
      <c r="LMH13" s="57"/>
      <c r="LMI13" s="57"/>
      <c r="LMJ13" s="57"/>
      <c r="LMK13" s="57"/>
      <c r="LML13" s="54"/>
      <c r="LMM13" s="54"/>
      <c r="LMN13" s="54"/>
      <c r="LMO13" s="55"/>
      <c r="LMP13" s="56"/>
      <c r="LMQ13" s="57"/>
      <c r="LMR13" s="57"/>
      <c r="LMS13" s="57"/>
      <c r="LMT13" s="57"/>
      <c r="LMU13" s="57"/>
      <c r="LMV13" s="57"/>
      <c r="LMW13" s="57"/>
      <c r="LMX13" s="57"/>
      <c r="LMY13" s="57"/>
      <c r="LMZ13" s="57"/>
      <c r="LNA13" s="57"/>
      <c r="LNB13" s="54"/>
      <c r="LNC13" s="54"/>
      <c r="LND13" s="54"/>
      <c r="LNE13" s="55"/>
      <c r="LNF13" s="56"/>
      <c r="LNG13" s="57"/>
      <c r="LNH13" s="57"/>
      <c r="LNI13" s="57"/>
      <c r="LNJ13" s="57"/>
      <c r="LNK13" s="57"/>
      <c r="LNL13" s="57"/>
      <c r="LNM13" s="57"/>
      <c r="LNN13" s="57"/>
      <c r="LNO13" s="57"/>
      <c r="LNP13" s="57"/>
      <c r="LNQ13" s="57"/>
      <c r="LNR13" s="54"/>
      <c r="LNS13" s="54"/>
      <c r="LNT13" s="54"/>
      <c r="LNU13" s="55"/>
      <c r="LNV13" s="56"/>
      <c r="LNW13" s="57"/>
      <c r="LNX13" s="57"/>
      <c r="LNY13" s="57"/>
      <c r="LNZ13" s="57"/>
      <c r="LOA13" s="57"/>
      <c r="LOB13" s="57"/>
      <c r="LOC13" s="57"/>
      <c r="LOD13" s="57"/>
      <c r="LOE13" s="57"/>
      <c r="LOF13" s="57"/>
      <c r="LOG13" s="57"/>
      <c r="LOH13" s="54"/>
      <c r="LOI13" s="54"/>
      <c r="LOJ13" s="54"/>
      <c r="LOK13" s="55"/>
      <c r="LOL13" s="56"/>
      <c r="LOM13" s="57"/>
      <c r="LON13" s="57"/>
      <c r="LOO13" s="57"/>
      <c r="LOP13" s="57"/>
      <c r="LOQ13" s="57"/>
      <c r="LOR13" s="57"/>
      <c r="LOS13" s="57"/>
      <c r="LOT13" s="57"/>
      <c r="LOU13" s="57"/>
      <c r="LOV13" s="57"/>
      <c r="LOW13" s="57"/>
      <c r="LOX13" s="54"/>
      <c r="LOY13" s="54"/>
      <c r="LOZ13" s="54"/>
      <c r="LPA13" s="55"/>
      <c r="LPB13" s="56"/>
      <c r="LPC13" s="57"/>
      <c r="LPD13" s="57"/>
      <c r="LPE13" s="57"/>
      <c r="LPF13" s="57"/>
      <c r="LPG13" s="57"/>
      <c r="LPH13" s="57"/>
      <c r="LPI13" s="57"/>
      <c r="LPJ13" s="57"/>
      <c r="LPK13" s="57"/>
      <c r="LPL13" s="57"/>
      <c r="LPM13" s="57"/>
      <c r="LPN13" s="54"/>
      <c r="LPO13" s="54"/>
      <c r="LPP13" s="54"/>
      <c r="LPQ13" s="55"/>
      <c r="LPR13" s="56"/>
      <c r="LPS13" s="57"/>
      <c r="LPT13" s="57"/>
      <c r="LPU13" s="57"/>
      <c r="LPV13" s="57"/>
      <c r="LPW13" s="57"/>
      <c r="LPX13" s="57"/>
      <c r="LPY13" s="57"/>
      <c r="LPZ13" s="57"/>
      <c r="LQA13" s="57"/>
      <c r="LQB13" s="57"/>
      <c r="LQC13" s="57"/>
      <c r="LQD13" s="54"/>
      <c r="LQE13" s="54"/>
      <c r="LQF13" s="54"/>
      <c r="LQG13" s="55"/>
      <c r="LQH13" s="56"/>
      <c r="LQI13" s="57"/>
      <c r="LQJ13" s="57"/>
      <c r="LQK13" s="57"/>
      <c r="LQL13" s="57"/>
      <c r="LQM13" s="57"/>
      <c r="LQN13" s="57"/>
      <c r="LQO13" s="57"/>
      <c r="LQP13" s="57"/>
      <c r="LQQ13" s="57"/>
      <c r="LQR13" s="57"/>
      <c r="LQS13" s="57"/>
      <c r="LQT13" s="54"/>
      <c r="LQU13" s="54"/>
      <c r="LQV13" s="54"/>
      <c r="LQW13" s="55"/>
      <c r="LQX13" s="56"/>
      <c r="LQY13" s="57"/>
      <c r="LQZ13" s="57"/>
      <c r="LRA13" s="57"/>
      <c r="LRB13" s="57"/>
      <c r="LRC13" s="57"/>
      <c r="LRD13" s="57"/>
      <c r="LRE13" s="57"/>
      <c r="LRF13" s="57"/>
      <c r="LRG13" s="57"/>
      <c r="LRH13" s="57"/>
      <c r="LRI13" s="57"/>
      <c r="LRJ13" s="54"/>
      <c r="LRK13" s="54"/>
      <c r="LRL13" s="54"/>
      <c r="LRM13" s="55"/>
      <c r="LRN13" s="56"/>
      <c r="LRO13" s="57"/>
      <c r="LRP13" s="57"/>
      <c r="LRQ13" s="57"/>
      <c r="LRR13" s="57"/>
      <c r="LRS13" s="57"/>
      <c r="LRT13" s="57"/>
      <c r="LRU13" s="57"/>
      <c r="LRV13" s="57"/>
      <c r="LRW13" s="57"/>
      <c r="LRX13" s="57"/>
      <c r="LRY13" s="57"/>
      <c r="LRZ13" s="54"/>
      <c r="LSA13" s="54"/>
      <c r="LSB13" s="54"/>
      <c r="LSC13" s="55"/>
      <c r="LSD13" s="56"/>
      <c r="LSE13" s="57"/>
      <c r="LSF13" s="57"/>
      <c r="LSG13" s="57"/>
      <c r="LSH13" s="57"/>
      <c r="LSI13" s="57"/>
      <c r="LSJ13" s="57"/>
      <c r="LSK13" s="57"/>
      <c r="LSL13" s="57"/>
      <c r="LSM13" s="57"/>
      <c r="LSN13" s="57"/>
      <c r="LSO13" s="57"/>
      <c r="LSP13" s="54"/>
      <c r="LSQ13" s="54"/>
      <c r="LSR13" s="54"/>
      <c r="LSS13" s="55"/>
      <c r="LST13" s="56"/>
      <c r="LSU13" s="57"/>
      <c r="LSV13" s="57"/>
      <c r="LSW13" s="57"/>
      <c r="LSX13" s="57"/>
      <c r="LSY13" s="57"/>
      <c r="LSZ13" s="57"/>
      <c r="LTA13" s="57"/>
      <c r="LTB13" s="57"/>
      <c r="LTC13" s="57"/>
      <c r="LTD13" s="57"/>
      <c r="LTE13" s="57"/>
      <c r="LTF13" s="54"/>
      <c r="LTG13" s="54"/>
      <c r="LTH13" s="54"/>
      <c r="LTI13" s="55"/>
      <c r="LTJ13" s="56"/>
      <c r="LTK13" s="57"/>
      <c r="LTL13" s="57"/>
      <c r="LTM13" s="57"/>
      <c r="LTN13" s="57"/>
      <c r="LTO13" s="57"/>
      <c r="LTP13" s="57"/>
      <c r="LTQ13" s="57"/>
      <c r="LTR13" s="57"/>
      <c r="LTS13" s="57"/>
      <c r="LTT13" s="57"/>
      <c r="LTU13" s="57"/>
      <c r="LTV13" s="54"/>
      <c r="LTW13" s="54"/>
      <c r="LTX13" s="54"/>
      <c r="LTY13" s="55"/>
      <c r="LTZ13" s="56"/>
      <c r="LUA13" s="57"/>
      <c r="LUB13" s="57"/>
      <c r="LUC13" s="57"/>
      <c r="LUD13" s="57"/>
      <c r="LUE13" s="57"/>
      <c r="LUF13" s="57"/>
      <c r="LUG13" s="57"/>
      <c r="LUH13" s="57"/>
      <c r="LUI13" s="57"/>
      <c r="LUJ13" s="57"/>
      <c r="LUK13" s="57"/>
      <c r="LUL13" s="54"/>
      <c r="LUM13" s="54"/>
      <c r="LUN13" s="54"/>
      <c r="LUO13" s="55"/>
      <c r="LUP13" s="56"/>
      <c r="LUQ13" s="57"/>
      <c r="LUR13" s="57"/>
      <c r="LUS13" s="57"/>
      <c r="LUT13" s="57"/>
      <c r="LUU13" s="57"/>
      <c r="LUV13" s="57"/>
      <c r="LUW13" s="57"/>
      <c r="LUX13" s="57"/>
      <c r="LUY13" s="57"/>
      <c r="LUZ13" s="57"/>
      <c r="LVA13" s="57"/>
      <c r="LVB13" s="54"/>
      <c r="LVC13" s="54"/>
      <c r="LVD13" s="54"/>
      <c r="LVE13" s="55"/>
      <c r="LVF13" s="56"/>
      <c r="LVG13" s="57"/>
      <c r="LVH13" s="57"/>
      <c r="LVI13" s="57"/>
      <c r="LVJ13" s="57"/>
      <c r="LVK13" s="57"/>
      <c r="LVL13" s="57"/>
      <c r="LVM13" s="57"/>
      <c r="LVN13" s="57"/>
      <c r="LVO13" s="57"/>
      <c r="LVP13" s="57"/>
      <c r="LVQ13" s="57"/>
      <c r="LVR13" s="54"/>
      <c r="LVS13" s="54"/>
      <c r="LVT13" s="54"/>
      <c r="LVU13" s="55"/>
      <c r="LVV13" s="56"/>
      <c r="LVW13" s="57"/>
      <c r="LVX13" s="57"/>
      <c r="LVY13" s="57"/>
      <c r="LVZ13" s="57"/>
      <c r="LWA13" s="57"/>
      <c r="LWB13" s="57"/>
      <c r="LWC13" s="57"/>
      <c r="LWD13" s="57"/>
      <c r="LWE13" s="57"/>
      <c r="LWF13" s="57"/>
      <c r="LWG13" s="57"/>
      <c r="LWH13" s="54"/>
      <c r="LWI13" s="54"/>
      <c r="LWJ13" s="54"/>
      <c r="LWK13" s="55"/>
      <c r="LWL13" s="56"/>
      <c r="LWM13" s="57"/>
      <c r="LWN13" s="57"/>
      <c r="LWO13" s="57"/>
      <c r="LWP13" s="57"/>
      <c r="LWQ13" s="57"/>
      <c r="LWR13" s="57"/>
      <c r="LWS13" s="57"/>
      <c r="LWT13" s="57"/>
      <c r="LWU13" s="57"/>
      <c r="LWV13" s="57"/>
      <c r="LWW13" s="57"/>
      <c r="LWX13" s="54"/>
      <c r="LWY13" s="54"/>
      <c r="LWZ13" s="54"/>
      <c r="LXA13" s="55"/>
      <c r="LXB13" s="56"/>
      <c r="LXC13" s="57"/>
      <c r="LXD13" s="57"/>
      <c r="LXE13" s="57"/>
      <c r="LXF13" s="57"/>
      <c r="LXG13" s="57"/>
      <c r="LXH13" s="57"/>
      <c r="LXI13" s="57"/>
      <c r="LXJ13" s="57"/>
      <c r="LXK13" s="57"/>
      <c r="LXL13" s="57"/>
      <c r="LXM13" s="57"/>
      <c r="LXN13" s="54"/>
      <c r="LXO13" s="54"/>
      <c r="LXP13" s="54"/>
      <c r="LXQ13" s="55"/>
      <c r="LXR13" s="56"/>
      <c r="LXS13" s="57"/>
      <c r="LXT13" s="57"/>
      <c r="LXU13" s="57"/>
      <c r="LXV13" s="57"/>
      <c r="LXW13" s="57"/>
      <c r="LXX13" s="57"/>
      <c r="LXY13" s="57"/>
      <c r="LXZ13" s="57"/>
      <c r="LYA13" s="57"/>
      <c r="LYB13" s="57"/>
      <c r="LYC13" s="57"/>
      <c r="LYD13" s="54"/>
      <c r="LYE13" s="54"/>
      <c r="LYF13" s="54"/>
      <c r="LYG13" s="55"/>
      <c r="LYH13" s="56"/>
      <c r="LYI13" s="57"/>
      <c r="LYJ13" s="57"/>
      <c r="LYK13" s="57"/>
      <c r="LYL13" s="57"/>
      <c r="LYM13" s="57"/>
      <c r="LYN13" s="57"/>
      <c r="LYO13" s="57"/>
      <c r="LYP13" s="57"/>
      <c r="LYQ13" s="57"/>
      <c r="LYR13" s="57"/>
      <c r="LYS13" s="57"/>
      <c r="LYT13" s="54"/>
      <c r="LYU13" s="54"/>
      <c r="LYV13" s="54"/>
      <c r="LYW13" s="55"/>
      <c r="LYX13" s="56"/>
      <c r="LYY13" s="57"/>
      <c r="LYZ13" s="57"/>
      <c r="LZA13" s="57"/>
      <c r="LZB13" s="57"/>
      <c r="LZC13" s="57"/>
      <c r="LZD13" s="57"/>
      <c r="LZE13" s="57"/>
      <c r="LZF13" s="57"/>
      <c r="LZG13" s="57"/>
      <c r="LZH13" s="57"/>
      <c r="LZI13" s="57"/>
      <c r="LZJ13" s="54"/>
      <c r="LZK13" s="54"/>
      <c r="LZL13" s="54"/>
      <c r="LZM13" s="55"/>
      <c r="LZN13" s="56"/>
      <c r="LZO13" s="57"/>
      <c r="LZP13" s="57"/>
      <c r="LZQ13" s="57"/>
      <c r="LZR13" s="57"/>
      <c r="LZS13" s="57"/>
      <c r="LZT13" s="57"/>
      <c r="LZU13" s="57"/>
      <c r="LZV13" s="57"/>
      <c r="LZW13" s="57"/>
      <c r="LZX13" s="57"/>
      <c r="LZY13" s="57"/>
      <c r="LZZ13" s="54"/>
      <c r="MAA13" s="54"/>
      <c r="MAB13" s="54"/>
      <c r="MAC13" s="55"/>
      <c r="MAD13" s="56"/>
      <c r="MAE13" s="57"/>
      <c r="MAF13" s="57"/>
      <c r="MAG13" s="57"/>
      <c r="MAH13" s="57"/>
      <c r="MAI13" s="57"/>
      <c r="MAJ13" s="57"/>
      <c r="MAK13" s="57"/>
      <c r="MAL13" s="57"/>
      <c r="MAM13" s="57"/>
      <c r="MAN13" s="57"/>
      <c r="MAO13" s="57"/>
      <c r="MAP13" s="54"/>
      <c r="MAQ13" s="54"/>
      <c r="MAR13" s="54"/>
      <c r="MAS13" s="55"/>
      <c r="MAT13" s="56"/>
      <c r="MAU13" s="57"/>
      <c r="MAV13" s="57"/>
      <c r="MAW13" s="57"/>
      <c r="MAX13" s="57"/>
      <c r="MAY13" s="57"/>
      <c r="MAZ13" s="57"/>
      <c r="MBA13" s="57"/>
      <c r="MBB13" s="57"/>
      <c r="MBC13" s="57"/>
      <c r="MBD13" s="57"/>
      <c r="MBE13" s="57"/>
      <c r="MBF13" s="54"/>
      <c r="MBG13" s="54"/>
      <c r="MBH13" s="54"/>
      <c r="MBI13" s="55"/>
      <c r="MBJ13" s="56"/>
      <c r="MBK13" s="57"/>
      <c r="MBL13" s="57"/>
      <c r="MBM13" s="57"/>
      <c r="MBN13" s="57"/>
      <c r="MBO13" s="57"/>
      <c r="MBP13" s="57"/>
      <c r="MBQ13" s="57"/>
      <c r="MBR13" s="57"/>
      <c r="MBS13" s="57"/>
      <c r="MBT13" s="57"/>
      <c r="MBU13" s="57"/>
      <c r="MBV13" s="54"/>
      <c r="MBW13" s="54"/>
      <c r="MBX13" s="54"/>
      <c r="MBY13" s="55"/>
      <c r="MBZ13" s="56"/>
      <c r="MCA13" s="57"/>
      <c r="MCB13" s="57"/>
      <c r="MCC13" s="57"/>
      <c r="MCD13" s="57"/>
      <c r="MCE13" s="57"/>
      <c r="MCF13" s="57"/>
      <c r="MCG13" s="57"/>
      <c r="MCH13" s="57"/>
      <c r="MCI13" s="57"/>
      <c r="MCJ13" s="57"/>
      <c r="MCK13" s="57"/>
      <c r="MCL13" s="54"/>
      <c r="MCM13" s="54"/>
      <c r="MCN13" s="54"/>
      <c r="MCO13" s="55"/>
      <c r="MCP13" s="56"/>
      <c r="MCQ13" s="57"/>
      <c r="MCR13" s="57"/>
      <c r="MCS13" s="57"/>
      <c r="MCT13" s="57"/>
      <c r="MCU13" s="57"/>
      <c r="MCV13" s="57"/>
      <c r="MCW13" s="57"/>
      <c r="MCX13" s="57"/>
      <c r="MCY13" s="57"/>
      <c r="MCZ13" s="57"/>
      <c r="MDA13" s="57"/>
      <c r="MDB13" s="54"/>
      <c r="MDC13" s="54"/>
      <c r="MDD13" s="54"/>
      <c r="MDE13" s="55"/>
      <c r="MDF13" s="56"/>
      <c r="MDG13" s="57"/>
      <c r="MDH13" s="57"/>
      <c r="MDI13" s="57"/>
      <c r="MDJ13" s="57"/>
      <c r="MDK13" s="57"/>
      <c r="MDL13" s="57"/>
      <c r="MDM13" s="57"/>
      <c r="MDN13" s="57"/>
      <c r="MDO13" s="57"/>
      <c r="MDP13" s="57"/>
      <c r="MDQ13" s="57"/>
      <c r="MDR13" s="54"/>
      <c r="MDS13" s="54"/>
      <c r="MDT13" s="54"/>
      <c r="MDU13" s="55"/>
      <c r="MDV13" s="56"/>
      <c r="MDW13" s="57"/>
      <c r="MDX13" s="57"/>
      <c r="MDY13" s="57"/>
      <c r="MDZ13" s="57"/>
      <c r="MEA13" s="57"/>
      <c r="MEB13" s="57"/>
      <c r="MEC13" s="57"/>
      <c r="MED13" s="57"/>
      <c r="MEE13" s="57"/>
      <c r="MEF13" s="57"/>
      <c r="MEG13" s="57"/>
      <c r="MEH13" s="54"/>
      <c r="MEI13" s="54"/>
      <c r="MEJ13" s="54"/>
      <c r="MEK13" s="55"/>
      <c r="MEL13" s="56"/>
      <c r="MEM13" s="57"/>
      <c r="MEN13" s="57"/>
      <c r="MEO13" s="57"/>
      <c r="MEP13" s="57"/>
      <c r="MEQ13" s="57"/>
      <c r="MER13" s="57"/>
      <c r="MES13" s="57"/>
      <c r="MET13" s="57"/>
      <c r="MEU13" s="57"/>
      <c r="MEV13" s="57"/>
      <c r="MEW13" s="57"/>
      <c r="MEX13" s="54"/>
      <c r="MEY13" s="54"/>
      <c r="MEZ13" s="54"/>
      <c r="MFA13" s="55"/>
      <c r="MFB13" s="56"/>
      <c r="MFC13" s="57"/>
      <c r="MFD13" s="57"/>
      <c r="MFE13" s="57"/>
      <c r="MFF13" s="57"/>
      <c r="MFG13" s="57"/>
      <c r="MFH13" s="57"/>
      <c r="MFI13" s="57"/>
      <c r="MFJ13" s="57"/>
      <c r="MFK13" s="57"/>
      <c r="MFL13" s="57"/>
      <c r="MFM13" s="57"/>
      <c r="MFN13" s="54"/>
      <c r="MFO13" s="54"/>
      <c r="MFP13" s="54"/>
      <c r="MFQ13" s="55"/>
      <c r="MFR13" s="56"/>
      <c r="MFS13" s="57"/>
      <c r="MFT13" s="57"/>
      <c r="MFU13" s="57"/>
      <c r="MFV13" s="57"/>
      <c r="MFW13" s="57"/>
      <c r="MFX13" s="57"/>
      <c r="MFY13" s="57"/>
      <c r="MFZ13" s="57"/>
      <c r="MGA13" s="57"/>
      <c r="MGB13" s="57"/>
      <c r="MGC13" s="57"/>
      <c r="MGD13" s="54"/>
      <c r="MGE13" s="54"/>
      <c r="MGF13" s="54"/>
      <c r="MGG13" s="55"/>
      <c r="MGH13" s="56"/>
      <c r="MGI13" s="57"/>
      <c r="MGJ13" s="57"/>
      <c r="MGK13" s="57"/>
      <c r="MGL13" s="57"/>
      <c r="MGM13" s="57"/>
      <c r="MGN13" s="57"/>
      <c r="MGO13" s="57"/>
      <c r="MGP13" s="57"/>
      <c r="MGQ13" s="57"/>
      <c r="MGR13" s="57"/>
      <c r="MGS13" s="57"/>
      <c r="MGT13" s="54"/>
      <c r="MGU13" s="54"/>
      <c r="MGV13" s="54"/>
      <c r="MGW13" s="55"/>
      <c r="MGX13" s="56"/>
      <c r="MGY13" s="57"/>
      <c r="MGZ13" s="57"/>
      <c r="MHA13" s="57"/>
      <c r="MHB13" s="57"/>
      <c r="MHC13" s="57"/>
      <c r="MHD13" s="57"/>
      <c r="MHE13" s="57"/>
      <c r="MHF13" s="57"/>
      <c r="MHG13" s="57"/>
      <c r="MHH13" s="57"/>
      <c r="MHI13" s="57"/>
      <c r="MHJ13" s="54"/>
      <c r="MHK13" s="54"/>
      <c r="MHL13" s="54"/>
      <c r="MHM13" s="55"/>
      <c r="MHN13" s="56"/>
      <c r="MHO13" s="57"/>
      <c r="MHP13" s="57"/>
      <c r="MHQ13" s="57"/>
      <c r="MHR13" s="57"/>
      <c r="MHS13" s="57"/>
      <c r="MHT13" s="57"/>
      <c r="MHU13" s="57"/>
      <c r="MHV13" s="57"/>
      <c r="MHW13" s="57"/>
      <c r="MHX13" s="57"/>
      <c r="MHY13" s="57"/>
      <c r="MHZ13" s="54"/>
      <c r="MIA13" s="54"/>
      <c r="MIB13" s="54"/>
      <c r="MIC13" s="55"/>
      <c r="MID13" s="56"/>
      <c r="MIE13" s="57"/>
      <c r="MIF13" s="57"/>
      <c r="MIG13" s="57"/>
      <c r="MIH13" s="57"/>
      <c r="MII13" s="57"/>
      <c r="MIJ13" s="57"/>
      <c r="MIK13" s="57"/>
      <c r="MIL13" s="57"/>
      <c r="MIM13" s="57"/>
      <c r="MIN13" s="57"/>
      <c r="MIO13" s="57"/>
      <c r="MIP13" s="54"/>
      <c r="MIQ13" s="54"/>
      <c r="MIR13" s="54"/>
      <c r="MIS13" s="55"/>
      <c r="MIT13" s="56"/>
      <c r="MIU13" s="57"/>
      <c r="MIV13" s="57"/>
      <c r="MIW13" s="57"/>
      <c r="MIX13" s="57"/>
      <c r="MIY13" s="57"/>
      <c r="MIZ13" s="57"/>
      <c r="MJA13" s="57"/>
      <c r="MJB13" s="57"/>
      <c r="MJC13" s="57"/>
      <c r="MJD13" s="57"/>
      <c r="MJE13" s="57"/>
      <c r="MJF13" s="54"/>
      <c r="MJG13" s="54"/>
      <c r="MJH13" s="54"/>
      <c r="MJI13" s="55"/>
      <c r="MJJ13" s="56"/>
      <c r="MJK13" s="57"/>
      <c r="MJL13" s="57"/>
      <c r="MJM13" s="57"/>
      <c r="MJN13" s="57"/>
      <c r="MJO13" s="57"/>
      <c r="MJP13" s="57"/>
      <c r="MJQ13" s="57"/>
      <c r="MJR13" s="57"/>
      <c r="MJS13" s="57"/>
      <c r="MJT13" s="57"/>
      <c r="MJU13" s="57"/>
      <c r="MJV13" s="54"/>
      <c r="MJW13" s="54"/>
      <c r="MJX13" s="54"/>
      <c r="MJY13" s="55"/>
      <c r="MJZ13" s="56"/>
      <c r="MKA13" s="57"/>
      <c r="MKB13" s="57"/>
      <c r="MKC13" s="57"/>
      <c r="MKD13" s="57"/>
      <c r="MKE13" s="57"/>
      <c r="MKF13" s="57"/>
      <c r="MKG13" s="57"/>
      <c r="MKH13" s="57"/>
      <c r="MKI13" s="57"/>
      <c r="MKJ13" s="57"/>
      <c r="MKK13" s="57"/>
      <c r="MKL13" s="54"/>
      <c r="MKM13" s="54"/>
      <c r="MKN13" s="54"/>
      <c r="MKO13" s="55"/>
      <c r="MKP13" s="56"/>
      <c r="MKQ13" s="57"/>
      <c r="MKR13" s="57"/>
      <c r="MKS13" s="57"/>
      <c r="MKT13" s="57"/>
      <c r="MKU13" s="57"/>
      <c r="MKV13" s="57"/>
      <c r="MKW13" s="57"/>
      <c r="MKX13" s="57"/>
      <c r="MKY13" s="57"/>
      <c r="MKZ13" s="57"/>
      <c r="MLA13" s="57"/>
      <c r="MLB13" s="54"/>
      <c r="MLC13" s="54"/>
      <c r="MLD13" s="54"/>
      <c r="MLE13" s="55"/>
      <c r="MLF13" s="56"/>
      <c r="MLG13" s="57"/>
      <c r="MLH13" s="57"/>
      <c r="MLI13" s="57"/>
      <c r="MLJ13" s="57"/>
      <c r="MLK13" s="57"/>
      <c r="MLL13" s="57"/>
      <c r="MLM13" s="57"/>
      <c r="MLN13" s="57"/>
      <c r="MLO13" s="57"/>
      <c r="MLP13" s="57"/>
      <c r="MLQ13" s="57"/>
      <c r="MLR13" s="54"/>
      <c r="MLS13" s="54"/>
      <c r="MLT13" s="54"/>
      <c r="MLU13" s="55"/>
      <c r="MLV13" s="56"/>
      <c r="MLW13" s="57"/>
      <c r="MLX13" s="57"/>
      <c r="MLY13" s="57"/>
      <c r="MLZ13" s="57"/>
      <c r="MMA13" s="57"/>
      <c r="MMB13" s="57"/>
      <c r="MMC13" s="57"/>
      <c r="MMD13" s="57"/>
      <c r="MME13" s="57"/>
      <c r="MMF13" s="57"/>
      <c r="MMG13" s="57"/>
      <c r="MMH13" s="54"/>
      <c r="MMI13" s="54"/>
      <c r="MMJ13" s="54"/>
      <c r="MMK13" s="55"/>
      <c r="MML13" s="56"/>
      <c r="MMM13" s="57"/>
      <c r="MMN13" s="57"/>
      <c r="MMO13" s="57"/>
      <c r="MMP13" s="57"/>
      <c r="MMQ13" s="57"/>
      <c r="MMR13" s="57"/>
      <c r="MMS13" s="57"/>
      <c r="MMT13" s="57"/>
      <c r="MMU13" s="57"/>
      <c r="MMV13" s="57"/>
      <c r="MMW13" s="57"/>
      <c r="MMX13" s="54"/>
      <c r="MMY13" s="54"/>
      <c r="MMZ13" s="54"/>
      <c r="MNA13" s="55"/>
      <c r="MNB13" s="56"/>
      <c r="MNC13" s="57"/>
      <c r="MND13" s="57"/>
      <c r="MNE13" s="57"/>
      <c r="MNF13" s="57"/>
      <c r="MNG13" s="57"/>
      <c r="MNH13" s="57"/>
      <c r="MNI13" s="57"/>
      <c r="MNJ13" s="57"/>
      <c r="MNK13" s="57"/>
      <c r="MNL13" s="57"/>
      <c r="MNM13" s="57"/>
      <c r="MNN13" s="54"/>
      <c r="MNO13" s="54"/>
      <c r="MNP13" s="54"/>
      <c r="MNQ13" s="55"/>
      <c r="MNR13" s="56"/>
      <c r="MNS13" s="57"/>
      <c r="MNT13" s="57"/>
      <c r="MNU13" s="57"/>
      <c r="MNV13" s="57"/>
      <c r="MNW13" s="57"/>
      <c r="MNX13" s="57"/>
      <c r="MNY13" s="57"/>
      <c r="MNZ13" s="57"/>
      <c r="MOA13" s="57"/>
      <c r="MOB13" s="57"/>
      <c r="MOC13" s="57"/>
      <c r="MOD13" s="54"/>
      <c r="MOE13" s="54"/>
      <c r="MOF13" s="54"/>
      <c r="MOG13" s="55"/>
      <c r="MOH13" s="56"/>
      <c r="MOI13" s="57"/>
      <c r="MOJ13" s="57"/>
      <c r="MOK13" s="57"/>
      <c r="MOL13" s="57"/>
      <c r="MOM13" s="57"/>
      <c r="MON13" s="57"/>
      <c r="MOO13" s="57"/>
      <c r="MOP13" s="57"/>
      <c r="MOQ13" s="57"/>
      <c r="MOR13" s="57"/>
      <c r="MOS13" s="57"/>
      <c r="MOT13" s="54"/>
      <c r="MOU13" s="54"/>
      <c r="MOV13" s="54"/>
      <c r="MOW13" s="55"/>
      <c r="MOX13" s="56"/>
      <c r="MOY13" s="57"/>
      <c r="MOZ13" s="57"/>
      <c r="MPA13" s="57"/>
      <c r="MPB13" s="57"/>
      <c r="MPC13" s="57"/>
      <c r="MPD13" s="57"/>
      <c r="MPE13" s="57"/>
      <c r="MPF13" s="57"/>
      <c r="MPG13" s="57"/>
      <c r="MPH13" s="57"/>
      <c r="MPI13" s="57"/>
      <c r="MPJ13" s="54"/>
      <c r="MPK13" s="54"/>
      <c r="MPL13" s="54"/>
      <c r="MPM13" s="55"/>
      <c r="MPN13" s="56"/>
      <c r="MPO13" s="57"/>
      <c r="MPP13" s="57"/>
      <c r="MPQ13" s="57"/>
      <c r="MPR13" s="57"/>
      <c r="MPS13" s="57"/>
      <c r="MPT13" s="57"/>
      <c r="MPU13" s="57"/>
      <c r="MPV13" s="57"/>
      <c r="MPW13" s="57"/>
      <c r="MPX13" s="57"/>
      <c r="MPY13" s="57"/>
      <c r="MPZ13" s="54"/>
      <c r="MQA13" s="54"/>
      <c r="MQB13" s="54"/>
      <c r="MQC13" s="55"/>
      <c r="MQD13" s="56"/>
      <c r="MQE13" s="57"/>
      <c r="MQF13" s="57"/>
      <c r="MQG13" s="57"/>
      <c r="MQH13" s="57"/>
      <c r="MQI13" s="57"/>
      <c r="MQJ13" s="57"/>
      <c r="MQK13" s="57"/>
      <c r="MQL13" s="57"/>
      <c r="MQM13" s="57"/>
      <c r="MQN13" s="57"/>
      <c r="MQO13" s="57"/>
      <c r="MQP13" s="54"/>
      <c r="MQQ13" s="54"/>
      <c r="MQR13" s="54"/>
      <c r="MQS13" s="55"/>
      <c r="MQT13" s="56"/>
      <c r="MQU13" s="57"/>
      <c r="MQV13" s="57"/>
      <c r="MQW13" s="57"/>
      <c r="MQX13" s="57"/>
      <c r="MQY13" s="57"/>
      <c r="MQZ13" s="57"/>
      <c r="MRA13" s="57"/>
      <c r="MRB13" s="57"/>
      <c r="MRC13" s="57"/>
      <c r="MRD13" s="57"/>
      <c r="MRE13" s="57"/>
      <c r="MRF13" s="54"/>
      <c r="MRG13" s="54"/>
      <c r="MRH13" s="54"/>
      <c r="MRI13" s="55"/>
      <c r="MRJ13" s="56"/>
      <c r="MRK13" s="57"/>
      <c r="MRL13" s="57"/>
      <c r="MRM13" s="57"/>
      <c r="MRN13" s="57"/>
      <c r="MRO13" s="57"/>
      <c r="MRP13" s="57"/>
      <c r="MRQ13" s="57"/>
      <c r="MRR13" s="57"/>
      <c r="MRS13" s="57"/>
      <c r="MRT13" s="57"/>
      <c r="MRU13" s="57"/>
      <c r="MRV13" s="54"/>
      <c r="MRW13" s="54"/>
      <c r="MRX13" s="54"/>
      <c r="MRY13" s="55"/>
      <c r="MRZ13" s="56"/>
      <c r="MSA13" s="57"/>
      <c r="MSB13" s="57"/>
      <c r="MSC13" s="57"/>
      <c r="MSD13" s="57"/>
      <c r="MSE13" s="57"/>
      <c r="MSF13" s="57"/>
      <c r="MSG13" s="57"/>
      <c r="MSH13" s="57"/>
      <c r="MSI13" s="57"/>
      <c r="MSJ13" s="57"/>
      <c r="MSK13" s="57"/>
      <c r="MSL13" s="54"/>
      <c r="MSM13" s="54"/>
      <c r="MSN13" s="54"/>
      <c r="MSO13" s="55"/>
      <c r="MSP13" s="56"/>
      <c r="MSQ13" s="57"/>
      <c r="MSR13" s="57"/>
      <c r="MSS13" s="57"/>
      <c r="MST13" s="57"/>
      <c r="MSU13" s="57"/>
      <c r="MSV13" s="57"/>
      <c r="MSW13" s="57"/>
      <c r="MSX13" s="57"/>
      <c r="MSY13" s="57"/>
      <c r="MSZ13" s="57"/>
      <c r="MTA13" s="57"/>
      <c r="MTB13" s="54"/>
      <c r="MTC13" s="54"/>
      <c r="MTD13" s="54"/>
      <c r="MTE13" s="55"/>
      <c r="MTF13" s="56"/>
      <c r="MTG13" s="57"/>
      <c r="MTH13" s="57"/>
      <c r="MTI13" s="57"/>
      <c r="MTJ13" s="57"/>
      <c r="MTK13" s="57"/>
      <c r="MTL13" s="57"/>
      <c r="MTM13" s="57"/>
      <c r="MTN13" s="57"/>
      <c r="MTO13" s="57"/>
      <c r="MTP13" s="57"/>
      <c r="MTQ13" s="57"/>
      <c r="MTR13" s="54"/>
      <c r="MTS13" s="54"/>
      <c r="MTT13" s="54"/>
      <c r="MTU13" s="55"/>
      <c r="MTV13" s="56"/>
      <c r="MTW13" s="57"/>
      <c r="MTX13" s="57"/>
      <c r="MTY13" s="57"/>
      <c r="MTZ13" s="57"/>
      <c r="MUA13" s="57"/>
      <c r="MUB13" s="57"/>
      <c r="MUC13" s="57"/>
      <c r="MUD13" s="57"/>
      <c r="MUE13" s="57"/>
      <c r="MUF13" s="57"/>
      <c r="MUG13" s="57"/>
      <c r="MUH13" s="54"/>
      <c r="MUI13" s="54"/>
      <c r="MUJ13" s="54"/>
      <c r="MUK13" s="55"/>
      <c r="MUL13" s="56"/>
      <c r="MUM13" s="57"/>
      <c r="MUN13" s="57"/>
      <c r="MUO13" s="57"/>
      <c r="MUP13" s="57"/>
      <c r="MUQ13" s="57"/>
      <c r="MUR13" s="57"/>
      <c r="MUS13" s="57"/>
      <c r="MUT13" s="57"/>
      <c r="MUU13" s="57"/>
      <c r="MUV13" s="57"/>
      <c r="MUW13" s="57"/>
      <c r="MUX13" s="54"/>
      <c r="MUY13" s="54"/>
      <c r="MUZ13" s="54"/>
      <c r="MVA13" s="55"/>
      <c r="MVB13" s="56"/>
      <c r="MVC13" s="57"/>
      <c r="MVD13" s="57"/>
      <c r="MVE13" s="57"/>
      <c r="MVF13" s="57"/>
      <c r="MVG13" s="57"/>
      <c r="MVH13" s="57"/>
      <c r="MVI13" s="57"/>
      <c r="MVJ13" s="57"/>
      <c r="MVK13" s="57"/>
      <c r="MVL13" s="57"/>
      <c r="MVM13" s="57"/>
      <c r="MVN13" s="54"/>
      <c r="MVO13" s="54"/>
      <c r="MVP13" s="54"/>
      <c r="MVQ13" s="55"/>
      <c r="MVR13" s="56"/>
      <c r="MVS13" s="57"/>
      <c r="MVT13" s="57"/>
      <c r="MVU13" s="57"/>
      <c r="MVV13" s="57"/>
      <c r="MVW13" s="57"/>
      <c r="MVX13" s="57"/>
      <c r="MVY13" s="57"/>
      <c r="MVZ13" s="57"/>
      <c r="MWA13" s="57"/>
      <c r="MWB13" s="57"/>
      <c r="MWC13" s="57"/>
      <c r="MWD13" s="54"/>
      <c r="MWE13" s="54"/>
      <c r="MWF13" s="54"/>
      <c r="MWG13" s="55"/>
      <c r="MWH13" s="56"/>
      <c r="MWI13" s="57"/>
      <c r="MWJ13" s="57"/>
      <c r="MWK13" s="57"/>
      <c r="MWL13" s="57"/>
      <c r="MWM13" s="57"/>
      <c r="MWN13" s="57"/>
      <c r="MWO13" s="57"/>
      <c r="MWP13" s="57"/>
      <c r="MWQ13" s="57"/>
      <c r="MWR13" s="57"/>
      <c r="MWS13" s="57"/>
      <c r="MWT13" s="54"/>
      <c r="MWU13" s="54"/>
      <c r="MWV13" s="54"/>
      <c r="MWW13" s="55"/>
      <c r="MWX13" s="56"/>
      <c r="MWY13" s="57"/>
      <c r="MWZ13" s="57"/>
      <c r="MXA13" s="57"/>
      <c r="MXB13" s="57"/>
      <c r="MXC13" s="57"/>
      <c r="MXD13" s="57"/>
      <c r="MXE13" s="57"/>
      <c r="MXF13" s="57"/>
      <c r="MXG13" s="57"/>
      <c r="MXH13" s="57"/>
      <c r="MXI13" s="57"/>
      <c r="MXJ13" s="54"/>
      <c r="MXK13" s="54"/>
      <c r="MXL13" s="54"/>
      <c r="MXM13" s="55"/>
      <c r="MXN13" s="56"/>
      <c r="MXO13" s="57"/>
      <c r="MXP13" s="57"/>
      <c r="MXQ13" s="57"/>
      <c r="MXR13" s="57"/>
      <c r="MXS13" s="57"/>
      <c r="MXT13" s="57"/>
      <c r="MXU13" s="57"/>
      <c r="MXV13" s="57"/>
      <c r="MXW13" s="57"/>
      <c r="MXX13" s="57"/>
      <c r="MXY13" s="57"/>
      <c r="MXZ13" s="54"/>
      <c r="MYA13" s="54"/>
      <c r="MYB13" s="54"/>
      <c r="MYC13" s="55"/>
      <c r="MYD13" s="56"/>
      <c r="MYE13" s="57"/>
      <c r="MYF13" s="57"/>
      <c r="MYG13" s="57"/>
      <c r="MYH13" s="57"/>
      <c r="MYI13" s="57"/>
      <c r="MYJ13" s="57"/>
      <c r="MYK13" s="57"/>
      <c r="MYL13" s="57"/>
      <c r="MYM13" s="57"/>
      <c r="MYN13" s="57"/>
      <c r="MYO13" s="57"/>
      <c r="MYP13" s="54"/>
      <c r="MYQ13" s="54"/>
      <c r="MYR13" s="54"/>
      <c r="MYS13" s="55"/>
      <c r="MYT13" s="56"/>
      <c r="MYU13" s="57"/>
      <c r="MYV13" s="57"/>
      <c r="MYW13" s="57"/>
      <c r="MYX13" s="57"/>
      <c r="MYY13" s="57"/>
      <c r="MYZ13" s="57"/>
      <c r="MZA13" s="57"/>
      <c r="MZB13" s="57"/>
      <c r="MZC13" s="57"/>
      <c r="MZD13" s="57"/>
      <c r="MZE13" s="57"/>
      <c r="MZF13" s="54"/>
      <c r="MZG13" s="54"/>
      <c r="MZH13" s="54"/>
      <c r="MZI13" s="55"/>
      <c r="MZJ13" s="56"/>
      <c r="MZK13" s="57"/>
      <c r="MZL13" s="57"/>
      <c r="MZM13" s="57"/>
      <c r="MZN13" s="57"/>
      <c r="MZO13" s="57"/>
      <c r="MZP13" s="57"/>
      <c r="MZQ13" s="57"/>
      <c r="MZR13" s="57"/>
      <c r="MZS13" s="57"/>
      <c r="MZT13" s="57"/>
      <c r="MZU13" s="57"/>
      <c r="MZV13" s="54"/>
      <c r="MZW13" s="54"/>
      <c r="MZX13" s="54"/>
      <c r="MZY13" s="55"/>
      <c r="MZZ13" s="56"/>
      <c r="NAA13" s="57"/>
      <c r="NAB13" s="57"/>
      <c r="NAC13" s="57"/>
      <c r="NAD13" s="57"/>
      <c r="NAE13" s="57"/>
      <c r="NAF13" s="57"/>
      <c r="NAG13" s="57"/>
      <c r="NAH13" s="57"/>
      <c r="NAI13" s="57"/>
      <c r="NAJ13" s="57"/>
      <c r="NAK13" s="57"/>
      <c r="NAL13" s="54"/>
      <c r="NAM13" s="54"/>
      <c r="NAN13" s="54"/>
      <c r="NAO13" s="55"/>
      <c r="NAP13" s="56"/>
      <c r="NAQ13" s="57"/>
      <c r="NAR13" s="57"/>
      <c r="NAS13" s="57"/>
      <c r="NAT13" s="57"/>
      <c r="NAU13" s="57"/>
      <c r="NAV13" s="57"/>
      <c r="NAW13" s="57"/>
      <c r="NAX13" s="57"/>
      <c r="NAY13" s="57"/>
      <c r="NAZ13" s="57"/>
      <c r="NBA13" s="57"/>
      <c r="NBB13" s="54"/>
      <c r="NBC13" s="54"/>
      <c r="NBD13" s="54"/>
      <c r="NBE13" s="55"/>
      <c r="NBF13" s="56"/>
      <c r="NBG13" s="57"/>
      <c r="NBH13" s="57"/>
      <c r="NBI13" s="57"/>
      <c r="NBJ13" s="57"/>
      <c r="NBK13" s="57"/>
      <c r="NBL13" s="57"/>
      <c r="NBM13" s="57"/>
      <c r="NBN13" s="57"/>
      <c r="NBO13" s="57"/>
      <c r="NBP13" s="57"/>
      <c r="NBQ13" s="57"/>
      <c r="NBR13" s="54"/>
      <c r="NBS13" s="54"/>
      <c r="NBT13" s="54"/>
      <c r="NBU13" s="55"/>
      <c r="NBV13" s="56"/>
      <c r="NBW13" s="57"/>
      <c r="NBX13" s="57"/>
      <c r="NBY13" s="57"/>
      <c r="NBZ13" s="57"/>
      <c r="NCA13" s="57"/>
      <c r="NCB13" s="57"/>
      <c r="NCC13" s="57"/>
      <c r="NCD13" s="57"/>
      <c r="NCE13" s="57"/>
      <c r="NCF13" s="57"/>
      <c r="NCG13" s="57"/>
      <c r="NCH13" s="54"/>
      <c r="NCI13" s="54"/>
      <c r="NCJ13" s="54"/>
      <c r="NCK13" s="55"/>
      <c r="NCL13" s="56"/>
      <c r="NCM13" s="57"/>
      <c r="NCN13" s="57"/>
      <c r="NCO13" s="57"/>
      <c r="NCP13" s="57"/>
      <c r="NCQ13" s="57"/>
      <c r="NCR13" s="57"/>
      <c r="NCS13" s="57"/>
      <c r="NCT13" s="57"/>
      <c r="NCU13" s="57"/>
      <c r="NCV13" s="57"/>
      <c r="NCW13" s="57"/>
      <c r="NCX13" s="54"/>
      <c r="NCY13" s="54"/>
      <c r="NCZ13" s="54"/>
      <c r="NDA13" s="55"/>
      <c r="NDB13" s="56"/>
      <c r="NDC13" s="57"/>
      <c r="NDD13" s="57"/>
      <c r="NDE13" s="57"/>
      <c r="NDF13" s="57"/>
      <c r="NDG13" s="57"/>
      <c r="NDH13" s="57"/>
      <c r="NDI13" s="57"/>
      <c r="NDJ13" s="57"/>
      <c r="NDK13" s="57"/>
      <c r="NDL13" s="57"/>
      <c r="NDM13" s="57"/>
      <c r="NDN13" s="54"/>
      <c r="NDO13" s="54"/>
      <c r="NDP13" s="54"/>
      <c r="NDQ13" s="55"/>
      <c r="NDR13" s="56"/>
      <c r="NDS13" s="57"/>
      <c r="NDT13" s="57"/>
      <c r="NDU13" s="57"/>
      <c r="NDV13" s="57"/>
      <c r="NDW13" s="57"/>
      <c r="NDX13" s="57"/>
      <c r="NDY13" s="57"/>
      <c r="NDZ13" s="57"/>
      <c r="NEA13" s="57"/>
      <c r="NEB13" s="57"/>
      <c r="NEC13" s="57"/>
      <c r="NED13" s="54"/>
      <c r="NEE13" s="54"/>
      <c r="NEF13" s="54"/>
      <c r="NEG13" s="55"/>
      <c r="NEH13" s="56"/>
      <c r="NEI13" s="57"/>
      <c r="NEJ13" s="57"/>
      <c r="NEK13" s="57"/>
      <c r="NEL13" s="57"/>
      <c r="NEM13" s="57"/>
      <c r="NEN13" s="57"/>
      <c r="NEO13" s="57"/>
      <c r="NEP13" s="57"/>
      <c r="NEQ13" s="57"/>
      <c r="NER13" s="57"/>
      <c r="NES13" s="57"/>
      <c r="NET13" s="54"/>
      <c r="NEU13" s="54"/>
      <c r="NEV13" s="54"/>
      <c r="NEW13" s="55"/>
      <c r="NEX13" s="56"/>
      <c r="NEY13" s="57"/>
      <c r="NEZ13" s="57"/>
      <c r="NFA13" s="57"/>
      <c r="NFB13" s="57"/>
      <c r="NFC13" s="57"/>
      <c r="NFD13" s="57"/>
      <c r="NFE13" s="57"/>
      <c r="NFF13" s="57"/>
      <c r="NFG13" s="57"/>
      <c r="NFH13" s="57"/>
      <c r="NFI13" s="57"/>
      <c r="NFJ13" s="54"/>
      <c r="NFK13" s="54"/>
      <c r="NFL13" s="54"/>
      <c r="NFM13" s="55"/>
      <c r="NFN13" s="56"/>
      <c r="NFO13" s="57"/>
      <c r="NFP13" s="57"/>
      <c r="NFQ13" s="57"/>
      <c r="NFR13" s="57"/>
      <c r="NFS13" s="57"/>
      <c r="NFT13" s="57"/>
      <c r="NFU13" s="57"/>
      <c r="NFV13" s="57"/>
      <c r="NFW13" s="57"/>
      <c r="NFX13" s="57"/>
      <c r="NFY13" s="57"/>
      <c r="NFZ13" s="54"/>
      <c r="NGA13" s="54"/>
      <c r="NGB13" s="54"/>
      <c r="NGC13" s="55"/>
      <c r="NGD13" s="56"/>
      <c r="NGE13" s="57"/>
      <c r="NGF13" s="57"/>
      <c r="NGG13" s="57"/>
      <c r="NGH13" s="57"/>
      <c r="NGI13" s="57"/>
      <c r="NGJ13" s="57"/>
      <c r="NGK13" s="57"/>
      <c r="NGL13" s="57"/>
      <c r="NGM13" s="57"/>
      <c r="NGN13" s="57"/>
      <c r="NGO13" s="57"/>
      <c r="NGP13" s="54"/>
      <c r="NGQ13" s="54"/>
      <c r="NGR13" s="54"/>
      <c r="NGS13" s="55"/>
      <c r="NGT13" s="56"/>
      <c r="NGU13" s="57"/>
      <c r="NGV13" s="57"/>
      <c r="NGW13" s="57"/>
      <c r="NGX13" s="57"/>
      <c r="NGY13" s="57"/>
      <c r="NGZ13" s="57"/>
      <c r="NHA13" s="57"/>
      <c r="NHB13" s="57"/>
      <c r="NHC13" s="57"/>
      <c r="NHD13" s="57"/>
      <c r="NHE13" s="57"/>
      <c r="NHF13" s="54"/>
      <c r="NHG13" s="54"/>
      <c r="NHH13" s="54"/>
      <c r="NHI13" s="55"/>
      <c r="NHJ13" s="56"/>
      <c r="NHK13" s="57"/>
      <c r="NHL13" s="57"/>
      <c r="NHM13" s="57"/>
      <c r="NHN13" s="57"/>
      <c r="NHO13" s="57"/>
      <c r="NHP13" s="57"/>
      <c r="NHQ13" s="57"/>
      <c r="NHR13" s="57"/>
      <c r="NHS13" s="57"/>
      <c r="NHT13" s="57"/>
      <c r="NHU13" s="57"/>
      <c r="NHV13" s="54"/>
      <c r="NHW13" s="54"/>
      <c r="NHX13" s="54"/>
      <c r="NHY13" s="55"/>
      <c r="NHZ13" s="56"/>
      <c r="NIA13" s="57"/>
      <c r="NIB13" s="57"/>
      <c r="NIC13" s="57"/>
      <c r="NID13" s="57"/>
      <c r="NIE13" s="57"/>
      <c r="NIF13" s="57"/>
      <c r="NIG13" s="57"/>
      <c r="NIH13" s="57"/>
      <c r="NII13" s="57"/>
      <c r="NIJ13" s="57"/>
      <c r="NIK13" s="57"/>
      <c r="NIL13" s="54"/>
      <c r="NIM13" s="54"/>
      <c r="NIN13" s="54"/>
      <c r="NIO13" s="55"/>
      <c r="NIP13" s="56"/>
      <c r="NIQ13" s="57"/>
      <c r="NIR13" s="57"/>
      <c r="NIS13" s="57"/>
      <c r="NIT13" s="57"/>
      <c r="NIU13" s="57"/>
      <c r="NIV13" s="57"/>
      <c r="NIW13" s="57"/>
      <c r="NIX13" s="57"/>
      <c r="NIY13" s="57"/>
      <c r="NIZ13" s="57"/>
      <c r="NJA13" s="57"/>
      <c r="NJB13" s="54"/>
      <c r="NJC13" s="54"/>
      <c r="NJD13" s="54"/>
      <c r="NJE13" s="55"/>
      <c r="NJF13" s="56"/>
      <c r="NJG13" s="57"/>
      <c r="NJH13" s="57"/>
      <c r="NJI13" s="57"/>
      <c r="NJJ13" s="57"/>
      <c r="NJK13" s="57"/>
      <c r="NJL13" s="57"/>
      <c r="NJM13" s="57"/>
      <c r="NJN13" s="57"/>
      <c r="NJO13" s="57"/>
      <c r="NJP13" s="57"/>
      <c r="NJQ13" s="57"/>
      <c r="NJR13" s="54"/>
      <c r="NJS13" s="54"/>
      <c r="NJT13" s="54"/>
      <c r="NJU13" s="55"/>
      <c r="NJV13" s="56"/>
      <c r="NJW13" s="57"/>
      <c r="NJX13" s="57"/>
      <c r="NJY13" s="57"/>
      <c r="NJZ13" s="57"/>
      <c r="NKA13" s="57"/>
      <c r="NKB13" s="57"/>
      <c r="NKC13" s="57"/>
      <c r="NKD13" s="57"/>
      <c r="NKE13" s="57"/>
      <c r="NKF13" s="57"/>
      <c r="NKG13" s="57"/>
      <c r="NKH13" s="54"/>
      <c r="NKI13" s="54"/>
      <c r="NKJ13" s="54"/>
      <c r="NKK13" s="55"/>
      <c r="NKL13" s="56"/>
      <c r="NKM13" s="57"/>
      <c r="NKN13" s="57"/>
      <c r="NKO13" s="57"/>
      <c r="NKP13" s="57"/>
      <c r="NKQ13" s="57"/>
      <c r="NKR13" s="57"/>
      <c r="NKS13" s="57"/>
      <c r="NKT13" s="57"/>
      <c r="NKU13" s="57"/>
      <c r="NKV13" s="57"/>
      <c r="NKW13" s="57"/>
      <c r="NKX13" s="54"/>
      <c r="NKY13" s="54"/>
      <c r="NKZ13" s="54"/>
      <c r="NLA13" s="55"/>
      <c r="NLB13" s="56"/>
      <c r="NLC13" s="57"/>
      <c r="NLD13" s="57"/>
      <c r="NLE13" s="57"/>
      <c r="NLF13" s="57"/>
      <c r="NLG13" s="57"/>
      <c r="NLH13" s="57"/>
      <c r="NLI13" s="57"/>
      <c r="NLJ13" s="57"/>
      <c r="NLK13" s="57"/>
      <c r="NLL13" s="57"/>
      <c r="NLM13" s="57"/>
      <c r="NLN13" s="54"/>
      <c r="NLO13" s="54"/>
      <c r="NLP13" s="54"/>
      <c r="NLQ13" s="55"/>
      <c r="NLR13" s="56"/>
      <c r="NLS13" s="57"/>
      <c r="NLT13" s="57"/>
      <c r="NLU13" s="57"/>
      <c r="NLV13" s="57"/>
      <c r="NLW13" s="57"/>
      <c r="NLX13" s="57"/>
      <c r="NLY13" s="57"/>
      <c r="NLZ13" s="57"/>
      <c r="NMA13" s="57"/>
      <c r="NMB13" s="57"/>
      <c r="NMC13" s="57"/>
      <c r="NMD13" s="54"/>
      <c r="NME13" s="54"/>
      <c r="NMF13" s="54"/>
      <c r="NMG13" s="55"/>
      <c r="NMH13" s="56"/>
      <c r="NMI13" s="57"/>
      <c r="NMJ13" s="57"/>
      <c r="NMK13" s="57"/>
      <c r="NML13" s="57"/>
      <c r="NMM13" s="57"/>
      <c r="NMN13" s="57"/>
      <c r="NMO13" s="57"/>
      <c r="NMP13" s="57"/>
      <c r="NMQ13" s="57"/>
      <c r="NMR13" s="57"/>
      <c r="NMS13" s="57"/>
      <c r="NMT13" s="54"/>
      <c r="NMU13" s="54"/>
      <c r="NMV13" s="54"/>
      <c r="NMW13" s="55"/>
      <c r="NMX13" s="56"/>
      <c r="NMY13" s="57"/>
      <c r="NMZ13" s="57"/>
      <c r="NNA13" s="57"/>
      <c r="NNB13" s="57"/>
      <c r="NNC13" s="57"/>
      <c r="NND13" s="57"/>
      <c r="NNE13" s="57"/>
      <c r="NNF13" s="57"/>
      <c r="NNG13" s="57"/>
      <c r="NNH13" s="57"/>
      <c r="NNI13" s="57"/>
      <c r="NNJ13" s="54"/>
      <c r="NNK13" s="54"/>
      <c r="NNL13" s="54"/>
      <c r="NNM13" s="55"/>
      <c r="NNN13" s="56"/>
      <c r="NNO13" s="57"/>
      <c r="NNP13" s="57"/>
      <c r="NNQ13" s="57"/>
      <c r="NNR13" s="57"/>
      <c r="NNS13" s="57"/>
      <c r="NNT13" s="57"/>
      <c r="NNU13" s="57"/>
      <c r="NNV13" s="57"/>
      <c r="NNW13" s="57"/>
      <c r="NNX13" s="57"/>
      <c r="NNY13" s="57"/>
      <c r="NNZ13" s="54"/>
      <c r="NOA13" s="54"/>
      <c r="NOB13" s="54"/>
      <c r="NOC13" s="55"/>
      <c r="NOD13" s="56"/>
      <c r="NOE13" s="57"/>
      <c r="NOF13" s="57"/>
      <c r="NOG13" s="57"/>
      <c r="NOH13" s="57"/>
      <c r="NOI13" s="57"/>
      <c r="NOJ13" s="57"/>
      <c r="NOK13" s="57"/>
      <c r="NOL13" s="57"/>
      <c r="NOM13" s="57"/>
      <c r="NON13" s="57"/>
      <c r="NOO13" s="57"/>
      <c r="NOP13" s="54"/>
      <c r="NOQ13" s="54"/>
      <c r="NOR13" s="54"/>
      <c r="NOS13" s="55"/>
      <c r="NOT13" s="56"/>
      <c r="NOU13" s="57"/>
      <c r="NOV13" s="57"/>
      <c r="NOW13" s="57"/>
      <c r="NOX13" s="57"/>
      <c r="NOY13" s="57"/>
      <c r="NOZ13" s="57"/>
      <c r="NPA13" s="57"/>
      <c r="NPB13" s="57"/>
      <c r="NPC13" s="57"/>
      <c r="NPD13" s="57"/>
      <c r="NPE13" s="57"/>
      <c r="NPF13" s="54"/>
      <c r="NPG13" s="54"/>
      <c r="NPH13" s="54"/>
      <c r="NPI13" s="55"/>
      <c r="NPJ13" s="56"/>
      <c r="NPK13" s="57"/>
      <c r="NPL13" s="57"/>
      <c r="NPM13" s="57"/>
      <c r="NPN13" s="57"/>
      <c r="NPO13" s="57"/>
      <c r="NPP13" s="57"/>
      <c r="NPQ13" s="57"/>
      <c r="NPR13" s="57"/>
      <c r="NPS13" s="57"/>
      <c r="NPT13" s="57"/>
      <c r="NPU13" s="57"/>
      <c r="NPV13" s="54"/>
      <c r="NPW13" s="54"/>
      <c r="NPX13" s="54"/>
      <c r="NPY13" s="55"/>
      <c r="NPZ13" s="56"/>
      <c r="NQA13" s="57"/>
      <c r="NQB13" s="57"/>
      <c r="NQC13" s="57"/>
      <c r="NQD13" s="57"/>
      <c r="NQE13" s="57"/>
      <c r="NQF13" s="57"/>
      <c r="NQG13" s="57"/>
      <c r="NQH13" s="57"/>
      <c r="NQI13" s="57"/>
      <c r="NQJ13" s="57"/>
      <c r="NQK13" s="57"/>
      <c r="NQL13" s="54"/>
      <c r="NQM13" s="54"/>
      <c r="NQN13" s="54"/>
      <c r="NQO13" s="55"/>
      <c r="NQP13" s="56"/>
      <c r="NQQ13" s="57"/>
      <c r="NQR13" s="57"/>
      <c r="NQS13" s="57"/>
      <c r="NQT13" s="57"/>
      <c r="NQU13" s="57"/>
      <c r="NQV13" s="57"/>
      <c r="NQW13" s="57"/>
      <c r="NQX13" s="57"/>
      <c r="NQY13" s="57"/>
      <c r="NQZ13" s="57"/>
      <c r="NRA13" s="57"/>
      <c r="NRB13" s="54"/>
      <c r="NRC13" s="54"/>
      <c r="NRD13" s="54"/>
      <c r="NRE13" s="55"/>
      <c r="NRF13" s="56"/>
      <c r="NRG13" s="57"/>
      <c r="NRH13" s="57"/>
      <c r="NRI13" s="57"/>
      <c r="NRJ13" s="57"/>
      <c r="NRK13" s="57"/>
      <c r="NRL13" s="57"/>
      <c r="NRM13" s="57"/>
      <c r="NRN13" s="57"/>
      <c r="NRO13" s="57"/>
      <c r="NRP13" s="57"/>
      <c r="NRQ13" s="57"/>
      <c r="NRR13" s="54"/>
      <c r="NRS13" s="54"/>
      <c r="NRT13" s="54"/>
      <c r="NRU13" s="55"/>
      <c r="NRV13" s="56"/>
      <c r="NRW13" s="57"/>
      <c r="NRX13" s="57"/>
      <c r="NRY13" s="57"/>
      <c r="NRZ13" s="57"/>
      <c r="NSA13" s="57"/>
      <c r="NSB13" s="57"/>
      <c r="NSC13" s="57"/>
      <c r="NSD13" s="57"/>
      <c r="NSE13" s="57"/>
      <c r="NSF13" s="57"/>
      <c r="NSG13" s="57"/>
      <c r="NSH13" s="54"/>
      <c r="NSI13" s="54"/>
      <c r="NSJ13" s="54"/>
      <c r="NSK13" s="55"/>
      <c r="NSL13" s="56"/>
      <c r="NSM13" s="57"/>
      <c r="NSN13" s="57"/>
      <c r="NSO13" s="57"/>
      <c r="NSP13" s="57"/>
      <c r="NSQ13" s="57"/>
      <c r="NSR13" s="57"/>
      <c r="NSS13" s="57"/>
      <c r="NST13" s="57"/>
      <c r="NSU13" s="57"/>
      <c r="NSV13" s="57"/>
      <c r="NSW13" s="57"/>
      <c r="NSX13" s="54"/>
      <c r="NSY13" s="54"/>
      <c r="NSZ13" s="54"/>
      <c r="NTA13" s="55"/>
      <c r="NTB13" s="56"/>
      <c r="NTC13" s="57"/>
      <c r="NTD13" s="57"/>
      <c r="NTE13" s="57"/>
      <c r="NTF13" s="57"/>
      <c r="NTG13" s="57"/>
      <c r="NTH13" s="57"/>
      <c r="NTI13" s="57"/>
      <c r="NTJ13" s="57"/>
      <c r="NTK13" s="57"/>
      <c r="NTL13" s="57"/>
      <c r="NTM13" s="57"/>
      <c r="NTN13" s="54"/>
      <c r="NTO13" s="54"/>
      <c r="NTP13" s="54"/>
      <c r="NTQ13" s="55"/>
      <c r="NTR13" s="56"/>
      <c r="NTS13" s="57"/>
      <c r="NTT13" s="57"/>
      <c r="NTU13" s="57"/>
      <c r="NTV13" s="57"/>
      <c r="NTW13" s="57"/>
      <c r="NTX13" s="57"/>
      <c r="NTY13" s="57"/>
      <c r="NTZ13" s="57"/>
      <c r="NUA13" s="57"/>
      <c r="NUB13" s="57"/>
      <c r="NUC13" s="57"/>
      <c r="NUD13" s="54"/>
      <c r="NUE13" s="54"/>
      <c r="NUF13" s="54"/>
      <c r="NUG13" s="55"/>
      <c r="NUH13" s="56"/>
      <c r="NUI13" s="57"/>
      <c r="NUJ13" s="57"/>
      <c r="NUK13" s="57"/>
      <c r="NUL13" s="57"/>
      <c r="NUM13" s="57"/>
      <c r="NUN13" s="57"/>
      <c r="NUO13" s="57"/>
      <c r="NUP13" s="57"/>
      <c r="NUQ13" s="57"/>
      <c r="NUR13" s="57"/>
      <c r="NUS13" s="57"/>
      <c r="NUT13" s="54"/>
      <c r="NUU13" s="54"/>
      <c r="NUV13" s="54"/>
      <c r="NUW13" s="55"/>
      <c r="NUX13" s="56"/>
      <c r="NUY13" s="57"/>
      <c r="NUZ13" s="57"/>
      <c r="NVA13" s="57"/>
      <c r="NVB13" s="57"/>
      <c r="NVC13" s="57"/>
      <c r="NVD13" s="57"/>
      <c r="NVE13" s="57"/>
      <c r="NVF13" s="57"/>
      <c r="NVG13" s="57"/>
      <c r="NVH13" s="57"/>
      <c r="NVI13" s="57"/>
      <c r="NVJ13" s="54"/>
      <c r="NVK13" s="54"/>
      <c r="NVL13" s="54"/>
      <c r="NVM13" s="55"/>
      <c r="NVN13" s="56"/>
      <c r="NVO13" s="57"/>
      <c r="NVP13" s="57"/>
      <c r="NVQ13" s="57"/>
      <c r="NVR13" s="57"/>
      <c r="NVS13" s="57"/>
      <c r="NVT13" s="57"/>
      <c r="NVU13" s="57"/>
      <c r="NVV13" s="57"/>
      <c r="NVW13" s="57"/>
      <c r="NVX13" s="57"/>
      <c r="NVY13" s="57"/>
      <c r="NVZ13" s="54"/>
      <c r="NWA13" s="54"/>
      <c r="NWB13" s="54"/>
      <c r="NWC13" s="55"/>
      <c r="NWD13" s="56"/>
      <c r="NWE13" s="57"/>
      <c r="NWF13" s="57"/>
      <c r="NWG13" s="57"/>
      <c r="NWH13" s="57"/>
      <c r="NWI13" s="57"/>
      <c r="NWJ13" s="57"/>
      <c r="NWK13" s="57"/>
      <c r="NWL13" s="57"/>
      <c r="NWM13" s="57"/>
      <c r="NWN13" s="57"/>
      <c r="NWO13" s="57"/>
      <c r="NWP13" s="54"/>
      <c r="NWQ13" s="54"/>
      <c r="NWR13" s="54"/>
      <c r="NWS13" s="55"/>
      <c r="NWT13" s="56"/>
      <c r="NWU13" s="57"/>
      <c r="NWV13" s="57"/>
      <c r="NWW13" s="57"/>
      <c r="NWX13" s="57"/>
      <c r="NWY13" s="57"/>
      <c r="NWZ13" s="57"/>
      <c r="NXA13" s="57"/>
      <c r="NXB13" s="57"/>
      <c r="NXC13" s="57"/>
      <c r="NXD13" s="57"/>
      <c r="NXE13" s="57"/>
      <c r="NXF13" s="54"/>
      <c r="NXG13" s="54"/>
      <c r="NXH13" s="54"/>
      <c r="NXI13" s="55"/>
      <c r="NXJ13" s="56"/>
      <c r="NXK13" s="57"/>
      <c r="NXL13" s="57"/>
      <c r="NXM13" s="57"/>
      <c r="NXN13" s="57"/>
      <c r="NXO13" s="57"/>
      <c r="NXP13" s="57"/>
      <c r="NXQ13" s="57"/>
      <c r="NXR13" s="57"/>
      <c r="NXS13" s="57"/>
      <c r="NXT13" s="57"/>
      <c r="NXU13" s="57"/>
      <c r="NXV13" s="54"/>
      <c r="NXW13" s="54"/>
      <c r="NXX13" s="54"/>
      <c r="NXY13" s="55"/>
      <c r="NXZ13" s="56"/>
      <c r="NYA13" s="57"/>
      <c r="NYB13" s="57"/>
      <c r="NYC13" s="57"/>
      <c r="NYD13" s="57"/>
      <c r="NYE13" s="57"/>
      <c r="NYF13" s="57"/>
      <c r="NYG13" s="57"/>
      <c r="NYH13" s="57"/>
      <c r="NYI13" s="57"/>
      <c r="NYJ13" s="57"/>
      <c r="NYK13" s="57"/>
      <c r="NYL13" s="54"/>
      <c r="NYM13" s="54"/>
      <c r="NYN13" s="54"/>
      <c r="NYO13" s="55"/>
      <c r="NYP13" s="56"/>
      <c r="NYQ13" s="57"/>
      <c r="NYR13" s="57"/>
      <c r="NYS13" s="57"/>
      <c r="NYT13" s="57"/>
      <c r="NYU13" s="57"/>
      <c r="NYV13" s="57"/>
      <c r="NYW13" s="57"/>
      <c r="NYX13" s="57"/>
      <c r="NYY13" s="57"/>
      <c r="NYZ13" s="57"/>
      <c r="NZA13" s="57"/>
      <c r="NZB13" s="54"/>
      <c r="NZC13" s="54"/>
      <c r="NZD13" s="54"/>
      <c r="NZE13" s="55"/>
      <c r="NZF13" s="56"/>
      <c r="NZG13" s="57"/>
      <c r="NZH13" s="57"/>
      <c r="NZI13" s="57"/>
      <c r="NZJ13" s="57"/>
      <c r="NZK13" s="57"/>
      <c r="NZL13" s="57"/>
      <c r="NZM13" s="57"/>
      <c r="NZN13" s="57"/>
      <c r="NZO13" s="57"/>
      <c r="NZP13" s="57"/>
      <c r="NZQ13" s="57"/>
      <c r="NZR13" s="54"/>
      <c r="NZS13" s="54"/>
      <c r="NZT13" s="54"/>
      <c r="NZU13" s="55"/>
      <c r="NZV13" s="56"/>
      <c r="NZW13" s="57"/>
      <c r="NZX13" s="57"/>
      <c r="NZY13" s="57"/>
      <c r="NZZ13" s="57"/>
      <c r="OAA13" s="57"/>
      <c r="OAB13" s="57"/>
      <c r="OAC13" s="57"/>
      <c r="OAD13" s="57"/>
      <c r="OAE13" s="57"/>
      <c r="OAF13" s="57"/>
      <c r="OAG13" s="57"/>
      <c r="OAH13" s="54"/>
      <c r="OAI13" s="54"/>
      <c r="OAJ13" s="54"/>
      <c r="OAK13" s="55"/>
      <c r="OAL13" s="56"/>
      <c r="OAM13" s="57"/>
      <c r="OAN13" s="57"/>
      <c r="OAO13" s="57"/>
      <c r="OAP13" s="57"/>
      <c r="OAQ13" s="57"/>
      <c r="OAR13" s="57"/>
      <c r="OAS13" s="57"/>
      <c r="OAT13" s="57"/>
      <c r="OAU13" s="57"/>
      <c r="OAV13" s="57"/>
      <c r="OAW13" s="57"/>
      <c r="OAX13" s="54"/>
      <c r="OAY13" s="54"/>
      <c r="OAZ13" s="54"/>
      <c r="OBA13" s="55"/>
      <c r="OBB13" s="56"/>
      <c r="OBC13" s="57"/>
      <c r="OBD13" s="57"/>
      <c r="OBE13" s="57"/>
      <c r="OBF13" s="57"/>
      <c r="OBG13" s="57"/>
      <c r="OBH13" s="57"/>
      <c r="OBI13" s="57"/>
      <c r="OBJ13" s="57"/>
      <c r="OBK13" s="57"/>
      <c r="OBL13" s="57"/>
      <c r="OBM13" s="57"/>
      <c r="OBN13" s="54"/>
      <c r="OBO13" s="54"/>
      <c r="OBP13" s="54"/>
      <c r="OBQ13" s="55"/>
      <c r="OBR13" s="56"/>
      <c r="OBS13" s="57"/>
      <c r="OBT13" s="57"/>
      <c r="OBU13" s="57"/>
      <c r="OBV13" s="57"/>
      <c r="OBW13" s="57"/>
      <c r="OBX13" s="57"/>
      <c r="OBY13" s="57"/>
      <c r="OBZ13" s="57"/>
      <c r="OCA13" s="57"/>
      <c r="OCB13" s="57"/>
      <c r="OCC13" s="57"/>
      <c r="OCD13" s="54"/>
      <c r="OCE13" s="54"/>
      <c r="OCF13" s="54"/>
      <c r="OCG13" s="55"/>
      <c r="OCH13" s="56"/>
      <c r="OCI13" s="57"/>
      <c r="OCJ13" s="57"/>
      <c r="OCK13" s="57"/>
      <c r="OCL13" s="57"/>
      <c r="OCM13" s="57"/>
      <c r="OCN13" s="57"/>
      <c r="OCO13" s="57"/>
      <c r="OCP13" s="57"/>
      <c r="OCQ13" s="57"/>
      <c r="OCR13" s="57"/>
      <c r="OCS13" s="57"/>
      <c r="OCT13" s="54"/>
      <c r="OCU13" s="54"/>
      <c r="OCV13" s="54"/>
      <c r="OCW13" s="55"/>
      <c r="OCX13" s="56"/>
      <c r="OCY13" s="57"/>
      <c r="OCZ13" s="57"/>
      <c r="ODA13" s="57"/>
      <c r="ODB13" s="57"/>
      <c r="ODC13" s="57"/>
      <c r="ODD13" s="57"/>
      <c r="ODE13" s="57"/>
      <c r="ODF13" s="57"/>
      <c r="ODG13" s="57"/>
      <c r="ODH13" s="57"/>
      <c r="ODI13" s="57"/>
      <c r="ODJ13" s="54"/>
      <c r="ODK13" s="54"/>
      <c r="ODL13" s="54"/>
      <c r="ODM13" s="55"/>
      <c r="ODN13" s="56"/>
      <c r="ODO13" s="57"/>
      <c r="ODP13" s="57"/>
      <c r="ODQ13" s="57"/>
      <c r="ODR13" s="57"/>
      <c r="ODS13" s="57"/>
      <c r="ODT13" s="57"/>
      <c r="ODU13" s="57"/>
      <c r="ODV13" s="57"/>
      <c r="ODW13" s="57"/>
      <c r="ODX13" s="57"/>
      <c r="ODY13" s="57"/>
      <c r="ODZ13" s="54"/>
      <c r="OEA13" s="54"/>
      <c r="OEB13" s="54"/>
      <c r="OEC13" s="55"/>
      <c r="OED13" s="56"/>
      <c r="OEE13" s="57"/>
      <c r="OEF13" s="57"/>
      <c r="OEG13" s="57"/>
      <c r="OEH13" s="57"/>
      <c r="OEI13" s="57"/>
      <c r="OEJ13" s="57"/>
      <c r="OEK13" s="57"/>
      <c r="OEL13" s="57"/>
      <c r="OEM13" s="57"/>
      <c r="OEN13" s="57"/>
      <c r="OEO13" s="57"/>
      <c r="OEP13" s="54"/>
      <c r="OEQ13" s="54"/>
      <c r="OER13" s="54"/>
      <c r="OES13" s="55"/>
      <c r="OET13" s="56"/>
      <c r="OEU13" s="57"/>
      <c r="OEV13" s="57"/>
      <c r="OEW13" s="57"/>
      <c r="OEX13" s="57"/>
      <c r="OEY13" s="57"/>
      <c r="OEZ13" s="57"/>
      <c r="OFA13" s="57"/>
      <c r="OFB13" s="57"/>
      <c r="OFC13" s="57"/>
      <c r="OFD13" s="57"/>
      <c r="OFE13" s="57"/>
      <c r="OFF13" s="54"/>
      <c r="OFG13" s="54"/>
      <c r="OFH13" s="54"/>
      <c r="OFI13" s="55"/>
      <c r="OFJ13" s="56"/>
      <c r="OFK13" s="57"/>
      <c r="OFL13" s="57"/>
      <c r="OFM13" s="57"/>
      <c r="OFN13" s="57"/>
      <c r="OFO13" s="57"/>
      <c r="OFP13" s="57"/>
      <c r="OFQ13" s="57"/>
      <c r="OFR13" s="57"/>
      <c r="OFS13" s="57"/>
      <c r="OFT13" s="57"/>
      <c r="OFU13" s="57"/>
      <c r="OFV13" s="54"/>
      <c r="OFW13" s="54"/>
      <c r="OFX13" s="54"/>
      <c r="OFY13" s="55"/>
      <c r="OFZ13" s="56"/>
      <c r="OGA13" s="57"/>
      <c r="OGB13" s="57"/>
      <c r="OGC13" s="57"/>
      <c r="OGD13" s="57"/>
      <c r="OGE13" s="57"/>
      <c r="OGF13" s="57"/>
      <c r="OGG13" s="57"/>
      <c r="OGH13" s="57"/>
      <c r="OGI13" s="57"/>
      <c r="OGJ13" s="57"/>
      <c r="OGK13" s="57"/>
      <c r="OGL13" s="54"/>
      <c r="OGM13" s="54"/>
      <c r="OGN13" s="54"/>
      <c r="OGO13" s="55"/>
      <c r="OGP13" s="56"/>
      <c r="OGQ13" s="57"/>
      <c r="OGR13" s="57"/>
      <c r="OGS13" s="57"/>
      <c r="OGT13" s="57"/>
      <c r="OGU13" s="57"/>
      <c r="OGV13" s="57"/>
      <c r="OGW13" s="57"/>
      <c r="OGX13" s="57"/>
      <c r="OGY13" s="57"/>
      <c r="OGZ13" s="57"/>
      <c r="OHA13" s="57"/>
      <c r="OHB13" s="54"/>
      <c r="OHC13" s="54"/>
      <c r="OHD13" s="54"/>
      <c r="OHE13" s="55"/>
      <c r="OHF13" s="56"/>
      <c r="OHG13" s="57"/>
      <c r="OHH13" s="57"/>
      <c r="OHI13" s="57"/>
      <c r="OHJ13" s="57"/>
      <c r="OHK13" s="57"/>
      <c r="OHL13" s="57"/>
      <c r="OHM13" s="57"/>
      <c r="OHN13" s="57"/>
      <c r="OHO13" s="57"/>
      <c r="OHP13" s="57"/>
      <c r="OHQ13" s="57"/>
      <c r="OHR13" s="54"/>
      <c r="OHS13" s="54"/>
      <c r="OHT13" s="54"/>
      <c r="OHU13" s="55"/>
      <c r="OHV13" s="56"/>
      <c r="OHW13" s="57"/>
      <c r="OHX13" s="57"/>
      <c r="OHY13" s="57"/>
      <c r="OHZ13" s="57"/>
      <c r="OIA13" s="57"/>
      <c r="OIB13" s="57"/>
      <c r="OIC13" s="57"/>
      <c r="OID13" s="57"/>
      <c r="OIE13" s="57"/>
      <c r="OIF13" s="57"/>
      <c r="OIG13" s="57"/>
      <c r="OIH13" s="54"/>
      <c r="OII13" s="54"/>
      <c r="OIJ13" s="54"/>
      <c r="OIK13" s="55"/>
      <c r="OIL13" s="56"/>
      <c r="OIM13" s="57"/>
      <c r="OIN13" s="57"/>
      <c r="OIO13" s="57"/>
      <c r="OIP13" s="57"/>
      <c r="OIQ13" s="57"/>
      <c r="OIR13" s="57"/>
      <c r="OIS13" s="57"/>
      <c r="OIT13" s="57"/>
      <c r="OIU13" s="57"/>
      <c r="OIV13" s="57"/>
      <c r="OIW13" s="57"/>
      <c r="OIX13" s="54"/>
      <c r="OIY13" s="54"/>
      <c r="OIZ13" s="54"/>
      <c r="OJA13" s="55"/>
      <c r="OJB13" s="56"/>
      <c r="OJC13" s="57"/>
      <c r="OJD13" s="57"/>
      <c r="OJE13" s="57"/>
      <c r="OJF13" s="57"/>
      <c r="OJG13" s="57"/>
      <c r="OJH13" s="57"/>
      <c r="OJI13" s="57"/>
      <c r="OJJ13" s="57"/>
      <c r="OJK13" s="57"/>
      <c r="OJL13" s="57"/>
      <c r="OJM13" s="57"/>
      <c r="OJN13" s="54"/>
      <c r="OJO13" s="54"/>
      <c r="OJP13" s="54"/>
      <c r="OJQ13" s="55"/>
      <c r="OJR13" s="56"/>
      <c r="OJS13" s="57"/>
      <c r="OJT13" s="57"/>
      <c r="OJU13" s="57"/>
      <c r="OJV13" s="57"/>
      <c r="OJW13" s="57"/>
      <c r="OJX13" s="57"/>
      <c r="OJY13" s="57"/>
      <c r="OJZ13" s="57"/>
      <c r="OKA13" s="57"/>
      <c r="OKB13" s="57"/>
      <c r="OKC13" s="57"/>
      <c r="OKD13" s="54"/>
      <c r="OKE13" s="54"/>
      <c r="OKF13" s="54"/>
      <c r="OKG13" s="55"/>
      <c r="OKH13" s="56"/>
      <c r="OKI13" s="57"/>
      <c r="OKJ13" s="57"/>
      <c r="OKK13" s="57"/>
      <c r="OKL13" s="57"/>
      <c r="OKM13" s="57"/>
      <c r="OKN13" s="57"/>
      <c r="OKO13" s="57"/>
      <c r="OKP13" s="57"/>
      <c r="OKQ13" s="57"/>
      <c r="OKR13" s="57"/>
      <c r="OKS13" s="57"/>
      <c r="OKT13" s="54"/>
      <c r="OKU13" s="54"/>
      <c r="OKV13" s="54"/>
      <c r="OKW13" s="55"/>
      <c r="OKX13" s="56"/>
      <c r="OKY13" s="57"/>
      <c r="OKZ13" s="57"/>
      <c r="OLA13" s="57"/>
      <c r="OLB13" s="57"/>
      <c r="OLC13" s="57"/>
      <c r="OLD13" s="57"/>
      <c r="OLE13" s="57"/>
      <c r="OLF13" s="57"/>
      <c r="OLG13" s="57"/>
      <c r="OLH13" s="57"/>
      <c r="OLI13" s="57"/>
      <c r="OLJ13" s="54"/>
      <c r="OLK13" s="54"/>
      <c r="OLL13" s="54"/>
      <c r="OLM13" s="55"/>
      <c r="OLN13" s="56"/>
      <c r="OLO13" s="57"/>
      <c r="OLP13" s="57"/>
      <c r="OLQ13" s="57"/>
      <c r="OLR13" s="57"/>
      <c r="OLS13" s="57"/>
      <c r="OLT13" s="57"/>
      <c r="OLU13" s="57"/>
      <c r="OLV13" s="57"/>
      <c r="OLW13" s="57"/>
      <c r="OLX13" s="57"/>
      <c r="OLY13" s="57"/>
      <c r="OLZ13" s="54"/>
      <c r="OMA13" s="54"/>
      <c r="OMB13" s="54"/>
      <c r="OMC13" s="55"/>
      <c r="OMD13" s="56"/>
      <c r="OME13" s="57"/>
      <c r="OMF13" s="57"/>
      <c r="OMG13" s="57"/>
      <c r="OMH13" s="57"/>
      <c r="OMI13" s="57"/>
      <c r="OMJ13" s="57"/>
      <c r="OMK13" s="57"/>
      <c r="OML13" s="57"/>
      <c r="OMM13" s="57"/>
      <c r="OMN13" s="57"/>
      <c r="OMO13" s="57"/>
      <c r="OMP13" s="54"/>
      <c r="OMQ13" s="54"/>
      <c r="OMR13" s="54"/>
      <c r="OMS13" s="55"/>
      <c r="OMT13" s="56"/>
      <c r="OMU13" s="57"/>
      <c r="OMV13" s="57"/>
      <c r="OMW13" s="57"/>
      <c r="OMX13" s="57"/>
      <c r="OMY13" s="57"/>
      <c r="OMZ13" s="57"/>
      <c r="ONA13" s="57"/>
      <c r="ONB13" s="57"/>
      <c r="ONC13" s="57"/>
      <c r="OND13" s="57"/>
      <c r="ONE13" s="57"/>
      <c r="ONF13" s="54"/>
      <c r="ONG13" s="54"/>
      <c r="ONH13" s="54"/>
      <c r="ONI13" s="55"/>
      <c r="ONJ13" s="56"/>
      <c r="ONK13" s="57"/>
      <c r="ONL13" s="57"/>
      <c r="ONM13" s="57"/>
      <c r="ONN13" s="57"/>
      <c r="ONO13" s="57"/>
      <c r="ONP13" s="57"/>
      <c r="ONQ13" s="57"/>
      <c r="ONR13" s="57"/>
      <c r="ONS13" s="57"/>
      <c r="ONT13" s="57"/>
      <c r="ONU13" s="57"/>
      <c r="ONV13" s="54"/>
      <c r="ONW13" s="54"/>
      <c r="ONX13" s="54"/>
      <c r="ONY13" s="55"/>
      <c r="ONZ13" s="56"/>
      <c r="OOA13" s="57"/>
      <c r="OOB13" s="57"/>
      <c r="OOC13" s="57"/>
      <c r="OOD13" s="57"/>
      <c r="OOE13" s="57"/>
      <c r="OOF13" s="57"/>
      <c r="OOG13" s="57"/>
      <c r="OOH13" s="57"/>
      <c r="OOI13" s="57"/>
      <c r="OOJ13" s="57"/>
      <c r="OOK13" s="57"/>
      <c r="OOL13" s="54"/>
      <c r="OOM13" s="54"/>
      <c r="OON13" s="54"/>
      <c r="OOO13" s="55"/>
      <c r="OOP13" s="56"/>
      <c r="OOQ13" s="57"/>
      <c r="OOR13" s="57"/>
      <c r="OOS13" s="57"/>
      <c r="OOT13" s="57"/>
      <c r="OOU13" s="57"/>
      <c r="OOV13" s="57"/>
      <c r="OOW13" s="57"/>
      <c r="OOX13" s="57"/>
      <c r="OOY13" s="57"/>
      <c r="OOZ13" s="57"/>
      <c r="OPA13" s="57"/>
      <c r="OPB13" s="54"/>
      <c r="OPC13" s="54"/>
      <c r="OPD13" s="54"/>
      <c r="OPE13" s="55"/>
      <c r="OPF13" s="56"/>
      <c r="OPG13" s="57"/>
      <c r="OPH13" s="57"/>
      <c r="OPI13" s="57"/>
      <c r="OPJ13" s="57"/>
      <c r="OPK13" s="57"/>
      <c r="OPL13" s="57"/>
      <c r="OPM13" s="57"/>
      <c r="OPN13" s="57"/>
      <c r="OPO13" s="57"/>
      <c r="OPP13" s="57"/>
      <c r="OPQ13" s="57"/>
      <c r="OPR13" s="54"/>
      <c r="OPS13" s="54"/>
      <c r="OPT13" s="54"/>
      <c r="OPU13" s="55"/>
      <c r="OPV13" s="56"/>
      <c r="OPW13" s="57"/>
      <c r="OPX13" s="57"/>
      <c r="OPY13" s="57"/>
      <c r="OPZ13" s="57"/>
      <c r="OQA13" s="57"/>
      <c r="OQB13" s="57"/>
      <c r="OQC13" s="57"/>
      <c r="OQD13" s="57"/>
      <c r="OQE13" s="57"/>
      <c r="OQF13" s="57"/>
      <c r="OQG13" s="57"/>
      <c r="OQH13" s="54"/>
      <c r="OQI13" s="54"/>
      <c r="OQJ13" s="54"/>
      <c r="OQK13" s="55"/>
      <c r="OQL13" s="56"/>
      <c r="OQM13" s="57"/>
      <c r="OQN13" s="57"/>
      <c r="OQO13" s="57"/>
      <c r="OQP13" s="57"/>
      <c r="OQQ13" s="57"/>
      <c r="OQR13" s="57"/>
      <c r="OQS13" s="57"/>
      <c r="OQT13" s="57"/>
      <c r="OQU13" s="57"/>
      <c r="OQV13" s="57"/>
      <c r="OQW13" s="57"/>
      <c r="OQX13" s="54"/>
      <c r="OQY13" s="54"/>
      <c r="OQZ13" s="54"/>
      <c r="ORA13" s="55"/>
      <c r="ORB13" s="56"/>
      <c r="ORC13" s="57"/>
      <c r="ORD13" s="57"/>
      <c r="ORE13" s="57"/>
      <c r="ORF13" s="57"/>
      <c r="ORG13" s="57"/>
      <c r="ORH13" s="57"/>
      <c r="ORI13" s="57"/>
      <c r="ORJ13" s="57"/>
      <c r="ORK13" s="57"/>
      <c r="ORL13" s="57"/>
      <c r="ORM13" s="57"/>
      <c r="ORN13" s="54"/>
      <c r="ORO13" s="54"/>
      <c r="ORP13" s="54"/>
      <c r="ORQ13" s="55"/>
      <c r="ORR13" s="56"/>
      <c r="ORS13" s="57"/>
      <c r="ORT13" s="57"/>
      <c r="ORU13" s="57"/>
      <c r="ORV13" s="57"/>
      <c r="ORW13" s="57"/>
      <c r="ORX13" s="57"/>
      <c r="ORY13" s="57"/>
      <c r="ORZ13" s="57"/>
      <c r="OSA13" s="57"/>
      <c r="OSB13" s="57"/>
      <c r="OSC13" s="57"/>
      <c r="OSD13" s="54"/>
      <c r="OSE13" s="54"/>
      <c r="OSF13" s="54"/>
      <c r="OSG13" s="55"/>
      <c r="OSH13" s="56"/>
      <c r="OSI13" s="57"/>
      <c r="OSJ13" s="57"/>
      <c r="OSK13" s="57"/>
      <c r="OSL13" s="57"/>
      <c r="OSM13" s="57"/>
      <c r="OSN13" s="57"/>
      <c r="OSO13" s="57"/>
      <c r="OSP13" s="57"/>
      <c r="OSQ13" s="57"/>
      <c r="OSR13" s="57"/>
      <c r="OSS13" s="57"/>
      <c r="OST13" s="54"/>
      <c r="OSU13" s="54"/>
      <c r="OSV13" s="54"/>
      <c r="OSW13" s="55"/>
      <c r="OSX13" s="56"/>
      <c r="OSY13" s="57"/>
      <c r="OSZ13" s="57"/>
      <c r="OTA13" s="57"/>
      <c r="OTB13" s="57"/>
      <c r="OTC13" s="57"/>
      <c r="OTD13" s="57"/>
      <c r="OTE13" s="57"/>
      <c r="OTF13" s="57"/>
      <c r="OTG13" s="57"/>
      <c r="OTH13" s="57"/>
      <c r="OTI13" s="57"/>
      <c r="OTJ13" s="54"/>
      <c r="OTK13" s="54"/>
      <c r="OTL13" s="54"/>
      <c r="OTM13" s="55"/>
      <c r="OTN13" s="56"/>
      <c r="OTO13" s="57"/>
      <c r="OTP13" s="57"/>
      <c r="OTQ13" s="57"/>
      <c r="OTR13" s="57"/>
      <c r="OTS13" s="57"/>
      <c r="OTT13" s="57"/>
      <c r="OTU13" s="57"/>
      <c r="OTV13" s="57"/>
      <c r="OTW13" s="57"/>
      <c r="OTX13" s="57"/>
      <c r="OTY13" s="57"/>
      <c r="OTZ13" s="54"/>
      <c r="OUA13" s="54"/>
      <c r="OUB13" s="54"/>
      <c r="OUC13" s="55"/>
      <c r="OUD13" s="56"/>
      <c r="OUE13" s="57"/>
      <c r="OUF13" s="57"/>
      <c r="OUG13" s="57"/>
      <c r="OUH13" s="57"/>
      <c r="OUI13" s="57"/>
      <c r="OUJ13" s="57"/>
      <c r="OUK13" s="57"/>
      <c r="OUL13" s="57"/>
      <c r="OUM13" s="57"/>
      <c r="OUN13" s="57"/>
      <c r="OUO13" s="57"/>
      <c r="OUP13" s="54"/>
      <c r="OUQ13" s="54"/>
      <c r="OUR13" s="54"/>
      <c r="OUS13" s="55"/>
      <c r="OUT13" s="56"/>
      <c r="OUU13" s="57"/>
      <c r="OUV13" s="57"/>
      <c r="OUW13" s="57"/>
      <c r="OUX13" s="57"/>
      <c r="OUY13" s="57"/>
      <c r="OUZ13" s="57"/>
      <c r="OVA13" s="57"/>
      <c r="OVB13" s="57"/>
      <c r="OVC13" s="57"/>
      <c r="OVD13" s="57"/>
      <c r="OVE13" s="57"/>
      <c r="OVF13" s="54"/>
      <c r="OVG13" s="54"/>
      <c r="OVH13" s="54"/>
      <c r="OVI13" s="55"/>
      <c r="OVJ13" s="56"/>
      <c r="OVK13" s="57"/>
      <c r="OVL13" s="57"/>
      <c r="OVM13" s="57"/>
      <c r="OVN13" s="57"/>
      <c r="OVO13" s="57"/>
      <c r="OVP13" s="57"/>
      <c r="OVQ13" s="57"/>
      <c r="OVR13" s="57"/>
      <c r="OVS13" s="57"/>
      <c r="OVT13" s="57"/>
      <c r="OVU13" s="57"/>
      <c r="OVV13" s="54"/>
      <c r="OVW13" s="54"/>
      <c r="OVX13" s="54"/>
      <c r="OVY13" s="55"/>
      <c r="OVZ13" s="56"/>
      <c r="OWA13" s="57"/>
      <c r="OWB13" s="57"/>
      <c r="OWC13" s="57"/>
      <c r="OWD13" s="57"/>
      <c r="OWE13" s="57"/>
      <c r="OWF13" s="57"/>
      <c r="OWG13" s="57"/>
      <c r="OWH13" s="57"/>
      <c r="OWI13" s="57"/>
      <c r="OWJ13" s="57"/>
      <c r="OWK13" s="57"/>
      <c r="OWL13" s="54"/>
      <c r="OWM13" s="54"/>
      <c r="OWN13" s="54"/>
      <c r="OWO13" s="55"/>
      <c r="OWP13" s="56"/>
      <c r="OWQ13" s="57"/>
      <c r="OWR13" s="57"/>
      <c r="OWS13" s="57"/>
      <c r="OWT13" s="57"/>
      <c r="OWU13" s="57"/>
      <c r="OWV13" s="57"/>
      <c r="OWW13" s="57"/>
      <c r="OWX13" s="57"/>
      <c r="OWY13" s="57"/>
      <c r="OWZ13" s="57"/>
      <c r="OXA13" s="57"/>
      <c r="OXB13" s="54"/>
      <c r="OXC13" s="54"/>
      <c r="OXD13" s="54"/>
      <c r="OXE13" s="55"/>
      <c r="OXF13" s="56"/>
      <c r="OXG13" s="57"/>
      <c r="OXH13" s="57"/>
      <c r="OXI13" s="57"/>
      <c r="OXJ13" s="57"/>
      <c r="OXK13" s="57"/>
      <c r="OXL13" s="57"/>
      <c r="OXM13" s="57"/>
      <c r="OXN13" s="57"/>
      <c r="OXO13" s="57"/>
      <c r="OXP13" s="57"/>
      <c r="OXQ13" s="57"/>
      <c r="OXR13" s="54"/>
      <c r="OXS13" s="54"/>
      <c r="OXT13" s="54"/>
      <c r="OXU13" s="55"/>
      <c r="OXV13" s="56"/>
      <c r="OXW13" s="57"/>
      <c r="OXX13" s="57"/>
      <c r="OXY13" s="57"/>
      <c r="OXZ13" s="57"/>
      <c r="OYA13" s="57"/>
      <c r="OYB13" s="57"/>
      <c r="OYC13" s="57"/>
      <c r="OYD13" s="57"/>
      <c r="OYE13" s="57"/>
      <c r="OYF13" s="57"/>
      <c r="OYG13" s="57"/>
      <c r="OYH13" s="54"/>
      <c r="OYI13" s="54"/>
      <c r="OYJ13" s="54"/>
      <c r="OYK13" s="55"/>
      <c r="OYL13" s="56"/>
      <c r="OYM13" s="57"/>
      <c r="OYN13" s="57"/>
      <c r="OYO13" s="57"/>
      <c r="OYP13" s="57"/>
      <c r="OYQ13" s="57"/>
      <c r="OYR13" s="57"/>
      <c r="OYS13" s="57"/>
      <c r="OYT13" s="57"/>
      <c r="OYU13" s="57"/>
      <c r="OYV13" s="57"/>
      <c r="OYW13" s="57"/>
      <c r="OYX13" s="54"/>
      <c r="OYY13" s="54"/>
      <c r="OYZ13" s="54"/>
      <c r="OZA13" s="55"/>
      <c r="OZB13" s="56"/>
      <c r="OZC13" s="57"/>
      <c r="OZD13" s="57"/>
      <c r="OZE13" s="57"/>
      <c r="OZF13" s="57"/>
      <c r="OZG13" s="57"/>
      <c r="OZH13" s="57"/>
      <c r="OZI13" s="57"/>
      <c r="OZJ13" s="57"/>
      <c r="OZK13" s="57"/>
      <c r="OZL13" s="57"/>
      <c r="OZM13" s="57"/>
      <c r="OZN13" s="54"/>
      <c r="OZO13" s="54"/>
      <c r="OZP13" s="54"/>
      <c r="OZQ13" s="55"/>
      <c r="OZR13" s="56"/>
      <c r="OZS13" s="57"/>
      <c r="OZT13" s="57"/>
      <c r="OZU13" s="57"/>
      <c r="OZV13" s="57"/>
      <c r="OZW13" s="57"/>
      <c r="OZX13" s="57"/>
      <c r="OZY13" s="57"/>
      <c r="OZZ13" s="57"/>
      <c r="PAA13" s="57"/>
      <c r="PAB13" s="57"/>
      <c r="PAC13" s="57"/>
      <c r="PAD13" s="54"/>
      <c r="PAE13" s="54"/>
      <c r="PAF13" s="54"/>
      <c r="PAG13" s="55"/>
      <c r="PAH13" s="56"/>
      <c r="PAI13" s="57"/>
      <c r="PAJ13" s="57"/>
      <c r="PAK13" s="57"/>
      <c r="PAL13" s="57"/>
      <c r="PAM13" s="57"/>
      <c r="PAN13" s="57"/>
      <c r="PAO13" s="57"/>
      <c r="PAP13" s="57"/>
      <c r="PAQ13" s="57"/>
      <c r="PAR13" s="57"/>
      <c r="PAS13" s="57"/>
      <c r="PAT13" s="54"/>
      <c r="PAU13" s="54"/>
      <c r="PAV13" s="54"/>
      <c r="PAW13" s="55"/>
      <c r="PAX13" s="56"/>
      <c r="PAY13" s="57"/>
      <c r="PAZ13" s="57"/>
      <c r="PBA13" s="57"/>
      <c r="PBB13" s="57"/>
      <c r="PBC13" s="57"/>
      <c r="PBD13" s="57"/>
      <c r="PBE13" s="57"/>
      <c r="PBF13" s="57"/>
      <c r="PBG13" s="57"/>
      <c r="PBH13" s="57"/>
      <c r="PBI13" s="57"/>
      <c r="PBJ13" s="54"/>
      <c r="PBK13" s="54"/>
      <c r="PBL13" s="54"/>
      <c r="PBM13" s="55"/>
      <c r="PBN13" s="56"/>
      <c r="PBO13" s="57"/>
      <c r="PBP13" s="57"/>
      <c r="PBQ13" s="57"/>
      <c r="PBR13" s="57"/>
      <c r="PBS13" s="57"/>
      <c r="PBT13" s="57"/>
      <c r="PBU13" s="57"/>
      <c r="PBV13" s="57"/>
      <c r="PBW13" s="57"/>
      <c r="PBX13" s="57"/>
      <c r="PBY13" s="57"/>
      <c r="PBZ13" s="54"/>
      <c r="PCA13" s="54"/>
      <c r="PCB13" s="54"/>
      <c r="PCC13" s="55"/>
      <c r="PCD13" s="56"/>
      <c r="PCE13" s="57"/>
      <c r="PCF13" s="57"/>
      <c r="PCG13" s="57"/>
      <c r="PCH13" s="57"/>
      <c r="PCI13" s="57"/>
      <c r="PCJ13" s="57"/>
      <c r="PCK13" s="57"/>
      <c r="PCL13" s="57"/>
      <c r="PCM13" s="57"/>
      <c r="PCN13" s="57"/>
      <c r="PCO13" s="57"/>
      <c r="PCP13" s="54"/>
      <c r="PCQ13" s="54"/>
      <c r="PCR13" s="54"/>
      <c r="PCS13" s="55"/>
      <c r="PCT13" s="56"/>
      <c r="PCU13" s="57"/>
      <c r="PCV13" s="57"/>
      <c r="PCW13" s="57"/>
      <c r="PCX13" s="57"/>
      <c r="PCY13" s="57"/>
      <c r="PCZ13" s="57"/>
      <c r="PDA13" s="57"/>
      <c r="PDB13" s="57"/>
      <c r="PDC13" s="57"/>
      <c r="PDD13" s="57"/>
      <c r="PDE13" s="57"/>
      <c r="PDF13" s="54"/>
      <c r="PDG13" s="54"/>
      <c r="PDH13" s="54"/>
      <c r="PDI13" s="55"/>
      <c r="PDJ13" s="56"/>
      <c r="PDK13" s="57"/>
      <c r="PDL13" s="57"/>
      <c r="PDM13" s="57"/>
      <c r="PDN13" s="57"/>
      <c r="PDO13" s="57"/>
      <c r="PDP13" s="57"/>
      <c r="PDQ13" s="57"/>
      <c r="PDR13" s="57"/>
      <c r="PDS13" s="57"/>
      <c r="PDT13" s="57"/>
      <c r="PDU13" s="57"/>
      <c r="PDV13" s="54"/>
      <c r="PDW13" s="54"/>
      <c r="PDX13" s="54"/>
      <c r="PDY13" s="55"/>
      <c r="PDZ13" s="56"/>
      <c r="PEA13" s="57"/>
      <c r="PEB13" s="57"/>
      <c r="PEC13" s="57"/>
      <c r="PED13" s="57"/>
      <c r="PEE13" s="57"/>
      <c r="PEF13" s="57"/>
      <c r="PEG13" s="57"/>
      <c r="PEH13" s="57"/>
      <c r="PEI13" s="57"/>
      <c r="PEJ13" s="57"/>
      <c r="PEK13" s="57"/>
      <c r="PEL13" s="54"/>
      <c r="PEM13" s="54"/>
      <c r="PEN13" s="54"/>
      <c r="PEO13" s="55"/>
      <c r="PEP13" s="56"/>
      <c r="PEQ13" s="57"/>
      <c r="PER13" s="57"/>
      <c r="PES13" s="57"/>
      <c r="PET13" s="57"/>
      <c r="PEU13" s="57"/>
      <c r="PEV13" s="57"/>
      <c r="PEW13" s="57"/>
      <c r="PEX13" s="57"/>
      <c r="PEY13" s="57"/>
      <c r="PEZ13" s="57"/>
      <c r="PFA13" s="57"/>
      <c r="PFB13" s="54"/>
      <c r="PFC13" s="54"/>
      <c r="PFD13" s="54"/>
      <c r="PFE13" s="55"/>
      <c r="PFF13" s="56"/>
      <c r="PFG13" s="57"/>
      <c r="PFH13" s="57"/>
      <c r="PFI13" s="57"/>
      <c r="PFJ13" s="57"/>
      <c r="PFK13" s="57"/>
      <c r="PFL13" s="57"/>
      <c r="PFM13" s="57"/>
      <c r="PFN13" s="57"/>
      <c r="PFO13" s="57"/>
      <c r="PFP13" s="57"/>
      <c r="PFQ13" s="57"/>
      <c r="PFR13" s="54"/>
      <c r="PFS13" s="54"/>
      <c r="PFT13" s="54"/>
      <c r="PFU13" s="55"/>
      <c r="PFV13" s="56"/>
      <c r="PFW13" s="57"/>
      <c r="PFX13" s="57"/>
      <c r="PFY13" s="57"/>
      <c r="PFZ13" s="57"/>
      <c r="PGA13" s="57"/>
      <c r="PGB13" s="57"/>
      <c r="PGC13" s="57"/>
      <c r="PGD13" s="57"/>
      <c r="PGE13" s="57"/>
      <c r="PGF13" s="57"/>
      <c r="PGG13" s="57"/>
      <c r="PGH13" s="54"/>
      <c r="PGI13" s="54"/>
      <c r="PGJ13" s="54"/>
      <c r="PGK13" s="55"/>
      <c r="PGL13" s="56"/>
      <c r="PGM13" s="57"/>
      <c r="PGN13" s="57"/>
      <c r="PGO13" s="57"/>
      <c r="PGP13" s="57"/>
      <c r="PGQ13" s="57"/>
      <c r="PGR13" s="57"/>
      <c r="PGS13" s="57"/>
      <c r="PGT13" s="57"/>
      <c r="PGU13" s="57"/>
      <c r="PGV13" s="57"/>
      <c r="PGW13" s="57"/>
      <c r="PGX13" s="54"/>
      <c r="PGY13" s="54"/>
      <c r="PGZ13" s="54"/>
      <c r="PHA13" s="55"/>
      <c r="PHB13" s="56"/>
      <c r="PHC13" s="57"/>
      <c r="PHD13" s="57"/>
      <c r="PHE13" s="57"/>
      <c r="PHF13" s="57"/>
      <c r="PHG13" s="57"/>
      <c r="PHH13" s="57"/>
      <c r="PHI13" s="57"/>
      <c r="PHJ13" s="57"/>
      <c r="PHK13" s="57"/>
      <c r="PHL13" s="57"/>
      <c r="PHM13" s="57"/>
      <c r="PHN13" s="54"/>
      <c r="PHO13" s="54"/>
      <c r="PHP13" s="54"/>
      <c r="PHQ13" s="55"/>
      <c r="PHR13" s="56"/>
      <c r="PHS13" s="57"/>
      <c r="PHT13" s="57"/>
      <c r="PHU13" s="57"/>
      <c r="PHV13" s="57"/>
      <c r="PHW13" s="57"/>
      <c r="PHX13" s="57"/>
      <c r="PHY13" s="57"/>
      <c r="PHZ13" s="57"/>
      <c r="PIA13" s="57"/>
      <c r="PIB13" s="57"/>
      <c r="PIC13" s="57"/>
      <c r="PID13" s="54"/>
      <c r="PIE13" s="54"/>
      <c r="PIF13" s="54"/>
      <c r="PIG13" s="55"/>
      <c r="PIH13" s="56"/>
      <c r="PII13" s="57"/>
      <c r="PIJ13" s="57"/>
      <c r="PIK13" s="57"/>
      <c r="PIL13" s="57"/>
      <c r="PIM13" s="57"/>
      <c r="PIN13" s="57"/>
      <c r="PIO13" s="57"/>
      <c r="PIP13" s="57"/>
      <c r="PIQ13" s="57"/>
      <c r="PIR13" s="57"/>
      <c r="PIS13" s="57"/>
      <c r="PIT13" s="54"/>
      <c r="PIU13" s="54"/>
      <c r="PIV13" s="54"/>
      <c r="PIW13" s="55"/>
      <c r="PIX13" s="56"/>
      <c r="PIY13" s="57"/>
      <c r="PIZ13" s="57"/>
      <c r="PJA13" s="57"/>
      <c r="PJB13" s="57"/>
      <c r="PJC13" s="57"/>
      <c r="PJD13" s="57"/>
      <c r="PJE13" s="57"/>
      <c r="PJF13" s="57"/>
      <c r="PJG13" s="57"/>
      <c r="PJH13" s="57"/>
      <c r="PJI13" s="57"/>
      <c r="PJJ13" s="54"/>
      <c r="PJK13" s="54"/>
      <c r="PJL13" s="54"/>
      <c r="PJM13" s="55"/>
      <c r="PJN13" s="56"/>
      <c r="PJO13" s="57"/>
      <c r="PJP13" s="57"/>
      <c r="PJQ13" s="57"/>
      <c r="PJR13" s="57"/>
      <c r="PJS13" s="57"/>
      <c r="PJT13" s="57"/>
      <c r="PJU13" s="57"/>
      <c r="PJV13" s="57"/>
      <c r="PJW13" s="57"/>
      <c r="PJX13" s="57"/>
      <c r="PJY13" s="57"/>
      <c r="PJZ13" s="54"/>
      <c r="PKA13" s="54"/>
      <c r="PKB13" s="54"/>
      <c r="PKC13" s="55"/>
      <c r="PKD13" s="56"/>
      <c r="PKE13" s="57"/>
      <c r="PKF13" s="57"/>
      <c r="PKG13" s="57"/>
      <c r="PKH13" s="57"/>
      <c r="PKI13" s="57"/>
      <c r="PKJ13" s="57"/>
      <c r="PKK13" s="57"/>
      <c r="PKL13" s="57"/>
      <c r="PKM13" s="57"/>
      <c r="PKN13" s="57"/>
      <c r="PKO13" s="57"/>
      <c r="PKP13" s="54"/>
      <c r="PKQ13" s="54"/>
      <c r="PKR13" s="54"/>
      <c r="PKS13" s="55"/>
      <c r="PKT13" s="56"/>
      <c r="PKU13" s="57"/>
      <c r="PKV13" s="57"/>
      <c r="PKW13" s="57"/>
      <c r="PKX13" s="57"/>
      <c r="PKY13" s="57"/>
      <c r="PKZ13" s="57"/>
      <c r="PLA13" s="57"/>
      <c r="PLB13" s="57"/>
      <c r="PLC13" s="57"/>
      <c r="PLD13" s="57"/>
      <c r="PLE13" s="57"/>
      <c r="PLF13" s="54"/>
      <c r="PLG13" s="54"/>
      <c r="PLH13" s="54"/>
      <c r="PLI13" s="55"/>
      <c r="PLJ13" s="56"/>
      <c r="PLK13" s="57"/>
      <c r="PLL13" s="57"/>
      <c r="PLM13" s="57"/>
      <c r="PLN13" s="57"/>
      <c r="PLO13" s="57"/>
      <c r="PLP13" s="57"/>
      <c r="PLQ13" s="57"/>
      <c r="PLR13" s="57"/>
      <c r="PLS13" s="57"/>
      <c r="PLT13" s="57"/>
      <c r="PLU13" s="57"/>
      <c r="PLV13" s="54"/>
      <c r="PLW13" s="54"/>
      <c r="PLX13" s="54"/>
      <c r="PLY13" s="55"/>
      <c r="PLZ13" s="56"/>
      <c r="PMA13" s="57"/>
      <c r="PMB13" s="57"/>
      <c r="PMC13" s="57"/>
      <c r="PMD13" s="57"/>
      <c r="PME13" s="57"/>
      <c r="PMF13" s="57"/>
      <c r="PMG13" s="57"/>
      <c r="PMH13" s="57"/>
      <c r="PMI13" s="57"/>
      <c r="PMJ13" s="57"/>
      <c r="PMK13" s="57"/>
      <c r="PML13" s="54"/>
      <c r="PMM13" s="54"/>
      <c r="PMN13" s="54"/>
      <c r="PMO13" s="55"/>
      <c r="PMP13" s="56"/>
      <c r="PMQ13" s="57"/>
      <c r="PMR13" s="57"/>
      <c r="PMS13" s="57"/>
      <c r="PMT13" s="57"/>
      <c r="PMU13" s="57"/>
      <c r="PMV13" s="57"/>
      <c r="PMW13" s="57"/>
      <c r="PMX13" s="57"/>
      <c r="PMY13" s="57"/>
      <c r="PMZ13" s="57"/>
      <c r="PNA13" s="57"/>
      <c r="PNB13" s="54"/>
      <c r="PNC13" s="54"/>
      <c r="PND13" s="54"/>
      <c r="PNE13" s="55"/>
      <c r="PNF13" s="56"/>
      <c r="PNG13" s="57"/>
      <c r="PNH13" s="57"/>
      <c r="PNI13" s="57"/>
      <c r="PNJ13" s="57"/>
      <c r="PNK13" s="57"/>
      <c r="PNL13" s="57"/>
      <c r="PNM13" s="57"/>
      <c r="PNN13" s="57"/>
      <c r="PNO13" s="57"/>
      <c r="PNP13" s="57"/>
      <c r="PNQ13" s="57"/>
      <c r="PNR13" s="54"/>
      <c r="PNS13" s="54"/>
      <c r="PNT13" s="54"/>
      <c r="PNU13" s="55"/>
      <c r="PNV13" s="56"/>
      <c r="PNW13" s="57"/>
      <c r="PNX13" s="57"/>
      <c r="PNY13" s="57"/>
      <c r="PNZ13" s="57"/>
      <c r="POA13" s="57"/>
      <c r="POB13" s="57"/>
      <c r="POC13" s="57"/>
      <c r="POD13" s="57"/>
      <c r="POE13" s="57"/>
      <c r="POF13" s="57"/>
      <c r="POG13" s="57"/>
      <c r="POH13" s="54"/>
      <c r="POI13" s="54"/>
      <c r="POJ13" s="54"/>
      <c r="POK13" s="55"/>
      <c r="POL13" s="56"/>
      <c r="POM13" s="57"/>
      <c r="PON13" s="57"/>
      <c r="POO13" s="57"/>
      <c r="POP13" s="57"/>
      <c r="POQ13" s="57"/>
      <c r="POR13" s="57"/>
      <c r="POS13" s="57"/>
      <c r="POT13" s="57"/>
      <c r="POU13" s="57"/>
      <c r="POV13" s="57"/>
      <c r="POW13" s="57"/>
      <c r="POX13" s="54"/>
      <c r="POY13" s="54"/>
      <c r="POZ13" s="54"/>
      <c r="PPA13" s="55"/>
      <c r="PPB13" s="56"/>
      <c r="PPC13" s="57"/>
      <c r="PPD13" s="57"/>
      <c r="PPE13" s="57"/>
      <c r="PPF13" s="57"/>
      <c r="PPG13" s="57"/>
      <c r="PPH13" s="57"/>
      <c r="PPI13" s="57"/>
      <c r="PPJ13" s="57"/>
      <c r="PPK13" s="57"/>
      <c r="PPL13" s="57"/>
      <c r="PPM13" s="57"/>
      <c r="PPN13" s="54"/>
      <c r="PPO13" s="54"/>
      <c r="PPP13" s="54"/>
      <c r="PPQ13" s="55"/>
      <c r="PPR13" s="56"/>
      <c r="PPS13" s="57"/>
      <c r="PPT13" s="57"/>
      <c r="PPU13" s="57"/>
      <c r="PPV13" s="57"/>
      <c r="PPW13" s="57"/>
      <c r="PPX13" s="57"/>
      <c r="PPY13" s="57"/>
      <c r="PPZ13" s="57"/>
      <c r="PQA13" s="57"/>
      <c r="PQB13" s="57"/>
      <c r="PQC13" s="57"/>
      <c r="PQD13" s="54"/>
      <c r="PQE13" s="54"/>
      <c r="PQF13" s="54"/>
      <c r="PQG13" s="55"/>
      <c r="PQH13" s="56"/>
      <c r="PQI13" s="57"/>
      <c r="PQJ13" s="57"/>
      <c r="PQK13" s="57"/>
      <c r="PQL13" s="57"/>
      <c r="PQM13" s="57"/>
      <c r="PQN13" s="57"/>
      <c r="PQO13" s="57"/>
      <c r="PQP13" s="57"/>
      <c r="PQQ13" s="57"/>
      <c r="PQR13" s="57"/>
      <c r="PQS13" s="57"/>
      <c r="PQT13" s="54"/>
      <c r="PQU13" s="54"/>
      <c r="PQV13" s="54"/>
      <c r="PQW13" s="55"/>
      <c r="PQX13" s="56"/>
      <c r="PQY13" s="57"/>
      <c r="PQZ13" s="57"/>
      <c r="PRA13" s="57"/>
      <c r="PRB13" s="57"/>
      <c r="PRC13" s="57"/>
      <c r="PRD13" s="57"/>
      <c r="PRE13" s="57"/>
      <c r="PRF13" s="57"/>
      <c r="PRG13" s="57"/>
      <c r="PRH13" s="57"/>
      <c r="PRI13" s="57"/>
      <c r="PRJ13" s="54"/>
      <c r="PRK13" s="54"/>
      <c r="PRL13" s="54"/>
      <c r="PRM13" s="55"/>
      <c r="PRN13" s="56"/>
      <c r="PRO13" s="57"/>
      <c r="PRP13" s="57"/>
      <c r="PRQ13" s="57"/>
      <c r="PRR13" s="57"/>
      <c r="PRS13" s="57"/>
      <c r="PRT13" s="57"/>
      <c r="PRU13" s="57"/>
      <c r="PRV13" s="57"/>
      <c r="PRW13" s="57"/>
      <c r="PRX13" s="57"/>
      <c r="PRY13" s="57"/>
      <c r="PRZ13" s="54"/>
      <c r="PSA13" s="54"/>
      <c r="PSB13" s="54"/>
      <c r="PSC13" s="55"/>
      <c r="PSD13" s="56"/>
      <c r="PSE13" s="57"/>
      <c r="PSF13" s="57"/>
      <c r="PSG13" s="57"/>
      <c r="PSH13" s="57"/>
      <c r="PSI13" s="57"/>
      <c r="PSJ13" s="57"/>
      <c r="PSK13" s="57"/>
      <c r="PSL13" s="57"/>
      <c r="PSM13" s="57"/>
      <c r="PSN13" s="57"/>
      <c r="PSO13" s="57"/>
      <c r="PSP13" s="54"/>
      <c r="PSQ13" s="54"/>
      <c r="PSR13" s="54"/>
      <c r="PSS13" s="55"/>
      <c r="PST13" s="56"/>
      <c r="PSU13" s="57"/>
      <c r="PSV13" s="57"/>
      <c r="PSW13" s="57"/>
      <c r="PSX13" s="57"/>
      <c r="PSY13" s="57"/>
      <c r="PSZ13" s="57"/>
      <c r="PTA13" s="57"/>
      <c r="PTB13" s="57"/>
      <c r="PTC13" s="57"/>
      <c r="PTD13" s="57"/>
      <c r="PTE13" s="57"/>
      <c r="PTF13" s="54"/>
      <c r="PTG13" s="54"/>
      <c r="PTH13" s="54"/>
      <c r="PTI13" s="55"/>
      <c r="PTJ13" s="56"/>
      <c r="PTK13" s="57"/>
      <c r="PTL13" s="57"/>
      <c r="PTM13" s="57"/>
      <c r="PTN13" s="57"/>
      <c r="PTO13" s="57"/>
      <c r="PTP13" s="57"/>
      <c r="PTQ13" s="57"/>
      <c r="PTR13" s="57"/>
      <c r="PTS13" s="57"/>
      <c r="PTT13" s="57"/>
      <c r="PTU13" s="57"/>
      <c r="PTV13" s="54"/>
      <c r="PTW13" s="54"/>
      <c r="PTX13" s="54"/>
      <c r="PTY13" s="55"/>
      <c r="PTZ13" s="56"/>
      <c r="PUA13" s="57"/>
      <c r="PUB13" s="57"/>
      <c r="PUC13" s="57"/>
      <c r="PUD13" s="57"/>
      <c r="PUE13" s="57"/>
      <c r="PUF13" s="57"/>
      <c r="PUG13" s="57"/>
      <c r="PUH13" s="57"/>
      <c r="PUI13" s="57"/>
      <c r="PUJ13" s="57"/>
      <c r="PUK13" s="57"/>
      <c r="PUL13" s="54"/>
      <c r="PUM13" s="54"/>
      <c r="PUN13" s="54"/>
      <c r="PUO13" s="55"/>
      <c r="PUP13" s="56"/>
      <c r="PUQ13" s="57"/>
      <c r="PUR13" s="57"/>
      <c r="PUS13" s="57"/>
      <c r="PUT13" s="57"/>
      <c r="PUU13" s="57"/>
      <c r="PUV13" s="57"/>
      <c r="PUW13" s="57"/>
      <c r="PUX13" s="57"/>
      <c r="PUY13" s="57"/>
      <c r="PUZ13" s="57"/>
      <c r="PVA13" s="57"/>
      <c r="PVB13" s="54"/>
      <c r="PVC13" s="54"/>
      <c r="PVD13" s="54"/>
      <c r="PVE13" s="55"/>
      <c r="PVF13" s="56"/>
      <c r="PVG13" s="57"/>
      <c r="PVH13" s="57"/>
      <c r="PVI13" s="57"/>
      <c r="PVJ13" s="57"/>
      <c r="PVK13" s="57"/>
      <c r="PVL13" s="57"/>
      <c r="PVM13" s="57"/>
      <c r="PVN13" s="57"/>
      <c r="PVO13" s="57"/>
      <c r="PVP13" s="57"/>
      <c r="PVQ13" s="57"/>
      <c r="PVR13" s="54"/>
      <c r="PVS13" s="54"/>
      <c r="PVT13" s="54"/>
      <c r="PVU13" s="55"/>
      <c r="PVV13" s="56"/>
      <c r="PVW13" s="57"/>
      <c r="PVX13" s="57"/>
      <c r="PVY13" s="57"/>
      <c r="PVZ13" s="57"/>
      <c r="PWA13" s="57"/>
      <c r="PWB13" s="57"/>
      <c r="PWC13" s="57"/>
      <c r="PWD13" s="57"/>
      <c r="PWE13" s="57"/>
      <c r="PWF13" s="57"/>
      <c r="PWG13" s="57"/>
      <c r="PWH13" s="54"/>
      <c r="PWI13" s="54"/>
      <c r="PWJ13" s="54"/>
      <c r="PWK13" s="55"/>
      <c r="PWL13" s="56"/>
      <c r="PWM13" s="57"/>
      <c r="PWN13" s="57"/>
      <c r="PWO13" s="57"/>
      <c r="PWP13" s="57"/>
      <c r="PWQ13" s="57"/>
      <c r="PWR13" s="57"/>
      <c r="PWS13" s="57"/>
      <c r="PWT13" s="57"/>
      <c r="PWU13" s="57"/>
      <c r="PWV13" s="57"/>
      <c r="PWW13" s="57"/>
      <c r="PWX13" s="54"/>
      <c r="PWY13" s="54"/>
      <c r="PWZ13" s="54"/>
      <c r="PXA13" s="55"/>
      <c r="PXB13" s="56"/>
      <c r="PXC13" s="57"/>
      <c r="PXD13" s="57"/>
      <c r="PXE13" s="57"/>
      <c r="PXF13" s="57"/>
      <c r="PXG13" s="57"/>
      <c r="PXH13" s="57"/>
      <c r="PXI13" s="57"/>
      <c r="PXJ13" s="57"/>
      <c r="PXK13" s="57"/>
      <c r="PXL13" s="57"/>
      <c r="PXM13" s="57"/>
      <c r="PXN13" s="54"/>
      <c r="PXO13" s="54"/>
      <c r="PXP13" s="54"/>
      <c r="PXQ13" s="55"/>
      <c r="PXR13" s="56"/>
      <c r="PXS13" s="57"/>
      <c r="PXT13" s="57"/>
      <c r="PXU13" s="57"/>
      <c r="PXV13" s="57"/>
      <c r="PXW13" s="57"/>
      <c r="PXX13" s="57"/>
      <c r="PXY13" s="57"/>
      <c r="PXZ13" s="57"/>
      <c r="PYA13" s="57"/>
      <c r="PYB13" s="57"/>
      <c r="PYC13" s="57"/>
      <c r="PYD13" s="54"/>
      <c r="PYE13" s="54"/>
      <c r="PYF13" s="54"/>
      <c r="PYG13" s="55"/>
      <c r="PYH13" s="56"/>
      <c r="PYI13" s="57"/>
      <c r="PYJ13" s="57"/>
      <c r="PYK13" s="57"/>
      <c r="PYL13" s="57"/>
      <c r="PYM13" s="57"/>
      <c r="PYN13" s="57"/>
      <c r="PYO13" s="57"/>
      <c r="PYP13" s="57"/>
      <c r="PYQ13" s="57"/>
      <c r="PYR13" s="57"/>
      <c r="PYS13" s="57"/>
      <c r="PYT13" s="54"/>
      <c r="PYU13" s="54"/>
      <c r="PYV13" s="54"/>
      <c r="PYW13" s="55"/>
      <c r="PYX13" s="56"/>
      <c r="PYY13" s="57"/>
      <c r="PYZ13" s="57"/>
      <c r="PZA13" s="57"/>
      <c r="PZB13" s="57"/>
      <c r="PZC13" s="57"/>
      <c r="PZD13" s="57"/>
      <c r="PZE13" s="57"/>
      <c r="PZF13" s="57"/>
      <c r="PZG13" s="57"/>
      <c r="PZH13" s="57"/>
      <c r="PZI13" s="57"/>
      <c r="PZJ13" s="54"/>
      <c r="PZK13" s="54"/>
      <c r="PZL13" s="54"/>
      <c r="PZM13" s="55"/>
      <c r="PZN13" s="56"/>
      <c r="PZO13" s="57"/>
      <c r="PZP13" s="57"/>
      <c r="PZQ13" s="57"/>
      <c r="PZR13" s="57"/>
      <c r="PZS13" s="57"/>
      <c r="PZT13" s="57"/>
      <c r="PZU13" s="57"/>
      <c r="PZV13" s="57"/>
      <c r="PZW13" s="57"/>
      <c r="PZX13" s="57"/>
      <c r="PZY13" s="57"/>
      <c r="PZZ13" s="54"/>
      <c r="QAA13" s="54"/>
      <c r="QAB13" s="54"/>
      <c r="QAC13" s="55"/>
      <c r="QAD13" s="56"/>
      <c r="QAE13" s="57"/>
      <c r="QAF13" s="57"/>
      <c r="QAG13" s="57"/>
      <c r="QAH13" s="57"/>
      <c r="QAI13" s="57"/>
      <c r="QAJ13" s="57"/>
      <c r="QAK13" s="57"/>
      <c r="QAL13" s="57"/>
      <c r="QAM13" s="57"/>
      <c r="QAN13" s="57"/>
      <c r="QAO13" s="57"/>
      <c r="QAP13" s="54"/>
      <c r="QAQ13" s="54"/>
      <c r="QAR13" s="54"/>
      <c r="QAS13" s="55"/>
      <c r="QAT13" s="56"/>
      <c r="QAU13" s="57"/>
      <c r="QAV13" s="57"/>
      <c r="QAW13" s="57"/>
      <c r="QAX13" s="57"/>
      <c r="QAY13" s="57"/>
      <c r="QAZ13" s="57"/>
      <c r="QBA13" s="57"/>
      <c r="QBB13" s="57"/>
      <c r="QBC13" s="57"/>
      <c r="QBD13" s="57"/>
      <c r="QBE13" s="57"/>
      <c r="QBF13" s="54"/>
      <c r="QBG13" s="54"/>
      <c r="QBH13" s="54"/>
      <c r="QBI13" s="55"/>
      <c r="QBJ13" s="56"/>
      <c r="QBK13" s="57"/>
      <c r="QBL13" s="57"/>
      <c r="QBM13" s="57"/>
      <c r="QBN13" s="57"/>
      <c r="QBO13" s="57"/>
      <c r="QBP13" s="57"/>
      <c r="QBQ13" s="57"/>
      <c r="QBR13" s="57"/>
      <c r="QBS13" s="57"/>
      <c r="QBT13" s="57"/>
      <c r="QBU13" s="57"/>
      <c r="QBV13" s="54"/>
      <c r="QBW13" s="54"/>
      <c r="QBX13" s="54"/>
      <c r="QBY13" s="55"/>
      <c r="QBZ13" s="56"/>
      <c r="QCA13" s="57"/>
      <c r="QCB13" s="57"/>
      <c r="QCC13" s="57"/>
      <c r="QCD13" s="57"/>
      <c r="QCE13" s="57"/>
      <c r="QCF13" s="57"/>
      <c r="QCG13" s="57"/>
      <c r="QCH13" s="57"/>
      <c r="QCI13" s="57"/>
      <c r="QCJ13" s="57"/>
      <c r="QCK13" s="57"/>
      <c r="QCL13" s="54"/>
      <c r="QCM13" s="54"/>
      <c r="QCN13" s="54"/>
      <c r="QCO13" s="55"/>
      <c r="QCP13" s="56"/>
      <c r="QCQ13" s="57"/>
      <c r="QCR13" s="57"/>
      <c r="QCS13" s="57"/>
      <c r="QCT13" s="57"/>
      <c r="QCU13" s="57"/>
      <c r="QCV13" s="57"/>
      <c r="QCW13" s="57"/>
      <c r="QCX13" s="57"/>
      <c r="QCY13" s="57"/>
      <c r="QCZ13" s="57"/>
      <c r="QDA13" s="57"/>
      <c r="QDB13" s="54"/>
      <c r="QDC13" s="54"/>
      <c r="QDD13" s="54"/>
      <c r="QDE13" s="55"/>
      <c r="QDF13" s="56"/>
      <c r="QDG13" s="57"/>
      <c r="QDH13" s="57"/>
      <c r="QDI13" s="57"/>
      <c r="QDJ13" s="57"/>
      <c r="QDK13" s="57"/>
      <c r="QDL13" s="57"/>
      <c r="QDM13" s="57"/>
      <c r="QDN13" s="57"/>
      <c r="QDO13" s="57"/>
      <c r="QDP13" s="57"/>
      <c r="QDQ13" s="57"/>
      <c r="QDR13" s="54"/>
      <c r="QDS13" s="54"/>
      <c r="QDT13" s="54"/>
      <c r="QDU13" s="55"/>
      <c r="QDV13" s="56"/>
      <c r="QDW13" s="57"/>
      <c r="QDX13" s="57"/>
      <c r="QDY13" s="57"/>
      <c r="QDZ13" s="57"/>
      <c r="QEA13" s="57"/>
      <c r="QEB13" s="57"/>
      <c r="QEC13" s="57"/>
      <c r="QED13" s="57"/>
      <c r="QEE13" s="57"/>
      <c r="QEF13" s="57"/>
      <c r="QEG13" s="57"/>
      <c r="QEH13" s="54"/>
      <c r="QEI13" s="54"/>
      <c r="QEJ13" s="54"/>
      <c r="QEK13" s="55"/>
      <c r="QEL13" s="56"/>
      <c r="QEM13" s="57"/>
      <c r="QEN13" s="57"/>
      <c r="QEO13" s="57"/>
      <c r="QEP13" s="57"/>
      <c r="QEQ13" s="57"/>
      <c r="QER13" s="57"/>
      <c r="QES13" s="57"/>
      <c r="QET13" s="57"/>
      <c r="QEU13" s="57"/>
      <c r="QEV13" s="57"/>
      <c r="QEW13" s="57"/>
      <c r="QEX13" s="54"/>
      <c r="QEY13" s="54"/>
      <c r="QEZ13" s="54"/>
      <c r="QFA13" s="55"/>
      <c r="QFB13" s="56"/>
      <c r="QFC13" s="57"/>
      <c r="QFD13" s="57"/>
      <c r="QFE13" s="57"/>
      <c r="QFF13" s="57"/>
      <c r="QFG13" s="57"/>
      <c r="QFH13" s="57"/>
      <c r="QFI13" s="57"/>
      <c r="QFJ13" s="57"/>
      <c r="QFK13" s="57"/>
      <c r="QFL13" s="57"/>
      <c r="QFM13" s="57"/>
      <c r="QFN13" s="54"/>
      <c r="QFO13" s="54"/>
      <c r="QFP13" s="54"/>
      <c r="QFQ13" s="55"/>
      <c r="QFR13" s="56"/>
      <c r="QFS13" s="57"/>
      <c r="QFT13" s="57"/>
      <c r="QFU13" s="57"/>
      <c r="QFV13" s="57"/>
      <c r="QFW13" s="57"/>
      <c r="QFX13" s="57"/>
      <c r="QFY13" s="57"/>
      <c r="QFZ13" s="57"/>
      <c r="QGA13" s="57"/>
      <c r="QGB13" s="57"/>
      <c r="QGC13" s="57"/>
      <c r="QGD13" s="54"/>
      <c r="QGE13" s="54"/>
      <c r="QGF13" s="54"/>
      <c r="QGG13" s="55"/>
      <c r="QGH13" s="56"/>
      <c r="QGI13" s="57"/>
      <c r="QGJ13" s="57"/>
      <c r="QGK13" s="57"/>
      <c r="QGL13" s="57"/>
      <c r="QGM13" s="57"/>
      <c r="QGN13" s="57"/>
      <c r="QGO13" s="57"/>
      <c r="QGP13" s="57"/>
      <c r="QGQ13" s="57"/>
      <c r="QGR13" s="57"/>
      <c r="QGS13" s="57"/>
      <c r="QGT13" s="54"/>
      <c r="QGU13" s="54"/>
      <c r="QGV13" s="54"/>
      <c r="QGW13" s="55"/>
      <c r="QGX13" s="56"/>
      <c r="QGY13" s="57"/>
      <c r="QGZ13" s="57"/>
      <c r="QHA13" s="57"/>
      <c r="QHB13" s="57"/>
      <c r="QHC13" s="57"/>
      <c r="QHD13" s="57"/>
      <c r="QHE13" s="57"/>
      <c r="QHF13" s="57"/>
      <c r="QHG13" s="57"/>
      <c r="QHH13" s="57"/>
      <c r="QHI13" s="57"/>
      <c r="QHJ13" s="54"/>
      <c r="QHK13" s="54"/>
      <c r="QHL13" s="54"/>
      <c r="QHM13" s="55"/>
      <c r="QHN13" s="56"/>
      <c r="QHO13" s="57"/>
      <c r="QHP13" s="57"/>
      <c r="QHQ13" s="57"/>
      <c r="QHR13" s="57"/>
      <c r="QHS13" s="57"/>
      <c r="QHT13" s="57"/>
      <c r="QHU13" s="57"/>
      <c r="QHV13" s="57"/>
      <c r="QHW13" s="57"/>
      <c r="QHX13" s="57"/>
      <c r="QHY13" s="57"/>
      <c r="QHZ13" s="54"/>
      <c r="QIA13" s="54"/>
      <c r="QIB13" s="54"/>
      <c r="QIC13" s="55"/>
      <c r="QID13" s="56"/>
      <c r="QIE13" s="57"/>
      <c r="QIF13" s="57"/>
      <c r="QIG13" s="57"/>
      <c r="QIH13" s="57"/>
      <c r="QII13" s="57"/>
      <c r="QIJ13" s="57"/>
      <c r="QIK13" s="57"/>
      <c r="QIL13" s="57"/>
      <c r="QIM13" s="57"/>
      <c r="QIN13" s="57"/>
      <c r="QIO13" s="57"/>
      <c r="QIP13" s="54"/>
      <c r="QIQ13" s="54"/>
      <c r="QIR13" s="54"/>
      <c r="QIS13" s="55"/>
      <c r="QIT13" s="56"/>
      <c r="QIU13" s="57"/>
      <c r="QIV13" s="57"/>
      <c r="QIW13" s="57"/>
      <c r="QIX13" s="57"/>
      <c r="QIY13" s="57"/>
      <c r="QIZ13" s="57"/>
      <c r="QJA13" s="57"/>
      <c r="QJB13" s="57"/>
      <c r="QJC13" s="57"/>
      <c r="QJD13" s="57"/>
      <c r="QJE13" s="57"/>
      <c r="QJF13" s="54"/>
      <c r="QJG13" s="54"/>
      <c r="QJH13" s="54"/>
      <c r="QJI13" s="55"/>
      <c r="QJJ13" s="56"/>
      <c r="QJK13" s="57"/>
      <c r="QJL13" s="57"/>
      <c r="QJM13" s="57"/>
      <c r="QJN13" s="57"/>
      <c r="QJO13" s="57"/>
      <c r="QJP13" s="57"/>
      <c r="QJQ13" s="57"/>
      <c r="QJR13" s="57"/>
      <c r="QJS13" s="57"/>
      <c r="QJT13" s="57"/>
      <c r="QJU13" s="57"/>
      <c r="QJV13" s="54"/>
      <c r="QJW13" s="54"/>
      <c r="QJX13" s="54"/>
      <c r="QJY13" s="55"/>
      <c r="QJZ13" s="56"/>
      <c r="QKA13" s="57"/>
      <c r="QKB13" s="57"/>
      <c r="QKC13" s="57"/>
      <c r="QKD13" s="57"/>
      <c r="QKE13" s="57"/>
      <c r="QKF13" s="57"/>
      <c r="QKG13" s="57"/>
      <c r="QKH13" s="57"/>
      <c r="QKI13" s="57"/>
      <c r="QKJ13" s="57"/>
      <c r="QKK13" s="57"/>
      <c r="QKL13" s="54"/>
      <c r="QKM13" s="54"/>
      <c r="QKN13" s="54"/>
      <c r="QKO13" s="55"/>
      <c r="QKP13" s="56"/>
      <c r="QKQ13" s="57"/>
      <c r="QKR13" s="57"/>
      <c r="QKS13" s="57"/>
      <c r="QKT13" s="57"/>
      <c r="QKU13" s="57"/>
      <c r="QKV13" s="57"/>
      <c r="QKW13" s="57"/>
      <c r="QKX13" s="57"/>
      <c r="QKY13" s="57"/>
      <c r="QKZ13" s="57"/>
      <c r="QLA13" s="57"/>
      <c r="QLB13" s="54"/>
      <c r="QLC13" s="54"/>
      <c r="QLD13" s="54"/>
      <c r="QLE13" s="55"/>
      <c r="QLF13" s="56"/>
      <c r="QLG13" s="57"/>
      <c r="QLH13" s="57"/>
      <c r="QLI13" s="57"/>
      <c r="QLJ13" s="57"/>
      <c r="QLK13" s="57"/>
      <c r="QLL13" s="57"/>
      <c r="QLM13" s="57"/>
      <c r="QLN13" s="57"/>
      <c r="QLO13" s="57"/>
      <c r="QLP13" s="57"/>
      <c r="QLQ13" s="57"/>
      <c r="QLR13" s="54"/>
      <c r="QLS13" s="54"/>
      <c r="QLT13" s="54"/>
      <c r="QLU13" s="55"/>
      <c r="QLV13" s="56"/>
      <c r="QLW13" s="57"/>
      <c r="QLX13" s="57"/>
      <c r="QLY13" s="57"/>
      <c r="QLZ13" s="57"/>
      <c r="QMA13" s="57"/>
      <c r="QMB13" s="57"/>
      <c r="QMC13" s="57"/>
      <c r="QMD13" s="57"/>
      <c r="QME13" s="57"/>
      <c r="QMF13" s="57"/>
      <c r="QMG13" s="57"/>
      <c r="QMH13" s="54"/>
      <c r="QMI13" s="54"/>
      <c r="QMJ13" s="54"/>
      <c r="QMK13" s="55"/>
      <c r="QML13" s="56"/>
      <c r="QMM13" s="57"/>
      <c r="QMN13" s="57"/>
      <c r="QMO13" s="57"/>
      <c r="QMP13" s="57"/>
      <c r="QMQ13" s="57"/>
      <c r="QMR13" s="57"/>
      <c r="QMS13" s="57"/>
      <c r="QMT13" s="57"/>
      <c r="QMU13" s="57"/>
      <c r="QMV13" s="57"/>
      <c r="QMW13" s="57"/>
      <c r="QMX13" s="54"/>
      <c r="QMY13" s="54"/>
      <c r="QMZ13" s="54"/>
      <c r="QNA13" s="55"/>
      <c r="QNB13" s="56"/>
      <c r="QNC13" s="57"/>
      <c r="QND13" s="57"/>
      <c r="QNE13" s="57"/>
      <c r="QNF13" s="57"/>
      <c r="QNG13" s="57"/>
      <c r="QNH13" s="57"/>
      <c r="QNI13" s="57"/>
      <c r="QNJ13" s="57"/>
      <c r="QNK13" s="57"/>
      <c r="QNL13" s="57"/>
      <c r="QNM13" s="57"/>
      <c r="QNN13" s="54"/>
      <c r="QNO13" s="54"/>
      <c r="QNP13" s="54"/>
      <c r="QNQ13" s="55"/>
      <c r="QNR13" s="56"/>
      <c r="QNS13" s="57"/>
      <c r="QNT13" s="57"/>
      <c r="QNU13" s="57"/>
      <c r="QNV13" s="57"/>
      <c r="QNW13" s="57"/>
      <c r="QNX13" s="57"/>
      <c r="QNY13" s="57"/>
      <c r="QNZ13" s="57"/>
      <c r="QOA13" s="57"/>
      <c r="QOB13" s="57"/>
      <c r="QOC13" s="57"/>
      <c r="QOD13" s="54"/>
      <c r="QOE13" s="54"/>
      <c r="QOF13" s="54"/>
      <c r="QOG13" s="55"/>
      <c r="QOH13" s="56"/>
      <c r="QOI13" s="57"/>
      <c r="QOJ13" s="57"/>
      <c r="QOK13" s="57"/>
      <c r="QOL13" s="57"/>
      <c r="QOM13" s="57"/>
      <c r="QON13" s="57"/>
      <c r="QOO13" s="57"/>
      <c r="QOP13" s="57"/>
      <c r="QOQ13" s="57"/>
      <c r="QOR13" s="57"/>
      <c r="QOS13" s="57"/>
      <c r="QOT13" s="54"/>
      <c r="QOU13" s="54"/>
      <c r="QOV13" s="54"/>
      <c r="QOW13" s="55"/>
      <c r="QOX13" s="56"/>
      <c r="QOY13" s="57"/>
      <c r="QOZ13" s="57"/>
      <c r="QPA13" s="57"/>
      <c r="QPB13" s="57"/>
      <c r="QPC13" s="57"/>
      <c r="QPD13" s="57"/>
      <c r="QPE13" s="57"/>
      <c r="QPF13" s="57"/>
      <c r="QPG13" s="57"/>
      <c r="QPH13" s="57"/>
      <c r="QPI13" s="57"/>
      <c r="QPJ13" s="54"/>
      <c r="QPK13" s="54"/>
      <c r="QPL13" s="54"/>
      <c r="QPM13" s="55"/>
      <c r="QPN13" s="56"/>
      <c r="QPO13" s="57"/>
      <c r="QPP13" s="57"/>
      <c r="QPQ13" s="57"/>
      <c r="QPR13" s="57"/>
      <c r="QPS13" s="57"/>
      <c r="QPT13" s="57"/>
      <c r="QPU13" s="57"/>
      <c r="QPV13" s="57"/>
      <c r="QPW13" s="57"/>
      <c r="QPX13" s="57"/>
      <c r="QPY13" s="57"/>
      <c r="QPZ13" s="54"/>
      <c r="QQA13" s="54"/>
      <c r="QQB13" s="54"/>
      <c r="QQC13" s="55"/>
      <c r="QQD13" s="56"/>
      <c r="QQE13" s="57"/>
      <c r="QQF13" s="57"/>
      <c r="QQG13" s="57"/>
      <c r="QQH13" s="57"/>
      <c r="QQI13" s="57"/>
      <c r="QQJ13" s="57"/>
      <c r="QQK13" s="57"/>
      <c r="QQL13" s="57"/>
      <c r="QQM13" s="57"/>
      <c r="QQN13" s="57"/>
      <c r="QQO13" s="57"/>
      <c r="QQP13" s="54"/>
      <c r="QQQ13" s="54"/>
      <c r="QQR13" s="54"/>
      <c r="QQS13" s="55"/>
      <c r="QQT13" s="56"/>
      <c r="QQU13" s="57"/>
      <c r="QQV13" s="57"/>
      <c r="QQW13" s="57"/>
      <c r="QQX13" s="57"/>
      <c r="QQY13" s="57"/>
      <c r="QQZ13" s="57"/>
      <c r="QRA13" s="57"/>
      <c r="QRB13" s="57"/>
      <c r="QRC13" s="57"/>
      <c r="QRD13" s="57"/>
      <c r="QRE13" s="57"/>
      <c r="QRF13" s="54"/>
      <c r="QRG13" s="54"/>
      <c r="QRH13" s="54"/>
      <c r="QRI13" s="55"/>
      <c r="QRJ13" s="56"/>
      <c r="QRK13" s="57"/>
      <c r="QRL13" s="57"/>
      <c r="QRM13" s="57"/>
      <c r="QRN13" s="57"/>
      <c r="QRO13" s="57"/>
      <c r="QRP13" s="57"/>
      <c r="QRQ13" s="57"/>
      <c r="QRR13" s="57"/>
      <c r="QRS13" s="57"/>
      <c r="QRT13" s="57"/>
      <c r="QRU13" s="57"/>
      <c r="QRV13" s="54"/>
      <c r="QRW13" s="54"/>
      <c r="QRX13" s="54"/>
      <c r="QRY13" s="55"/>
      <c r="QRZ13" s="56"/>
      <c r="QSA13" s="57"/>
      <c r="QSB13" s="57"/>
      <c r="QSC13" s="57"/>
      <c r="QSD13" s="57"/>
      <c r="QSE13" s="57"/>
      <c r="QSF13" s="57"/>
      <c r="QSG13" s="57"/>
      <c r="QSH13" s="57"/>
      <c r="QSI13" s="57"/>
      <c r="QSJ13" s="57"/>
      <c r="QSK13" s="57"/>
      <c r="QSL13" s="54"/>
      <c r="QSM13" s="54"/>
      <c r="QSN13" s="54"/>
      <c r="QSO13" s="55"/>
      <c r="QSP13" s="56"/>
      <c r="QSQ13" s="57"/>
      <c r="QSR13" s="57"/>
      <c r="QSS13" s="57"/>
      <c r="QST13" s="57"/>
      <c r="QSU13" s="57"/>
      <c r="QSV13" s="57"/>
      <c r="QSW13" s="57"/>
      <c r="QSX13" s="57"/>
      <c r="QSY13" s="57"/>
      <c r="QSZ13" s="57"/>
      <c r="QTA13" s="57"/>
      <c r="QTB13" s="54"/>
      <c r="QTC13" s="54"/>
      <c r="QTD13" s="54"/>
      <c r="QTE13" s="55"/>
      <c r="QTF13" s="56"/>
      <c r="QTG13" s="57"/>
      <c r="QTH13" s="57"/>
      <c r="QTI13" s="57"/>
      <c r="QTJ13" s="57"/>
      <c r="QTK13" s="57"/>
      <c r="QTL13" s="57"/>
      <c r="QTM13" s="57"/>
      <c r="QTN13" s="57"/>
      <c r="QTO13" s="57"/>
      <c r="QTP13" s="57"/>
      <c r="QTQ13" s="57"/>
      <c r="QTR13" s="54"/>
      <c r="QTS13" s="54"/>
      <c r="QTT13" s="54"/>
      <c r="QTU13" s="55"/>
      <c r="QTV13" s="56"/>
      <c r="QTW13" s="57"/>
      <c r="QTX13" s="57"/>
      <c r="QTY13" s="57"/>
      <c r="QTZ13" s="57"/>
      <c r="QUA13" s="57"/>
      <c r="QUB13" s="57"/>
      <c r="QUC13" s="57"/>
      <c r="QUD13" s="57"/>
      <c r="QUE13" s="57"/>
      <c r="QUF13" s="57"/>
      <c r="QUG13" s="57"/>
      <c r="QUH13" s="54"/>
      <c r="QUI13" s="54"/>
      <c r="QUJ13" s="54"/>
      <c r="QUK13" s="55"/>
      <c r="QUL13" s="56"/>
      <c r="QUM13" s="57"/>
      <c r="QUN13" s="57"/>
      <c r="QUO13" s="57"/>
      <c r="QUP13" s="57"/>
      <c r="QUQ13" s="57"/>
      <c r="QUR13" s="57"/>
      <c r="QUS13" s="57"/>
      <c r="QUT13" s="57"/>
      <c r="QUU13" s="57"/>
      <c r="QUV13" s="57"/>
      <c r="QUW13" s="57"/>
      <c r="QUX13" s="54"/>
      <c r="QUY13" s="54"/>
      <c r="QUZ13" s="54"/>
      <c r="QVA13" s="55"/>
      <c r="QVB13" s="56"/>
      <c r="QVC13" s="57"/>
      <c r="QVD13" s="57"/>
      <c r="QVE13" s="57"/>
      <c r="QVF13" s="57"/>
      <c r="QVG13" s="57"/>
      <c r="QVH13" s="57"/>
      <c r="QVI13" s="57"/>
      <c r="QVJ13" s="57"/>
      <c r="QVK13" s="57"/>
      <c r="QVL13" s="57"/>
      <c r="QVM13" s="57"/>
      <c r="QVN13" s="54"/>
      <c r="QVO13" s="54"/>
      <c r="QVP13" s="54"/>
      <c r="QVQ13" s="55"/>
      <c r="QVR13" s="56"/>
      <c r="QVS13" s="57"/>
      <c r="QVT13" s="57"/>
      <c r="QVU13" s="57"/>
      <c r="QVV13" s="57"/>
      <c r="QVW13" s="57"/>
      <c r="QVX13" s="57"/>
      <c r="QVY13" s="57"/>
      <c r="QVZ13" s="57"/>
      <c r="QWA13" s="57"/>
      <c r="QWB13" s="57"/>
      <c r="QWC13" s="57"/>
      <c r="QWD13" s="54"/>
      <c r="QWE13" s="54"/>
      <c r="QWF13" s="54"/>
      <c r="QWG13" s="55"/>
      <c r="QWH13" s="56"/>
      <c r="QWI13" s="57"/>
      <c r="QWJ13" s="57"/>
      <c r="QWK13" s="57"/>
      <c r="QWL13" s="57"/>
      <c r="QWM13" s="57"/>
      <c r="QWN13" s="57"/>
      <c r="QWO13" s="57"/>
      <c r="QWP13" s="57"/>
      <c r="QWQ13" s="57"/>
      <c r="QWR13" s="57"/>
      <c r="QWS13" s="57"/>
      <c r="QWT13" s="54"/>
      <c r="QWU13" s="54"/>
      <c r="QWV13" s="54"/>
      <c r="QWW13" s="55"/>
      <c r="QWX13" s="56"/>
      <c r="QWY13" s="57"/>
      <c r="QWZ13" s="57"/>
      <c r="QXA13" s="57"/>
      <c r="QXB13" s="57"/>
      <c r="QXC13" s="57"/>
      <c r="QXD13" s="57"/>
      <c r="QXE13" s="57"/>
      <c r="QXF13" s="57"/>
      <c r="QXG13" s="57"/>
      <c r="QXH13" s="57"/>
      <c r="QXI13" s="57"/>
      <c r="QXJ13" s="54"/>
      <c r="QXK13" s="54"/>
      <c r="QXL13" s="54"/>
      <c r="QXM13" s="55"/>
      <c r="QXN13" s="56"/>
      <c r="QXO13" s="57"/>
      <c r="QXP13" s="57"/>
      <c r="QXQ13" s="57"/>
      <c r="QXR13" s="57"/>
      <c r="QXS13" s="57"/>
      <c r="QXT13" s="57"/>
      <c r="QXU13" s="57"/>
      <c r="QXV13" s="57"/>
      <c r="QXW13" s="57"/>
      <c r="QXX13" s="57"/>
      <c r="QXY13" s="57"/>
      <c r="QXZ13" s="54"/>
      <c r="QYA13" s="54"/>
      <c r="QYB13" s="54"/>
      <c r="QYC13" s="55"/>
      <c r="QYD13" s="56"/>
      <c r="QYE13" s="57"/>
      <c r="QYF13" s="57"/>
      <c r="QYG13" s="57"/>
      <c r="QYH13" s="57"/>
      <c r="QYI13" s="57"/>
      <c r="QYJ13" s="57"/>
      <c r="QYK13" s="57"/>
      <c r="QYL13" s="57"/>
      <c r="QYM13" s="57"/>
      <c r="QYN13" s="57"/>
      <c r="QYO13" s="57"/>
      <c r="QYP13" s="54"/>
      <c r="QYQ13" s="54"/>
      <c r="QYR13" s="54"/>
      <c r="QYS13" s="55"/>
      <c r="QYT13" s="56"/>
      <c r="QYU13" s="57"/>
      <c r="QYV13" s="57"/>
      <c r="QYW13" s="57"/>
      <c r="QYX13" s="57"/>
      <c r="QYY13" s="57"/>
      <c r="QYZ13" s="57"/>
      <c r="QZA13" s="57"/>
      <c r="QZB13" s="57"/>
      <c r="QZC13" s="57"/>
      <c r="QZD13" s="57"/>
      <c r="QZE13" s="57"/>
      <c r="QZF13" s="54"/>
      <c r="QZG13" s="54"/>
      <c r="QZH13" s="54"/>
      <c r="QZI13" s="55"/>
      <c r="QZJ13" s="56"/>
      <c r="QZK13" s="57"/>
      <c r="QZL13" s="57"/>
      <c r="QZM13" s="57"/>
      <c r="QZN13" s="57"/>
      <c r="QZO13" s="57"/>
      <c r="QZP13" s="57"/>
      <c r="QZQ13" s="57"/>
      <c r="QZR13" s="57"/>
      <c r="QZS13" s="57"/>
      <c r="QZT13" s="57"/>
      <c r="QZU13" s="57"/>
      <c r="QZV13" s="54"/>
      <c r="QZW13" s="54"/>
      <c r="QZX13" s="54"/>
      <c r="QZY13" s="55"/>
      <c r="QZZ13" s="56"/>
      <c r="RAA13" s="57"/>
      <c r="RAB13" s="57"/>
      <c r="RAC13" s="57"/>
      <c r="RAD13" s="57"/>
      <c r="RAE13" s="57"/>
      <c r="RAF13" s="57"/>
      <c r="RAG13" s="57"/>
      <c r="RAH13" s="57"/>
      <c r="RAI13" s="57"/>
      <c r="RAJ13" s="57"/>
      <c r="RAK13" s="57"/>
      <c r="RAL13" s="54"/>
      <c r="RAM13" s="54"/>
      <c r="RAN13" s="54"/>
      <c r="RAO13" s="55"/>
      <c r="RAP13" s="56"/>
      <c r="RAQ13" s="57"/>
      <c r="RAR13" s="57"/>
      <c r="RAS13" s="57"/>
      <c r="RAT13" s="57"/>
      <c r="RAU13" s="57"/>
      <c r="RAV13" s="57"/>
      <c r="RAW13" s="57"/>
      <c r="RAX13" s="57"/>
      <c r="RAY13" s="57"/>
      <c r="RAZ13" s="57"/>
      <c r="RBA13" s="57"/>
      <c r="RBB13" s="54"/>
      <c r="RBC13" s="54"/>
      <c r="RBD13" s="54"/>
      <c r="RBE13" s="55"/>
      <c r="RBF13" s="56"/>
      <c r="RBG13" s="57"/>
      <c r="RBH13" s="57"/>
      <c r="RBI13" s="57"/>
      <c r="RBJ13" s="57"/>
      <c r="RBK13" s="57"/>
      <c r="RBL13" s="57"/>
      <c r="RBM13" s="57"/>
      <c r="RBN13" s="57"/>
      <c r="RBO13" s="57"/>
      <c r="RBP13" s="57"/>
      <c r="RBQ13" s="57"/>
      <c r="RBR13" s="54"/>
      <c r="RBS13" s="54"/>
      <c r="RBT13" s="54"/>
      <c r="RBU13" s="55"/>
      <c r="RBV13" s="56"/>
      <c r="RBW13" s="57"/>
      <c r="RBX13" s="57"/>
      <c r="RBY13" s="57"/>
      <c r="RBZ13" s="57"/>
      <c r="RCA13" s="57"/>
      <c r="RCB13" s="57"/>
      <c r="RCC13" s="57"/>
      <c r="RCD13" s="57"/>
      <c r="RCE13" s="57"/>
      <c r="RCF13" s="57"/>
      <c r="RCG13" s="57"/>
      <c r="RCH13" s="54"/>
      <c r="RCI13" s="54"/>
      <c r="RCJ13" s="54"/>
      <c r="RCK13" s="55"/>
      <c r="RCL13" s="56"/>
      <c r="RCM13" s="57"/>
      <c r="RCN13" s="57"/>
      <c r="RCO13" s="57"/>
      <c r="RCP13" s="57"/>
      <c r="RCQ13" s="57"/>
      <c r="RCR13" s="57"/>
      <c r="RCS13" s="57"/>
      <c r="RCT13" s="57"/>
      <c r="RCU13" s="57"/>
      <c r="RCV13" s="57"/>
      <c r="RCW13" s="57"/>
      <c r="RCX13" s="54"/>
      <c r="RCY13" s="54"/>
      <c r="RCZ13" s="54"/>
      <c r="RDA13" s="55"/>
      <c r="RDB13" s="56"/>
      <c r="RDC13" s="57"/>
      <c r="RDD13" s="57"/>
      <c r="RDE13" s="57"/>
      <c r="RDF13" s="57"/>
      <c r="RDG13" s="57"/>
      <c r="RDH13" s="57"/>
      <c r="RDI13" s="57"/>
      <c r="RDJ13" s="57"/>
      <c r="RDK13" s="57"/>
      <c r="RDL13" s="57"/>
      <c r="RDM13" s="57"/>
      <c r="RDN13" s="54"/>
      <c r="RDO13" s="54"/>
      <c r="RDP13" s="54"/>
      <c r="RDQ13" s="55"/>
      <c r="RDR13" s="56"/>
      <c r="RDS13" s="57"/>
      <c r="RDT13" s="57"/>
      <c r="RDU13" s="57"/>
      <c r="RDV13" s="57"/>
      <c r="RDW13" s="57"/>
      <c r="RDX13" s="57"/>
      <c r="RDY13" s="57"/>
      <c r="RDZ13" s="57"/>
      <c r="REA13" s="57"/>
      <c r="REB13" s="57"/>
      <c r="REC13" s="57"/>
      <c r="RED13" s="54"/>
      <c r="REE13" s="54"/>
      <c r="REF13" s="54"/>
      <c r="REG13" s="55"/>
      <c r="REH13" s="56"/>
      <c r="REI13" s="57"/>
      <c r="REJ13" s="57"/>
      <c r="REK13" s="57"/>
      <c r="REL13" s="57"/>
      <c r="REM13" s="57"/>
      <c r="REN13" s="57"/>
      <c r="REO13" s="57"/>
      <c r="REP13" s="57"/>
      <c r="REQ13" s="57"/>
      <c r="RER13" s="57"/>
      <c r="RES13" s="57"/>
      <c r="RET13" s="54"/>
      <c r="REU13" s="54"/>
      <c r="REV13" s="54"/>
      <c r="REW13" s="55"/>
      <c r="REX13" s="56"/>
      <c r="REY13" s="57"/>
      <c r="REZ13" s="57"/>
      <c r="RFA13" s="57"/>
      <c r="RFB13" s="57"/>
      <c r="RFC13" s="57"/>
      <c r="RFD13" s="57"/>
      <c r="RFE13" s="57"/>
      <c r="RFF13" s="57"/>
      <c r="RFG13" s="57"/>
      <c r="RFH13" s="57"/>
      <c r="RFI13" s="57"/>
      <c r="RFJ13" s="54"/>
      <c r="RFK13" s="54"/>
      <c r="RFL13" s="54"/>
      <c r="RFM13" s="55"/>
      <c r="RFN13" s="56"/>
      <c r="RFO13" s="57"/>
      <c r="RFP13" s="57"/>
      <c r="RFQ13" s="57"/>
      <c r="RFR13" s="57"/>
      <c r="RFS13" s="57"/>
      <c r="RFT13" s="57"/>
      <c r="RFU13" s="57"/>
      <c r="RFV13" s="57"/>
      <c r="RFW13" s="57"/>
      <c r="RFX13" s="57"/>
      <c r="RFY13" s="57"/>
      <c r="RFZ13" s="54"/>
      <c r="RGA13" s="54"/>
      <c r="RGB13" s="54"/>
      <c r="RGC13" s="55"/>
      <c r="RGD13" s="56"/>
      <c r="RGE13" s="57"/>
      <c r="RGF13" s="57"/>
      <c r="RGG13" s="57"/>
      <c r="RGH13" s="57"/>
      <c r="RGI13" s="57"/>
      <c r="RGJ13" s="57"/>
      <c r="RGK13" s="57"/>
      <c r="RGL13" s="57"/>
      <c r="RGM13" s="57"/>
      <c r="RGN13" s="57"/>
      <c r="RGO13" s="57"/>
      <c r="RGP13" s="54"/>
      <c r="RGQ13" s="54"/>
      <c r="RGR13" s="54"/>
      <c r="RGS13" s="55"/>
      <c r="RGT13" s="56"/>
      <c r="RGU13" s="57"/>
      <c r="RGV13" s="57"/>
      <c r="RGW13" s="57"/>
      <c r="RGX13" s="57"/>
      <c r="RGY13" s="57"/>
      <c r="RGZ13" s="57"/>
      <c r="RHA13" s="57"/>
      <c r="RHB13" s="57"/>
      <c r="RHC13" s="57"/>
      <c r="RHD13" s="57"/>
      <c r="RHE13" s="57"/>
      <c r="RHF13" s="54"/>
      <c r="RHG13" s="54"/>
      <c r="RHH13" s="54"/>
      <c r="RHI13" s="55"/>
      <c r="RHJ13" s="56"/>
      <c r="RHK13" s="57"/>
      <c r="RHL13" s="57"/>
      <c r="RHM13" s="57"/>
      <c r="RHN13" s="57"/>
      <c r="RHO13" s="57"/>
      <c r="RHP13" s="57"/>
      <c r="RHQ13" s="57"/>
      <c r="RHR13" s="57"/>
      <c r="RHS13" s="57"/>
      <c r="RHT13" s="57"/>
      <c r="RHU13" s="57"/>
      <c r="RHV13" s="54"/>
      <c r="RHW13" s="54"/>
      <c r="RHX13" s="54"/>
      <c r="RHY13" s="55"/>
      <c r="RHZ13" s="56"/>
      <c r="RIA13" s="57"/>
      <c r="RIB13" s="57"/>
      <c r="RIC13" s="57"/>
      <c r="RID13" s="57"/>
      <c r="RIE13" s="57"/>
      <c r="RIF13" s="57"/>
      <c r="RIG13" s="57"/>
      <c r="RIH13" s="57"/>
      <c r="RII13" s="57"/>
      <c r="RIJ13" s="57"/>
      <c r="RIK13" s="57"/>
      <c r="RIL13" s="54"/>
      <c r="RIM13" s="54"/>
      <c r="RIN13" s="54"/>
      <c r="RIO13" s="55"/>
      <c r="RIP13" s="56"/>
      <c r="RIQ13" s="57"/>
      <c r="RIR13" s="57"/>
      <c r="RIS13" s="57"/>
      <c r="RIT13" s="57"/>
      <c r="RIU13" s="57"/>
      <c r="RIV13" s="57"/>
      <c r="RIW13" s="57"/>
      <c r="RIX13" s="57"/>
      <c r="RIY13" s="57"/>
      <c r="RIZ13" s="57"/>
      <c r="RJA13" s="57"/>
      <c r="RJB13" s="54"/>
      <c r="RJC13" s="54"/>
      <c r="RJD13" s="54"/>
      <c r="RJE13" s="55"/>
      <c r="RJF13" s="56"/>
      <c r="RJG13" s="57"/>
      <c r="RJH13" s="57"/>
      <c r="RJI13" s="57"/>
      <c r="RJJ13" s="57"/>
      <c r="RJK13" s="57"/>
      <c r="RJL13" s="57"/>
      <c r="RJM13" s="57"/>
      <c r="RJN13" s="57"/>
      <c r="RJO13" s="57"/>
      <c r="RJP13" s="57"/>
      <c r="RJQ13" s="57"/>
      <c r="RJR13" s="54"/>
      <c r="RJS13" s="54"/>
      <c r="RJT13" s="54"/>
      <c r="RJU13" s="55"/>
      <c r="RJV13" s="56"/>
      <c r="RJW13" s="57"/>
      <c r="RJX13" s="57"/>
      <c r="RJY13" s="57"/>
      <c r="RJZ13" s="57"/>
      <c r="RKA13" s="57"/>
      <c r="RKB13" s="57"/>
      <c r="RKC13" s="57"/>
      <c r="RKD13" s="57"/>
      <c r="RKE13" s="57"/>
      <c r="RKF13" s="57"/>
      <c r="RKG13" s="57"/>
      <c r="RKH13" s="54"/>
      <c r="RKI13" s="54"/>
      <c r="RKJ13" s="54"/>
      <c r="RKK13" s="55"/>
      <c r="RKL13" s="56"/>
      <c r="RKM13" s="57"/>
      <c r="RKN13" s="57"/>
      <c r="RKO13" s="57"/>
      <c r="RKP13" s="57"/>
      <c r="RKQ13" s="57"/>
      <c r="RKR13" s="57"/>
      <c r="RKS13" s="57"/>
      <c r="RKT13" s="57"/>
      <c r="RKU13" s="57"/>
      <c r="RKV13" s="57"/>
      <c r="RKW13" s="57"/>
      <c r="RKX13" s="54"/>
      <c r="RKY13" s="54"/>
      <c r="RKZ13" s="54"/>
      <c r="RLA13" s="55"/>
      <c r="RLB13" s="56"/>
      <c r="RLC13" s="57"/>
      <c r="RLD13" s="57"/>
      <c r="RLE13" s="57"/>
      <c r="RLF13" s="57"/>
      <c r="RLG13" s="57"/>
      <c r="RLH13" s="57"/>
      <c r="RLI13" s="57"/>
      <c r="RLJ13" s="57"/>
      <c r="RLK13" s="57"/>
      <c r="RLL13" s="57"/>
      <c r="RLM13" s="57"/>
      <c r="RLN13" s="54"/>
      <c r="RLO13" s="54"/>
      <c r="RLP13" s="54"/>
      <c r="RLQ13" s="55"/>
      <c r="RLR13" s="56"/>
      <c r="RLS13" s="57"/>
      <c r="RLT13" s="57"/>
      <c r="RLU13" s="57"/>
      <c r="RLV13" s="57"/>
      <c r="RLW13" s="57"/>
      <c r="RLX13" s="57"/>
      <c r="RLY13" s="57"/>
      <c r="RLZ13" s="57"/>
      <c r="RMA13" s="57"/>
      <c r="RMB13" s="57"/>
      <c r="RMC13" s="57"/>
      <c r="RMD13" s="54"/>
      <c r="RME13" s="54"/>
      <c r="RMF13" s="54"/>
      <c r="RMG13" s="55"/>
      <c r="RMH13" s="56"/>
      <c r="RMI13" s="57"/>
      <c r="RMJ13" s="57"/>
      <c r="RMK13" s="57"/>
      <c r="RML13" s="57"/>
      <c r="RMM13" s="57"/>
      <c r="RMN13" s="57"/>
      <c r="RMO13" s="57"/>
      <c r="RMP13" s="57"/>
      <c r="RMQ13" s="57"/>
      <c r="RMR13" s="57"/>
      <c r="RMS13" s="57"/>
      <c r="RMT13" s="54"/>
      <c r="RMU13" s="54"/>
      <c r="RMV13" s="54"/>
      <c r="RMW13" s="55"/>
      <c r="RMX13" s="56"/>
      <c r="RMY13" s="57"/>
      <c r="RMZ13" s="57"/>
      <c r="RNA13" s="57"/>
      <c r="RNB13" s="57"/>
      <c r="RNC13" s="57"/>
      <c r="RND13" s="57"/>
      <c r="RNE13" s="57"/>
      <c r="RNF13" s="57"/>
      <c r="RNG13" s="57"/>
      <c r="RNH13" s="57"/>
      <c r="RNI13" s="57"/>
      <c r="RNJ13" s="54"/>
      <c r="RNK13" s="54"/>
      <c r="RNL13" s="54"/>
      <c r="RNM13" s="55"/>
      <c r="RNN13" s="56"/>
      <c r="RNO13" s="57"/>
      <c r="RNP13" s="57"/>
      <c r="RNQ13" s="57"/>
      <c r="RNR13" s="57"/>
      <c r="RNS13" s="57"/>
      <c r="RNT13" s="57"/>
      <c r="RNU13" s="57"/>
      <c r="RNV13" s="57"/>
      <c r="RNW13" s="57"/>
      <c r="RNX13" s="57"/>
      <c r="RNY13" s="57"/>
      <c r="RNZ13" s="54"/>
      <c r="ROA13" s="54"/>
      <c r="ROB13" s="54"/>
      <c r="ROC13" s="55"/>
      <c r="ROD13" s="56"/>
      <c r="ROE13" s="57"/>
      <c r="ROF13" s="57"/>
      <c r="ROG13" s="57"/>
      <c r="ROH13" s="57"/>
      <c r="ROI13" s="57"/>
      <c r="ROJ13" s="57"/>
      <c r="ROK13" s="57"/>
      <c r="ROL13" s="57"/>
      <c r="ROM13" s="57"/>
      <c r="RON13" s="57"/>
      <c r="ROO13" s="57"/>
      <c r="ROP13" s="54"/>
      <c r="ROQ13" s="54"/>
      <c r="ROR13" s="54"/>
      <c r="ROS13" s="55"/>
      <c r="ROT13" s="56"/>
      <c r="ROU13" s="57"/>
      <c r="ROV13" s="57"/>
      <c r="ROW13" s="57"/>
      <c r="ROX13" s="57"/>
      <c r="ROY13" s="57"/>
      <c r="ROZ13" s="57"/>
      <c r="RPA13" s="57"/>
      <c r="RPB13" s="57"/>
      <c r="RPC13" s="57"/>
      <c r="RPD13" s="57"/>
      <c r="RPE13" s="57"/>
      <c r="RPF13" s="54"/>
      <c r="RPG13" s="54"/>
      <c r="RPH13" s="54"/>
      <c r="RPI13" s="55"/>
      <c r="RPJ13" s="56"/>
      <c r="RPK13" s="57"/>
      <c r="RPL13" s="57"/>
      <c r="RPM13" s="57"/>
      <c r="RPN13" s="57"/>
      <c r="RPO13" s="57"/>
      <c r="RPP13" s="57"/>
      <c r="RPQ13" s="57"/>
      <c r="RPR13" s="57"/>
      <c r="RPS13" s="57"/>
      <c r="RPT13" s="57"/>
      <c r="RPU13" s="57"/>
      <c r="RPV13" s="54"/>
      <c r="RPW13" s="54"/>
      <c r="RPX13" s="54"/>
      <c r="RPY13" s="55"/>
      <c r="RPZ13" s="56"/>
      <c r="RQA13" s="57"/>
      <c r="RQB13" s="57"/>
      <c r="RQC13" s="57"/>
      <c r="RQD13" s="57"/>
      <c r="RQE13" s="57"/>
      <c r="RQF13" s="57"/>
      <c r="RQG13" s="57"/>
      <c r="RQH13" s="57"/>
      <c r="RQI13" s="57"/>
      <c r="RQJ13" s="57"/>
      <c r="RQK13" s="57"/>
      <c r="RQL13" s="54"/>
      <c r="RQM13" s="54"/>
      <c r="RQN13" s="54"/>
      <c r="RQO13" s="55"/>
      <c r="RQP13" s="56"/>
      <c r="RQQ13" s="57"/>
      <c r="RQR13" s="57"/>
      <c r="RQS13" s="57"/>
      <c r="RQT13" s="57"/>
      <c r="RQU13" s="57"/>
      <c r="RQV13" s="57"/>
      <c r="RQW13" s="57"/>
      <c r="RQX13" s="57"/>
      <c r="RQY13" s="57"/>
      <c r="RQZ13" s="57"/>
      <c r="RRA13" s="57"/>
      <c r="RRB13" s="54"/>
      <c r="RRC13" s="54"/>
      <c r="RRD13" s="54"/>
      <c r="RRE13" s="55"/>
      <c r="RRF13" s="56"/>
      <c r="RRG13" s="57"/>
      <c r="RRH13" s="57"/>
      <c r="RRI13" s="57"/>
      <c r="RRJ13" s="57"/>
      <c r="RRK13" s="57"/>
      <c r="RRL13" s="57"/>
      <c r="RRM13" s="57"/>
      <c r="RRN13" s="57"/>
      <c r="RRO13" s="57"/>
      <c r="RRP13" s="57"/>
      <c r="RRQ13" s="57"/>
      <c r="RRR13" s="54"/>
      <c r="RRS13" s="54"/>
      <c r="RRT13" s="54"/>
      <c r="RRU13" s="55"/>
      <c r="RRV13" s="56"/>
      <c r="RRW13" s="57"/>
      <c r="RRX13" s="57"/>
      <c r="RRY13" s="57"/>
      <c r="RRZ13" s="57"/>
      <c r="RSA13" s="57"/>
      <c r="RSB13" s="57"/>
      <c r="RSC13" s="57"/>
      <c r="RSD13" s="57"/>
      <c r="RSE13" s="57"/>
      <c r="RSF13" s="57"/>
      <c r="RSG13" s="57"/>
      <c r="RSH13" s="54"/>
      <c r="RSI13" s="54"/>
      <c r="RSJ13" s="54"/>
      <c r="RSK13" s="55"/>
      <c r="RSL13" s="56"/>
      <c r="RSM13" s="57"/>
      <c r="RSN13" s="57"/>
      <c r="RSO13" s="57"/>
      <c r="RSP13" s="57"/>
      <c r="RSQ13" s="57"/>
      <c r="RSR13" s="57"/>
      <c r="RSS13" s="57"/>
      <c r="RST13" s="57"/>
      <c r="RSU13" s="57"/>
      <c r="RSV13" s="57"/>
      <c r="RSW13" s="57"/>
      <c r="RSX13" s="54"/>
      <c r="RSY13" s="54"/>
      <c r="RSZ13" s="54"/>
      <c r="RTA13" s="55"/>
      <c r="RTB13" s="56"/>
      <c r="RTC13" s="57"/>
      <c r="RTD13" s="57"/>
      <c r="RTE13" s="57"/>
      <c r="RTF13" s="57"/>
      <c r="RTG13" s="57"/>
      <c r="RTH13" s="57"/>
      <c r="RTI13" s="57"/>
      <c r="RTJ13" s="57"/>
      <c r="RTK13" s="57"/>
      <c r="RTL13" s="57"/>
      <c r="RTM13" s="57"/>
      <c r="RTN13" s="54"/>
      <c r="RTO13" s="54"/>
      <c r="RTP13" s="54"/>
      <c r="RTQ13" s="55"/>
      <c r="RTR13" s="56"/>
      <c r="RTS13" s="57"/>
      <c r="RTT13" s="57"/>
      <c r="RTU13" s="57"/>
      <c r="RTV13" s="57"/>
      <c r="RTW13" s="57"/>
      <c r="RTX13" s="57"/>
      <c r="RTY13" s="57"/>
      <c r="RTZ13" s="57"/>
      <c r="RUA13" s="57"/>
      <c r="RUB13" s="57"/>
      <c r="RUC13" s="57"/>
      <c r="RUD13" s="54"/>
      <c r="RUE13" s="54"/>
      <c r="RUF13" s="54"/>
      <c r="RUG13" s="55"/>
      <c r="RUH13" s="56"/>
      <c r="RUI13" s="57"/>
      <c r="RUJ13" s="57"/>
      <c r="RUK13" s="57"/>
      <c r="RUL13" s="57"/>
      <c r="RUM13" s="57"/>
      <c r="RUN13" s="57"/>
      <c r="RUO13" s="57"/>
      <c r="RUP13" s="57"/>
      <c r="RUQ13" s="57"/>
      <c r="RUR13" s="57"/>
      <c r="RUS13" s="57"/>
      <c r="RUT13" s="54"/>
      <c r="RUU13" s="54"/>
      <c r="RUV13" s="54"/>
      <c r="RUW13" s="55"/>
      <c r="RUX13" s="56"/>
      <c r="RUY13" s="57"/>
      <c r="RUZ13" s="57"/>
      <c r="RVA13" s="57"/>
      <c r="RVB13" s="57"/>
      <c r="RVC13" s="57"/>
      <c r="RVD13" s="57"/>
      <c r="RVE13" s="57"/>
      <c r="RVF13" s="57"/>
      <c r="RVG13" s="57"/>
      <c r="RVH13" s="57"/>
      <c r="RVI13" s="57"/>
      <c r="RVJ13" s="54"/>
      <c r="RVK13" s="54"/>
      <c r="RVL13" s="54"/>
      <c r="RVM13" s="55"/>
      <c r="RVN13" s="56"/>
      <c r="RVO13" s="57"/>
      <c r="RVP13" s="57"/>
      <c r="RVQ13" s="57"/>
      <c r="RVR13" s="57"/>
      <c r="RVS13" s="57"/>
      <c r="RVT13" s="57"/>
      <c r="RVU13" s="57"/>
      <c r="RVV13" s="57"/>
      <c r="RVW13" s="57"/>
      <c r="RVX13" s="57"/>
      <c r="RVY13" s="57"/>
      <c r="RVZ13" s="54"/>
      <c r="RWA13" s="54"/>
      <c r="RWB13" s="54"/>
      <c r="RWC13" s="55"/>
      <c r="RWD13" s="56"/>
      <c r="RWE13" s="57"/>
      <c r="RWF13" s="57"/>
      <c r="RWG13" s="57"/>
      <c r="RWH13" s="57"/>
      <c r="RWI13" s="57"/>
      <c r="RWJ13" s="57"/>
      <c r="RWK13" s="57"/>
      <c r="RWL13" s="57"/>
      <c r="RWM13" s="57"/>
      <c r="RWN13" s="57"/>
      <c r="RWO13" s="57"/>
      <c r="RWP13" s="54"/>
      <c r="RWQ13" s="54"/>
      <c r="RWR13" s="54"/>
      <c r="RWS13" s="55"/>
      <c r="RWT13" s="56"/>
      <c r="RWU13" s="57"/>
      <c r="RWV13" s="57"/>
      <c r="RWW13" s="57"/>
      <c r="RWX13" s="57"/>
      <c r="RWY13" s="57"/>
      <c r="RWZ13" s="57"/>
      <c r="RXA13" s="57"/>
      <c r="RXB13" s="57"/>
      <c r="RXC13" s="57"/>
      <c r="RXD13" s="57"/>
      <c r="RXE13" s="57"/>
      <c r="RXF13" s="54"/>
      <c r="RXG13" s="54"/>
      <c r="RXH13" s="54"/>
      <c r="RXI13" s="55"/>
      <c r="RXJ13" s="56"/>
      <c r="RXK13" s="57"/>
      <c r="RXL13" s="57"/>
      <c r="RXM13" s="57"/>
      <c r="RXN13" s="57"/>
      <c r="RXO13" s="57"/>
      <c r="RXP13" s="57"/>
      <c r="RXQ13" s="57"/>
      <c r="RXR13" s="57"/>
      <c r="RXS13" s="57"/>
      <c r="RXT13" s="57"/>
      <c r="RXU13" s="57"/>
      <c r="RXV13" s="54"/>
      <c r="RXW13" s="54"/>
      <c r="RXX13" s="54"/>
      <c r="RXY13" s="55"/>
      <c r="RXZ13" s="56"/>
      <c r="RYA13" s="57"/>
      <c r="RYB13" s="57"/>
      <c r="RYC13" s="57"/>
      <c r="RYD13" s="57"/>
      <c r="RYE13" s="57"/>
      <c r="RYF13" s="57"/>
      <c r="RYG13" s="57"/>
      <c r="RYH13" s="57"/>
      <c r="RYI13" s="57"/>
      <c r="RYJ13" s="57"/>
      <c r="RYK13" s="57"/>
      <c r="RYL13" s="54"/>
      <c r="RYM13" s="54"/>
      <c r="RYN13" s="54"/>
      <c r="RYO13" s="55"/>
      <c r="RYP13" s="56"/>
      <c r="RYQ13" s="57"/>
      <c r="RYR13" s="57"/>
      <c r="RYS13" s="57"/>
      <c r="RYT13" s="57"/>
      <c r="RYU13" s="57"/>
      <c r="RYV13" s="57"/>
      <c r="RYW13" s="57"/>
      <c r="RYX13" s="57"/>
      <c r="RYY13" s="57"/>
      <c r="RYZ13" s="57"/>
      <c r="RZA13" s="57"/>
      <c r="RZB13" s="54"/>
      <c r="RZC13" s="54"/>
      <c r="RZD13" s="54"/>
      <c r="RZE13" s="55"/>
      <c r="RZF13" s="56"/>
      <c r="RZG13" s="57"/>
      <c r="RZH13" s="57"/>
      <c r="RZI13" s="57"/>
      <c r="RZJ13" s="57"/>
      <c r="RZK13" s="57"/>
      <c r="RZL13" s="57"/>
      <c r="RZM13" s="57"/>
      <c r="RZN13" s="57"/>
      <c r="RZO13" s="57"/>
      <c r="RZP13" s="57"/>
      <c r="RZQ13" s="57"/>
      <c r="RZR13" s="54"/>
      <c r="RZS13" s="54"/>
      <c r="RZT13" s="54"/>
      <c r="RZU13" s="55"/>
      <c r="RZV13" s="56"/>
      <c r="RZW13" s="57"/>
      <c r="RZX13" s="57"/>
      <c r="RZY13" s="57"/>
      <c r="RZZ13" s="57"/>
      <c r="SAA13" s="57"/>
      <c r="SAB13" s="57"/>
      <c r="SAC13" s="57"/>
      <c r="SAD13" s="57"/>
      <c r="SAE13" s="57"/>
      <c r="SAF13" s="57"/>
      <c r="SAG13" s="57"/>
      <c r="SAH13" s="54"/>
      <c r="SAI13" s="54"/>
      <c r="SAJ13" s="54"/>
      <c r="SAK13" s="55"/>
      <c r="SAL13" s="56"/>
      <c r="SAM13" s="57"/>
      <c r="SAN13" s="57"/>
      <c r="SAO13" s="57"/>
      <c r="SAP13" s="57"/>
      <c r="SAQ13" s="57"/>
      <c r="SAR13" s="57"/>
      <c r="SAS13" s="57"/>
      <c r="SAT13" s="57"/>
      <c r="SAU13" s="57"/>
      <c r="SAV13" s="57"/>
      <c r="SAW13" s="57"/>
      <c r="SAX13" s="54"/>
      <c r="SAY13" s="54"/>
      <c r="SAZ13" s="54"/>
      <c r="SBA13" s="55"/>
      <c r="SBB13" s="56"/>
      <c r="SBC13" s="57"/>
      <c r="SBD13" s="57"/>
      <c r="SBE13" s="57"/>
      <c r="SBF13" s="57"/>
      <c r="SBG13" s="57"/>
      <c r="SBH13" s="57"/>
      <c r="SBI13" s="57"/>
      <c r="SBJ13" s="57"/>
      <c r="SBK13" s="57"/>
      <c r="SBL13" s="57"/>
      <c r="SBM13" s="57"/>
      <c r="SBN13" s="54"/>
      <c r="SBO13" s="54"/>
      <c r="SBP13" s="54"/>
      <c r="SBQ13" s="55"/>
      <c r="SBR13" s="56"/>
      <c r="SBS13" s="57"/>
      <c r="SBT13" s="57"/>
      <c r="SBU13" s="57"/>
      <c r="SBV13" s="57"/>
      <c r="SBW13" s="57"/>
      <c r="SBX13" s="57"/>
      <c r="SBY13" s="57"/>
      <c r="SBZ13" s="57"/>
      <c r="SCA13" s="57"/>
      <c r="SCB13" s="57"/>
      <c r="SCC13" s="57"/>
      <c r="SCD13" s="54"/>
      <c r="SCE13" s="54"/>
      <c r="SCF13" s="54"/>
      <c r="SCG13" s="55"/>
      <c r="SCH13" s="56"/>
      <c r="SCI13" s="57"/>
      <c r="SCJ13" s="57"/>
      <c r="SCK13" s="57"/>
      <c r="SCL13" s="57"/>
      <c r="SCM13" s="57"/>
      <c r="SCN13" s="57"/>
      <c r="SCO13" s="57"/>
      <c r="SCP13" s="57"/>
      <c r="SCQ13" s="57"/>
      <c r="SCR13" s="57"/>
      <c r="SCS13" s="57"/>
      <c r="SCT13" s="54"/>
      <c r="SCU13" s="54"/>
      <c r="SCV13" s="54"/>
      <c r="SCW13" s="55"/>
      <c r="SCX13" s="56"/>
      <c r="SCY13" s="57"/>
      <c r="SCZ13" s="57"/>
      <c r="SDA13" s="57"/>
      <c r="SDB13" s="57"/>
      <c r="SDC13" s="57"/>
      <c r="SDD13" s="57"/>
      <c r="SDE13" s="57"/>
      <c r="SDF13" s="57"/>
      <c r="SDG13" s="57"/>
      <c r="SDH13" s="57"/>
      <c r="SDI13" s="57"/>
      <c r="SDJ13" s="54"/>
      <c r="SDK13" s="54"/>
      <c r="SDL13" s="54"/>
      <c r="SDM13" s="55"/>
      <c r="SDN13" s="56"/>
      <c r="SDO13" s="57"/>
      <c r="SDP13" s="57"/>
      <c r="SDQ13" s="57"/>
      <c r="SDR13" s="57"/>
      <c r="SDS13" s="57"/>
      <c r="SDT13" s="57"/>
      <c r="SDU13" s="57"/>
      <c r="SDV13" s="57"/>
      <c r="SDW13" s="57"/>
      <c r="SDX13" s="57"/>
      <c r="SDY13" s="57"/>
      <c r="SDZ13" s="54"/>
      <c r="SEA13" s="54"/>
      <c r="SEB13" s="54"/>
      <c r="SEC13" s="55"/>
      <c r="SED13" s="56"/>
      <c r="SEE13" s="57"/>
      <c r="SEF13" s="57"/>
      <c r="SEG13" s="57"/>
      <c r="SEH13" s="57"/>
      <c r="SEI13" s="57"/>
      <c r="SEJ13" s="57"/>
      <c r="SEK13" s="57"/>
      <c r="SEL13" s="57"/>
      <c r="SEM13" s="57"/>
      <c r="SEN13" s="57"/>
      <c r="SEO13" s="57"/>
      <c r="SEP13" s="54"/>
      <c r="SEQ13" s="54"/>
      <c r="SER13" s="54"/>
      <c r="SES13" s="55"/>
      <c r="SET13" s="56"/>
      <c r="SEU13" s="57"/>
      <c r="SEV13" s="57"/>
      <c r="SEW13" s="57"/>
      <c r="SEX13" s="57"/>
      <c r="SEY13" s="57"/>
      <c r="SEZ13" s="57"/>
      <c r="SFA13" s="57"/>
      <c r="SFB13" s="57"/>
      <c r="SFC13" s="57"/>
      <c r="SFD13" s="57"/>
      <c r="SFE13" s="57"/>
      <c r="SFF13" s="54"/>
      <c r="SFG13" s="54"/>
      <c r="SFH13" s="54"/>
      <c r="SFI13" s="55"/>
      <c r="SFJ13" s="56"/>
      <c r="SFK13" s="57"/>
      <c r="SFL13" s="57"/>
      <c r="SFM13" s="57"/>
      <c r="SFN13" s="57"/>
      <c r="SFO13" s="57"/>
      <c r="SFP13" s="57"/>
      <c r="SFQ13" s="57"/>
      <c r="SFR13" s="57"/>
      <c r="SFS13" s="57"/>
      <c r="SFT13" s="57"/>
      <c r="SFU13" s="57"/>
      <c r="SFV13" s="54"/>
      <c r="SFW13" s="54"/>
      <c r="SFX13" s="54"/>
      <c r="SFY13" s="55"/>
      <c r="SFZ13" s="56"/>
      <c r="SGA13" s="57"/>
      <c r="SGB13" s="57"/>
      <c r="SGC13" s="57"/>
      <c r="SGD13" s="57"/>
      <c r="SGE13" s="57"/>
      <c r="SGF13" s="57"/>
      <c r="SGG13" s="57"/>
      <c r="SGH13" s="57"/>
      <c r="SGI13" s="57"/>
      <c r="SGJ13" s="57"/>
      <c r="SGK13" s="57"/>
      <c r="SGL13" s="54"/>
      <c r="SGM13" s="54"/>
      <c r="SGN13" s="54"/>
      <c r="SGO13" s="55"/>
      <c r="SGP13" s="56"/>
      <c r="SGQ13" s="57"/>
      <c r="SGR13" s="57"/>
      <c r="SGS13" s="57"/>
      <c r="SGT13" s="57"/>
      <c r="SGU13" s="57"/>
      <c r="SGV13" s="57"/>
      <c r="SGW13" s="57"/>
      <c r="SGX13" s="57"/>
      <c r="SGY13" s="57"/>
      <c r="SGZ13" s="57"/>
      <c r="SHA13" s="57"/>
      <c r="SHB13" s="54"/>
      <c r="SHC13" s="54"/>
      <c r="SHD13" s="54"/>
      <c r="SHE13" s="55"/>
      <c r="SHF13" s="56"/>
      <c r="SHG13" s="57"/>
      <c r="SHH13" s="57"/>
      <c r="SHI13" s="57"/>
      <c r="SHJ13" s="57"/>
      <c r="SHK13" s="57"/>
      <c r="SHL13" s="57"/>
      <c r="SHM13" s="57"/>
      <c r="SHN13" s="57"/>
      <c r="SHO13" s="57"/>
      <c r="SHP13" s="57"/>
      <c r="SHQ13" s="57"/>
      <c r="SHR13" s="54"/>
      <c r="SHS13" s="54"/>
      <c r="SHT13" s="54"/>
      <c r="SHU13" s="55"/>
      <c r="SHV13" s="56"/>
      <c r="SHW13" s="57"/>
      <c r="SHX13" s="57"/>
      <c r="SHY13" s="57"/>
      <c r="SHZ13" s="57"/>
      <c r="SIA13" s="57"/>
      <c r="SIB13" s="57"/>
      <c r="SIC13" s="57"/>
      <c r="SID13" s="57"/>
      <c r="SIE13" s="57"/>
      <c r="SIF13" s="57"/>
      <c r="SIG13" s="57"/>
      <c r="SIH13" s="54"/>
      <c r="SII13" s="54"/>
      <c r="SIJ13" s="54"/>
      <c r="SIK13" s="55"/>
      <c r="SIL13" s="56"/>
      <c r="SIM13" s="57"/>
      <c r="SIN13" s="57"/>
      <c r="SIO13" s="57"/>
      <c r="SIP13" s="57"/>
      <c r="SIQ13" s="57"/>
      <c r="SIR13" s="57"/>
      <c r="SIS13" s="57"/>
      <c r="SIT13" s="57"/>
      <c r="SIU13" s="57"/>
      <c r="SIV13" s="57"/>
      <c r="SIW13" s="57"/>
      <c r="SIX13" s="54"/>
      <c r="SIY13" s="54"/>
      <c r="SIZ13" s="54"/>
      <c r="SJA13" s="55"/>
      <c r="SJB13" s="56"/>
      <c r="SJC13" s="57"/>
      <c r="SJD13" s="57"/>
      <c r="SJE13" s="57"/>
      <c r="SJF13" s="57"/>
      <c r="SJG13" s="57"/>
      <c r="SJH13" s="57"/>
      <c r="SJI13" s="57"/>
      <c r="SJJ13" s="57"/>
      <c r="SJK13" s="57"/>
      <c r="SJL13" s="57"/>
      <c r="SJM13" s="57"/>
      <c r="SJN13" s="54"/>
      <c r="SJO13" s="54"/>
      <c r="SJP13" s="54"/>
      <c r="SJQ13" s="55"/>
      <c r="SJR13" s="56"/>
      <c r="SJS13" s="57"/>
      <c r="SJT13" s="57"/>
      <c r="SJU13" s="57"/>
      <c r="SJV13" s="57"/>
      <c r="SJW13" s="57"/>
      <c r="SJX13" s="57"/>
      <c r="SJY13" s="57"/>
      <c r="SJZ13" s="57"/>
      <c r="SKA13" s="57"/>
      <c r="SKB13" s="57"/>
      <c r="SKC13" s="57"/>
      <c r="SKD13" s="54"/>
      <c r="SKE13" s="54"/>
      <c r="SKF13" s="54"/>
      <c r="SKG13" s="55"/>
      <c r="SKH13" s="56"/>
      <c r="SKI13" s="57"/>
      <c r="SKJ13" s="57"/>
      <c r="SKK13" s="57"/>
      <c r="SKL13" s="57"/>
      <c r="SKM13" s="57"/>
      <c r="SKN13" s="57"/>
      <c r="SKO13" s="57"/>
      <c r="SKP13" s="57"/>
      <c r="SKQ13" s="57"/>
      <c r="SKR13" s="57"/>
      <c r="SKS13" s="57"/>
      <c r="SKT13" s="54"/>
      <c r="SKU13" s="54"/>
      <c r="SKV13" s="54"/>
      <c r="SKW13" s="55"/>
      <c r="SKX13" s="56"/>
      <c r="SKY13" s="57"/>
      <c r="SKZ13" s="57"/>
      <c r="SLA13" s="57"/>
      <c r="SLB13" s="57"/>
      <c r="SLC13" s="57"/>
      <c r="SLD13" s="57"/>
      <c r="SLE13" s="57"/>
      <c r="SLF13" s="57"/>
      <c r="SLG13" s="57"/>
      <c r="SLH13" s="57"/>
      <c r="SLI13" s="57"/>
      <c r="SLJ13" s="54"/>
      <c r="SLK13" s="54"/>
      <c r="SLL13" s="54"/>
      <c r="SLM13" s="55"/>
      <c r="SLN13" s="56"/>
      <c r="SLO13" s="57"/>
      <c r="SLP13" s="57"/>
      <c r="SLQ13" s="57"/>
      <c r="SLR13" s="57"/>
      <c r="SLS13" s="57"/>
      <c r="SLT13" s="57"/>
      <c r="SLU13" s="57"/>
      <c r="SLV13" s="57"/>
      <c r="SLW13" s="57"/>
      <c r="SLX13" s="57"/>
      <c r="SLY13" s="57"/>
      <c r="SLZ13" s="54"/>
      <c r="SMA13" s="54"/>
      <c r="SMB13" s="54"/>
      <c r="SMC13" s="55"/>
      <c r="SMD13" s="56"/>
      <c r="SME13" s="57"/>
      <c r="SMF13" s="57"/>
      <c r="SMG13" s="57"/>
      <c r="SMH13" s="57"/>
      <c r="SMI13" s="57"/>
      <c r="SMJ13" s="57"/>
      <c r="SMK13" s="57"/>
      <c r="SML13" s="57"/>
      <c r="SMM13" s="57"/>
      <c r="SMN13" s="57"/>
      <c r="SMO13" s="57"/>
      <c r="SMP13" s="54"/>
      <c r="SMQ13" s="54"/>
      <c r="SMR13" s="54"/>
      <c r="SMS13" s="55"/>
      <c r="SMT13" s="56"/>
      <c r="SMU13" s="57"/>
      <c r="SMV13" s="57"/>
      <c r="SMW13" s="57"/>
      <c r="SMX13" s="57"/>
      <c r="SMY13" s="57"/>
      <c r="SMZ13" s="57"/>
      <c r="SNA13" s="57"/>
      <c r="SNB13" s="57"/>
      <c r="SNC13" s="57"/>
      <c r="SND13" s="57"/>
      <c r="SNE13" s="57"/>
      <c r="SNF13" s="54"/>
      <c r="SNG13" s="54"/>
      <c r="SNH13" s="54"/>
      <c r="SNI13" s="55"/>
      <c r="SNJ13" s="56"/>
      <c r="SNK13" s="57"/>
      <c r="SNL13" s="57"/>
      <c r="SNM13" s="57"/>
      <c r="SNN13" s="57"/>
      <c r="SNO13" s="57"/>
      <c r="SNP13" s="57"/>
      <c r="SNQ13" s="57"/>
      <c r="SNR13" s="57"/>
      <c r="SNS13" s="57"/>
      <c r="SNT13" s="57"/>
      <c r="SNU13" s="57"/>
      <c r="SNV13" s="54"/>
      <c r="SNW13" s="54"/>
      <c r="SNX13" s="54"/>
      <c r="SNY13" s="55"/>
      <c r="SNZ13" s="56"/>
      <c r="SOA13" s="57"/>
      <c r="SOB13" s="57"/>
      <c r="SOC13" s="57"/>
      <c r="SOD13" s="57"/>
      <c r="SOE13" s="57"/>
      <c r="SOF13" s="57"/>
      <c r="SOG13" s="57"/>
      <c r="SOH13" s="57"/>
      <c r="SOI13" s="57"/>
      <c r="SOJ13" s="57"/>
      <c r="SOK13" s="57"/>
      <c r="SOL13" s="54"/>
      <c r="SOM13" s="54"/>
      <c r="SON13" s="54"/>
      <c r="SOO13" s="55"/>
      <c r="SOP13" s="56"/>
      <c r="SOQ13" s="57"/>
      <c r="SOR13" s="57"/>
      <c r="SOS13" s="57"/>
      <c r="SOT13" s="57"/>
      <c r="SOU13" s="57"/>
      <c r="SOV13" s="57"/>
      <c r="SOW13" s="57"/>
      <c r="SOX13" s="57"/>
      <c r="SOY13" s="57"/>
      <c r="SOZ13" s="57"/>
      <c r="SPA13" s="57"/>
      <c r="SPB13" s="54"/>
      <c r="SPC13" s="54"/>
      <c r="SPD13" s="54"/>
      <c r="SPE13" s="55"/>
      <c r="SPF13" s="56"/>
      <c r="SPG13" s="57"/>
      <c r="SPH13" s="57"/>
      <c r="SPI13" s="57"/>
      <c r="SPJ13" s="57"/>
      <c r="SPK13" s="57"/>
      <c r="SPL13" s="57"/>
      <c r="SPM13" s="57"/>
      <c r="SPN13" s="57"/>
      <c r="SPO13" s="57"/>
      <c r="SPP13" s="57"/>
      <c r="SPQ13" s="57"/>
      <c r="SPR13" s="54"/>
      <c r="SPS13" s="54"/>
      <c r="SPT13" s="54"/>
      <c r="SPU13" s="55"/>
      <c r="SPV13" s="56"/>
      <c r="SPW13" s="57"/>
      <c r="SPX13" s="57"/>
      <c r="SPY13" s="57"/>
      <c r="SPZ13" s="57"/>
      <c r="SQA13" s="57"/>
      <c r="SQB13" s="57"/>
      <c r="SQC13" s="57"/>
      <c r="SQD13" s="57"/>
      <c r="SQE13" s="57"/>
      <c r="SQF13" s="57"/>
      <c r="SQG13" s="57"/>
      <c r="SQH13" s="54"/>
      <c r="SQI13" s="54"/>
      <c r="SQJ13" s="54"/>
      <c r="SQK13" s="55"/>
      <c r="SQL13" s="56"/>
      <c r="SQM13" s="57"/>
      <c r="SQN13" s="57"/>
      <c r="SQO13" s="57"/>
      <c r="SQP13" s="57"/>
      <c r="SQQ13" s="57"/>
      <c r="SQR13" s="57"/>
      <c r="SQS13" s="57"/>
      <c r="SQT13" s="57"/>
      <c r="SQU13" s="57"/>
      <c r="SQV13" s="57"/>
      <c r="SQW13" s="57"/>
      <c r="SQX13" s="54"/>
      <c r="SQY13" s="54"/>
      <c r="SQZ13" s="54"/>
      <c r="SRA13" s="55"/>
      <c r="SRB13" s="56"/>
      <c r="SRC13" s="57"/>
      <c r="SRD13" s="57"/>
      <c r="SRE13" s="57"/>
      <c r="SRF13" s="57"/>
      <c r="SRG13" s="57"/>
      <c r="SRH13" s="57"/>
      <c r="SRI13" s="57"/>
      <c r="SRJ13" s="57"/>
      <c r="SRK13" s="57"/>
      <c r="SRL13" s="57"/>
      <c r="SRM13" s="57"/>
      <c r="SRN13" s="54"/>
      <c r="SRO13" s="54"/>
      <c r="SRP13" s="54"/>
      <c r="SRQ13" s="55"/>
      <c r="SRR13" s="56"/>
      <c r="SRS13" s="57"/>
      <c r="SRT13" s="57"/>
      <c r="SRU13" s="57"/>
      <c r="SRV13" s="57"/>
      <c r="SRW13" s="57"/>
      <c r="SRX13" s="57"/>
      <c r="SRY13" s="57"/>
      <c r="SRZ13" s="57"/>
      <c r="SSA13" s="57"/>
      <c r="SSB13" s="57"/>
      <c r="SSC13" s="57"/>
      <c r="SSD13" s="54"/>
      <c r="SSE13" s="54"/>
      <c r="SSF13" s="54"/>
      <c r="SSG13" s="55"/>
      <c r="SSH13" s="56"/>
      <c r="SSI13" s="57"/>
      <c r="SSJ13" s="57"/>
      <c r="SSK13" s="57"/>
      <c r="SSL13" s="57"/>
      <c r="SSM13" s="57"/>
      <c r="SSN13" s="57"/>
      <c r="SSO13" s="57"/>
      <c r="SSP13" s="57"/>
      <c r="SSQ13" s="57"/>
      <c r="SSR13" s="57"/>
      <c r="SSS13" s="57"/>
      <c r="SST13" s="54"/>
      <c r="SSU13" s="54"/>
      <c r="SSV13" s="54"/>
      <c r="SSW13" s="55"/>
      <c r="SSX13" s="56"/>
      <c r="SSY13" s="57"/>
      <c r="SSZ13" s="57"/>
      <c r="STA13" s="57"/>
      <c r="STB13" s="57"/>
      <c r="STC13" s="57"/>
      <c r="STD13" s="57"/>
      <c r="STE13" s="57"/>
      <c r="STF13" s="57"/>
      <c r="STG13" s="57"/>
      <c r="STH13" s="57"/>
      <c r="STI13" s="57"/>
      <c r="STJ13" s="54"/>
      <c r="STK13" s="54"/>
      <c r="STL13" s="54"/>
      <c r="STM13" s="55"/>
      <c r="STN13" s="56"/>
      <c r="STO13" s="57"/>
      <c r="STP13" s="57"/>
      <c r="STQ13" s="57"/>
      <c r="STR13" s="57"/>
      <c r="STS13" s="57"/>
      <c r="STT13" s="57"/>
      <c r="STU13" s="57"/>
      <c r="STV13" s="57"/>
      <c r="STW13" s="57"/>
      <c r="STX13" s="57"/>
      <c r="STY13" s="57"/>
      <c r="STZ13" s="54"/>
      <c r="SUA13" s="54"/>
      <c r="SUB13" s="54"/>
      <c r="SUC13" s="55"/>
      <c r="SUD13" s="56"/>
      <c r="SUE13" s="57"/>
      <c r="SUF13" s="57"/>
      <c r="SUG13" s="57"/>
      <c r="SUH13" s="57"/>
      <c r="SUI13" s="57"/>
      <c r="SUJ13" s="57"/>
      <c r="SUK13" s="57"/>
      <c r="SUL13" s="57"/>
      <c r="SUM13" s="57"/>
      <c r="SUN13" s="57"/>
      <c r="SUO13" s="57"/>
      <c r="SUP13" s="54"/>
      <c r="SUQ13" s="54"/>
      <c r="SUR13" s="54"/>
      <c r="SUS13" s="55"/>
      <c r="SUT13" s="56"/>
      <c r="SUU13" s="57"/>
      <c r="SUV13" s="57"/>
      <c r="SUW13" s="57"/>
      <c r="SUX13" s="57"/>
      <c r="SUY13" s="57"/>
      <c r="SUZ13" s="57"/>
      <c r="SVA13" s="57"/>
      <c r="SVB13" s="57"/>
      <c r="SVC13" s="57"/>
      <c r="SVD13" s="57"/>
      <c r="SVE13" s="57"/>
      <c r="SVF13" s="54"/>
      <c r="SVG13" s="54"/>
      <c r="SVH13" s="54"/>
      <c r="SVI13" s="55"/>
      <c r="SVJ13" s="56"/>
      <c r="SVK13" s="57"/>
      <c r="SVL13" s="57"/>
      <c r="SVM13" s="57"/>
      <c r="SVN13" s="57"/>
      <c r="SVO13" s="57"/>
      <c r="SVP13" s="57"/>
      <c r="SVQ13" s="57"/>
      <c r="SVR13" s="57"/>
      <c r="SVS13" s="57"/>
      <c r="SVT13" s="57"/>
      <c r="SVU13" s="57"/>
      <c r="SVV13" s="54"/>
      <c r="SVW13" s="54"/>
      <c r="SVX13" s="54"/>
      <c r="SVY13" s="55"/>
      <c r="SVZ13" s="56"/>
      <c r="SWA13" s="57"/>
      <c r="SWB13" s="57"/>
      <c r="SWC13" s="57"/>
      <c r="SWD13" s="57"/>
      <c r="SWE13" s="57"/>
      <c r="SWF13" s="57"/>
      <c r="SWG13" s="57"/>
      <c r="SWH13" s="57"/>
      <c r="SWI13" s="57"/>
      <c r="SWJ13" s="57"/>
      <c r="SWK13" s="57"/>
      <c r="SWL13" s="54"/>
      <c r="SWM13" s="54"/>
      <c r="SWN13" s="54"/>
      <c r="SWO13" s="55"/>
      <c r="SWP13" s="56"/>
      <c r="SWQ13" s="57"/>
      <c r="SWR13" s="57"/>
      <c r="SWS13" s="57"/>
      <c r="SWT13" s="57"/>
      <c r="SWU13" s="57"/>
      <c r="SWV13" s="57"/>
      <c r="SWW13" s="57"/>
      <c r="SWX13" s="57"/>
      <c r="SWY13" s="57"/>
      <c r="SWZ13" s="57"/>
      <c r="SXA13" s="57"/>
      <c r="SXB13" s="54"/>
      <c r="SXC13" s="54"/>
      <c r="SXD13" s="54"/>
      <c r="SXE13" s="55"/>
      <c r="SXF13" s="56"/>
      <c r="SXG13" s="57"/>
      <c r="SXH13" s="57"/>
      <c r="SXI13" s="57"/>
      <c r="SXJ13" s="57"/>
      <c r="SXK13" s="57"/>
      <c r="SXL13" s="57"/>
      <c r="SXM13" s="57"/>
      <c r="SXN13" s="57"/>
      <c r="SXO13" s="57"/>
      <c r="SXP13" s="57"/>
      <c r="SXQ13" s="57"/>
      <c r="SXR13" s="54"/>
      <c r="SXS13" s="54"/>
      <c r="SXT13" s="54"/>
      <c r="SXU13" s="55"/>
      <c r="SXV13" s="56"/>
      <c r="SXW13" s="57"/>
      <c r="SXX13" s="57"/>
      <c r="SXY13" s="57"/>
      <c r="SXZ13" s="57"/>
      <c r="SYA13" s="57"/>
      <c r="SYB13" s="57"/>
      <c r="SYC13" s="57"/>
      <c r="SYD13" s="57"/>
      <c r="SYE13" s="57"/>
      <c r="SYF13" s="57"/>
      <c r="SYG13" s="57"/>
      <c r="SYH13" s="54"/>
      <c r="SYI13" s="54"/>
      <c r="SYJ13" s="54"/>
      <c r="SYK13" s="55"/>
      <c r="SYL13" s="56"/>
      <c r="SYM13" s="57"/>
      <c r="SYN13" s="57"/>
      <c r="SYO13" s="57"/>
      <c r="SYP13" s="57"/>
      <c r="SYQ13" s="57"/>
      <c r="SYR13" s="57"/>
      <c r="SYS13" s="57"/>
      <c r="SYT13" s="57"/>
      <c r="SYU13" s="57"/>
      <c r="SYV13" s="57"/>
      <c r="SYW13" s="57"/>
      <c r="SYX13" s="54"/>
      <c r="SYY13" s="54"/>
      <c r="SYZ13" s="54"/>
      <c r="SZA13" s="55"/>
      <c r="SZB13" s="56"/>
      <c r="SZC13" s="57"/>
      <c r="SZD13" s="57"/>
      <c r="SZE13" s="57"/>
      <c r="SZF13" s="57"/>
      <c r="SZG13" s="57"/>
      <c r="SZH13" s="57"/>
      <c r="SZI13" s="57"/>
      <c r="SZJ13" s="57"/>
      <c r="SZK13" s="57"/>
      <c r="SZL13" s="57"/>
      <c r="SZM13" s="57"/>
      <c r="SZN13" s="54"/>
      <c r="SZO13" s="54"/>
      <c r="SZP13" s="54"/>
      <c r="SZQ13" s="55"/>
      <c r="SZR13" s="56"/>
      <c r="SZS13" s="57"/>
      <c r="SZT13" s="57"/>
      <c r="SZU13" s="57"/>
      <c r="SZV13" s="57"/>
      <c r="SZW13" s="57"/>
      <c r="SZX13" s="57"/>
      <c r="SZY13" s="57"/>
      <c r="SZZ13" s="57"/>
      <c r="TAA13" s="57"/>
      <c r="TAB13" s="57"/>
      <c r="TAC13" s="57"/>
      <c r="TAD13" s="54"/>
      <c r="TAE13" s="54"/>
      <c r="TAF13" s="54"/>
      <c r="TAG13" s="55"/>
      <c r="TAH13" s="56"/>
      <c r="TAI13" s="57"/>
      <c r="TAJ13" s="57"/>
      <c r="TAK13" s="57"/>
      <c r="TAL13" s="57"/>
      <c r="TAM13" s="57"/>
      <c r="TAN13" s="57"/>
      <c r="TAO13" s="57"/>
      <c r="TAP13" s="57"/>
      <c r="TAQ13" s="57"/>
      <c r="TAR13" s="57"/>
      <c r="TAS13" s="57"/>
      <c r="TAT13" s="54"/>
      <c r="TAU13" s="54"/>
      <c r="TAV13" s="54"/>
      <c r="TAW13" s="55"/>
      <c r="TAX13" s="56"/>
      <c r="TAY13" s="57"/>
      <c r="TAZ13" s="57"/>
      <c r="TBA13" s="57"/>
      <c r="TBB13" s="57"/>
      <c r="TBC13" s="57"/>
      <c r="TBD13" s="57"/>
      <c r="TBE13" s="57"/>
      <c r="TBF13" s="57"/>
      <c r="TBG13" s="57"/>
      <c r="TBH13" s="57"/>
      <c r="TBI13" s="57"/>
      <c r="TBJ13" s="54"/>
      <c r="TBK13" s="54"/>
      <c r="TBL13" s="54"/>
      <c r="TBM13" s="55"/>
      <c r="TBN13" s="56"/>
      <c r="TBO13" s="57"/>
      <c r="TBP13" s="57"/>
      <c r="TBQ13" s="57"/>
      <c r="TBR13" s="57"/>
      <c r="TBS13" s="57"/>
      <c r="TBT13" s="57"/>
      <c r="TBU13" s="57"/>
      <c r="TBV13" s="57"/>
      <c r="TBW13" s="57"/>
      <c r="TBX13" s="57"/>
      <c r="TBY13" s="57"/>
      <c r="TBZ13" s="54"/>
      <c r="TCA13" s="54"/>
      <c r="TCB13" s="54"/>
      <c r="TCC13" s="55"/>
      <c r="TCD13" s="56"/>
      <c r="TCE13" s="57"/>
      <c r="TCF13" s="57"/>
      <c r="TCG13" s="57"/>
      <c r="TCH13" s="57"/>
      <c r="TCI13" s="57"/>
      <c r="TCJ13" s="57"/>
      <c r="TCK13" s="57"/>
      <c r="TCL13" s="57"/>
      <c r="TCM13" s="57"/>
      <c r="TCN13" s="57"/>
      <c r="TCO13" s="57"/>
      <c r="TCP13" s="54"/>
      <c r="TCQ13" s="54"/>
      <c r="TCR13" s="54"/>
      <c r="TCS13" s="55"/>
      <c r="TCT13" s="56"/>
      <c r="TCU13" s="57"/>
      <c r="TCV13" s="57"/>
      <c r="TCW13" s="57"/>
      <c r="TCX13" s="57"/>
      <c r="TCY13" s="57"/>
      <c r="TCZ13" s="57"/>
      <c r="TDA13" s="57"/>
      <c r="TDB13" s="57"/>
      <c r="TDC13" s="57"/>
      <c r="TDD13" s="57"/>
      <c r="TDE13" s="57"/>
      <c r="TDF13" s="54"/>
      <c r="TDG13" s="54"/>
      <c r="TDH13" s="54"/>
      <c r="TDI13" s="55"/>
      <c r="TDJ13" s="56"/>
      <c r="TDK13" s="57"/>
      <c r="TDL13" s="57"/>
      <c r="TDM13" s="57"/>
      <c r="TDN13" s="57"/>
      <c r="TDO13" s="57"/>
      <c r="TDP13" s="57"/>
      <c r="TDQ13" s="57"/>
      <c r="TDR13" s="57"/>
      <c r="TDS13" s="57"/>
      <c r="TDT13" s="57"/>
      <c r="TDU13" s="57"/>
      <c r="TDV13" s="54"/>
      <c r="TDW13" s="54"/>
      <c r="TDX13" s="54"/>
      <c r="TDY13" s="55"/>
      <c r="TDZ13" s="56"/>
      <c r="TEA13" s="57"/>
      <c r="TEB13" s="57"/>
      <c r="TEC13" s="57"/>
      <c r="TED13" s="57"/>
      <c r="TEE13" s="57"/>
      <c r="TEF13" s="57"/>
      <c r="TEG13" s="57"/>
      <c r="TEH13" s="57"/>
      <c r="TEI13" s="57"/>
      <c r="TEJ13" s="57"/>
      <c r="TEK13" s="57"/>
      <c r="TEL13" s="54"/>
      <c r="TEM13" s="54"/>
      <c r="TEN13" s="54"/>
      <c r="TEO13" s="55"/>
      <c r="TEP13" s="56"/>
      <c r="TEQ13" s="57"/>
      <c r="TER13" s="57"/>
      <c r="TES13" s="57"/>
      <c r="TET13" s="57"/>
      <c r="TEU13" s="57"/>
      <c r="TEV13" s="57"/>
      <c r="TEW13" s="57"/>
      <c r="TEX13" s="57"/>
      <c r="TEY13" s="57"/>
      <c r="TEZ13" s="57"/>
      <c r="TFA13" s="57"/>
      <c r="TFB13" s="54"/>
      <c r="TFC13" s="54"/>
      <c r="TFD13" s="54"/>
      <c r="TFE13" s="55"/>
      <c r="TFF13" s="56"/>
      <c r="TFG13" s="57"/>
      <c r="TFH13" s="57"/>
      <c r="TFI13" s="57"/>
      <c r="TFJ13" s="57"/>
      <c r="TFK13" s="57"/>
      <c r="TFL13" s="57"/>
      <c r="TFM13" s="57"/>
      <c r="TFN13" s="57"/>
      <c r="TFO13" s="57"/>
      <c r="TFP13" s="57"/>
      <c r="TFQ13" s="57"/>
      <c r="TFR13" s="54"/>
      <c r="TFS13" s="54"/>
      <c r="TFT13" s="54"/>
      <c r="TFU13" s="55"/>
      <c r="TFV13" s="56"/>
      <c r="TFW13" s="57"/>
      <c r="TFX13" s="57"/>
      <c r="TFY13" s="57"/>
      <c r="TFZ13" s="57"/>
      <c r="TGA13" s="57"/>
      <c r="TGB13" s="57"/>
      <c r="TGC13" s="57"/>
      <c r="TGD13" s="57"/>
      <c r="TGE13" s="57"/>
      <c r="TGF13" s="57"/>
      <c r="TGG13" s="57"/>
      <c r="TGH13" s="54"/>
      <c r="TGI13" s="54"/>
      <c r="TGJ13" s="54"/>
      <c r="TGK13" s="55"/>
      <c r="TGL13" s="56"/>
      <c r="TGM13" s="57"/>
      <c r="TGN13" s="57"/>
      <c r="TGO13" s="57"/>
      <c r="TGP13" s="57"/>
      <c r="TGQ13" s="57"/>
      <c r="TGR13" s="57"/>
      <c r="TGS13" s="57"/>
      <c r="TGT13" s="57"/>
      <c r="TGU13" s="57"/>
      <c r="TGV13" s="57"/>
      <c r="TGW13" s="57"/>
      <c r="TGX13" s="54"/>
      <c r="TGY13" s="54"/>
      <c r="TGZ13" s="54"/>
      <c r="THA13" s="55"/>
      <c r="THB13" s="56"/>
      <c r="THC13" s="57"/>
      <c r="THD13" s="57"/>
      <c r="THE13" s="57"/>
      <c r="THF13" s="57"/>
      <c r="THG13" s="57"/>
      <c r="THH13" s="57"/>
      <c r="THI13" s="57"/>
      <c r="THJ13" s="57"/>
      <c r="THK13" s="57"/>
      <c r="THL13" s="57"/>
      <c r="THM13" s="57"/>
      <c r="THN13" s="54"/>
      <c r="THO13" s="54"/>
      <c r="THP13" s="54"/>
      <c r="THQ13" s="55"/>
      <c r="THR13" s="56"/>
      <c r="THS13" s="57"/>
      <c r="THT13" s="57"/>
      <c r="THU13" s="57"/>
      <c r="THV13" s="57"/>
      <c r="THW13" s="57"/>
      <c r="THX13" s="57"/>
      <c r="THY13" s="57"/>
      <c r="THZ13" s="57"/>
      <c r="TIA13" s="57"/>
      <c r="TIB13" s="57"/>
      <c r="TIC13" s="57"/>
      <c r="TID13" s="54"/>
      <c r="TIE13" s="54"/>
      <c r="TIF13" s="54"/>
      <c r="TIG13" s="55"/>
      <c r="TIH13" s="56"/>
      <c r="TII13" s="57"/>
      <c r="TIJ13" s="57"/>
      <c r="TIK13" s="57"/>
      <c r="TIL13" s="57"/>
      <c r="TIM13" s="57"/>
      <c r="TIN13" s="57"/>
      <c r="TIO13" s="57"/>
      <c r="TIP13" s="57"/>
      <c r="TIQ13" s="57"/>
      <c r="TIR13" s="57"/>
      <c r="TIS13" s="57"/>
      <c r="TIT13" s="54"/>
      <c r="TIU13" s="54"/>
      <c r="TIV13" s="54"/>
      <c r="TIW13" s="55"/>
      <c r="TIX13" s="56"/>
      <c r="TIY13" s="57"/>
      <c r="TIZ13" s="57"/>
      <c r="TJA13" s="57"/>
      <c r="TJB13" s="57"/>
      <c r="TJC13" s="57"/>
      <c r="TJD13" s="57"/>
      <c r="TJE13" s="57"/>
      <c r="TJF13" s="57"/>
      <c r="TJG13" s="57"/>
      <c r="TJH13" s="57"/>
      <c r="TJI13" s="57"/>
      <c r="TJJ13" s="54"/>
      <c r="TJK13" s="54"/>
      <c r="TJL13" s="54"/>
      <c r="TJM13" s="55"/>
      <c r="TJN13" s="56"/>
      <c r="TJO13" s="57"/>
      <c r="TJP13" s="57"/>
      <c r="TJQ13" s="57"/>
      <c r="TJR13" s="57"/>
      <c r="TJS13" s="57"/>
      <c r="TJT13" s="57"/>
      <c r="TJU13" s="57"/>
      <c r="TJV13" s="57"/>
      <c r="TJW13" s="57"/>
      <c r="TJX13" s="57"/>
      <c r="TJY13" s="57"/>
      <c r="TJZ13" s="54"/>
      <c r="TKA13" s="54"/>
      <c r="TKB13" s="54"/>
      <c r="TKC13" s="55"/>
      <c r="TKD13" s="56"/>
      <c r="TKE13" s="57"/>
      <c r="TKF13" s="57"/>
      <c r="TKG13" s="57"/>
      <c r="TKH13" s="57"/>
      <c r="TKI13" s="57"/>
      <c r="TKJ13" s="57"/>
      <c r="TKK13" s="57"/>
      <c r="TKL13" s="57"/>
      <c r="TKM13" s="57"/>
      <c r="TKN13" s="57"/>
      <c r="TKO13" s="57"/>
      <c r="TKP13" s="54"/>
      <c r="TKQ13" s="54"/>
      <c r="TKR13" s="54"/>
      <c r="TKS13" s="55"/>
      <c r="TKT13" s="56"/>
      <c r="TKU13" s="57"/>
      <c r="TKV13" s="57"/>
      <c r="TKW13" s="57"/>
      <c r="TKX13" s="57"/>
      <c r="TKY13" s="57"/>
      <c r="TKZ13" s="57"/>
      <c r="TLA13" s="57"/>
      <c r="TLB13" s="57"/>
      <c r="TLC13" s="57"/>
      <c r="TLD13" s="57"/>
      <c r="TLE13" s="57"/>
      <c r="TLF13" s="54"/>
      <c r="TLG13" s="54"/>
      <c r="TLH13" s="54"/>
      <c r="TLI13" s="55"/>
      <c r="TLJ13" s="56"/>
      <c r="TLK13" s="57"/>
      <c r="TLL13" s="57"/>
      <c r="TLM13" s="57"/>
      <c r="TLN13" s="57"/>
      <c r="TLO13" s="57"/>
      <c r="TLP13" s="57"/>
      <c r="TLQ13" s="57"/>
      <c r="TLR13" s="57"/>
      <c r="TLS13" s="57"/>
      <c r="TLT13" s="57"/>
      <c r="TLU13" s="57"/>
      <c r="TLV13" s="54"/>
      <c r="TLW13" s="54"/>
      <c r="TLX13" s="54"/>
      <c r="TLY13" s="55"/>
      <c r="TLZ13" s="56"/>
      <c r="TMA13" s="57"/>
      <c r="TMB13" s="57"/>
      <c r="TMC13" s="57"/>
      <c r="TMD13" s="57"/>
      <c r="TME13" s="57"/>
      <c r="TMF13" s="57"/>
      <c r="TMG13" s="57"/>
      <c r="TMH13" s="57"/>
      <c r="TMI13" s="57"/>
      <c r="TMJ13" s="57"/>
      <c r="TMK13" s="57"/>
      <c r="TML13" s="54"/>
      <c r="TMM13" s="54"/>
      <c r="TMN13" s="54"/>
      <c r="TMO13" s="55"/>
      <c r="TMP13" s="56"/>
      <c r="TMQ13" s="57"/>
      <c r="TMR13" s="57"/>
      <c r="TMS13" s="57"/>
      <c r="TMT13" s="57"/>
      <c r="TMU13" s="57"/>
      <c r="TMV13" s="57"/>
      <c r="TMW13" s="57"/>
      <c r="TMX13" s="57"/>
      <c r="TMY13" s="57"/>
      <c r="TMZ13" s="57"/>
      <c r="TNA13" s="57"/>
      <c r="TNB13" s="54"/>
      <c r="TNC13" s="54"/>
      <c r="TND13" s="54"/>
      <c r="TNE13" s="55"/>
      <c r="TNF13" s="56"/>
      <c r="TNG13" s="57"/>
      <c r="TNH13" s="57"/>
      <c r="TNI13" s="57"/>
      <c r="TNJ13" s="57"/>
      <c r="TNK13" s="57"/>
      <c r="TNL13" s="57"/>
      <c r="TNM13" s="57"/>
      <c r="TNN13" s="57"/>
      <c r="TNO13" s="57"/>
      <c r="TNP13" s="57"/>
      <c r="TNQ13" s="57"/>
      <c r="TNR13" s="54"/>
      <c r="TNS13" s="54"/>
      <c r="TNT13" s="54"/>
      <c r="TNU13" s="55"/>
      <c r="TNV13" s="56"/>
      <c r="TNW13" s="57"/>
      <c r="TNX13" s="57"/>
      <c r="TNY13" s="57"/>
      <c r="TNZ13" s="57"/>
      <c r="TOA13" s="57"/>
      <c r="TOB13" s="57"/>
      <c r="TOC13" s="57"/>
      <c r="TOD13" s="57"/>
      <c r="TOE13" s="57"/>
      <c r="TOF13" s="57"/>
      <c r="TOG13" s="57"/>
      <c r="TOH13" s="54"/>
      <c r="TOI13" s="54"/>
      <c r="TOJ13" s="54"/>
      <c r="TOK13" s="55"/>
      <c r="TOL13" s="56"/>
      <c r="TOM13" s="57"/>
      <c r="TON13" s="57"/>
      <c r="TOO13" s="57"/>
      <c r="TOP13" s="57"/>
      <c r="TOQ13" s="57"/>
      <c r="TOR13" s="57"/>
      <c r="TOS13" s="57"/>
      <c r="TOT13" s="57"/>
      <c r="TOU13" s="57"/>
      <c r="TOV13" s="57"/>
      <c r="TOW13" s="57"/>
      <c r="TOX13" s="54"/>
      <c r="TOY13" s="54"/>
      <c r="TOZ13" s="54"/>
      <c r="TPA13" s="55"/>
      <c r="TPB13" s="56"/>
      <c r="TPC13" s="57"/>
      <c r="TPD13" s="57"/>
      <c r="TPE13" s="57"/>
      <c r="TPF13" s="57"/>
      <c r="TPG13" s="57"/>
      <c r="TPH13" s="57"/>
      <c r="TPI13" s="57"/>
      <c r="TPJ13" s="57"/>
      <c r="TPK13" s="57"/>
      <c r="TPL13" s="57"/>
      <c r="TPM13" s="57"/>
      <c r="TPN13" s="54"/>
      <c r="TPO13" s="54"/>
      <c r="TPP13" s="54"/>
      <c r="TPQ13" s="55"/>
      <c r="TPR13" s="56"/>
      <c r="TPS13" s="57"/>
      <c r="TPT13" s="57"/>
      <c r="TPU13" s="57"/>
      <c r="TPV13" s="57"/>
      <c r="TPW13" s="57"/>
      <c r="TPX13" s="57"/>
      <c r="TPY13" s="57"/>
      <c r="TPZ13" s="57"/>
      <c r="TQA13" s="57"/>
      <c r="TQB13" s="57"/>
      <c r="TQC13" s="57"/>
      <c r="TQD13" s="54"/>
      <c r="TQE13" s="54"/>
      <c r="TQF13" s="54"/>
      <c r="TQG13" s="55"/>
      <c r="TQH13" s="56"/>
      <c r="TQI13" s="57"/>
      <c r="TQJ13" s="57"/>
      <c r="TQK13" s="57"/>
      <c r="TQL13" s="57"/>
      <c r="TQM13" s="57"/>
      <c r="TQN13" s="57"/>
      <c r="TQO13" s="57"/>
      <c r="TQP13" s="57"/>
      <c r="TQQ13" s="57"/>
      <c r="TQR13" s="57"/>
      <c r="TQS13" s="57"/>
      <c r="TQT13" s="54"/>
      <c r="TQU13" s="54"/>
      <c r="TQV13" s="54"/>
      <c r="TQW13" s="55"/>
      <c r="TQX13" s="56"/>
      <c r="TQY13" s="57"/>
      <c r="TQZ13" s="57"/>
      <c r="TRA13" s="57"/>
      <c r="TRB13" s="57"/>
      <c r="TRC13" s="57"/>
      <c r="TRD13" s="57"/>
      <c r="TRE13" s="57"/>
      <c r="TRF13" s="57"/>
      <c r="TRG13" s="57"/>
      <c r="TRH13" s="57"/>
      <c r="TRI13" s="57"/>
      <c r="TRJ13" s="54"/>
      <c r="TRK13" s="54"/>
      <c r="TRL13" s="54"/>
      <c r="TRM13" s="55"/>
      <c r="TRN13" s="56"/>
      <c r="TRO13" s="57"/>
      <c r="TRP13" s="57"/>
      <c r="TRQ13" s="57"/>
      <c r="TRR13" s="57"/>
      <c r="TRS13" s="57"/>
      <c r="TRT13" s="57"/>
      <c r="TRU13" s="57"/>
      <c r="TRV13" s="57"/>
      <c r="TRW13" s="57"/>
      <c r="TRX13" s="57"/>
      <c r="TRY13" s="57"/>
      <c r="TRZ13" s="54"/>
      <c r="TSA13" s="54"/>
      <c r="TSB13" s="54"/>
      <c r="TSC13" s="55"/>
      <c r="TSD13" s="56"/>
      <c r="TSE13" s="57"/>
      <c r="TSF13" s="57"/>
      <c r="TSG13" s="57"/>
      <c r="TSH13" s="57"/>
      <c r="TSI13" s="57"/>
      <c r="TSJ13" s="57"/>
      <c r="TSK13" s="57"/>
      <c r="TSL13" s="57"/>
      <c r="TSM13" s="57"/>
      <c r="TSN13" s="57"/>
      <c r="TSO13" s="57"/>
      <c r="TSP13" s="54"/>
      <c r="TSQ13" s="54"/>
      <c r="TSR13" s="54"/>
      <c r="TSS13" s="55"/>
      <c r="TST13" s="56"/>
      <c r="TSU13" s="57"/>
      <c r="TSV13" s="57"/>
      <c r="TSW13" s="57"/>
      <c r="TSX13" s="57"/>
      <c r="TSY13" s="57"/>
      <c r="TSZ13" s="57"/>
      <c r="TTA13" s="57"/>
      <c r="TTB13" s="57"/>
      <c r="TTC13" s="57"/>
      <c r="TTD13" s="57"/>
      <c r="TTE13" s="57"/>
      <c r="TTF13" s="54"/>
      <c r="TTG13" s="54"/>
      <c r="TTH13" s="54"/>
      <c r="TTI13" s="55"/>
      <c r="TTJ13" s="56"/>
      <c r="TTK13" s="57"/>
      <c r="TTL13" s="57"/>
      <c r="TTM13" s="57"/>
      <c r="TTN13" s="57"/>
      <c r="TTO13" s="57"/>
      <c r="TTP13" s="57"/>
      <c r="TTQ13" s="57"/>
      <c r="TTR13" s="57"/>
      <c r="TTS13" s="57"/>
      <c r="TTT13" s="57"/>
      <c r="TTU13" s="57"/>
      <c r="TTV13" s="54"/>
      <c r="TTW13" s="54"/>
      <c r="TTX13" s="54"/>
      <c r="TTY13" s="55"/>
      <c r="TTZ13" s="56"/>
      <c r="TUA13" s="57"/>
      <c r="TUB13" s="57"/>
      <c r="TUC13" s="57"/>
      <c r="TUD13" s="57"/>
      <c r="TUE13" s="57"/>
      <c r="TUF13" s="57"/>
      <c r="TUG13" s="57"/>
      <c r="TUH13" s="57"/>
      <c r="TUI13" s="57"/>
      <c r="TUJ13" s="57"/>
      <c r="TUK13" s="57"/>
      <c r="TUL13" s="54"/>
      <c r="TUM13" s="54"/>
      <c r="TUN13" s="54"/>
      <c r="TUO13" s="55"/>
      <c r="TUP13" s="56"/>
      <c r="TUQ13" s="57"/>
      <c r="TUR13" s="57"/>
      <c r="TUS13" s="57"/>
      <c r="TUT13" s="57"/>
      <c r="TUU13" s="57"/>
      <c r="TUV13" s="57"/>
      <c r="TUW13" s="57"/>
      <c r="TUX13" s="57"/>
      <c r="TUY13" s="57"/>
      <c r="TUZ13" s="57"/>
      <c r="TVA13" s="57"/>
      <c r="TVB13" s="54"/>
      <c r="TVC13" s="54"/>
      <c r="TVD13" s="54"/>
      <c r="TVE13" s="55"/>
      <c r="TVF13" s="56"/>
      <c r="TVG13" s="57"/>
      <c r="TVH13" s="57"/>
      <c r="TVI13" s="57"/>
      <c r="TVJ13" s="57"/>
      <c r="TVK13" s="57"/>
      <c r="TVL13" s="57"/>
      <c r="TVM13" s="57"/>
      <c r="TVN13" s="57"/>
      <c r="TVO13" s="57"/>
      <c r="TVP13" s="57"/>
      <c r="TVQ13" s="57"/>
      <c r="TVR13" s="54"/>
      <c r="TVS13" s="54"/>
      <c r="TVT13" s="54"/>
      <c r="TVU13" s="55"/>
      <c r="TVV13" s="56"/>
      <c r="TVW13" s="57"/>
      <c r="TVX13" s="57"/>
      <c r="TVY13" s="57"/>
      <c r="TVZ13" s="57"/>
      <c r="TWA13" s="57"/>
      <c r="TWB13" s="57"/>
      <c r="TWC13" s="57"/>
      <c r="TWD13" s="57"/>
      <c r="TWE13" s="57"/>
      <c r="TWF13" s="57"/>
      <c r="TWG13" s="57"/>
      <c r="TWH13" s="54"/>
      <c r="TWI13" s="54"/>
      <c r="TWJ13" s="54"/>
      <c r="TWK13" s="55"/>
      <c r="TWL13" s="56"/>
      <c r="TWM13" s="57"/>
      <c r="TWN13" s="57"/>
      <c r="TWO13" s="57"/>
      <c r="TWP13" s="57"/>
      <c r="TWQ13" s="57"/>
      <c r="TWR13" s="57"/>
      <c r="TWS13" s="57"/>
      <c r="TWT13" s="57"/>
      <c r="TWU13" s="57"/>
      <c r="TWV13" s="57"/>
      <c r="TWW13" s="57"/>
      <c r="TWX13" s="54"/>
      <c r="TWY13" s="54"/>
      <c r="TWZ13" s="54"/>
      <c r="TXA13" s="55"/>
      <c r="TXB13" s="56"/>
      <c r="TXC13" s="57"/>
      <c r="TXD13" s="57"/>
      <c r="TXE13" s="57"/>
      <c r="TXF13" s="57"/>
      <c r="TXG13" s="57"/>
      <c r="TXH13" s="57"/>
      <c r="TXI13" s="57"/>
      <c r="TXJ13" s="57"/>
      <c r="TXK13" s="57"/>
      <c r="TXL13" s="57"/>
      <c r="TXM13" s="57"/>
      <c r="TXN13" s="54"/>
      <c r="TXO13" s="54"/>
      <c r="TXP13" s="54"/>
      <c r="TXQ13" s="55"/>
      <c r="TXR13" s="56"/>
      <c r="TXS13" s="57"/>
      <c r="TXT13" s="57"/>
      <c r="TXU13" s="57"/>
      <c r="TXV13" s="57"/>
      <c r="TXW13" s="57"/>
      <c r="TXX13" s="57"/>
      <c r="TXY13" s="57"/>
      <c r="TXZ13" s="57"/>
      <c r="TYA13" s="57"/>
      <c r="TYB13" s="57"/>
      <c r="TYC13" s="57"/>
      <c r="TYD13" s="54"/>
      <c r="TYE13" s="54"/>
      <c r="TYF13" s="54"/>
      <c r="TYG13" s="55"/>
      <c r="TYH13" s="56"/>
      <c r="TYI13" s="57"/>
      <c r="TYJ13" s="57"/>
      <c r="TYK13" s="57"/>
      <c r="TYL13" s="57"/>
      <c r="TYM13" s="57"/>
      <c r="TYN13" s="57"/>
      <c r="TYO13" s="57"/>
      <c r="TYP13" s="57"/>
      <c r="TYQ13" s="57"/>
      <c r="TYR13" s="57"/>
      <c r="TYS13" s="57"/>
      <c r="TYT13" s="54"/>
      <c r="TYU13" s="54"/>
      <c r="TYV13" s="54"/>
      <c r="TYW13" s="55"/>
      <c r="TYX13" s="56"/>
      <c r="TYY13" s="57"/>
      <c r="TYZ13" s="57"/>
      <c r="TZA13" s="57"/>
      <c r="TZB13" s="57"/>
      <c r="TZC13" s="57"/>
      <c r="TZD13" s="57"/>
      <c r="TZE13" s="57"/>
      <c r="TZF13" s="57"/>
      <c r="TZG13" s="57"/>
      <c r="TZH13" s="57"/>
      <c r="TZI13" s="57"/>
      <c r="TZJ13" s="54"/>
      <c r="TZK13" s="54"/>
      <c r="TZL13" s="54"/>
      <c r="TZM13" s="55"/>
      <c r="TZN13" s="56"/>
      <c r="TZO13" s="57"/>
      <c r="TZP13" s="57"/>
      <c r="TZQ13" s="57"/>
      <c r="TZR13" s="57"/>
      <c r="TZS13" s="57"/>
      <c r="TZT13" s="57"/>
      <c r="TZU13" s="57"/>
      <c r="TZV13" s="57"/>
      <c r="TZW13" s="57"/>
      <c r="TZX13" s="57"/>
      <c r="TZY13" s="57"/>
      <c r="TZZ13" s="54"/>
      <c r="UAA13" s="54"/>
      <c r="UAB13" s="54"/>
      <c r="UAC13" s="55"/>
      <c r="UAD13" s="56"/>
      <c r="UAE13" s="57"/>
      <c r="UAF13" s="57"/>
      <c r="UAG13" s="57"/>
      <c r="UAH13" s="57"/>
      <c r="UAI13" s="57"/>
      <c r="UAJ13" s="57"/>
      <c r="UAK13" s="57"/>
      <c r="UAL13" s="57"/>
      <c r="UAM13" s="57"/>
      <c r="UAN13" s="57"/>
      <c r="UAO13" s="57"/>
      <c r="UAP13" s="54"/>
      <c r="UAQ13" s="54"/>
      <c r="UAR13" s="54"/>
      <c r="UAS13" s="55"/>
      <c r="UAT13" s="56"/>
      <c r="UAU13" s="57"/>
      <c r="UAV13" s="57"/>
      <c r="UAW13" s="57"/>
      <c r="UAX13" s="57"/>
      <c r="UAY13" s="57"/>
      <c r="UAZ13" s="57"/>
      <c r="UBA13" s="57"/>
      <c r="UBB13" s="57"/>
      <c r="UBC13" s="57"/>
      <c r="UBD13" s="57"/>
      <c r="UBE13" s="57"/>
      <c r="UBF13" s="54"/>
      <c r="UBG13" s="54"/>
      <c r="UBH13" s="54"/>
      <c r="UBI13" s="55"/>
      <c r="UBJ13" s="56"/>
      <c r="UBK13" s="57"/>
      <c r="UBL13" s="57"/>
      <c r="UBM13" s="57"/>
      <c r="UBN13" s="57"/>
      <c r="UBO13" s="57"/>
      <c r="UBP13" s="57"/>
      <c r="UBQ13" s="57"/>
      <c r="UBR13" s="57"/>
      <c r="UBS13" s="57"/>
      <c r="UBT13" s="57"/>
      <c r="UBU13" s="57"/>
      <c r="UBV13" s="54"/>
      <c r="UBW13" s="54"/>
      <c r="UBX13" s="54"/>
      <c r="UBY13" s="55"/>
      <c r="UBZ13" s="56"/>
      <c r="UCA13" s="57"/>
      <c r="UCB13" s="57"/>
      <c r="UCC13" s="57"/>
      <c r="UCD13" s="57"/>
      <c r="UCE13" s="57"/>
      <c r="UCF13" s="57"/>
      <c r="UCG13" s="57"/>
      <c r="UCH13" s="57"/>
      <c r="UCI13" s="57"/>
      <c r="UCJ13" s="57"/>
      <c r="UCK13" s="57"/>
      <c r="UCL13" s="54"/>
      <c r="UCM13" s="54"/>
      <c r="UCN13" s="54"/>
      <c r="UCO13" s="55"/>
      <c r="UCP13" s="56"/>
      <c r="UCQ13" s="57"/>
      <c r="UCR13" s="57"/>
      <c r="UCS13" s="57"/>
      <c r="UCT13" s="57"/>
      <c r="UCU13" s="57"/>
      <c r="UCV13" s="57"/>
      <c r="UCW13" s="57"/>
      <c r="UCX13" s="57"/>
      <c r="UCY13" s="57"/>
      <c r="UCZ13" s="57"/>
      <c r="UDA13" s="57"/>
      <c r="UDB13" s="54"/>
      <c r="UDC13" s="54"/>
      <c r="UDD13" s="54"/>
      <c r="UDE13" s="55"/>
      <c r="UDF13" s="56"/>
      <c r="UDG13" s="57"/>
      <c r="UDH13" s="57"/>
      <c r="UDI13" s="57"/>
      <c r="UDJ13" s="57"/>
      <c r="UDK13" s="57"/>
      <c r="UDL13" s="57"/>
      <c r="UDM13" s="57"/>
      <c r="UDN13" s="57"/>
      <c r="UDO13" s="57"/>
      <c r="UDP13" s="57"/>
      <c r="UDQ13" s="57"/>
      <c r="UDR13" s="54"/>
      <c r="UDS13" s="54"/>
      <c r="UDT13" s="54"/>
      <c r="UDU13" s="55"/>
      <c r="UDV13" s="56"/>
      <c r="UDW13" s="57"/>
      <c r="UDX13" s="57"/>
      <c r="UDY13" s="57"/>
      <c r="UDZ13" s="57"/>
      <c r="UEA13" s="57"/>
      <c r="UEB13" s="57"/>
      <c r="UEC13" s="57"/>
      <c r="UED13" s="57"/>
      <c r="UEE13" s="57"/>
      <c r="UEF13" s="57"/>
      <c r="UEG13" s="57"/>
      <c r="UEH13" s="54"/>
      <c r="UEI13" s="54"/>
      <c r="UEJ13" s="54"/>
      <c r="UEK13" s="55"/>
      <c r="UEL13" s="56"/>
      <c r="UEM13" s="57"/>
      <c r="UEN13" s="57"/>
      <c r="UEO13" s="57"/>
      <c r="UEP13" s="57"/>
      <c r="UEQ13" s="57"/>
      <c r="UER13" s="57"/>
      <c r="UES13" s="57"/>
      <c r="UET13" s="57"/>
      <c r="UEU13" s="57"/>
      <c r="UEV13" s="57"/>
      <c r="UEW13" s="57"/>
      <c r="UEX13" s="54"/>
      <c r="UEY13" s="54"/>
      <c r="UEZ13" s="54"/>
      <c r="UFA13" s="55"/>
      <c r="UFB13" s="56"/>
      <c r="UFC13" s="57"/>
      <c r="UFD13" s="57"/>
      <c r="UFE13" s="57"/>
      <c r="UFF13" s="57"/>
      <c r="UFG13" s="57"/>
      <c r="UFH13" s="57"/>
      <c r="UFI13" s="57"/>
      <c r="UFJ13" s="57"/>
      <c r="UFK13" s="57"/>
      <c r="UFL13" s="57"/>
      <c r="UFM13" s="57"/>
      <c r="UFN13" s="54"/>
      <c r="UFO13" s="54"/>
      <c r="UFP13" s="54"/>
      <c r="UFQ13" s="55"/>
      <c r="UFR13" s="56"/>
      <c r="UFS13" s="57"/>
      <c r="UFT13" s="57"/>
      <c r="UFU13" s="57"/>
      <c r="UFV13" s="57"/>
      <c r="UFW13" s="57"/>
      <c r="UFX13" s="57"/>
      <c r="UFY13" s="57"/>
      <c r="UFZ13" s="57"/>
      <c r="UGA13" s="57"/>
      <c r="UGB13" s="57"/>
      <c r="UGC13" s="57"/>
      <c r="UGD13" s="54"/>
      <c r="UGE13" s="54"/>
      <c r="UGF13" s="54"/>
      <c r="UGG13" s="55"/>
      <c r="UGH13" s="56"/>
      <c r="UGI13" s="57"/>
      <c r="UGJ13" s="57"/>
      <c r="UGK13" s="57"/>
      <c r="UGL13" s="57"/>
      <c r="UGM13" s="57"/>
      <c r="UGN13" s="57"/>
      <c r="UGO13" s="57"/>
      <c r="UGP13" s="57"/>
      <c r="UGQ13" s="57"/>
      <c r="UGR13" s="57"/>
      <c r="UGS13" s="57"/>
      <c r="UGT13" s="54"/>
      <c r="UGU13" s="54"/>
      <c r="UGV13" s="54"/>
      <c r="UGW13" s="55"/>
      <c r="UGX13" s="56"/>
      <c r="UGY13" s="57"/>
      <c r="UGZ13" s="57"/>
      <c r="UHA13" s="57"/>
      <c r="UHB13" s="57"/>
      <c r="UHC13" s="57"/>
      <c r="UHD13" s="57"/>
      <c r="UHE13" s="57"/>
      <c r="UHF13" s="57"/>
      <c r="UHG13" s="57"/>
      <c r="UHH13" s="57"/>
      <c r="UHI13" s="57"/>
      <c r="UHJ13" s="54"/>
      <c r="UHK13" s="54"/>
      <c r="UHL13" s="54"/>
      <c r="UHM13" s="55"/>
      <c r="UHN13" s="56"/>
      <c r="UHO13" s="57"/>
      <c r="UHP13" s="57"/>
      <c r="UHQ13" s="57"/>
      <c r="UHR13" s="57"/>
      <c r="UHS13" s="57"/>
      <c r="UHT13" s="57"/>
      <c r="UHU13" s="57"/>
      <c r="UHV13" s="57"/>
      <c r="UHW13" s="57"/>
      <c r="UHX13" s="57"/>
      <c r="UHY13" s="57"/>
      <c r="UHZ13" s="54"/>
      <c r="UIA13" s="54"/>
      <c r="UIB13" s="54"/>
      <c r="UIC13" s="55"/>
      <c r="UID13" s="56"/>
      <c r="UIE13" s="57"/>
      <c r="UIF13" s="57"/>
      <c r="UIG13" s="57"/>
      <c r="UIH13" s="57"/>
      <c r="UII13" s="57"/>
      <c r="UIJ13" s="57"/>
      <c r="UIK13" s="57"/>
      <c r="UIL13" s="57"/>
      <c r="UIM13" s="57"/>
      <c r="UIN13" s="57"/>
      <c r="UIO13" s="57"/>
      <c r="UIP13" s="54"/>
      <c r="UIQ13" s="54"/>
      <c r="UIR13" s="54"/>
      <c r="UIS13" s="55"/>
      <c r="UIT13" s="56"/>
      <c r="UIU13" s="57"/>
      <c r="UIV13" s="57"/>
      <c r="UIW13" s="57"/>
      <c r="UIX13" s="57"/>
      <c r="UIY13" s="57"/>
      <c r="UIZ13" s="57"/>
      <c r="UJA13" s="57"/>
      <c r="UJB13" s="57"/>
      <c r="UJC13" s="57"/>
      <c r="UJD13" s="57"/>
      <c r="UJE13" s="57"/>
      <c r="UJF13" s="54"/>
      <c r="UJG13" s="54"/>
      <c r="UJH13" s="54"/>
      <c r="UJI13" s="55"/>
      <c r="UJJ13" s="56"/>
      <c r="UJK13" s="57"/>
      <c r="UJL13" s="57"/>
      <c r="UJM13" s="57"/>
      <c r="UJN13" s="57"/>
      <c r="UJO13" s="57"/>
      <c r="UJP13" s="57"/>
      <c r="UJQ13" s="57"/>
      <c r="UJR13" s="57"/>
      <c r="UJS13" s="57"/>
      <c r="UJT13" s="57"/>
      <c r="UJU13" s="57"/>
      <c r="UJV13" s="54"/>
      <c r="UJW13" s="54"/>
      <c r="UJX13" s="54"/>
      <c r="UJY13" s="55"/>
      <c r="UJZ13" s="56"/>
      <c r="UKA13" s="57"/>
      <c r="UKB13" s="57"/>
      <c r="UKC13" s="57"/>
      <c r="UKD13" s="57"/>
      <c r="UKE13" s="57"/>
      <c r="UKF13" s="57"/>
      <c r="UKG13" s="57"/>
      <c r="UKH13" s="57"/>
      <c r="UKI13" s="57"/>
      <c r="UKJ13" s="57"/>
      <c r="UKK13" s="57"/>
      <c r="UKL13" s="54"/>
      <c r="UKM13" s="54"/>
      <c r="UKN13" s="54"/>
      <c r="UKO13" s="55"/>
      <c r="UKP13" s="56"/>
      <c r="UKQ13" s="57"/>
      <c r="UKR13" s="57"/>
      <c r="UKS13" s="57"/>
      <c r="UKT13" s="57"/>
      <c r="UKU13" s="57"/>
      <c r="UKV13" s="57"/>
      <c r="UKW13" s="57"/>
      <c r="UKX13" s="57"/>
      <c r="UKY13" s="57"/>
      <c r="UKZ13" s="57"/>
      <c r="ULA13" s="57"/>
      <c r="ULB13" s="54"/>
      <c r="ULC13" s="54"/>
      <c r="ULD13" s="54"/>
      <c r="ULE13" s="55"/>
      <c r="ULF13" s="56"/>
      <c r="ULG13" s="57"/>
      <c r="ULH13" s="57"/>
      <c r="ULI13" s="57"/>
      <c r="ULJ13" s="57"/>
      <c r="ULK13" s="57"/>
      <c r="ULL13" s="57"/>
      <c r="ULM13" s="57"/>
      <c r="ULN13" s="57"/>
      <c r="ULO13" s="57"/>
      <c r="ULP13" s="57"/>
      <c r="ULQ13" s="57"/>
      <c r="ULR13" s="54"/>
      <c r="ULS13" s="54"/>
      <c r="ULT13" s="54"/>
      <c r="ULU13" s="55"/>
      <c r="ULV13" s="56"/>
      <c r="ULW13" s="57"/>
      <c r="ULX13" s="57"/>
      <c r="ULY13" s="57"/>
      <c r="ULZ13" s="57"/>
      <c r="UMA13" s="57"/>
      <c r="UMB13" s="57"/>
      <c r="UMC13" s="57"/>
      <c r="UMD13" s="57"/>
      <c r="UME13" s="57"/>
      <c r="UMF13" s="57"/>
      <c r="UMG13" s="57"/>
      <c r="UMH13" s="54"/>
      <c r="UMI13" s="54"/>
      <c r="UMJ13" s="54"/>
      <c r="UMK13" s="55"/>
      <c r="UML13" s="56"/>
      <c r="UMM13" s="57"/>
      <c r="UMN13" s="57"/>
      <c r="UMO13" s="57"/>
      <c r="UMP13" s="57"/>
      <c r="UMQ13" s="57"/>
      <c r="UMR13" s="57"/>
      <c r="UMS13" s="57"/>
      <c r="UMT13" s="57"/>
      <c r="UMU13" s="57"/>
      <c r="UMV13" s="57"/>
      <c r="UMW13" s="57"/>
      <c r="UMX13" s="54"/>
      <c r="UMY13" s="54"/>
      <c r="UMZ13" s="54"/>
      <c r="UNA13" s="55"/>
      <c r="UNB13" s="56"/>
      <c r="UNC13" s="57"/>
      <c r="UND13" s="57"/>
      <c r="UNE13" s="57"/>
      <c r="UNF13" s="57"/>
      <c r="UNG13" s="57"/>
      <c r="UNH13" s="57"/>
      <c r="UNI13" s="57"/>
      <c r="UNJ13" s="57"/>
      <c r="UNK13" s="57"/>
      <c r="UNL13" s="57"/>
      <c r="UNM13" s="57"/>
      <c r="UNN13" s="54"/>
      <c r="UNO13" s="54"/>
      <c r="UNP13" s="54"/>
      <c r="UNQ13" s="55"/>
      <c r="UNR13" s="56"/>
      <c r="UNS13" s="57"/>
      <c r="UNT13" s="57"/>
      <c r="UNU13" s="57"/>
      <c r="UNV13" s="57"/>
      <c r="UNW13" s="57"/>
      <c r="UNX13" s="57"/>
      <c r="UNY13" s="57"/>
      <c r="UNZ13" s="57"/>
      <c r="UOA13" s="57"/>
      <c r="UOB13" s="57"/>
      <c r="UOC13" s="57"/>
      <c r="UOD13" s="54"/>
      <c r="UOE13" s="54"/>
      <c r="UOF13" s="54"/>
      <c r="UOG13" s="55"/>
      <c r="UOH13" s="56"/>
      <c r="UOI13" s="57"/>
      <c r="UOJ13" s="57"/>
      <c r="UOK13" s="57"/>
      <c r="UOL13" s="57"/>
      <c r="UOM13" s="57"/>
      <c r="UON13" s="57"/>
      <c r="UOO13" s="57"/>
      <c r="UOP13" s="57"/>
      <c r="UOQ13" s="57"/>
      <c r="UOR13" s="57"/>
      <c r="UOS13" s="57"/>
      <c r="UOT13" s="54"/>
      <c r="UOU13" s="54"/>
      <c r="UOV13" s="54"/>
      <c r="UOW13" s="55"/>
      <c r="UOX13" s="56"/>
      <c r="UOY13" s="57"/>
      <c r="UOZ13" s="57"/>
      <c r="UPA13" s="57"/>
      <c r="UPB13" s="57"/>
      <c r="UPC13" s="57"/>
      <c r="UPD13" s="57"/>
      <c r="UPE13" s="57"/>
      <c r="UPF13" s="57"/>
      <c r="UPG13" s="57"/>
      <c r="UPH13" s="57"/>
      <c r="UPI13" s="57"/>
      <c r="UPJ13" s="54"/>
      <c r="UPK13" s="54"/>
      <c r="UPL13" s="54"/>
      <c r="UPM13" s="55"/>
      <c r="UPN13" s="56"/>
      <c r="UPO13" s="57"/>
      <c r="UPP13" s="57"/>
      <c r="UPQ13" s="57"/>
      <c r="UPR13" s="57"/>
      <c r="UPS13" s="57"/>
      <c r="UPT13" s="57"/>
      <c r="UPU13" s="57"/>
      <c r="UPV13" s="57"/>
      <c r="UPW13" s="57"/>
      <c r="UPX13" s="57"/>
      <c r="UPY13" s="57"/>
      <c r="UPZ13" s="54"/>
      <c r="UQA13" s="54"/>
      <c r="UQB13" s="54"/>
      <c r="UQC13" s="55"/>
      <c r="UQD13" s="56"/>
      <c r="UQE13" s="57"/>
      <c r="UQF13" s="57"/>
      <c r="UQG13" s="57"/>
      <c r="UQH13" s="57"/>
      <c r="UQI13" s="57"/>
      <c r="UQJ13" s="57"/>
      <c r="UQK13" s="57"/>
      <c r="UQL13" s="57"/>
      <c r="UQM13" s="57"/>
      <c r="UQN13" s="57"/>
      <c r="UQO13" s="57"/>
      <c r="UQP13" s="54"/>
      <c r="UQQ13" s="54"/>
      <c r="UQR13" s="54"/>
      <c r="UQS13" s="55"/>
      <c r="UQT13" s="56"/>
      <c r="UQU13" s="57"/>
      <c r="UQV13" s="57"/>
      <c r="UQW13" s="57"/>
      <c r="UQX13" s="57"/>
      <c r="UQY13" s="57"/>
      <c r="UQZ13" s="57"/>
      <c r="URA13" s="57"/>
      <c r="URB13" s="57"/>
      <c r="URC13" s="57"/>
      <c r="URD13" s="57"/>
      <c r="URE13" s="57"/>
      <c r="URF13" s="54"/>
      <c r="URG13" s="54"/>
      <c r="URH13" s="54"/>
      <c r="URI13" s="55"/>
      <c r="URJ13" s="56"/>
      <c r="URK13" s="57"/>
      <c r="URL13" s="57"/>
      <c r="URM13" s="57"/>
      <c r="URN13" s="57"/>
      <c r="URO13" s="57"/>
      <c r="URP13" s="57"/>
      <c r="URQ13" s="57"/>
      <c r="URR13" s="57"/>
      <c r="URS13" s="57"/>
      <c r="URT13" s="57"/>
      <c r="URU13" s="57"/>
      <c r="URV13" s="54"/>
      <c r="URW13" s="54"/>
      <c r="URX13" s="54"/>
      <c r="URY13" s="55"/>
      <c r="URZ13" s="56"/>
      <c r="USA13" s="57"/>
      <c r="USB13" s="57"/>
      <c r="USC13" s="57"/>
      <c r="USD13" s="57"/>
      <c r="USE13" s="57"/>
      <c r="USF13" s="57"/>
      <c r="USG13" s="57"/>
      <c r="USH13" s="57"/>
      <c r="USI13" s="57"/>
      <c r="USJ13" s="57"/>
      <c r="USK13" s="57"/>
      <c r="USL13" s="54"/>
      <c r="USM13" s="54"/>
      <c r="USN13" s="54"/>
      <c r="USO13" s="55"/>
      <c r="USP13" s="56"/>
      <c r="USQ13" s="57"/>
      <c r="USR13" s="57"/>
      <c r="USS13" s="57"/>
      <c r="UST13" s="57"/>
      <c r="USU13" s="57"/>
      <c r="USV13" s="57"/>
      <c r="USW13" s="57"/>
      <c r="USX13" s="57"/>
      <c r="USY13" s="57"/>
      <c r="USZ13" s="57"/>
      <c r="UTA13" s="57"/>
      <c r="UTB13" s="54"/>
      <c r="UTC13" s="54"/>
      <c r="UTD13" s="54"/>
      <c r="UTE13" s="55"/>
      <c r="UTF13" s="56"/>
      <c r="UTG13" s="57"/>
      <c r="UTH13" s="57"/>
      <c r="UTI13" s="57"/>
      <c r="UTJ13" s="57"/>
      <c r="UTK13" s="57"/>
      <c r="UTL13" s="57"/>
      <c r="UTM13" s="57"/>
      <c r="UTN13" s="57"/>
      <c r="UTO13" s="57"/>
      <c r="UTP13" s="57"/>
      <c r="UTQ13" s="57"/>
      <c r="UTR13" s="54"/>
      <c r="UTS13" s="54"/>
      <c r="UTT13" s="54"/>
      <c r="UTU13" s="55"/>
      <c r="UTV13" s="56"/>
      <c r="UTW13" s="57"/>
      <c r="UTX13" s="57"/>
      <c r="UTY13" s="57"/>
      <c r="UTZ13" s="57"/>
      <c r="UUA13" s="57"/>
      <c r="UUB13" s="57"/>
      <c r="UUC13" s="57"/>
      <c r="UUD13" s="57"/>
      <c r="UUE13" s="57"/>
      <c r="UUF13" s="57"/>
      <c r="UUG13" s="57"/>
      <c r="UUH13" s="54"/>
      <c r="UUI13" s="54"/>
      <c r="UUJ13" s="54"/>
      <c r="UUK13" s="55"/>
      <c r="UUL13" s="56"/>
      <c r="UUM13" s="57"/>
      <c r="UUN13" s="57"/>
      <c r="UUO13" s="57"/>
      <c r="UUP13" s="57"/>
      <c r="UUQ13" s="57"/>
      <c r="UUR13" s="57"/>
      <c r="UUS13" s="57"/>
      <c r="UUT13" s="57"/>
      <c r="UUU13" s="57"/>
      <c r="UUV13" s="57"/>
      <c r="UUW13" s="57"/>
      <c r="UUX13" s="54"/>
      <c r="UUY13" s="54"/>
      <c r="UUZ13" s="54"/>
      <c r="UVA13" s="55"/>
      <c r="UVB13" s="56"/>
      <c r="UVC13" s="57"/>
      <c r="UVD13" s="57"/>
      <c r="UVE13" s="57"/>
      <c r="UVF13" s="57"/>
      <c r="UVG13" s="57"/>
      <c r="UVH13" s="57"/>
      <c r="UVI13" s="57"/>
      <c r="UVJ13" s="57"/>
      <c r="UVK13" s="57"/>
      <c r="UVL13" s="57"/>
      <c r="UVM13" s="57"/>
      <c r="UVN13" s="54"/>
      <c r="UVO13" s="54"/>
      <c r="UVP13" s="54"/>
      <c r="UVQ13" s="55"/>
      <c r="UVR13" s="56"/>
      <c r="UVS13" s="57"/>
      <c r="UVT13" s="57"/>
      <c r="UVU13" s="57"/>
      <c r="UVV13" s="57"/>
      <c r="UVW13" s="57"/>
      <c r="UVX13" s="57"/>
      <c r="UVY13" s="57"/>
      <c r="UVZ13" s="57"/>
      <c r="UWA13" s="57"/>
      <c r="UWB13" s="57"/>
      <c r="UWC13" s="57"/>
      <c r="UWD13" s="54"/>
      <c r="UWE13" s="54"/>
      <c r="UWF13" s="54"/>
      <c r="UWG13" s="55"/>
      <c r="UWH13" s="56"/>
      <c r="UWI13" s="57"/>
      <c r="UWJ13" s="57"/>
      <c r="UWK13" s="57"/>
      <c r="UWL13" s="57"/>
      <c r="UWM13" s="57"/>
      <c r="UWN13" s="57"/>
      <c r="UWO13" s="57"/>
      <c r="UWP13" s="57"/>
      <c r="UWQ13" s="57"/>
      <c r="UWR13" s="57"/>
      <c r="UWS13" s="57"/>
      <c r="UWT13" s="54"/>
      <c r="UWU13" s="54"/>
      <c r="UWV13" s="54"/>
      <c r="UWW13" s="55"/>
      <c r="UWX13" s="56"/>
      <c r="UWY13" s="57"/>
      <c r="UWZ13" s="57"/>
      <c r="UXA13" s="57"/>
      <c r="UXB13" s="57"/>
      <c r="UXC13" s="57"/>
      <c r="UXD13" s="57"/>
      <c r="UXE13" s="57"/>
      <c r="UXF13" s="57"/>
      <c r="UXG13" s="57"/>
      <c r="UXH13" s="57"/>
      <c r="UXI13" s="57"/>
      <c r="UXJ13" s="54"/>
      <c r="UXK13" s="54"/>
      <c r="UXL13" s="54"/>
      <c r="UXM13" s="55"/>
      <c r="UXN13" s="56"/>
      <c r="UXO13" s="57"/>
      <c r="UXP13" s="57"/>
      <c r="UXQ13" s="57"/>
      <c r="UXR13" s="57"/>
      <c r="UXS13" s="57"/>
      <c r="UXT13" s="57"/>
      <c r="UXU13" s="57"/>
      <c r="UXV13" s="57"/>
      <c r="UXW13" s="57"/>
      <c r="UXX13" s="57"/>
      <c r="UXY13" s="57"/>
      <c r="UXZ13" s="54"/>
      <c r="UYA13" s="54"/>
      <c r="UYB13" s="54"/>
      <c r="UYC13" s="55"/>
      <c r="UYD13" s="56"/>
      <c r="UYE13" s="57"/>
      <c r="UYF13" s="57"/>
      <c r="UYG13" s="57"/>
      <c r="UYH13" s="57"/>
      <c r="UYI13" s="57"/>
      <c r="UYJ13" s="57"/>
      <c r="UYK13" s="57"/>
      <c r="UYL13" s="57"/>
      <c r="UYM13" s="57"/>
      <c r="UYN13" s="57"/>
      <c r="UYO13" s="57"/>
      <c r="UYP13" s="54"/>
      <c r="UYQ13" s="54"/>
      <c r="UYR13" s="54"/>
      <c r="UYS13" s="55"/>
      <c r="UYT13" s="56"/>
      <c r="UYU13" s="57"/>
      <c r="UYV13" s="57"/>
      <c r="UYW13" s="57"/>
      <c r="UYX13" s="57"/>
      <c r="UYY13" s="57"/>
      <c r="UYZ13" s="57"/>
      <c r="UZA13" s="57"/>
      <c r="UZB13" s="57"/>
      <c r="UZC13" s="57"/>
      <c r="UZD13" s="57"/>
      <c r="UZE13" s="57"/>
      <c r="UZF13" s="54"/>
      <c r="UZG13" s="54"/>
      <c r="UZH13" s="54"/>
      <c r="UZI13" s="55"/>
      <c r="UZJ13" s="56"/>
      <c r="UZK13" s="57"/>
      <c r="UZL13" s="57"/>
      <c r="UZM13" s="57"/>
      <c r="UZN13" s="57"/>
      <c r="UZO13" s="57"/>
      <c r="UZP13" s="57"/>
      <c r="UZQ13" s="57"/>
      <c r="UZR13" s="57"/>
      <c r="UZS13" s="57"/>
      <c r="UZT13" s="57"/>
      <c r="UZU13" s="57"/>
      <c r="UZV13" s="54"/>
      <c r="UZW13" s="54"/>
      <c r="UZX13" s="54"/>
      <c r="UZY13" s="55"/>
      <c r="UZZ13" s="56"/>
      <c r="VAA13" s="57"/>
      <c r="VAB13" s="57"/>
      <c r="VAC13" s="57"/>
      <c r="VAD13" s="57"/>
      <c r="VAE13" s="57"/>
      <c r="VAF13" s="57"/>
      <c r="VAG13" s="57"/>
      <c r="VAH13" s="57"/>
      <c r="VAI13" s="57"/>
      <c r="VAJ13" s="57"/>
      <c r="VAK13" s="57"/>
      <c r="VAL13" s="54"/>
      <c r="VAM13" s="54"/>
      <c r="VAN13" s="54"/>
      <c r="VAO13" s="55"/>
      <c r="VAP13" s="56"/>
      <c r="VAQ13" s="57"/>
      <c r="VAR13" s="57"/>
      <c r="VAS13" s="57"/>
      <c r="VAT13" s="57"/>
      <c r="VAU13" s="57"/>
      <c r="VAV13" s="57"/>
      <c r="VAW13" s="57"/>
      <c r="VAX13" s="57"/>
      <c r="VAY13" s="57"/>
      <c r="VAZ13" s="57"/>
      <c r="VBA13" s="57"/>
      <c r="VBB13" s="54"/>
      <c r="VBC13" s="54"/>
      <c r="VBD13" s="54"/>
      <c r="VBE13" s="55"/>
      <c r="VBF13" s="56"/>
      <c r="VBG13" s="57"/>
      <c r="VBH13" s="57"/>
      <c r="VBI13" s="57"/>
      <c r="VBJ13" s="57"/>
      <c r="VBK13" s="57"/>
      <c r="VBL13" s="57"/>
      <c r="VBM13" s="57"/>
      <c r="VBN13" s="57"/>
      <c r="VBO13" s="57"/>
      <c r="VBP13" s="57"/>
      <c r="VBQ13" s="57"/>
      <c r="VBR13" s="54"/>
      <c r="VBS13" s="54"/>
      <c r="VBT13" s="54"/>
      <c r="VBU13" s="55"/>
      <c r="VBV13" s="56"/>
      <c r="VBW13" s="57"/>
      <c r="VBX13" s="57"/>
      <c r="VBY13" s="57"/>
      <c r="VBZ13" s="57"/>
      <c r="VCA13" s="57"/>
      <c r="VCB13" s="57"/>
      <c r="VCC13" s="57"/>
      <c r="VCD13" s="57"/>
      <c r="VCE13" s="57"/>
      <c r="VCF13" s="57"/>
      <c r="VCG13" s="57"/>
      <c r="VCH13" s="54"/>
      <c r="VCI13" s="54"/>
      <c r="VCJ13" s="54"/>
      <c r="VCK13" s="55"/>
      <c r="VCL13" s="56"/>
      <c r="VCM13" s="57"/>
      <c r="VCN13" s="57"/>
      <c r="VCO13" s="57"/>
      <c r="VCP13" s="57"/>
      <c r="VCQ13" s="57"/>
      <c r="VCR13" s="57"/>
      <c r="VCS13" s="57"/>
      <c r="VCT13" s="57"/>
      <c r="VCU13" s="57"/>
      <c r="VCV13" s="57"/>
      <c r="VCW13" s="57"/>
      <c r="VCX13" s="54"/>
      <c r="VCY13" s="54"/>
      <c r="VCZ13" s="54"/>
      <c r="VDA13" s="55"/>
      <c r="VDB13" s="56"/>
      <c r="VDC13" s="57"/>
      <c r="VDD13" s="57"/>
      <c r="VDE13" s="57"/>
      <c r="VDF13" s="57"/>
      <c r="VDG13" s="57"/>
      <c r="VDH13" s="57"/>
      <c r="VDI13" s="57"/>
      <c r="VDJ13" s="57"/>
      <c r="VDK13" s="57"/>
      <c r="VDL13" s="57"/>
      <c r="VDM13" s="57"/>
      <c r="VDN13" s="54"/>
      <c r="VDO13" s="54"/>
      <c r="VDP13" s="54"/>
      <c r="VDQ13" s="55"/>
      <c r="VDR13" s="56"/>
      <c r="VDS13" s="57"/>
      <c r="VDT13" s="57"/>
      <c r="VDU13" s="57"/>
      <c r="VDV13" s="57"/>
      <c r="VDW13" s="57"/>
      <c r="VDX13" s="57"/>
      <c r="VDY13" s="57"/>
      <c r="VDZ13" s="57"/>
      <c r="VEA13" s="57"/>
      <c r="VEB13" s="57"/>
      <c r="VEC13" s="57"/>
      <c r="VED13" s="54"/>
      <c r="VEE13" s="54"/>
      <c r="VEF13" s="54"/>
      <c r="VEG13" s="55"/>
      <c r="VEH13" s="56"/>
      <c r="VEI13" s="57"/>
      <c r="VEJ13" s="57"/>
      <c r="VEK13" s="57"/>
      <c r="VEL13" s="57"/>
      <c r="VEM13" s="57"/>
      <c r="VEN13" s="57"/>
      <c r="VEO13" s="57"/>
      <c r="VEP13" s="57"/>
      <c r="VEQ13" s="57"/>
      <c r="VER13" s="57"/>
      <c r="VES13" s="57"/>
      <c r="VET13" s="54"/>
      <c r="VEU13" s="54"/>
      <c r="VEV13" s="54"/>
      <c r="VEW13" s="55"/>
      <c r="VEX13" s="56"/>
      <c r="VEY13" s="57"/>
      <c r="VEZ13" s="57"/>
      <c r="VFA13" s="57"/>
      <c r="VFB13" s="57"/>
      <c r="VFC13" s="57"/>
      <c r="VFD13" s="57"/>
      <c r="VFE13" s="57"/>
      <c r="VFF13" s="57"/>
      <c r="VFG13" s="57"/>
      <c r="VFH13" s="57"/>
      <c r="VFI13" s="57"/>
      <c r="VFJ13" s="54"/>
      <c r="VFK13" s="54"/>
      <c r="VFL13" s="54"/>
      <c r="VFM13" s="55"/>
      <c r="VFN13" s="56"/>
      <c r="VFO13" s="57"/>
      <c r="VFP13" s="57"/>
      <c r="VFQ13" s="57"/>
      <c r="VFR13" s="57"/>
      <c r="VFS13" s="57"/>
      <c r="VFT13" s="57"/>
      <c r="VFU13" s="57"/>
      <c r="VFV13" s="57"/>
      <c r="VFW13" s="57"/>
      <c r="VFX13" s="57"/>
      <c r="VFY13" s="57"/>
      <c r="VFZ13" s="54"/>
      <c r="VGA13" s="54"/>
      <c r="VGB13" s="54"/>
      <c r="VGC13" s="55"/>
      <c r="VGD13" s="56"/>
      <c r="VGE13" s="57"/>
      <c r="VGF13" s="57"/>
      <c r="VGG13" s="57"/>
      <c r="VGH13" s="57"/>
      <c r="VGI13" s="57"/>
      <c r="VGJ13" s="57"/>
      <c r="VGK13" s="57"/>
      <c r="VGL13" s="57"/>
      <c r="VGM13" s="57"/>
      <c r="VGN13" s="57"/>
      <c r="VGO13" s="57"/>
      <c r="VGP13" s="54"/>
      <c r="VGQ13" s="54"/>
      <c r="VGR13" s="54"/>
      <c r="VGS13" s="55"/>
      <c r="VGT13" s="56"/>
      <c r="VGU13" s="57"/>
      <c r="VGV13" s="57"/>
      <c r="VGW13" s="57"/>
      <c r="VGX13" s="57"/>
      <c r="VGY13" s="57"/>
      <c r="VGZ13" s="57"/>
      <c r="VHA13" s="57"/>
      <c r="VHB13" s="57"/>
      <c r="VHC13" s="57"/>
      <c r="VHD13" s="57"/>
      <c r="VHE13" s="57"/>
      <c r="VHF13" s="54"/>
      <c r="VHG13" s="54"/>
      <c r="VHH13" s="54"/>
      <c r="VHI13" s="55"/>
      <c r="VHJ13" s="56"/>
      <c r="VHK13" s="57"/>
      <c r="VHL13" s="57"/>
      <c r="VHM13" s="57"/>
      <c r="VHN13" s="57"/>
      <c r="VHO13" s="57"/>
      <c r="VHP13" s="57"/>
      <c r="VHQ13" s="57"/>
      <c r="VHR13" s="57"/>
      <c r="VHS13" s="57"/>
      <c r="VHT13" s="57"/>
      <c r="VHU13" s="57"/>
      <c r="VHV13" s="54"/>
      <c r="VHW13" s="54"/>
      <c r="VHX13" s="54"/>
      <c r="VHY13" s="55"/>
      <c r="VHZ13" s="56"/>
      <c r="VIA13" s="57"/>
      <c r="VIB13" s="57"/>
      <c r="VIC13" s="57"/>
      <c r="VID13" s="57"/>
      <c r="VIE13" s="57"/>
      <c r="VIF13" s="57"/>
      <c r="VIG13" s="57"/>
      <c r="VIH13" s="57"/>
      <c r="VII13" s="57"/>
      <c r="VIJ13" s="57"/>
      <c r="VIK13" s="57"/>
      <c r="VIL13" s="54"/>
      <c r="VIM13" s="54"/>
      <c r="VIN13" s="54"/>
      <c r="VIO13" s="55"/>
      <c r="VIP13" s="56"/>
      <c r="VIQ13" s="57"/>
      <c r="VIR13" s="57"/>
      <c r="VIS13" s="57"/>
      <c r="VIT13" s="57"/>
      <c r="VIU13" s="57"/>
      <c r="VIV13" s="57"/>
      <c r="VIW13" s="57"/>
      <c r="VIX13" s="57"/>
      <c r="VIY13" s="57"/>
      <c r="VIZ13" s="57"/>
      <c r="VJA13" s="57"/>
      <c r="VJB13" s="54"/>
      <c r="VJC13" s="54"/>
      <c r="VJD13" s="54"/>
      <c r="VJE13" s="55"/>
      <c r="VJF13" s="56"/>
      <c r="VJG13" s="57"/>
      <c r="VJH13" s="57"/>
      <c r="VJI13" s="57"/>
      <c r="VJJ13" s="57"/>
      <c r="VJK13" s="57"/>
      <c r="VJL13" s="57"/>
      <c r="VJM13" s="57"/>
      <c r="VJN13" s="57"/>
      <c r="VJO13" s="57"/>
      <c r="VJP13" s="57"/>
      <c r="VJQ13" s="57"/>
      <c r="VJR13" s="54"/>
      <c r="VJS13" s="54"/>
      <c r="VJT13" s="54"/>
      <c r="VJU13" s="55"/>
      <c r="VJV13" s="56"/>
      <c r="VJW13" s="57"/>
      <c r="VJX13" s="57"/>
      <c r="VJY13" s="57"/>
      <c r="VJZ13" s="57"/>
      <c r="VKA13" s="57"/>
      <c r="VKB13" s="57"/>
      <c r="VKC13" s="57"/>
      <c r="VKD13" s="57"/>
      <c r="VKE13" s="57"/>
      <c r="VKF13" s="57"/>
      <c r="VKG13" s="57"/>
      <c r="VKH13" s="54"/>
      <c r="VKI13" s="54"/>
      <c r="VKJ13" s="54"/>
      <c r="VKK13" s="55"/>
      <c r="VKL13" s="56"/>
      <c r="VKM13" s="57"/>
      <c r="VKN13" s="57"/>
      <c r="VKO13" s="57"/>
      <c r="VKP13" s="57"/>
      <c r="VKQ13" s="57"/>
      <c r="VKR13" s="57"/>
      <c r="VKS13" s="57"/>
      <c r="VKT13" s="57"/>
      <c r="VKU13" s="57"/>
      <c r="VKV13" s="57"/>
      <c r="VKW13" s="57"/>
      <c r="VKX13" s="54"/>
      <c r="VKY13" s="54"/>
      <c r="VKZ13" s="54"/>
      <c r="VLA13" s="55"/>
      <c r="VLB13" s="56"/>
      <c r="VLC13" s="57"/>
      <c r="VLD13" s="57"/>
      <c r="VLE13" s="57"/>
      <c r="VLF13" s="57"/>
      <c r="VLG13" s="57"/>
      <c r="VLH13" s="57"/>
      <c r="VLI13" s="57"/>
      <c r="VLJ13" s="57"/>
      <c r="VLK13" s="57"/>
      <c r="VLL13" s="57"/>
      <c r="VLM13" s="57"/>
      <c r="VLN13" s="54"/>
      <c r="VLO13" s="54"/>
      <c r="VLP13" s="54"/>
      <c r="VLQ13" s="55"/>
      <c r="VLR13" s="56"/>
      <c r="VLS13" s="57"/>
      <c r="VLT13" s="57"/>
      <c r="VLU13" s="57"/>
      <c r="VLV13" s="57"/>
      <c r="VLW13" s="57"/>
      <c r="VLX13" s="57"/>
      <c r="VLY13" s="57"/>
      <c r="VLZ13" s="57"/>
      <c r="VMA13" s="57"/>
      <c r="VMB13" s="57"/>
      <c r="VMC13" s="57"/>
      <c r="VMD13" s="54"/>
      <c r="VME13" s="54"/>
      <c r="VMF13" s="54"/>
      <c r="VMG13" s="55"/>
      <c r="VMH13" s="56"/>
      <c r="VMI13" s="57"/>
      <c r="VMJ13" s="57"/>
      <c r="VMK13" s="57"/>
      <c r="VML13" s="57"/>
      <c r="VMM13" s="57"/>
      <c r="VMN13" s="57"/>
      <c r="VMO13" s="57"/>
      <c r="VMP13" s="57"/>
      <c r="VMQ13" s="57"/>
      <c r="VMR13" s="57"/>
      <c r="VMS13" s="57"/>
      <c r="VMT13" s="54"/>
      <c r="VMU13" s="54"/>
      <c r="VMV13" s="54"/>
      <c r="VMW13" s="55"/>
      <c r="VMX13" s="56"/>
      <c r="VMY13" s="57"/>
      <c r="VMZ13" s="57"/>
      <c r="VNA13" s="57"/>
      <c r="VNB13" s="57"/>
      <c r="VNC13" s="57"/>
      <c r="VND13" s="57"/>
      <c r="VNE13" s="57"/>
      <c r="VNF13" s="57"/>
      <c r="VNG13" s="57"/>
      <c r="VNH13" s="57"/>
      <c r="VNI13" s="57"/>
      <c r="VNJ13" s="54"/>
      <c r="VNK13" s="54"/>
      <c r="VNL13" s="54"/>
      <c r="VNM13" s="55"/>
      <c r="VNN13" s="56"/>
      <c r="VNO13" s="57"/>
      <c r="VNP13" s="57"/>
      <c r="VNQ13" s="57"/>
      <c r="VNR13" s="57"/>
      <c r="VNS13" s="57"/>
      <c r="VNT13" s="57"/>
      <c r="VNU13" s="57"/>
      <c r="VNV13" s="57"/>
      <c r="VNW13" s="57"/>
      <c r="VNX13" s="57"/>
      <c r="VNY13" s="57"/>
      <c r="VNZ13" s="54"/>
      <c r="VOA13" s="54"/>
      <c r="VOB13" s="54"/>
      <c r="VOC13" s="55"/>
      <c r="VOD13" s="56"/>
      <c r="VOE13" s="57"/>
      <c r="VOF13" s="57"/>
      <c r="VOG13" s="57"/>
      <c r="VOH13" s="57"/>
      <c r="VOI13" s="57"/>
      <c r="VOJ13" s="57"/>
      <c r="VOK13" s="57"/>
      <c r="VOL13" s="57"/>
      <c r="VOM13" s="57"/>
      <c r="VON13" s="57"/>
      <c r="VOO13" s="57"/>
      <c r="VOP13" s="54"/>
      <c r="VOQ13" s="54"/>
      <c r="VOR13" s="54"/>
      <c r="VOS13" s="55"/>
      <c r="VOT13" s="56"/>
      <c r="VOU13" s="57"/>
      <c r="VOV13" s="57"/>
      <c r="VOW13" s="57"/>
      <c r="VOX13" s="57"/>
      <c r="VOY13" s="57"/>
      <c r="VOZ13" s="57"/>
      <c r="VPA13" s="57"/>
      <c r="VPB13" s="57"/>
      <c r="VPC13" s="57"/>
      <c r="VPD13" s="57"/>
      <c r="VPE13" s="57"/>
      <c r="VPF13" s="54"/>
      <c r="VPG13" s="54"/>
      <c r="VPH13" s="54"/>
      <c r="VPI13" s="55"/>
      <c r="VPJ13" s="56"/>
      <c r="VPK13" s="57"/>
      <c r="VPL13" s="57"/>
      <c r="VPM13" s="57"/>
      <c r="VPN13" s="57"/>
      <c r="VPO13" s="57"/>
      <c r="VPP13" s="57"/>
      <c r="VPQ13" s="57"/>
      <c r="VPR13" s="57"/>
      <c r="VPS13" s="57"/>
      <c r="VPT13" s="57"/>
      <c r="VPU13" s="57"/>
      <c r="VPV13" s="54"/>
      <c r="VPW13" s="54"/>
      <c r="VPX13" s="54"/>
      <c r="VPY13" s="55"/>
      <c r="VPZ13" s="56"/>
      <c r="VQA13" s="57"/>
      <c r="VQB13" s="57"/>
      <c r="VQC13" s="57"/>
      <c r="VQD13" s="57"/>
      <c r="VQE13" s="57"/>
      <c r="VQF13" s="57"/>
      <c r="VQG13" s="57"/>
      <c r="VQH13" s="57"/>
      <c r="VQI13" s="57"/>
      <c r="VQJ13" s="57"/>
      <c r="VQK13" s="57"/>
      <c r="VQL13" s="54"/>
      <c r="VQM13" s="54"/>
      <c r="VQN13" s="54"/>
      <c r="VQO13" s="55"/>
      <c r="VQP13" s="56"/>
      <c r="VQQ13" s="57"/>
      <c r="VQR13" s="57"/>
      <c r="VQS13" s="57"/>
      <c r="VQT13" s="57"/>
      <c r="VQU13" s="57"/>
      <c r="VQV13" s="57"/>
      <c r="VQW13" s="57"/>
      <c r="VQX13" s="57"/>
      <c r="VQY13" s="57"/>
      <c r="VQZ13" s="57"/>
      <c r="VRA13" s="57"/>
      <c r="VRB13" s="54"/>
      <c r="VRC13" s="54"/>
      <c r="VRD13" s="54"/>
      <c r="VRE13" s="55"/>
      <c r="VRF13" s="56"/>
      <c r="VRG13" s="57"/>
      <c r="VRH13" s="57"/>
      <c r="VRI13" s="57"/>
      <c r="VRJ13" s="57"/>
      <c r="VRK13" s="57"/>
      <c r="VRL13" s="57"/>
      <c r="VRM13" s="57"/>
      <c r="VRN13" s="57"/>
      <c r="VRO13" s="57"/>
      <c r="VRP13" s="57"/>
      <c r="VRQ13" s="57"/>
      <c r="VRR13" s="54"/>
      <c r="VRS13" s="54"/>
      <c r="VRT13" s="54"/>
      <c r="VRU13" s="55"/>
      <c r="VRV13" s="56"/>
      <c r="VRW13" s="57"/>
      <c r="VRX13" s="57"/>
      <c r="VRY13" s="57"/>
      <c r="VRZ13" s="57"/>
      <c r="VSA13" s="57"/>
      <c r="VSB13" s="57"/>
      <c r="VSC13" s="57"/>
      <c r="VSD13" s="57"/>
      <c r="VSE13" s="57"/>
      <c r="VSF13" s="57"/>
      <c r="VSG13" s="57"/>
      <c r="VSH13" s="54"/>
      <c r="VSI13" s="54"/>
      <c r="VSJ13" s="54"/>
      <c r="VSK13" s="55"/>
      <c r="VSL13" s="56"/>
      <c r="VSM13" s="57"/>
      <c r="VSN13" s="57"/>
      <c r="VSO13" s="57"/>
      <c r="VSP13" s="57"/>
      <c r="VSQ13" s="57"/>
      <c r="VSR13" s="57"/>
      <c r="VSS13" s="57"/>
      <c r="VST13" s="57"/>
      <c r="VSU13" s="57"/>
      <c r="VSV13" s="57"/>
      <c r="VSW13" s="57"/>
      <c r="VSX13" s="54"/>
      <c r="VSY13" s="54"/>
      <c r="VSZ13" s="54"/>
      <c r="VTA13" s="55"/>
      <c r="VTB13" s="56"/>
      <c r="VTC13" s="57"/>
      <c r="VTD13" s="57"/>
      <c r="VTE13" s="57"/>
      <c r="VTF13" s="57"/>
      <c r="VTG13" s="57"/>
      <c r="VTH13" s="57"/>
      <c r="VTI13" s="57"/>
      <c r="VTJ13" s="57"/>
      <c r="VTK13" s="57"/>
      <c r="VTL13" s="57"/>
      <c r="VTM13" s="57"/>
      <c r="VTN13" s="54"/>
      <c r="VTO13" s="54"/>
      <c r="VTP13" s="54"/>
      <c r="VTQ13" s="55"/>
      <c r="VTR13" s="56"/>
      <c r="VTS13" s="57"/>
      <c r="VTT13" s="57"/>
      <c r="VTU13" s="57"/>
      <c r="VTV13" s="57"/>
      <c r="VTW13" s="57"/>
      <c r="VTX13" s="57"/>
      <c r="VTY13" s="57"/>
      <c r="VTZ13" s="57"/>
      <c r="VUA13" s="57"/>
      <c r="VUB13" s="57"/>
      <c r="VUC13" s="57"/>
      <c r="VUD13" s="54"/>
      <c r="VUE13" s="54"/>
      <c r="VUF13" s="54"/>
      <c r="VUG13" s="55"/>
      <c r="VUH13" s="56"/>
      <c r="VUI13" s="57"/>
      <c r="VUJ13" s="57"/>
      <c r="VUK13" s="57"/>
      <c r="VUL13" s="57"/>
      <c r="VUM13" s="57"/>
      <c r="VUN13" s="57"/>
      <c r="VUO13" s="57"/>
      <c r="VUP13" s="57"/>
      <c r="VUQ13" s="57"/>
      <c r="VUR13" s="57"/>
      <c r="VUS13" s="57"/>
      <c r="VUT13" s="54"/>
      <c r="VUU13" s="54"/>
      <c r="VUV13" s="54"/>
      <c r="VUW13" s="55"/>
      <c r="VUX13" s="56"/>
      <c r="VUY13" s="57"/>
      <c r="VUZ13" s="57"/>
      <c r="VVA13" s="57"/>
      <c r="VVB13" s="57"/>
      <c r="VVC13" s="57"/>
      <c r="VVD13" s="57"/>
      <c r="VVE13" s="57"/>
      <c r="VVF13" s="57"/>
      <c r="VVG13" s="57"/>
      <c r="VVH13" s="57"/>
      <c r="VVI13" s="57"/>
      <c r="VVJ13" s="54"/>
      <c r="VVK13" s="54"/>
      <c r="VVL13" s="54"/>
      <c r="VVM13" s="55"/>
      <c r="VVN13" s="56"/>
      <c r="VVO13" s="57"/>
      <c r="VVP13" s="57"/>
      <c r="VVQ13" s="57"/>
      <c r="VVR13" s="57"/>
      <c r="VVS13" s="57"/>
      <c r="VVT13" s="57"/>
      <c r="VVU13" s="57"/>
      <c r="VVV13" s="57"/>
      <c r="VVW13" s="57"/>
      <c r="VVX13" s="57"/>
      <c r="VVY13" s="57"/>
      <c r="VVZ13" s="54"/>
      <c r="VWA13" s="54"/>
      <c r="VWB13" s="54"/>
      <c r="VWC13" s="55"/>
      <c r="VWD13" s="56"/>
      <c r="VWE13" s="57"/>
      <c r="VWF13" s="57"/>
      <c r="VWG13" s="57"/>
      <c r="VWH13" s="57"/>
      <c r="VWI13" s="57"/>
      <c r="VWJ13" s="57"/>
      <c r="VWK13" s="57"/>
      <c r="VWL13" s="57"/>
      <c r="VWM13" s="57"/>
      <c r="VWN13" s="57"/>
      <c r="VWO13" s="57"/>
      <c r="VWP13" s="54"/>
      <c r="VWQ13" s="54"/>
      <c r="VWR13" s="54"/>
      <c r="VWS13" s="55"/>
      <c r="VWT13" s="56"/>
      <c r="VWU13" s="57"/>
      <c r="VWV13" s="57"/>
      <c r="VWW13" s="57"/>
      <c r="VWX13" s="57"/>
      <c r="VWY13" s="57"/>
      <c r="VWZ13" s="57"/>
      <c r="VXA13" s="57"/>
      <c r="VXB13" s="57"/>
      <c r="VXC13" s="57"/>
      <c r="VXD13" s="57"/>
      <c r="VXE13" s="57"/>
      <c r="VXF13" s="54"/>
      <c r="VXG13" s="54"/>
      <c r="VXH13" s="54"/>
      <c r="VXI13" s="55"/>
      <c r="VXJ13" s="56"/>
      <c r="VXK13" s="57"/>
      <c r="VXL13" s="57"/>
      <c r="VXM13" s="57"/>
      <c r="VXN13" s="57"/>
      <c r="VXO13" s="57"/>
      <c r="VXP13" s="57"/>
      <c r="VXQ13" s="57"/>
      <c r="VXR13" s="57"/>
      <c r="VXS13" s="57"/>
      <c r="VXT13" s="57"/>
      <c r="VXU13" s="57"/>
      <c r="VXV13" s="54"/>
      <c r="VXW13" s="54"/>
      <c r="VXX13" s="54"/>
      <c r="VXY13" s="55"/>
      <c r="VXZ13" s="56"/>
      <c r="VYA13" s="57"/>
      <c r="VYB13" s="57"/>
      <c r="VYC13" s="57"/>
      <c r="VYD13" s="57"/>
      <c r="VYE13" s="57"/>
      <c r="VYF13" s="57"/>
      <c r="VYG13" s="57"/>
      <c r="VYH13" s="57"/>
      <c r="VYI13" s="57"/>
      <c r="VYJ13" s="57"/>
      <c r="VYK13" s="57"/>
      <c r="VYL13" s="54"/>
      <c r="VYM13" s="54"/>
      <c r="VYN13" s="54"/>
      <c r="VYO13" s="55"/>
      <c r="VYP13" s="56"/>
      <c r="VYQ13" s="57"/>
      <c r="VYR13" s="57"/>
      <c r="VYS13" s="57"/>
      <c r="VYT13" s="57"/>
      <c r="VYU13" s="57"/>
      <c r="VYV13" s="57"/>
      <c r="VYW13" s="57"/>
      <c r="VYX13" s="57"/>
      <c r="VYY13" s="57"/>
      <c r="VYZ13" s="57"/>
      <c r="VZA13" s="57"/>
      <c r="VZB13" s="54"/>
      <c r="VZC13" s="54"/>
      <c r="VZD13" s="54"/>
      <c r="VZE13" s="55"/>
      <c r="VZF13" s="56"/>
      <c r="VZG13" s="57"/>
      <c r="VZH13" s="57"/>
      <c r="VZI13" s="57"/>
      <c r="VZJ13" s="57"/>
      <c r="VZK13" s="57"/>
      <c r="VZL13" s="57"/>
      <c r="VZM13" s="57"/>
      <c r="VZN13" s="57"/>
      <c r="VZO13" s="57"/>
      <c r="VZP13" s="57"/>
      <c r="VZQ13" s="57"/>
      <c r="VZR13" s="54"/>
      <c r="VZS13" s="54"/>
      <c r="VZT13" s="54"/>
      <c r="VZU13" s="55"/>
      <c r="VZV13" s="56"/>
      <c r="VZW13" s="57"/>
      <c r="VZX13" s="57"/>
      <c r="VZY13" s="57"/>
      <c r="VZZ13" s="57"/>
      <c r="WAA13" s="57"/>
      <c r="WAB13" s="57"/>
      <c r="WAC13" s="57"/>
      <c r="WAD13" s="57"/>
      <c r="WAE13" s="57"/>
      <c r="WAF13" s="57"/>
      <c r="WAG13" s="57"/>
      <c r="WAH13" s="54"/>
      <c r="WAI13" s="54"/>
      <c r="WAJ13" s="54"/>
      <c r="WAK13" s="55"/>
      <c r="WAL13" s="56"/>
      <c r="WAM13" s="57"/>
      <c r="WAN13" s="57"/>
      <c r="WAO13" s="57"/>
      <c r="WAP13" s="57"/>
      <c r="WAQ13" s="57"/>
      <c r="WAR13" s="57"/>
      <c r="WAS13" s="57"/>
      <c r="WAT13" s="57"/>
      <c r="WAU13" s="57"/>
      <c r="WAV13" s="57"/>
      <c r="WAW13" s="57"/>
      <c r="WAX13" s="54"/>
      <c r="WAY13" s="54"/>
      <c r="WAZ13" s="54"/>
      <c r="WBA13" s="55"/>
      <c r="WBB13" s="56"/>
      <c r="WBC13" s="57"/>
      <c r="WBD13" s="57"/>
      <c r="WBE13" s="57"/>
      <c r="WBF13" s="57"/>
      <c r="WBG13" s="57"/>
      <c r="WBH13" s="57"/>
      <c r="WBI13" s="57"/>
      <c r="WBJ13" s="57"/>
      <c r="WBK13" s="57"/>
      <c r="WBL13" s="57"/>
      <c r="WBM13" s="57"/>
      <c r="WBN13" s="54"/>
      <c r="WBO13" s="54"/>
      <c r="WBP13" s="54"/>
      <c r="WBQ13" s="55"/>
      <c r="WBR13" s="56"/>
      <c r="WBS13" s="57"/>
      <c r="WBT13" s="57"/>
      <c r="WBU13" s="57"/>
      <c r="WBV13" s="57"/>
      <c r="WBW13" s="57"/>
      <c r="WBX13" s="57"/>
      <c r="WBY13" s="57"/>
      <c r="WBZ13" s="57"/>
      <c r="WCA13" s="57"/>
      <c r="WCB13" s="57"/>
      <c r="WCC13" s="57"/>
      <c r="WCD13" s="54"/>
      <c r="WCE13" s="54"/>
      <c r="WCF13" s="54"/>
      <c r="WCG13" s="55"/>
      <c r="WCH13" s="56"/>
      <c r="WCI13" s="57"/>
      <c r="WCJ13" s="57"/>
      <c r="WCK13" s="57"/>
      <c r="WCL13" s="57"/>
      <c r="WCM13" s="57"/>
      <c r="WCN13" s="57"/>
      <c r="WCO13" s="57"/>
      <c r="WCP13" s="57"/>
      <c r="WCQ13" s="57"/>
      <c r="WCR13" s="57"/>
      <c r="WCS13" s="57"/>
      <c r="WCT13" s="54"/>
      <c r="WCU13" s="54"/>
      <c r="WCV13" s="54"/>
      <c r="WCW13" s="55"/>
      <c r="WCX13" s="56"/>
      <c r="WCY13" s="57"/>
      <c r="WCZ13" s="57"/>
      <c r="WDA13" s="57"/>
      <c r="WDB13" s="57"/>
      <c r="WDC13" s="57"/>
      <c r="WDD13" s="57"/>
      <c r="WDE13" s="57"/>
      <c r="WDF13" s="57"/>
      <c r="WDG13" s="57"/>
      <c r="WDH13" s="57"/>
      <c r="WDI13" s="57"/>
      <c r="WDJ13" s="54"/>
      <c r="WDK13" s="54"/>
      <c r="WDL13" s="54"/>
      <c r="WDM13" s="55"/>
      <c r="WDN13" s="56"/>
      <c r="WDO13" s="57"/>
      <c r="WDP13" s="57"/>
      <c r="WDQ13" s="57"/>
      <c r="WDR13" s="57"/>
      <c r="WDS13" s="57"/>
      <c r="WDT13" s="57"/>
      <c r="WDU13" s="57"/>
      <c r="WDV13" s="57"/>
      <c r="WDW13" s="57"/>
      <c r="WDX13" s="57"/>
      <c r="WDY13" s="57"/>
      <c r="WDZ13" s="54"/>
      <c r="WEA13" s="54"/>
      <c r="WEB13" s="54"/>
      <c r="WEC13" s="55"/>
      <c r="WED13" s="56"/>
      <c r="WEE13" s="57"/>
      <c r="WEF13" s="57"/>
      <c r="WEG13" s="57"/>
      <c r="WEH13" s="57"/>
      <c r="WEI13" s="57"/>
      <c r="WEJ13" s="57"/>
      <c r="WEK13" s="57"/>
      <c r="WEL13" s="57"/>
      <c r="WEM13" s="57"/>
      <c r="WEN13" s="57"/>
      <c r="WEO13" s="57"/>
      <c r="WEP13" s="54"/>
      <c r="WEQ13" s="54"/>
      <c r="WER13" s="54"/>
      <c r="WES13" s="55"/>
      <c r="WET13" s="56"/>
      <c r="WEU13" s="57"/>
      <c r="WEV13" s="57"/>
      <c r="WEW13" s="57"/>
      <c r="WEX13" s="57"/>
      <c r="WEY13" s="57"/>
      <c r="WEZ13" s="57"/>
      <c r="WFA13" s="57"/>
      <c r="WFB13" s="57"/>
      <c r="WFC13" s="57"/>
      <c r="WFD13" s="57"/>
      <c r="WFE13" s="57"/>
      <c r="WFF13" s="54"/>
      <c r="WFG13" s="54"/>
      <c r="WFH13" s="54"/>
      <c r="WFI13" s="55"/>
      <c r="WFJ13" s="56"/>
      <c r="WFK13" s="57"/>
      <c r="WFL13" s="57"/>
      <c r="WFM13" s="57"/>
      <c r="WFN13" s="57"/>
      <c r="WFO13" s="57"/>
      <c r="WFP13" s="57"/>
      <c r="WFQ13" s="57"/>
      <c r="WFR13" s="57"/>
      <c r="WFS13" s="57"/>
      <c r="WFT13" s="57"/>
      <c r="WFU13" s="57"/>
      <c r="WFV13" s="54"/>
      <c r="WFW13" s="54"/>
      <c r="WFX13" s="54"/>
      <c r="WFY13" s="55"/>
      <c r="WFZ13" s="56"/>
      <c r="WGA13" s="57"/>
      <c r="WGB13" s="57"/>
      <c r="WGC13" s="57"/>
      <c r="WGD13" s="57"/>
      <c r="WGE13" s="57"/>
      <c r="WGF13" s="57"/>
      <c r="WGG13" s="57"/>
      <c r="WGH13" s="57"/>
      <c r="WGI13" s="57"/>
      <c r="WGJ13" s="57"/>
      <c r="WGK13" s="57"/>
      <c r="WGL13" s="54"/>
      <c r="WGM13" s="54"/>
      <c r="WGN13" s="54"/>
      <c r="WGO13" s="55"/>
      <c r="WGP13" s="56"/>
      <c r="WGQ13" s="57"/>
      <c r="WGR13" s="57"/>
      <c r="WGS13" s="57"/>
      <c r="WGT13" s="57"/>
      <c r="WGU13" s="57"/>
      <c r="WGV13" s="57"/>
      <c r="WGW13" s="57"/>
      <c r="WGX13" s="57"/>
      <c r="WGY13" s="57"/>
      <c r="WGZ13" s="57"/>
      <c r="WHA13" s="57"/>
      <c r="WHB13" s="54"/>
      <c r="WHC13" s="54"/>
      <c r="WHD13" s="54"/>
      <c r="WHE13" s="55"/>
      <c r="WHF13" s="56"/>
      <c r="WHG13" s="57"/>
      <c r="WHH13" s="57"/>
      <c r="WHI13" s="57"/>
      <c r="WHJ13" s="57"/>
      <c r="WHK13" s="57"/>
      <c r="WHL13" s="57"/>
      <c r="WHM13" s="57"/>
      <c r="WHN13" s="57"/>
      <c r="WHO13" s="57"/>
      <c r="WHP13" s="57"/>
      <c r="WHQ13" s="57"/>
      <c r="WHR13" s="54"/>
      <c r="WHS13" s="54"/>
      <c r="WHT13" s="54"/>
      <c r="WHU13" s="55"/>
      <c r="WHV13" s="56"/>
      <c r="WHW13" s="57"/>
      <c r="WHX13" s="57"/>
      <c r="WHY13" s="57"/>
      <c r="WHZ13" s="57"/>
      <c r="WIA13" s="57"/>
      <c r="WIB13" s="57"/>
      <c r="WIC13" s="57"/>
      <c r="WID13" s="57"/>
      <c r="WIE13" s="57"/>
      <c r="WIF13" s="57"/>
      <c r="WIG13" s="57"/>
      <c r="WIH13" s="54"/>
      <c r="WII13" s="54"/>
      <c r="WIJ13" s="54"/>
      <c r="WIK13" s="55"/>
      <c r="WIL13" s="56"/>
      <c r="WIM13" s="57"/>
      <c r="WIN13" s="57"/>
      <c r="WIO13" s="57"/>
      <c r="WIP13" s="57"/>
      <c r="WIQ13" s="57"/>
      <c r="WIR13" s="57"/>
      <c r="WIS13" s="57"/>
      <c r="WIT13" s="57"/>
      <c r="WIU13" s="57"/>
      <c r="WIV13" s="57"/>
      <c r="WIW13" s="57"/>
      <c r="WIX13" s="54"/>
      <c r="WIY13" s="54"/>
      <c r="WIZ13" s="54"/>
      <c r="WJA13" s="55"/>
      <c r="WJB13" s="56"/>
      <c r="WJC13" s="57"/>
      <c r="WJD13" s="57"/>
      <c r="WJE13" s="57"/>
      <c r="WJF13" s="57"/>
      <c r="WJG13" s="57"/>
      <c r="WJH13" s="57"/>
      <c r="WJI13" s="57"/>
      <c r="WJJ13" s="57"/>
      <c r="WJK13" s="57"/>
      <c r="WJL13" s="57"/>
      <c r="WJM13" s="57"/>
      <c r="WJN13" s="54"/>
      <c r="WJO13" s="54"/>
      <c r="WJP13" s="54"/>
      <c r="WJQ13" s="55"/>
      <c r="WJR13" s="56"/>
      <c r="WJS13" s="57"/>
      <c r="WJT13" s="57"/>
      <c r="WJU13" s="57"/>
      <c r="WJV13" s="57"/>
      <c r="WJW13" s="57"/>
      <c r="WJX13" s="57"/>
      <c r="WJY13" s="57"/>
      <c r="WJZ13" s="57"/>
      <c r="WKA13" s="57"/>
      <c r="WKB13" s="57"/>
      <c r="WKC13" s="57"/>
      <c r="WKD13" s="54"/>
      <c r="WKE13" s="54"/>
      <c r="WKF13" s="54"/>
      <c r="WKG13" s="55"/>
      <c r="WKH13" s="56"/>
      <c r="WKI13" s="57"/>
      <c r="WKJ13" s="57"/>
      <c r="WKK13" s="57"/>
      <c r="WKL13" s="57"/>
      <c r="WKM13" s="57"/>
      <c r="WKN13" s="57"/>
      <c r="WKO13" s="57"/>
      <c r="WKP13" s="57"/>
      <c r="WKQ13" s="57"/>
      <c r="WKR13" s="57"/>
      <c r="WKS13" s="57"/>
      <c r="WKT13" s="54"/>
      <c r="WKU13" s="54"/>
      <c r="WKV13" s="54"/>
      <c r="WKW13" s="55"/>
      <c r="WKX13" s="56"/>
      <c r="WKY13" s="57"/>
      <c r="WKZ13" s="57"/>
      <c r="WLA13" s="57"/>
      <c r="WLB13" s="57"/>
      <c r="WLC13" s="57"/>
      <c r="WLD13" s="57"/>
      <c r="WLE13" s="57"/>
      <c r="WLF13" s="57"/>
      <c r="WLG13" s="57"/>
      <c r="WLH13" s="57"/>
      <c r="WLI13" s="57"/>
      <c r="WLJ13" s="54"/>
      <c r="WLK13" s="54"/>
      <c r="WLL13" s="54"/>
      <c r="WLM13" s="55"/>
      <c r="WLN13" s="56"/>
      <c r="WLO13" s="57"/>
      <c r="WLP13" s="57"/>
      <c r="WLQ13" s="57"/>
      <c r="WLR13" s="57"/>
      <c r="WLS13" s="57"/>
      <c r="WLT13" s="57"/>
      <c r="WLU13" s="57"/>
      <c r="WLV13" s="57"/>
      <c r="WLW13" s="57"/>
      <c r="WLX13" s="57"/>
      <c r="WLY13" s="57"/>
      <c r="WLZ13" s="54"/>
      <c r="WMA13" s="54"/>
      <c r="WMB13" s="54"/>
      <c r="WMC13" s="55"/>
      <c r="WMD13" s="56"/>
      <c r="WME13" s="57"/>
      <c r="WMF13" s="57"/>
      <c r="WMG13" s="57"/>
      <c r="WMH13" s="57"/>
      <c r="WMI13" s="57"/>
      <c r="WMJ13" s="57"/>
      <c r="WMK13" s="57"/>
      <c r="WML13" s="57"/>
      <c r="WMM13" s="57"/>
      <c r="WMN13" s="57"/>
      <c r="WMO13" s="57"/>
      <c r="WMP13" s="54"/>
      <c r="WMQ13" s="54"/>
      <c r="WMR13" s="54"/>
      <c r="WMS13" s="55"/>
      <c r="WMT13" s="56"/>
      <c r="WMU13" s="57"/>
      <c r="WMV13" s="57"/>
      <c r="WMW13" s="57"/>
      <c r="WMX13" s="57"/>
      <c r="WMY13" s="57"/>
      <c r="WMZ13" s="57"/>
      <c r="WNA13" s="57"/>
      <c r="WNB13" s="57"/>
      <c r="WNC13" s="57"/>
      <c r="WND13" s="57"/>
      <c r="WNE13" s="57"/>
      <c r="WNF13" s="54"/>
      <c r="WNG13" s="54"/>
      <c r="WNH13" s="54"/>
      <c r="WNI13" s="55"/>
      <c r="WNJ13" s="56"/>
      <c r="WNK13" s="57"/>
      <c r="WNL13" s="57"/>
      <c r="WNM13" s="57"/>
      <c r="WNN13" s="57"/>
      <c r="WNO13" s="57"/>
      <c r="WNP13" s="57"/>
      <c r="WNQ13" s="57"/>
      <c r="WNR13" s="57"/>
      <c r="WNS13" s="57"/>
      <c r="WNT13" s="57"/>
      <c r="WNU13" s="57"/>
      <c r="WNV13" s="54"/>
      <c r="WNW13" s="54"/>
      <c r="WNX13" s="54"/>
      <c r="WNY13" s="55"/>
      <c r="WNZ13" s="56"/>
      <c r="WOA13" s="57"/>
      <c r="WOB13" s="57"/>
      <c r="WOC13" s="57"/>
      <c r="WOD13" s="57"/>
      <c r="WOE13" s="57"/>
      <c r="WOF13" s="57"/>
      <c r="WOG13" s="57"/>
      <c r="WOH13" s="57"/>
      <c r="WOI13" s="57"/>
      <c r="WOJ13" s="57"/>
      <c r="WOK13" s="57"/>
      <c r="WOL13" s="54"/>
      <c r="WOM13" s="54"/>
      <c r="WON13" s="54"/>
      <c r="WOO13" s="55"/>
      <c r="WOP13" s="56"/>
      <c r="WOQ13" s="57"/>
      <c r="WOR13" s="57"/>
      <c r="WOS13" s="57"/>
      <c r="WOT13" s="57"/>
      <c r="WOU13" s="57"/>
      <c r="WOV13" s="57"/>
      <c r="WOW13" s="57"/>
      <c r="WOX13" s="57"/>
      <c r="WOY13" s="57"/>
      <c r="WOZ13" s="57"/>
      <c r="WPA13" s="57"/>
      <c r="WPB13" s="54"/>
      <c r="WPC13" s="54"/>
      <c r="WPD13" s="54"/>
      <c r="WPE13" s="55"/>
      <c r="WPF13" s="56"/>
      <c r="WPG13" s="57"/>
      <c r="WPH13" s="57"/>
      <c r="WPI13" s="57"/>
      <c r="WPJ13" s="57"/>
      <c r="WPK13" s="57"/>
      <c r="WPL13" s="57"/>
      <c r="WPM13" s="57"/>
      <c r="WPN13" s="57"/>
      <c r="WPO13" s="57"/>
      <c r="WPP13" s="57"/>
      <c r="WPQ13" s="57"/>
      <c r="WPR13" s="54"/>
      <c r="WPS13" s="54"/>
      <c r="WPT13" s="54"/>
      <c r="WPU13" s="55"/>
      <c r="WPV13" s="56"/>
      <c r="WPW13" s="57"/>
      <c r="WPX13" s="57"/>
      <c r="WPY13" s="57"/>
      <c r="WPZ13" s="57"/>
      <c r="WQA13" s="57"/>
      <c r="WQB13" s="57"/>
      <c r="WQC13" s="57"/>
      <c r="WQD13" s="57"/>
      <c r="WQE13" s="57"/>
      <c r="WQF13" s="57"/>
      <c r="WQG13" s="57"/>
      <c r="WQH13" s="54"/>
      <c r="WQI13" s="54"/>
      <c r="WQJ13" s="54"/>
      <c r="WQK13" s="55"/>
      <c r="WQL13" s="56"/>
      <c r="WQM13" s="57"/>
      <c r="WQN13" s="57"/>
      <c r="WQO13" s="57"/>
      <c r="WQP13" s="57"/>
      <c r="WQQ13" s="57"/>
      <c r="WQR13" s="57"/>
      <c r="WQS13" s="57"/>
      <c r="WQT13" s="57"/>
      <c r="WQU13" s="57"/>
      <c r="WQV13" s="57"/>
      <c r="WQW13" s="57"/>
      <c r="WQX13" s="54"/>
      <c r="WQY13" s="54"/>
      <c r="WQZ13" s="54"/>
      <c r="WRA13" s="55"/>
      <c r="WRB13" s="56"/>
      <c r="WRC13" s="57"/>
      <c r="WRD13" s="57"/>
      <c r="WRE13" s="57"/>
      <c r="WRF13" s="57"/>
      <c r="WRG13" s="57"/>
      <c r="WRH13" s="57"/>
      <c r="WRI13" s="57"/>
      <c r="WRJ13" s="57"/>
      <c r="WRK13" s="57"/>
      <c r="WRL13" s="57"/>
      <c r="WRM13" s="57"/>
      <c r="WRN13" s="54"/>
      <c r="WRO13" s="54"/>
      <c r="WRP13" s="54"/>
      <c r="WRQ13" s="55"/>
      <c r="WRR13" s="56"/>
      <c r="WRS13" s="57"/>
      <c r="WRT13" s="57"/>
      <c r="WRU13" s="57"/>
      <c r="WRV13" s="57"/>
      <c r="WRW13" s="57"/>
      <c r="WRX13" s="57"/>
      <c r="WRY13" s="57"/>
      <c r="WRZ13" s="57"/>
      <c r="WSA13" s="57"/>
      <c r="WSB13" s="57"/>
      <c r="WSC13" s="57"/>
      <c r="WSD13" s="54"/>
      <c r="WSE13" s="54"/>
      <c r="WSF13" s="54"/>
      <c r="WSG13" s="55"/>
      <c r="WSH13" s="56"/>
      <c r="WSI13" s="57"/>
      <c r="WSJ13" s="57"/>
      <c r="WSK13" s="57"/>
      <c r="WSL13" s="57"/>
      <c r="WSM13" s="57"/>
      <c r="WSN13" s="57"/>
      <c r="WSO13" s="57"/>
      <c r="WSP13" s="57"/>
      <c r="WSQ13" s="57"/>
      <c r="WSR13" s="57"/>
      <c r="WSS13" s="57"/>
      <c r="WST13" s="54"/>
      <c r="WSU13" s="54"/>
      <c r="WSV13" s="54"/>
      <c r="WSW13" s="55"/>
      <c r="WSX13" s="56"/>
      <c r="WSY13" s="57"/>
      <c r="WSZ13" s="57"/>
      <c r="WTA13" s="57"/>
      <c r="WTB13" s="57"/>
      <c r="WTC13" s="57"/>
      <c r="WTD13" s="57"/>
      <c r="WTE13" s="57"/>
      <c r="WTF13" s="57"/>
      <c r="WTG13" s="57"/>
      <c r="WTH13" s="57"/>
      <c r="WTI13" s="57"/>
      <c r="WTJ13" s="54"/>
      <c r="WTK13" s="54"/>
      <c r="WTL13" s="54"/>
      <c r="WTM13" s="55"/>
      <c r="WTN13" s="56"/>
      <c r="WTO13" s="57"/>
      <c r="WTP13" s="57"/>
      <c r="WTQ13" s="57"/>
      <c r="WTR13" s="57"/>
      <c r="WTS13" s="57"/>
      <c r="WTT13" s="57"/>
      <c r="WTU13" s="57"/>
      <c r="WTV13" s="57"/>
      <c r="WTW13" s="57"/>
      <c r="WTX13" s="57"/>
      <c r="WTY13" s="57"/>
      <c r="WTZ13" s="54"/>
      <c r="WUA13" s="54"/>
      <c r="WUB13" s="54"/>
      <c r="WUC13" s="55"/>
      <c r="WUD13" s="56"/>
      <c r="WUE13" s="57"/>
      <c r="WUF13" s="57"/>
      <c r="WUG13" s="57"/>
      <c r="WUH13" s="57"/>
      <c r="WUI13" s="57"/>
      <c r="WUJ13" s="57"/>
      <c r="WUK13" s="57"/>
      <c r="WUL13" s="57"/>
      <c r="WUM13" s="57"/>
      <c r="WUN13" s="57"/>
      <c r="WUO13" s="57"/>
      <c r="WUP13" s="54"/>
      <c r="WUQ13" s="54"/>
      <c r="WUR13" s="54"/>
      <c r="WUS13" s="55"/>
      <c r="WUT13" s="56"/>
      <c r="WUU13" s="57"/>
      <c r="WUV13" s="57"/>
      <c r="WUW13" s="57"/>
      <c r="WUX13" s="57"/>
      <c r="WUY13" s="57"/>
      <c r="WUZ13" s="57"/>
      <c r="WVA13" s="57"/>
      <c r="WVB13" s="57"/>
      <c r="WVC13" s="57"/>
      <c r="WVD13" s="57"/>
      <c r="WVE13" s="57"/>
      <c r="WVF13" s="54"/>
      <c r="WVG13" s="54"/>
      <c r="WVH13" s="54"/>
      <c r="WVI13" s="55"/>
      <c r="WVJ13" s="56"/>
      <c r="WVK13" s="57"/>
      <c r="WVL13" s="57"/>
      <c r="WVM13" s="57"/>
      <c r="WVN13" s="57"/>
      <c r="WVO13" s="57"/>
      <c r="WVP13" s="57"/>
      <c r="WVQ13" s="57"/>
      <c r="WVR13" s="57"/>
      <c r="WVS13" s="57"/>
      <c r="WVT13" s="57"/>
      <c r="WVU13" s="57"/>
      <c r="WVV13" s="54"/>
      <c r="WVW13" s="54"/>
      <c r="WVX13" s="54"/>
      <c r="WVY13" s="55"/>
      <c r="WVZ13" s="56"/>
      <c r="WWA13" s="57"/>
      <c r="WWB13" s="57"/>
      <c r="WWC13" s="57"/>
      <c r="WWD13" s="57"/>
      <c r="WWE13" s="57"/>
      <c r="WWF13" s="57"/>
      <c r="WWG13" s="57"/>
      <c r="WWH13" s="57"/>
      <c r="WWI13" s="57"/>
      <c r="WWJ13" s="57"/>
      <c r="WWK13" s="57"/>
      <c r="WWL13" s="54"/>
      <c r="WWM13" s="54"/>
      <c r="WWN13" s="54"/>
      <c r="WWO13" s="55"/>
      <c r="WWP13" s="56"/>
      <c r="WWQ13" s="57"/>
      <c r="WWR13" s="57"/>
      <c r="WWS13" s="57"/>
      <c r="WWT13" s="57"/>
      <c r="WWU13" s="57"/>
      <c r="WWV13" s="57"/>
      <c r="WWW13" s="57"/>
      <c r="WWX13" s="57"/>
      <c r="WWY13" s="57"/>
      <c r="WWZ13" s="57"/>
      <c r="WXA13" s="57"/>
      <c r="WXB13" s="54"/>
      <c r="WXC13" s="54"/>
      <c r="WXD13" s="54"/>
      <c r="WXE13" s="55"/>
      <c r="WXF13" s="56"/>
      <c r="WXG13" s="57"/>
      <c r="WXH13" s="57"/>
      <c r="WXI13" s="57"/>
      <c r="WXJ13" s="57"/>
      <c r="WXK13" s="57"/>
      <c r="WXL13" s="57"/>
      <c r="WXM13" s="57"/>
      <c r="WXN13" s="57"/>
      <c r="WXO13" s="57"/>
      <c r="WXP13" s="57"/>
      <c r="WXQ13" s="57"/>
      <c r="WXR13" s="54"/>
      <c r="WXS13" s="54"/>
      <c r="WXT13" s="54"/>
      <c r="WXU13" s="55"/>
      <c r="WXV13" s="56"/>
      <c r="WXW13" s="57"/>
      <c r="WXX13" s="57"/>
      <c r="WXY13" s="57"/>
      <c r="WXZ13" s="57"/>
      <c r="WYA13" s="57"/>
      <c r="WYB13" s="57"/>
      <c r="WYC13" s="57"/>
      <c r="WYD13" s="57"/>
      <c r="WYE13" s="57"/>
      <c r="WYF13" s="57"/>
      <c r="WYG13" s="57"/>
      <c r="WYH13" s="54"/>
      <c r="WYI13" s="54"/>
      <c r="WYJ13" s="54"/>
      <c r="WYK13" s="55"/>
      <c r="WYL13" s="56"/>
      <c r="WYM13" s="57"/>
      <c r="WYN13" s="57"/>
      <c r="WYO13" s="57"/>
      <c r="WYP13" s="57"/>
      <c r="WYQ13" s="57"/>
      <c r="WYR13" s="57"/>
      <c r="WYS13" s="57"/>
      <c r="WYT13" s="57"/>
      <c r="WYU13" s="57"/>
      <c r="WYV13" s="57"/>
      <c r="WYW13" s="57"/>
      <c r="WYX13" s="54"/>
      <c r="WYY13" s="54"/>
      <c r="WYZ13" s="54"/>
      <c r="WZA13" s="55"/>
      <c r="WZB13" s="56"/>
      <c r="WZC13" s="57"/>
      <c r="WZD13" s="57"/>
      <c r="WZE13" s="57"/>
      <c r="WZF13" s="57"/>
      <c r="WZG13" s="57"/>
      <c r="WZH13" s="57"/>
      <c r="WZI13" s="57"/>
      <c r="WZJ13" s="57"/>
      <c r="WZK13" s="57"/>
      <c r="WZL13" s="57"/>
      <c r="WZM13" s="57"/>
      <c r="WZN13" s="54"/>
      <c r="WZO13" s="54"/>
      <c r="WZP13" s="54"/>
      <c r="WZQ13" s="55"/>
      <c r="WZR13" s="56"/>
      <c r="WZS13" s="57"/>
      <c r="WZT13" s="57"/>
      <c r="WZU13" s="57"/>
      <c r="WZV13" s="57"/>
      <c r="WZW13" s="57"/>
      <c r="WZX13" s="57"/>
      <c r="WZY13" s="57"/>
      <c r="WZZ13" s="57"/>
      <c r="XAA13" s="57"/>
      <c r="XAB13" s="57"/>
      <c r="XAC13" s="57"/>
      <c r="XAD13" s="54"/>
      <c r="XAE13" s="54"/>
      <c r="XAF13" s="54"/>
      <c r="XAG13" s="55"/>
      <c r="XAH13" s="56"/>
      <c r="XAI13" s="57"/>
      <c r="XAJ13" s="57"/>
      <c r="XAK13" s="57"/>
      <c r="XAL13" s="57"/>
      <c r="XAM13" s="57"/>
      <c r="XAN13" s="57"/>
      <c r="XAO13" s="57"/>
      <c r="XAP13" s="57"/>
      <c r="XAQ13" s="57"/>
      <c r="XAR13" s="57"/>
      <c r="XAS13" s="57"/>
      <c r="XAT13" s="54"/>
      <c r="XAU13" s="54"/>
      <c r="XAV13" s="54"/>
      <c r="XAW13" s="55"/>
      <c r="XAX13" s="56"/>
      <c r="XAY13" s="57"/>
      <c r="XAZ13" s="57"/>
      <c r="XBA13" s="57"/>
      <c r="XBB13" s="57"/>
      <c r="XBC13" s="57"/>
      <c r="XBD13" s="57"/>
      <c r="XBE13" s="57"/>
      <c r="XBF13" s="57"/>
      <c r="XBG13" s="57"/>
      <c r="XBH13" s="57"/>
      <c r="XBI13" s="57"/>
      <c r="XBJ13" s="54"/>
      <c r="XBK13" s="54"/>
      <c r="XBL13" s="54"/>
      <c r="XBM13" s="55"/>
      <c r="XBN13" s="56"/>
      <c r="XBO13" s="57"/>
      <c r="XBP13" s="57"/>
      <c r="XBQ13" s="57"/>
      <c r="XBR13" s="57"/>
      <c r="XBS13" s="57"/>
      <c r="XBT13" s="57"/>
      <c r="XBU13" s="57"/>
      <c r="XBV13" s="57"/>
      <c r="XBW13" s="57"/>
      <c r="XBX13" s="57"/>
      <c r="XBY13" s="57"/>
      <c r="XBZ13" s="54"/>
      <c r="XCA13" s="54"/>
      <c r="XCB13" s="54"/>
      <c r="XCC13" s="55"/>
      <c r="XCD13" s="56"/>
      <c r="XCE13" s="57"/>
      <c r="XCF13" s="57"/>
      <c r="XCG13" s="57"/>
      <c r="XCH13" s="57"/>
      <c r="XCI13" s="57"/>
      <c r="XCJ13" s="57"/>
      <c r="XCK13" s="57"/>
      <c r="XCL13" s="57"/>
      <c r="XCM13" s="57"/>
      <c r="XCN13" s="57"/>
      <c r="XCO13" s="57"/>
      <c r="XCP13" s="54"/>
      <c r="XCQ13" s="54"/>
      <c r="XCR13" s="54"/>
      <c r="XCS13" s="55"/>
      <c r="XCT13" s="56"/>
      <c r="XCU13" s="57"/>
      <c r="XCV13" s="57"/>
      <c r="XCW13" s="57"/>
      <c r="XCX13" s="57"/>
      <c r="XCY13" s="57"/>
      <c r="XCZ13" s="57"/>
      <c r="XDA13" s="57"/>
      <c r="XDB13" s="57"/>
      <c r="XDC13" s="57"/>
      <c r="XDD13" s="57"/>
      <c r="XDE13" s="57"/>
      <c r="XDF13" s="54"/>
      <c r="XDG13" s="54"/>
      <c r="XDH13" s="54"/>
      <c r="XDI13" s="55"/>
      <c r="XDJ13" s="56"/>
      <c r="XDK13" s="57"/>
      <c r="XDL13" s="57"/>
      <c r="XDM13" s="57"/>
      <c r="XDN13" s="57"/>
      <c r="XDO13" s="57"/>
      <c r="XDP13" s="57"/>
      <c r="XDQ13" s="57"/>
      <c r="XDR13" s="57"/>
      <c r="XDS13" s="57"/>
      <c r="XDT13" s="57"/>
      <c r="XDU13" s="57"/>
      <c r="XDV13" s="54"/>
      <c r="XDW13" s="54"/>
      <c r="XDX13" s="54"/>
      <c r="XDY13" s="55"/>
      <c r="XDZ13" s="56"/>
      <c r="XEA13" s="57"/>
      <c r="XEB13" s="57"/>
      <c r="XEC13" s="57"/>
      <c r="XED13" s="57"/>
      <c r="XEE13" s="57"/>
      <c r="XEF13" s="57"/>
      <c r="XEG13" s="57"/>
      <c r="XEH13" s="57"/>
      <c r="XEI13" s="57"/>
      <c r="XEJ13" s="57"/>
      <c r="XEK13" s="57"/>
      <c r="XEL13" s="54"/>
      <c r="XEM13" s="54"/>
      <c r="XEN13" s="54"/>
      <c r="XEO13" s="55"/>
      <c r="XEP13" s="56"/>
      <c r="XEQ13" s="57"/>
      <c r="XER13" s="57"/>
      <c r="XES13" s="57"/>
      <c r="XET13" s="57"/>
      <c r="XEU13" s="57"/>
      <c r="XEV13" s="57"/>
      <c r="XEW13" s="57"/>
      <c r="XEX13" s="57"/>
      <c r="XEY13" s="57"/>
      <c r="XEZ13" s="57"/>
      <c r="XFA13" s="57"/>
      <c r="XFB13" s="54"/>
      <c r="XFC13" s="54"/>
      <c r="XFD13" s="54"/>
    </row>
    <row r="14" spans="1:16384" s="64" customFormat="1" ht="22.9" hidden="1" customHeight="1">
      <c r="A14" s="59" t="s">
        <v>1739</v>
      </c>
      <c r="B14" s="60" t="s">
        <v>1740</v>
      </c>
      <c r="C14" s="61"/>
      <c r="D14" s="61"/>
      <c r="E14" s="61"/>
      <c r="F14" s="61"/>
      <c r="G14" s="61"/>
      <c r="H14" s="61"/>
      <c r="I14" s="61"/>
      <c r="J14" s="61"/>
      <c r="K14" s="61"/>
      <c r="L14" s="61"/>
      <c r="M14" s="61"/>
      <c r="N14" s="54"/>
      <c r="O14" s="54"/>
      <c r="P14" s="54"/>
      <c r="Q14" s="57"/>
      <c r="R14" s="62"/>
      <c r="S14" s="63"/>
      <c r="T14" s="63"/>
      <c r="U14" s="63"/>
      <c r="V14" s="63"/>
      <c r="W14" s="63"/>
      <c r="X14" s="63"/>
      <c r="Y14" s="63"/>
      <c r="Z14" s="63"/>
      <c r="AA14" s="63"/>
      <c r="AB14" s="63"/>
      <c r="AC14" s="63"/>
      <c r="AD14" s="54"/>
      <c r="AE14" s="54"/>
      <c r="AF14" s="54"/>
      <c r="AG14" s="57"/>
      <c r="AH14" s="62"/>
      <c r="AI14" s="63"/>
      <c r="AJ14" s="63"/>
      <c r="AK14" s="63"/>
      <c r="AL14" s="63"/>
      <c r="AM14" s="63"/>
      <c r="AN14" s="63"/>
      <c r="AO14" s="63"/>
      <c r="AP14" s="63"/>
      <c r="AQ14" s="63"/>
      <c r="AR14" s="63"/>
      <c r="AS14" s="63"/>
      <c r="AT14" s="54"/>
      <c r="AU14" s="54"/>
      <c r="AV14" s="54"/>
      <c r="AW14" s="57"/>
      <c r="AX14" s="62"/>
      <c r="AY14" s="63"/>
      <c r="AZ14" s="63"/>
      <c r="BA14" s="63"/>
      <c r="BB14" s="63"/>
      <c r="BC14" s="63"/>
      <c r="BD14" s="63"/>
      <c r="BE14" s="63"/>
      <c r="BF14" s="63"/>
      <c r="BG14" s="63"/>
      <c r="BH14" s="63"/>
      <c r="BI14" s="63"/>
      <c r="BJ14" s="54"/>
      <c r="BK14" s="54"/>
      <c r="BL14" s="54"/>
      <c r="BM14" s="57"/>
      <c r="BN14" s="62"/>
      <c r="BO14" s="63"/>
      <c r="BP14" s="63"/>
      <c r="BQ14" s="63"/>
      <c r="BR14" s="63"/>
      <c r="BS14" s="63"/>
      <c r="BT14" s="63"/>
      <c r="BU14" s="63"/>
      <c r="BV14" s="63"/>
      <c r="BW14" s="63"/>
      <c r="BX14" s="63"/>
      <c r="BY14" s="63"/>
      <c r="BZ14" s="54"/>
      <c r="CA14" s="54"/>
      <c r="CB14" s="54"/>
      <c r="CC14" s="57"/>
      <c r="CD14" s="62"/>
      <c r="CE14" s="63"/>
      <c r="CF14" s="63"/>
      <c r="CG14" s="63"/>
      <c r="CH14" s="63"/>
      <c r="CI14" s="63"/>
      <c r="CJ14" s="63"/>
      <c r="CK14" s="63"/>
      <c r="CL14" s="63"/>
      <c r="CM14" s="63"/>
      <c r="CN14" s="63"/>
      <c r="CO14" s="63"/>
      <c r="CP14" s="54"/>
      <c r="CQ14" s="54"/>
      <c r="CR14" s="54"/>
      <c r="CS14" s="57"/>
      <c r="CT14" s="62"/>
      <c r="CU14" s="63"/>
      <c r="CV14" s="63"/>
      <c r="CW14" s="63"/>
      <c r="CX14" s="63"/>
      <c r="CY14" s="63"/>
      <c r="CZ14" s="63"/>
      <c r="DA14" s="63"/>
      <c r="DB14" s="63"/>
      <c r="DC14" s="63"/>
      <c r="DD14" s="63"/>
      <c r="DE14" s="63"/>
      <c r="DF14" s="54"/>
      <c r="DG14" s="54"/>
      <c r="DH14" s="54"/>
      <c r="DI14" s="57"/>
      <c r="DJ14" s="62"/>
      <c r="DK14" s="63"/>
      <c r="DL14" s="63"/>
      <c r="DM14" s="63"/>
      <c r="DN14" s="63"/>
      <c r="DO14" s="63"/>
      <c r="DP14" s="63"/>
      <c r="DQ14" s="63"/>
      <c r="DR14" s="63"/>
      <c r="DS14" s="63"/>
      <c r="DT14" s="63"/>
      <c r="DU14" s="63"/>
      <c r="DV14" s="54"/>
      <c r="DW14" s="54"/>
      <c r="DX14" s="54"/>
      <c r="DY14" s="57"/>
      <c r="DZ14" s="62"/>
      <c r="EA14" s="63"/>
      <c r="EB14" s="63"/>
      <c r="EC14" s="63"/>
      <c r="ED14" s="63"/>
      <c r="EE14" s="63"/>
      <c r="EF14" s="63"/>
      <c r="EG14" s="63"/>
      <c r="EH14" s="63"/>
      <c r="EI14" s="63"/>
      <c r="EJ14" s="63"/>
      <c r="EK14" s="63"/>
      <c r="EL14" s="54"/>
      <c r="EM14" s="54"/>
      <c r="EN14" s="54"/>
      <c r="EO14" s="57"/>
      <c r="EP14" s="62"/>
      <c r="EQ14" s="63"/>
      <c r="ER14" s="63"/>
      <c r="ES14" s="63"/>
      <c r="ET14" s="63"/>
      <c r="EU14" s="63"/>
      <c r="EV14" s="63"/>
      <c r="EW14" s="63"/>
      <c r="EX14" s="63"/>
      <c r="EY14" s="63"/>
      <c r="EZ14" s="63"/>
      <c r="FA14" s="63"/>
      <c r="FB14" s="54"/>
      <c r="FC14" s="54"/>
      <c r="FD14" s="54"/>
      <c r="FE14" s="57"/>
      <c r="FF14" s="62"/>
      <c r="FG14" s="63"/>
      <c r="FH14" s="63"/>
      <c r="FI14" s="63"/>
      <c r="FJ14" s="63"/>
      <c r="FK14" s="63"/>
      <c r="FL14" s="63"/>
      <c r="FM14" s="63"/>
      <c r="FN14" s="63"/>
      <c r="FO14" s="63"/>
      <c r="FP14" s="63"/>
      <c r="FQ14" s="63"/>
      <c r="FR14" s="54"/>
      <c r="FS14" s="54"/>
      <c r="FT14" s="54"/>
      <c r="FU14" s="57"/>
      <c r="FV14" s="62"/>
      <c r="FW14" s="63"/>
      <c r="FX14" s="63"/>
      <c r="FY14" s="63"/>
      <c r="FZ14" s="63"/>
      <c r="GA14" s="63"/>
      <c r="GB14" s="63"/>
      <c r="GC14" s="63"/>
      <c r="GD14" s="63"/>
      <c r="GE14" s="63"/>
      <c r="GF14" s="63"/>
      <c r="GG14" s="63"/>
      <c r="GH14" s="54"/>
      <c r="GI14" s="54"/>
      <c r="GJ14" s="54"/>
      <c r="GK14" s="57"/>
      <c r="GL14" s="62"/>
      <c r="GM14" s="63"/>
      <c r="GN14" s="63"/>
      <c r="GO14" s="63"/>
      <c r="GP14" s="63"/>
      <c r="GQ14" s="63"/>
      <c r="GR14" s="63"/>
      <c r="GS14" s="63"/>
      <c r="GT14" s="63"/>
      <c r="GU14" s="63"/>
      <c r="GV14" s="63"/>
      <c r="GW14" s="63"/>
      <c r="GX14" s="54"/>
      <c r="GY14" s="54"/>
      <c r="GZ14" s="54"/>
      <c r="HA14" s="57"/>
      <c r="HB14" s="62"/>
      <c r="HC14" s="63"/>
      <c r="HD14" s="63"/>
      <c r="HE14" s="63"/>
      <c r="HF14" s="63"/>
      <c r="HG14" s="63"/>
      <c r="HH14" s="63"/>
      <c r="HI14" s="63"/>
      <c r="HJ14" s="63"/>
      <c r="HK14" s="63"/>
      <c r="HL14" s="63"/>
      <c r="HM14" s="63"/>
      <c r="HN14" s="54"/>
      <c r="HO14" s="54"/>
      <c r="HP14" s="54"/>
      <c r="HQ14" s="57"/>
      <c r="HR14" s="62"/>
      <c r="HS14" s="63"/>
      <c r="HT14" s="63"/>
      <c r="HU14" s="63"/>
      <c r="HV14" s="63"/>
      <c r="HW14" s="63"/>
      <c r="HX14" s="63"/>
      <c r="HY14" s="63"/>
      <c r="HZ14" s="63"/>
      <c r="IA14" s="63"/>
      <c r="IB14" s="63"/>
      <c r="IC14" s="63"/>
      <c r="ID14" s="54"/>
      <c r="IE14" s="54"/>
      <c r="IF14" s="54"/>
      <c r="IG14" s="57"/>
      <c r="IH14" s="62"/>
      <c r="II14" s="63"/>
      <c r="IJ14" s="63"/>
      <c r="IK14" s="63"/>
      <c r="IL14" s="63"/>
      <c r="IM14" s="63"/>
      <c r="IN14" s="63"/>
      <c r="IO14" s="63"/>
      <c r="IP14" s="63"/>
      <c r="IQ14" s="63"/>
      <c r="IR14" s="63"/>
      <c r="IS14" s="63"/>
      <c r="IT14" s="54"/>
      <c r="IU14" s="54"/>
      <c r="IV14" s="54"/>
      <c r="IW14" s="57"/>
      <c r="IX14" s="62"/>
      <c r="IY14" s="63"/>
      <c r="IZ14" s="63"/>
      <c r="JA14" s="63"/>
      <c r="JB14" s="63"/>
      <c r="JC14" s="63"/>
      <c r="JD14" s="63"/>
      <c r="JE14" s="63"/>
      <c r="JF14" s="63"/>
      <c r="JG14" s="63"/>
      <c r="JH14" s="63"/>
      <c r="JI14" s="63"/>
      <c r="JJ14" s="54"/>
      <c r="JK14" s="54"/>
      <c r="JL14" s="54"/>
      <c r="JM14" s="57"/>
      <c r="JN14" s="62"/>
      <c r="JO14" s="63"/>
      <c r="JP14" s="63"/>
      <c r="JQ14" s="63"/>
      <c r="JR14" s="63"/>
      <c r="JS14" s="63"/>
      <c r="JT14" s="63"/>
      <c r="JU14" s="63"/>
      <c r="JV14" s="63"/>
      <c r="JW14" s="63"/>
      <c r="JX14" s="63"/>
      <c r="JY14" s="63"/>
      <c r="JZ14" s="54"/>
      <c r="KA14" s="54"/>
      <c r="KB14" s="54"/>
      <c r="KC14" s="57"/>
      <c r="KD14" s="62"/>
      <c r="KE14" s="63"/>
      <c r="KF14" s="63"/>
      <c r="KG14" s="63"/>
      <c r="KH14" s="63"/>
      <c r="KI14" s="63"/>
      <c r="KJ14" s="63"/>
      <c r="KK14" s="63"/>
      <c r="KL14" s="63"/>
      <c r="KM14" s="63"/>
      <c r="KN14" s="63"/>
      <c r="KO14" s="63"/>
      <c r="KP14" s="54"/>
      <c r="KQ14" s="54"/>
      <c r="KR14" s="54"/>
      <c r="KS14" s="57"/>
      <c r="KT14" s="62"/>
      <c r="KU14" s="63"/>
      <c r="KV14" s="63"/>
      <c r="KW14" s="63"/>
      <c r="KX14" s="63"/>
      <c r="KY14" s="63"/>
      <c r="KZ14" s="63"/>
      <c r="LA14" s="63"/>
      <c r="LB14" s="63"/>
      <c r="LC14" s="63"/>
      <c r="LD14" s="63"/>
      <c r="LE14" s="63"/>
      <c r="LF14" s="54"/>
      <c r="LG14" s="54"/>
      <c r="LH14" s="54"/>
      <c r="LI14" s="57"/>
      <c r="LJ14" s="62"/>
      <c r="LK14" s="63"/>
      <c r="LL14" s="63"/>
      <c r="LM14" s="63"/>
      <c r="LN14" s="63"/>
      <c r="LO14" s="63"/>
      <c r="LP14" s="63"/>
      <c r="LQ14" s="63"/>
      <c r="LR14" s="63"/>
      <c r="LS14" s="63"/>
      <c r="LT14" s="63"/>
      <c r="LU14" s="63"/>
      <c r="LV14" s="54"/>
      <c r="LW14" s="54"/>
      <c r="LX14" s="54"/>
      <c r="LY14" s="57"/>
      <c r="LZ14" s="62"/>
      <c r="MA14" s="63"/>
      <c r="MB14" s="63"/>
      <c r="MC14" s="63"/>
      <c r="MD14" s="63"/>
      <c r="ME14" s="63"/>
      <c r="MF14" s="63"/>
      <c r="MG14" s="63"/>
      <c r="MH14" s="63"/>
      <c r="MI14" s="63"/>
      <c r="MJ14" s="63"/>
      <c r="MK14" s="63"/>
      <c r="ML14" s="54"/>
      <c r="MM14" s="54"/>
      <c r="MN14" s="54"/>
      <c r="MO14" s="57"/>
      <c r="MP14" s="62"/>
      <c r="MQ14" s="63"/>
      <c r="MR14" s="63"/>
      <c r="MS14" s="63"/>
      <c r="MT14" s="63"/>
      <c r="MU14" s="63"/>
      <c r="MV14" s="63"/>
      <c r="MW14" s="63"/>
      <c r="MX14" s="63"/>
      <c r="MY14" s="63"/>
      <c r="MZ14" s="63"/>
      <c r="NA14" s="63"/>
      <c r="NB14" s="54"/>
      <c r="NC14" s="54"/>
      <c r="ND14" s="54"/>
      <c r="NE14" s="57"/>
      <c r="NF14" s="62"/>
      <c r="NG14" s="63"/>
      <c r="NH14" s="63"/>
      <c r="NI14" s="63"/>
      <c r="NJ14" s="63"/>
      <c r="NK14" s="63"/>
      <c r="NL14" s="63"/>
      <c r="NM14" s="63"/>
      <c r="NN14" s="63"/>
      <c r="NO14" s="63"/>
      <c r="NP14" s="63"/>
      <c r="NQ14" s="63"/>
      <c r="NR14" s="54"/>
      <c r="NS14" s="54"/>
      <c r="NT14" s="54"/>
      <c r="NU14" s="57"/>
      <c r="NV14" s="62"/>
      <c r="NW14" s="63"/>
      <c r="NX14" s="63"/>
      <c r="NY14" s="63"/>
      <c r="NZ14" s="63"/>
      <c r="OA14" s="63"/>
      <c r="OB14" s="63"/>
      <c r="OC14" s="63"/>
      <c r="OD14" s="63"/>
      <c r="OE14" s="63"/>
      <c r="OF14" s="63"/>
      <c r="OG14" s="63"/>
      <c r="OH14" s="54"/>
      <c r="OI14" s="54"/>
      <c r="OJ14" s="54"/>
      <c r="OK14" s="57"/>
      <c r="OL14" s="62"/>
      <c r="OM14" s="63"/>
      <c r="ON14" s="63"/>
      <c r="OO14" s="63"/>
      <c r="OP14" s="63"/>
      <c r="OQ14" s="63"/>
      <c r="OR14" s="63"/>
      <c r="OS14" s="63"/>
      <c r="OT14" s="63"/>
      <c r="OU14" s="63"/>
      <c r="OV14" s="63"/>
      <c r="OW14" s="63"/>
      <c r="OX14" s="54"/>
      <c r="OY14" s="54"/>
      <c r="OZ14" s="54"/>
      <c r="PA14" s="57"/>
      <c r="PB14" s="62"/>
      <c r="PC14" s="63"/>
      <c r="PD14" s="63"/>
      <c r="PE14" s="63"/>
      <c r="PF14" s="63"/>
      <c r="PG14" s="63"/>
      <c r="PH14" s="63"/>
      <c r="PI14" s="63"/>
      <c r="PJ14" s="63"/>
      <c r="PK14" s="63"/>
      <c r="PL14" s="63"/>
      <c r="PM14" s="63"/>
      <c r="PN14" s="54"/>
      <c r="PO14" s="54"/>
      <c r="PP14" s="54"/>
      <c r="PQ14" s="57"/>
      <c r="PR14" s="62"/>
      <c r="PS14" s="63"/>
      <c r="PT14" s="63"/>
      <c r="PU14" s="63"/>
      <c r="PV14" s="63"/>
      <c r="PW14" s="63"/>
      <c r="PX14" s="63"/>
      <c r="PY14" s="63"/>
      <c r="PZ14" s="63"/>
      <c r="QA14" s="63"/>
      <c r="QB14" s="63"/>
      <c r="QC14" s="63"/>
      <c r="QD14" s="54"/>
      <c r="QE14" s="54"/>
      <c r="QF14" s="54"/>
      <c r="QG14" s="57"/>
      <c r="QH14" s="62"/>
      <c r="QI14" s="63"/>
      <c r="QJ14" s="63"/>
      <c r="QK14" s="63"/>
      <c r="QL14" s="63"/>
      <c r="QM14" s="63"/>
      <c r="QN14" s="63"/>
      <c r="QO14" s="63"/>
      <c r="QP14" s="63"/>
      <c r="QQ14" s="63"/>
      <c r="QR14" s="63"/>
      <c r="QS14" s="63"/>
      <c r="QT14" s="54"/>
      <c r="QU14" s="54"/>
      <c r="QV14" s="54"/>
      <c r="QW14" s="57"/>
      <c r="QX14" s="62"/>
      <c r="QY14" s="63"/>
      <c r="QZ14" s="63"/>
      <c r="RA14" s="63"/>
      <c r="RB14" s="63"/>
      <c r="RC14" s="63"/>
      <c r="RD14" s="63"/>
      <c r="RE14" s="63"/>
      <c r="RF14" s="63"/>
      <c r="RG14" s="63"/>
      <c r="RH14" s="63"/>
      <c r="RI14" s="63"/>
      <c r="RJ14" s="54"/>
      <c r="RK14" s="54"/>
      <c r="RL14" s="54"/>
      <c r="RM14" s="57"/>
      <c r="RN14" s="62"/>
      <c r="RO14" s="63"/>
      <c r="RP14" s="63"/>
      <c r="RQ14" s="63"/>
      <c r="RR14" s="63"/>
      <c r="RS14" s="63"/>
      <c r="RT14" s="63"/>
      <c r="RU14" s="63"/>
      <c r="RV14" s="63"/>
      <c r="RW14" s="63"/>
      <c r="RX14" s="63"/>
      <c r="RY14" s="63"/>
      <c r="RZ14" s="54"/>
      <c r="SA14" s="54"/>
      <c r="SB14" s="54"/>
      <c r="SC14" s="57"/>
      <c r="SD14" s="62"/>
      <c r="SE14" s="63"/>
      <c r="SF14" s="63"/>
      <c r="SG14" s="63"/>
      <c r="SH14" s="63"/>
      <c r="SI14" s="63"/>
      <c r="SJ14" s="63"/>
      <c r="SK14" s="63"/>
      <c r="SL14" s="63"/>
      <c r="SM14" s="63"/>
      <c r="SN14" s="63"/>
      <c r="SO14" s="63"/>
      <c r="SP14" s="54"/>
      <c r="SQ14" s="54"/>
      <c r="SR14" s="54"/>
      <c r="SS14" s="57"/>
      <c r="ST14" s="62"/>
      <c r="SU14" s="63"/>
      <c r="SV14" s="63"/>
      <c r="SW14" s="63"/>
      <c r="SX14" s="63"/>
      <c r="SY14" s="63"/>
      <c r="SZ14" s="63"/>
      <c r="TA14" s="63"/>
      <c r="TB14" s="63"/>
      <c r="TC14" s="63"/>
      <c r="TD14" s="63"/>
      <c r="TE14" s="63"/>
      <c r="TF14" s="54"/>
      <c r="TG14" s="54"/>
      <c r="TH14" s="54"/>
      <c r="TI14" s="57"/>
      <c r="TJ14" s="62"/>
      <c r="TK14" s="63"/>
      <c r="TL14" s="63"/>
      <c r="TM14" s="63"/>
      <c r="TN14" s="63"/>
      <c r="TO14" s="63"/>
      <c r="TP14" s="63"/>
      <c r="TQ14" s="63"/>
      <c r="TR14" s="63"/>
      <c r="TS14" s="63"/>
      <c r="TT14" s="63"/>
      <c r="TU14" s="63"/>
      <c r="TV14" s="54"/>
      <c r="TW14" s="54"/>
      <c r="TX14" s="54"/>
      <c r="TY14" s="57"/>
      <c r="TZ14" s="62"/>
      <c r="UA14" s="63"/>
      <c r="UB14" s="63"/>
      <c r="UC14" s="63"/>
      <c r="UD14" s="63"/>
      <c r="UE14" s="63"/>
      <c r="UF14" s="63"/>
      <c r="UG14" s="63"/>
      <c r="UH14" s="63"/>
      <c r="UI14" s="63"/>
      <c r="UJ14" s="63"/>
      <c r="UK14" s="63"/>
      <c r="UL14" s="54"/>
      <c r="UM14" s="54"/>
      <c r="UN14" s="54"/>
      <c r="UO14" s="57"/>
      <c r="UP14" s="62"/>
      <c r="UQ14" s="63"/>
      <c r="UR14" s="63"/>
      <c r="US14" s="63"/>
      <c r="UT14" s="63"/>
      <c r="UU14" s="63"/>
      <c r="UV14" s="63"/>
      <c r="UW14" s="63"/>
      <c r="UX14" s="63"/>
      <c r="UY14" s="63"/>
      <c r="UZ14" s="63"/>
      <c r="VA14" s="63"/>
      <c r="VB14" s="54"/>
      <c r="VC14" s="54"/>
      <c r="VD14" s="54"/>
      <c r="VE14" s="57"/>
      <c r="VF14" s="62"/>
      <c r="VG14" s="63"/>
      <c r="VH14" s="63"/>
      <c r="VI14" s="63"/>
      <c r="VJ14" s="63"/>
      <c r="VK14" s="63"/>
      <c r="VL14" s="63"/>
      <c r="VM14" s="63"/>
      <c r="VN14" s="63"/>
      <c r="VO14" s="63"/>
      <c r="VP14" s="63"/>
      <c r="VQ14" s="63"/>
      <c r="VR14" s="54"/>
      <c r="VS14" s="54"/>
      <c r="VT14" s="54"/>
      <c r="VU14" s="57"/>
      <c r="VV14" s="62"/>
      <c r="VW14" s="63"/>
      <c r="VX14" s="63"/>
      <c r="VY14" s="63"/>
      <c r="VZ14" s="63"/>
      <c r="WA14" s="63"/>
      <c r="WB14" s="63"/>
      <c r="WC14" s="63"/>
      <c r="WD14" s="63"/>
      <c r="WE14" s="63"/>
      <c r="WF14" s="63"/>
      <c r="WG14" s="63"/>
      <c r="WH14" s="54"/>
      <c r="WI14" s="54"/>
      <c r="WJ14" s="54"/>
      <c r="WK14" s="57"/>
      <c r="WL14" s="62"/>
      <c r="WM14" s="63"/>
      <c r="WN14" s="63"/>
      <c r="WO14" s="63"/>
      <c r="WP14" s="63"/>
      <c r="WQ14" s="63"/>
      <c r="WR14" s="63"/>
      <c r="WS14" s="63"/>
      <c r="WT14" s="63"/>
      <c r="WU14" s="63"/>
      <c r="WV14" s="63"/>
      <c r="WW14" s="63"/>
      <c r="WX14" s="54"/>
      <c r="WY14" s="54"/>
      <c r="WZ14" s="54"/>
      <c r="XA14" s="57"/>
      <c r="XB14" s="62"/>
      <c r="XC14" s="63"/>
      <c r="XD14" s="63"/>
      <c r="XE14" s="63"/>
      <c r="XF14" s="63"/>
      <c r="XG14" s="63"/>
      <c r="XH14" s="63"/>
      <c r="XI14" s="63"/>
      <c r="XJ14" s="63"/>
      <c r="XK14" s="63"/>
      <c r="XL14" s="63"/>
      <c r="XM14" s="63"/>
      <c r="XN14" s="54"/>
      <c r="XO14" s="54"/>
      <c r="XP14" s="54"/>
      <c r="XQ14" s="57"/>
      <c r="XR14" s="62"/>
      <c r="XS14" s="63"/>
      <c r="XT14" s="63"/>
      <c r="XU14" s="63"/>
      <c r="XV14" s="63"/>
      <c r="XW14" s="63"/>
      <c r="XX14" s="63"/>
      <c r="XY14" s="63"/>
      <c r="XZ14" s="63"/>
      <c r="YA14" s="63"/>
      <c r="YB14" s="63"/>
      <c r="YC14" s="63"/>
      <c r="YD14" s="54"/>
      <c r="YE14" s="54"/>
      <c r="YF14" s="54"/>
      <c r="YG14" s="57"/>
      <c r="YH14" s="62"/>
      <c r="YI14" s="63"/>
      <c r="YJ14" s="63"/>
      <c r="YK14" s="63"/>
      <c r="YL14" s="63"/>
      <c r="YM14" s="63"/>
      <c r="YN14" s="63"/>
      <c r="YO14" s="63"/>
      <c r="YP14" s="63"/>
      <c r="YQ14" s="63"/>
      <c r="YR14" s="63"/>
      <c r="YS14" s="63"/>
      <c r="YT14" s="54"/>
      <c r="YU14" s="54"/>
      <c r="YV14" s="54"/>
      <c r="YW14" s="57"/>
      <c r="YX14" s="62"/>
      <c r="YY14" s="63"/>
      <c r="YZ14" s="63"/>
      <c r="ZA14" s="63"/>
      <c r="ZB14" s="63"/>
      <c r="ZC14" s="63"/>
      <c r="ZD14" s="63"/>
      <c r="ZE14" s="63"/>
      <c r="ZF14" s="63"/>
      <c r="ZG14" s="63"/>
      <c r="ZH14" s="63"/>
      <c r="ZI14" s="63"/>
      <c r="ZJ14" s="54"/>
      <c r="ZK14" s="54"/>
      <c r="ZL14" s="54"/>
      <c r="ZM14" s="57"/>
      <c r="ZN14" s="62"/>
      <c r="ZO14" s="63"/>
      <c r="ZP14" s="63"/>
      <c r="ZQ14" s="63"/>
      <c r="ZR14" s="63"/>
      <c r="ZS14" s="63"/>
      <c r="ZT14" s="63"/>
      <c r="ZU14" s="63"/>
      <c r="ZV14" s="63"/>
      <c r="ZW14" s="63"/>
      <c r="ZX14" s="63"/>
      <c r="ZY14" s="63"/>
      <c r="ZZ14" s="54"/>
      <c r="AAA14" s="54"/>
      <c r="AAB14" s="54"/>
      <c r="AAC14" s="57"/>
      <c r="AAD14" s="62"/>
      <c r="AAE14" s="63"/>
      <c r="AAF14" s="63"/>
      <c r="AAG14" s="63"/>
      <c r="AAH14" s="63"/>
      <c r="AAI14" s="63"/>
      <c r="AAJ14" s="63"/>
      <c r="AAK14" s="63"/>
      <c r="AAL14" s="63"/>
      <c r="AAM14" s="63"/>
      <c r="AAN14" s="63"/>
      <c r="AAO14" s="63"/>
      <c r="AAP14" s="54"/>
      <c r="AAQ14" s="54"/>
      <c r="AAR14" s="54"/>
      <c r="AAS14" s="57"/>
      <c r="AAT14" s="62"/>
      <c r="AAU14" s="63"/>
      <c r="AAV14" s="63"/>
      <c r="AAW14" s="63"/>
      <c r="AAX14" s="63"/>
      <c r="AAY14" s="63"/>
      <c r="AAZ14" s="63"/>
      <c r="ABA14" s="63"/>
      <c r="ABB14" s="63"/>
      <c r="ABC14" s="63"/>
      <c r="ABD14" s="63"/>
      <c r="ABE14" s="63"/>
      <c r="ABF14" s="54"/>
      <c r="ABG14" s="54"/>
      <c r="ABH14" s="54"/>
      <c r="ABI14" s="57"/>
      <c r="ABJ14" s="62"/>
      <c r="ABK14" s="63"/>
      <c r="ABL14" s="63"/>
      <c r="ABM14" s="63"/>
      <c r="ABN14" s="63"/>
      <c r="ABO14" s="63"/>
      <c r="ABP14" s="63"/>
      <c r="ABQ14" s="63"/>
      <c r="ABR14" s="63"/>
      <c r="ABS14" s="63"/>
      <c r="ABT14" s="63"/>
      <c r="ABU14" s="63"/>
      <c r="ABV14" s="54"/>
      <c r="ABW14" s="54"/>
      <c r="ABX14" s="54"/>
      <c r="ABY14" s="57"/>
      <c r="ABZ14" s="62"/>
      <c r="ACA14" s="63"/>
      <c r="ACB14" s="63"/>
      <c r="ACC14" s="63"/>
      <c r="ACD14" s="63"/>
      <c r="ACE14" s="63"/>
      <c r="ACF14" s="63"/>
      <c r="ACG14" s="63"/>
      <c r="ACH14" s="63"/>
      <c r="ACI14" s="63"/>
      <c r="ACJ14" s="63"/>
      <c r="ACK14" s="63"/>
      <c r="ACL14" s="54"/>
      <c r="ACM14" s="54"/>
      <c r="ACN14" s="54"/>
      <c r="ACO14" s="57"/>
      <c r="ACP14" s="62"/>
      <c r="ACQ14" s="63"/>
      <c r="ACR14" s="63"/>
      <c r="ACS14" s="63"/>
      <c r="ACT14" s="63"/>
      <c r="ACU14" s="63"/>
      <c r="ACV14" s="63"/>
      <c r="ACW14" s="63"/>
      <c r="ACX14" s="63"/>
      <c r="ACY14" s="63"/>
      <c r="ACZ14" s="63"/>
      <c r="ADA14" s="63"/>
      <c r="ADB14" s="54"/>
      <c r="ADC14" s="54"/>
      <c r="ADD14" s="54"/>
      <c r="ADE14" s="57"/>
      <c r="ADF14" s="62"/>
      <c r="ADG14" s="63"/>
      <c r="ADH14" s="63"/>
      <c r="ADI14" s="63"/>
      <c r="ADJ14" s="63"/>
      <c r="ADK14" s="63"/>
      <c r="ADL14" s="63"/>
      <c r="ADM14" s="63"/>
      <c r="ADN14" s="63"/>
      <c r="ADO14" s="63"/>
      <c r="ADP14" s="63"/>
      <c r="ADQ14" s="63"/>
      <c r="ADR14" s="54"/>
      <c r="ADS14" s="54"/>
      <c r="ADT14" s="54"/>
      <c r="ADU14" s="57"/>
      <c r="ADV14" s="62"/>
      <c r="ADW14" s="63"/>
      <c r="ADX14" s="63"/>
      <c r="ADY14" s="63"/>
      <c r="ADZ14" s="63"/>
      <c r="AEA14" s="63"/>
      <c r="AEB14" s="63"/>
      <c r="AEC14" s="63"/>
      <c r="AED14" s="63"/>
      <c r="AEE14" s="63"/>
      <c r="AEF14" s="63"/>
      <c r="AEG14" s="63"/>
      <c r="AEH14" s="54"/>
      <c r="AEI14" s="54"/>
      <c r="AEJ14" s="54"/>
      <c r="AEK14" s="57"/>
      <c r="AEL14" s="62"/>
      <c r="AEM14" s="63"/>
      <c r="AEN14" s="63"/>
      <c r="AEO14" s="63"/>
      <c r="AEP14" s="63"/>
      <c r="AEQ14" s="63"/>
      <c r="AER14" s="63"/>
      <c r="AES14" s="63"/>
      <c r="AET14" s="63"/>
      <c r="AEU14" s="63"/>
      <c r="AEV14" s="63"/>
      <c r="AEW14" s="63"/>
      <c r="AEX14" s="54"/>
      <c r="AEY14" s="54"/>
      <c r="AEZ14" s="54"/>
      <c r="AFA14" s="57"/>
      <c r="AFB14" s="62"/>
      <c r="AFC14" s="63"/>
      <c r="AFD14" s="63"/>
      <c r="AFE14" s="63"/>
      <c r="AFF14" s="63"/>
      <c r="AFG14" s="63"/>
      <c r="AFH14" s="63"/>
      <c r="AFI14" s="63"/>
      <c r="AFJ14" s="63"/>
      <c r="AFK14" s="63"/>
      <c r="AFL14" s="63"/>
      <c r="AFM14" s="63"/>
      <c r="AFN14" s="54"/>
      <c r="AFO14" s="54"/>
      <c r="AFP14" s="54"/>
      <c r="AFQ14" s="57"/>
      <c r="AFR14" s="62"/>
      <c r="AFS14" s="63"/>
      <c r="AFT14" s="63"/>
      <c r="AFU14" s="63"/>
      <c r="AFV14" s="63"/>
      <c r="AFW14" s="63"/>
      <c r="AFX14" s="63"/>
      <c r="AFY14" s="63"/>
      <c r="AFZ14" s="63"/>
      <c r="AGA14" s="63"/>
      <c r="AGB14" s="63"/>
      <c r="AGC14" s="63"/>
      <c r="AGD14" s="54"/>
      <c r="AGE14" s="54"/>
      <c r="AGF14" s="54"/>
      <c r="AGG14" s="57"/>
      <c r="AGH14" s="62"/>
      <c r="AGI14" s="63"/>
      <c r="AGJ14" s="63"/>
      <c r="AGK14" s="63"/>
      <c r="AGL14" s="63"/>
      <c r="AGM14" s="63"/>
      <c r="AGN14" s="63"/>
      <c r="AGO14" s="63"/>
      <c r="AGP14" s="63"/>
      <c r="AGQ14" s="63"/>
      <c r="AGR14" s="63"/>
      <c r="AGS14" s="63"/>
      <c r="AGT14" s="54"/>
      <c r="AGU14" s="54"/>
      <c r="AGV14" s="54"/>
      <c r="AGW14" s="57"/>
      <c r="AGX14" s="62"/>
      <c r="AGY14" s="63"/>
      <c r="AGZ14" s="63"/>
      <c r="AHA14" s="63"/>
      <c r="AHB14" s="63"/>
      <c r="AHC14" s="63"/>
      <c r="AHD14" s="63"/>
      <c r="AHE14" s="63"/>
      <c r="AHF14" s="63"/>
      <c r="AHG14" s="63"/>
      <c r="AHH14" s="63"/>
      <c r="AHI14" s="63"/>
      <c r="AHJ14" s="54"/>
      <c r="AHK14" s="54"/>
      <c r="AHL14" s="54"/>
      <c r="AHM14" s="57"/>
      <c r="AHN14" s="62"/>
      <c r="AHO14" s="63"/>
      <c r="AHP14" s="63"/>
      <c r="AHQ14" s="63"/>
      <c r="AHR14" s="63"/>
      <c r="AHS14" s="63"/>
      <c r="AHT14" s="63"/>
      <c r="AHU14" s="63"/>
      <c r="AHV14" s="63"/>
      <c r="AHW14" s="63"/>
      <c r="AHX14" s="63"/>
      <c r="AHY14" s="63"/>
      <c r="AHZ14" s="54"/>
      <c r="AIA14" s="54"/>
      <c r="AIB14" s="54"/>
      <c r="AIC14" s="57"/>
      <c r="AID14" s="62"/>
      <c r="AIE14" s="63"/>
      <c r="AIF14" s="63"/>
      <c r="AIG14" s="63"/>
      <c r="AIH14" s="63"/>
      <c r="AII14" s="63"/>
      <c r="AIJ14" s="63"/>
      <c r="AIK14" s="63"/>
      <c r="AIL14" s="63"/>
      <c r="AIM14" s="63"/>
      <c r="AIN14" s="63"/>
      <c r="AIO14" s="63"/>
      <c r="AIP14" s="54"/>
      <c r="AIQ14" s="54"/>
      <c r="AIR14" s="54"/>
      <c r="AIS14" s="57"/>
      <c r="AIT14" s="62"/>
      <c r="AIU14" s="63"/>
      <c r="AIV14" s="63"/>
      <c r="AIW14" s="63"/>
      <c r="AIX14" s="63"/>
      <c r="AIY14" s="63"/>
      <c r="AIZ14" s="63"/>
      <c r="AJA14" s="63"/>
      <c r="AJB14" s="63"/>
      <c r="AJC14" s="63"/>
      <c r="AJD14" s="63"/>
      <c r="AJE14" s="63"/>
      <c r="AJF14" s="54"/>
      <c r="AJG14" s="54"/>
      <c r="AJH14" s="54"/>
      <c r="AJI14" s="57"/>
      <c r="AJJ14" s="62"/>
      <c r="AJK14" s="63"/>
      <c r="AJL14" s="63"/>
      <c r="AJM14" s="63"/>
      <c r="AJN14" s="63"/>
      <c r="AJO14" s="63"/>
      <c r="AJP14" s="63"/>
      <c r="AJQ14" s="63"/>
      <c r="AJR14" s="63"/>
      <c r="AJS14" s="63"/>
      <c r="AJT14" s="63"/>
      <c r="AJU14" s="63"/>
      <c r="AJV14" s="54"/>
      <c r="AJW14" s="54"/>
      <c r="AJX14" s="54"/>
      <c r="AJY14" s="57"/>
      <c r="AJZ14" s="62"/>
      <c r="AKA14" s="63"/>
      <c r="AKB14" s="63"/>
      <c r="AKC14" s="63"/>
      <c r="AKD14" s="63"/>
      <c r="AKE14" s="63"/>
      <c r="AKF14" s="63"/>
      <c r="AKG14" s="63"/>
      <c r="AKH14" s="63"/>
      <c r="AKI14" s="63"/>
      <c r="AKJ14" s="63"/>
      <c r="AKK14" s="63"/>
      <c r="AKL14" s="54"/>
      <c r="AKM14" s="54"/>
      <c r="AKN14" s="54"/>
      <c r="AKO14" s="57"/>
      <c r="AKP14" s="62"/>
      <c r="AKQ14" s="63"/>
      <c r="AKR14" s="63"/>
      <c r="AKS14" s="63"/>
      <c r="AKT14" s="63"/>
      <c r="AKU14" s="63"/>
      <c r="AKV14" s="63"/>
      <c r="AKW14" s="63"/>
      <c r="AKX14" s="63"/>
      <c r="AKY14" s="63"/>
      <c r="AKZ14" s="63"/>
      <c r="ALA14" s="63"/>
      <c r="ALB14" s="54"/>
      <c r="ALC14" s="54"/>
      <c r="ALD14" s="54"/>
      <c r="ALE14" s="57"/>
      <c r="ALF14" s="62"/>
      <c r="ALG14" s="63"/>
      <c r="ALH14" s="63"/>
      <c r="ALI14" s="63"/>
      <c r="ALJ14" s="63"/>
      <c r="ALK14" s="63"/>
      <c r="ALL14" s="63"/>
      <c r="ALM14" s="63"/>
      <c r="ALN14" s="63"/>
      <c r="ALO14" s="63"/>
      <c r="ALP14" s="63"/>
      <c r="ALQ14" s="63"/>
      <c r="ALR14" s="54"/>
      <c r="ALS14" s="54"/>
      <c r="ALT14" s="54"/>
      <c r="ALU14" s="57"/>
      <c r="ALV14" s="62"/>
      <c r="ALW14" s="63"/>
      <c r="ALX14" s="63"/>
      <c r="ALY14" s="63"/>
      <c r="ALZ14" s="63"/>
      <c r="AMA14" s="63"/>
      <c r="AMB14" s="63"/>
      <c r="AMC14" s="63"/>
      <c r="AMD14" s="63"/>
      <c r="AME14" s="63"/>
      <c r="AMF14" s="63"/>
      <c r="AMG14" s="63"/>
      <c r="AMH14" s="54"/>
      <c r="AMI14" s="54"/>
      <c r="AMJ14" s="54"/>
      <c r="AMK14" s="57"/>
      <c r="AML14" s="62"/>
      <c r="AMM14" s="63"/>
      <c r="AMN14" s="63"/>
      <c r="AMO14" s="63"/>
      <c r="AMP14" s="63"/>
      <c r="AMQ14" s="63"/>
      <c r="AMR14" s="63"/>
      <c r="AMS14" s="63"/>
      <c r="AMT14" s="63"/>
      <c r="AMU14" s="63"/>
      <c r="AMV14" s="63"/>
      <c r="AMW14" s="63"/>
      <c r="AMX14" s="54"/>
      <c r="AMY14" s="54"/>
      <c r="AMZ14" s="54"/>
      <c r="ANA14" s="57"/>
      <c r="ANB14" s="62"/>
      <c r="ANC14" s="63"/>
      <c r="AND14" s="63"/>
      <c r="ANE14" s="63"/>
      <c r="ANF14" s="63"/>
      <c r="ANG14" s="63"/>
      <c r="ANH14" s="63"/>
      <c r="ANI14" s="63"/>
      <c r="ANJ14" s="63"/>
      <c r="ANK14" s="63"/>
      <c r="ANL14" s="63"/>
      <c r="ANM14" s="63"/>
      <c r="ANN14" s="54"/>
      <c r="ANO14" s="54"/>
      <c r="ANP14" s="54"/>
      <c r="ANQ14" s="57"/>
      <c r="ANR14" s="62"/>
      <c r="ANS14" s="63"/>
      <c r="ANT14" s="63"/>
      <c r="ANU14" s="63"/>
      <c r="ANV14" s="63"/>
      <c r="ANW14" s="63"/>
      <c r="ANX14" s="63"/>
      <c r="ANY14" s="63"/>
      <c r="ANZ14" s="63"/>
      <c r="AOA14" s="63"/>
      <c r="AOB14" s="63"/>
      <c r="AOC14" s="63"/>
      <c r="AOD14" s="54"/>
      <c r="AOE14" s="54"/>
      <c r="AOF14" s="54"/>
      <c r="AOG14" s="57"/>
      <c r="AOH14" s="62"/>
      <c r="AOI14" s="63"/>
      <c r="AOJ14" s="63"/>
      <c r="AOK14" s="63"/>
      <c r="AOL14" s="63"/>
      <c r="AOM14" s="63"/>
      <c r="AON14" s="63"/>
      <c r="AOO14" s="63"/>
      <c r="AOP14" s="63"/>
      <c r="AOQ14" s="63"/>
      <c r="AOR14" s="63"/>
      <c r="AOS14" s="63"/>
      <c r="AOT14" s="54"/>
      <c r="AOU14" s="54"/>
      <c r="AOV14" s="54"/>
      <c r="AOW14" s="57"/>
      <c r="AOX14" s="62"/>
      <c r="AOY14" s="63"/>
      <c r="AOZ14" s="63"/>
      <c r="APA14" s="63"/>
      <c r="APB14" s="63"/>
      <c r="APC14" s="63"/>
      <c r="APD14" s="63"/>
      <c r="APE14" s="63"/>
      <c r="APF14" s="63"/>
      <c r="APG14" s="63"/>
      <c r="APH14" s="63"/>
      <c r="API14" s="63"/>
      <c r="APJ14" s="54"/>
      <c r="APK14" s="54"/>
      <c r="APL14" s="54"/>
      <c r="APM14" s="57"/>
      <c r="APN14" s="62"/>
      <c r="APO14" s="63"/>
      <c r="APP14" s="63"/>
      <c r="APQ14" s="63"/>
      <c r="APR14" s="63"/>
      <c r="APS14" s="63"/>
      <c r="APT14" s="63"/>
      <c r="APU14" s="63"/>
      <c r="APV14" s="63"/>
      <c r="APW14" s="63"/>
      <c r="APX14" s="63"/>
      <c r="APY14" s="63"/>
      <c r="APZ14" s="54"/>
      <c r="AQA14" s="54"/>
      <c r="AQB14" s="54"/>
      <c r="AQC14" s="57"/>
      <c r="AQD14" s="62"/>
      <c r="AQE14" s="63"/>
      <c r="AQF14" s="63"/>
      <c r="AQG14" s="63"/>
      <c r="AQH14" s="63"/>
      <c r="AQI14" s="63"/>
      <c r="AQJ14" s="63"/>
      <c r="AQK14" s="63"/>
      <c r="AQL14" s="63"/>
      <c r="AQM14" s="63"/>
      <c r="AQN14" s="63"/>
      <c r="AQO14" s="63"/>
      <c r="AQP14" s="54"/>
      <c r="AQQ14" s="54"/>
      <c r="AQR14" s="54"/>
      <c r="AQS14" s="57"/>
      <c r="AQT14" s="62"/>
      <c r="AQU14" s="63"/>
      <c r="AQV14" s="63"/>
      <c r="AQW14" s="63"/>
      <c r="AQX14" s="63"/>
      <c r="AQY14" s="63"/>
      <c r="AQZ14" s="63"/>
      <c r="ARA14" s="63"/>
      <c r="ARB14" s="63"/>
      <c r="ARC14" s="63"/>
      <c r="ARD14" s="63"/>
      <c r="ARE14" s="63"/>
      <c r="ARF14" s="54"/>
      <c r="ARG14" s="54"/>
      <c r="ARH14" s="54"/>
      <c r="ARI14" s="57"/>
      <c r="ARJ14" s="62"/>
      <c r="ARK14" s="63"/>
      <c r="ARL14" s="63"/>
      <c r="ARM14" s="63"/>
      <c r="ARN14" s="63"/>
      <c r="ARO14" s="63"/>
      <c r="ARP14" s="63"/>
      <c r="ARQ14" s="63"/>
      <c r="ARR14" s="63"/>
      <c r="ARS14" s="63"/>
      <c r="ART14" s="63"/>
      <c r="ARU14" s="63"/>
      <c r="ARV14" s="54"/>
      <c r="ARW14" s="54"/>
      <c r="ARX14" s="54"/>
      <c r="ARY14" s="57"/>
      <c r="ARZ14" s="62"/>
      <c r="ASA14" s="63"/>
      <c r="ASB14" s="63"/>
      <c r="ASC14" s="63"/>
      <c r="ASD14" s="63"/>
      <c r="ASE14" s="63"/>
      <c r="ASF14" s="63"/>
      <c r="ASG14" s="63"/>
      <c r="ASH14" s="63"/>
      <c r="ASI14" s="63"/>
      <c r="ASJ14" s="63"/>
      <c r="ASK14" s="63"/>
      <c r="ASL14" s="54"/>
      <c r="ASM14" s="54"/>
      <c r="ASN14" s="54"/>
      <c r="ASO14" s="57"/>
      <c r="ASP14" s="62"/>
      <c r="ASQ14" s="63"/>
      <c r="ASR14" s="63"/>
      <c r="ASS14" s="63"/>
      <c r="AST14" s="63"/>
      <c r="ASU14" s="63"/>
      <c r="ASV14" s="63"/>
      <c r="ASW14" s="63"/>
      <c r="ASX14" s="63"/>
      <c r="ASY14" s="63"/>
      <c r="ASZ14" s="63"/>
      <c r="ATA14" s="63"/>
      <c r="ATB14" s="54"/>
      <c r="ATC14" s="54"/>
      <c r="ATD14" s="54"/>
      <c r="ATE14" s="57"/>
      <c r="ATF14" s="62"/>
      <c r="ATG14" s="63"/>
      <c r="ATH14" s="63"/>
      <c r="ATI14" s="63"/>
      <c r="ATJ14" s="63"/>
      <c r="ATK14" s="63"/>
      <c r="ATL14" s="63"/>
      <c r="ATM14" s="63"/>
      <c r="ATN14" s="63"/>
      <c r="ATO14" s="63"/>
      <c r="ATP14" s="63"/>
      <c r="ATQ14" s="63"/>
      <c r="ATR14" s="54"/>
      <c r="ATS14" s="54"/>
      <c r="ATT14" s="54"/>
      <c r="ATU14" s="57"/>
      <c r="ATV14" s="62"/>
      <c r="ATW14" s="63"/>
      <c r="ATX14" s="63"/>
      <c r="ATY14" s="63"/>
      <c r="ATZ14" s="63"/>
      <c r="AUA14" s="63"/>
      <c r="AUB14" s="63"/>
      <c r="AUC14" s="63"/>
      <c r="AUD14" s="63"/>
      <c r="AUE14" s="63"/>
      <c r="AUF14" s="63"/>
      <c r="AUG14" s="63"/>
      <c r="AUH14" s="54"/>
      <c r="AUI14" s="54"/>
      <c r="AUJ14" s="54"/>
      <c r="AUK14" s="57"/>
      <c r="AUL14" s="62"/>
      <c r="AUM14" s="63"/>
      <c r="AUN14" s="63"/>
      <c r="AUO14" s="63"/>
      <c r="AUP14" s="63"/>
      <c r="AUQ14" s="63"/>
      <c r="AUR14" s="63"/>
      <c r="AUS14" s="63"/>
      <c r="AUT14" s="63"/>
      <c r="AUU14" s="63"/>
      <c r="AUV14" s="63"/>
      <c r="AUW14" s="63"/>
      <c r="AUX14" s="54"/>
      <c r="AUY14" s="54"/>
      <c r="AUZ14" s="54"/>
      <c r="AVA14" s="57"/>
      <c r="AVB14" s="62"/>
      <c r="AVC14" s="63"/>
      <c r="AVD14" s="63"/>
      <c r="AVE14" s="63"/>
      <c r="AVF14" s="63"/>
      <c r="AVG14" s="63"/>
      <c r="AVH14" s="63"/>
      <c r="AVI14" s="63"/>
      <c r="AVJ14" s="63"/>
      <c r="AVK14" s="63"/>
      <c r="AVL14" s="63"/>
      <c r="AVM14" s="63"/>
      <c r="AVN14" s="54"/>
      <c r="AVO14" s="54"/>
      <c r="AVP14" s="54"/>
      <c r="AVQ14" s="57"/>
      <c r="AVR14" s="62"/>
      <c r="AVS14" s="63"/>
      <c r="AVT14" s="63"/>
      <c r="AVU14" s="63"/>
      <c r="AVV14" s="63"/>
      <c r="AVW14" s="63"/>
      <c r="AVX14" s="63"/>
      <c r="AVY14" s="63"/>
      <c r="AVZ14" s="63"/>
      <c r="AWA14" s="63"/>
      <c r="AWB14" s="63"/>
      <c r="AWC14" s="63"/>
      <c r="AWD14" s="54"/>
      <c r="AWE14" s="54"/>
      <c r="AWF14" s="54"/>
      <c r="AWG14" s="57"/>
      <c r="AWH14" s="62"/>
      <c r="AWI14" s="63"/>
      <c r="AWJ14" s="63"/>
      <c r="AWK14" s="63"/>
      <c r="AWL14" s="63"/>
      <c r="AWM14" s="63"/>
      <c r="AWN14" s="63"/>
      <c r="AWO14" s="63"/>
      <c r="AWP14" s="63"/>
      <c r="AWQ14" s="63"/>
      <c r="AWR14" s="63"/>
      <c r="AWS14" s="63"/>
      <c r="AWT14" s="54"/>
      <c r="AWU14" s="54"/>
      <c r="AWV14" s="54"/>
      <c r="AWW14" s="57"/>
      <c r="AWX14" s="62"/>
      <c r="AWY14" s="63"/>
      <c r="AWZ14" s="63"/>
      <c r="AXA14" s="63"/>
      <c r="AXB14" s="63"/>
      <c r="AXC14" s="63"/>
      <c r="AXD14" s="63"/>
      <c r="AXE14" s="63"/>
      <c r="AXF14" s="63"/>
      <c r="AXG14" s="63"/>
      <c r="AXH14" s="63"/>
      <c r="AXI14" s="63"/>
      <c r="AXJ14" s="54"/>
      <c r="AXK14" s="54"/>
      <c r="AXL14" s="54"/>
      <c r="AXM14" s="57"/>
      <c r="AXN14" s="62"/>
      <c r="AXO14" s="63"/>
      <c r="AXP14" s="63"/>
      <c r="AXQ14" s="63"/>
      <c r="AXR14" s="63"/>
      <c r="AXS14" s="63"/>
      <c r="AXT14" s="63"/>
      <c r="AXU14" s="63"/>
      <c r="AXV14" s="63"/>
      <c r="AXW14" s="63"/>
      <c r="AXX14" s="63"/>
      <c r="AXY14" s="63"/>
      <c r="AXZ14" s="54"/>
      <c r="AYA14" s="54"/>
      <c r="AYB14" s="54"/>
      <c r="AYC14" s="57"/>
      <c r="AYD14" s="62"/>
      <c r="AYE14" s="63"/>
      <c r="AYF14" s="63"/>
      <c r="AYG14" s="63"/>
      <c r="AYH14" s="63"/>
      <c r="AYI14" s="63"/>
      <c r="AYJ14" s="63"/>
      <c r="AYK14" s="63"/>
      <c r="AYL14" s="63"/>
      <c r="AYM14" s="63"/>
      <c r="AYN14" s="63"/>
      <c r="AYO14" s="63"/>
      <c r="AYP14" s="54"/>
      <c r="AYQ14" s="54"/>
      <c r="AYR14" s="54"/>
      <c r="AYS14" s="57"/>
      <c r="AYT14" s="62"/>
      <c r="AYU14" s="63"/>
      <c r="AYV14" s="63"/>
      <c r="AYW14" s="63"/>
      <c r="AYX14" s="63"/>
      <c r="AYY14" s="63"/>
      <c r="AYZ14" s="63"/>
      <c r="AZA14" s="63"/>
      <c r="AZB14" s="63"/>
      <c r="AZC14" s="63"/>
      <c r="AZD14" s="63"/>
      <c r="AZE14" s="63"/>
      <c r="AZF14" s="54"/>
      <c r="AZG14" s="54"/>
      <c r="AZH14" s="54"/>
      <c r="AZI14" s="57"/>
      <c r="AZJ14" s="62"/>
      <c r="AZK14" s="63"/>
      <c r="AZL14" s="63"/>
      <c r="AZM14" s="63"/>
      <c r="AZN14" s="63"/>
      <c r="AZO14" s="63"/>
      <c r="AZP14" s="63"/>
      <c r="AZQ14" s="63"/>
      <c r="AZR14" s="63"/>
      <c r="AZS14" s="63"/>
      <c r="AZT14" s="63"/>
      <c r="AZU14" s="63"/>
      <c r="AZV14" s="54"/>
      <c r="AZW14" s="54"/>
      <c r="AZX14" s="54"/>
      <c r="AZY14" s="57"/>
      <c r="AZZ14" s="62"/>
      <c r="BAA14" s="63"/>
      <c r="BAB14" s="63"/>
      <c r="BAC14" s="63"/>
      <c r="BAD14" s="63"/>
      <c r="BAE14" s="63"/>
      <c r="BAF14" s="63"/>
      <c r="BAG14" s="63"/>
      <c r="BAH14" s="63"/>
      <c r="BAI14" s="63"/>
      <c r="BAJ14" s="63"/>
      <c r="BAK14" s="63"/>
      <c r="BAL14" s="54"/>
      <c r="BAM14" s="54"/>
      <c r="BAN14" s="54"/>
      <c r="BAO14" s="57"/>
      <c r="BAP14" s="62"/>
      <c r="BAQ14" s="63"/>
      <c r="BAR14" s="63"/>
      <c r="BAS14" s="63"/>
      <c r="BAT14" s="63"/>
      <c r="BAU14" s="63"/>
      <c r="BAV14" s="63"/>
      <c r="BAW14" s="63"/>
      <c r="BAX14" s="63"/>
      <c r="BAY14" s="63"/>
      <c r="BAZ14" s="63"/>
      <c r="BBA14" s="63"/>
      <c r="BBB14" s="54"/>
      <c r="BBC14" s="54"/>
      <c r="BBD14" s="54"/>
      <c r="BBE14" s="57"/>
      <c r="BBF14" s="62"/>
      <c r="BBG14" s="63"/>
      <c r="BBH14" s="63"/>
      <c r="BBI14" s="63"/>
      <c r="BBJ14" s="63"/>
      <c r="BBK14" s="63"/>
      <c r="BBL14" s="63"/>
      <c r="BBM14" s="63"/>
      <c r="BBN14" s="63"/>
      <c r="BBO14" s="63"/>
      <c r="BBP14" s="63"/>
      <c r="BBQ14" s="63"/>
      <c r="BBR14" s="54"/>
      <c r="BBS14" s="54"/>
      <c r="BBT14" s="54"/>
      <c r="BBU14" s="57"/>
      <c r="BBV14" s="62"/>
      <c r="BBW14" s="63"/>
      <c r="BBX14" s="63"/>
      <c r="BBY14" s="63"/>
      <c r="BBZ14" s="63"/>
      <c r="BCA14" s="63"/>
      <c r="BCB14" s="63"/>
      <c r="BCC14" s="63"/>
      <c r="BCD14" s="63"/>
      <c r="BCE14" s="63"/>
      <c r="BCF14" s="63"/>
      <c r="BCG14" s="63"/>
      <c r="BCH14" s="54"/>
      <c r="BCI14" s="54"/>
      <c r="BCJ14" s="54"/>
      <c r="BCK14" s="57"/>
      <c r="BCL14" s="62"/>
      <c r="BCM14" s="63"/>
      <c r="BCN14" s="63"/>
      <c r="BCO14" s="63"/>
      <c r="BCP14" s="63"/>
      <c r="BCQ14" s="63"/>
      <c r="BCR14" s="63"/>
      <c r="BCS14" s="63"/>
      <c r="BCT14" s="63"/>
      <c r="BCU14" s="63"/>
      <c r="BCV14" s="63"/>
      <c r="BCW14" s="63"/>
      <c r="BCX14" s="54"/>
      <c r="BCY14" s="54"/>
      <c r="BCZ14" s="54"/>
      <c r="BDA14" s="57"/>
      <c r="BDB14" s="62"/>
      <c r="BDC14" s="63"/>
      <c r="BDD14" s="63"/>
      <c r="BDE14" s="63"/>
      <c r="BDF14" s="63"/>
      <c r="BDG14" s="63"/>
      <c r="BDH14" s="63"/>
      <c r="BDI14" s="63"/>
      <c r="BDJ14" s="63"/>
      <c r="BDK14" s="63"/>
      <c r="BDL14" s="63"/>
      <c r="BDM14" s="63"/>
      <c r="BDN14" s="54"/>
      <c r="BDO14" s="54"/>
      <c r="BDP14" s="54"/>
      <c r="BDQ14" s="57"/>
      <c r="BDR14" s="62"/>
      <c r="BDS14" s="63"/>
      <c r="BDT14" s="63"/>
      <c r="BDU14" s="63"/>
      <c r="BDV14" s="63"/>
      <c r="BDW14" s="63"/>
      <c r="BDX14" s="63"/>
      <c r="BDY14" s="63"/>
      <c r="BDZ14" s="63"/>
      <c r="BEA14" s="63"/>
      <c r="BEB14" s="63"/>
      <c r="BEC14" s="63"/>
      <c r="BED14" s="54"/>
      <c r="BEE14" s="54"/>
      <c r="BEF14" s="54"/>
      <c r="BEG14" s="57"/>
      <c r="BEH14" s="62"/>
      <c r="BEI14" s="63"/>
      <c r="BEJ14" s="63"/>
      <c r="BEK14" s="63"/>
      <c r="BEL14" s="63"/>
      <c r="BEM14" s="63"/>
      <c r="BEN14" s="63"/>
      <c r="BEO14" s="63"/>
      <c r="BEP14" s="63"/>
      <c r="BEQ14" s="63"/>
      <c r="BER14" s="63"/>
      <c r="BES14" s="63"/>
      <c r="BET14" s="54"/>
      <c r="BEU14" s="54"/>
      <c r="BEV14" s="54"/>
      <c r="BEW14" s="57"/>
      <c r="BEX14" s="62"/>
      <c r="BEY14" s="63"/>
      <c r="BEZ14" s="63"/>
      <c r="BFA14" s="63"/>
      <c r="BFB14" s="63"/>
      <c r="BFC14" s="63"/>
      <c r="BFD14" s="63"/>
      <c r="BFE14" s="63"/>
      <c r="BFF14" s="63"/>
      <c r="BFG14" s="63"/>
      <c r="BFH14" s="63"/>
      <c r="BFI14" s="63"/>
      <c r="BFJ14" s="54"/>
      <c r="BFK14" s="54"/>
      <c r="BFL14" s="54"/>
      <c r="BFM14" s="57"/>
      <c r="BFN14" s="62"/>
      <c r="BFO14" s="63"/>
      <c r="BFP14" s="63"/>
      <c r="BFQ14" s="63"/>
      <c r="BFR14" s="63"/>
      <c r="BFS14" s="63"/>
      <c r="BFT14" s="63"/>
      <c r="BFU14" s="63"/>
      <c r="BFV14" s="63"/>
      <c r="BFW14" s="63"/>
      <c r="BFX14" s="63"/>
      <c r="BFY14" s="63"/>
      <c r="BFZ14" s="54"/>
      <c r="BGA14" s="54"/>
      <c r="BGB14" s="54"/>
      <c r="BGC14" s="57"/>
      <c r="BGD14" s="62"/>
      <c r="BGE14" s="63"/>
      <c r="BGF14" s="63"/>
      <c r="BGG14" s="63"/>
      <c r="BGH14" s="63"/>
      <c r="BGI14" s="63"/>
      <c r="BGJ14" s="63"/>
      <c r="BGK14" s="63"/>
      <c r="BGL14" s="63"/>
      <c r="BGM14" s="63"/>
      <c r="BGN14" s="63"/>
      <c r="BGO14" s="63"/>
      <c r="BGP14" s="54"/>
      <c r="BGQ14" s="54"/>
      <c r="BGR14" s="54"/>
      <c r="BGS14" s="57"/>
      <c r="BGT14" s="62"/>
      <c r="BGU14" s="63"/>
      <c r="BGV14" s="63"/>
      <c r="BGW14" s="63"/>
      <c r="BGX14" s="63"/>
      <c r="BGY14" s="63"/>
      <c r="BGZ14" s="63"/>
      <c r="BHA14" s="63"/>
      <c r="BHB14" s="63"/>
      <c r="BHC14" s="63"/>
      <c r="BHD14" s="63"/>
      <c r="BHE14" s="63"/>
      <c r="BHF14" s="54"/>
      <c r="BHG14" s="54"/>
      <c r="BHH14" s="54"/>
      <c r="BHI14" s="57"/>
      <c r="BHJ14" s="62"/>
      <c r="BHK14" s="63"/>
      <c r="BHL14" s="63"/>
      <c r="BHM14" s="63"/>
      <c r="BHN14" s="63"/>
      <c r="BHO14" s="63"/>
      <c r="BHP14" s="63"/>
      <c r="BHQ14" s="63"/>
      <c r="BHR14" s="63"/>
      <c r="BHS14" s="63"/>
      <c r="BHT14" s="63"/>
      <c r="BHU14" s="63"/>
      <c r="BHV14" s="54"/>
      <c r="BHW14" s="54"/>
      <c r="BHX14" s="54"/>
      <c r="BHY14" s="57"/>
      <c r="BHZ14" s="62"/>
      <c r="BIA14" s="63"/>
      <c r="BIB14" s="63"/>
      <c r="BIC14" s="63"/>
      <c r="BID14" s="63"/>
      <c r="BIE14" s="63"/>
      <c r="BIF14" s="63"/>
      <c r="BIG14" s="63"/>
      <c r="BIH14" s="63"/>
      <c r="BII14" s="63"/>
      <c r="BIJ14" s="63"/>
      <c r="BIK14" s="63"/>
      <c r="BIL14" s="54"/>
      <c r="BIM14" s="54"/>
      <c r="BIN14" s="54"/>
      <c r="BIO14" s="57"/>
      <c r="BIP14" s="62"/>
      <c r="BIQ14" s="63"/>
      <c r="BIR14" s="63"/>
      <c r="BIS14" s="63"/>
      <c r="BIT14" s="63"/>
      <c r="BIU14" s="63"/>
      <c r="BIV14" s="63"/>
      <c r="BIW14" s="63"/>
      <c r="BIX14" s="63"/>
      <c r="BIY14" s="63"/>
      <c r="BIZ14" s="63"/>
      <c r="BJA14" s="63"/>
      <c r="BJB14" s="54"/>
      <c r="BJC14" s="54"/>
      <c r="BJD14" s="54"/>
      <c r="BJE14" s="57"/>
      <c r="BJF14" s="62"/>
      <c r="BJG14" s="63"/>
      <c r="BJH14" s="63"/>
      <c r="BJI14" s="63"/>
      <c r="BJJ14" s="63"/>
      <c r="BJK14" s="63"/>
      <c r="BJL14" s="63"/>
      <c r="BJM14" s="63"/>
      <c r="BJN14" s="63"/>
      <c r="BJO14" s="63"/>
      <c r="BJP14" s="63"/>
      <c r="BJQ14" s="63"/>
      <c r="BJR14" s="54"/>
      <c r="BJS14" s="54"/>
      <c r="BJT14" s="54"/>
      <c r="BJU14" s="57"/>
      <c r="BJV14" s="62"/>
      <c r="BJW14" s="63"/>
      <c r="BJX14" s="63"/>
      <c r="BJY14" s="63"/>
      <c r="BJZ14" s="63"/>
      <c r="BKA14" s="63"/>
      <c r="BKB14" s="63"/>
      <c r="BKC14" s="63"/>
      <c r="BKD14" s="63"/>
      <c r="BKE14" s="63"/>
      <c r="BKF14" s="63"/>
      <c r="BKG14" s="63"/>
      <c r="BKH14" s="54"/>
      <c r="BKI14" s="54"/>
      <c r="BKJ14" s="54"/>
      <c r="BKK14" s="57"/>
      <c r="BKL14" s="62"/>
      <c r="BKM14" s="63"/>
      <c r="BKN14" s="63"/>
      <c r="BKO14" s="63"/>
      <c r="BKP14" s="63"/>
      <c r="BKQ14" s="63"/>
      <c r="BKR14" s="63"/>
      <c r="BKS14" s="63"/>
      <c r="BKT14" s="63"/>
      <c r="BKU14" s="63"/>
      <c r="BKV14" s="63"/>
      <c r="BKW14" s="63"/>
      <c r="BKX14" s="54"/>
      <c r="BKY14" s="54"/>
      <c r="BKZ14" s="54"/>
      <c r="BLA14" s="57"/>
      <c r="BLB14" s="62"/>
      <c r="BLC14" s="63"/>
      <c r="BLD14" s="63"/>
      <c r="BLE14" s="63"/>
      <c r="BLF14" s="63"/>
      <c r="BLG14" s="63"/>
      <c r="BLH14" s="63"/>
      <c r="BLI14" s="63"/>
      <c r="BLJ14" s="63"/>
      <c r="BLK14" s="63"/>
      <c r="BLL14" s="63"/>
      <c r="BLM14" s="63"/>
      <c r="BLN14" s="54"/>
      <c r="BLO14" s="54"/>
      <c r="BLP14" s="54"/>
      <c r="BLQ14" s="57"/>
      <c r="BLR14" s="62"/>
      <c r="BLS14" s="63"/>
      <c r="BLT14" s="63"/>
      <c r="BLU14" s="63"/>
      <c r="BLV14" s="63"/>
      <c r="BLW14" s="63"/>
      <c r="BLX14" s="63"/>
      <c r="BLY14" s="63"/>
      <c r="BLZ14" s="63"/>
      <c r="BMA14" s="63"/>
      <c r="BMB14" s="63"/>
      <c r="BMC14" s="63"/>
      <c r="BMD14" s="54"/>
      <c r="BME14" s="54"/>
      <c r="BMF14" s="54"/>
      <c r="BMG14" s="57"/>
      <c r="BMH14" s="62"/>
      <c r="BMI14" s="63"/>
      <c r="BMJ14" s="63"/>
      <c r="BMK14" s="63"/>
      <c r="BML14" s="63"/>
      <c r="BMM14" s="63"/>
      <c r="BMN14" s="63"/>
      <c r="BMO14" s="63"/>
      <c r="BMP14" s="63"/>
      <c r="BMQ14" s="63"/>
      <c r="BMR14" s="63"/>
      <c r="BMS14" s="63"/>
      <c r="BMT14" s="54"/>
      <c r="BMU14" s="54"/>
      <c r="BMV14" s="54"/>
      <c r="BMW14" s="57"/>
      <c r="BMX14" s="62"/>
      <c r="BMY14" s="63"/>
      <c r="BMZ14" s="63"/>
      <c r="BNA14" s="63"/>
      <c r="BNB14" s="63"/>
      <c r="BNC14" s="63"/>
      <c r="BND14" s="63"/>
      <c r="BNE14" s="63"/>
      <c r="BNF14" s="63"/>
      <c r="BNG14" s="63"/>
      <c r="BNH14" s="63"/>
      <c r="BNI14" s="63"/>
      <c r="BNJ14" s="54"/>
      <c r="BNK14" s="54"/>
      <c r="BNL14" s="54"/>
      <c r="BNM14" s="57"/>
      <c r="BNN14" s="62"/>
      <c r="BNO14" s="63"/>
      <c r="BNP14" s="63"/>
      <c r="BNQ14" s="63"/>
      <c r="BNR14" s="63"/>
      <c r="BNS14" s="63"/>
      <c r="BNT14" s="63"/>
      <c r="BNU14" s="63"/>
      <c r="BNV14" s="63"/>
      <c r="BNW14" s="63"/>
      <c r="BNX14" s="63"/>
      <c r="BNY14" s="63"/>
      <c r="BNZ14" s="54"/>
      <c r="BOA14" s="54"/>
      <c r="BOB14" s="54"/>
      <c r="BOC14" s="57"/>
      <c r="BOD14" s="62"/>
      <c r="BOE14" s="63"/>
      <c r="BOF14" s="63"/>
      <c r="BOG14" s="63"/>
      <c r="BOH14" s="63"/>
      <c r="BOI14" s="63"/>
      <c r="BOJ14" s="63"/>
      <c r="BOK14" s="63"/>
      <c r="BOL14" s="63"/>
      <c r="BOM14" s="63"/>
      <c r="BON14" s="63"/>
      <c r="BOO14" s="63"/>
      <c r="BOP14" s="54"/>
      <c r="BOQ14" s="54"/>
      <c r="BOR14" s="54"/>
      <c r="BOS14" s="57"/>
      <c r="BOT14" s="62"/>
      <c r="BOU14" s="63"/>
      <c r="BOV14" s="63"/>
      <c r="BOW14" s="63"/>
      <c r="BOX14" s="63"/>
      <c r="BOY14" s="63"/>
      <c r="BOZ14" s="63"/>
      <c r="BPA14" s="63"/>
      <c r="BPB14" s="63"/>
      <c r="BPC14" s="63"/>
      <c r="BPD14" s="63"/>
      <c r="BPE14" s="63"/>
      <c r="BPF14" s="54"/>
      <c r="BPG14" s="54"/>
      <c r="BPH14" s="54"/>
      <c r="BPI14" s="57"/>
      <c r="BPJ14" s="62"/>
      <c r="BPK14" s="63"/>
      <c r="BPL14" s="63"/>
      <c r="BPM14" s="63"/>
      <c r="BPN14" s="63"/>
      <c r="BPO14" s="63"/>
      <c r="BPP14" s="63"/>
      <c r="BPQ14" s="63"/>
      <c r="BPR14" s="63"/>
      <c r="BPS14" s="63"/>
      <c r="BPT14" s="63"/>
      <c r="BPU14" s="63"/>
      <c r="BPV14" s="54"/>
      <c r="BPW14" s="54"/>
      <c r="BPX14" s="54"/>
      <c r="BPY14" s="57"/>
      <c r="BPZ14" s="62"/>
      <c r="BQA14" s="63"/>
      <c r="BQB14" s="63"/>
      <c r="BQC14" s="63"/>
      <c r="BQD14" s="63"/>
      <c r="BQE14" s="63"/>
      <c r="BQF14" s="63"/>
      <c r="BQG14" s="63"/>
      <c r="BQH14" s="63"/>
      <c r="BQI14" s="63"/>
      <c r="BQJ14" s="63"/>
      <c r="BQK14" s="63"/>
      <c r="BQL14" s="54"/>
      <c r="BQM14" s="54"/>
      <c r="BQN14" s="54"/>
      <c r="BQO14" s="57"/>
      <c r="BQP14" s="62"/>
      <c r="BQQ14" s="63"/>
      <c r="BQR14" s="63"/>
      <c r="BQS14" s="63"/>
      <c r="BQT14" s="63"/>
      <c r="BQU14" s="63"/>
      <c r="BQV14" s="63"/>
      <c r="BQW14" s="63"/>
      <c r="BQX14" s="63"/>
      <c r="BQY14" s="63"/>
      <c r="BQZ14" s="63"/>
      <c r="BRA14" s="63"/>
      <c r="BRB14" s="54"/>
      <c r="BRC14" s="54"/>
      <c r="BRD14" s="54"/>
      <c r="BRE14" s="57"/>
      <c r="BRF14" s="62"/>
      <c r="BRG14" s="63"/>
      <c r="BRH14" s="63"/>
      <c r="BRI14" s="63"/>
      <c r="BRJ14" s="63"/>
      <c r="BRK14" s="63"/>
      <c r="BRL14" s="63"/>
      <c r="BRM14" s="63"/>
      <c r="BRN14" s="63"/>
      <c r="BRO14" s="63"/>
      <c r="BRP14" s="63"/>
      <c r="BRQ14" s="63"/>
      <c r="BRR14" s="54"/>
      <c r="BRS14" s="54"/>
      <c r="BRT14" s="54"/>
      <c r="BRU14" s="57"/>
      <c r="BRV14" s="62"/>
      <c r="BRW14" s="63"/>
      <c r="BRX14" s="63"/>
      <c r="BRY14" s="63"/>
      <c r="BRZ14" s="63"/>
      <c r="BSA14" s="63"/>
      <c r="BSB14" s="63"/>
      <c r="BSC14" s="63"/>
      <c r="BSD14" s="63"/>
      <c r="BSE14" s="63"/>
      <c r="BSF14" s="63"/>
      <c r="BSG14" s="63"/>
      <c r="BSH14" s="54"/>
      <c r="BSI14" s="54"/>
      <c r="BSJ14" s="54"/>
      <c r="BSK14" s="57"/>
      <c r="BSL14" s="62"/>
      <c r="BSM14" s="63"/>
      <c r="BSN14" s="63"/>
      <c r="BSO14" s="63"/>
      <c r="BSP14" s="63"/>
      <c r="BSQ14" s="63"/>
      <c r="BSR14" s="63"/>
      <c r="BSS14" s="63"/>
      <c r="BST14" s="63"/>
      <c r="BSU14" s="63"/>
      <c r="BSV14" s="63"/>
      <c r="BSW14" s="63"/>
      <c r="BSX14" s="54"/>
      <c r="BSY14" s="54"/>
      <c r="BSZ14" s="54"/>
      <c r="BTA14" s="57"/>
      <c r="BTB14" s="62"/>
      <c r="BTC14" s="63"/>
      <c r="BTD14" s="63"/>
      <c r="BTE14" s="63"/>
      <c r="BTF14" s="63"/>
      <c r="BTG14" s="63"/>
      <c r="BTH14" s="63"/>
      <c r="BTI14" s="63"/>
      <c r="BTJ14" s="63"/>
      <c r="BTK14" s="63"/>
      <c r="BTL14" s="63"/>
      <c r="BTM14" s="63"/>
      <c r="BTN14" s="54"/>
      <c r="BTO14" s="54"/>
      <c r="BTP14" s="54"/>
      <c r="BTQ14" s="57"/>
      <c r="BTR14" s="62"/>
      <c r="BTS14" s="63"/>
      <c r="BTT14" s="63"/>
      <c r="BTU14" s="63"/>
      <c r="BTV14" s="63"/>
      <c r="BTW14" s="63"/>
      <c r="BTX14" s="63"/>
      <c r="BTY14" s="63"/>
      <c r="BTZ14" s="63"/>
      <c r="BUA14" s="63"/>
      <c r="BUB14" s="63"/>
      <c r="BUC14" s="63"/>
      <c r="BUD14" s="54"/>
      <c r="BUE14" s="54"/>
      <c r="BUF14" s="54"/>
      <c r="BUG14" s="57"/>
      <c r="BUH14" s="62"/>
      <c r="BUI14" s="63"/>
      <c r="BUJ14" s="63"/>
      <c r="BUK14" s="63"/>
      <c r="BUL14" s="63"/>
      <c r="BUM14" s="63"/>
      <c r="BUN14" s="63"/>
      <c r="BUO14" s="63"/>
      <c r="BUP14" s="63"/>
      <c r="BUQ14" s="63"/>
      <c r="BUR14" s="63"/>
      <c r="BUS14" s="63"/>
      <c r="BUT14" s="54"/>
      <c r="BUU14" s="54"/>
      <c r="BUV14" s="54"/>
      <c r="BUW14" s="57"/>
      <c r="BUX14" s="62"/>
      <c r="BUY14" s="63"/>
      <c r="BUZ14" s="63"/>
      <c r="BVA14" s="63"/>
      <c r="BVB14" s="63"/>
      <c r="BVC14" s="63"/>
      <c r="BVD14" s="63"/>
      <c r="BVE14" s="63"/>
      <c r="BVF14" s="63"/>
      <c r="BVG14" s="63"/>
      <c r="BVH14" s="63"/>
      <c r="BVI14" s="63"/>
      <c r="BVJ14" s="54"/>
      <c r="BVK14" s="54"/>
      <c r="BVL14" s="54"/>
      <c r="BVM14" s="57"/>
      <c r="BVN14" s="62"/>
      <c r="BVO14" s="63"/>
      <c r="BVP14" s="63"/>
      <c r="BVQ14" s="63"/>
      <c r="BVR14" s="63"/>
      <c r="BVS14" s="63"/>
      <c r="BVT14" s="63"/>
      <c r="BVU14" s="63"/>
      <c r="BVV14" s="63"/>
      <c r="BVW14" s="63"/>
      <c r="BVX14" s="63"/>
      <c r="BVY14" s="63"/>
      <c r="BVZ14" s="54"/>
      <c r="BWA14" s="54"/>
      <c r="BWB14" s="54"/>
      <c r="BWC14" s="57"/>
      <c r="BWD14" s="62"/>
      <c r="BWE14" s="63"/>
      <c r="BWF14" s="63"/>
      <c r="BWG14" s="63"/>
      <c r="BWH14" s="63"/>
      <c r="BWI14" s="63"/>
      <c r="BWJ14" s="63"/>
      <c r="BWK14" s="63"/>
      <c r="BWL14" s="63"/>
      <c r="BWM14" s="63"/>
      <c r="BWN14" s="63"/>
      <c r="BWO14" s="63"/>
      <c r="BWP14" s="54"/>
      <c r="BWQ14" s="54"/>
      <c r="BWR14" s="54"/>
      <c r="BWS14" s="57"/>
      <c r="BWT14" s="62"/>
      <c r="BWU14" s="63"/>
      <c r="BWV14" s="63"/>
      <c r="BWW14" s="63"/>
      <c r="BWX14" s="63"/>
      <c r="BWY14" s="63"/>
      <c r="BWZ14" s="63"/>
      <c r="BXA14" s="63"/>
      <c r="BXB14" s="63"/>
      <c r="BXC14" s="63"/>
      <c r="BXD14" s="63"/>
      <c r="BXE14" s="63"/>
      <c r="BXF14" s="54"/>
      <c r="BXG14" s="54"/>
      <c r="BXH14" s="54"/>
      <c r="BXI14" s="57"/>
      <c r="BXJ14" s="62"/>
      <c r="BXK14" s="63"/>
      <c r="BXL14" s="63"/>
      <c r="BXM14" s="63"/>
      <c r="BXN14" s="63"/>
      <c r="BXO14" s="63"/>
      <c r="BXP14" s="63"/>
      <c r="BXQ14" s="63"/>
      <c r="BXR14" s="63"/>
      <c r="BXS14" s="63"/>
      <c r="BXT14" s="63"/>
      <c r="BXU14" s="63"/>
      <c r="BXV14" s="54"/>
      <c r="BXW14" s="54"/>
      <c r="BXX14" s="54"/>
      <c r="BXY14" s="57"/>
      <c r="BXZ14" s="62"/>
      <c r="BYA14" s="63"/>
      <c r="BYB14" s="63"/>
      <c r="BYC14" s="63"/>
      <c r="BYD14" s="63"/>
      <c r="BYE14" s="63"/>
      <c r="BYF14" s="63"/>
      <c r="BYG14" s="63"/>
      <c r="BYH14" s="63"/>
      <c r="BYI14" s="63"/>
      <c r="BYJ14" s="63"/>
      <c r="BYK14" s="63"/>
      <c r="BYL14" s="54"/>
      <c r="BYM14" s="54"/>
      <c r="BYN14" s="54"/>
      <c r="BYO14" s="57"/>
      <c r="BYP14" s="62"/>
      <c r="BYQ14" s="63"/>
      <c r="BYR14" s="63"/>
      <c r="BYS14" s="63"/>
      <c r="BYT14" s="63"/>
      <c r="BYU14" s="63"/>
      <c r="BYV14" s="63"/>
      <c r="BYW14" s="63"/>
      <c r="BYX14" s="63"/>
      <c r="BYY14" s="63"/>
      <c r="BYZ14" s="63"/>
      <c r="BZA14" s="63"/>
      <c r="BZB14" s="54"/>
      <c r="BZC14" s="54"/>
      <c r="BZD14" s="54"/>
      <c r="BZE14" s="57"/>
      <c r="BZF14" s="62"/>
      <c r="BZG14" s="63"/>
      <c r="BZH14" s="63"/>
      <c r="BZI14" s="63"/>
      <c r="BZJ14" s="63"/>
      <c r="BZK14" s="63"/>
      <c r="BZL14" s="63"/>
      <c r="BZM14" s="63"/>
      <c r="BZN14" s="63"/>
      <c r="BZO14" s="63"/>
      <c r="BZP14" s="63"/>
      <c r="BZQ14" s="63"/>
      <c r="BZR14" s="54"/>
      <c r="BZS14" s="54"/>
      <c r="BZT14" s="54"/>
      <c r="BZU14" s="57"/>
      <c r="BZV14" s="62"/>
      <c r="BZW14" s="63"/>
      <c r="BZX14" s="63"/>
      <c r="BZY14" s="63"/>
      <c r="BZZ14" s="63"/>
      <c r="CAA14" s="63"/>
      <c r="CAB14" s="63"/>
      <c r="CAC14" s="63"/>
      <c r="CAD14" s="63"/>
      <c r="CAE14" s="63"/>
      <c r="CAF14" s="63"/>
      <c r="CAG14" s="63"/>
      <c r="CAH14" s="54"/>
      <c r="CAI14" s="54"/>
      <c r="CAJ14" s="54"/>
      <c r="CAK14" s="57"/>
      <c r="CAL14" s="62"/>
      <c r="CAM14" s="63"/>
      <c r="CAN14" s="63"/>
      <c r="CAO14" s="63"/>
      <c r="CAP14" s="63"/>
      <c r="CAQ14" s="63"/>
      <c r="CAR14" s="63"/>
      <c r="CAS14" s="63"/>
      <c r="CAT14" s="63"/>
      <c r="CAU14" s="63"/>
      <c r="CAV14" s="63"/>
      <c r="CAW14" s="63"/>
      <c r="CAX14" s="54"/>
      <c r="CAY14" s="54"/>
      <c r="CAZ14" s="54"/>
      <c r="CBA14" s="57"/>
      <c r="CBB14" s="62"/>
      <c r="CBC14" s="63"/>
      <c r="CBD14" s="63"/>
      <c r="CBE14" s="63"/>
      <c r="CBF14" s="63"/>
      <c r="CBG14" s="63"/>
      <c r="CBH14" s="63"/>
      <c r="CBI14" s="63"/>
      <c r="CBJ14" s="63"/>
      <c r="CBK14" s="63"/>
      <c r="CBL14" s="63"/>
      <c r="CBM14" s="63"/>
      <c r="CBN14" s="54"/>
      <c r="CBO14" s="54"/>
      <c r="CBP14" s="54"/>
      <c r="CBQ14" s="57"/>
      <c r="CBR14" s="62"/>
      <c r="CBS14" s="63"/>
      <c r="CBT14" s="63"/>
      <c r="CBU14" s="63"/>
      <c r="CBV14" s="63"/>
      <c r="CBW14" s="63"/>
      <c r="CBX14" s="63"/>
      <c r="CBY14" s="63"/>
      <c r="CBZ14" s="63"/>
      <c r="CCA14" s="63"/>
      <c r="CCB14" s="63"/>
      <c r="CCC14" s="63"/>
      <c r="CCD14" s="54"/>
      <c r="CCE14" s="54"/>
      <c r="CCF14" s="54"/>
      <c r="CCG14" s="57"/>
      <c r="CCH14" s="62"/>
      <c r="CCI14" s="63"/>
      <c r="CCJ14" s="63"/>
      <c r="CCK14" s="63"/>
      <c r="CCL14" s="63"/>
      <c r="CCM14" s="63"/>
      <c r="CCN14" s="63"/>
      <c r="CCO14" s="63"/>
      <c r="CCP14" s="63"/>
      <c r="CCQ14" s="63"/>
      <c r="CCR14" s="63"/>
      <c r="CCS14" s="63"/>
      <c r="CCT14" s="54"/>
      <c r="CCU14" s="54"/>
      <c r="CCV14" s="54"/>
      <c r="CCW14" s="57"/>
      <c r="CCX14" s="62"/>
      <c r="CCY14" s="63"/>
      <c r="CCZ14" s="63"/>
      <c r="CDA14" s="63"/>
      <c r="CDB14" s="63"/>
      <c r="CDC14" s="63"/>
      <c r="CDD14" s="63"/>
      <c r="CDE14" s="63"/>
      <c r="CDF14" s="63"/>
      <c r="CDG14" s="63"/>
      <c r="CDH14" s="63"/>
      <c r="CDI14" s="63"/>
      <c r="CDJ14" s="54"/>
      <c r="CDK14" s="54"/>
      <c r="CDL14" s="54"/>
      <c r="CDM14" s="57"/>
      <c r="CDN14" s="62"/>
      <c r="CDO14" s="63"/>
      <c r="CDP14" s="63"/>
      <c r="CDQ14" s="63"/>
      <c r="CDR14" s="63"/>
      <c r="CDS14" s="63"/>
      <c r="CDT14" s="63"/>
      <c r="CDU14" s="63"/>
      <c r="CDV14" s="63"/>
      <c r="CDW14" s="63"/>
      <c r="CDX14" s="63"/>
      <c r="CDY14" s="63"/>
      <c r="CDZ14" s="54"/>
      <c r="CEA14" s="54"/>
      <c r="CEB14" s="54"/>
      <c r="CEC14" s="57"/>
      <c r="CED14" s="62"/>
      <c r="CEE14" s="63"/>
      <c r="CEF14" s="63"/>
      <c r="CEG14" s="63"/>
      <c r="CEH14" s="63"/>
      <c r="CEI14" s="63"/>
      <c r="CEJ14" s="63"/>
      <c r="CEK14" s="63"/>
      <c r="CEL14" s="63"/>
      <c r="CEM14" s="63"/>
      <c r="CEN14" s="63"/>
      <c r="CEO14" s="63"/>
      <c r="CEP14" s="54"/>
      <c r="CEQ14" s="54"/>
      <c r="CER14" s="54"/>
      <c r="CES14" s="57"/>
      <c r="CET14" s="62"/>
      <c r="CEU14" s="63"/>
      <c r="CEV14" s="63"/>
      <c r="CEW14" s="63"/>
      <c r="CEX14" s="63"/>
      <c r="CEY14" s="63"/>
      <c r="CEZ14" s="63"/>
      <c r="CFA14" s="63"/>
      <c r="CFB14" s="63"/>
      <c r="CFC14" s="63"/>
      <c r="CFD14" s="63"/>
      <c r="CFE14" s="63"/>
      <c r="CFF14" s="54"/>
      <c r="CFG14" s="54"/>
      <c r="CFH14" s="54"/>
      <c r="CFI14" s="57"/>
      <c r="CFJ14" s="62"/>
      <c r="CFK14" s="63"/>
      <c r="CFL14" s="63"/>
      <c r="CFM14" s="63"/>
      <c r="CFN14" s="63"/>
      <c r="CFO14" s="63"/>
      <c r="CFP14" s="63"/>
      <c r="CFQ14" s="63"/>
      <c r="CFR14" s="63"/>
      <c r="CFS14" s="63"/>
      <c r="CFT14" s="63"/>
      <c r="CFU14" s="63"/>
      <c r="CFV14" s="54"/>
      <c r="CFW14" s="54"/>
      <c r="CFX14" s="54"/>
      <c r="CFY14" s="57"/>
      <c r="CFZ14" s="62"/>
      <c r="CGA14" s="63"/>
      <c r="CGB14" s="63"/>
      <c r="CGC14" s="63"/>
      <c r="CGD14" s="63"/>
      <c r="CGE14" s="63"/>
      <c r="CGF14" s="63"/>
      <c r="CGG14" s="63"/>
      <c r="CGH14" s="63"/>
      <c r="CGI14" s="63"/>
      <c r="CGJ14" s="63"/>
      <c r="CGK14" s="63"/>
      <c r="CGL14" s="54"/>
      <c r="CGM14" s="54"/>
      <c r="CGN14" s="54"/>
      <c r="CGO14" s="57"/>
      <c r="CGP14" s="62"/>
      <c r="CGQ14" s="63"/>
      <c r="CGR14" s="63"/>
      <c r="CGS14" s="63"/>
      <c r="CGT14" s="63"/>
      <c r="CGU14" s="63"/>
      <c r="CGV14" s="63"/>
      <c r="CGW14" s="63"/>
      <c r="CGX14" s="63"/>
      <c r="CGY14" s="63"/>
      <c r="CGZ14" s="63"/>
      <c r="CHA14" s="63"/>
      <c r="CHB14" s="54"/>
      <c r="CHC14" s="54"/>
      <c r="CHD14" s="54"/>
      <c r="CHE14" s="57"/>
      <c r="CHF14" s="62"/>
      <c r="CHG14" s="63"/>
      <c r="CHH14" s="63"/>
      <c r="CHI14" s="63"/>
      <c r="CHJ14" s="63"/>
      <c r="CHK14" s="63"/>
      <c r="CHL14" s="63"/>
      <c r="CHM14" s="63"/>
      <c r="CHN14" s="63"/>
      <c r="CHO14" s="63"/>
      <c r="CHP14" s="63"/>
      <c r="CHQ14" s="63"/>
      <c r="CHR14" s="54"/>
      <c r="CHS14" s="54"/>
      <c r="CHT14" s="54"/>
      <c r="CHU14" s="57"/>
      <c r="CHV14" s="62"/>
      <c r="CHW14" s="63"/>
      <c r="CHX14" s="63"/>
      <c r="CHY14" s="63"/>
      <c r="CHZ14" s="63"/>
      <c r="CIA14" s="63"/>
      <c r="CIB14" s="63"/>
      <c r="CIC14" s="63"/>
      <c r="CID14" s="63"/>
      <c r="CIE14" s="63"/>
      <c r="CIF14" s="63"/>
      <c r="CIG14" s="63"/>
      <c r="CIH14" s="54"/>
      <c r="CII14" s="54"/>
      <c r="CIJ14" s="54"/>
      <c r="CIK14" s="57"/>
      <c r="CIL14" s="62"/>
      <c r="CIM14" s="63"/>
      <c r="CIN14" s="63"/>
      <c r="CIO14" s="63"/>
      <c r="CIP14" s="63"/>
      <c r="CIQ14" s="63"/>
      <c r="CIR14" s="63"/>
      <c r="CIS14" s="63"/>
      <c r="CIT14" s="63"/>
      <c r="CIU14" s="63"/>
      <c r="CIV14" s="63"/>
      <c r="CIW14" s="63"/>
      <c r="CIX14" s="54"/>
      <c r="CIY14" s="54"/>
      <c r="CIZ14" s="54"/>
      <c r="CJA14" s="57"/>
      <c r="CJB14" s="62"/>
      <c r="CJC14" s="63"/>
      <c r="CJD14" s="63"/>
      <c r="CJE14" s="63"/>
      <c r="CJF14" s="63"/>
      <c r="CJG14" s="63"/>
      <c r="CJH14" s="63"/>
      <c r="CJI14" s="63"/>
      <c r="CJJ14" s="63"/>
      <c r="CJK14" s="63"/>
      <c r="CJL14" s="63"/>
      <c r="CJM14" s="63"/>
      <c r="CJN14" s="54"/>
      <c r="CJO14" s="54"/>
      <c r="CJP14" s="54"/>
      <c r="CJQ14" s="57"/>
      <c r="CJR14" s="62"/>
      <c r="CJS14" s="63"/>
      <c r="CJT14" s="63"/>
      <c r="CJU14" s="63"/>
      <c r="CJV14" s="63"/>
      <c r="CJW14" s="63"/>
      <c r="CJX14" s="63"/>
      <c r="CJY14" s="63"/>
      <c r="CJZ14" s="63"/>
      <c r="CKA14" s="63"/>
      <c r="CKB14" s="63"/>
      <c r="CKC14" s="63"/>
      <c r="CKD14" s="54"/>
      <c r="CKE14" s="54"/>
      <c r="CKF14" s="54"/>
      <c r="CKG14" s="57"/>
      <c r="CKH14" s="62"/>
      <c r="CKI14" s="63"/>
      <c r="CKJ14" s="63"/>
      <c r="CKK14" s="63"/>
      <c r="CKL14" s="63"/>
      <c r="CKM14" s="63"/>
      <c r="CKN14" s="63"/>
      <c r="CKO14" s="63"/>
      <c r="CKP14" s="63"/>
      <c r="CKQ14" s="63"/>
      <c r="CKR14" s="63"/>
      <c r="CKS14" s="63"/>
      <c r="CKT14" s="54"/>
      <c r="CKU14" s="54"/>
      <c r="CKV14" s="54"/>
      <c r="CKW14" s="57"/>
      <c r="CKX14" s="62"/>
      <c r="CKY14" s="63"/>
      <c r="CKZ14" s="63"/>
      <c r="CLA14" s="63"/>
      <c r="CLB14" s="63"/>
      <c r="CLC14" s="63"/>
      <c r="CLD14" s="63"/>
      <c r="CLE14" s="63"/>
      <c r="CLF14" s="63"/>
      <c r="CLG14" s="63"/>
      <c r="CLH14" s="63"/>
      <c r="CLI14" s="63"/>
      <c r="CLJ14" s="54"/>
      <c r="CLK14" s="54"/>
      <c r="CLL14" s="54"/>
      <c r="CLM14" s="57"/>
      <c r="CLN14" s="62"/>
      <c r="CLO14" s="63"/>
      <c r="CLP14" s="63"/>
      <c r="CLQ14" s="63"/>
      <c r="CLR14" s="63"/>
      <c r="CLS14" s="63"/>
      <c r="CLT14" s="63"/>
      <c r="CLU14" s="63"/>
      <c r="CLV14" s="63"/>
      <c r="CLW14" s="63"/>
      <c r="CLX14" s="63"/>
      <c r="CLY14" s="63"/>
      <c r="CLZ14" s="54"/>
      <c r="CMA14" s="54"/>
      <c r="CMB14" s="54"/>
      <c r="CMC14" s="57"/>
      <c r="CMD14" s="62"/>
      <c r="CME14" s="63"/>
      <c r="CMF14" s="63"/>
      <c r="CMG14" s="63"/>
      <c r="CMH14" s="63"/>
      <c r="CMI14" s="63"/>
      <c r="CMJ14" s="63"/>
      <c r="CMK14" s="63"/>
      <c r="CML14" s="63"/>
      <c r="CMM14" s="63"/>
      <c r="CMN14" s="63"/>
      <c r="CMO14" s="63"/>
      <c r="CMP14" s="54"/>
      <c r="CMQ14" s="54"/>
      <c r="CMR14" s="54"/>
      <c r="CMS14" s="57"/>
      <c r="CMT14" s="62"/>
      <c r="CMU14" s="63"/>
      <c r="CMV14" s="63"/>
      <c r="CMW14" s="63"/>
      <c r="CMX14" s="63"/>
      <c r="CMY14" s="63"/>
      <c r="CMZ14" s="63"/>
      <c r="CNA14" s="63"/>
      <c r="CNB14" s="63"/>
      <c r="CNC14" s="63"/>
      <c r="CND14" s="63"/>
      <c r="CNE14" s="63"/>
      <c r="CNF14" s="54"/>
      <c r="CNG14" s="54"/>
      <c r="CNH14" s="54"/>
      <c r="CNI14" s="57"/>
      <c r="CNJ14" s="62"/>
      <c r="CNK14" s="63"/>
      <c r="CNL14" s="63"/>
      <c r="CNM14" s="63"/>
      <c r="CNN14" s="63"/>
      <c r="CNO14" s="63"/>
      <c r="CNP14" s="63"/>
      <c r="CNQ14" s="63"/>
      <c r="CNR14" s="63"/>
      <c r="CNS14" s="63"/>
      <c r="CNT14" s="63"/>
      <c r="CNU14" s="63"/>
      <c r="CNV14" s="54"/>
      <c r="CNW14" s="54"/>
      <c r="CNX14" s="54"/>
      <c r="CNY14" s="57"/>
      <c r="CNZ14" s="62"/>
      <c r="COA14" s="63"/>
      <c r="COB14" s="63"/>
      <c r="COC14" s="63"/>
      <c r="COD14" s="63"/>
      <c r="COE14" s="63"/>
      <c r="COF14" s="63"/>
      <c r="COG14" s="63"/>
      <c r="COH14" s="63"/>
      <c r="COI14" s="63"/>
      <c r="COJ14" s="63"/>
      <c r="COK14" s="63"/>
      <c r="COL14" s="54"/>
      <c r="COM14" s="54"/>
      <c r="CON14" s="54"/>
      <c r="COO14" s="57"/>
      <c r="COP14" s="62"/>
      <c r="COQ14" s="63"/>
      <c r="COR14" s="63"/>
      <c r="COS14" s="63"/>
      <c r="COT14" s="63"/>
      <c r="COU14" s="63"/>
      <c r="COV14" s="63"/>
      <c r="COW14" s="63"/>
      <c r="COX14" s="63"/>
      <c r="COY14" s="63"/>
      <c r="COZ14" s="63"/>
      <c r="CPA14" s="63"/>
      <c r="CPB14" s="54"/>
      <c r="CPC14" s="54"/>
      <c r="CPD14" s="54"/>
      <c r="CPE14" s="57"/>
      <c r="CPF14" s="62"/>
      <c r="CPG14" s="63"/>
      <c r="CPH14" s="63"/>
      <c r="CPI14" s="63"/>
      <c r="CPJ14" s="63"/>
      <c r="CPK14" s="63"/>
      <c r="CPL14" s="63"/>
      <c r="CPM14" s="63"/>
      <c r="CPN14" s="63"/>
      <c r="CPO14" s="63"/>
      <c r="CPP14" s="63"/>
      <c r="CPQ14" s="63"/>
      <c r="CPR14" s="54"/>
      <c r="CPS14" s="54"/>
      <c r="CPT14" s="54"/>
      <c r="CPU14" s="57"/>
      <c r="CPV14" s="62"/>
      <c r="CPW14" s="63"/>
      <c r="CPX14" s="63"/>
      <c r="CPY14" s="63"/>
      <c r="CPZ14" s="63"/>
      <c r="CQA14" s="63"/>
      <c r="CQB14" s="63"/>
      <c r="CQC14" s="63"/>
      <c r="CQD14" s="63"/>
      <c r="CQE14" s="63"/>
      <c r="CQF14" s="63"/>
      <c r="CQG14" s="63"/>
      <c r="CQH14" s="54"/>
      <c r="CQI14" s="54"/>
      <c r="CQJ14" s="54"/>
      <c r="CQK14" s="57"/>
      <c r="CQL14" s="62"/>
      <c r="CQM14" s="63"/>
      <c r="CQN14" s="63"/>
      <c r="CQO14" s="63"/>
      <c r="CQP14" s="63"/>
      <c r="CQQ14" s="63"/>
      <c r="CQR14" s="63"/>
      <c r="CQS14" s="63"/>
      <c r="CQT14" s="63"/>
      <c r="CQU14" s="63"/>
      <c r="CQV14" s="63"/>
      <c r="CQW14" s="63"/>
      <c r="CQX14" s="54"/>
      <c r="CQY14" s="54"/>
      <c r="CQZ14" s="54"/>
      <c r="CRA14" s="57"/>
      <c r="CRB14" s="62"/>
      <c r="CRC14" s="63"/>
      <c r="CRD14" s="63"/>
      <c r="CRE14" s="63"/>
      <c r="CRF14" s="63"/>
      <c r="CRG14" s="63"/>
      <c r="CRH14" s="63"/>
      <c r="CRI14" s="63"/>
      <c r="CRJ14" s="63"/>
      <c r="CRK14" s="63"/>
      <c r="CRL14" s="63"/>
      <c r="CRM14" s="63"/>
      <c r="CRN14" s="54"/>
      <c r="CRO14" s="54"/>
      <c r="CRP14" s="54"/>
      <c r="CRQ14" s="57"/>
      <c r="CRR14" s="62"/>
      <c r="CRS14" s="63"/>
      <c r="CRT14" s="63"/>
      <c r="CRU14" s="63"/>
      <c r="CRV14" s="63"/>
      <c r="CRW14" s="63"/>
      <c r="CRX14" s="63"/>
      <c r="CRY14" s="63"/>
      <c r="CRZ14" s="63"/>
      <c r="CSA14" s="63"/>
      <c r="CSB14" s="63"/>
      <c r="CSC14" s="63"/>
      <c r="CSD14" s="54"/>
      <c r="CSE14" s="54"/>
      <c r="CSF14" s="54"/>
      <c r="CSG14" s="57"/>
      <c r="CSH14" s="62"/>
      <c r="CSI14" s="63"/>
      <c r="CSJ14" s="63"/>
      <c r="CSK14" s="63"/>
      <c r="CSL14" s="63"/>
      <c r="CSM14" s="63"/>
      <c r="CSN14" s="63"/>
      <c r="CSO14" s="63"/>
      <c r="CSP14" s="63"/>
      <c r="CSQ14" s="63"/>
      <c r="CSR14" s="63"/>
      <c r="CSS14" s="63"/>
      <c r="CST14" s="54"/>
      <c r="CSU14" s="54"/>
      <c r="CSV14" s="54"/>
      <c r="CSW14" s="57"/>
      <c r="CSX14" s="62"/>
      <c r="CSY14" s="63"/>
      <c r="CSZ14" s="63"/>
      <c r="CTA14" s="63"/>
      <c r="CTB14" s="63"/>
      <c r="CTC14" s="63"/>
      <c r="CTD14" s="63"/>
      <c r="CTE14" s="63"/>
      <c r="CTF14" s="63"/>
      <c r="CTG14" s="63"/>
      <c r="CTH14" s="63"/>
      <c r="CTI14" s="63"/>
      <c r="CTJ14" s="54"/>
      <c r="CTK14" s="54"/>
      <c r="CTL14" s="54"/>
      <c r="CTM14" s="57"/>
      <c r="CTN14" s="62"/>
      <c r="CTO14" s="63"/>
      <c r="CTP14" s="63"/>
      <c r="CTQ14" s="63"/>
      <c r="CTR14" s="63"/>
      <c r="CTS14" s="63"/>
      <c r="CTT14" s="63"/>
      <c r="CTU14" s="63"/>
      <c r="CTV14" s="63"/>
      <c r="CTW14" s="63"/>
      <c r="CTX14" s="63"/>
      <c r="CTY14" s="63"/>
      <c r="CTZ14" s="54"/>
      <c r="CUA14" s="54"/>
      <c r="CUB14" s="54"/>
      <c r="CUC14" s="57"/>
      <c r="CUD14" s="62"/>
      <c r="CUE14" s="63"/>
      <c r="CUF14" s="63"/>
      <c r="CUG14" s="63"/>
      <c r="CUH14" s="63"/>
      <c r="CUI14" s="63"/>
      <c r="CUJ14" s="63"/>
      <c r="CUK14" s="63"/>
      <c r="CUL14" s="63"/>
      <c r="CUM14" s="63"/>
      <c r="CUN14" s="63"/>
      <c r="CUO14" s="63"/>
      <c r="CUP14" s="54"/>
      <c r="CUQ14" s="54"/>
      <c r="CUR14" s="54"/>
      <c r="CUS14" s="57"/>
      <c r="CUT14" s="62"/>
      <c r="CUU14" s="63"/>
      <c r="CUV14" s="63"/>
      <c r="CUW14" s="63"/>
      <c r="CUX14" s="63"/>
      <c r="CUY14" s="63"/>
      <c r="CUZ14" s="63"/>
      <c r="CVA14" s="63"/>
      <c r="CVB14" s="63"/>
      <c r="CVC14" s="63"/>
      <c r="CVD14" s="63"/>
      <c r="CVE14" s="63"/>
      <c r="CVF14" s="54"/>
      <c r="CVG14" s="54"/>
      <c r="CVH14" s="54"/>
      <c r="CVI14" s="57"/>
      <c r="CVJ14" s="62"/>
      <c r="CVK14" s="63"/>
      <c r="CVL14" s="63"/>
      <c r="CVM14" s="63"/>
      <c r="CVN14" s="63"/>
      <c r="CVO14" s="63"/>
      <c r="CVP14" s="63"/>
      <c r="CVQ14" s="63"/>
      <c r="CVR14" s="63"/>
      <c r="CVS14" s="63"/>
      <c r="CVT14" s="63"/>
      <c r="CVU14" s="63"/>
      <c r="CVV14" s="54"/>
      <c r="CVW14" s="54"/>
      <c r="CVX14" s="54"/>
      <c r="CVY14" s="57"/>
      <c r="CVZ14" s="62"/>
      <c r="CWA14" s="63"/>
      <c r="CWB14" s="63"/>
      <c r="CWC14" s="63"/>
      <c r="CWD14" s="63"/>
      <c r="CWE14" s="63"/>
      <c r="CWF14" s="63"/>
      <c r="CWG14" s="63"/>
      <c r="CWH14" s="63"/>
      <c r="CWI14" s="63"/>
      <c r="CWJ14" s="63"/>
      <c r="CWK14" s="63"/>
      <c r="CWL14" s="54"/>
      <c r="CWM14" s="54"/>
      <c r="CWN14" s="54"/>
      <c r="CWO14" s="57"/>
      <c r="CWP14" s="62"/>
      <c r="CWQ14" s="63"/>
      <c r="CWR14" s="63"/>
      <c r="CWS14" s="63"/>
      <c r="CWT14" s="63"/>
      <c r="CWU14" s="63"/>
      <c r="CWV14" s="63"/>
      <c r="CWW14" s="63"/>
      <c r="CWX14" s="63"/>
      <c r="CWY14" s="63"/>
      <c r="CWZ14" s="63"/>
      <c r="CXA14" s="63"/>
      <c r="CXB14" s="54"/>
      <c r="CXC14" s="54"/>
      <c r="CXD14" s="54"/>
      <c r="CXE14" s="57"/>
      <c r="CXF14" s="62"/>
      <c r="CXG14" s="63"/>
      <c r="CXH14" s="63"/>
      <c r="CXI14" s="63"/>
      <c r="CXJ14" s="63"/>
      <c r="CXK14" s="63"/>
      <c r="CXL14" s="63"/>
      <c r="CXM14" s="63"/>
      <c r="CXN14" s="63"/>
      <c r="CXO14" s="63"/>
      <c r="CXP14" s="63"/>
      <c r="CXQ14" s="63"/>
      <c r="CXR14" s="54"/>
      <c r="CXS14" s="54"/>
      <c r="CXT14" s="54"/>
      <c r="CXU14" s="57"/>
      <c r="CXV14" s="62"/>
      <c r="CXW14" s="63"/>
      <c r="CXX14" s="63"/>
      <c r="CXY14" s="63"/>
      <c r="CXZ14" s="63"/>
      <c r="CYA14" s="63"/>
      <c r="CYB14" s="63"/>
      <c r="CYC14" s="63"/>
      <c r="CYD14" s="63"/>
      <c r="CYE14" s="63"/>
      <c r="CYF14" s="63"/>
      <c r="CYG14" s="63"/>
      <c r="CYH14" s="54"/>
      <c r="CYI14" s="54"/>
      <c r="CYJ14" s="54"/>
      <c r="CYK14" s="57"/>
      <c r="CYL14" s="62"/>
      <c r="CYM14" s="63"/>
      <c r="CYN14" s="63"/>
      <c r="CYO14" s="63"/>
      <c r="CYP14" s="63"/>
      <c r="CYQ14" s="63"/>
      <c r="CYR14" s="63"/>
      <c r="CYS14" s="63"/>
      <c r="CYT14" s="63"/>
      <c r="CYU14" s="63"/>
      <c r="CYV14" s="63"/>
      <c r="CYW14" s="63"/>
      <c r="CYX14" s="54"/>
      <c r="CYY14" s="54"/>
      <c r="CYZ14" s="54"/>
      <c r="CZA14" s="57"/>
      <c r="CZB14" s="62"/>
      <c r="CZC14" s="63"/>
      <c r="CZD14" s="63"/>
      <c r="CZE14" s="63"/>
      <c r="CZF14" s="63"/>
      <c r="CZG14" s="63"/>
      <c r="CZH14" s="63"/>
      <c r="CZI14" s="63"/>
      <c r="CZJ14" s="63"/>
      <c r="CZK14" s="63"/>
      <c r="CZL14" s="63"/>
      <c r="CZM14" s="63"/>
      <c r="CZN14" s="54"/>
      <c r="CZO14" s="54"/>
      <c r="CZP14" s="54"/>
      <c r="CZQ14" s="57"/>
      <c r="CZR14" s="62"/>
      <c r="CZS14" s="63"/>
      <c r="CZT14" s="63"/>
      <c r="CZU14" s="63"/>
      <c r="CZV14" s="63"/>
      <c r="CZW14" s="63"/>
      <c r="CZX14" s="63"/>
      <c r="CZY14" s="63"/>
      <c r="CZZ14" s="63"/>
      <c r="DAA14" s="63"/>
      <c r="DAB14" s="63"/>
      <c r="DAC14" s="63"/>
      <c r="DAD14" s="54"/>
      <c r="DAE14" s="54"/>
      <c r="DAF14" s="54"/>
      <c r="DAG14" s="57"/>
      <c r="DAH14" s="62"/>
      <c r="DAI14" s="63"/>
      <c r="DAJ14" s="63"/>
      <c r="DAK14" s="63"/>
      <c r="DAL14" s="63"/>
      <c r="DAM14" s="63"/>
      <c r="DAN14" s="63"/>
      <c r="DAO14" s="63"/>
      <c r="DAP14" s="63"/>
      <c r="DAQ14" s="63"/>
      <c r="DAR14" s="63"/>
      <c r="DAS14" s="63"/>
      <c r="DAT14" s="54"/>
      <c r="DAU14" s="54"/>
      <c r="DAV14" s="54"/>
      <c r="DAW14" s="57"/>
      <c r="DAX14" s="62"/>
      <c r="DAY14" s="63"/>
      <c r="DAZ14" s="63"/>
      <c r="DBA14" s="63"/>
      <c r="DBB14" s="63"/>
      <c r="DBC14" s="63"/>
      <c r="DBD14" s="63"/>
      <c r="DBE14" s="63"/>
      <c r="DBF14" s="63"/>
      <c r="DBG14" s="63"/>
      <c r="DBH14" s="63"/>
      <c r="DBI14" s="63"/>
      <c r="DBJ14" s="54"/>
      <c r="DBK14" s="54"/>
      <c r="DBL14" s="54"/>
      <c r="DBM14" s="57"/>
      <c r="DBN14" s="62"/>
      <c r="DBO14" s="63"/>
      <c r="DBP14" s="63"/>
      <c r="DBQ14" s="63"/>
      <c r="DBR14" s="63"/>
      <c r="DBS14" s="63"/>
      <c r="DBT14" s="63"/>
      <c r="DBU14" s="63"/>
      <c r="DBV14" s="63"/>
      <c r="DBW14" s="63"/>
      <c r="DBX14" s="63"/>
      <c r="DBY14" s="63"/>
      <c r="DBZ14" s="54"/>
      <c r="DCA14" s="54"/>
      <c r="DCB14" s="54"/>
      <c r="DCC14" s="57"/>
      <c r="DCD14" s="62"/>
      <c r="DCE14" s="63"/>
      <c r="DCF14" s="63"/>
      <c r="DCG14" s="63"/>
      <c r="DCH14" s="63"/>
      <c r="DCI14" s="63"/>
      <c r="DCJ14" s="63"/>
      <c r="DCK14" s="63"/>
      <c r="DCL14" s="63"/>
      <c r="DCM14" s="63"/>
      <c r="DCN14" s="63"/>
      <c r="DCO14" s="63"/>
      <c r="DCP14" s="54"/>
      <c r="DCQ14" s="54"/>
      <c r="DCR14" s="54"/>
      <c r="DCS14" s="57"/>
      <c r="DCT14" s="62"/>
      <c r="DCU14" s="63"/>
      <c r="DCV14" s="63"/>
      <c r="DCW14" s="63"/>
      <c r="DCX14" s="63"/>
      <c r="DCY14" s="63"/>
      <c r="DCZ14" s="63"/>
      <c r="DDA14" s="63"/>
      <c r="DDB14" s="63"/>
      <c r="DDC14" s="63"/>
      <c r="DDD14" s="63"/>
      <c r="DDE14" s="63"/>
      <c r="DDF14" s="54"/>
      <c r="DDG14" s="54"/>
      <c r="DDH14" s="54"/>
      <c r="DDI14" s="57"/>
      <c r="DDJ14" s="62"/>
      <c r="DDK14" s="63"/>
      <c r="DDL14" s="63"/>
      <c r="DDM14" s="63"/>
      <c r="DDN14" s="63"/>
      <c r="DDO14" s="63"/>
      <c r="DDP14" s="63"/>
      <c r="DDQ14" s="63"/>
      <c r="DDR14" s="63"/>
      <c r="DDS14" s="63"/>
      <c r="DDT14" s="63"/>
      <c r="DDU14" s="63"/>
      <c r="DDV14" s="54"/>
      <c r="DDW14" s="54"/>
      <c r="DDX14" s="54"/>
      <c r="DDY14" s="57"/>
      <c r="DDZ14" s="62"/>
      <c r="DEA14" s="63"/>
      <c r="DEB14" s="63"/>
      <c r="DEC14" s="63"/>
      <c r="DED14" s="63"/>
      <c r="DEE14" s="63"/>
      <c r="DEF14" s="63"/>
      <c r="DEG14" s="63"/>
      <c r="DEH14" s="63"/>
      <c r="DEI14" s="63"/>
      <c r="DEJ14" s="63"/>
      <c r="DEK14" s="63"/>
      <c r="DEL14" s="54"/>
      <c r="DEM14" s="54"/>
      <c r="DEN14" s="54"/>
      <c r="DEO14" s="57"/>
      <c r="DEP14" s="62"/>
      <c r="DEQ14" s="63"/>
      <c r="DER14" s="63"/>
      <c r="DES14" s="63"/>
      <c r="DET14" s="63"/>
      <c r="DEU14" s="63"/>
      <c r="DEV14" s="63"/>
      <c r="DEW14" s="63"/>
      <c r="DEX14" s="63"/>
      <c r="DEY14" s="63"/>
      <c r="DEZ14" s="63"/>
      <c r="DFA14" s="63"/>
      <c r="DFB14" s="54"/>
      <c r="DFC14" s="54"/>
      <c r="DFD14" s="54"/>
      <c r="DFE14" s="57"/>
      <c r="DFF14" s="62"/>
      <c r="DFG14" s="63"/>
      <c r="DFH14" s="63"/>
      <c r="DFI14" s="63"/>
      <c r="DFJ14" s="63"/>
      <c r="DFK14" s="63"/>
      <c r="DFL14" s="63"/>
      <c r="DFM14" s="63"/>
      <c r="DFN14" s="63"/>
      <c r="DFO14" s="63"/>
      <c r="DFP14" s="63"/>
      <c r="DFQ14" s="63"/>
      <c r="DFR14" s="54"/>
      <c r="DFS14" s="54"/>
      <c r="DFT14" s="54"/>
      <c r="DFU14" s="57"/>
      <c r="DFV14" s="62"/>
      <c r="DFW14" s="63"/>
      <c r="DFX14" s="63"/>
      <c r="DFY14" s="63"/>
      <c r="DFZ14" s="63"/>
      <c r="DGA14" s="63"/>
      <c r="DGB14" s="63"/>
      <c r="DGC14" s="63"/>
      <c r="DGD14" s="63"/>
      <c r="DGE14" s="63"/>
      <c r="DGF14" s="63"/>
      <c r="DGG14" s="63"/>
      <c r="DGH14" s="54"/>
      <c r="DGI14" s="54"/>
      <c r="DGJ14" s="54"/>
      <c r="DGK14" s="57"/>
      <c r="DGL14" s="62"/>
      <c r="DGM14" s="63"/>
      <c r="DGN14" s="63"/>
      <c r="DGO14" s="63"/>
      <c r="DGP14" s="63"/>
      <c r="DGQ14" s="63"/>
      <c r="DGR14" s="63"/>
      <c r="DGS14" s="63"/>
      <c r="DGT14" s="63"/>
      <c r="DGU14" s="63"/>
      <c r="DGV14" s="63"/>
      <c r="DGW14" s="63"/>
      <c r="DGX14" s="54"/>
      <c r="DGY14" s="54"/>
      <c r="DGZ14" s="54"/>
      <c r="DHA14" s="57"/>
      <c r="DHB14" s="62"/>
      <c r="DHC14" s="63"/>
      <c r="DHD14" s="63"/>
      <c r="DHE14" s="63"/>
      <c r="DHF14" s="63"/>
      <c r="DHG14" s="63"/>
      <c r="DHH14" s="63"/>
      <c r="DHI14" s="63"/>
      <c r="DHJ14" s="63"/>
      <c r="DHK14" s="63"/>
      <c r="DHL14" s="63"/>
      <c r="DHM14" s="63"/>
      <c r="DHN14" s="54"/>
      <c r="DHO14" s="54"/>
      <c r="DHP14" s="54"/>
      <c r="DHQ14" s="57"/>
      <c r="DHR14" s="62"/>
      <c r="DHS14" s="63"/>
      <c r="DHT14" s="63"/>
      <c r="DHU14" s="63"/>
      <c r="DHV14" s="63"/>
      <c r="DHW14" s="63"/>
      <c r="DHX14" s="63"/>
      <c r="DHY14" s="63"/>
      <c r="DHZ14" s="63"/>
      <c r="DIA14" s="63"/>
      <c r="DIB14" s="63"/>
      <c r="DIC14" s="63"/>
      <c r="DID14" s="54"/>
      <c r="DIE14" s="54"/>
      <c r="DIF14" s="54"/>
      <c r="DIG14" s="57"/>
      <c r="DIH14" s="62"/>
      <c r="DII14" s="63"/>
      <c r="DIJ14" s="63"/>
      <c r="DIK14" s="63"/>
      <c r="DIL14" s="63"/>
      <c r="DIM14" s="63"/>
      <c r="DIN14" s="63"/>
      <c r="DIO14" s="63"/>
      <c r="DIP14" s="63"/>
      <c r="DIQ14" s="63"/>
      <c r="DIR14" s="63"/>
      <c r="DIS14" s="63"/>
      <c r="DIT14" s="54"/>
      <c r="DIU14" s="54"/>
      <c r="DIV14" s="54"/>
      <c r="DIW14" s="57"/>
      <c r="DIX14" s="62"/>
      <c r="DIY14" s="63"/>
      <c r="DIZ14" s="63"/>
      <c r="DJA14" s="63"/>
      <c r="DJB14" s="63"/>
      <c r="DJC14" s="63"/>
      <c r="DJD14" s="63"/>
      <c r="DJE14" s="63"/>
      <c r="DJF14" s="63"/>
      <c r="DJG14" s="63"/>
      <c r="DJH14" s="63"/>
      <c r="DJI14" s="63"/>
      <c r="DJJ14" s="54"/>
      <c r="DJK14" s="54"/>
      <c r="DJL14" s="54"/>
      <c r="DJM14" s="57"/>
      <c r="DJN14" s="62"/>
      <c r="DJO14" s="63"/>
      <c r="DJP14" s="63"/>
      <c r="DJQ14" s="63"/>
      <c r="DJR14" s="63"/>
      <c r="DJS14" s="63"/>
      <c r="DJT14" s="63"/>
      <c r="DJU14" s="63"/>
      <c r="DJV14" s="63"/>
      <c r="DJW14" s="63"/>
      <c r="DJX14" s="63"/>
      <c r="DJY14" s="63"/>
      <c r="DJZ14" s="54"/>
      <c r="DKA14" s="54"/>
      <c r="DKB14" s="54"/>
      <c r="DKC14" s="57"/>
      <c r="DKD14" s="62"/>
      <c r="DKE14" s="63"/>
      <c r="DKF14" s="63"/>
      <c r="DKG14" s="63"/>
      <c r="DKH14" s="63"/>
      <c r="DKI14" s="63"/>
      <c r="DKJ14" s="63"/>
      <c r="DKK14" s="63"/>
      <c r="DKL14" s="63"/>
      <c r="DKM14" s="63"/>
      <c r="DKN14" s="63"/>
      <c r="DKO14" s="63"/>
      <c r="DKP14" s="54"/>
      <c r="DKQ14" s="54"/>
      <c r="DKR14" s="54"/>
      <c r="DKS14" s="57"/>
      <c r="DKT14" s="62"/>
      <c r="DKU14" s="63"/>
      <c r="DKV14" s="63"/>
      <c r="DKW14" s="63"/>
      <c r="DKX14" s="63"/>
      <c r="DKY14" s="63"/>
      <c r="DKZ14" s="63"/>
      <c r="DLA14" s="63"/>
      <c r="DLB14" s="63"/>
      <c r="DLC14" s="63"/>
      <c r="DLD14" s="63"/>
      <c r="DLE14" s="63"/>
      <c r="DLF14" s="54"/>
      <c r="DLG14" s="54"/>
      <c r="DLH14" s="54"/>
      <c r="DLI14" s="57"/>
      <c r="DLJ14" s="62"/>
      <c r="DLK14" s="63"/>
      <c r="DLL14" s="63"/>
      <c r="DLM14" s="63"/>
      <c r="DLN14" s="63"/>
      <c r="DLO14" s="63"/>
      <c r="DLP14" s="63"/>
      <c r="DLQ14" s="63"/>
      <c r="DLR14" s="63"/>
      <c r="DLS14" s="63"/>
      <c r="DLT14" s="63"/>
      <c r="DLU14" s="63"/>
      <c r="DLV14" s="54"/>
      <c r="DLW14" s="54"/>
      <c r="DLX14" s="54"/>
      <c r="DLY14" s="57"/>
      <c r="DLZ14" s="62"/>
      <c r="DMA14" s="63"/>
      <c r="DMB14" s="63"/>
      <c r="DMC14" s="63"/>
      <c r="DMD14" s="63"/>
      <c r="DME14" s="63"/>
      <c r="DMF14" s="63"/>
      <c r="DMG14" s="63"/>
      <c r="DMH14" s="63"/>
      <c r="DMI14" s="63"/>
      <c r="DMJ14" s="63"/>
      <c r="DMK14" s="63"/>
      <c r="DML14" s="54"/>
      <c r="DMM14" s="54"/>
      <c r="DMN14" s="54"/>
      <c r="DMO14" s="57"/>
      <c r="DMP14" s="62"/>
      <c r="DMQ14" s="63"/>
      <c r="DMR14" s="63"/>
      <c r="DMS14" s="63"/>
      <c r="DMT14" s="63"/>
      <c r="DMU14" s="63"/>
      <c r="DMV14" s="63"/>
      <c r="DMW14" s="63"/>
      <c r="DMX14" s="63"/>
      <c r="DMY14" s="63"/>
      <c r="DMZ14" s="63"/>
      <c r="DNA14" s="63"/>
      <c r="DNB14" s="54"/>
      <c r="DNC14" s="54"/>
      <c r="DND14" s="54"/>
      <c r="DNE14" s="57"/>
      <c r="DNF14" s="62"/>
      <c r="DNG14" s="63"/>
      <c r="DNH14" s="63"/>
      <c r="DNI14" s="63"/>
      <c r="DNJ14" s="63"/>
      <c r="DNK14" s="63"/>
      <c r="DNL14" s="63"/>
      <c r="DNM14" s="63"/>
      <c r="DNN14" s="63"/>
      <c r="DNO14" s="63"/>
      <c r="DNP14" s="63"/>
      <c r="DNQ14" s="63"/>
      <c r="DNR14" s="54"/>
      <c r="DNS14" s="54"/>
      <c r="DNT14" s="54"/>
      <c r="DNU14" s="57"/>
      <c r="DNV14" s="62"/>
      <c r="DNW14" s="63"/>
      <c r="DNX14" s="63"/>
      <c r="DNY14" s="63"/>
      <c r="DNZ14" s="63"/>
      <c r="DOA14" s="63"/>
      <c r="DOB14" s="63"/>
      <c r="DOC14" s="63"/>
      <c r="DOD14" s="63"/>
      <c r="DOE14" s="63"/>
      <c r="DOF14" s="63"/>
      <c r="DOG14" s="63"/>
      <c r="DOH14" s="54"/>
      <c r="DOI14" s="54"/>
      <c r="DOJ14" s="54"/>
      <c r="DOK14" s="57"/>
      <c r="DOL14" s="62"/>
      <c r="DOM14" s="63"/>
      <c r="DON14" s="63"/>
      <c r="DOO14" s="63"/>
      <c r="DOP14" s="63"/>
      <c r="DOQ14" s="63"/>
      <c r="DOR14" s="63"/>
      <c r="DOS14" s="63"/>
      <c r="DOT14" s="63"/>
      <c r="DOU14" s="63"/>
      <c r="DOV14" s="63"/>
      <c r="DOW14" s="63"/>
      <c r="DOX14" s="54"/>
      <c r="DOY14" s="54"/>
      <c r="DOZ14" s="54"/>
      <c r="DPA14" s="57"/>
      <c r="DPB14" s="62"/>
      <c r="DPC14" s="63"/>
      <c r="DPD14" s="63"/>
      <c r="DPE14" s="63"/>
      <c r="DPF14" s="63"/>
      <c r="DPG14" s="63"/>
      <c r="DPH14" s="63"/>
      <c r="DPI14" s="63"/>
      <c r="DPJ14" s="63"/>
      <c r="DPK14" s="63"/>
      <c r="DPL14" s="63"/>
      <c r="DPM14" s="63"/>
      <c r="DPN14" s="54"/>
      <c r="DPO14" s="54"/>
      <c r="DPP14" s="54"/>
      <c r="DPQ14" s="57"/>
      <c r="DPR14" s="62"/>
      <c r="DPS14" s="63"/>
      <c r="DPT14" s="63"/>
      <c r="DPU14" s="63"/>
      <c r="DPV14" s="63"/>
      <c r="DPW14" s="63"/>
      <c r="DPX14" s="63"/>
      <c r="DPY14" s="63"/>
      <c r="DPZ14" s="63"/>
      <c r="DQA14" s="63"/>
      <c r="DQB14" s="63"/>
      <c r="DQC14" s="63"/>
      <c r="DQD14" s="54"/>
      <c r="DQE14" s="54"/>
      <c r="DQF14" s="54"/>
      <c r="DQG14" s="57"/>
      <c r="DQH14" s="62"/>
      <c r="DQI14" s="63"/>
      <c r="DQJ14" s="63"/>
      <c r="DQK14" s="63"/>
      <c r="DQL14" s="63"/>
      <c r="DQM14" s="63"/>
      <c r="DQN14" s="63"/>
      <c r="DQO14" s="63"/>
      <c r="DQP14" s="63"/>
      <c r="DQQ14" s="63"/>
      <c r="DQR14" s="63"/>
      <c r="DQS14" s="63"/>
      <c r="DQT14" s="54"/>
      <c r="DQU14" s="54"/>
      <c r="DQV14" s="54"/>
      <c r="DQW14" s="57"/>
      <c r="DQX14" s="62"/>
      <c r="DQY14" s="63"/>
      <c r="DQZ14" s="63"/>
      <c r="DRA14" s="63"/>
      <c r="DRB14" s="63"/>
      <c r="DRC14" s="63"/>
      <c r="DRD14" s="63"/>
      <c r="DRE14" s="63"/>
      <c r="DRF14" s="63"/>
      <c r="DRG14" s="63"/>
      <c r="DRH14" s="63"/>
      <c r="DRI14" s="63"/>
      <c r="DRJ14" s="54"/>
      <c r="DRK14" s="54"/>
      <c r="DRL14" s="54"/>
      <c r="DRM14" s="57"/>
      <c r="DRN14" s="62"/>
      <c r="DRO14" s="63"/>
      <c r="DRP14" s="63"/>
      <c r="DRQ14" s="63"/>
      <c r="DRR14" s="63"/>
      <c r="DRS14" s="63"/>
      <c r="DRT14" s="63"/>
      <c r="DRU14" s="63"/>
      <c r="DRV14" s="63"/>
      <c r="DRW14" s="63"/>
      <c r="DRX14" s="63"/>
      <c r="DRY14" s="63"/>
      <c r="DRZ14" s="54"/>
      <c r="DSA14" s="54"/>
      <c r="DSB14" s="54"/>
      <c r="DSC14" s="57"/>
      <c r="DSD14" s="62"/>
      <c r="DSE14" s="63"/>
      <c r="DSF14" s="63"/>
      <c r="DSG14" s="63"/>
      <c r="DSH14" s="63"/>
      <c r="DSI14" s="63"/>
      <c r="DSJ14" s="63"/>
      <c r="DSK14" s="63"/>
      <c r="DSL14" s="63"/>
      <c r="DSM14" s="63"/>
      <c r="DSN14" s="63"/>
      <c r="DSO14" s="63"/>
      <c r="DSP14" s="54"/>
      <c r="DSQ14" s="54"/>
      <c r="DSR14" s="54"/>
      <c r="DSS14" s="57"/>
      <c r="DST14" s="62"/>
      <c r="DSU14" s="63"/>
      <c r="DSV14" s="63"/>
      <c r="DSW14" s="63"/>
      <c r="DSX14" s="63"/>
      <c r="DSY14" s="63"/>
      <c r="DSZ14" s="63"/>
      <c r="DTA14" s="63"/>
      <c r="DTB14" s="63"/>
      <c r="DTC14" s="63"/>
      <c r="DTD14" s="63"/>
      <c r="DTE14" s="63"/>
      <c r="DTF14" s="54"/>
      <c r="DTG14" s="54"/>
      <c r="DTH14" s="54"/>
      <c r="DTI14" s="57"/>
      <c r="DTJ14" s="62"/>
      <c r="DTK14" s="63"/>
      <c r="DTL14" s="63"/>
      <c r="DTM14" s="63"/>
      <c r="DTN14" s="63"/>
      <c r="DTO14" s="63"/>
      <c r="DTP14" s="63"/>
      <c r="DTQ14" s="63"/>
      <c r="DTR14" s="63"/>
      <c r="DTS14" s="63"/>
      <c r="DTT14" s="63"/>
      <c r="DTU14" s="63"/>
      <c r="DTV14" s="54"/>
      <c r="DTW14" s="54"/>
      <c r="DTX14" s="54"/>
      <c r="DTY14" s="57"/>
      <c r="DTZ14" s="62"/>
      <c r="DUA14" s="63"/>
      <c r="DUB14" s="63"/>
      <c r="DUC14" s="63"/>
      <c r="DUD14" s="63"/>
      <c r="DUE14" s="63"/>
      <c r="DUF14" s="63"/>
      <c r="DUG14" s="63"/>
      <c r="DUH14" s="63"/>
      <c r="DUI14" s="63"/>
      <c r="DUJ14" s="63"/>
      <c r="DUK14" s="63"/>
      <c r="DUL14" s="54"/>
      <c r="DUM14" s="54"/>
      <c r="DUN14" s="54"/>
      <c r="DUO14" s="57"/>
      <c r="DUP14" s="62"/>
      <c r="DUQ14" s="63"/>
      <c r="DUR14" s="63"/>
      <c r="DUS14" s="63"/>
      <c r="DUT14" s="63"/>
      <c r="DUU14" s="63"/>
      <c r="DUV14" s="63"/>
      <c r="DUW14" s="63"/>
      <c r="DUX14" s="63"/>
      <c r="DUY14" s="63"/>
      <c r="DUZ14" s="63"/>
      <c r="DVA14" s="63"/>
      <c r="DVB14" s="54"/>
      <c r="DVC14" s="54"/>
      <c r="DVD14" s="54"/>
      <c r="DVE14" s="57"/>
      <c r="DVF14" s="62"/>
      <c r="DVG14" s="63"/>
      <c r="DVH14" s="63"/>
      <c r="DVI14" s="63"/>
      <c r="DVJ14" s="63"/>
      <c r="DVK14" s="63"/>
      <c r="DVL14" s="63"/>
      <c r="DVM14" s="63"/>
      <c r="DVN14" s="63"/>
      <c r="DVO14" s="63"/>
      <c r="DVP14" s="63"/>
      <c r="DVQ14" s="63"/>
      <c r="DVR14" s="54"/>
      <c r="DVS14" s="54"/>
      <c r="DVT14" s="54"/>
      <c r="DVU14" s="57"/>
      <c r="DVV14" s="62"/>
      <c r="DVW14" s="63"/>
      <c r="DVX14" s="63"/>
      <c r="DVY14" s="63"/>
      <c r="DVZ14" s="63"/>
      <c r="DWA14" s="63"/>
      <c r="DWB14" s="63"/>
      <c r="DWC14" s="63"/>
      <c r="DWD14" s="63"/>
      <c r="DWE14" s="63"/>
      <c r="DWF14" s="63"/>
      <c r="DWG14" s="63"/>
      <c r="DWH14" s="54"/>
      <c r="DWI14" s="54"/>
      <c r="DWJ14" s="54"/>
      <c r="DWK14" s="57"/>
      <c r="DWL14" s="62"/>
      <c r="DWM14" s="63"/>
      <c r="DWN14" s="63"/>
      <c r="DWO14" s="63"/>
      <c r="DWP14" s="63"/>
      <c r="DWQ14" s="63"/>
      <c r="DWR14" s="63"/>
      <c r="DWS14" s="63"/>
      <c r="DWT14" s="63"/>
      <c r="DWU14" s="63"/>
      <c r="DWV14" s="63"/>
      <c r="DWW14" s="63"/>
      <c r="DWX14" s="54"/>
      <c r="DWY14" s="54"/>
      <c r="DWZ14" s="54"/>
      <c r="DXA14" s="57"/>
      <c r="DXB14" s="62"/>
      <c r="DXC14" s="63"/>
      <c r="DXD14" s="63"/>
      <c r="DXE14" s="63"/>
      <c r="DXF14" s="63"/>
      <c r="DXG14" s="63"/>
      <c r="DXH14" s="63"/>
      <c r="DXI14" s="63"/>
      <c r="DXJ14" s="63"/>
      <c r="DXK14" s="63"/>
      <c r="DXL14" s="63"/>
      <c r="DXM14" s="63"/>
      <c r="DXN14" s="54"/>
      <c r="DXO14" s="54"/>
      <c r="DXP14" s="54"/>
      <c r="DXQ14" s="57"/>
      <c r="DXR14" s="62"/>
      <c r="DXS14" s="63"/>
      <c r="DXT14" s="63"/>
      <c r="DXU14" s="63"/>
      <c r="DXV14" s="63"/>
      <c r="DXW14" s="63"/>
      <c r="DXX14" s="63"/>
      <c r="DXY14" s="63"/>
      <c r="DXZ14" s="63"/>
      <c r="DYA14" s="63"/>
      <c r="DYB14" s="63"/>
      <c r="DYC14" s="63"/>
      <c r="DYD14" s="54"/>
      <c r="DYE14" s="54"/>
      <c r="DYF14" s="54"/>
      <c r="DYG14" s="57"/>
      <c r="DYH14" s="62"/>
      <c r="DYI14" s="63"/>
      <c r="DYJ14" s="63"/>
      <c r="DYK14" s="63"/>
      <c r="DYL14" s="63"/>
      <c r="DYM14" s="63"/>
      <c r="DYN14" s="63"/>
      <c r="DYO14" s="63"/>
      <c r="DYP14" s="63"/>
      <c r="DYQ14" s="63"/>
      <c r="DYR14" s="63"/>
      <c r="DYS14" s="63"/>
      <c r="DYT14" s="54"/>
      <c r="DYU14" s="54"/>
      <c r="DYV14" s="54"/>
      <c r="DYW14" s="57"/>
      <c r="DYX14" s="62"/>
      <c r="DYY14" s="63"/>
      <c r="DYZ14" s="63"/>
      <c r="DZA14" s="63"/>
      <c r="DZB14" s="63"/>
      <c r="DZC14" s="63"/>
      <c r="DZD14" s="63"/>
      <c r="DZE14" s="63"/>
      <c r="DZF14" s="63"/>
      <c r="DZG14" s="63"/>
      <c r="DZH14" s="63"/>
      <c r="DZI14" s="63"/>
      <c r="DZJ14" s="54"/>
      <c r="DZK14" s="54"/>
      <c r="DZL14" s="54"/>
      <c r="DZM14" s="57"/>
      <c r="DZN14" s="62"/>
      <c r="DZO14" s="63"/>
      <c r="DZP14" s="63"/>
      <c r="DZQ14" s="63"/>
      <c r="DZR14" s="63"/>
      <c r="DZS14" s="63"/>
      <c r="DZT14" s="63"/>
      <c r="DZU14" s="63"/>
      <c r="DZV14" s="63"/>
      <c r="DZW14" s="63"/>
      <c r="DZX14" s="63"/>
      <c r="DZY14" s="63"/>
      <c r="DZZ14" s="54"/>
      <c r="EAA14" s="54"/>
      <c r="EAB14" s="54"/>
      <c r="EAC14" s="57"/>
      <c r="EAD14" s="62"/>
      <c r="EAE14" s="63"/>
      <c r="EAF14" s="63"/>
      <c r="EAG14" s="63"/>
      <c r="EAH14" s="63"/>
      <c r="EAI14" s="63"/>
      <c r="EAJ14" s="63"/>
      <c r="EAK14" s="63"/>
      <c r="EAL14" s="63"/>
      <c r="EAM14" s="63"/>
      <c r="EAN14" s="63"/>
      <c r="EAO14" s="63"/>
      <c r="EAP14" s="54"/>
      <c r="EAQ14" s="54"/>
      <c r="EAR14" s="54"/>
      <c r="EAS14" s="57"/>
      <c r="EAT14" s="62"/>
      <c r="EAU14" s="63"/>
      <c r="EAV14" s="63"/>
      <c r="EAW14" s="63"/>
      <c r="EAX14" s="63"/>
      <c r="EAY14" s="63"/>
      <c r="EAZ14" s="63"/>
      <c r="EBA14" s="63"/>
      <c r="EBB14" s="63"/>
      <c r="EBC14" s="63"/>
      <c r="EBD14" s="63"/>
      <c r="EBE14" s="63"/>
      <c r="EBF14" s="54"/>
      <c r="EBG14" s="54"/>
      <c r="EBH14" s="54"/>
      <c r="EBI14" s="57"/>
      <c r="EBJ14" s="62"/>
      <c r="EBK14" s="63"/>
      <c r="EBL14" s="63"/>
      <c r="EBM14" s="63"/>
      <c r="EBN14" s="63"/>
      <c r="EBO14" s="63"/>
      <c r="EBP14" s="63"/>
      <c r="EBQ14" s="63"/>
      <c r="EBR14" s="63"/>
      <c r="EBS14" s="63"/>
      <c r="EBT14" s="63"/>
      <c r="EBU14" s="63"/>
      <c r="EBV14" s="54"/>
      <c r="EBW14" s="54"/>
      <c r="EBX14" s="54"/>
      <c r="EBY14" s="57"/>
      <c r="EBZ14" s="62"/>
      <c r="ECA14" s="63"/>
      <c r="ECB14" s="63"/>
      <c r="ECC14" s="63"/>
      <c r="ECD14" s="63"/>
      <c r="ECE14" s="63"/>
      <c r="ECF14" s="63"/>
      <c r="ECG14" s="63"/>
      <c r="ECH14" s="63"/>
      <c r="ECI14" s="63"/>
      <c r="ECJ14" s="63"/>
      <c r="ECK14" s="63"/>
      <c r="ECL14" s="54"/>
      <c r="ECM14" s="54"/>
      <c r="ECN14" s="54"/>
      <c r="ECO14" s="57"/>
      <c r="ECP14" s="62"/>
      <c r="ECQ14" s="63"/>
      <c r="ECR14" s="63"/>
      <c r="ECS14" s="63"/>
      <c r="ECT14" s="63"/>
      <c r="ECU14" s="63"/>
      <c r="ECV14" s="63"/>
      <c r="ECW14" s="63"/>
      <c r="ECX14" s="63"/>
      <c r="ECY14" s="63"/>
      <c r="ECZ14" s="63"/>
      <c r="EDA14" s="63"/>
      <c r="EDB14" s="54"/>
      <c r="EDC14" s="54"/>
      <c r="EDD14" s="54"/>
      <c r="EDE14" s="57"/>
      <c r="EDF14" s="62"/>
      <c r="EDG14" s="63"/>
      <c r="EDH14" s="63"/>
      <c r="EDI14" s="63"/>
      <c r="EDJ14" s="63"/>
      <c r="EDK14" s="63"/>
      <c r="EDL14" s="63"/>
      <c r="EDM14" s="63"/>
      <c r="EDN14" s="63"/>
      <c r="EDO14" s="63"/>
      <c r="EDP14" s="63"/>
      <c r="EDQ14" s="63"/>
      <c r="EDR14" s="54"/>
      <c r="EDS14" s="54"/>
      <c r="EDT14" s="54"/>
      <c r="EDU14" s="57"/>
      <c r="EDV14" s="62"/>
      <c r="EDW14" s="63"/>
      <c r="EDX14" s="63"/>
      <c r="EDY14" s="63"/>
      <c r="EDZ14" s="63"/>
      <c r="EEA14" s="63"/>
      <c r="EEB14" s="63"/>
      <c r="EEC14" s="63"/>
      <c r="EED14" s="63"/>
      <c r="EEE14" s="63"/>
      <c r="EEF14" s="63"/>
      <c r="EEG14" s="63"/>
      <c r="EEH14" s="54"/>
      <c r="EEI14" s="54"/>
      <c r="EEJ14" s="54"/>
      <c r="EEK14" s="57"/>
      <c r="EEL14" s="62"/>
      <c r="EEM14" s="63"/>
      <c r="EEN14" s="63"/>
      <c r="EEO14" s="63"/>
      <c r="EEP14" s="63"/>
      <c r="EEQ14" s="63"/>
      <c r="EER14" s="63"/>
      <c r="EES14" s="63"/>
      <c r="EET14" s="63"/>
      <c r="EEU14" s="63"/>
      <c r="EEV14" s="63"/>
      <c r="EEW14" s="63"/>
      <c r="EEX14" s="54"/>
      <c r="EEY14" s="54"/>
      <c r="EEZ14" s="54"/>
      <c r="EFA14" s="57"/>
      <c r="EFB14" s="62"/>
      <c r="EFC14" s="63"/>
      <c r="EFD14" s="63"/>
      <c r="EFE14" s="63"/>
      <c r="EFF14" s="63"/>
      <c r="EFG14" s="63"/>
      <c r="EFH14" s="63"/>
      <c r="EFI14" s="63"/>
      <c r="EFJ14" s="63"/>
      <c r="EFK14" s="63"/>
      <c r="EFL14" s="63"/>
      <c r="EFM14" s="63"/>
      <c r="EFN14" s="54"/>
      <c r="EFO14" s="54"/>
      <c r="EFP14" s="54"/>
      <c r="EFQ14" s="57"/>
      <c r="EFR14" s="62"/>
      <c r="EFS14" s="63"/>
      <c r="EFT14" s="63"/>
      <c r="EFU14" s="63"/>
      <c r="EFV14" s="63"/>
      <c r="EFW14" s="63"/>
      <c r="EFX14" s="63"/>
      <c r="EFY14" s="63"/>
      <c r="EFZ14" s="63"/>
      <c r="EGA14" s="63"/>
      <c r="EGB14" s="63"/>
      <c r="EGC14" s="63"/>
      <c r="EGD14" s="54"/>
      <c r="EGE14" s="54"/>
      <c r="EGF14" s="54"/>
      <c r="EGG14" s="57"/>
      <c r="EGH14" s="62"/>
      <c r="EGI14" s="63"/>
      <c r="EGJ14" s="63"/>
      <c r="EGK14" s="63"/>
      <c r="EGL14" s="63"/>
      <c r="EGM14" s="63"/>
      <c r="EGN14" s="63"/>
      <c r="EGO14" s="63"/>
      <c r="EGP14" s="63"/>
      <c r="EGQ14" s="63"/>
      <c r="EGR14" s="63"/>
      <c r="EGS14" s="63"/>
      <c r="EGT14" s="54"/>
      <c r="EGU14" s="54"/>
      <c r="EGV14" s="54"/>
      <c r="EGW14" s="57"/>
      <c r="EGX14" s="62"/>
      <c r="EGY14" s="63"/>
      <c r="EGZ14" s="63"/>
      <c r="EHA14" s="63"/>
      <c r="EHB14" s="63"/>
      <c r="EHC14" s="63"/>
      <c r="EHD14" s="63"/>
      <c r="EHE14" s="63"/>
      <c r="EHF14" s="63"/>
      <c r="EHG14" s="63"/>
      <c r="EHH14" s="63"/>
      <c r="EHI14" s="63"/>
      <c r="EHJ14" s="54"/>
      <c r="EHK14" s="54"/>
      <c r="EHL14" s="54"/>
      <c r="EHM14" s="57"/>
      <c r="EHN14" s="62"/>
      <c r="EHO14" s="63"/>
      <c r="EHP14" s="63"/>
      <c r="EHQ14" s="63"/>
      <c r="EHR14" s="63"/>
      <c r="EHS14" s="63"/>
      <c r="EHT14" s="63"/>
      <c r="EHU14" s="63"/>
      <c r="EHV14" s="63"/>
      <c r="EHW14" s="63"/>
      <c r="EHX14" s="63"/>
      <c r="EHY14" s="63"/>
      <c r="EHZ14" s="54"/>
      <c r="EIA14" s="54"/>
      <c r="EIB14" s="54"/>
      <c r="EIC14" s="57"/>
      <c r="EID14" s="62"/>
      <c r="EIE14" s="63"/>
      <c r="EIF14" s="63"/>
      <c r="EIG14" s="63"/>
      <c r="EIH14" s="63"/>
      <c r="EII14" s="63"/>
      <c r="EIJ14" s="63"/>
      <c r="EIK14" s="63"/>
      <c r="EIL14" s="63"/>
      <c r="EIM14" s="63"/>
      <c r="EIN14" s="63"/>
      <c r="EIO14" s="63"/>
      <c r="EIP14" s="54"/>
      <c r="EIQ14" s="54"/>
      <c r="EIR14" s="54"/>
      <c r="EIS14" s="57"/>
      <c r="EIT14" s="62"/>
      <c r="EIU14" s="63"/>
      <c r="EIV14" s="63"/>
      <c r="EIW14" s="63"/>
      <c r="EIX14" s="63"/>
      <c r="EIY14" s="63"/>
      <c r="EIZ14" s="63"/>
      <c r="EJA14" s="63"/>
      <c r="EJB14" s="63"/>
      <c r="EJC14" s="63"/>
      <c r="EJD14" s="63"/>
      <c r="EJE14" s="63"/>
      <c r="EJF14" s="54"/>
      <c r="EJG14" s="54"/>
      <c r="EJH14" s="54"/>
      <c r="EJI14" s="57"/>
      <c r="EJJ14" s="62"/>
      <c r="EJK14" s="63"/>
      <c r="EJL14" s="63"/>
      <c r="EJM14" s="63"/>
      <c r="EJN14" s="63"/>
      <c r="EJO14" s="63"/>
      <c r="EJP14" s="63"/>
      <c r="EJQ14" s="63"/>
      <c r="EJR14" s="63"/>
      <c r="EJS14" s="63"/>
      <c r="EJT14" s="63"/>
      <c r="EJU14" s="63"/>
      <c r="EJV14" s="54"/>
      <c r="EJW14" s="54"/>
      <c r="EJX14" s="54"/>
      <c r="EJY14" s="57"/>
      <c r="EJZ14" s="62"/>
      <c r="EKA14" s="63"/>
      <c r="EKB14" s="63"/>
      <c r="EKC14" s="63"/>
      <c r="EKD14" s="63"/>
      <c r="EKE14" s="63"/>
      <c r="EKF14" s="63"/>
      <c r="EKG14" s="63"/>
      <c r="EKH14" s="63"/>
      <c r="EKI14" s="63"/>
      <c r="EKJ14" s="63"/>
      <c r="EKK14" s="63"/>
      <c r="EKL14" s="54"/>
      <c r="EKM14" s="54"/>
      <c r="EKN14" s="54"/>
      <c r="EKO14" s="57"/>
      <c r="EKP14" s="62"/>
      <c r="EKQ14" s="63"/>
      <c r="EKR14" s="63"/>
      <c r="EKS14" s="63"/>
      <c r="EKT14" s="63"/>
      <c r="EKU14" s="63"/>
      <c r="EKV14" s="63"/>
      <c r="EKW14" s="63"/>
      <c r="EKX14" s="63"/>
      <c r="EKY14" s="63"/>
      <c r="EKZ14" s="63"/>
      <c r="ELA14" s="63"/>
      <c r="ELB14" s="54"/>
      <c r="ELC14" s="54"/>
      <c r="ELD14" s="54"/>
      <c r="ELE14" s="57"/>
      <c r="ELF14" s="62"/>
      <c r="ELG14" s="63"/>
      <c r="ELH14" s="63"/>
      <c r="ELI14" s="63"/>
      <c r="ELJ14" s="63"/>
      <c r="ELK14" s="63"/>
      <c r="ELL14" s="63"/>
      <c r="ELM14" s="63"/>
      <c r="ELN14" s="63"/>
      <c r="ELO14" s="63"/>
      <c r="ELP14" s="63"/>
      <c r="ELQ14" s="63"/>
      <c r="ELR14" s="54"/>
      <c r="ELS14" s="54"/>
      <c r="ELT14" s="54"/>
      <c r="ELU14" s="57"/>
      <c r="ELV14" s="62"/>
      <c r="ELW14" s="63"/>
      <c r="ELX14" s="63"/>
      <c r="ELY14" s="63"/>
      <c r="ELZ14" s="63"/>
      <c r="EMA14" s="63"/>
      <c r="EMB14" s="63"/>
      <c r="EMC14" s="63"/>
      <c r="EMD14" s="63"/>
      <c r="EME14" s="63"/>
      <c r="EMF14" s="63"/>
      <c r="EMG14" s="63"/>
      <c r="EMH14" s="54"/>
      <c r="EMI14" s="54"/>
      <c r="EMJ14" s="54"/>
      <c r="EMK14" s="57"/>
      <c r="EML14" s="62"/>
      <c r="EMM14" s="63"/>
      <c r="EMN14" s="63"/>
      <c r="EMO14" s="63"/>
      <c r="EMP14" s="63"/>
      <c r="EMQ14" s="63"/>
      <c r="EMR14" s="63"/>
      <c r="EMS14" s="63"/>
      <c r="EMT14" s="63"/>
      <c r="EMU14" s="63"/>
      <c r="EMV14" s="63"/>
      <c r="EMW14" s="63"/>
      <c r="EMX14" s="54"/>
      <c r="EMY14" s="54"/>
      <c r="EMZ14" s="54"/>
      <c r="ENA14" s="57"/>
      <c r="ENB14" s="62"/>
      <c r="ENC14" s="63"/>
      <c r="END14" s="63"/>
      <c r="ENE14" s="63"/>
      <c r="ENF14" s="63"/>
      <c r="ENG14" s="63"/>
      <c r="ENH14" s="63"/>
      <c r="ENI14" s="63"/>
      <c r="ENJ14" s="63"/>
      <c r="ENK14" s="63"/>
      <c r="ENL14" s="63"/>
      <c r="ENM14" s="63"/>
      <c r="ENN14" s="54"/>
      <c r="ENO14" s="54"/>
      <c r="ENP14" s="54"/>
      <c r="ENQ14" s="57"/>
      <c r="ENR14" s="62"/>
      <c r="ENS14" s="63"/>
      <c r="ENT14" s="63"/>
      <c r="ENU14" s="63"/>
      <c r="ENV14" s="63"/>
      <c r="ENW14" s="63"/>
      <c r="ENX14" s="63"/>
      <c r="ENY14" s="63"/>
      <c r="ENZ14" s="63"/>
      <c r="EOA14" s="63"/>
      <c r="EOB14" s="63"/>
      <c r="EOC14" s="63"/>
      <c r="EOD14" s="54"/>
      <c r="EOE14" s="54"/>
      <c r="EOF14" s="54"/>
      <c r="EOG14" s="57"/>
      <c r="EOH14" s="62"/>
      <c r="EOI14" s="63"/>
      <c r="EOJ14" s="63"/>
      <c r="EOK14" s="63"/>
      <c r="EOL14" s="63"/>
      <c r="EOM14" s="63"/>
      <c r="EON14" s="63"/>
      <c r="EOO14" s="63"/>
      <c r="EOP14" s="63"/>
      <c r="EOQ14" s="63"/>
      <c r="EOR14" s="63"/>
      <c r="EOS14" s="63"/>
      <c r="EOT14" s="54"/>
      <c r="EOU14" s="54"/>
      <c r="EOV14" s="54"/>
      <c r="EOW14" s="57"/>
      <c r="EOX14" s="62"/>
      <c r="EOY14" s="63"/>
      <c r="EOZ14" s="63"/>
      <c r="EPA14" s="63"/>
      <c r="EPB14" s="63"/>
      <c r="EPC14" s="63"/>
      <c r="EPD14" s="63"/>
      <c r="EPE14" s="63"/>
      <c r="EPF14" s="63"/>
      <c r="EPG14" s="63"/>
      <c r="EPH14" s="63"/>
      <c r="EPI14" s="63"/>
      <c r="EPJ14" s="54"/>
      <c r="EPK14" s="54"/>
      <c r="EPL14" s="54"/>
      <c r="EPM14" s="57"/>
      <c r="EPN14" s="62"/>
      <c r="EPO14" s="63"/>
      <c r="EPP14" s="63"/>
      <c r="EPQ14" s="63"/>
      <c r="EPR14" s="63"/>
      <c r="EPS14" s="63"/>
      <c r="EPT14" s="63"/>
      <c r="EPU14" s="63"/>
      <c r="EPV14" s="63"/>
      <c r="EPW14" s="63"/>
      <c r="EPX14" s="63"/>
      <c r="EPY14" s="63"/>
      <c r="EPZ14" s="54"/>
      <c r="EQA14" s="54"/>
      <c r="EQB14" s="54"/>
      <c r="EQC14" s="57"/>
      <c r="EQD14" s="62"/>
      <c r="EQE14" s="63"/>
      <c r="EQF14" s="63"/>
      <c r="EQG14" s="63"/>
      <c r="EQH14" s="63"/>
      <c r="EQI14" s="63"/>
      <c r="EQJ14" s="63"/>
      <c r="EQK14" s="63"/>
      <c r="EQL14" s="63"/>
      <c r="EQM14" s="63"/>
      <c r="EQN14" s="63"/>
      <c r="EQO14" s="63"/>
      <c r="EQP14" s="54"/>
      <c r="EQQ14" s="54"/>
      <c r="EQR14" s="54"/>
      <c r="EQS14" s="57"/>
      <c r="EQT14" s="62"/>
      <c r="EQU14" s="63"/>
      <c r="EQV14" s="63"/>
      <c r="EQW14" s="63"/>
      <c r="EQX14" s="63"/>
      <c r="EQY14" s="63"/>
      <c r="EQZ14" s="63"/>
      <c r="ERA14" s="63"/>
      <c r="ERB14" s="63"/>
      <c r="ERC14" s="63"/>
      <c r="ERD14" s="63"/>
      <c r="ERE14" s="63"/>
      <c r="ERF14" s="54"/>
      <c r="ERG14" s="54"/>
      <c r="ERH14" s="54"/>
      <c r="ERI14" s="57"/>
      <c r="ERJ14" s="62"/>
      <c r="ERK14" s="63"/>
      <c r="ERL14" s="63"/>
      <c r="ERM14" s="63"/>
      <c r="ERN14" s="63"/>
      <c r="ERO14" s="63"/>
      <c r="ERP14" s="63"/>
      <c r="ERQ14" s="63"/>
      <c r="ERR14" s="63"/>
      <c r="ERS14" s="63"/>
      <c r="ERT14" s="63"/>
      <c r="ERU14" s="63"/>
      <c r="ERV14" s="54"/>
      <c r="ERW14" s="54"/>
      <c r="ERX14" s="54"/>
      <c r="ERY14" s="57"/>
      <c r="ERZ14" s="62"/>
      <c r="ESA14" s="63"/>
      <c r="ESB14" s="63"/>
      <c r="ESC14" s="63"/>
      <c r="ESD14" s="63"/>
      <c r="ESE14" s="63"/>
      <c r="ESF14" s="63"/>
      <c r="ESG14" s="63"/>
      <c r="ESH14" s="63"/>
      <c r="ESI14" s="63"/>
      <c r="ESJ14" s="63"/>
      <c r="ESK14" s="63"/>
      <c r="ESL14" s="54"/>
      <c r="ESM14" s="54"/>
      <c r="ESN14" s="54"/>
      <c r="ESO14" s="57"/>
      <c r="ESP14" s="62"/>
      <c r="ESQ14" s="63"/>
      <c r="ESR14" s="63"/>
      <c r="ESS14" s="63"/>
      <c r="EST14" s="63"/>
      <c r="ESU14" s="63"/>
      <c r="ESV14" s="63"/>
      <c r="ESW14" s="63"/>
      <c r="ESX14" s="63"/>
      <c r="ESY14" s="63"/>
      <c r="ESZ14" s="63"/>
      <c r="ETA14" s="63"/>
      <c r="ETB14" s="54"/>
      <c r="ETC14" s="54"/>
      <c r="ETD14" s="54"/>
      <c r="ETE14" s="57"/>
      <c r="ETF14" s="62"/>
      <c r="ETG14" s="63"/>
      <c r="ETH14" s="63"/>
      <c r="ETI14" s="63"/>
      <c r="ETJ14" s="63"/>
      <c r="ETK14" s="63"/>
      <c r="ETL14" s="63"/>
      <c r="ETM14" s="63"/>
      <c r="ETN14" s="63"/>
      <c r="ETO14" s="63"/>
      <c r="ETP14" s="63"/>
      <c r="ETQ14" s="63"/>
      <c r="ETR14" s="54"/>
      <c r="ETS14" s="54"/>
      <c r="ETT14" s="54"/>
      <c r="ETU14" s="57"/>
      <c r="ETV14" s="62"/>
      <c r="ETW14" s="63"/>
      <c r="ETX14" s="63"/>
      <c r="ETY14" s="63"/>
      <c r="ETZ14" s="63"/>
      <c r="EUA14" s="63"/>
      <c r="EUB14" s="63"/>
      <c r="EUC14" s="63"/>
      <c r="EUD14" s="63"/>
      <c r="EUE14" s="63"/>
      <c r="EUF14" s="63"/>
      <c r="EUG14" s="63"/>
      <c r="EUH14" s="54"/>
      <c r="EUI14" s="54"/>
      <c r="EUJ14" s="54"/>
      <c r="EUK14" s="57"/>
      <c r="EUL14" s="62"/>
      <c r="EUM14" s="63"/>
      <c r="EUN14" s="63"/>
      <c r="EUO14" s="63"/>
      <c r="EUP14" s="63"/>
      <c r="EUQ14" s="63"/>
      <c r="EUR14" s="63"/>
      <c r="EUS14" s="63"/>
      <c r="EUT14" s="63"/>
      <c r="EUU14" s="63"/>
      <c r="EUV14" s="63"/>
      <c r="EUW14" s="63"/>
      <c r="EUX14" s="54"/>
      <c r="EUY14" s="54"/>
      <c r="EUZ14" s="54"/>
      <c r="EVA14" s="57"/>
      <c r="EVB14" s="62"/>
      <c r="EVC14" s="63"/>
      <c r="EVD14" s="63"/>
      <c r="EVE14" s="63"/>
      <c r="EVF14" s="63"/>
      <c r="EVG14" s="63"/>
      <c r="EVH14" s="63"/>
      <c r="EVI14" s="63"/>
      <c r="EVJ14" s="63"/>
      <c r="EVK14" s="63"/>
      <c r="EVL14" s="63"/>
      <c r="EVM14" s="63"/>
      <c r="EVN14" s="54"/>
      <c r="EVO14" s="54"/>
      <c r="EVP14" s="54"/>
      <c r="EVQ14" s="57"/>
      <c r="EVR14" s="62"/>
      <c r="EVS14" s="63"/>
      <c r="EVT14" s="63"/>
      <c r="EVU14" s="63"/>
      <c r="EVV14" s="63"/>
      <c r="EVW14" s="63"/>
      <c r="EVX14" s="63"/>
      <c r="EVY14" s="63"/>
      <c r="EVZ14" s="63"/>
      <c r="EWA14" s="63"/>
      <c r="EWB14" s="63"/>
      <c r="EWC14" s="63"/>
      <c r="EWD14" s="54"/>
      <c r="EWE14" s="54"/>
      <c r="EWF14" s="54"/>
      <c r="EWG14" s="57"/>
      <c r="EWH14" s="62"/>
      <c r="EWI14" s="63"/>
      <c r="EWJ14" s="63"/>
      <c r="EWK14" s="63"/>
      <c r="EWL14" s="63"/>
      <c r="EWM14" s="63"/>
      <c r="EWN14" s="63"/>
      <c r="EWO14" s="63"/>
      <c r="EWP14" s="63"/>
      <c r="EWQ14" s="63"/>
      <c r="EWR14" s="63"/>
      <c r="EWS14" s="63"/>
      <c r="EWT14" s="54"/>
      <c r="EWU14" s="54"/>
      <c r="EWV14" s="54"/>
      <c r="EWW14" s="57"/>
      <c r="EWX14" s="62"/>
      <c r="EWY14" s="63"/>
      <c r="EWZ14" s="63"/>
      <c r="EXA14" s="63"/>
      <c r="EXB14" s="63"/>
      <c r="EXC14" s="63"/>
      <c r="EXD14" s="63"/>
      <c r="EXE14" s="63"/>
      <c r="EXF14" s="63"/>
      <c r="EXG14" s="63"/>
      <c r="EXH14" s="63"/>
      <c r="EXI14" s="63"/>
      <c r="EXJ14" s="54"/>
      <c r="EXK14" s="54"/>
      <c r="EXL14" s="54"/>
      <c r="EXM14" s="57"/>
      <c r="EXN14" s="62"/>
      <c r="EXO14" s="63"/>
      <c r="EXP14" s="63"/>
      <c r="EXQ14" s="63"/>
      <c r="EXR14" s="63"/>
      <c r="EXS14" s="63"/>
      <c r="EXT14" s="63"/>
      <c r="EXU14" s="63"/>
      <c r="EXV14" s="63"/>
      <c r="EXW14" s="63"/>
      <c r="EXX14" s="63"/>
      <c r="EXY14" s="63"/>
      <c r="EXZ14" s="54"/>
      <c r="EYA14" s="54"/>
      <c r="EYB14" s="54"/>
      <c r="EYC14" s="57"/>
      <c r="EYD14" s="62"/>
      <c r="EYE14" s="63"/>
      <c r="EYF14" s="63"/>
      <c r="EYG14" s="63"/>
      <c r="EYH14" s="63"/>
      <c r="EYI14" s="63"/>
      <c r="EYJ14" s="63"/>
      <c r="EYK14" s="63"/>
      <c r="EYL14" s="63"/>
      <c r="EYM14" s="63"/>
      <c r="EYN14" s="63"/>
      <c r="EYO14" s="63"/>
      <c r="EYP14" s="54"/>
      <c r="EYQ14" s="54"/>
      <c r="EYR14" s="54"/>
      <c r="EYS14" s="57"/>
      <c r="EYT14" s="62"/>
      <c r="EYU14" s="63"/>
      <c r="EYV14" s="63"/>
      <c r="EYW14" s="63"/>
      <c r="EYX14" s="63"/>
      <c r="EYY14" s="63"/>
      <c r="EYZ14" s="63"/>
      <c r="EZA14" s="63"/>
      <c r="EZB14" s="63"/>
      <c r="EZC14" s="63"/>
      <c r="EZD14" s="63"/>
      <c r="EZE14" s="63"/>
      <c r="EZF14" s="54"/>
      <c r="EZG14" s="54"/>
      <c r="EZH14" s="54"/>
      <c r="EZI14" s="57"/>
      <c r="EZJ14" s="62"/>
      <c r="EZK14" s="63"/>
      <c r="EZL14" s="63"/>
      <c r="EZM14" s="63"/>
      <c r="EZN14" s="63"/>
      <c r="EZO14" s="63"/>
      <c r="EZP14" s="63"/>
      <c r="EZQ14" s="63"/>
      <c r="EZR14" s="63"/>
      <c r="EZS14" s="63"/>
      <c r="EZT14" s="63"/>
      <c r="EZU14" s="63"/>
      <c r="EZV14" s="54"/>
      <c r="EZW14" s="54"/>
      <c r="EZX14" s="54"/>
      <c r="EZY14" s="57"/>
      <c r="EZZ14" s="62"/>
      <c r="FAA14" s="63"/>
      <c r="FAB14" s="63"/>
      <c r="FAC14" s="63"/>
      <c r="FAD14" s="63"/>
      <c r="FAE14" s="63"/>
      <c r="FAF14" s="63"/>
      <c r="FAG14" s="63"/>
      <c r="FAH14" s="63"/>
      <c r="FAI14" s="63"/>
      <c r="FAJ14" s="63"/>
      <c r="FAK14" s="63"/>
      <c r="FAL14" s="54"/>
      <c r="FAM14" s="54"/>
      <c r="FAN14" s="54"/>
      <c r="FAO14" s="57"/>
      <c r="FAP14" s="62"/>
      <c r="FAQ14" s="63"/>
      <c r="FAR14" s="63"/>
      <c r="FAS14" s="63"/>
      <c r="FAT14" s="63"/>
      <c r="FAU14" s="63"/>
      <c r="FAV14" s="63"/>
      <c r="FAW14" s="63"/>
      <c r="FAX14" s="63"/>
      <c r="FAY14" s="63"/>
      <c r="FAZ14" s="63"/>
      <c r="FBA14" s="63"/>
      <c r="FBB14" s="54"/>
      <c r="FBC14" s="54"/>
      <c r="FBD14" s="54"/>
      <c r="FBE14" s="57"/>
      <c r="FBF14" s="62"/>
      <c r="FBG14" s="63"/>
      <c r="FBH14" s="63"/>
      <c r="FBI14" s="63"/>
      <c r="FBJ14" s="63"/>
      <c r="FBK14" s="63"/>
      <c r="FBL14" s="63"/>
      <c r="FBM14" s="63"/>
      <c r="FBN14" s="63"/>
      <c r="FBO14" s="63"/>
      <c r="FBP14" s="63"/>
      <c r="FBQ14" s="63"/>
      <c r="FBR14" s="54"/>
      <c r="FBS14" s="54"/>
      <c r="FBT14" s="54"/>
      <c r="FBU14" s="57"/>
      <c r="FBV14" s="62"/>
      <c r="FBW14" s="63"/>
      <c r="FBX14" s="63"/>
      <c r="FBY14" s="63"/>
      <c r="FBZ14" s="63"/>
      <c r="FCA14" s="63"/>
      <c r="FCB14" s="63"/>
      <c r="FCC14" s="63"/>
      <c r="FCD14" s="63"/>
      <c r="FCE14" s="63"/>
      <c r="FCF14" s="63"/>
      <c r="FCG14" s="63"/>
      <c r="FCH14" s="54"/>
      <c r="FCI14" s="54"/>
      <c r="FCJ14" s="54"/>
      <c r="FCK14" s="57"/>
      <c r="FCL14" s="62"/>
      <c r="FCM14" s="63"/>
      <c r="FCN14" s="63"/>
      <c r="FCO14" s="63"/>
      <c r="FCP14" s="63"/>
      <c r="FCQ14" s="63"/>
      <c r="FCR14" s="63"/>
      <c r="FCS14" s="63"/>
      <c r="FCT14" s="63"/>
      <c r="FCU14" s="63"/>
      <c r="FCV14" s="63"/>
      <c r="FCW14" s="63"/>
      <c r="FCX14" s="54"/>
      <c r="FCY14" s="54"/>
      <c r="FCZ14" s="54"/>
      <c r="FDA14" s="57"/>
      <c r="FDB14" s="62"/>
      <c r="FDC14" s="63"/>
      <c r="FDD14" s="63"/>
      <c r="FDE14" s="63"/>
      <c r="FDF14" s="63"/>
      <c r="FDG14" s="63"/>
      <c r="FDH14" s="63"/>
      <c r="FDI14" s="63"/>
      <c r="FDJ14" s="63"/>
      <c r="FDK14" s="63"/>
      <c r="FDL14" s="63"/>
      <c r="FDM14" s="63"/>
      <c r="FDN14" s="54"/>
      <c r="FDO14" s="54"/>
      <c r="FDP14" s="54"/>
      <c r="FDQ14" s="57"/>
      <c r="FDR14" s="62"/>
      <c r="FDS14" s="63"/>
      <c r="FDT14" s="63"/>
      <c r="FDU14" s="63"/>
      <c r="FDV14" s="63"/>
      <c r="FDW14" s="63"/>
      <c r="FDX14" s="63"/>
      <c r="FDY14" s="63"/>
      <c r="FDZ14" s="63"/>
      <c r="FEA14" s="63"/>
      <c r="FEB14" s="63"/>
      <c r="FEC14" s="63"/>
      <c r="FED14" s="54"/>
      <c r="FEE14" s="54"/>
      <c r="FEF14" s="54"/>
      <c r="FEG14" s="57"/>
      <c r="FEH14" s="62"/>
      <c r="FEI14" s="63"/>
      <c r="FEJ14" s="63"/>
      <c r="FEK14" s="63"/>
      <c r="FEL14" s="63"/>
      <c r="FEM14" s="63"/>
      <c r="FEN14" s="63"/>
      <c r="FEO14" s="63"/>
      <c r="FEP14" s="63"/>
      <c r="FEQ14" s="63"/>
      <c r="FER14" s="63"/>
      <c r="FES14" s="63"/>
      <c r="FET14" s="54"/>
      <c r="FEU14" s="54"/>
      <c r="FEV14" s="54"/>
      <c r="FEW14" s="57"/>
      <c r="FEX14" s="62"/>
      <c r="FEY14" s="63"/>
      <c r="FEZ14" s="63"/>
      <c r="FFA14" s="63"/>
      <c r="FFB14" s="63"/>
      <c r="FFC14" s="63"/>
      <c r="FFD14" s="63"/>
      <c r="FFE14" s="63"/>
      <c r="FFF14" s="63"/>
      <c r="FFG14" s="63"/>
      <c r="FFH14" s="63"/>
      <c r="FFI14" s="63"/>
      <c r="FFJ14" s="54"/>
      <c r="FFK14" s="54"/>
      <c r="FFL14" s="54"/>
      <c r="FFM14" s="57"/>
      <c r="FFN14" s="62"/>
      <c r="FFO14" s="63"/>
      <c r="FFP14" s="63"/>
      <c r="FFQ14" s="63"/>
      <c r="FFR14" s="63"/>
      <c r="FFS14" s="63"/>
      <c r="FFT14" s="63"/>
      <c r="FFU14" s="63"/>
      <c r="FFV14" s="63"/>
      <c r="FFW14" s="63"/>
      <c r="FFX14" s="63"/>
      <c r="FFY14" s="63"/>
      <c r="FFZ14" s="54"/>
      <c r="FGA14" s="54"/>
      <c r="FGB14" s="54"/>
      <c r="FGC14" s="57"/>
      <c r="FGD14" s="62"/>
      <c r="FGE14" s="63"/>
      <c r="FGF14" s="63"/>
      <c r="FGG14" s="63"/>
      <c r="FGH14" s="63"/>
      <c r="FGI14" s="63"/>
      <c r="FGJ14" s="63"/>
      <c r="FGK14" s="63"/>
      <c r="FGL14" s="63"/>
      <c r="FGM14" s="63"/>
      <c r="FGN14" s="63"/>
      <c r="FGO14" s="63"/>
      <c r="FGP14" s="54"/>
      <c r="FGQ14" s="54"/>
      <c r="FGR14" s="54"/>
      <c r="FGS14" s="57"/>
      <c r="FGT14" s="62"/>
      <c r="FGU14" s="63"/>
      <c r="FGV14" s="63"/>
      <c r="FGW14" s="63"/>
      <c r="FGX14" s="63"/>
      <c r="FGY14" s="63"/>
      <c r="FGZ14" s="63"/>
      <c r="FHA14" s="63"/>
      <c r="FHB14" s="63"/>
      <c r="FHC14" s="63"/>
      <c r="FHD14" s="63"/>
      <c r="FHE14" s="63"/>
      <c r="FHF14" s="54"/>
      <c r="FHG14" s="54"/>
      <c r="FHH14" s="54"/>
      <c r="FHI14" s="57"/>
      <c r="FHJ14" s="62"/>
      <c r="FHK14" s="63"/>
      <c r="FHL14" s="63"/>
      <c r="FHM14" s="63"/>
      <c r="FHN14" s="63"/>
      <c r="FHO14" s="63"/>
      <c r="FHP14" s="63"/>
      <c r="FHQ14" s="63"/>
      <c r="FHR14" s="63"/>
      <c r="FHS14" s="63"/>
      <c r="FHT14" s="63"/>
      <c r="FHU14" s="63"/>
      <c r="FHV14" s="54"/>
      <c r="FHW14" s="54"/>
      <c r="FHX14" s="54"/>
      <c r="FHY14" s="57"/>
      <c r="FHZ14" s="62"/>
      <c r="FIA14" s="63"/>
      <c r="FIB14" s="63"/>
      <c r="FIC14" s="63"/>
      <c r="FID14" s="63"/>
      <c r="FIE14" s="63"/>
      <c r="FIF14" s="63"/>
      <c r="FIG14" s="63"/>
      <c r="FIH14" s="63"/>
      <c r="FII14" s="63"/>
      <c r="FIJ14" s="63"/>
      <c r="FIK14" s="63"/>
      <c r="FIL14" s="54"/>
      <c r="FIM14" s="54"/>
      <c r="FIN14" s="54"/>
      <c r="FIO14" s="57"/>
      <c r="FIP14" s="62"/>
      <c r="FIQ14" s="63"/>
      <c r="FIR14" s="63"/>
      <c r="FIS14" s="63"/>
      <c r="FIT14" s="63"/>
      <c r="FIU14" s="63"/>
      <c r="FIV14" s="63"/>
      <c r="FIW14" s="63"/>
      <c r="FIX14" s="63"/>
      <c r="FIY14" s="63"/>
      <c r="FIZ14" s="63"/>
      <c r="FJA14" s="63"/>
      <c r="FJB14" s="54"/>
      <c r="FJC14" s="54"/>
      <c r="FJD14" s="54"/>
      <c r="FJE14" s="57"/>
      <c r="FJF14" s="62"/>
      <c r="FJG14" s="63"/>
      <c r="FJH14" s="63"/>
      <c r="FJI14" s="63"/>
      <c r="FJJ14" s="63"/>
      <c r="FJK14" s="63"/>
      <c r="FJL14" s="63"/>
      <c r="FJM14" s="63"/>
      <c r="FJN14" s="63"/>
      <c r="FJO14" s="63"/>
      <c r="FJP14" s="63"/>
      <c r="FJQ14" s="63"/>
      <c r="FJR14" s="54"/>
      <c r="FJS14" s="54"/>
      <c r="FJT14" s="54"/>
      <c r="FJU14" s="57"/>
      <c r="FJV14" s="62"/>
      <c r="FJW14" s="63"/>
      <c r="FJX14" s="63"/>
      <c r="FJY14" s="63"/>
      <c r="FJZ14" s="63"/>
      <c r="FKA14" s="63"/>
      <c r="FKB14" s="63"/>
      <c r="FKC14" s="63"/>
      <c r="FKD14" s="63"/>
      <c r="FKE14" s="63"/>
      <c r="FKF14" s="63"/>
      <c r="FKG14" s="63"/>
      <c r="FKH14" s="54"/>
      <c r="FKI14" s="54"/>
      <c r="FKJ14" s="54"/>
      <c r="FKK14" s="57"/>
      <c r="FKL14" s="62"/>
      <c r="FKM14" s="63"/>
      <c r="FKN14" s="63"/>
      <c r="FKO14" s="63"/>
      <c r="FKP14" s="63"/>
      <c r="FKQ14" s="63"/>
      <c r="FKR14" s="63"/>
      <c r="FKS14" s="63"/>
      <c r="FKT14" s="63"/>
      <c r="FKU14" s="63"/>
      <c r="FKV14" s="63"/>
      <c r="FKW14" s="63"/>
      <c r="FKX14" s="54"/>
      <c r="FKY14" s="54"/>
      <c r="FKZ14" s="54"/>
      <c r="FLA14" s="57"/>
      <c r="FLB14" s="62"/>
      <c r="FLC14" s="63"/>
      <c r="FLD14" s="63"/>
      <c r="FLE14" s="63"/>
      <c r="FLF14" s="63"/>
      <c r="FLG14" s="63"/>
      <c r="FLH14" s="63"/>
      <c r="FLI14" s="63"/>
      <c r="FLJ14" s="63"/>
      <c r="FLK14" s="63"/>
      <c r="FLL14" s="63"/>
      <c r="FLM14" s="63"/>
      <c r="FLN14" s="54"/>
      <c r="FLO14" s="54"/>
      <c r="FLP14" s="54"/>
      <c r="FLQ14" s="57"/>
      <c r="FLR14" s="62"/>
      <c r="FLS14" s="63"/>
      <c r="FLT14" s="63"/>
      <c r="FLU14" s="63"/>
      <c r="FLV14" s="63"/>
      <c r="FLW14" s="63"/>
      <c r="FLX14" s="63"/>
      <c r="FLY14" s="63"/>
      <c r="FLZ14" s="63"/>
      <c r="FMA14" s="63"/>
      <c r="FMB14" s="63"/>
      <c r="FMC14" s="63"/>
      <c r="FMD14" s="54"/>
      <c r="FME14" s="54"/>
      <c r="FMF14" s="54"/>
      <c r="FMG14" s="57"/>
      <c r="FMH14" s="62"/>
      <c r="FMI14" s="63"/>
      <c r="FMJ14" s="63"/>
      <c r="FMK14" s="63"/>
      <c r="FML14" s="63"/>
      <c r="FMM14" s="63"/>
      <c r="FMN14" s="63"/>
      <c r="FMO14" s="63"/>
      <c r="FMP14" s="63"/>
      <c r="FMQ14" s="63"/>
      <c r="FMR14" s="63"/>
      <c r="FMS14" s="63"/>
      <c r="FMT14" s="54"/>
      <c r="FMU14" s="54"/>
      <c r="FMV14" s="54"/>
      <c r="FMW14" s="57"/>
      <c r="FMX14" s="62"/>
      <c r="FMY14" s="63"/>
      <c r="FMZ14" s="63"/>
      <c r="FNA14" s="63"/>
      <c r="FNB14" s="63"/>
      <c r="FNC14" s="63"/>
      <c r="FND14" s="63"/>
      <c r="FNE14" s="63"/>
      <c r="FNF14" s="63"/>
      <c r="FNG14" s="63"/>
      <c r="FNH14" s="63"/>
      <c r="FNI14" s="63"/>
      <c r="FNJ14" s="54"/>
      <c r="FNK14" s="54"/>
      <c r="FNL14" s="54"/>
      <c r="FNM14" s="57"/>
      <c r="FNN14" s="62"/>
      <c r="FNO14" s="63"/>
      <c r="FNP14" s="63"/>
      <c r="FNQ14" s="63"/>
      <c r="FNR14" s="63"/>
      <c r="FNS14" s="63"/>
      <c r="FNT14" s="63"/>
      <c r="FNU14" s="63"/>
      <c r="FNV14" s="63"/>
      <c r="FNW14" s="63"/>
      <c r="FNX14" s="63"/>
      <c r="FNY14" s="63"/>
      <c r="FNZ14" s="54"/>
      <c r="FOA14" s="54"/>
      <c r="FOB14" s="54"/>
      <c r="FOC14" s="57"/>
      <c r="FOD14" s="62"/>
      <c r="FOE14" s="63"/>
      <c r="FOF14" s="63"/>
      <c r="FOG14" s="63"/>
      <c r="FOH14" s="63"/>
      <c r="FOI14" s="63"/>
      <c r="FOJ14" s="63"/>
      <c r="FOK14" s="63"/>
      <c r="FOL14" s="63"/>
      <c r="FOM14" s="63"/>
      <c r="FON14" s="63"/>
      <c r="FOO14" s="63"/>
      <c r="FOP14" s="54"/>
      <c r="FOQ14" s="54"/>
      <c r="FOR14" s="54"/>
      <c r="FOS14" s="57"/>
      <c r="FOT14" s="62"/>
      <c r="FOU14" s="63"/>
      <c r="FOV14" s="63"/>
      <c r="FOW14" s="63"/>
      <c r="FOX14" s="63"/>
      <c r="FOY14" s="63"/>
      <c r="FOZ14" s="63"/>
      <c r="FPA14" s="63"/>
      <c r="FPB14" s="63"/>
      <c r="FPC14" s="63"/>
      <c r="FPD14" s="63"/>
      <c r="FPE14" s="63"/>
      <c r="FPF14" s="54"/>
      <c r="FPG14" s="54"/>
      <c r="FPH14" s="54"/>
      <c r="FPI14" s="57"/>
      <c r="FPJ14" s="62"/>
      <c r="FPK14" s="63"/>
      <c r="FPL14" s="63"/>
      <c r="FPM14" s="63"/>
      <c r="FPN14" s="63"/>
      <c r="FPO14" s="63"/>
      <c r="FPP14" s="63"/>
      <c r="FPQ14" s="63"/>
      <c r="FPR14" s="63"/>
      <c r="FPS14" s="63"/>
      <c r="FPT14" s="63"/>
      <c r="FPU14" s="63"/>
      <c r="FPV14" s="54"/>
      <c r="FPW14" s="54"/>
      <c r="FPX14" s="54"/>
      <c r="FPY14" s="57"/>
      <c r="FPZ14" s="62"/>
      <c r="FQA14" s="63"/>
      <c r="FQB14" s="63"/>
      <c r="FQC14" s="63"/>
      <c r="FQD14" s="63"/>
      <c r="FQE14" s="63"/>
      <c r="FQF14" s="63"/>
      <c r="FQG14" s="63"/>
      <c r="FQH14" s="63"/>
      <c r="FQI14" s="63"/>
      <c r="FQJ14" s="63"/>
      <c r="FQK14" s="63"/>
      <c r="FQL14" s="54"/>
      <c r="FQM14" s="54"/>
      <c r="FQN14" s="54"/>
      <c r="FQO14" s="57"/>
      <c r="FQP14" s="62"/>
      <c r="FQQ14" s="63"/>
      <c r="FQR14" s="63"/>
      <c r="FQS14" s="63"/>
      <c r="FQT14" s="63"/>
      <c r="FQU14" s="63"/>
      <c r="FQV14" s="63"/>
      <c r="FQW14" s="63"/>
      <c r="FQX14" s="63"/>
      <c r="FQY14" s="63"/>
      <c r="FQZ14" s="63"/>
      <c r="FRA14" s="63"/>
      <c r="FRB14" s="54"/>
      <c r="FRC14" s="54"/>
      <c r="FRD14" s="54"/>
      <c r="FRE14" s="57"/>
      <c r="FRF14" s="62"/>
      <c r="FRG14" s="63"/>
      <c r="FRH14" s="63"/>
      <c r="FRI14" s="63"/>
      <c r="FRJ14" s="63"/>
      <c r="FRK14" s="63"/>
      <c r="FRL14" s="63"/>
      <c r="FRM14" s="63"/>
      <c r="FRN14" s="63"/>
      <c r="FRO14" s="63"/>
      <c r="FRP14" s="63"/>
      <c r="FRQ14" s="63"/>
      <c r="FRR14" s="54"/>
      <c r="FRS14" s="54"/>
      <c r="FRT14" s="54"/>
      <c r="FRU14" s="57"/>
      <c r="FRV14" s="62"/>
      <c r="FRW14" s="63"/>
      <c r="FRX14" s="63"/>
      <c r="FRY14" s="63"/>
      <c r="FRZ14" s="63"/>
      <c r="FSA14" s="63"/>
      <c r="FSB14" s="63"/>
      <c r="FSC14" s="63"/>
      <c r="FSD14" s="63"/>
      <c r="FSE14" s="63"/>
      <c r="FSF14" s="63"/>
      <c r="FSG14" s="63"/>
      <c r="FSH14" s="54"/>
      <c r="FSI14" s="54"/>
      <c r="FSJ14" s="54"/>
      <c r="FSK14" s="57"/>
      <c r="FSL14" s="62"/>
      <c r="FSM14" s="63"/>
      <c r="FSN14" s="63"/>
      <c r="FSO14" s="63"/>
      <c r="FSP14" s="63"/>
      <c r="FSQ14" s="63"/>
      <c r="FSR14" s="63"/>
      <c r="FSS14" s="63"/>
      <c r="FST14" s="63"/>
      <c r="FSU14" s="63"/>
      <c r="FSV14" s="63"/>
      <c r="FSW14" s="63"/>
      <c r="FSX14" s="54"/>
      <c r="FSY14" s="54"/>
      <c r="FSZ14" s="54"/>
      <c r="FTA14" s="57"/>
      <c r="FTB14" s="62"/>
      <c r="FTC14" s="63"/>
      <c r="FTD14" s="63"/>
      <c r="FTE14" s="63"/>
      <c r="FTF14" s="63"/>
      <c r="FTG14" s="63"/>
      <c r="FTH14" s="63"/>
      <c r="FTI14" s="63"/>
      <c r="FTJ14" s="63"/>
      <c r="FTK14" s="63"/>
      <c r="FTL14" s="63"/>
      <c r="FTM14" s="63"/>
      <c r="FTN14" s="54"/>
      <c r="FTO14" s="54"/>
      <c r="FTP14" s="54"/>
      <c r="FTQ14" s="57"/>
      <c r="FTR14" s="62"/>
      <c r="FTS14" s="63"/>
      <c r="FTT14" s="63"/>
      <c r="FTU14" s="63"/>
      <c r="FTV14" s="63"/>
      <c r="FTW14" s="63"/>
      <c r="FTX14" s="63"/>
      <c r="FTY14" s="63"/>
      <c r="FTZ14" s="63"/>
      <c r="FUA14" s="63"/>
      <c r="FUB14" s="63"/>
      <c r="FUC14" s="63"/>
      <c r="FUD14" s="54"/>
      <c r="FUE14" s="54"/>
      <c r="FUF14" s="54"/>
      <c r="FUG14" s="57"/>
      <c r="FUH14" s="62"/>
      <c r="FUI14" s="63"/>
      <c r="FUJ14" s="63"/>
      <c r="FUK14" s="63"/>
      <c r="FUL14" s="63"/>
      <c r="FUM14" s="63"/>
      <c r="FUN14" s="63"/>
      <c r="FUO14" s="63"/>
      <c r="FUP14" s="63"/>
      <c r="FUQ14" s="63"/>
      <c r="FUR14" s="63"/>
      <c r="FUS14" s="63"/>
      <c r="FUT14" s="54"/>
      <c r="FUU14" s="54"/>
      <c r="FUV14" s="54"/>
      <c r="FUW14" s="57"/>
      <c r="FUX14" s="62"/>
      <c r="FUY14" s="63"/>
      <c r="FUZ14" s="63"/>
      <c r="FVA14" s="63"/>
      <c r="FVB14" s="63"/>
      <c r="FVC14" s="63"/>
      <c r="FVD14" s="63"/>
      <c r="FVE14" s="63"/>
      <c r="FVF14" s="63"/>
      <c r="FVG14" s="63"/>
      <c r="FVH14" s="63"/>
      <c r="FVI14" s="63"/>
      <c r="FVJ14" s="54"/>
      <c r="FVK14" s="54"/>
      <c r="FVL14" s="54"/>
      <c r="FVM14" s="57"/>
      <c r="FVN14" s="62"/>
      <c r="FVO14" s="63"/>
      <c r="FVP14" s="63"/>
      <c r="FVQ14" s="63"/>
      <c r="FVR14" s="63"/>
      <c r="FVS14" s="63"/>
      <c r="FVT14" s="63"/>
      <c r="FVU14" s="63"/>
      <c r="FVV14" s="63"/>
      <c r="FVW14" s="63"/>
      <c r="FVX14" s="63"/>
      <c r="FVY14" s="63"/>
      <c r="FVZ14" s="54"/>
      <c r="FWA14" s="54"/>
      <c r="FWB14" s="54"/>
      <c r="FWC14" s="57"/>
      <c r="FWD14" s="62"/>
      <c r="FWE14" s="63"/>
      <c r="FWF14" s="63"/>
      <c r="FWG14" s="63"/>
      <c r="FWH14" s="63"/>
      <c r="FWI14" s="63"/>
      <c r="FWJ14" s="63"/>
      <c r="FWK14" s="63"/>
      <c r="FWL14" s="63"/>
      <c r="FWM14" s="63"/>
      <c r="FWN14" s="63"/>
      <c r="FWO14" s="63"/>
      <c r="FWP14" s="54"/>
      <c r="FWQ14" s="54"/>
      <c r="FWR14" s="54"/>
      <c r="FWS14" s="57"/>
      <c r="FWT14" s="62"/>
      <c r="FWU14" s="63"/>
      <c r="FWV14" s="63"/>
      <c r="FWW14" s="63"/>
      <c r="FWX14" s="63"/>
      <c r="FWY14" s="63"/>
      <c r="FWZ14" s="63"/>
      <c r="FXA14" s="63"/>
      <c r="FXB14" s="63"/>
      <c r="FXC14" s="63"/>
      <c r="FXD14" s="63"/>
      <c r="FXE14" s="63"/>
      <c r="FXF14" s="54"/>
      <c r="FXG14" s="54"/>
      <c r="FXH14" s="54"/>
      <c r="FXI14" s="57"/>
      <c r="FXJ14" s="62"/>
      <c r="FXK14" s="63"/>
      <c r="FXL14" s="63"/>
      <c r="FXM14" s="63"/>
      <c r="FXN14" s="63"/>
      <c r="FXO14" s="63"/>
      <c r="FXP14" s="63"/>
      <c r="FXQ14" s="63"/>
      <c r="FXR14" s="63"/>
      <c r="FXS14" s="63"/>
      <c r="FXT14" s="63"/>
      <c r="FXU14" s="63"/>
      <c r="FXV14" s="54"/>
      <c r="FXW14" s="54"/>
      <c r="FXX14" s="54"/>
      <c r="FXY14" s="57"/>
      <c r="FXZ14" s="62"/>
      <c r="FYA14" s="63"/>
      <c r="FYB14" s="63"/>
      <c r="FYC14" s="63"/>
      <c r="FYD14" s="63"/>
      <c r="FYE14" s="63"/>
      <c r="FYF14" s="63"/>
      <c r="FYG14" s="63"/>
      <c r="FYH14" s="63"/>
      <c r="FYI14" s="63"/>
      <c r="FYJ14" s="63"/>
      <c r="FYK14" s="63"/>
      <c r="FYL14" s="54"/>
      <c r="FYM14" s="54"/>
      <c r="FYN14" s="54"/>
      <c r="FYO14" s="57"/>
      <c r="FYP14" s="62"/>
      <c r="FYQ14" s="63"/>
      <c r="FYR14" s="63"/>
      <c r="FYS14" s="63"/>
      <c r="FYT14" s="63"/>
      <c r="FYU14" s="63"/>
      <c r="FYV14" s="63"/>
      <c r="FYW14" s="63"/>
      <c r="FYX14" s="63"/>
      <c r="FYY14" s="63"/>
      <c r="FYZ14" s="63"/>
      <c r="FZA14" s="63"/>
      <c r="FZB14" s="54"/>
      <c r="FZC14" s="54"/>
      <c r="FZD14" s="54"/>
      <c r="FZE14" s="57"/>
      <c r="FZF14" s="62"/>
      <c r="FZG14" s="63"/>
      <c r="FZH14" s="63"/>
      <c r="FZI14" s="63"/>
      <c r="FZJ14" s="63"/>
      <c r="FZK14" s="63"/>
      <c r="FZL14" s="63"/>
      <c r="FZM14" s="63"/>
      <c r="FZN14" s="63"/>
      <c r="FZO14" s="63"/>
      <c r="FZP14" s="63"/>
      <c r="FZQ14" s="63"/>
      <c r="FZR14" s="54"/>
      <c r="FZS14" s="54"/>
      <c r="FZT14" s="54"/>
      <c r="FZU14" s="57"/>
      <c r="FZV14" s="62"/>
      <c r="FZW14" s="63"/>
      <c r="FZX14" s="63"/>
      <c r="FZY14" s="63"/>
      <c r="FZZ14" s="63"/>
      <c r="GAA14" s="63"/>
      <c r="GAB14" s="63"/>
      <c r="GAC14" s="63"/>
      <c r="GAD14" s="63"/>
      <c r="GAE14" s="63"/>
      <c r="GAF14" s="63"/>
      <c r="GAG14" s="63"/>
      <c r="GAH14" s="54"/>
      <c r="GAI14" s="54"/>
      <c r="GAJ14" s="54"/>
      <c r="GAK14" s="57"/>
      <c r="GAL14" s="62"/>
      <c r="GAM14" s="63"/>
      <c r="GAN14" s="63"/>
      <c r="GAO14" s="63"/>
      <c r="GAP14" s="63"/>
      <c r="GAQ14" s="63"/>
      <c r="GAR14" s="63"/>
      <c r="GAS14" s="63"/>
      <c r="GAT14" s="63"/>
      <c r="GAU14" s="63"/>
      <c r="GAV14" s="63"/>
      <c r="GAW14" s="63"/>
      <c r="GAX14" s="54"/>
      <c r="GAY14" s="54"/>
      <c r="GAZ14" s="54"/>
      <c r="GBA14" s="57"/>
      <c r="GBB14" s="62"/>
      <c r="GBC14" s="63"/>
      <c r="GBD14" s="63"/>
      <c r="GBE14" s="63"/>
      <c r="GBF14" s="63"/>
      <c r="GBG14" s="63"/>
      <c r="GBH14" s="63"/>
      <c r="GBI14" s="63"/>
      <c r="GBJ14" s="63"/>
      <c r="GBK14" s="63"/>
      <c r="GBL14" s="63"/>
      <c r="GBM14" s="63"/>
      <c r="GBN14" s="54"/>
      <c r="GBO14" s="54"/>
      <c r="GBP14" s="54"/>
      <c r="GBQ14" s="57"/>
      <c r="GBR14" s="62"/>
      <c r="GBS14" s="63"/>
      <c r="GBT14" s="63"/>
      <c r="GBU14" s="63"/>
      <c r="GBV14" s="63"/>
      <c r="GBW14" s="63"/>
      <c r="GBX14" s="63"/>
      <c r="GBY14" s="63"/>
      <c r="GBZ14" s="63"/>
      <c r="GCA14" s="63"/>
      <c r="GCB14" s="63"/>
      <c r="GCC14" s="63"/>
      <c r="GCD14" s="54"/>
      <c r="GCE14" s="54"/>
      <c r="GCF14" s="54"/>
      <c r="GCG14" s="57"/>
      <c r="GCH14" s="62"/>
      <c r="GCI14" s="63"/>
      <c r="GCJ14" s="63"/>
      <c r="GCK14" s="63"/>
      <c r="GCL14" s="63"/>
      <c r="GCM14" s="63"/>
      <c r="GCN14" s="63"/>
      <c r="GCO14" s="63"/>
      <c r="GCP14" s="63"/>
      <c r="GCQ14" s="63"/>
      <c r="GCR14" s="63"/>
      <c r="GCS14" s="63"/>
      <c r="GCT14" s="54"/>
      <c r="GCU14" s="54"/>
      <c r="GCV14" s="54"/>
      <c r="GCW14" s="57"/>
      <c r="GCX14" s="62"/>
      <c r="GCY14" s="63"/>
      <c r="GCZ14" s="63"/>
      <c r="GDA14" s="63"/>
      <c r="GDB14" s="63"/>
      <c r="GDC14" s="63"/>
      <c r="GDD14" s="63"/>
      <c r="GDE14" s="63"/>
      <c r="GDF14" s="63"/>
      <c r="GDG14" s="63"/>
      <c r="GDH14" s="63"/>
      <c r="GDI14" s="63"/>
      <c r="GDJ14" s="54"/>
      <c r="GDK14" s="54"/>
      <c r="GDL14" s="54"/>
      <c r="GDM14" s="57"/>
      <c r="GDN14" s="62"/>
      <c r="GDO14" s="63"/>
      <c r="GDP14" s="63"/>
      <c r="GDQ14" s="63"/>
      <c r="GDR14" s="63"/>
      <c r="GDS14" s="63"/>
      <c r="GDT14" s="63"/>
      <c r="GDU14" s="63"/>
      <c r="GDV14" s="63"/>
      <c r="GDW14" s="63"/>
      <c r="GDX14" s="63"/>
      <c r="GDY14" s="63"/>
      <c r="GDZ14" s="54"/>
      <c r="GEA14" s="54"/>
      <c r="GEB14" s="54"/>
      <c r="GEC14" s="57"/>
      <c r="GED14" s="62"/>
      <c r="GEE14" s="63"/>
      <c r="GEF14" s="63"/>
      <c r="GEG14" s="63"/>
      <c r="GEH14" s="63"/>
      <c r="GEI14" s="63"/>
      <c r="GEJ14" s="63"/>
      <c r="GEK14" s="63"/>
      <c r="GEL14" s="63"/>
      <c r="GEM14" s="63"/>
      <c r="GEN14" s="63"/>
      <c r="GEO14" s="63"/>
      <c r="GEP14" s="54"/>
      <c r="GEQ14" s="54"/>
      <c r="GER14" s="54"/>
      <c r="GES14" s="57"/>
      <c r="GET14" s="62"/>
      <c r="GEU14" s="63"/>
      <c r="GEV14" s="63"/>
      <c r="GEW14" s="63"/>
      <c r="GEX14" s="63"/>
      <c r="GEY14" s="63"/>
      <c r="GEZ14" s="63"/>
      <c r="GFA14" s="63"/>
      <c r="GFB14" s="63"/>
      <c r="GFC14" s="63"/>
      <c r="GFD14" s="63"/>
      <c r="GFE14" s="63"/>
      <c r="GFF14" s="54"/>
      <c r="GFG14" s="54"/>
      <c r="GFH14" s="54"/>
      <c r="GFI14" s="57"/>
      <c r="GFJ14" s="62"/>
      <c r="GFK14" s="63"/>
      <c r="GFL14" s="63"/>
      <c r="GFM14" s="63"/>
      <c r="GFN14" s="63"/>
      <c r="GFO14" s="63"/>
      <c r="GFP14" s="63"/>
      <c r="GFQ14" s="63"/>
      <c r="GFR14" s="63"/>
      <c r="GFS14" s="63"/>
      <c r="GFT14" s="63"/>
      <c r="GFU14" s="63"/>
      <c r="GFV14" s="54"/>
      <c r="GFW14" s="54"/>
      <c r="GFX14" s="54"/>
      <c r="GFY14" s="57"/>
      <c r="GFZ14" s="62"/>
      <c r="GGA14" s="63"/>
      <c r="GGB14" s="63"/>
      <c r="GGC14" s="63"/>
      <c r="GGD14" s="63"/>
      <c r="GGE14" s="63"/>
      <c r="GGF14" s="63"/>
      <c r="GGG14" s="63"/>
      <c r="GGH14" s="63"/>
      <c r="GGI14" s="63"/>
      <c r="GGJ14" s="63"/>
      <c r="GGK14" s="63"/>
      <c r="GGL14" s="54"/>
      <c r="GGM14" s="54"/>
      <c r="GGN14" s="54"/>
      <c r="GGO14" s="57"/>
      <c r="GGP14" s="62"/>
      <c r="GGQ14" s="63"/>
      <c r="GGR14" s="63"/>
      <c r="GGS14" s="63"/>
      <c r="GGT14" s="63"/>
      <c r="GGU14" s="63"/>
      <c r="GGV14" s="63"/>
      <c r="GGW14" s="63"/>
      <c r="GGX14" s="63"/>
      <c r="GGY14" s="63"/>
      <c r="GGZ14" s="63"/>
      <c r="GHA14" s="63"/>
      <c r="GHB14" s="54"/>
      <c r="GHC14" s="54"/>
      <c r="GHD14" s="54"/>
      <c r="GHE14" s="57"/>
      <c r="GHF14" s="62"/>
      <c r="GHG14" s="63"/>
      <c r="GHH14" s="63"/>
      <c r="GHI14" s="63"/>
      <c r="GHJ14" s="63"/>
      <c r="GHK14" s="63"/>
      <c r="GHL14" s="63"/>
      <c r="GHM14" s="63"/>
      <c r="GHN14" s="63"/>
      <c r="GHO14" s="63"/>
      <c r="GHP14" s="63"/>
      <c r="GHQ14" s="63"/>
      <c r="GHR14" s="54"/>
      <c r="GHS14" s="54"/>
      <c r="GHT14" s="54"/>
      <c r="GHU14" s="57"/>
      <c r="GHV14" s="62"/>
      <c r="GHW14" s="63"/>
      <c r="GHX14" s="63"/>
      <c r="GHY14" s="63"/>
      <c r="GHZ14" s="63"/>
      <c r="GIA14" s="63"/>
      <c r="GIB14" s="63"/>
      <c r="GIC14" s="63"/>
      <c r="GID14" s="63"/>
      <c r="GIE14" s="63"/>
      <c r="GIF14" s="63"/>
      <c r="GIG14" s="63"/>
      <c r="GIH14" s="54"/>
      <c r="GII14" s="54"/>
      <c r="GIJ14" s="54"/>
      <c r="GIK14" s="57"/>
      <c r="GIL14" s="62"/>
      <c r="GIM14" s="63"/>
      <c r="GIN14" s="63"/>
      <c r="GIO14" s="63"/>
      <c r="GIP14" s="63"/>
      <c r="GIQ14" s="63"/>
      <c r="GIR14" s="63"/>
      <c r="GIS14" s="63"/>
      <c r="GIT14" s="63"/>
      <c r="GIU14" s="63"/>
      <c r="GIV14" s="63"/>
      <c r="GIW14" s="63"/>
      <c r="GIX14" s="54"/>
      <c r="GIY14" s="54"/>
      <c r="GIZ14" s="54"/>
      <c r="GJA14" s="57"/>
      <c r="GJB14" s="62"/>
      <c r="GJC14" s="63"/>
      <c r="GJD14" s="63"/>
      <c r="GJE14" s="63"/>
      <c r="GJF14" s="63"/>
      <c r="GJG14" s="63"/>
      <c r="GJH14" s="63"/>
      <c r="GJI14" s="63"/>
      <c r="GJJ14" s="63"/>
      <c r="GJK14" s="63"/>
      <c r="GJL14" s="63"/>
      <c r="GJM14" s="63"/>
      <c r="GJN14" s="54"/>
      <c r="GJO14" s="54"/>
      <c r="GJP14" s="54"/>
      <c r="GJQ14" s="57"/>
      <c r="GJR14" s="62"/>
      <c r="GJS14" s="63"/>
      <c r="GJT14" s="63"/>
      <c r="GJU14" s="63"/>
      <c r="GJV14" s="63"/>
      <c r="GJW14" s="63"/>
      <c r="GJX14" s="63"/>
      <c r="GJY14" s="63"/>
      <c r="GJZ14" s="63"/>
      <c r="GKA14" s="63"/>
      <c r="GKB14" s="63"/>
      <c r="GKC14" s="63"/>
      <c r="GKD14" s="54"/>
      <c r="GKE14" s="54"/>
      <c r="GKF14" s="54"/>
      <c r="GKG14" s="57"/>
      <c r="GKH14" s="62"/>
      <c r="GKI14" s="63"/>
      <c r="GKJ14" s="63"/>
      <c r="GKK14" s="63"/>
      <c r="GKL14" s="63"/>
      <c r="GKM14" s="63"/>
      <c r="GKN14" s="63"/>
      <c r="GKO14" s="63"/>
      <c r="GKP14" s="63"/>
      <c r="GKQ14" s="63"/>
      <c r="GKR14" s="63"/>
      <c r="GKS14" s="63"/>
      <c r="GKT14" s="54"/>
      <c r="GKU14" s="54"/>
      <c r="GKV14" s="54"/>
      <c r="GKW14" s="57"/>
      <c r="GKX14" s="62"/>
      <c r="GKY14" s="63"/>
      <c r="GKZ14" s="63"/>
      <c r="GLA14" s="63"/>
      <c r="GLB14" s="63"/>
      <c r="GLC14" s="63"/>
      <c r="GLD14" s="63"/>
      <c r="GLE14" s="63"/>
      <c r="GLF14" s="63"/>
      <c r="GLG14" s="63"/>
      <c r="GLH14" s="63"/>
      <c r="GLI14" s="63"/>
      <c r="GLJ14" s="54"/>
      <c r="GLK14" s="54"/>
      <c r="GLL14" s="54"/>
      <c r="GLM14" s="57"/>
      <c r="GLN14" s="62"/>
      <c r="GLO14" s="63"/>
      <c r="GLP14" s="63"/>
      <c r="GLQ14" s="63"/>
      <c r="GLR14" s="63"/>
      <c r="GLS14" s="63"/>
      <c r="GLT14" s="63"/>
      <c r="GLU14" s="63"/>
      <c r="GLV14" s="63"/>
      <c r="GLW14" s="63"/>
      <c r="GLX14" s="63"/>
      <c r="GLY14" s="63"/>
      <c r="GLZ14" s="54"/>
      <c r="GMA14" s="54"/>
      <c r="GMB14" s="54"/>
      <c r="GMC14" s="57"/>
      <c r="GMD14" s="62"/>
      <c r="GME14" s="63"/>
      <c r="GMF14" s="63"/>
      <c r="GMG14" s="63"/>
      <c r="GMH14" s="63"/>
      <c r="GMI14" s="63"/>
      <c r="GMJ14" s="63"/>
      <c r="GMK14" s="63"/>
      <c r="GML14" s="63"/>
      <c r="GMM14" s="63"/>
      <c r="GMN14" s="63"/>
      <c r="GMO14" s="63"/>
      <c r="GMP14" s="54"/>
      <c r="GMQ14" s="54"/>
      <c r="GMR14" s="54"/>
      <c r="GMS14" s="57"/>
      <c r="GMT14" s="62"/>
      <c r="GMU14" s="63"/>
      <c r="GMV14" s="63"/>
      <c r="GMW14" s="63"/>
      <c r="GMX14" s="63"/>
      <c r="GMY14" s="63"/>
      <c r="GMZ14" s="63"/>
      <c r="GNA14" s="63"/>
      <c r="GNB14" s="63"/>
      <c r="GNC14" s="63"/>
      <c r="GND14" s="63"/>
      <c r="GNE14" s="63"/>
      <c r="GNF14" s="54"/>
      <c r="GNG14" s="54"/>
      <c r="GNH14" s="54"/>
      <c r="GNI14" s="57"/>
      <c r="GNJ14" s="62"/>
      <c r="GNK14" s="63"/>
      <c r="GNL14" s="63"/>
      <c r="GNM14" s="63"/>
      <c r="GNN14" s="63"/>
      <c r="GNO14" s="63"/>
      <c r="GNP14" s="63"/>
      <c r="GNQ14" s="63"/>
      <c r="GNR14" s="63"/>
      <c r="GNS14" s="63"/>
      <c r="GNT14" s="63"/>
      <c r="GNU14" s="63"/>
      <c r="GNV14" s="54"/>
      <c r="GNW14" s="54"/>
      <c r="GNX14" s="54"/>
      <c r="GNY14" s="57"/>
      <c r="GNZ14" s="62"/>
      <c r="GOA14" s="63"/>
      <c r="GOB14" s="63"/>
      <c r="GOC14" s="63"/>
      <c r="GOD14" s="63"/>
      <c r="GOE14" s="63"/>
      <c r="GOF14" s="63"/>
      <c r="GOG14" s="63"/>
      <c r="GOH14" s="63"/>
      <c r="GOI14" s="63"/>
      <c r="GOJ14" s="63"/>
      <c r="GOK14" s="63"/>
      <c r="GOL14" s="54"/>
      <c r="GOM14" s="54"/>
      <c r="GON14" s="54"/>
      <c r="GOO14" s="57"/>
      <c r="GOP14" s="62"/>
      <c r="GOQ14" s="63"/>
      <c r="GOR14" s="63"/>
      <c r="GOS14" s="63"/>
      <c r="GOT14" s="63"/>
      <c r="GOU14" s="63"/>
      <c r="GOV14" s="63"/>
      <c r="GOW14" s="63"/>
      <c r="GOX14" s="63"/>
      <c r="GOY14" s="63"/>
      <c r="GOZ14" s="63"/>
      <c r="GPA14" s="63"/>
      <c r="GPB14" s="54"/>
      <c r="GPC14" s="54"/>
      <c r="GPD14" s="54"/>
      <c r="GPE14" s="57"/>
      <c r="GPF14" s="62"/>
      <c r="GPG14" s="63"/>
      <c r="GPH14" s="63"/>
      <c r="GPI14" s="63"/>
      <c r="GPJ14" s="63"/>
      <c r="GPK14" s="63"/>
      <c r="GPL14" s="63"/>
      <c r="GPM14" s="63"/>
      <c r="GPN14" s="63"/>
      <c r="GPO14" s="63"/>
      <c r="GPP14" s="63"/>
      <c r="GPQ14" s="63"/>
      <c r="GPR14" s="54"/>
      <c r="GPS14" s="54"/>
      <c r="GPT14" s="54"/>
      <c r="GPU14" s="57"/>
      <c r="GPV14" s="62"/>
      <c r="GPW14" s="63"/>
      <c r="GPX14" s="63"/>
      <c r="GPY14" s="63"/>
      <c r="GPZ14" s="63"/>
      <c r="GQA14" s="63"/>
      <c r="GQB14" s="63"/>
      <c r="GQC14" s="63"/>
      <c r="GQD14" s="63"/>
      <c r="GQE14" s="63"/>
      <c r="GQF14" s="63"/>
      <c r="GQG14" s="63"/>
      <c r="GQH14" s="54"/>
      <c r="GQI14" s="54"/>
      <c r="GQJ14" s="54"/>
      <c r="GQK14" s="57"/>
      <c r="GQL14" s="62"/>
      <c r="GQM14" s="63"/>
      <c r="GQN14" s="63"/>
      <c r="GQO14" s="63"/>
      <c r="GQP14" s="63"/>
      <c r="GQQ14" s="63"/>
      <c r="GQR14" s="63"/>
      <c r="GQS14" s="63"/>
      <c r="GQT14" s="63"/>
      <c r="GQU14" s="63"/>
      <c r="GQV14" s="63"/>
      <c r="GQW14" s="63"/>
      <c r="GQX14" s="54"/>
      <c r="GQY14" s="54"/>
      <c r="GQZ14" s="54"/>
      <c r="GRA14" s="57"/>
      <c r="GRB14" s="62"/>
      <c r="GRC14" s="63"/>
      <c r="GRD14" s="63"/>
      <c r="GRE14" s="63"/>
      <c r="GRF14" s="63"/>
      <c r="GRG14" s="63"/>
      <c r="GRH14" s="63"/>
      <c r="GRI14" s="63"/>
      <c r="GRJ14" s="63"/>
      <c r="GRK14" s="63"/>
      <c r="GRL14" s="63"/>
      <c r="GRM14" s="63"/>
      <c r="GRN14" s="54"/>
      <c r="GRO14" s="54"/>
      <c r="GRP14" s="54"/>
      <c r="GRQ14" s="57"/>
      <c r="GRR14" s="62"/>
      <c r="GRS14" s="63"/>
      <c r="GRT14" s="63"/>
      <c r="GRU14" s="63"/>
      <c r="GRV14" s="63"/>
      <c r="GRW14" s="63"/>
      <c r="GRX14" s="63"/>
      <c r="GRY14" s="63"/>
      <c r="GRZ14" s="63"/>
      <c r="GSA14" s="63"/>
      <c r="GSB14" s="63"/>
      <c r="GSC14" s="63"/>
      <c r="GSD14" s="54"/>
      <c r="GSE14" s="54"/>
      <c r="GSF14" s="54"/>
      <c r="GSG14" s="57"/>
      <c r="GSH14" s="62"/>
      <c r="GSI14" s="63"/>
      <c r="GSJ14" s="63"/>
      <c r="GSK14" s="63"/>
      <c r="GSL14" s="63"/>
      <c r="GSM14" s="63"/>
      <c r="GSN14" s="63"/>
      <c r="GSO14" s="63"/>
      <c r="GSP14" s="63"/>
      <c r="GSQ14" s="63"/>
      <c r="GSR14" s="63"/>
      <c r="GSS14" s="63"/>
      <c r="GST14" s="54"/>
      <c r="GSU14" s="54"/>
      <c r="GSV14" s="54"/>
      <c r="GSW14" s="57"/>
      <c r="GSX14" s="62"/>
      <c r="GSY14" s="63"/>
      <c r="GSZ14" s="63"/>
      <c r="GTA14" s="63"/>
      <c r="GTB14" s="63"/>
      <c r="GTC14" s="63"/>
      <c r="GTD14" s="63"/>
      <c r="GTE14" s="63"/>
      <c r="GTF14" s="63"/>
      <c r="GTG14" s="63"/>
      <c r="GTH14" s="63"/>
      <c r="GTI14" s="63"/>
      <c r="GTJ14" s="54"/>
      <c r="GTK14" s="54"/>
      <c r="GTL14" s="54"/>
      <c r="GTM14" s="57"/>
      <c r="GTN14" s="62"/>
      <c r="GTO14" s="63"/>
      <c r="GTP14" s="63"/>
      <c r="GTQ14" s="63"/>
      <c r="GTR14" s="63"/>
      <c r="GTS14" s="63"/>
      <c r="GTT14" s="63"/>
      <c r="GTU14" s="63"/>
      <c r="GTV14" s="63"/>
      <c r="GTW14" s="63"/>
      <c r="GTX14" s="63"/>
      <c r="GTY14" s="63"/>
      <c r="GTZ14" s="54"/>
      <c r="GUA14" s="54"/>
      <c r="GUB14" s="54"/>
      <c r="GUC14" s="57"/>
      <c r="GUD14" s="62"/>
      <c r="GUE14" s="63"/>
      <c r="GUF14" s="63"/>
      <c r="GUG14" s="63"/>
      <c r="GUH14" s="63"/>
      <c r="GUI14" s="63"/>
      <c r="GUJ14" s="63"/>
      <c r="GUK14" s="63"/>
      <c r="GUL14" s="63"/>
      <c r="GUM14" s="63"/>
      <c r="GUN14" s="63"/>
      <c r="GUO14" s="63"/>
      <c r="GUP14" s="54"/>
      <c r="GUQ14" s="54"/>
      <c r="GUR14" s="54"/>
      <c r="GUS14" s="57"/>
      <c r="GUT14" s="62"/>
      <c r="GUU14" s="63"/>
      <c r="GUV14" s="63"/>
      <c r="GUW14" s="63"/>
      <c r="GUX14" s="63"/>
      <c r="GUY14" s="63"/>
      <c r="GUZ14" s="63"/>
      <c r="GVA14" s="63"/>
      <c r="GVB14" s="63"/>
      <c r="GVC14" s="63"/>
      <c r="GVD14" s="63"/>
      <c r="GVE14" s="63"/>
      <c r="GVF14" s="54"/>
      <c r="GVG14" s="54"/>
      <c r="GVH14" s="54"/>
      <c r="GVI14" s="57"/>
      <c r="GVJ14" s="62"/>
      <c r="GVK14" s="63"/>
      <c r="GVL14" s="63"/>
      <c r="GVM14" s="63"/>
      <c r="GVN14" s="63"/>
      <c r="GVO14" s="63"/>
      <c r="GVP14" s="63"/>
      <c r="GVQ14" s="63"/>
      <c r="GVR14" s="63"/>
      <c r="GVS14" s="63"/>
      <c r="GVT14" s="63"/>
      <c r="GVU14" s="63"/>
      <c r="GVV14" s="54"/>
      <c r="GVW14" s="54"/>
      <c r="GVX14" s="54"/>
      <c r="GVY14" s="57"/>
      <c r="GVZ14" s="62"/>
      <c r="GWA14" s="63"/>
      <c r="GWB14" s="63"/>
      <c r="GWC14" s="63"/>
      <c r="GWD14" s="63"/>
      <c r="GWE14" s="63"/>
      <c r="GWF14" s="63"/>
      <c r="GWG14" s="63"/>
      <c r="GWH14" s="63"/>
      <c r="GWI14" s="63"/>
      <c r="GWJ14" s="63"/>
      <c r="GWK14" s="63"/>
      <c r="GWL14" s="54"/>
      <c r="GWM14" s="54"/>
      <c r="GWN14" s="54"/>
      <c r="GWO14" s="57"/>
      <c r="GWP14" s="62"/>
      <c r="GWQ14" s="63"/>
      <c r="GWR14" s="63"/>
      <c r="GWS14" s="63"/>
      <c r="GWT14" s="63"/>
      <c r="GWU14" s="63"/>
      <c r="GWV14" s="63"/>
      <c r="GWW14" s="63"/>
      <c r="GWX14" s="63"/>
      <c r="GWY14" s="63"/>
      <c r="GWZ14" s="63"/>
      <c r="GXA14" s="63"/>
      <c r="GXB14" s="54"/>
      <c r="GXC14" s="54"/>
      <c r="GXD14" s="54"/>
      <c r="GXE14" s="57"/>
      <c r="GXF14" s="62"/>
      <c r="GXG14" s="63"/>
      <c r="GXH14" s="63"/>
      <c r="GXI14" s="63"/>
      <c r="GXJ14" s="63"/>
      <c r="GXK14" s="63"/>
      <c r="GXL14" s="63"/>
      <c r="GXM14" s="63"/>
      <c r="GXN14" s="63"/>
      <c r="GXO14" s="63"/>
      <c r="GXP14" s="63"/>
      <c r="GXQ14" s="63"/>
      <c r="GXR14" s="54"/>
      <c r="GXS14" s="54"/>
      <c r="GXT14" s="54"/>
      <c r="GXU14" s="57"/>
      <c r="GXV14" s="62"/>
      <c r="GXW14" s="63"/>
      <c r="GXX14" s="63"/>
      <c r="GXY14" s="63"/>
      <c r="GXZ14" s="63"/>
      <c r="GYA14" s="63"/>
      <c r="GYB14" s="63"/>
      <c r="GYC14" s="63"/>
      <c r="GYD14" s="63"/>
      <c r="GYE14" s="63"/>
      <c r="GYF14" s="63"/>
      <c r="GYG14" s="63"/>
      <c r="GYH14" s="54"/>
      <c r="GYI14" s="54"/>
      <c r="GYJ14" s="54"/>
      <c r="GYK14" s="57"/>
      <c r="GYL14" s="62"/>
      <c r="GYM14" s="63"/>
      <c r="GYN14" s="63"/>
      <c r="GYO14" s="63"/>
      <c r="GYP14" s="63"/>
      <c r="GYQ14" s="63"/>
      <c r="GYR14" s="63"/>
      <c r="GYS14" s="63"/>
      <c r="GYT14" s="63"/>
      <c r="GYU14" s="63"/>
      <c r="GYV14" s="63"/>
      <c r="GYW14" s="63"/>
      <c r="GYX14" s="54"/>
      <c r="GYY14" s="54"/>
      <c r="GYZ14" s="54"/>
      <c r="GZA14" s="57"/>
      <c r="GZB14" s="62"/>
      <c r="GZC14" s="63"/>
      <c r="GZD14" s="63"/>
      <c r="GZE14" s="63"/>
      <c r="GZF14" s="63"/>
      <c r="GZG14" s="63"/>
      <c r="GZH14" s="63"/>
      <c r="GZI14" s="63"/>
      <c r="GZJ14" s="63"/>
      <c r="GZK14" s="63"/>
      <c r="GZL14" s="63"/>
      <c r="GZM14" s="63"/>
      <c r="GZN14" s="54"/>
      <c r="GZO14" s="54"/>
      <c r="GZP14" s="54"/>
      <c r="GZQ14" s="57"/>
      <c r="GZR14" s="62"/>
      <c r="GZS14" s="63"/>
      <c r="GZT14" s="63"/>
      <c r="GZU14" s="63"/>
      <c r="GZV14" s="63"/>
      <c r="GZW14" s="63"/>
      <c r="GZX14" s="63"/>
      <c r="GZY14" s="63"/>
      <c r="GZZ14" s="63"/>
      <c r="HAA14" s="63"/>
      <c r="HAB14" s="63"/>
      <c r="HAC14" s="63"/>
      <c r="HAD14" s="54"/>
      <c r="HAE14" s="54"/>
      <c r="HAF14" s="54"/>
      <c r="HAG14" s="57"/>
      <c r="HAH14" s="62"/>
      <c r="HAI14" s="63"/>
      <c r="HAJ14" s="63"/>
      <c r="HAK14" s="63"/>
      <c r="HAL14" s="63"/>
      <c r="HAM14" s="63"/>
      <c r="HAN14" s="63"/>
      <c r="HAO14" s="63"/>
      <c r="HAP14" s="63"/>
      <c r="HAQ14" s="63"/>
      <c r="HAR14" s="63"/>
      <c r="HAS14" s="63"/>
      <c r="HAT14" s="54"/>
      <c r="HAU14" s="54"/>
      <c r="HAV14" s="54"/>
      <c r="HAW14" s="57"/>
      <c r="HAX14" s="62"/>
      <c r="HAY14" s="63"/>
      <c r="HAZ14" s="63"/>
      <c r="HBA14" s="63"/>
      <c r="HBB14" s="63"/>
      <c r="HBC14" s="63"/>
      <c r="HBD14" s="63"/>
      <c r="HBE14" s="63"/>
      <c r="HBF14" s="63"/>
      <c r="HBG14" s="63"/>
      <c r="HBH14" s="63"/>
      <c r="HBI14" s="63"/>
      <c r="HBJ14" s="54"/>
      <c r="HBK14" s="54"/>
      <c r="HBL14" s="54"/>
      <c r="HBM14" s="57"/>
      <c r="HBN14" s="62"/>
      <c r="HBO14" s="63"/>
      <c r="HBP14" s="63"/>
      <c r="HBQ14" s="63"/>
      <c r="HBR14" s="63"/>
      <c r="HBS14" s="63"/>
      <c r="HBT14" s="63"/>
      <c r="HBU14" s="63"/>
      <c r="HBV14" s="63"/>
      <c r="HBW14" s="63"/>
      <c r="HBX14" s="63"/>
      <c r="HBY14" s="63"/>
      <c r="HBZ14" s="54"/>
      <c r="HCA14" s="54"/>
      <c r="HCB14" s="54"/>
      <c r="HCC14" s="57"/>
      <c r="HCD14" s="62"/>
      <c r="HCE14" s="63"/>
      <c r="HCF14" s="63"/>
      <c r="HCG14" s="63"/>
      <c r="HCH14" s="63"/>
      <c r="HCI14" s="63"/>
      <c r="HCJ14" s="63"/>
      <c r="HCK14" s="63"/>
      <c r="HCL14" s="63"/>
      <c r="HCM14" s="63"/>
      <c r="HCN14" s="63"/>
      <c r="HCO14" s="63"/>
      <c r="HCP14" s="54"/>
      <c r="HCQ14" s="54"/>
      <c r="HCR14" s="54"/>
      <c r="HCS14" s="57"/>
      <c r="HCT14" s="62"/>
      <c r="HCU14" s="63"/>
      <c r="HCV14" s="63"/>
      <c r="HCW14" s="63"/>
      <c r="HCX14" s="63"/>
      <c r="HCY14" s="63"/>
      <c r="HCZ14" s="63"/>
      <c r="HDA14" s="63"/>
      <c r="HDB14" s="63"/>
      <c r="HDC14" s="63"/>
      <c r="HDD14" s="63"/>
      <c r="HDE14" s="63"/>
      <c r="HDF14" s="54"/>
      <c r="HDG14" s="54"/>
      <c r="HDH14" s="54"/>
      <c r="HDI14" s="57"/>
      <c r="HDJ14" s="62"/>
      <c r="HDK14" s="63"/>
      <c r="HDL14" s="63"/>
      <c r="HDM14" s="63"/>
      <c r="HDN14" s="63"/>
      <c r="HDO14" s="63"/>
      <c r="HDP14" s="63"/>
      <c r="HDQ14" s="63"/>
      <c r="HDR14" s="63"/>
      <c r="HDS14" s="63"/>
      <c r="HDT14" s="63"/>
      <c r="HDU14" s="63"/>
      <c r="HDV14" s="54"/>
      <c r="HDW14" s="54"/>
      <c r="HDX14" s="54"/>
      <c r="HDY14" s="57"/>
      <c r="HDZ14" s="62"/>
      <c r="HEA14" s="63"/>
      <c r="HEB14" s="63"/>
      <c r="HEC14" s="63"/>
      <c r="HED14" s="63"/>
      <c r="HEE14" s="63"/>
      <c r="HEF14" s="63"/>
      <c r="HEG14" s="63"/>
      <c r="HEH14" s="63"/>
      <c r="HEI14" s="63"/>
      <c r="HEJ14" s="63"/>
      <c r="HEK14" s="63"/>
      <c r="HEL14" s="54"/>
      <c r="HEM14" s="54"/>
      <c r="HEN14" s="54"/>
      <c r="HEO14" s="57"/>
      <c r="HEP14" s="62"/>
      <c r="HEQ14" s="63"/>
      <c r="HER14" s="63"/>
      <c r="HES14" s="63"/>
      <c r="HET14" s="63"/>
      <c r="HEU14" s="63"/>
      <c r="HEV14" s="63"/>
      <c r="HEW14" s="63"/>
      <c r="HEX14" s="63"/>
      <c r="HEY14" s="63"/>
      <c r="HEZ14" s="63"/>
      <c r="HFA14" s="63"/>
      <c r="HFB14" s="54"/>
      <c r="HFC14" s="54"/>
      <c r="HFD14" s="54"/>
      <c r="HFE14" s="57"/>
      <c r="HFF14" s="62"/>
      <c r="HFG14" s="63"/>
      <c r="HFH14" s="63"/>
      <c r="HFI14" s="63"/>
      <c r="HFJ14" s="63"/>
      <c r="HFK14" s="63"/>
      <c r="HFL14" s="63"/>
      <c r="HFM14" s="63"/>
      <c r="HFN14" s="63"/>
      <c r="HFO14" s="63"/>
      <c r="HFP14" s="63"/>
      <c r="HFQ14" s="63"/>
      <c r="HFR14" s="54"/>
      <c r="HFS14" s="54"/>
      <c r="HFT14" s="54"/>
      <c r="HFU14" s="57"/>
      <c r="HFV14" s="62"/>
      <c r="HFW14" s="63"/>
      <c r="HFX14" s="63"/>
      <c r="HFY14" s="63"/>
      <c r="HFZ14" s="63"/>
      <c r="HGA14" s="63"/>
      <c r="HGB14" s="63"/>
      <c r="HGC14" s="63"/>
      <c r="HGD14" s="63"/>
      <c r="HGE14" s="63"/>
      <c r="HGF14" s="63"/>
      <c r="HGG14" s="63"/>
      <c r="HGH14" s="54"/>
      <c r="HGI14" s="54"/>
      <c r="HGJ14" s="54"/>
      <c r="HGK14" s="57"/>
      <c r="HGL14" s="62"/>
      <c r="HGM14" s="63"/>
      <c r="HGN14" s="63"/>
      <c r="HGO14" s="63"/>
      <c r="HGP14" s="63"/>
      <c r="HGQ14" s="63"/>
      <c r="HGR14" s="63"/>
      <c r="HGS14" s="63"/>
      <c r="HGT14" s="63"/>
      <c r="HGU14" s="63"/>
      <c r="HGV14" s="63"/>
      <c r="HGW14" s="63"/>
      <c r="HGX14" s="54"/>
      <c r="HGY14" s="54"/>
      <c r="HGZ14" s="54"/>
      <c r="HHA14" s="57"/>
      <c r="HHB14" s="62"/>
      <c r="HHC14" s="63"/>
      <c r="HHD14" s="63"/>
      <c r="HHE14" s="63"/>
      <c r="HHF14" s="63"/>
      <c r="HHG14" s="63"/>
      <c r="HHH14" s="63"/>
      <c r="HHI14" s="63"/>
      <c r="HHJ14" s="63"/>
      <c r="HHK14" s="63"/>
      <c r="HHL14" s="63"/>
      <c r="HHM14" s="63"/>
      <c r="HHN14" s="54"/>
      <c r="HHO14" s="54"/>
      <c r="HHP14" s="54"/>
      <c r="HHQ14" s="57"/>
      <c r="HHR14" s="62"/>
      <c r="HHS14" s="63"/>
      <c r="HHT14" s="63"/>
      <c r="HHU14" s="63"/>
      <c r="HHV14" s="63"/>
      <c r="HHW14" s="63"/>
      <c r="HHX14" s="63"/>
      <c r="HHY14" s="63"/>
      <c r="HHZ14" s="63"/>
      <c r="HIA14" s="63"/>
      <c r="HIB14" s="63"/>
      <c r="HIC14" s="63"/>
      <c r="HID14" s="54"/>
      <c r="HIE14" s="54"/>
      <c r="HIF14" s="54"/>
      <c r="HIG14" s="57"/>
      <c r="HIH14" s="62"/>
      <c r="HII14" s="63"/>
      <c r="HIJ14" s="63"/>
      <c r="HIK14" s="63"/>
      <c r="HIL14" s="63"/>
      <c r="HIM14" s="63"/>
      <c r="HIN14" s="63"/>
      <c r="HIO14" s="63"/>
      <c r="HIP14" s="63"/>
      <c r="HIQ14" s="63"/>
      <c r="HIR14" s="63"/>
      <c r="HIS14" s="63"/>
      <c r="HIT14" s="54"/>
      <c r="HIU14" s="54"/>
      <c r="HIV14" s="54"/>
      <c r="HIW14" s="57"/>
      <c r="HIX14" s="62"/>
      <c r="HIY14" s="63"/>
      <c r="HIZ14" s="63"/>
      <c r="HJA14" s="63"/>
      <c r="HJB14" s="63"/>
      <c r="HJC14" s="63"/>
      <c r="HJD14" s="63"/>
      <c r="HJE14" s="63"/>
      <c r="HJF14" s="63"/>
      <c r="HJG14" s="63"/>
      <c r="HJH14" s="63"/>
      <c r="HJI14" s="63"/>
      <c r="HJJ14" s="54"/>
      <c r="HJK14" s="54"/>
      <c r="HJL14" s="54"/>
      <c r="HJM14" s="57"/>
      <c r="HJN14" s="62"/>
      <c r="HJO14" s="63"/>
      <c r="HJP14" s="63"/>
      <c r="HJQ14" s="63"/>
      <c r="HJR14" s="63"/>
      <c r="HJS14" s="63"/>
      <c r="HJT14" s="63"/>
      <c r="HJU14" s="63"/>
      <c r="HJV14" s="63"/>
      <c r="HJW14" s="63"/>
      <c r="HJX14" s="63"/>
      <c r="HJY14" s="63"/>
      <c r="HJZ14" s="54"/>
      <c r="HKA14" s="54"/>
      <c r="HKB14" s="54"/>
      <c r="HKC14" s="57"/>
      <c r="HKD14" s="62"/>
      <c r="HKE14" s="63"/>
      <c r="HKF14" s="63"/>
      <c r="HKG14" s="63"/>
      <c r="HKH14" s="63"/>
      <c r="HKI14" s="63"/>
      <c r="HKJ14" s="63"/>
      <c r="HKK14" s="63"/>
      <c r="HKL14" s="63"/>
      <c r="HKM14" s="63"/>
      <c r="HKN14" s="63"/>
      <c r="HKO14" s="63"/>
      <c r="HKP14" s="54"/>
      <c r="HKQ14" s="54"/>
      <c r="HKR14" s="54"/>
      <c r="HKS14" s="57"/>
      <c r="HKT14" s="62"/>
      <c r="HKU14" s="63"/>
      <c r="HKV14" s="63"/>
      <c r="HKW14" s="63"/>
      <c r="HKX14" s="63"/>
      <c r="HKY14" s="63"/>
      <c r="HKZ14" s="63"/>
      <c r="HLA14" s="63"/>
      <c r="HLB14" s="63"/>
      <c r="HLC14" s="63"/>
      <c r="HLD14" s="63"/>
      <c r="HLE14" s="63"/>
      <c r="HLF14" s="54"/>
      <c r="HLG14" s="54"/>
      <c r="HLH14" s="54"/>
      <c r="HLI14" s="57"/>
      <c r="HLJ14" s="62"/>
      <c r="HLK14" s="63"/>
      <c r="HLL14" s="63"/>
      <c r="HLM14" s="63"/>
      <c r="HLN14" s="63"/>
      <c r="HLO14" s="63"/>
      <c r="HLP14" s="63"/>
      <c r="HLQ14" s="63"/>
      <c r="HLR14" s="63"/>
      <c r="HLS14" s="63"/>
      <c r="HLT14" s="63"/>
      <c r="HLU14" s="63"/>
      <c r="HLV14" s="54"/>
      <c r="HLW14" s="54"/>
      <c r="HLX14" s="54"/>
      <c r="HLY14" s="57"/>
      <c r="HLZ14" s="62"/>
      <c r="HMA14" s="63"/>
      <c r="HMB14" s="63"/>
      <c r="HMC14" s="63"/>
      <c r="HMD14" s="63"/>
      <c r="HME14" s="63"/>
      <c r="HMF14" s="63"/>
      <c r="HMG14" s="63"/>
      <c r="HMH14" s="63"/>
      <c r="HMI14" s="63"/>
      <c r="HMJ14" s="63"/>
      <c r="HMK14" s="63"/>
      <c r="HML14" s="54"/>
      <c r="HMM14" s="54"/>
      <c r="HMN14" s="54"/>
      <c r="HMO14" s="57"/>
      <c r="HMP14" s="62"/>
      <c r="HMQ14" s="63"/>
      <c r="HMR14" s="63"/>
      <c r="HMS14" s="63"/>
      <c r="HMT14" s="63"/>
      <c r="HMU14" s="63"/>
      <c r="HMV14" s="63"/>
      <c r="HMW14" s="63"/>
      <c r="HMX14" s="63"/>
      <c r="HMY14" s="63"/>
      <c r="HMZ14" s="63"/>
      <c r="HNA14" s="63"/>
      <c r="HNB14" s="54"/>
      <c r="HNC14" s="54"/>
      <c r="HND14" s="54"/>
      <c r="HNE14" s="57"/>
      <c r="HNF14" s="62"/>
      <c r="HNG14" s="63"/>
      <c r="HNH14" s="63"/>
      <c r="HNI14" s="63"/>
      <c r="HNJ14" s="63"/>
      <c r="HNK14" s="63"/>
      <c r="HNL14" s="63"/>
      <c r="HNM14" s="63"/>
      <c r="HNN14" s="63"/>
      <c r="HNO14" s="63"/>
      <c r="HNP14" s="63"/>
      <c r="HNQ14" s="63"/>
      <c r="HNR14" s="54"/>
      <c r="HNS14" s="54"/>
      <c r="HNT14" s="54"/>
      <c r="HNU14" s="57"/>
      <c r="HNV14" s="62"/>
      <c r="HNW14" s="63"/>
      <c r="HNX14" s="63"/>
      <c r="HNY14" s="63"/>
      <c r="HNZ14" s="63"/>
      <c r="HOA14" s="63"/>
      <c r="HOB14" s="63"/>
      <c r="HOC14" s="63"/>
      <c r="HOD14" s="63"/>
      <c r="HOE14" s="63"/>
      <c r="HOF14" s="63"/>
      <c r="HOG14" s="63"/>
      <c r="HOH14" s="54"/>
      <c r="HOI14" s="54"/>
      <c r="HOJ14" s="54"/>
      <c r="HOK14" s="57"/>
      <c r="HOL14" s="62"/>
      <c r="HOM14" s="63"/>
      <c r="HON14" s="63"/>
      <c r="HOO14" s="63"/>
      <c r="HOP14" s="63"/>
      <c r="HOQ14" s="63"/>
      <c r="HOR14" s="63"/>
      <c r="HOS14" s="63"/>
      <c r="HOT14" s="63"/>
      <c r="HOU14" s="63"/>
      <c r="HOV14" s="63"/>
      <c r="HOW14" s="63"/>
      <c r="HOX14" s="54"/>
      <c r="HOY14" s="54"/>
      <c r="HOZ14" s="54"/>
      <c r="HPA14" s="57"/>
      <c r="HPB14" s="62"/>
      <c r="HPC14" s="63"/>
      <c r="HPD14" s="63"/>
      <c r="HPE14" s="63"/>
      <c r="HPF14" s="63"/>
      <c r="HPG14" s="63"/>
      <c r="HPH14" s="63"/>
      <c r="HPI14" s="63"/>
      <c r="HPJ14" s="63"/>
      <c r="HPK14" s="63"/>
      <c r="HPL14" s="63"/>
      <c r="HPM14" s="63"/>
      <c r="HPN14" s="54"/>
      <c r="HPO14" s="54"/>
      <c r="HPP14" s="54"/>
      <c r="HPQ14" s="57"/>
      <c r="HPR14" s="62"/>
      <c r="HPS14" s="63"/>
      <c r="HPT14" s="63"/>
      <c r="HPU14" s="63"/>
      <c r="HPV14" s="63"/>
      <c r="HPW14" s="63"/>
      <c r="HPX14" s="63"/>
      <c r="HPY14" s="63"/>
      <c r="HPZ14" s="63"/>
      <c r="HQA14" s="63"/>
      <c r="HQB14" s="63"/>
      <c r="HQC14" s="63"/>
      <c r="HQD14" s="54"/>
      <c r="HQE14" s="54"/>
      <c r="HQF14" s="54"/>
      <c r="HQG14" s="57"/>
      <c r="HQH14" s="62"/>
      <c r="HQI14" s="63"/>
      <c r="HQJ14" s="63"/>
      <c r="HQK14" s="63"/>
      <c r="HQL14" s="63"/>
      <c r="HQM14" s="63"/>
      <c r="HQN14" s="63"/>
      <c r="HQO14" s="63"/>
      <c r="HQP14" s="63"/>
      <c r="HQQ14" s="63"/>
      <c r="HQR14" s="63"/>
      <c r="HQS14" s="63"/>
      <c r="HQT14" s="54"/>
      <c r="HQU14" s="54"/>
      <c r="HQV14" s="54"/>
      <c r="HQW14" s="57"/>
      <c r="HQX14" s="62"/>
      <c r="HQY14" s="63"/>
      <c r="HQZ14" s="63"/>
      <c r="HRA14" s="63"/>
      <c r="HRB14" s="63"/>
      <c r="HRC14" s="63"/>
      <c r="HRD14" s="63"/>
      <c r="HRE14" s="63"/>
      <c r="HRF14" s="63"/>
      <c r="HRG14" s="63"/>
      <c r="HRH14" s="63"/>
      <c r="HRI14" s="63"/>
      <c r="HRJ14" s="54"/>
      <c r="HRK14" s="54"/>
      <c r="HRL14" s="54"/>
      <c r="HRM14" s="57"/>
      <c r="HRN14" s="62"/>
      <c r="HRO14" s="63"/>
      <c r="HRP14" s="63"/>
      <c r="HRQ14" s="63"/>
      <c r="HRR14" s="63"/>
      <c r="HRS14" s="63"/>
      <c r="HRT14" s="63"/>
      <c r="HRU14" s="63"/>
      <c r="HRV14" s="63"/>
      <c r="HRW14" s="63"/>
      <c r="HRX14" s="63"/>
      <c r="HRY14" s="63"/>
      <c r="HRZ14" s="54"/>
      <c r="HSA14" s="54"/>
      <c r="HSB14" s="54"/>
      <c r="HSC14" s="57"/>
      <c r="HSD14" s="62"/>
      <c r="HSE14" s="63"/>
      <c r="HSF14" s="63"/>
      <c r="HSG14" s="63"/>
      <c r="HSH14" s="63"/>
      <c r="HSI14" s="63"/>
      <c r="HSJ14" s="63"/>
      <c r="HSK14" s="63"/>
      <c r="HSL14" s="63"/>
      <c r="HSM14" s="63"/>
      <c r="HSN14" s="63"/>
      <c r="HSO14" s="63"/>
      <c r="HSP14" s="54"/>
      <c r="HSQ14" s="54"/>
      <c r="HSR14" s="54"/>
      <c r="HSS14" s="57"/>
      <c r="HST14" s="62"/>
      <c r="HSU14" s="63"/>
      <c r="HSV14" s="63"/>
      <c r="HSW14" s="63"/>
      <c r="HSX14" s="63"/>
      <c r="HSY14" s="63"/>
      <c r="HSZ14" s="63"/>
      <c r="HTA14" s="63"/>
      <c r="HTB14" s="63"/>
      <c r="HTC14" s="63"/>
      <c r="HTD14" s="63"/>
      <c r="HTE14" s="63"/>
      <c r="HTF14" s="54"/>
      <c r="HTG14" s="54"/>
      <c r="HTH14" s="54"/>
      <c r="HTI14" s="57"/>
      <c r="HTJ14" s="62"/>
      <c r="HTK14" s="63"/>
      <c r="HTL14" s="63"/>
      <c r="HTM14" s="63"/>
      <c r="HTN14" s="63"/>
      <c r="HTO14" s="63"/>
      <c r="HTP14" s="63"/>
      <c r="HTQ14" s="63"/>
      <c r="HTR14" s="63"/>
      <c r="HTS14" s="63"/>
      <c r="HTT14" s="63"/>
      <c r="HTU14" s="63"/>
      <c r="HTV14" s="54"/>
      <c r="HTW14" s="54"/>
      <c r="HTX14" s="54"/>
      <c r="HTY14" s="57"/>
      <c r="HTZ14" s="62"/>
      <c r="HUA14" s="63"/>
      <c r="HUB14" s="63"/>
      <c r="HUC14" s="63"/>
      <c r="HUD14" s="63"/>
      <c r="HUE14" s="63"/>
      <c r="HUF14" s="63"/>
      <c r="HUG14" s="63"/>
      <c r="HUH14" s="63"/>
      <c r="HUI14" s="63"/>
      <c r="HUJ14" s="63"/>
      <c r="HUK14" s="63"/>
      <c r="HUL14" s="54"/>
      <c r="HUM14" s="54"/>
      <c r="HUN14" s="54"/>
      <c r="HUO14" s="57"/>
      <c r="HUP14" s="62"/>
      <c r="HUQ14" s="63"/>
      <c r="HUR14" s="63"/>
      <c r="HUS14" s="63"/>
      <c r="HUT14" s="63"/>
      <c r="HUU14" s="63"/>
      <c r="HUV14" s="63"/>
      <c r="HUW14" s="63"/>
      <c r="HUX14" s="63"/>
      <c r="HUY14" s="63"/>
      <c r="HUZ14" s="63"/>
      <c r="HVA14" s="63"/>
      <c r="HVB14" s="54"/>
      <c r="HVC14" s="54"/>
      <c r="HVD14" s="54"/>
      <c r="HVE14" s="57"/>
      <c r="HVF14" s="62"/>
      <c r="HVG14" s="63"/>
      <c r="HVH14" s="63"/>
      <c r="HVI14" s="63"/>
      <c r="HVJ14" s="63"/>
      <c r="HVK14" s="63"/>
      <c r="HVL14" s="63"/>
      <c r="HVM14" s="63"/>
      <c r="HVN14" s="63"/>
      <c r="HVO14" s="63"/>
      <c r="HVP14" s="63"/>
      <c r="HVQ14" s="63"/>
      <c r="HVR14" s="54"/>
      <c r="HVS14" s="54"/>
      <c r="HVT14" s="54"/>
      <c r="HVU14" s="57"/>
      <c r="HVV14" s="62"/>
      <c r="HVW14" s="63"/>
      <c r="HVX14" s="63"/>
      <c r="HVY14" s="63"/>
      <c r="HVZ14" s="63"/>
      <c r="HWA14" s="63"/>
      <c r="HWB14" s="63"/>
      <c r="HWC14" s="63"/>
      <c r="HWD14" s="63"/>
      <c r="HWE14" s="63"/>
      <c r="HWF14" s="63"/>
      <c r="HWG14" s="63"/>
      <c r="HWH14" s="54"/>
      <c r="HWI14" s="54"/>
      <c r="HWJ14" s="54"/>
      <c r="HWK14" s="57"/>
      <c r="HWL14" s="62"/>
      <c r="HWM14" s="63"/>
      <c r="HWN14" s="63"/>
      <c r="HWO14" s="63"/>
      <c r="HWP14" s="63"/>
      <c r="HWQ14" s="63"/>
      <c r="HWR14" s="63"/>
      <c r="HWS14" s="63"/>
      <c r="HWT14" s="63"/>
      <c r="HWU14" s="63"/>
      <c r="HWV14" s="63"/>
      <c r="HWW14" s="63"/>
      <c r="HWX14" s="54"/>
      <c r="HWY14" s="54"/>
      <c r="HWZ14" s="54"/>
      <c r="HXA14" s="57"/>
      <c r="HXB14" s="62"/>
      <c r="HXC14" s="63"/>
      <c r="HXD14" s="63"/>
      <c r="HXE14" s="63"/>
      <c r="HXF14" s="63"/>
      <c r="HXG14" s="63"/>
      <c r="HXH14" s="63"/>
      <c r="HXI14" s="63"/>
      <c r="HXJ14" s="63"/>
      <c r="HXK14" s="63"/>
      <c r="HXL14" s="63"/>
      <c r="HXM14" s="63"/>
      <c r="HXN14" s="54"/>
      <c r="HXO14" s="54"/>
      <c r="HXP14" s="54"/>
      <c r="HXQ14" s="57"/>
      <c r="HXR14" s="62"/>
      <c r="HXS14" s="63"/>
      <c r="HXT14" s="63"/>
      <c r="HXU14" s="63"/>
      <c r="HXV14" s="63"/>
      <c r="HXW14" s="63"/>
      <c r="HXX14" s="63"/>
      <c r="HXY14" s="63"/>
      <c r="HXZ14" s="63"/>
      <c r="HYA14" s="63"/>
      <c r="HYB14" s="63"/>
      <c r="HYC14" s="63"/>
      <c r="HYD14" s="54"/>
      <c r="HYE14" s="54"/>
      <c r="HYF14" s="54"/>
      <c r="HYG14" s="57"/>
      <c r="HYH14" s="62"/>
      <c r="HYI14" s="63"/>
      <c r="HYJ14" s="63"/>
      <c r="HYK14" s="63"/>
      <c r="HYL14" s="63"/>
      <c r="HYM14" s="63"/>
      <c r="HYN14" s="63"/>
      <c r="HYO14" s="63"/>
      <c r="HYP14" s="63"/>
      <c r="HYQ14" s="63"/>
      <c r="HYR14" s="63"/>
      <c r="HYS14" s="63"/>
      <c r="HYT14" s="54"/>
      <c r="HYU14" s="54"/>
      <c r="HYV14" s="54"/>
      <c r="HYW14" s="57"/>
      <c r="HYX14" s="62"/>
      <c r="HYY14" s="63"/>
      <c r="HYZ14" s="63"/>
      <c r="HZA14" s="63"/>
      <c r="HZB14" s="63"/>
      <c r="HZC14" s="63"/>
      <c r="HZD14" s="63"/>
      <c r="HZE14" s="63"/>
      <c r="HZF14" s="63"/>
      <c r="HZG14" s="63"/>
      <c r="HZH14" s="63"/>
      <c r="HZI14" s="63"/>
      <c r="HZJ14" s="54"/>
      <c r="HZK14" s="54"/>
      <c r="HZL14" s="54"/>
      <c r="HZM14" s="57"/>
      <c r="HZN14" s="62"/>
      <c r="HZO14" s="63"/>
      <c r="HZP14" s="63"/>
      <c r="HZQ14" s="63"/>
      <c r="HZR14" s="63"/>
      <c r="HZS14" s="63"/>
      <c r="HZT14" s="63"/>
      <c r="HZU14" s="63"/>
      <c r="HZV14" s="63"/>
      <c r="HZW14" s="63"/>
      <c r="HZX14" s="63"/>
      <c r="HZY14" s="63"/>
      <c r="HZZ14" s="54"/>
      <c r="IAA14" s="54"/>
      <c r="IAB14" s="54"/>
      <c r="IAC14" s="57"/>
      <c r="IAD14" s="62"/>
      <c r="IAE14" s="63"/>
      <c r="IAF14" s="63"/>
      <c r="IAG14" s="63"/>
      <c r="IAH14" s="63"/>
      <c r="IAI14" s="63"/>
      <c r="IAJ14" s="63"/>
      <c r="IAK14" s="63"/>
      <c r="IAL14" s="63"/>
      <c r="IAM14" s="63"/>
      <c r="IAN14" s="63"/>
      <c r="IAO14" s="63"/>
      <c r="IAP14" s="54"/>
      <c r="IAQ14" s="54"/>
      <c r="IAR14" s="54"/>
      <c r="IAS14" s="57"/>
      <c r="IAT14" s="62"/>
      <c r="IAU14" s="63"/>
      <c r="IAV14" s="63"/>
      <c r="IAW14" s="63"/>
      <c r="IAX14" s="63"/>
      <c r="IAY14" s="63"/>
      <c r="IAZ14" s="63"/>
      <c r="IBA14" s="63"/>
      <c r="IBB14" s="63"/>
      <c r="IBC14" s="63"/>
      <c r="IBD14" s="63"/>
      <c r="IBE14" s="63"/>
      <c r="IBF14" s="54"/>
      <c r="IBG14" s="54"/>
      <c r="IBH14" s="54"/>
      <c r="IBI14" s="57"/>
      <c r="IBJ14" s="62"/>
      <c r="IBK14" s="63"/>
      <c r="IBL14" s="63"/>
      <c r="IBM14" s="63"/>
      <c r="IBN14" s="63"/>
      <c r="IBO14" s="63"/>
      <c r="IBP14" s="63"/>
      <c r="IBQ14" s="63"/>
      <c r="IBR14" s="63"/>
      <c r="IBS14" s="63"/>
      <c r="IBT14" s="63"/>
      <c r="IBU14" s="63"/>
      <c r="IBV14" s="54"/>
      <c r="IBW14" s="54"/>
      <c r="IBX14" s="54"/>
      <c r="IBY14" s="57"/>
      <c r="IBZ14" s="62"/>
      <c r="ICA14" s="63"/>
      <c r="ICB14" s="63"/>
      <c r="ICC14" s="63"/>
      <c r="ICD14" s="63"/>
      <c r="ICE14" s="63"/>
      <c r="ICF14" s="63"/>
      <c r="ICG14" s="63"/>
      <c r="ICH14" s="63"/>
      <c r="ICI14" s="63"/>
      <c r="ICJ14" s="63"/>
      <c r="ICK14" s="63"/>
      <c r="ICL14" s="54"/>
      <c r="ICM14" s="54"/>
      <c r="ICN14" s="54"/>
      <c r="ICO14" s="57"/>
      <c r="ICP14" s="62"/>
      <c r="ICQ14" s="63"/>
      <c r="ICR14" s="63"/>
      <c r="ICS14" s="63"/>
      <c r="ICT14" s="63"/>
      <c r="ICU14" s="63"/>
      <c r="ICV14" s="63"/>
      <c r="ICW14" s="63"/>
      <c r="ICX14" s="63"/>
      <c r="ICY14" s="63"/>
      <c r="ICZ14" s="63"/>
      <c r="IDA14" s="63"/>
      <c r="IDB14" s="54"/>
      <c r="IDC14" s="54"/>
      <c r="IDD14" s="54"/>
      <c r="IDE14" s="57"/>
      <c r="IDF14" s="62"/>
      <c r="IDG14" s="63"/>
      <c r="IDH14" s="63"/>
      <c r="IDI14" s="63"/>
      <c r="IDJ14" s="63"/>
      <c r="IDK14" s="63"/>
      <c r="IDL14" s="63"/>
      <c r="IDM14" s="63"/>
      <c r="IDN14" s="63"/>
      <c r="IDO14" s="63"/>
      <c r="IDP14" s="63"/>
      <c r="IDQ14" s="63"/>
      <c r="IDR14" s="54"/>
      <c r="IDS14" s="54"/>
      <c r="IDT14" s="54"/>
      <c r="IDU14" s="57"/>
      <c r="IDV14" s="62"/>
      <c r="IDW14" s="63"/>
      <c r="IDX14" s="63"/>
      <c r="IDY14" s="63"/>
      <c r="IDZ14" s="63"/>
      <c r="IEA14" s="63"/>
      <c r="IEB14" s="63"/>
      <c r="IEC14" s="63"/>
      <c r="IED14" s="63"/>
      <c r="IEE14" s="63"/>
      <c r="IEF14" s="63"/>
      <c r="IEG14" s="63"/>
      <c r="IEH14" s="54"/>
      <c r="IEI14" s="54"/>
      <c r="IEJ14" s="54"/>
      <c r="IEK14" s="57"/>
      <c r="IEL14" s="62"/>
      <c r="IEM14" s="63"/>
      <c r="IEN14" s="63"/>
      <c r="IEO14" s="63"/>
      <c r="IEP14" s="63"/>
      <c r="IEQ14" s="63"/>
      <c r="IER14" s="63"/>
      <c r="IES14" s="63"/>
      <c r="IET14" s="63"/>
      <c r="IEU14" s="63"/>
      <c r="IEV14" s="63"/>
      <c r="IEW14" s="63"/>
      <c r="IEX14" s="54"/>
      <c r="IEY14" s="54"/>
      <c r="IEZ14" s="54"/>
      <c r="IFA14" s="57"/>
      <c r="IFB14" s="62"/>
      <c r="IFC14" s="63"/>
      <c r="IFD14" s="63"/>
      <c r="IFE14" s="63"/>
      <c r="IFF14" s="63"/>
      <c r="IFG14" s="63"/>
      <c r="IFH14" s="63"/>
      <c r="IFI14" s="63"/>
      <c r="IFJ14" s="63"/>
      <c r="IFK14" s="63"/>
      <c r="IFL14" s="63"/>
      <c r="IFM14" s="63"/>
      <c r="IFN14" s="54"/>
      <c r="IFO14" s="54"/>
      <c r="IFP14" s="54"/>
      <c r="IFQ14" s="57"/>
      <c r="IFR14" s="62"/>
      <c r="IFS14" s="63"/>
      <c r="IFT14" s="63"/>
      <c r="IFU14" s="63"/>
      <c r="IFV14" s="63"/>
      <c r="IFW14" s="63"/>
      <c r="IFX14" s="63"/>
      <c r="IFY14" s="63"/>
      <c r="IFZ14" s="63"/>
      <c r="IGA14" s="63"/>
      <c r="IGB14" s="63"/>
      <c r="IGC14" s="63"/>
      <c r="IGD14" s="54"/>
      <c r="IGE14" s="54"/>
      <c r="IGF14" s="54"/>
      <c r="IGG14" s="57"/>
      <c r="IGH14" s="62"/>
      <c r="IGI14" s="63"/>
      <c r="IGJ14" s="63"/>
      <c r="IGK14" s="63"/>
      <c r="IGL14" s="63"/>
      <c r="IGM14" s="63"/>
      <c r="IGN14" s="63"/>
      <c r="IGO14" s="63"/>
      <c r="IGP14" s="63"/>
      <c r="IGQ14" s="63"/>
      <c r="IGR14" s="63"/>
      <c r="IGS14" s="63"/>
      <c r="IGT14" s="54"/>
      <c r="IGU14" s="54"/>
      <c r="IGV14" s="54"/>
      <c r="IGW14" s="57"/>
      <c r="IGX14" s="62"/>
      <c r="IGY14" s="63"/>
      <c r="IGZ14" s="63"/>
      <c r="IHA14" s="63"/>
      <c r="IHB14" s="63"/>
      <c r="IHC14" s="63"/>
      <c r="IHD14" s="63"/>
      <c r="IHE14" s="63"/>
      <c r="IHF14" s="63"/>
      <c r="IHG14" s="63"/>
      <c r="IHH14" s="63"/>
      <c r="IHI14" s="63"/>
      <c r="IHJ14" s="54"/>
      <c r="IHK14" s="54"/>
      <c r="IHL14" s="54"/>
      <c r="IHM14" s="57"/>
      <c r="IHN14" s="62"/>
      <c r="IHO14" s="63"/>
      <c r="IHP14" s="63"/>
      <c r="IHQ14" s="63"/>
      <c r="IHR14" s="63"/>
      <c r="IHS14" s="63"/>
      <c r="IHT14" s="63"/>
      <c r="IHU14" s="63"/>
      <c r="IHV14" s="63"/>
      <c r="IHW14" s="63"/>
      <c r="IHX14" s="63"/>
      <c r="IHY14" s="63"/>
      <c r="IHZ14" s="54"/>
      <c r="IIA14" s="54"/>
      <c r="IIB14" s="54"/>
      <c r="IIC14" s="57"/>
      <c r="IID14" s="62"/>
      <c r="IIE14" s="63"/>
      <c r="IIF14" s="63"/>
      <c r="IIG14" s="63"/>
      <c r="IIH14" s="63"/>
      <c r="III14" s="63"/>
      <c r="IIJ14" s="63"/>
      <c r="IIK14" s="63"/>
      <c r="IIL14" s="63"/>
      <c r="IIM14" s="63"/>
      <c r="IIN14" s="63"/>
      <c r="IIO14" s="63"/>
      <c r="IIP14" s="54"/>
      <c r="IIQ14" s="54"/>
      <c r="IIR14" s="54"/>
      <c r="IIS14" s="57"/>
      <c r="IIT14" s="62"/>
      <c r="IIU14" s="63"/>
      <c r="IIV14" s="63"/>
      <c r="IIW14" s="63"/>
      <c r="IIX14" s="63"/>
      <c r="IIY14" s="63"/>
      <c r="IIZ14" s="63"/>
      <c r="IJA14" s="63"/>
      <c r="IJB14" s="63"/>
      <c r="IJC14" s="63"/>
      <c r="IJD14" s="63"/>
      <c r="IJE14" s="63"/>
      <c r="IJF14" s="54"/>
      <c r="IJG14" s="54"/>
      <c r="IJH14" s="54"/>
      <c r="IJI14" s="57"/>
      <c r="IJJ14" s="62"/>
      <c r="IJK14" s="63"/>
      <c r="IJL14" s="63"/>
      <c r="IJM14" s="63"/>
      <c r="IJN14" s="63"/>
      <c r="IJO14" s="63"/>
      <c r="IJP14" s="63"/>
      <c r="IJQ14" s="63"/>
      <c r="IJR14" s="63"/>
      <c r="IJS14" s="63"/>
      <c r="IJT14" s="63"/>
      <c r="IJU14" s="63"/>
      <c r="IJV14" s="54"/>
      <c r="IJW14" s="54"/>
      <c r="IJX14" s="54"/>
      <c r="IJY14" s="57"/>
      <c r="IJZ14" s="62"/>
      <c r="IKA14" s="63"/>
      <c r="IKB14" s="63"/>
      <c r="IKC14" s="63"/>
      <c r="IKD14" s="63"/>
      <c r="IKE14" s="63"/>
      <c r="IKF14" s="63"/>
      <c r="IKG14" s="63"/>
      <c r="IKH14" s="63"/>
      <c r="IKI14" s="63"/>
      <c r="IKJ14" s="63"/>
      <c r="IKK14" s="63"/>
      <c r="IKL14" s="54"/>
      <c r="IKM14" s="54"/>
      <c r="IKN14" s="54"/>
      <c r="IKO14" s="57"/>
      <c r="IKP14" s="62"/>
      <c r="IKQ14" s="63"/>
      <c r="IKR14" s="63"/>
      <c r="IKS14" s="63"/>
      <c r="IKT14" s="63"/>
      <c r="IKU14" s="63"/>
      <c r="IKV14" s="63"/>
      <c r="IKW14" s="63"/>
      <c r="IKX14" s="63"/>
      <c r="IKY14" s="63"/>
      <c r="IKZ14" s="63"/>
      <c r="ILA14" s="63"/>
      <c r="ILB14" s="54"/>
      <c r="ILC14" s="54"/>
      <c r="ILD14" s="54"/>
      <c r="ILE14" s="57"/>
      <c r="ILF14" s="62"/>
      <c r="ILG14" s="63"/>
      <c r="ILH14" s="63"/>
      <c r="ILI14" s="63"/>
      <c r="ILJ14" s="63"/>
      <c r="ILK14" s="63"/>
      <c r="ILL14" s="63"/>
      <c r="ILM14" s="63"/>
      <c r="ILN14" s="63"/>
      <c r="ILO14" s="63"/>
      <c r="ILP14" s="63"/>
      <c r="ILQ14" s="63"/>
      <c r="ILR14" s="54"/>
      <c r="ILS14" s="54"/>
      <c r="ILT14" s="54"/>
      <c r="ILU14" s="57"/>
      <c r="ILV14" s="62"/>
      <c r="ILW14" s="63"/>
      <c r="ILX14" s="63"/>
      <c r="ILY14" s="63"/>
      <c r="ILZ14" s="63"/>
      <c r="IMA14" s="63"/>
      <c r="IMB14" s="63"/>
      <c r="IMC14" s="63"/>
      <c r="IMD14" s="63"/>
      <c r="IME14" s="63"/>
      <c r="IMF14" s="63"/>
      <c r="IMG14" s="63"/>
      <c r="IMH14" s="54"/>
      <c r="IMI14" s="54"/>
      <c r="IMJ14" s="54"/>
      <c r="IMK14" s="57"/>
      <c r="IML14" s="62"/>
      <c r="IMM14" s="63"/>
      <c r="IMN14" s="63"/>
      <c r="IMO14" s="63"/>
      <c r="IMP14" s="63"/>
      <c r="IMQ14" s="63"/>
      <c r="IMR14" s="63"/>
      <c r="IMS14" s="63"/>
      <c r="IMT14" s="63"/>
      <c r="IMU14" s="63"/>
      <c r="IMV14" s="63"/>
      <c r="IMW14" s="63"/>
      <c r="IMX14" s="54"/>
      <c r="IMY14" s="54"/>
      <c r="IMZ14" s="54"/>
      <c r="INA14" s="57"/>
      <c r="INB14" s="62"/>
      <c r="INC14" s="63"/>
      <c r="IND14" s="63"/>
      <c r="INE14" s="63"/>
      <c r="INF14" s="63"/>
      <c r="ING14" s="63"/>
      <c r="INH14" s="63"/>
      <c r="INI14" s="63"/>
      <c r="INJ14" s="63"/>
      <c r="INK14" s="63"/>
      <c r="INL14" s="63"/>
      <c r="INM14" s="63"/>
      <c r="INN14" s="54"/>
      <c r="INO14" s="54"/>
      <c r="INP14" s="54"/>
      <c r="INQ14" s="57"/>
      <c r="INR14" s="62"/>
      <c r="INS14" s="63"/>
      <c r="INT14" s="63"/>
      <c r="INU14" s="63"/>
      <c r="INV14" s="63"/>
      <c r="INW14" s="63"/>
      <c r="INX14" s="63"/>
      <c r="INY14" s="63"/>
      <c r="INZ14" s="63"/>
      <c r="IOA14" s="63"/>
      <c r="IOB14" s="63"/>
      <c r="IOC14" s="63"/>
      <c r="IOD14" s="54"/>
      <c r="IOE14" s="54"/>
      <c r="IOF14" s="54"/>
      <c r="IOG14" s="57"/>
      <c r="IOH14" s="62"/>
      <c r="IOI14" s="63"/>
      <c r="IOJ14" s="63"/>
      <c r="IOK14" s="63"/>
      <c r="IOL14" s="63"/>
      <c r="IOM14" s="63"/>
      <c r="ION14" s="63"/>
      <c r="IOO14" s="63"/>
      <c r="IOP14" s="63"/>
      <c r="IOQ14" s="63"/>
      <c r="IOR14" s="63"/>
      <c r="IOS14" s="63"/>
      <c r="IOT14" s="54"/>
      <c r="IOU14" s="54"/>
      <c r="IOV14" s="54"/>
      <c r="IOW14" s="57"/>
      <c r="IOX14" s="62"/>
      <c r="IOY14" s="63"/>
      <c r="IOZ14" s="63"/>
      <c r="IPA14" s="63"/>
      <c r="IPB14" s="63"/>
      <c r="IPC14" s="63"/>
      <c r="IPD14" s="63"/>
      <c r="IPE14" s="63"/>
      <c r="IPF14" s="63"/>
      <c r="IPG14" s="63"/>
      <c r="IPH14" s="63"/>
      <c r="IPI14" s="63"/>
      <c r="IPJ14" s="54"/>
      <c r="IPK14" s="54"/>
      <c r="IPL14" s="54"/>
      <c r="IPM14" s="57"/>
      <c r="IPN14" s="62"/>
      <c r="IPO14" s="63"/>
      <c r="IPP14" s="63"/>
      <c r="IPQ14" s="63"/>
      <c r="IPR14" s="63"/>
      <c r="IPS14" s="63"/>
      <c r="IPT14" s="63"/>
      <c r="IPU14" s="63"/>
      <c r="IPV14" s="63"/>
      <c r="IPW14" s="63"/>
      <c r="IPX14" s="63"/>
      <c r="IPY14" s="63"/>
      <c r="IPZ14" s="54"/>
      <c r="IQA14" s="54"/>
      <c r="IQB14" s="54"/>
      <c r="IQC14" s="57"/>
      <c r="IQD14" s="62"/>
      <c r="IQE14" s="63"/>
      <c r="IQF14" s="63"/>
      <c r="IQG14" s="63"/>
      <c r="IQH14" s="63"/>
      <c r="IQI14" s="63"/>
      <c r="IQJ14" s="63"/>
      <c r="IQK14" s="63"/>
      <c r="IQL14" s="63"/>
      <c r="IQM14" s="63"/>
      <c r="IQN14" s="63"/>
      <c r="IQO14" s="63"/>
      <c r="IQP14" s="54"/>
      <c r="IQQ14" s="54"/>
      <c r="IQR14" s="54"/>
      <c r="IQS14" s="57"/>
      <c r="IQT14" s="62"/>
      <c r="IQU14" s="63"/>
      <c r="IQV14" s="63"/>
      <c r="IQW14" s="63"/>
      <c r="IQX14" s="63"/>
      <c r="IQY14" s="63"/>
      <c r="IQZ14" s="63"/>
      <c r="IRA14" s="63"/>
      <c r="IRB14" s="63"/>
      <c r="IRC14" s="63"/>
      <c r="IRD14" s="63"/>
      <c r="IRE14" s="63"/>
      <c r="IRF14" s="54"/>
      <c r="IRG14" s="54"/>
      <c r="IRH14" s="54"/>
      <c r="IRI14" s="57"/>
      <c r="IRJ14" s="62"/>
      <c r="IRK14" s="63"/>
      <c r="IRL14" s="63"/>
      <c r="IRM14" s="63"/>
      <c r="IRN14" s="63"/>
      <c r="IRO14" s="63"/>
      <c r="IRP14" s="63"/>
      <c r="IRQ14" s="63"/>
      <c r="IRR14" s="63"/>
      <c r="IRS14" s="63"/>
      <c r="IRT14" s="63"/>
      <c r="IRU14" s="63"/>
      <c r="IRV14" s="54"/>
      <c r="IRW14" s="54"/>
      <c r="IRX14" s="54"/>
      <c r="IRY14" s="57"/>
      <c r="IRZ14" s="62"/>
      <c r="ISA14" s="63"/>
      <c r="ISB14" s="63"/>
      <c r="ISC14" s="63"/>
      <c r="ISD14" s="63"/>
      <c r="ISE14" s="63"/>
      <c r="ISF14" s="63"/>
      <c r="ISG14" s="63"/>
      <c r="ISH14" s="63"/>
      <c r="ISI14" s="63"/>
      <c r="ISJ14" s="63"/>
      <c r="ISK14" s="63"/>
      <c r="ISL14" s="54"/>
      <c r="ISM14" s="54"/>
      <c r="ISN14" s="54"/>
      <c r="ISO14" s="57"/>
      <c r="ISP14" s="62"/>
      <c r="ISQ14" s="63"/>
      <c r="ISR14" s="63"/>
      <c r="ISS14" s="63"/>
      <c r="IST14" s="63"/>
      <c r="ISU14" s="63"/>
      <c r="ISV14" s="63"/>
      <c r="ISW14" s="63"/>
      <c r="ISX14" s="63"/>
      <c r="ISY14" s="63"/>
      <c r="ISZ14" s="63"/>
      <c r="ITA14" s="63"/>
      <c r="ITB14" s="54"/>
      <c r="ITC14" s="54"/>
      <c r="ITD14" s="54"/>
      <c r="ITE14" s="57"/>
      <c r="ITF14" s="62"/>
      <c r="ITG14" s="63"/>
      <c r="ITH14" s="63"/>
      <c r="ITI14" s="63"/>
      <c r="ITJ14" s="63"/>
      <c r="ITK14" s="63"/>
      <c r="ITL14" s="63"/>
      <c r="ITM14" s="63"/>
      <c r="ITN14" s="63"/>
      <c r="ITO14" s="63"/>
      <c r="ITP14" s="63"/>
      <c r="ITQ14" s="63"/>
      <c r="ITR14" s="54"/>
      <c r="ITS14" s="54"/>
      <c r="ITT14" s="54"/>
      <c r="ITU14" s="57"/>
      <c r="ITV14" s="62"/>
      <c r="ITW14" s="63"/>
      <c r="ITX14" s="63"/>
      <c r="ITY14" s="63"/>
      <c r="ITZ14" s="63"/>
      <c r="IUA14" s="63"/>
      <c r="IUB14" s="63"/>
      <c r="IUC14" s="63"/>
      <c r="IUD14" s="63"/>
      <c r="IUE14" s="63"/>
      <c r="IUF14" s="63"/>
      <c r="IUG14" s="63"/>
      <c r="IUH14" s="54"/>
      <c r="IUI14" s="54"/>
      <c r="IUJ14" s="54"/>
      <c r="IUK14" s="57"/>
      <c r="IUL14" s="62"/>
      <c r="IUM14" s="63"/>
      <c r="IUN14" s="63"/>
      <c r="IUO14" s="63"/>
      <c r="IUP14" s="63"/>
      <c r="IUQ14" s="63"/>
      <c r="IUR14" s="63"/>
      <c r="IUS14" s="63"/>
      <c r="IUT14" s="63"/>
      <c r="IUU14" s="63"/>
      <c r="IUV14" s="63"/>
      <c r="IUW14" s="63"/>
      <c r="IUX14" s="54"/>
      <c r="IUY14" s="54"/>
      <c r="IUZ14" s="54"/>
      <c r="IVA14" s="57"/>
      <c r="IVB14" s="62"/>
      <c r="IVC14" s="63"/>
      <c r="IVD14" s="63"/>
      <c r="IVE14" s="63"/>
      <c r="IVF14" s="63"/>
      <c r="IVG14" s="63"/>
      <c r="IVH14" s="63"/>
      <c r="IVI14" s="63"/>
      <c r="IVJ14" s="63"/>
      <c r="IVK14" s="63"/>
      <c r="IVL14" s="63"/>
      <c r="IVM14" s="63"/>
      <c r="IVN14" s="54"/>
      <c r="IVO14" s="54"/>
      <c r="IVP14" s="54"/>
      <c r="IVQ14" s="57"/>
      <c r="IVR14" s="62"/>
      <c r="IVS14" s="63"/>
      <c r="IVT14" s="63"/>
      <c r="IVU14" s="63"/>
      <c r="IVV14" s="63"/>
      <c r="IVW14" s="63"/>
      <c r="IVX14" s="63"/>
      <c r="IVY14" s="63"/>
      <c r="IVZ14" s="63"/>
      <c r="IWA14" s="63"/>
      <c r="IWB14" s="63"/>
      <c r="IWC14" s="63"/>
      <c r="IWD14" s="54"/>
      <c r="IWE14" s="54"/>
      <c r="IWF14" s="54"/>
      <c r="IWG14" s="57"/>
      <c r="IWH14" s="62"/>
      <c r="IWI14" s="63"/>
      <c r="IWJ14" s="63"/>
      <c r="IWK14" s="63"/>
      <c r="IWL14" s="63"/>
      <c r="IWM14" s="63"/>
      <c r="IWN14" s="63"/>
      <c r="IWO14" s="63"/>
      <c r="IWP14" s="63"/>
      <c r="IWQ14" s="63"/>
      <c r="IWR14" s="63"/>
      <c r="IWS14" s="63"/>
      <c r="IWT14" s="54"/>
      <c r="IWU14" s="54"/>
      <c r="IWV14" s="54"/>
      <c r="IWW14" s="57"/>
      <c r="IWX14" s="62"/>
      <c r="IWY14" s="63"/>
      <c r="IWZ14" s="63"/>
      <c r="IXA14" s="63"/>
      <c r="IXB14" s="63"/>
      <c r="IXC14" s="63"/>
      <c r="IXD14" s="63"/>
      <c r="IXE14" s="63"/>
      <c r="IXF14" s="63"/>
      <c r="IXG14" s="63"/>
      <c r="IXH14" s="63"/>
      <c r="IXI14" s="63"/>
      <c r="IXJ14" s="54"/>
      <c r="IXK14" s="54"/>
      <c r="IXL14" s="54"/>
      <c r="IXM14" s="57"/>
      <c r="IXN14" s="62"/>
      <c r="IXO14" s="63"/>
      <c r="IXP14" s="63"/>
      <c r="IXQ14" s="63"/>
      <c r="IXR14" s="63"/>
      <c r="IXS14" s="63"/>
      <c r="IXT14" s="63"/>
      <c r="IXU14" s="63"/>
      <c r="IXV14" s="63"/>
      <c r="IXW14" s="63"/>
      <c r="IXX14" s="63"/>
      <c r="IXY14" s="63"/>
      <c r="IXZ14" s="54"/>
      <c r="IYA14" s="54"/>
      <c r="IYB14" s="54"/>
      <c r="IYC14" s="57"/>
      <c r="IYD14" s="62"/>
      <c r="IYE14" s="63"/>
      <c r="IYF14" s="63"/>
      <c r="IYG14" s="63"/>
      <c r="IYH14" s="63"/>
      <c r="IYI14" s="63"/>
      <c r="IYJ14" s="63"/>
      <c r="IYK14" s="63"/>
      <c r="IYL14" s="63"/>
      <c r="IYM14" s="63"/>
      <c r="IYN14" s="63"/>
      <c r="IYO14" s="63"/>
      <c r="IYP14" s="54"/>
      <c r="IYQ14" s="54"/>
      <c r="IYR14" s="54"/>
      <c r="IYS14" s="57"/>
      <c r="IYT14" s="62"/>
      <c r="IYU14" s="63"/>
      <c r="IYV14" s="63"/>
      <c r="IYW14" s="63"/>
      <c r="IYX14" s="63"/>
      <c r="IYY14" s="63"/>
      <c r="IYZ14" s="63"/>
      <c r="IZA14" s="63"/>
      <c r="IZB14" s="63"/>
      <c r="IZC14" s="63"/>
      <c r="IZD14" s="63"/>
      <c r="IZE14" s="63"/>
      <c r="IZF14" s="54"/>
      <c r="IZG14" s="54"/>
      <c r="IZH14" s="54"/>
      <c r="IZI14" s="57"/>
      <c r="IZJ14" s="62"/>
      <c r="IZK14" s="63"/>
      <c r="IZL14" s="63"/>
      <c r="IZM14" s="63"/>
      <c r="IZN14" s="63"/>
      <c r="IZO14" s="63"/>
      <c r="IZP14" s="63"/>
      <c r="IZQ14" s="63"/>
      <c r="IZR14" s="63"/>
      <c r="IZS14" s="63"/>
      <c r="IZT14" s="63"/>
      <c r="IZU14" s="63"/>
      <c r="IZV14" s="54"/>
      <c r="IZW14" s="54"/>
      <c r="IZX14" s="54"/>
      <c r="IZY14" s="57"/>
      <c r="IZZ14" s="62"/>
      <c r="JAA14" s="63"/>
      <c r="JAB14" s="63"/>
      <c r="JAC14" s="63"/>
      <c r="JAD14" s="63"/>
      <c r="JAE14" s="63"/>
      <c r="JAF14" s="63"/>
      <c r="JAG14" s="63"/>
      <c r="JAH14" s="63"/>
      <c r="JAI14" s="63"/>
      <c r="JAJ14" s="63"/>
      <c r="JAK14" s="63"/>
      <c r="JAL14" s="54"/>
      <c r="JAM14" s="54"/>
      <c r="JAN14" s="54"/>
      <c r="JAO14" s="57"/>
      <c r="JAP14" s="62"/>
      <c r="JAQ14" s="63"/>
      <c r="JAR14" s="63"/>
      <c r="JAS14" s="63"/>
      <c r="JAT14" s="63"/>
      <c r="JAU14" s="63"/>
      <c r="JAV14" s="63"/>
      <c r="JAW14" s="63"/>
      <c r="JAX14" s="63"/>
      <c r="JAY14" s="63"/>
      <c r="JAZ14" s="63"/>
      <c r="JBA14" s="63"/>
      <c r="JBB14" s="54"/>
      <c r="JBC14" s="54"/>
      <c r="JBD14" s="54"/>
      <c r="JBE14" s="57"/>
      <c r="JBF14" s="62"/>
      <c r="JBG14" s="63"/>
      <c r="JBH14" s="63"/>
      <c r="JBI14" s="63"/>
      <c r="JBJ14" s="63"/>
      <c r="JBK14" s="63"/>
      <c r="JBL14" s="63"/>
      <c r="JBM14" s="63"/>
      <c r="JBN14" s="63"/>
      <c r="JBO14" s="63"/>
      <c r="JBP14" s="63"/>
      <c r="JBQ14" s="63"/>
      <c r="JBR14" s="54"/>
      <c r="JBS14" s="54"/>
      <c r="JBT14" s="54"/>
      <c r="JBU14" s="57"/>
      <c r="JBV14" s="62"/>
      <c r="JBW14" s="63"/>
      <c r="JBX14" s="63"/>
      <c r="JBY14" s="63"/>
      <c r="JBZ14" s="63"/>
      <c r="JCA14" s="63"/>
      <c r="JCB14" s="63"/>
      <c r="JCC14" s="63"/>
      <c r="JCD14" s="63"/>
      <c r="JCE14" s="63"/>
      <c r="JCF14" s="63"/>
      <c r="JCG14" s="63"/>
      <c r="JCH14" s="54"/>
      <c r="JCI14" s="54"/>
      <c r="JCJ14" s="54"/>
      <c r="JCK14" s="57"/>
      <c r="JCL14" s="62"/>
      <c r="JCM14" s="63"/>
      <c r="JCN14" s="63"/>
      <c r="JCO14" s="63"/>
      <c r="JCP14" s="63"/>
      <c r="JCQ14" s="63"/>
      <c r="JCR14" s="63"/>
      <c r="JCS14" s="63"/>
      <c r="JCT14" s="63"/>
      <c r="JCU14" s="63"/>
      <c r="JCV14" s="63"/>
      <c r="JCW14" s="63"/>
      <c r="JCX14" s="54"/>
      <c r="JCY14" s="54"/>
      <c r="JCZ14" s="54"/>
      <c r="JDA14" s="57"/>
      <c r="JDB14" s="62"/>
      <c r="JDC14" s="63"/>
      <c r="JDD14" s="63"/>
      <c r="JDE14" s="63"/>
      <c r="JDF14" s="63"/>
      <c r="JDG14" s="63"/>
      <c r="JDH14" s="63"/>
      <c r="JDI14" s="63"/>
      <c r="JDJ14" s="63"/>
      <c r="JDK14" s="63"/>
      <c r="JDL14" s="63"/>
      <c r="JDM14" s="63"/>
      <c r="JDN14" s="54"/>
      <c r="JDO14" s="54"/>
      <c r="JDP14" s="54"/>
      <c r="JDQ14" s="57"/>
      <c r="JDR14" s="62"/>
      <c r="JDS14" s="63"/>
      <c r="JDT14" s="63"/>
      <c r="JDU14" s="63"/>
      <c r="JDV14" s="63"/>
      <c r="JDW14" s="63"/>
      <c r="JDX14" s="63"/>
      <c r="JDY14" s="63"/>
      <c r="JDZ14" s="63"/>
      <c r="JEA14" s="63"/>
      <c r="JEB14" s="63"/>
      <c r="JEC14" s="63"/>
      <c r="JED14" s="54"/>
      <c r="JEE14" s="54"/>
      <c r="JEF14" s="54"/>
      <c r="JEG14" s="57"/>
      <c r="JEH14" s="62"/>
      <c r="JEI14" s="63"/>
      <c r="JEJ14" s="63"/>
      <c r="JEK14" s="63"/>
      <c r="JEL14" s="63"/>
      <c r="JEM14" s="63"/>
      <c r="JEN14" s="63"/>
      <c r="JEO14" s="63"/>
      <c r="JEP14" s="63"/>
      <c r="JEQ14" s="63"/>
      <c r="JER14" s="63"/>
      <c r="JES14" s="63"/>
      <c r="JET14" s="54"/>
      <c r="JEU14" s="54"/>
      <c r="JEV14" s="54"/>
      <c r="JEW14" s="57"/>
      <c r="JEX14" s="62"/>
      <c r="JEY14" s="63"/>
      <c r="JEZ14" s="63"/>
      <c r="JFA14" s="63"/>
      <c r="JFB14" s="63"/>
      <c r="JFC14" s="63"/>
      <c r="JFD14" s="63"/>
      <c r="JFE14" s="63"/>
      <c r="JFF14" s="63"/>
      <c r="JFG14" s="63"/>
      <c r="JFH14" s="63"/>
      <c r="JFI14" s="63"/>
      <c r="JFJ14" s="54"/>
      <c r="JFK14" s="54"/>
      <c r="JFL14" s="54"/>
      <c r="JFM14" s="57"/>
      <c r="JFN14" s="62"/>
      <c r="JFO14" s="63"/>
      <c r="JFP14" s="63"/>
      <c r="JFQ14" s="63"/>
      <c r="JFR14" s="63"/>
      <c r="JFS14" s="63"/>
      <c r="JFT14" s="63"/>
      <c r="JFU14" s="63"/>
      <c r="JFV14" s="63"/>
      <c r="JFW14" s="63"/>
      <c r="JFX14" s="63"/>
      <c r="JFY14" s="63"/>
      <c r="JFZ14" s="54"/>
      <c r="JGA14" s="54"/>
      <c r="JGB14" s="54"/>
      <c r="JGC14" s="57"/>
      <c r="JGD14" s="62"/>
      <c r="JGE14" s="63"/>
      <c r="JGF14" s="63"/>
      <c r="JGG14" s="63"/>
      <c r="JGH14" s="63"/>
      <c r="JGI14" s="63"/>
      <c r="JGJ14" s="63"/>
      <c r="JGK14" s="63"/>
      <c r="JGL14" s="63"/>
      <c r="JGM14" s="63"/>
      <c r="JGN14" s="63"/>
      <c r="JGO14" s="63"/>
      <c r="JGP14" s="54"/>
      <c r="JGQ14" s="54"/>
      <c r="JGR14" s="54"/>
      <c r="JGS14" s="57"/>
      <c r="JGT14" s="62"/>
      <c r="JGU14" s="63"/>
      <c r="JGV14" s="63"/>
      <c r="JGW14" s="63"/>
      <c r="JGX14" s="63"/>
      <c r="JGY14" s="63"/>
      <c r="JGZ14" s="63"/>
      <c r="JHA14" s="63"/>
      <c r="JHB14" s="63"/>
      <c r="JHC14" s="63"/>
      <c r="JHD14" s="63"/>
      <c r="JHE14" s="63"/>
      <c r="JHF14" s="54"/>
      <c r="JHG14" s="54"/>
      <c r="JHH14" s="54"/>
      <c r="JHI14" s="57"/>
      <c r="JHJ14" s="62"/>
      <c r="JHK14" s="63"/>
      <c r="JHL14" s="63"/>
      <c r="JHM14" s="63"/>
      <c r="JHN14" s="63"/>
      <c r="JHO14" s="63"/>
      <c r="JHP14" s="63"/>
      <c r="JHQ14" s="63"/>
      <c r="JHR14" s="63"/>
      <c r="JHS14" s="63"/>
      <c r="JHT14" s="63"/>
      <c r="JHU14" s="63"/>
      <c r="JHV14" s="54"/>
      <c r="JHW14" s="54"/>
      <c r="JHX14" s="54"/>
      <c r="JHY14" s="57"/>
      <c r="JHZ14" s="62"/>
      <c r="JIA14" s="63"/>
      <c r="JIB14" s="63"/>
      <c r="JIC14" s="63"/>
      <c r="JID14" s="63"/>
      <c r="JIE14" s="63"/>
      <c r="JIF14" s="63"/>
      <c r="JIG14" s="63"/>
      <c r="JIH14" s="63"/>
      <c r="JII14" s="63"/>
      <c r="JIJ14" s="63"/>
      <c r="JIK14" s="63"/>
      <c r="JIL14" s="54"/>
      <c r="JIM14" s="54"/>
      <c r="JIN14" s="54"/>
      <c r="JIO14" s="57"/>
      <c r="JIP14" s="62"/>
      <c r="JIQ14" s="63"/>
      <c r="JIR14" s="63"/>
      <c r="JIS14" s="63"/>
      <c r="JIT14" s="63"/>
      <c r="JIU14" s="63"/>
      <c r="JIV14" s="63"/>
      <c r="JIW14" s="63"/>
      <c r="JIX14" s="63"/>
      <c r="JIY14" s="63"/>
      <c r="JIZ14" s="63"/>
      <c r="JJA14" s="63"/>
      <c r="JJB14" s="54"/>
      <c r="JJC14" s="54"/>
      <c r="JJD14" s="54"/>
      <c r="JJE14" s="57"/>
      <c r="JJF14" s="62"/>
      <c r="JJG14" s="63"/>
      <c r="JJH14" s="63"/>
      <c r="JJI14" s="63"/>
      <c r="JJJ14" s="63"/>
      <c r="JJK14" s="63"/>
      <c r="JJL14" s="63"/>
      <c r="JJM14" s="63"/>
      <c r="JJN14" s="63"/>
      <c r="JJO14" s="63"/>
      <c r="JJP14" s="63"/>
      <c r="JJQ14" s="63"/>
      <c r="JJR14" s="54"/>
      <c r="JJS14" s="54"/>
      <c r="JJT14" s="54"/>
      <c r="JJU14" s="57"/>
      <c r="JJV14" s="62"/>
      <c r="JJW14" s="63"/>
      <c r="JJX14" s="63"/>
      <c r="JJY14" s="63"/>
      <c r="JJZ14" s="63"/>
      <c r="JKA14" s="63"/>
      <c r="JKB14" s="63"/>
      <c r="JKC14" s="63"/>
      <c r="JKD14" s="63"/>
      <c r="JKE14" s="63"/>
      <c r="JKF14" s="63"/>
      <c r="JKG14" s="63"/>
      <c r="JKH14" s="54"/>
      <c r="JKI14" s="54"/>
      <c r="JKJ14" s="54"/>
      <c r="JKK14" s="57"/>
      <c r="JKL14" s="62"/>
      <c r="JKM14" s="63"/>
      <c r="JKN14" s="63"/>
      <c r="JKO14" s="63"/>
      <c r="JKP14" s="63"/>
      <c r="JKQ14" s="63"/>
      <c r="JKR14" s="63"/>
      <c r="JKS14" s="63"/>
      <c r="JKT14" s="63"/>
      <c r="JKU14" s="63"/>
      <c r="JKV14" s="63"/>
      <c r="JKW14" s="63"/>
      <c r="JKX14" s="54"/>
      <c r="JKY14" s="54"/>
      <c r="JKZ14" s="54"/>
      <c r="JLA14" s="57"/>
      <c r="JLB14" s="62"/>
      <c r="JLC14" s="63"/>
      <c r="JLD14" s="63"/>
      <c r="JLE14" s="63"/>
      <c r="JLF14" s="63"/>
      <c r="JLG14" s="63"/>
      <c r="JLH14" s="63"/>
      <c r="JLI14" s="63"/>
      <c r="JLJ14" s="63"/>
      <c r="JLK14" s="63"/>
      <c r="JLL14" s="63"/>
      <c r="JLM14" s="63"/>
      <c r="JLN14" s="54"/>
      <c r="JLO14" s="54"/>
      <c r="JLP14" s="54"/>
      <c r="JLQ14" s="57"/>
      <c r="JLR14" s="62"/>
      <c r="JLS14" s="63"/>
      <c r="JLT14" s="63"/>
      <c r="JLU14" s="63"/>
      <c r="JLV14" s="63"/>
      <c r="JLW14" s="63"/>
      <c r="JLX14" s="63"/>
      <c r="JLY14" s="63"/>
      <c r="JLZ14" s="63"/>
      <c r="JMA14" s="63"/>
      <c r="JMB14" s="63"/>
      <c r="JMC14" s="63"/>
      <c r="JMD14" s="54"/>
      <c r="JME14" s="54"/>
      <c r="JMF14" s="54"/>
      <c r="JMG14" s="57"/>
      <c r="JMH14" s="62"/>
      <c r="JMI14" s="63"/>
      <c r="JMJ14" s="63"/>
      <c r="JMK14" s="63"/>
      <c r="JML14" s="63"/>
      <c r="JMM14" s="63"/>
      <c r="JMN14" s="63"/>
      <c r="JMO14" s="63"/>
      <c r="JMP14" s="63"/>
      <c r="JMQ14" s="63"/>
      <c r="JMR14" s="63"/>
      <c r="JMS14" s="63"/>
      <c r="JMT14" s="54"/>
      <c r="JMU14" s="54"/>
      <c r="JMV14" s="54"/>
      <c r="JMW14" s="57"/>
      <c r="JMX14" s="62"/>
      <c r="JMY14" s="63"/>
      <c r="JMZ14" s="63"/>
      <c r="JNA14" s="63"/>
      <c r="JNB14" s="63"/>
      <c r="JNC14" s="63"/>
      <c r="JND14" s="63"/>
      <c r="JNE14" s="63"/>
      <c r="JNF14" s="63"/>
      <c r="JNG14" s="63"/>
      <c r="JNH14" s="63"/>
      <c r="JNI14" s="63"/>
      <c r="JNJ14" s="54"/>
      <c r="JNK14" s="54"/>
      <c r="JNL14" s="54"/>
      <c r="JNM14" s="57"/>
      <c r="JNN14" s="62"/>
      <c r="JNO14" s="63"/>
      <c r="JNP14" s="63"/>
      <c r="JNQ14" s="63"/>
      <c r="JNR14" s="63"/>
      <c r="JNS14" s="63"/>
      <c r="JNT14" s="63"/>
      <c r="JNU14" s="63"/>
      <c r="JNV14" s="63"/>
      <c r="JNW14" s="63"/>
      <c r="JNX14" s="63"/>
      <c r="JNY14" s="63"/>
      <c r="JNZ14" s="54"/>
      <c r="JOA14" s="54"/>
      <c r="JOB14" s="54"/>
      <c r="JOC14" s="57"/>
      <c r="JOD14" s="62"/>
      <c r="JOE14" s="63"/>
      <c r="JOF14" s="63"/>
      <c r="JOG14" s="63"/>
      <c r="JOH14" s="63"/>
      <c r="JOI14" s="63"/>
      <c r="JOJ14" s="63"/>
      <c r="JOK14" s="63"/>
      <c r="JOL14" s="63"/>
      <c r="JOM14" s="63"/>
      <c r="JON14" s="63"/>
      <c r="JOO14" s="63"/>
      <c r="JOP14" s="54"/>
      <c r="JOQ14" s="54"/>
      <c r="JOR14" s="54"/>
      <c r="JOS14" s="57"/>
      <c r="JOT14" s="62"/>
      <c r="JOU14" s="63"/>
      <c r="JOV14" s="63"/>
      <c r="JOW14" s="63"/>
      <c r="JOX14" s="63"/>
      <c r="JOY14" s="63"/>
      <c r="JOZ14" s="63"/>
      <c r="JPA14" s="63"/>
      <c r="JPB14" s="63"/>
      <c r="JPC14" s="63"/>
      <c r="JPD14" s="63"/>
      <c r="JPE14" s="63"/>
      <c r="JPF14" s="54"/>
      <c r="JPG14" s="54"/>
      <c r="JPH14" s="54"/>
      <c r="JPI14" s="57"/>
      <c r="JPJ14" s="62"/>
      <c r="JPK14" s="63"/>
      <c r="JPL14" s="63"/>
      <c r="JPM14" s="63"/>
      <c r="JPN14" s="63"/>
      <c r="JPO14" s="63"/>
      <c r="JPP14" s="63"/>
      <c r="JPQ14" s="63"/>
      <c r="JPR14" s="63"/>
      <c r="JPS14" s="63"/>
      <c r="JPT14" s="63"/>
      <c r="JPU14" s="63"/>
      <c r="JPV14" s="54"/>
      <c r="JPW14" s="54"/>
      <c r="JPX14" s="54"/>
      <c r="JPY14" s="57"/>
      <c r="JPZ14" s="62"/>
      <c r="JQA14" s="63"/>
      <c r="JQB14" s="63"/>
      <c r="JQC14" s="63"/>
      <c r="JQD14" s="63"/>
      <c r="JQE14" s="63"/>
      <c r="JQF14" s="63"/>
      <c r="JQG14" s="63"/>
      <c r="JQH14" s="63"/>
      <c r="JQI14" s="63"/>
      <c r="JQJ14" s="63"/>
      <c r="JQK14" s="63"/>
      <c r="JQL14" s="54"/>
      <c r="JQM14" s="54"/>
      <c r="JQN14" s="54"/>
      <c r="JQO14" s="57"/>
      <c r="JQP14" s="62"/>
      <c r="JQQ14" s="63"/>
      <c r="JQR14" s="63"/>
      <c r="JQS14" s="63"/>
      <c r="JQT14" s="63"/>
      <c r="JQU14" s="63"/>
      <c r="JQV14" s="63"/>
      <c r="JQW14" s="63"/>
      <c r="JQX14" s="63"/>
      <c r="JQY14" s="63"/>
      <c r="JQZ14" s="63"/>
      <c r="JRA14" s="63"/>
      <c r="JRB14" s="54"/>
      <c r="JRC14" s="54"/>
      <c r="JRD14" s="54"/>
      <c r="JRE14" s="57"/>
      <c r="JRF14" s="62"/>
      <c r="JRG14" s="63"/>
      <c r="JRH14" s="63"/>
      <c r="JRI14" s="63"/>
      <c r="JRJ14" s="63"/>
      <c r="JRK14" s="63"/>
      <c r="JRL14" s="63"/>
      <c r="JRM14" s="63"/>
      <c r="JRN14" s="63"/>
      <c r="JRO14" s="63"/>
      <c r="JRP14" s="63"/>
      <c r="JRQ14" s="63"/>
      <c r="JRR14" s="54"/>
      <c r="JRS14" s="54"/>
      <c r="JRT14" s="54"/>
      <c r="JRU14" s="57"/>
      <c r="JRV14" s="62"/>
      <c r="JRW14" s="63"/>
      <c r="JRX14" s="63"/>
      <c r="JRY14" s="63"/>
      <c r="JRZ14" s="63"/>
      <c r="JSA14" s="63"/>
      <c r="JSB14" s="63"/>
      <c r="JSC14" s="63"/>
      <c r="JSD14" s="63"/>
      <c r="JSE14" s="63"/>
      <c r="JSF14" s="63"/>
      <c r="JSG14" s="63"/>
      <c r="JSH14" s="54"/>
      <c r="JSI14" s="54"/>
      <c r="JSJ14" s="54"/>
      <c r="JSK14" s="57"/>
      <c r="JSL14" s="62"/>
      <c r="JSM14" s="63"/>
      <c r="JSN14" s="63"/>
      <c r="JSO14" s="63"/>
      <c r="JSP14" s="63"/>
      <c r="JSQ14" s="63"/>
      <c r="JSR14" s="63"/>
      <c r="JSS14" s="63"/>
      <c r="JST14" s="63"/>
      <c r="JSU14" s="63"/>
      <c r="JSV14" s="63"/>
      <c r="JSW14" s="63"/>
      <c r="JSX14" s="54"/>
      <c r="JSY14" s="54"/>
      <c r="JSZ14" s="54"/>
      <c r="JTA14" s="57"/>
      <c r="JTB14" s="62"/>
      <c r="JTC14" s="63"/>
      <c r="JTD14" s="63"/>
      <c r="JTE14" s="63"/>
      <c r="JTF14" s="63"/>
      <c r="JTG14" s="63"/>
      <c r="JTH14" s="63"/>
      <c r="JTI14" s="63"/>
      <c r="JTJ14" s="63"/>
      <c r="JTK14" s="63"/>
      <c r="JTL14" s="63"/>
      <c r="JTM14" s="63"/>
      <c r="JTN14" s="54"/>
      <c r="JTO14" s="54"/>
      <c r="JTP14" s="54"/>
      <c r="JTQ14" s="57"/>
      <c r="JTR14" s="62"/>
      <c r="JTS14" s="63"/>
      <c r="JTT14" s="63"/>
      <c r="JTU14" s="63"/>
      <c r="JTV14" s="63"/>
      <c r="JTW14" s="63"/>
      <c r="JTX14" s="63"/>
      <c r="JTY14" s="63"/>
      <c r="JTZ14" s="63"/>
      <c r="JUA14" s="63"/>
      <c r="JUB14" s="63"/>
      <c r="JUC14" s="63"/>
      <c r="JUD14" s="54"/>
      <c r="JUE14" s="54"/>
      <c r="JUF14" s="54"/>
      <c r="JUG14" s="57"/>
      <c r="JUH14" s="62"/>
      <c r="JUI14" s="63"/>
      <c r="JUJ14" s="63"/>
      <c r="JUK14" s="63"/>
      <c r="JUL14" s="63"/>
      <c r="JUM14" s="63"/>
      <c r="JUN14" s="63"/>
      <c r="JUO14" s="63"/>
      <c r="JUP14" s="63"/>
      <c r="JUQ14" s="63"/>
      <c r="JUR14" s="63"/>
      <c r="JUS14" s="63"/>
      <c r="JUT14" s="54"/>
      <c r="JUU14" s="54"/>
      <c r="JUV14" s="54"/>
      <c r="JUW14" s="57"/>
      <c r="JUX14" s="62"/>
      <c r="JUY14" s="63"/>
      <c r="JUZ14" s="63"/>
      <c r="JVA14" s="63"/>
      <c r="JVB14" s="63"/>
      <c r="JVC14" s="63"/>
      <c r="JVD14" s="63"/>
      <c r="JVE14" s="63"/>
      <c r="JVF14" s="63"/>
      <c r="JVG14" s="63"/>
      <c r="JVH14" s="63"/>
      <c r="JVI14" s="63"/>
      <c r="JVJ14" s="54"/>
      <c r="JVK14" s="54"/>
      <c r="JVL14" s="54"/>
      <c r="JVM14" s="57"/>
      <c r="JVN14" s="62"/>
      <c r="JVO14" s="63"/>
      <c r="JVP14" s="63"/>
      <c r="JVQ14" s="63"/>
      <c r="JVR14" s="63"/>
      <c r="JVS14" s="63"/>
      <c r="JVT14" s="63"/>
      <c r="JVU14" s="63"/>
      <c r="JVV14" s="63"/>
      <c r="JVW14" s="63"/>
      <c r="JVX14" s="63"/>
      <c r="JVY14" s="63"/>
      <c r="JVZ14" s="54"/>
      <c r="JWA14" s="54"/>
      <c r="JWB14" s="54"/>
      <c r="JWC14" s="57"/>
      <c r="JWD14" s="62"/>
      <c r="JWE14" s="63"/>
      <c r="JWF14" s="63"/>
      <c r="JWG14" s="63"/>
      <c r="JWH14" s="63"/>
      <c r="JWI14" s="63"/>
      <c r="JWJ14" s="63"/>
      <c r="JWK14" s="63"/>
      <c r="JWL14" s="63"/>
      <c r="JWM14" s="63"/>
      <c r="JWN14" s="63"/>
      <c r="JWO14" s="63"/>
      <c r="JWP14" s="54"/>
      <c r="JWQ14" s="54"/>
      <c r="JWR14" s="54"/>
      <c r="JWS14" s="57"/>
      <c r="JWT14" s="62"/>
      <c r="JWU14" s="63"/>
      <c r="JWV14" s="63"/>
      <c r="JWW14" s="63"/>
      <c r="JWX14" s="63"/>
      <c r="JWY14" s="63"/>
      <c r="JWZ14" s="63"/>
      <c r="JXA14" s="63"/>
      <c r="JXB14" s="63"/>
      <c r="JXC14" s="63"/>
      <c r="JXD14" s="63"/>
      <c r="JXE14" s="63"/>
      <c r="JXF14" s="54"/>
      <c r="JXG14" s="54"/>
      <c r="JXH14" s="54"/>
      <c r="JXI14" s="57"/>
      <c r="JXJ14" s="62"/>
      <c r="JXK14" s="63"/>
      <c r="JXL14" s="63"/>
      <c r="JXM14" s="63"/>
      <c r="JXN14" s="63"/>
      <c r="JXO14" s="63"/>
      <c r="JXP14" s="63"/>
      <c r="JXQ14" s="63"/>
      <c r="JXR14" s="63"/>
      <c r="JXS14" s="63"/>
      <c r="JXT14" s="63"/>
      <c r="JXU14" s="63"/>
      <c r="JXV14" s="54"/>
      <c r="JXW14" s="54"/>
      <c r="JXX14" s="54"/>
      <c r="JXY14" s="57"/>
      <c r="JXZ14" s="62"/>
      <c r="JYA14" s="63"/>
      <c r="JYB14" s="63"/>
      <c r="JYC14" s="63"/>
      <c r="JYD14" s="63"/>
      <c r="JYE14" s="63"/>
      <c r="JYF14" s="63"/>
      <c r="JYG14" s="63"/>
      <c r="JYH14" s="63"/>
      <c r="JYI14" s="63"/>
      <c r="JYJ14" s="63"/>
      <c r="JYK14" s="63"/>
      <c r="JYL14" s="54"/>
      <c r="JYM14" s="54"/>
      <c r="JYN14" s="54"/>
      <c r="JYO14" s="57"/>
      <c r="JYP14" s="62"/>
      <c r="JYQ14" s="63"/>
      <c r="JYR14" s="63"/>
      <c r="JYS14" s="63"/>
      <c r="JYT14" s="63"/>
      <c r="JYU14" s="63"/>
      <c r="JYV14" s="63"/>
      <c r="JYW14" s="63"/>
      <c r="JYX14" s="63"/>
      <c r="JYY14" s="63"/>
      <c r="JYZ14" s="63"/>
      <c r="JZA14" s="63"/>
      <c r="JZB14" s="54"/>
      <c r="JZC14" s="54"/>
      <c r="JZD14" s="54"/>
      <c r="JZE14" s="57"/>
      <c r="JZF14" s="62"/>
      <c r="JZG14" s="63"/>
      <c r="JZH14" s="63"/>
      <c r="JZI14" s="63"/>
      <c r="JZJ14" s="63"/>
      <c r="JZK14" s="63"/>
      <c r="JZL14" s="63"/>
      <c r="JZM14" s="63"/>
      <c r="JZN14" s="63"/>
      <c r="JZO14" s="63"/>
      <c r="JZP14" s="63"/>
      <c r="JZQ14" s="63"/>
      <c r="JZR14" s="54"/>
      <c r="JZS14" s="54"/>
      <c r="JZT14" s="54"/>
      <c r="JZU14" s="57"/>
      <c r="JZV14" s="62"/>
      <c r="JZW14" s="63"/>
      <c r="JZX14" s="63"/>
      <c r="JZY14" s="63"/>
      <c r="JZZ14" s="63"/>
      <c r="KAA14" s="63"/>
      <c r="KAB14" s="63"/>
      <c r="KAC14" s="63"/>
      <c r="KAD14" s="63"/>
      <c r="KAE14" s="63"/>
      <c r="KAF14" s="63"/>
      <c r="KAG14" s="63"/>
      <c r="KAH14" s="54"/>
      <c r="KAI14" s="54"/>
      <c r="KAJ14" s="54"/>
      <c r="KAK14" s="57"/>
      <c r="KAL14" s="62"/>
      <c r="KAM14" s="63"/>
      <c r="KAN14" s="63"/>
      <c r="KAO14" s="63"/>
      <c r="KAP14" s="63"/>
      <c r="KAQ14" s="63"/>
      <c r="KAR14" s="63"/>
      <c r="KAS14" s="63"/>
      <c r="KAT14" s="63"/>
      <c r="KAU14" s="63"/>
      <c r="KAV14" s="63"/>
      <c r="KAW14" s="63"/>
      <c r="KAX14" s="54"/>
      <c r="KAY14" s="54"/>
      <c r="KAZ14" s="54"/>
      <c r="KBA14" s="57"/>
      <c r="KBB14" s="62"/>
      <c r="KBC14" s="63"/>
      <c r="KBD14" s="63"/>
      <c r="KBE14" s="63"/>
      <c r="KBF14" s="63"/>
      <c r="KBG14" s="63"/>
      <c r="KBH14" s="63"/>
      <c r="KBI14" s="63"/>
      <c r="KBJ14" s="63"/>
      <c r="KBK14" s="63"/>
      <c r="KBL14" s="63"/>
      <c r="KBM14" s="63"/>
      <c r="KBN14" s="54"/>
      <c r="KBO14" s="54"/>
      <c r="KBP14" s="54"/>
      <c r="KBQ14" s="57"/>
      <c r="KBR14" s="62"/>
      <c r="KBS14" s="63"/>
      <c r="KBT14" s="63"/>
      <c r="KBU14" s="63"/>
      <c r="KBV14" s="63"/>
      <c r="KBW14" s="63"/>
      <c r="KBX14" s="63"/>
      <c r="KBY14" s="63"/>
      <c r="KBZ14" s="63"/>
      <c r="KCA14" s="63"/>
      <c r="KCB14" s="63"/>
      <c r="KCC14" s="63"/>
      <c r="KCD14" s="54"/>
      <c r="KCE14" s="54"/>
      <c r="KCF14" s="54"/>
      <c r="KCG14" s="57"/>
      <c r="KCH14" s="62"/>
      <c r="KCI14" s="63"/>
      <c r="KCJ14" s="63"/>
      <c r="KCK14" s="63"/>
      <c r="KCL14" s="63"/>
      <c r="KCM14" s="63"/>
      <c r="KCN14" s="63"/>
      <c r="KCO14" s="63"/>
      <c r="KCP14" s="63"/>
      <c r="KCQ14" s="63"/>
      <c r="KCR14" s="63"/>
      <c r="KCS14" s="63"/>
      <c r="KCT14" s="54"/>
      <c r="KCU14" s="54"/>
      <c r="KCV14" s="54"/>
      <c r="KCW14" s="57"/>
      <c r="KCX14" s="62"/>
      <c r="KCY14" s="63"/>
      <c r="KCZ14" s="63"/>
      <c r="KDA14" s="63"/>
      <c r="KDB14" s="63"/>
      <c r="KDC14" s="63"/>
      <c r="KDD14" s="63"/>
      <c r="KDE14" s="63"/>
      <c r="KDF14" s="63"/>
      <c r="KDG14" s="63"/>
      <c r="KDH14" s="63"/>
      <c r="KDI14" s="63"/>
      <c r="KDJ14" s="54"/>
      <c r="KDK14" s="54"/>
      <c r="KDL14" s="54"/>
      <c r="KDM14" s="57"/>
      <c r="KDN14" s="62"/>
      <c r="KDO14" s="63"/>
      <c r="KDP14" s="63"/>
      <c r="KDQ14" s="63"/>
      <c r="KDR14" s="63"/>
      <c r="KDS14" s="63"/>
      <c r="KDT14" s="63"/>
      <c r="KDU14" s="63"/>
      <c r="KDV14" s="63"/>
      <c r="KDW14" s="63"/>
      <c r="KDX14" s="63"/>
      <c r="KDY14" s="63"/>
      <c r="KDZ14" s="54"/>
      <c r="KEA14" s="54"/>
      <c r="KEB14" s="54"/>
      <c r="KEC14" s="57"/>
      <c r="KED14" s="62"/>
      <c r="KEE14" s="63"/>
      <c r="KEF14" s="63"/>
      <c r="KEG14" s="63"/>
      <c r="KEH14" s="63"/>
      <c r="KEI14" s="63"/>
      <c r="KEJ14" s="63"/>
      <c r="KEK14" s="63"/>
      <c r="KEL14" s="63"/>
      <c r="KEM14" s="63"/>
      <c r="KEN14" s="63"/>
      <c r="KEO14" s="63"/>
      <c r="KEP14" s="54"/>
      <c r="KEQ14" s="54"/>
      <c r="KER14" s="54"/>
      <c r="KES14" s="57"/>
      <c r="KET14" s="62"/>
      <c r="KEU14" s="63"/>
      <c r="KEV14" s="63"/>
      <c r="KEW14" s="63"/>
      <c r="KEX14" s="63"/>
      <c r="KEY14" s="63"/>
      <c r="KEZ14" s="63"/>
      <c r="KFA14" s="63"/>
      <c r="KFB14" s="63"/>
      <c r="KFC14" s="63"/>
      <c r="KFD14" s="63"/>
      <c r="KFE14" s="63"/>
      <c r="KFF14" s="54"/>
      <c r="KFG14" s="54"/>
      <c r="KFH14" s="54"/>
      <c r="KFI14" s="57"/>
      <c r="KFJ14" s="62"/>
      <c r="KFK14" s="63"/>
      <c r="KFL14" s="63"/>
      <c r="KFM14" s="63"/>
      <c r="KFN14" s="63"/>
      <c r="KFO14" s="63"/>
      <c r="KFP14" s="63"/>
      <c r="KFQ14" s="63"/>
      <c r="KFR14" s="63"/>
      <c r="KFS14" s="63"/>
      <c r="KFT14" s="63"/>
      <c r="KFU14" s="63"/>
      <c r="KFV14" s="54"/>
      <c r="KFW14" s="54"/>
      <c r="KFX14" s="54"/>
      <c r="KFY14" s="57"/>
      <c r="KFZ14" s="62"/>
      <c r="KGA14" s="63"/>
      <c r="KGB14" s="63"/>
      <c r="KGC14" s="63"/>
      <c r="KGD14" s="63"/>
      <c r="KGE14" s="63"/>
      <c r="KGF14" s="63"/>
      <c r="KGG14" s="63"/>
      <c r="KGH14" s="63"/>
      <c r="KGI14" s="63"/>
      <c r="KGJ14" s="63"/>
      <c r="KGK14" s="63"/>
      <c r="KGL14" s="54"/>
      <c r="KGM14" s="54"/>
      <c r="KGN14" s="54"/>
      <c r="KGO14" s="57"/>
      <c r="KGP14" s="62"/>
      <c r="KGQ14" s="63"/>
      <c r="KGR14" s="63"/>
      <c r="KGS14" s="63"/>
      <c r="KGT14" s="63"/>
      <c r="KGU14" s="63"/>
      <c r="KGV14" s="63"/>
      <c r="KGW14" s="63"/>
      <c r="KGX14" s="63"/>
      <c r="KGY14" s="63"/>
      <c r="KGZ14" s="63"/>
      <c r="KHA14" s="63"/>
      <c r="KHB14" s="54"/>
      <c r="KHC14" s="54"/>
      <c r="KHD14" s="54"/>
      <c r="KHE14" s="57"/>
      <c r="KHF14" s="62"/>
      <c r="KHG14" s="63"/>
      <c r="KHH14" s="63"/>
      <c r="KHI14" s="63"/>
      <c r="KHJ14" s="63"/>
      <c r="KHK14" s="63"/>
      <c r="KHL14" s="63"/>
      <c r="KHM14" s="63"/>
      <c r="KHN14" s="63"/>
      <c r="KHO14" s="63"/>
      <c r="KHP14" s="63"/>
      <c r="KHQ14" s="63"/>
      <c r="KHR14" s="54"/>
      <c r="KHS14" s="54"/>
      <c r="KHT14" s="54"/>
      <c r="KHU14" s="57"/>
      <c r="KHV14" s="62"/>
      <c r="KHW14" s="63"/>
      <c r="KHX14" s="63"/>
      <c r="KHY14" s="63"/>
      <c r="KHZ14" s="63"/>
      <c r="KIA14" s="63"/>
      <c r="KIB14" s="63"/>
      <c r="KIC14" s="63"/>
      <c r="KID14" s="63"/>
      <c r="KIE14" s="63"/>
      <c r="KIF14" s="63"/>
      <c r="KIG14" s="63"/>
      <c r="KIH14" s="54"/>
      <c r="KII14" s="54"/>
      <c r="KIJ14" s="54"/>
      <c r="KIK14" s="57"/>
      <c r="KIL14" s="62"/>
      <c r="KIM14" s="63"/>
      <c r="KIN14" s="63"/>
      <c r="KIO14" s="63"/>
      <c r="KIP14" s="63"/>
      <c r="KIQ14" s="63"/>
      <c r="KIR14" s="63"/>
      <c r="KIS14" s="63"/>
      <c r="KIT14" s="63"/>
      <c r="KIU14" s="63"/>
      <c r="KIV14" s="63"/>
      <c r="KIW14" s="63"/>
      <c r="KIX14" s="54"/>
      <c r="KIY14" s="54"/>
      <c r="KIZ14" s="54"/>
      <c r="KJA14" s="57"/>
      <c r="KJB14" s="62"/>
      <c r="KJC14" s="63"/>
      <c r="KJD14" s="63"/>
      <c r="KJE14" s="63"/>
      <c r="KJF14" s="63"/>
      <c r="KJG14" s="63"/>
      <c r="KJH14" s="63"/>
      <c r="KJI14" s="63"/>
      <c r="KJJ14" s="63"/>
      <c r="KJK14" s="63"/>
      <c r="KJL14" s="63"/>
      <c r="KJM14" s="63"/>
      <c r="KJN14" s="54"/>
      <c r="KJO14" s="54"/>
      <c r="KJP14" s="54"/>
      <c r="KJQ14" s="57"/>
      <c r="KJR14" s="62"/>
      <c r="KJS14" s="63"/>
      <c r="KJT14" s="63"/>
      <c r="KJU14" s="63"/>
      <c r="KJV14" s="63"/>
      <c r="KJW14" s="63"/>
      <c r="KJX14" s="63"/>
      <c r="KJY14" s="63"/>
      <c r="KJZ14" s="63"/>
      <c r="KKA14" s="63"/>
      <c r="KKB14" s="63"/>
      <c r="KKC14" s="63"/>
      <c r="KKD14" s="54"/>
      <c r="KKE14" s="54"/>
      <c r="KKF14" s="54"/>
      <c r="KKG14" s="57"/>
      <c r="KKH14" s="62"/>
      <c r="KKI14" s="63"/>
      <c r="KKJ14" s="63"/>
      <c r="KKK14" s="63"/>
      <c r="KKL14" s="63"/>
      <c r="KKM14" s="63"/>
      <c r="KKN14" s="63"/>
      <c r="KKO14" s="63"/>
      <c r="KKP14" s="63"/>
      <c r="KKQ14" s="63"/>
      <c r="KKR14" s="63"/>
      <c r="KKS14" s="63"/>
      <c r="KKT14" s="54"/>
      <c r="KKU14" s="54"/>
      <c r="KKV14" s="54"/>
      <c r="KKW14" s="57"/>
      <c r="KKX14" s="62"/>
      <c r="KKY14" s="63"/>
      <c r="KKZ14" s="63"/>
      <c r="KLA14" s="63"/>
      <c r="KLB14" s="63"/>
      <c r="KLC14" s="63"/>
      <c r="KLD14" s="63"/>
      <c r="KLE14" s="63"/>
      <c r="KLF14" s="63"/>
      <c r="KLG14" s="63"/>
      <c r="KLH14" s="63"/>
      <c r="KLI14" s="63"/>
      <c r="KLJ14" s="54"/>
      <c r="KLK14" s="54"/>
      <c r="KLL14" s="54"/>
      <c r="KLM14" s="57"/>
      <c r="KLN14" s="62"/>
      <c r="KLO14" s="63"/>
      <c r="KLP14" s="63"/>
      <c r="KLQ14" s="63"/>
      <c r="KLR14" s="63"/>
      <c r="KLS14" s="63"/>
      <c r="KLT14" s="63"/>
      <c r="KLU14" s="63"/>
      <c r="KLV14" s="63"/>
      <c r="KLW14" s="63"/>
      <c r="KLX14" s="63"/>
      <c r="KLY14" s="63"/>
      <c r="KLZ14" s="54"/>
      <c r="KMA14" s="54"/>
      <c r="KMB14" s="54"/>
      <c r="KMC14" s="57"/>
      <c r="KMD14" s="62"/>
      <c r="KME14" s="63"/>
      <c r="KMF14" s="63"/>
      <c r="KMG14" s="63"/>
      <c r="KMH14" s="63"/>
      <c r="KMI14" s="63"/>
      <c r="KMJ14" s="63"/>
      <c r="KMK14" s="63"/>
      <c r="KML14" s="63"/>
      <c r="KMM14" s="63"/>
      <c r="KMN14" s="63"/>
      <c r="KMO14" s="63"/>
      <c r="KMP14" s="54"/>
      <c r="KMQ14" s="54"/>
      <c r="KMR14" s="54"/>
      <c r="KMS14" s="57"/>
      <c r="KMT14" s="62"/>
      <c r="KMU14" s="63"/>
      <c r="KMV14" s="63"/>
      <c r="KMW14" s="63"/>
      <c r="KMX14" s="63"/>
      <c r="KMY14" s="63"/>
      <c r="KMZ14" s="63"/>
      <c r="KNA14" s="63"/>
      <c r="KNB14" s="63"/>
      <c r="KNC14" s="63"/>
      <c r="KND14" s="63"/>
      <c r="KNE14" s="63"/>
      <c r="KNF14" s="54"/>
      <c r="KNG14" s="54"/>
      <c r="KNH14" s="54"/>
      <c r="KNI14" s="57"/>
      <c r="KNJ14" s="62"/>
      <c r="KNK14" s="63"/>
      <c r="KNL14" s="63"/>
      <c r="KNM14" s="63"/>
      <c r="KNN14" s="63"/>
      <c r="KNO14" s="63"/>
      <c r="KNP14" s="63"/>
      <c r="KNQ14" s="63"/>
      <c r="KNR14" s="63"/>
      <c r="KNS14" s="63"/>
      <c r="KNT14" s="63"/>
      <c r="KNU14" s="63"/>
      <c r="KNV14" s="54"/>
      <c r="KNW14" s="54"/>
      <c r="KNX14" s="54"/>
      <c r="KNY14" s="57"/>
      <c r="KNZ14" s="62"/>
      <c r="KOA14" s="63"/>
      <c r="KOB14" s="63"/>
      <c r="KOC14" s="63"/>
      <c r="KOD14" s="63"/>
      <c r="KOE14" s="63"/>
      <c r="KOF14" s="63"/>
      <c r="KOG14" s="63"/>
      <c r="KOH14" s="63"/>
      <c r="KOI14" s="63"/>
      <c r="KOJ14" s="63"/>
      <c r="KOK14" s="63"/>
      <c r="KOL14" s="54"/>
      <c r="KOM14" s="54"/>
      <c r="KON14" s="54"/>
      <c r="KOO14" s="57"/>
      <c r="KOP14" s="62"/>
      <c r="KOQ14" s="63"/>
      <c r="KOR14" s="63"/>
      <c r="KOS14" s="63"/>
      <c r="KOT14" s="63"/>
      <c r="KOU14" s="63"/>
      <c r="KOV14" s="63"/>
      <c r="KOW14" s="63"/>
      <c r="KOX14" s="63"/>
      <c r="KOY14" s="63"/>
      <c r="KOZ14" s="63"/>
      <c r="KPA14" s="63"/>
      <c r="KPB14" s="54"/>
      <c r="KPC14" s="54"/>
      <c r="KPD14" s="54"/>
      <c r="KPE14" s="57"/>
      <c r="KPF14" s="62"/>
      <c r="KPG14" s="63"/>
      <c r="KPH14" s="63"/>
      <c r="KPI14" s="63"/>
      <c r="KPJ14" s="63"/>
      <c r="KPK14" s="63"/>
      <c r="KPL14" s="63"/>
      <c r="KPM14" s="63"/>
      <c r="KPN14" s="63"/>
      <c r="KPO14" s="63"/>
      <c r="KPP14" s="63"/>
      <c r="KPQ14" s="63"/>
      <c r="KPR14" s="54"/>
      <c r="KPS14" s="54"/>
      <c r="KPT14" s="54"/>
      <c r="KPU14" s="57"/>
      <c r="KPV14" s="62"/>
      <c r="KPW14" s="63"/>
      <c r="KPX14" s="63"/>
      <c r="KPY14" s="63"/>
      <c r="KPZ14" s="63"/>
      <c r="KQA14" s="63"/>
      <c r="KQB14" s="63"/>
      <c r="KQC14" s="63"/>
      <c r="KQD14" s="63"/>
      <c r="KQE14" s="63"/>
      <c r="KQF14" s="63"/>
      <c r="KQG14" s="63"/>
      <c r="KQH14" s="54"/>
      <c r="KQI14" s="54"/>
      <c r="KQJ14" s="54"/>
      <c r="KQK14" s="57"/>
      <c r="KQL14" s="62"/>
      <c r="KQM14" s="63"/>
      <c r="KQN14" s="63"/>
      <c r="KQO14" s="63"/>
      <c r="KQP14" s="63"/>
      <c r="KQQ14" s="63"/>
      <c r="KQR14" s="63"/>
      <c r="KQS14" s="63"/>
      <c r="KQT14" s="63"/>
      <c r="KQU14" s="63"/>
      <c r="KQV14" s="63"/>
      <c r="KQW14" s="63"/>
      <c r="KQX14" s="54"/>
      <c r="KQY14" s="54"/>
      <c r="KQZ14" s="54"/>
      <c r="KRA14" s="57"/>
      <c r="KRB14" s="62"/>
      <c r="KRC14" s="63"/>
      <c r="KRD14" s="63"/>
      <c r="KRE14" s="63"/>
      <c r="KRF14" s="63"/>
      <c r="KRG14" s="63"/>
      <c r="KRH14" s="63"/>
      <c r="KRI14" s="63"/>
      <c r="KRJ14" s="63"/>
      <c r="KRK14" s="63"/>
      <c r="KRL14" s="63"/>
      <c r="KRM14" s="63"/>
      <c r="KRN14" s="54"/>
      <c r="KRO14" s="54"/>
      <c r="KRP14" s="54"/>
      <c r="KRQ14" s="57"/>
      <c r="KRR14" s="62"/>
      <c r="KRS14" s="63"/>
      <c r="KRT14" s="63"/>
      <c r="KRU14" s="63"/>
      <c r="KRV14" s="63"/>
      <c r="KRW14" s="63"/>
      <c r="KRX14" s="63"/>
      <c r="KRY14" s="63"/>
      <c r="KRZ14" s="63"/>
      <c r="KSA14" s="63"/>
      <c r="KSB14" s="63"/>
      <c r="KSC14" s="63"/>
      <c r="KSD14" s="54"/>
      <c r="KSE14" s="54"/>
      <c r="KSF14" s="54"/>
      <c r="KSG14" s="57"/>
      <c r="KSH14" s="62"/>
      <c r="KSI14" s="63"/>
      <c r="KSJ14" s="63"/>
      <c r="KSK14" s="63"/>
      <c r="KSL14" s="63"/>
      <c r="KSM14" s="63"/>
      <c r="KSN14" s="63"/>
      <c r="KSO14" s="63"/>
      <c r="KSP14" s="63"/>
      <c r="KSQ14" s="63"/>
      <c r="KSR14" s="63"/>
      <c r="KSS14" s="63"/>
      <c r="KST14" s="54"/>
      <c r="KSU14" s="54"/>
      <c r="KSV14" s="54"/>
      <c r="KSW14" s="57"/>
      <c r="KSX14" s="62"/>
      <c r="KSY14" s="63"/>
      <c r="KSZ14" s="63"/>
      <c r="KTA14" s="63"/>
      <c r="KTB14" s="63"/>
      <c r="KTC14" s="63"/>
      <c r="KTD14" s="63"/>
      <c r="KTE14" s="63"/>
      <c r="KTF14" s="63"/>
      <c r="KTG14" s="63"/>
      <c r="KTH14" s="63"/>
      <c r="KTI14" s="63"/>
      <c r="KTJ14" s="54"/>
      <c r="KTK14" s="54"/>
      <c r="KTL14" s="54"/>
      <c r="KTM14" s="57"/>
      <c r="KTN14" s="62"/>
      <c r="KTO14" s="63"/>
      <c r="KTP14" s="63"/>
      <c r="KTQ14" s="63"/>
      <c r="KTR14" s="63"/>
      <c r="KTS14" s="63"/>
      <c r="KTT14" s="63"/>
      <c r="KTU14" s="63"/>
      <c r="KTV14" s="63"/>
      <c r="KTW14" s="63"/>
      <c r="KTX14" s="63"/>
      <c r="KTY14" s="63"/>
      <c r="KTZ14" s="54"/>
      <c r="KUA14" s="54"/>
      <c r="KUB14" s="54"/>
      <c r="KUC14" s="57"/>
      <c r="KUD14" s="62"/>
      <c r="KUE14" s="63"/>
      <c r="KUF14" s="63"/>
      <c r="KUG14" s="63"/>
      <c r="KUH14" s="63"/>
      <c r="KUI14" s="63"/>
      <c r="KUJ14" s="63"/>
      <c r="KUK14" s="63"/>
      <c r="KUL14" s="63"/>
      <c r="KUM14" s="63"/>
      <c r="KUN14" s="63"/>
      <c r="KUO14" s="63"/>
      <c r="KUP14" s="54"/>
      <c r="KUQ14" s="54"/>
      <c r="KUR14" s="54"/>
      <c r="KUS14" s="57"/>
      <c r="KUT14" s="62"/>
      <c r="KUU14" s="63"/>
      <c r="KUV14" s="63"/>
      <c r="KUW14" s="63"/>
      <c r="KUX14" s="63"/>
      <c r="KUY14" s="63"/>
      <c r="KUZ14" s="63"/>
      <c r="KVA14" s="63"/>
      <c r="KVB14" s="63"/>
      <c r="KVC14" s="63"/>
      <c r="KVD14" s="63"/>
      <c r="KVE14" s="63"/>
      <c r="KVF14" s="54"/>
      <c r="KVG14" s="54"/>
      <c r="KVH14" s="54"/>
      <c r="KVI14" s="57"/>
      <c r="KVJ14" s="62"/>
      <c r="KVK14" s="63"/>
      <c r="KVL14" s="63"/>
      <c r="KVM14" s="63"/>
      <c r="KVN14" s="63"/>
      <c r="KVO14" s="63"/>
      <c r="KVP14" s="63"/>
      <c r="KVQ14" s="63"/>
      <c r="KVR14" s="63"/>
      <c r="KVS14" s="63"/>
      <c r="KVT14" s="63"/>
      <c r="KVU14" s="63"/>
      <c r="KVV14" s="54"/>
      <c r="KVW14" s="54"/>
      <c r="KVX14" s="54"/>
      <c r="KVY14" s="57"/>
      <c r="KVZ14" s="62"/>
      <c r="KWA14" s="63"/>
      <c r="KWB14" s="63"/>
      <c r="KWC14" s="63"/>
      <c r="KWD14" s="63"/>
      <c r="KWE14" s="63"/>
      <c r="KWF14" s="63"/>
      <c r="KWG14" s="63"/>
      <c r="KWH14" s="63"/>
      <c r="KWI14" s="63"/>
      <c r="KWJ14" s="63"/>
      <c r="KWK14" s="63"/>
      <c r="KWL14" s="54"/>
      <c r="KWM14" s="54"/>
      <c r="KWN14" s="54"/>
      <c r="KWO14" s="57"/>
      <c r="KWP14" s="62"/>
      <c r="KWQ14" s="63"/>
      <c r="KWR14" s="63"/>
      <c r="KWS14" s="63"/>
      <c r="KWT14" s="63"/>
      <c r="KWU14" s="63"/>
      <c r="KWV14" s="63"/>
      <c r="KWW14" s="63"/>
      <c r="KWX14" s="63"/>
      <c r="KWY14" s="63"/>
      <c r="KWZ14" s="63"/>
      <c r="KXA14" s="63"/>
      <c r="KXB14" s="54"/>
      <c r="KXC14" s="54"/>
      <c r="KXD14" s="54"/>
      <c r="KXE14" s="57"/>
      <c r="KXF14" s="62"/>
      <c r="KXG14" s="63"/>
      <c r="KXH14" s="63"/>
      <c r="KXI14" s="63"/>
      <c r="KXJ14" s="63"/>
      <c r="KXK14" s="63"/>
      <c r="KXL14" s="63"/>
      <c r="KXM14" s="63"/>
      <c r="KXN14" s="63"/>
      <c r="KXO14" s="63"/>
      <c r="KXP14" s="63"/>
      <c r="KXQ14" s="63"/>
      <c r="KXR14" s="54"/>
      <c r="KXS14" s="54"/>
      <c r="KXT14" s="54"/>
      <c r="KXU14" s="57"/>
      <c r="KXV14" s="62"/>
      <c r="KXW14" s="63"/>
      <c r="KXX14" s="63"/>
      <c r="KXY14" s="63"/>
      <c r="KXZ14" s="63"/>
      <c r="KYA14" s="63"/>
      <c r="KYB14" s="63"/>
      <c r="KYC14" s="63"/>
      <c r="KYD14" s="63"/>
      <c r="KYE14" s="63"/>
      <c r="KYF14" s="63"/>
      <c r="KYG14" s="63"/>
      <c r="KYH14" s="54"/>
      <c r="KYI14" s="54"/>
      <c r="KYJ14" s="54"/>
      <c r="KYK14" s="57"/>
      <c r="KYL14" s="62"/>
      <c r="KYM14" s="63"/>
      <c r="KYN14" s="63"/>
      <c r="KYO14" s="63"/>
      <c r="KYP14" s="63"/>
      <c r="KYQ14" s="63"/>
      <c r="KYR14" s="63"/>
      <c r="KYS14" s="63"/>
      <c r="KYT14" s="63"/>
      <c r="KYU14" s="63"/>
      <c r="KYV14" s="63"/>
      <c r="KYW14" s="63"/>
      <c r="KYX14" s="54"/>
      <c r="KYY14" s="54"/>
      <c r="KYZ14" s="54"/>
      <c r="KZA14" s="57"/>
      <c r="KZB14" s="62"/>
      <c r="KZC14" s="63"/>
      <c r="KZD14" s="63"/>
      <c r="KZE14" s="63"/>
      <c r="KZF14" s="63"/>
      <c r="KZG14" s="63"/>
      <c r="KZH14" s="63"/>
      <c r="KZI14" s="63"/>
      <c r="KZJ14" s="63"/>
      <c r="KZK14" s="63"/>
      <c r="KZL14" s="63"/>
      <c r="KZM14" s="63"/>
      <c r="KZN14" s="54"/>
      <c r="KZO14" s="54"/>
      <c r="KZP14" s="54"/>
      <c r="KZQ14" s="57"/>
      <c r="KZR14" s="62"/>
      <c r="KZS14" s="63"/>
      <c r="KZT14" s="63"/>
      <c r="KZU14" s="63"/>
      <c r="KZV14" s="63"/>
      <c r="KZW14" s="63"/>
      <c r="KZX14" s="63"/>
      <c r="KZY14" s="63"/>
      <c r="KZZ14" s="63"/>
      <c r="LAA14" s="63"/>
      <c r="LAB14" s="63"/>
      <c r="LAC14" s="63"/>
      <c r="LAD14" s="54"/>
      <c r="LAE14" s="54"/>
      <c r="LAF14" s="54"/>
      <c r="LAG14" s="57"/>
      <c r="LAH14" s="62"/>
      <c r="LAI14" s="63"/>
      <c r="LAJ14" s="63"/>
      <c r="LAK14" s="63"/>
      <c r="LAL14" s="63"/>
      <c r="LAM14" s="63"/>
      <c r="LAN14" s="63"/>
      <c r="LAO14" s="63"/>
      <c r="LAP14" s="63"/>
      <c r="LAQ14" s="63"/>
      <c r="LAR14" s="63"/>
      <c r="LAS14" s="63"/>
      <c r="LAT14" s="54"/>
      <c r="LAU14" s="54"/>
      <c r="LAV14" s="54"/>
      <c r="LAW14" s="57"/>
      <c r="LAX14" s="62"/>
      <c r="LAY14" s="63"/>
      <c r="LAZ14" s="63"/>
      <c r="LBA14" s="63"/>
      <c r="LBB14" s="63"/>
      <c r="LBC14" s="63"/>
      <c r="LBD14" s="63"/>
      <c r="LBE14" s="63"/>
      <c r="LBF14" s="63"/>
      <c r="LBG14" s="63"/>
      <c r="LBH14" s="63"/>
      <c r="LBI14" s="63"/>
      <c r="LBJ14" s="54"/>
      <c r="LBK14" s="54"/>
      <c r="LBL14" s="54"/>
      <c r="LBM14" s="57"/>
      <c r="LBN14" s="62"/>
      <c r="LBO14" s="63"/>
      <c r="LBP14" s="63"/>
      <c r="LBQ14" s="63"/>
      <c r="LBR14" s="63"/>
      <c r="LBS14" s="63"/>
      <c r="LBT14" s="63"/>
      <c r="LBU14" s="63"/>
      <c r="LBV14" s="63"/>
      <c r="LBW14" s="63"/>
      <c r="LBX14" s="63"/>
      <c r="LBY14" s="63"/>
      <c r="LBZ14" s="54"/>
      <c r="LCA14" s="54"/>
      <c r="LCB14" s="54"/>
      <c r="LCC14" s="57"/>
      <c r="LCD14" s="62"/>
      <c r="LCE14" s="63"/>
      <c r="LCF14" s="63"/>
      <c r="LCG14" s="63"/>
      <c r="LCH14" s="63"/>
      <c r="LCI14" s="63"/>
      <c r="LCJ14" s="63"/>
      <c r="LCK14" s="63"/>
      <c r="LCL14" s="63"/>
      <c r="LCM14" s="63"/>
      <c r="LCN14" s="63"/>
      <c r="LCO14" s="63"/>
      <c r="LCP14" s="54"/>
      <c r="LCQ14" s="54"/>
      <c r="LCR14" s="54"/>
      <c r="LCS14" s="57"/>
      <c r="LCT14" s="62"/>
      <c r="LCU14" s="63"/>
      <c r="LCV14" s="63"/>
      <c r="LCW14" s="63"/>
      <c r="LCX14" s="63"/>
      <c r="LCY14" s="63"/>
      <c r="LCZ14" s="63"/>
      <c r="LDA14" s="63"/>
      <c r="LDB14" s="63"/>
      <c r="LDC14" s="63"/>
      <c r="LDD14" s="63"/>
      <c r="LDE14" s="63"/>
      <c r="LDF14" s="54"/>
      <c r="LDG14" s="54"/>
      <c r="LDH14" s="54"/>
      <c r="LDI14" s="57"/>
      <c r="LDJ14" s="62"/>
      <c r="LDK14" s="63"/>
      <c r="LDL14" s="63"/>
      <c r="LDM14" s="63"/>
      <c r="LDN14" s="63"/>
      <c r="LDO14" s="63"/>
      <c r="LDP14" s="63"/>
      <c r="LDQ14" s="63"/>
      <c r="LDR14" s="63"/>
      <c r="LDS14" s="63"/>
      <c r="LDT14" s="63"/>
      <c r="LDU14" s="63"/>
      <c r="LDV14" s="54"/>
      <c r="LDW14" s="54"/>
      <c r="LDX14" s="54"/>
      <c r="LDY14" s="57"/>
      <c r="LDZ14" s="62"/>
      <c r="LEA14" s="63"/>
      <c r="LEB14" s="63"/>
      <c r="LEC14" s="63"/>
      <c r="LED14" s="63"/>
      <c r="LEE14" s="63"/>
      <c r="LEF14" s="63"/>
      <c r="LEG14" s="63"/>
      <c r="LEH14" s="63"/>
      <c r="LEI14" s="63"/>
      <c r="LEJ14" s="63"/>
      <c r="LEK14" s="63"/>
      <c r="LEL14" s="54"/>
      <c r="LEM14" s="54"/>
      <c r="LEN14" s="54"/>
      <c r="LEO14" s="57"/>
      <c r="LEP14" s="62"/>
      <c r="LEQ14" s="63"/>
      <c r="LER14" s="63"/>
      <c r="LES14" s="63"/>
      <c r="LET14" s="63"/>
      <c r="LEU14" s="63"/>
      <c r="LEV14" s="63"/>
      <c r="LEW14" s="63"/>
      <c r="LEX14" s="63"/>
      <c r="LEY14" s="63"/>
      <c r="LEZ14" s="63"/>
      <c r="LFA14" s="63"/>
      <c r="LFB14" s="54"/>
      <c r="LFC14" s="54"/>
      <c r="LFD14" s="54"/>
      <c r="LFE14" s="57"/>
      <c r="LFF14" s="62"/>
      <c r="LFG14" s="63"/>
      <c r="LFH14" s="63"/>
      <c r="LFI14" s="63"/>
      <c r="LFJ14" s="63"/>
      <c r="LFK14" s="63"/>
      <c r="LFL14" s="63"/>
      <c r="LFM14" s="63"/>
      <c r="LFN14" s="63"/>
      <c r="LFO14" s="63"/>
      <c r="LFP14" s="63"/>
      <c r="LFQ14" s="63"/>
      <c r="LFR14" s="54"/>
      <c r="LFS14" s="54"/>
      <c r="LFT14" s="54"/>
      <c r="LFU14" s="57"/>
      <c r="LFV14" s="62"/>
      <c r="LFW14" s="63"/>
      <c r="LFX14" s="63"/>
      <c r="LFY14" s="63"/>
      <c r="LFZ14" s="63"/>
      <c r="LGA14" s="63"/>
      <c r="LGB14" s="63"/>
      <c r="LGC14" s="63"/>
      <c r="LGD14" s="63"/>
      <c r="LGE14" s="63"/>
      <c r="LGF14" s="63"/>
      <c r="LGG14" s="63"/>
      <c r="LGH14" s="54"/>
      <c r="LGI14" s="54"/>
      <c r="LGJ14" s="54"/>
      <c r="LGK14" s="57"/>
      <c r="LGL14" s="62"/>
      <c r="LGM14" s="63"/>
      <c r="LGN14" s="63"/>
      <c r="LGO14" s="63"/>
      <c r="LGP14" s="63"/>
      <c r="LGQ14" s="63"/>
      <c r="LGR14" s="63"/>
      <c r="LGS14" s="63"/>
      <c r="LGT14" s="63"/>
      <c r="LGU14" s="63"/>
      <c r="LGV14" s="63"/>
      <c r="LGW14" s="63"/>
      <c r="LGX14" s="54"/>
      <c r="LGY14" s="54"/>
      <c r="LGZ14" s="54"/>
      <c r="LHA14" s="57"/>
      <c r="LHB14" s="62"/>
      <c r="LHC14" s="63"/>
      <c r="LHD14" s="63"/>
      <c r="LHE14" s="63"/>
      <c r="LHF14" s="63"/>
      <c r="LHG14" s="63"/>
      <c r="LHH14" s="63"/>
      <c r="LHI14" s="63"/>
      <c r="LHJ14" s="63"/>
      <c r="LHK14" s="63"/>
      <c r="LHL14" s="63"/>
      <c r="LHM14" s="63"/>
      <c r="LHN14" s="54"/>
      <c r="LHO14" s="54"/>
      <c r="LHP14" s="54"/>
      <c r="LHQ14" s="57"/>
      <c r="LHR14" s="62"/>
      <c r="LHS14" s="63"/>
      <c r="LHT14" s="63"/>
      <c r="LHU14" s="63"/>
      <c r="LHV14" s="63"/>
      <c r="LHW14" s="63"/>
      <c r="LHX14" s="63"/>
      <c r="LHY14" s="63"/>
      <c r="LHZ14" s="63"/>
      <c r="LIA14" s="63"/>
      <c r="LIB14" s="63"/>
      <c r="LIC14" s="63"/>
      <c r="LID14" s="54"/>
      <c r="LIE14" s="54"/>
      <c r="LIF14" s="54"/>
      <c r="LIG14" s="57"/>
      <c r="LIH14" s="62"/>
      <c r="LII14" s="63"/>
      <c r="LIJ14" s="63"/>
      <c r="LIK14" s="63"/>
      <c r="LIL14" s="63"/>
      <c r="LIM14" s="63"/>
      <c r="LIN14" s="63"/>
      <c r="LIO14" s="63"/>
      <c r="LIP14" s="63"/>
      <c r="LIQ14" s="63"/>
      <c r="LIR14" s="63"/>
      <c r="LIS14" s="63"/>
      <c r="LIT14" s="54"/>
      <c r="LIU14" s="54"/>
      <c r="LIV14" s="54"/>
      <c r="LIW14" s="57"/>
      <c r="LIX14" s="62"/>
      <c r="LIY14" s="63"/>
      <c r="LIZ14" s="63"/>
      <c r="LJA14" s="63"/>
      <c r="LJB14" s="63"/>
      <c r="LJC14" s="63"/>
      <c r="LJD14" s="63"/>
      <c r="LJE14" s="63"/>
      <c r="LJF14" s="63"/>
      <c r="LJG14" s="63"/>
      <c r="LJH14" s="63"/>
      <c r="LJI14" s="63"/>
      <c r="LJJ14" s="54"/>
      <c r="LJK14" s="54"/>
      <c r="LJL14" s="54"/>
      <c r="LJM14" s="57"/>
      <c r="LJN14" s="62"/>
      <c r="LJO14" s="63"/>
      <c r="LJP14" s="63"/>
      <c r="LJQ14" s="63"/>
      <c r="LJR14" s="63"/>
      <c r="LJS14" s="63"/>
      <c r="LJT14" s="63"/>
      <c r="LJU14" s="63"/>
      <c r="LJV14" s="63"/>
      <c r="LJW14" s="63"/>
      <c r="LJX14" s="63"/>
      <c r="LJY14" s="63"/>
      <c r="LJZ14" s="54"/>
      <c r="LKA14" s="54"/>
      <c r="LKB14" s="54"/>
      <c r="LKC14" s="57"/>
      <c r="LKD14" s="62"/>
      <c r="LKE14" s="63"/>
      <c r="LKF14" s="63"/>
      <c r="LKG14" s="63"/>
      <c r="LKH14" s="63"/>
      <c r="LKI14" s="63"/>
      <c r="LKJ14" s="63"/>
      <c r="LKK14" s="63"/>
      <c r="LKL14" s="63"/>
      <c r="LKM14" s="63"/>
      <c r="LKN14" s="63"/>
      <c r="LKO14" s="63"/>
      <c r="LKP14" s="54"/>
      <c r="LKQ14" s="54"/>
      <c r="LKR14" s="54"/>
      <c r="LKS14" s="57"/>
      <c r="LKT14" s="62"/>
      <c r="LKU14" s="63"/>
      <c r="LKV14" s="63"/>
      <c r="LKW14" s="63"/>
      <c r="LKX14" s="63"/>
      <c r="LKY14" s="63"/>
      <c r="LKZ14" s="63"/>
      <c r="LLA14" s="63"/>
      <c r="LLB14" s="63"/>
      <c r="LLC14" s="63"/>
      <c r="LLD14" s="63"/>
      <c r="LLE14" s="63"/>
      <c r="LLF14" s="54"/>
      <c r="LLG14" s="54"/>
      <c r="LLH14" s="54"/>
      <c r="LLI14" s="57"/>
      <c r="LLJ14" s="62"/>
      <c r="LLK14" s="63"/>
      <c r="LLL14" s="63"/>
      <c r="LLM14" s="63"/>
      <c r="LLN14" s="63"/>
      <c r="LLO14" s="63"/>
      <c r="LLP14" s="63"/>
      <c r="LLQ14" s="63"/>
      <c r="LLR14" s="63"/>
      <c r="LLS14" s="63"/>
      <c r="LLT14" s="63"/>
      <c r="LLU14" s="63"/>
      <c r="LLV14" s="54"/>
      <c r="LLW14" s="54"/>
      <c r="LLX14" s="54"/>
      <c r="LLY14" s="57"/>
      <c r="LLZ14" s="62"/>
      <c r="LMA14" s="63"/>
      <c r="LMB14" s="63"/>
      <c r="LMC14" s="63"/>
      <c r="LMD14" s="63"/>
      <c r="LME14" s="63"/>
      <c r="LMF14" s="63"/>
      <c r="LMG14" s="63"/>
      <c r="LMH14" s="63"/>
      <c r="LMI14" s="63"/>
      <c r="LMJ14" s="63"/>
      <c r="LMK14" s="63"/>
      <c r="LML14" s="54"/>
      <c r="LMM14" s="54"/>
      <c r="LMN14" s="54"/>
      <c r="LMO14" s="57"/>
      <c r="LMP14" s="62"/>
      <c r="LMQ14" s="63"/>
      <c r="LMR14" s="63"/>
      <c r="LMS14" s="63"/>
      <c r="LMT14" s="63"/>
      <c r="LMU14" s="63"/>
      <c r="LMV14" s="63"/>
      <c r="LMW14" s="63"/>
      <c r="LMX14" s="63"/>
      <c r="LMY14" s="63"/>
      <c r="LMZ14" s="63"/>
      <c r="LNA14" s="63"/>
      <c r="LNB14" s="54"/>
      <c r="LNC14" s="54"/>
      <c r="LND14" s="54"/>
      <c r="LNE14" s="57"/>
      <c r="LNF14" s="62"/>
      <c r="LNG14" s="63"/>
      <c r="LNH14" s="63"/>
      <c r="LNI14" s="63"/>
      <c r="LNJ14" s="63"/>
      <c r="LNK14" s="63"/>
      <c r="LNL14" s="63"/>
      <c r="LNM14" s="63"/>
      <c r="LNN14" s="63"/>
      <c r="LNO14" s="63"/>
      <c r="LNP14" s="63"/>
      <c r="LNQ14" s="63"/>
      <c r="LNR14" s="54"/>
      <c r="LNS14" s="54"/>
      <c r="LNT14" s="54"/>
      <c r="LNU14" s="57"/>
      <c r="LNV14" s="62"/>
      <c r="LNW14" s="63"/>
      <c r="LNX14" s="63"/>
      <c r="LNY14" s="63"/>
      <c r="LNZ14" s="63"/>
      <c r="LOA14" s="63"/>
      <c r="LOB14" s="63"/>
      <c r="LOC14" s="63"/>
      <c r="LOD14" s="63"/>
      <c r="LOE14" s="63"/>
      <c r="LOF14" s="63"/>
      <c r="LOG14" s="63"/>
      <c r="LOH14" s="54"/>
      <c r="LOI14" s="54"/>
      <c r="LOJ14" s="54"/>
      <c r="LOK14" s="57"/>
      <c r="LOL14" s="62"/>
      <c r="LOM14" s="63"/>
      <c r="LON14" s="63"/>
      <c r="LOO14" s="63"/>
      <c r="LOP14" s="63"/>
      <c r="LOQ14" s="63"/>
      <c r="LOR14" s="63"/>
      <c r="LOS14" s="63"/>
      <c r="LOT14" s="63"/>
      <c r="LOU14" s="63"/>
      <c r="LOV14" s="63"/>
      <c r="LOW14" s="63"/>
      <c r="LOX14" s="54"/>
      <c r="LOY14" s="54"/>
      <c r="LOZ14" s="54"/>
      <c r="LPA14" s="57"/>
      <c r="LPB14" s="62"/>
      <c r="LPC14" s="63"/>
      <c r="LPD14" s="63"/>
      <c r="LPE14" s="63"/>
      <c r="LPF14" s="63"/>
      <c r="LPG14" s="63"/>
      <c r="LPH14" s="63"/>
      <c r="LPI14" s="63"/>
      <c r="LPJ14" s="63"/>
      <c r="LPK14" s="63"/>
      <c r="LPL14" s="63"/>
      <c r="LPM14" s="63"/>
      <c r="LPN14" s="54"/>
      <c r="LPO14" s="54"/>
      <c r="LPP14" s="54"/>
      <c r="LPQ14" s="57"/>
      <c r="LPR14" s="62"/>
      <c r="LPS14" s="63"/>
      <c r="LPT14" s="63"/>
      <c r="LPU14" s="63"/>
      <c r="LPV14" s="63"/>
      <c r="LPW14" s="63"/>
      <c r="LPX14" s="63"/>
      <c r="LPY14" s="63"/>
      <c r="LPZ14" s="63"/>
      <c r="LQA14" s="63"/>
      <c r="LQB14" s="63"/>
      <c r="LQC14" s="63"/>
      <c r="LQD14" s="54"/>
      <c r="LQE14" s="54"/>
      <c r="LQF14" s="54"/>
      <c r="LQG14" s="57"/>
      <c r="LQH14" s="62"/>
      <c r="LQI14" s="63"/>
      <c r="LQJ14" s="63"/>
      <c r="LQK14" s="63"/>
      <c r="LQL14" s="63"/>
      <c r="LQM14" s="63"/>
      <c r="LQN14" s="63"/>
      <c r="LQO14" s="63"/>
      <c r="LQP14" s="63"/>
      <c r="LQQ14" s="63"/>
      <c r="LQR14" s="63"/>
      <c r="LQS14" s="63"/>
      <c r="LQT14" s="54"/>
      <c r="LQU14" s="54"/>
      <c r="LQV14" s="54"/>
      <c r="LQW14" s="57"/>
      <c r="LQX14" s="62"/>
      <c r="LQY14" s="63"/>
      <c r="LQZ14" s="63"/>
      <c r="LRA14" s="63"/>
      <c r="LRB14" s="63"/>
      <c r="LRC14" s="63"/>
      <c r="LRD14" s="63"/>
      <c r="LRE14" s="63"/>
      <c r="LRF14" s="63"/>
      <c r="LRG14" s="63"/>
      <c r="LRH14" s="63"/>
      <c r="LRI14" s="63"/>
      <c r="LRJ14" s="54"/>
      <c r="LRK14" s="54"/>
      <c r="LRL14" s="54"/>
      <c r="LRM14" s="57"/>
      <c r="LRN14" s="62"/>
      <c r="LRO14" s="63"/>
      <c r="LRP14" s="63"/>
      <c r="LRQ14" s="63"/>
      <c r="LRR14" s="63"/>
      <c r="LRS14" s="63"/>
      <c r="LRT14" s="63"/>
      <c r="LRU14" s="63"/>
      <c r="LRV14" s="63"/>
      <c r="LRW14" s="63"/>
      <c r="LRX14" s="63"/>
      <c r="LRY14" s="63"/>
      <c r="LRZ14" s="54"/>
      <c r="LSA14" s="54"/>
      <c r="LSB14" s="54"/>
      <c r="LSC14" s="57"/>
      <c r="LSD14" s="62"/>
      <c r="LSE14" s="63"/>
      <c r="LSF14" s="63"/>
      <c r="LSG14" s="63"/>
      <c r="LSH14" s="63"/>
      <c r="LSI14" s="63"/>
      <c r="LSJ14" s="63"/>
      <c r="LSK14" s="63"/>
      <c r="LSL14" s="63"/>
      <c r="LSM14" s="63"/>
      <c r="LSN14" s="63"/>
      <c r="LSO14" s="63"/>
      <c r="LSP14" s="54"/>
      <c r="LSQ14" s="54"/>
      <c r="LSR14" s="54"/>
      <c r="LSS14" s="57"/>
      <c r="LST14" s="62"/>
      <c r="LSU14" s="63"/>
      <c r="LSV14" s="63"/>
      <c r="LSW14" s="63"/>
      <c r="LSX14" s="63"/>
      <c r="LSY14" s="63"/>
      <c r="LSZ14" s="63"/>
      <c r="LTA14" s="63"/>
      <c r="LTB14" s="63"/>
      <c r="LTC14" s="63"/>
      <c r="LTD14" s="63"/>
      <c r="LTE14" s="63"/>
      <c r="LTF14" s="54"/>
      <c r="LTG14" s="54"/>
      <c r="LTH14" s="54"/>
      <c r="LTI14" s="57"/>
      <c r="LTJ14" s="62"/>
      <c r="LTK14" s="63"/>
      <c r="LTL14" s="63"/>
      <c r="LTM14" s="63"/>
      <c r="LTN14" s="63"/>
      <c r="LTO14" s="63"/>
      <c r="LTP14" s="63"/>
      <c r="LTQ14" s="63"/>
      <c r="LTR14" s="63"/>
      <c r="LTS14" s="63"/>
      <c r="LTT14" s="63"/>
      <c r="LTU14" s="63"/>
      <c r="LTV14" s="54"/>
      <c r="LTW14" s="54"/>
      <c r="LTX14" s="54"/>
      <c r="LTY14" s="57"/>
      <c r="LTZ14" s="62"/>
      <c r="LUA14" s="63"/>
      <c r="LUB14" s="63"/>
      <c r="LUC14" s="63"/>
      <c r="LUD14" s="63"/>
      <c r="LUE14" s="63"/>
      <c r="LUF14" s="63"/>
      <c r="LUG14" s="63"/>
      <c r="LUH14" s="63"/>
      <c r="LUI14" s="63"/>
      <c r="LUJ14" s="63"/>
      <c r="LUK14" s="63"/>
      <c r="LUL14" s="54"/>
      <c r="LUM14" s="54"/>
      <c r="LUN14" s="54"/>
      <c r="LUO14" s="57"/>
      <c r="LUP14" s="62"/>
      <c r="LUQ14" s="63"/>
      <c r="LUR14" s="63"/>
      <c r="LUS14" s="63"/>
      <c r="LUT14" s="63"/>
      <c r="LUU14" s="63"/>
      <c r="LUV14" s="63"/>
      <c r="LUW14" s="63"/>
      <c r="LUX14" s="63"/>
      <c r="LUY14" s="63"/>
      <c r="LUZ14" s="63"/>
      <c r="LVA14" s="63"/>
      <c r="LVB14" s="54"/>
      <c r="LVC14" s="54"/>
      <c r="LVD14" s="54"/>
      <c r="LVE14" s="57"/>
      <c r="LVF14" s="62"/>
      <c r="LVG14" s="63"/>
      <c r="LVH14" s="63"/>
      <c r="LVI14" s="63"/>
      <c r="LVJ14" s="63"/>
      <c r="LVK14" s="63"/>
      <c r="LVL14" s="63"/>
      <c r="LVM14" s="63"/>
      <c r="LVN14" s="63"/>
      <c r="LVO14" s="63"/>
      <c r="LVP14" s="63"/>
      <c r="LVQ14" s="63"/>
      <c r="LVR14" s="54"/>
      <c r="LVS14" s="54"/>
      <c r="LVT14" s="54"/>
      <c r="LVU14" s="57"/>
      <c r="LVV14" s="62"/>
      <c r="LVW14" s="63"/>
      <c r="LVX14" s="63"/>
      <c r="LVY14" s="63"/>
      <c r="LVZ14" s="63"/>
      <c r="LWA14" s="63"/>
      <c r="LWB14" s="63"/>
      <c r="LWC14" s="63"/>
      <c r="LWD14" s="63"/>
      <c r="LWE14" s="63"/>
      <c r="LWF14" s="63"/>
      <c r="LWG14" s="63"/>
      <c r="LWH14" s="54"/>
      <c r="LWI14" s="54"/>
      <c r="LWJ14" s="54"/>
      <c r="LWK14" s="57"/>
      <c r="LWL14" s="62"/>
      <c r="LWM14" s="63"/>
      <c r="LWN14" s="63"/>
      <c r="LWO14" s="63"/>
      <c r="LWP14" s="63"/>
      <c r="LWQ14" s="63"/>
      <c r="LWR14" s="63"/>
      <c r="LWS14" s="63"/>
      <c r="LWT14" s="63"/>
      <c r="LWU14" s="63"/>
      <c r="LWV14" s="63"/>
      <c r="LWW14" s="63"/>
      <c r="LWX14" s="54"/>
      <c r="LWY14" s="54"/>
      <c r="LWZ14" s="54"/>
      <c r="LXA14" s="57"/>
      <c r="LXB14" s="62"/>
      <c r="LXC14" s="63"/>
      <c r="LXD14" s="63"/>
      <c r="LXE14" s="63"/>
      <c r="LXF14" s="63"/>
      <c r="LXG14" s="63"/>
      <c r="LXH14" s="63"/>
      <c r="LXI14" s="63"/>
      <c r="LXJ14" s="63"/>
      <c r="LXK14" s="63"/>
      <c r="LXL14" s="63"/>
      <c r="LXM14" s="63"/>
      <c r="LXN14" s="54"/>
      <c r="LXO14" s="54"/>
      <c r="LXP14" s="54"/>
      <c r="LXQ14" s="57"/>
      <c r="LXR14" s="62"/>
      <c r="LXS14" s="63"/>
      <c r="LXT14" s="63"/>
      <c r="LXU14" s="63"/>
      <c r="LXV14" s="63"/>
      <c r="LXW14" s="63"/>
      <c r="LXX14" s="63"/>
      <c r="LXY14" s="63"/>
      <c r="LXZ14" s="63"/>
      <c r="LYA14" s="63"/>
      <c r="LYB14" s="63"/>
      <c r="LYC14" s="63"/>
      <c r="LYD14" s="54"/>
      <c r="LYE14" s="54"/>
      <c r="LYF14" s="54"/>
      <c r="LYG14" s="57"/>
      <c r="LYH14" s="62"/>
      <c r="LYI14" s="63"/>
      <c r="LYJ14" s="63"/>
      <c r="LYK14" s="63"/>
      <c r="LYL14" s="63"/>
      <c r="LYM14" s="63"/>
      <c r="LYN14" s="63"/>
      <c r="LYO14" s="63"/>
      <c r="LYP14" s="63"/>
      <c r="LYQ14" s="63"/>
      <c r="LYR14" s="63"/>
      <c r="LYS14" s="63"/>
      <c r="LYT14" s="54"/>
      <c r="LYU14" s="54"/>
      <c r="LYV14" s="54"/>
      <c r="LYW14" s="57"/>
      <c r="LYX14" s="62"/>
      <c r="LYY14" s="63"/>
      <c r="LYZ14" s="63"/>
      <c r="LZA14" s="63"/>
      <c r="LZB14" s="63"/>
      <c r="LZC14" s="63"/>
      <c r="LZD14" s="63"/>
      <c r="LZE14" s="63"/>
      <c r="LZF14" s="63"/>
      <c r="LZG14" s="63"/>
      <c r="LZH14" s="63"/>
      <c r="LZI14" s="63"/>
      <c r="LZJ14" s="54"/>
      <c r="LZK14" s="54"/>
      <c r="LZL14" s="54"/>
      <c r="LZM14" s="57"/>
      <c r="LZN14" s="62"/>
      <c r="LZO14" s="63"/>
      <c r="LZP14" s="63"/>
      <c r="LZQ14" s="63"/>
      <c r="LZR14" s="63"/>
      <c r="LZS14" s="63"/>
      <c r="LZT14" s="63"/>
      <c r="LZU14" s="63"/>
      <c r="LZV14" s="63"/>
      <c r="LZW14" s="63"/>
      <c r="LZX14" s="63"/>
      <c r="LZY14" s="63"/>
      <c r="LZZ14" s="54"/>
      <c r="MAA14" s="54"/>
      <c r="MAB14" s="54"/>
      <c r="MAC14" s="57"/>
      <c r="MAD14" s="62"/>
      <c r="MAE14" s="63"/>
      <c r="MAF14" s="63"/>
      <c r="MAG14" s="63"/>
      <c r="MAH14" s="63"/>
      <c r="MAI14" s="63"/>
      <c r="MAJ14" s="63"/>
      <c r="MAK14" s="63"/>
      <c r="MAL14" s="63"/>
      <c r="MAM14" s="63"/>
      <c r="MAN14" s="63"/>
      <c r="MAO14" s="63"/>
      <c r="MAP14" s="54"/>
      <c r="MAQ14" s="54"/>
      <c r="MAR14" s="54"/>
      <c r="MAS14" s="57"/>
      <c r="MAT14" s="62"/>
      <c r="MAU14" s="63"/>
      <c r="MAV14" s="63"/>
      <c r="MAW14" s="63"/>
      <c r="MAX14" s="63"/>
      <c r="MAY14" s="63"/>
      <c r="MAZ14" s="63"/>
      <c r="MBA14" s="63"/>
      <c r="MBB14" s="63"/>
      <c r="MBC14" s="63"/>
      <c r="MBD14" s="63"/>
      <c r="MBE14" s="63"/>
      <c r="MBF14" s="54"/>
      <c r="MBG14" s="54"/>
      <c r="MBH14" s="54"/>
      <c r="MBI14" s="57"/>
      <c r="MBJ14" s="62"/>
      <c r="MBK14" s="63"/>
      <c r="MBL14" s="63"/>
      <c r="MBM14" s="63"/>
      <c r="MBN14" s="63"/>
      <c r="MBO14" s="63"/>
      <c r="MBP14" s="63"/>
      <c r="MBQ14" s="63"/>
      <c r="MBR14" s="63"/>
      <c r="MBS14" s="63"/>
      <c r="MBT14" s="63"/>
      <c r="MBU14" s="63"/>
      <c r="MBV14" s="54"/>
      <c r="MBW14" s="54"/>
      <c r="MBX14" s="54"/>
      <c r="MBY14" s="57"/>
      <c r="MBZ14" s="62"/>
      <c r="MCA14" s="63"/>
      <c r="MCB14" s="63"/>
      <c r="MCC14" s="63"/>
      <c r="MCD14" s="63"/>
      <c r="MCE14" s="63"/>
      <c r="MCF14" s="63"/>
      <c r="MCG14" s="63"/>
      <c r="MCH14" s="63"/>
      <c r="MCI14" s="63"/>
      <c r="MCJ14" s="63"/>
      <c r="MCK14" s="63"/>
      <c r="MCL14" s="54"/>
      <c r="MCM14" s="54"/>
      <c r="MCN14" s="54"/>
      <c r="MCO14" s="57"/>
      <c r="MCP14" s="62"/>
      <c r="MCQ14" s="63"/>
      <c r="MCR14" s="63"/>
      <c r="MCS14" s="63"/>
      <c r="MCT14" s="63"/>
      <c r="MCU14" s="63"/>
      <c r="MCV14" s="63"/>
      <c r="MCW14" s="63"/>
      <c r="MCX14" s="63"/>
      <c r="MCY14" s="63"/>
      <c r="MCZ14" s="63"/>
      <c r="MDA14" s="63"/>
      <c r="MDB14" s="54"/>
      <c r="MDC14" s="54"/>
      <c r="MDD14" s="54"/>
      <c r="MDE14" s="57"/>
      <c r="MDF14" s="62"/>
      <c r="MDG14" s="63"/>
      <c r="MDH14" s="63"/>
      <c r="MDI14" s="63"/>
      <c r="MDJ14" s="63"/>
      <c r="MDK14" s="63"/>
      <c r="MDL14" s="63"/>
      <c r="MDM14" s="63"/>
      <c r="MDN14" s="63"/>
      <c r="MDO14" s="63"/>
      <c r="MDP14" s="63"/>
      <c r="MDQ14" s="63"/>
      <c r="MDR14" s="54"/>
      <c r="MDS14" s="54"/>
      <c r="MDT14" s="54"/>
      <c r="MDU14" s="57"/>
      <c r="MDV14" s="62"/>
      <c r="MDW14" s="63"/>
      <c r="MDX14" s="63"/>
      <c r="MDY14" s="63"/>
      <c r="MDZ14" s="63"/>
      <c r="MEA14" s="63"/>
      <c r="MEB14" s="63"/>
      <c r="MEC14" s="63"/>
      <c r="MED14" s="63"/>
      <c r="MEE14" s="63"/>
      <c r="MEF14" s="63"/>
      <c r="MEG14" s="63"/>
      <c r="MEH14" s="54"/>
      <c r="MEI14" s="54"/>
      <c r="MEJ14" s="54"/>
      <c r="MEK14" s="57"/>
      <c r="MEL14" s="62"/>
      <c r="MEM14" s="63"/>
      <c r="MEN14" s="63"/>
      <c r="MEO14" s="63"/>
      <c r="MEP14" s="63"/>
      <c r="MEQ14" s="63"/>
      <c r="MER14" s="63"/>
      <c r="MES14" s="63"/>
      <c r="MET14" s="63"/>
      <c r="MEU14" s="63"/>
      <c r="MEV14" s="63"/>
      <c r="MEW14" s="63"/>
      <c r="MEX14" s="54"/>
      <c r="MEY14" s="54"/>
      <c r="MEZ14" s="54"/>
      <c r="MFA14" s="57"/>
      <c r="MFB14" s="62"/>
      <c r="MFC14" s="63"/>
      <c r="MFD14" s="63"/>
      <c r="MFE14" s="63"/>
      <c r="MFF14" s="63"/>
      <c r="MFG14" s="63"/>
      <c r="MFH14" s="63"/>
      <c r="MFI14" s="63"/>
      <c r="MFJ14" s="63"/>
      <c r="MFK14" s="63"/>
      <c r="MFL14" s="63"/>
      <c r="MFM14" s="63"/>
      <c r="MFN14" s="54"/>
      <c r="MFO14" s="54"/>
      <c r="MFP14" s="54"/>
      <c r="MFQ14" s="57"/>
      <c r="MFR14" s="62"/>
      <c r="MFS14" s="63"/>
      <c r="MFT14" s="63"/>
      <c r="MFU14" s="63"/>
      <c r="MFV14" s="63"/>
      <c r="MFW14" s="63"/>
      <c r="MFX14" s="63"/>
      <c r="MFY14" s="63"/>
      <c r="MFZ14" s="63"/>
      <c r="MGA14" s="63"/>
      <c r="MGB14" s="63"/>
      <c r="MGC14" s="63"/>
      <c r="MGD14" s="54"/>
      <c r="MGE14" s="54"/>
      <c r="MGF14" s="54"/>
      <c r="MGG14" s="57"/>
      <c r="MGH14" s="62"/>
      <c r="MGI14" s="63"/>
      <c r="MGJ14" s="63"/>
      <c r="MGK14" s="63"/>
      <c r="MGL14" s="63"/>
      <c r="MGM14" s="63"/>
      <c r="MGN14" s="63"/>
      <c r="MGO14" s="63"/>
      <c r="MGP14" s="63"/>
      <c r="MGQ14" s="63"/>
      <c r="MGR14" s="63"/>
      <c r="MGS14" s="63"/>
      <c r="MGT14" s="54"/>
      <c r="MGU14" s="54"/>
      <c r="MGV14" s="54"/>
      <c r="MGW14" s="57"/>
      <c r="MGX14" s="62"/>
      <c r="MGY14" s="63"/>
      <c r="MGZ14" s="63"/>
      <c r="MHA14" s="63"/>
      <c r="MHB14" s="63"/>
      <c r="MHC14" s="63"/>
      <c r="MHD14" s="63"/>
      <c r="MHE14" s="63"/>
      <c r="MHF14" s="63"/>
      <c r="MHG14" s="63"/>
      <c r="MHH14" s="63"/>
      <c r="MHI14" s="63"/>
      <c r="MHJ14" s="54"/>
      <c r="MHK14" s="54"/>
      <c r="MHL14" s="54"/>
      <c r="MHM14" s="57"/>
      <c r="MHN14" s="62"/>
      <c r="MHO14" s="63"/>
      <c r="MHP14" s="63"/>
      <c r="MHQ14" s="63"/>
      <c r="MHR14" s="63"/>
      <c r="MHS14" s="63"/>
      <c r="MHT14" s="63"/>
      <c r="MHU14" s="63"/>
      <c r="MHV14" s="63"/>
      <c r="MHW14" s="63"/>
      <c r="MHX14" s="63"/>
      <c r="MHY14" s="63"/>
      <c r="MHZ14" s="54"/>
      <c r="MIA14" s="54"/>
      <c r="MIB14" s="54"/>
      <c r="MIC14" s="57"/>
      <c r="MID14" s="62"/>
      <c r="MIE14" s="63"/>
      <c r="MIF14" s="63"/>
      <c r="MIG14" s="63"/>
      <c r="MIH14" s="63"/>
      <c r="MII14" s="63"/>
      <c r="MIJ14" s="63"/>
      <c r="MIK14" s="63"/>
      <c r="MIL14" s="63"/>
      <c r="MIM14" s="63"/>
      <c r="MIN14" s="63"/>
      <c r="MIO14" s="63"/>
      <c r="MIP14" s="54"/>
      <c r="MIQ14" s="54"/>
      <c r="MIR14" s="54"/>
      <c r="MIS14" s="57"/>
      <c r="MIT14" s="62"/>
      <c r="MIU14" s="63"/>
      <c r="MIV14" s="63"/>
      <c r="MIW14" s="63"/>
      <c r="MIX14" s="63"/>
      <c r="MIY14" s="63"/>
      <c r="MIZ14" s="63"/>
      <c r="MJA14" s="63"/>
      <c r="MJB14" s="63"/>
      <c r="MJC14" s="63"/>
      <c r="MJD14" s="63"/>
      <c r="MJE14" s="63"/>
      <c r="MJF14" s="54"/>
      <c r="MJG14" s="54"/>
      <c r="MJH14" s="54"/>
      <c r="MJI14" s="57"/>
      <c r="MJJ14" s="62"/>
      <c r="MJK14" s="63"/>
      <c r="MJL14" s="63"/>
      <c r="MJM14" s="63"/>
      <c r="MJN14" s="63"/>
      <c r="MJO14" s="63"/>
      <c r="MJP14" s="63"/>
      <c r="MJQ14" s="63"/>
      <c r="MJR14" s="63"/>
      <c r="MJS14" s="63"/>
      <c r="MJT14" s="63"/>
      <c r="MJU14" s="63"/>
      <c r="MJV14" s="54"/>
      <c r="MJW14" s="54"/>
      <c r="MJX14" s="54"/>
      <c r="MJY14" s="57"/>
      <c r="MJZ14" s="62"/>
      <c r="MKA14" s="63"/>
      <c r="MKB14" s="63"/>
      <c r="MKC14" s="63"/>
      <c r="MKD14" s="63"/>
      <c r="MKE14" s="63"/>
      <c r="MKF14" s="63"/>
      <c r="MKG14" s="63"/>
      <c r="MKH14" s="63"/>
      <c r="MKI14" s="63"/>
      <c r="MKJ14" s="63"/>
      <c r="MKK14" s="63"/>
      <c r="MKL14" s="54"/>
      <c r="MKM14" s="54"/>
      <c r="MKN14" s="54"/>
      <c r="MKO14" s="57"/>
      <c r="MKP14" s="62"/>
      <c r="MKQ14" s="63"/>
      <c r="MKR14" s="63"/>
      <c r="MKS14" s="63"/>
      <c r="MKT14" s="63"/>
      <c r="MKU14" s="63"/>
      <c r="MKV14" s="63"/>
      <c r="MKW14" s="63"/>
      <c r="MKX14" s="63"/>
      <c r="MKY14" s="63"/>
      <c r="MKZ14" s="63"/>
      <c r="MLA14" s="63"/>
      <c r="MLB14" s="54"/>
      <c r="MLC14" s="54"/>
      <c r="MLD14" s="54"/>
      <c r="MLE14" s="57"/>
      <c r="MLF14" s="62"/>
      <c r="MLG14" s="63"/>
      <c r="MLH14" s="63"/>
      <c r="MLI14" s="63"/>
      <c r="MLJ14" s="63"/>
      <c r="MLK14" s="63"/>
      <c r="MLL14" s="63"/>
      <c r="MLM14" s="63"/>
      <c r="MLN14" s="63"/>
      <c r="MLO14" s="63"/>
      <c r="MLP14" s="63"/>
      <c r="MLQ14" s="63"/>
      <c r="MLR14" s="54"/>
      <c r="MLS14" s="54"/>
      <c r="MLT14" s="54"/>
      <c r="MLU14" s="57"/>
      <c r="MLV14" s="62"/>
      <c r="MLW14" s="63"/>
      <c r="MLX14" s="63"/>
      <c r="MLY14" s="63"/>
      <c r="MLZ14" s="63"/>
      <c r="MMA14" s="63"/>
      <c r="MMB14" s="63"/>
      <c r="MMC14" s="63"/>
      <c r="MMD14" s="63"/>
      <c r="MME14" s="63"/>
      <c r="MMF14" s="63"/>
      <c r="MMG14" s="63"/>
      <c r="MMH14" s="54"/>
      <c r="MMI14" s="54"/>
      <c r="MMJ14" s="54"/>
      <c r="MMK14" s="57"/>
      <c r="MML14" s="62"/>
      <c r="MMM14" s="63"/>
      <c r="MMN14" s="63"/>
      <c r="MMO14" s="63"/>
      <c r="MMP14" s="63"/>
      <c r="MMQ14" s="63"/>
      <c r="MMR14" s="63"/>
      <c r="MMS14" s="63"/>
      <c r="MMT14" s="63"/>
      <c r="MMU14" s="63"/>
      <c r="MMV14" s="63"/>
      <c r="MMW14" s="63"/>
      <c r="MMX14" s="54"/>
      <c r="MMY14" s="54"/>
      <c r="MMZ14" s="54"/>
      <c r="MNA14" s="57"/>
      <c r="MNB14" s="62"/>
      <c r="MNC14" s="63"/>
      <c r="MND14" s="63"/>
      <c r="MNE14" s="63"/>
      <c r="MNF14" s="63"/>
      <c r="MNG14" s="63"/>
      <c r="MNH14" s="63"/>
      <c r="MNI14" s="63"/>
      <c r="MNJ14" s="63"/>
      <c r="MNK14" s="63"/>
      <c r="MNL14" s="63"/>
      <c r="MNM14" s="63"/>
      <c r="MNN14" s="54"/>
      <c r="MNO14" s="54"/>
      <c r="MNP14" s="54"/>
      <c r="MNQ14" s="57"/>
      <c r="MNR14" s="62"/>
      <c r="MNS14" s="63"/>
      <c r="MNT14" s="63"/>
      <c r="MNU14" s="63"/>
      <c r="MNV14" s="63"/>
      <c r="MNW14" s="63"/>
      <c r="MNX14" s="63"/>
      <c r="MNY14" s="63"/>
      <c r="MNZ14" s="63"/>
      <c r="MOA14" s="63"/>
      <c r="MOB14" s="63"/>
      <c r="MOC14" s="63"/>
      <c r="MOD14" s="54"/>
      <c r="MOE14" s="54"/>
      <c r="MOF14" s="54"/>
      <c r="MOG14" s="57"/>
      <c r="MOH14" s="62"/>
      <c r="MOI14" s="63"/>
      <c r="MOJ14" s="63"/>
      <c r="MOK14" s="63"/>
      <c r="MOL14" s="63"/>
      <c r="MOM14" s="63"/>
      <c r="MON14" s="63"/>
      <c r="MOO14" s="63"/>
      <c r="MOP14" s="63"/>
      <c r="MOQ14" s="63"/>
      <c r="MOR14" s="63"/>
      <c r="MOS14" s="63"/>
      <c r="MOT14" s="54"/>
      <c r="MOU14" s="54"/>
      <c r="MOV14" s="54"/>
      <c r="MOW14" s="57"/>
      <c r="MOX14" s="62"/>
      <c r="MOY14" s="63"/>
      <c r="MOZ14" s="63"/>
      <c r="MPA14" s="63"/>
      <c r="MPB14" s="63"/>
      <c r="MPC14" s="63"/>
      <c r="MPD14" s="63"/>
      <c r="MPE14" s="63"/>
      <c r="MPF14" s="63"/>
      <c r="MPG14" s="63"/>
      <c r="MPH14" s="63"/>
      <c r="MPI14" s="63"/>
      <c r="MPJ14" s="54"/>
      <c r="MPK14" s="54"/>
      <c r="MPL14" s="54"/>
      <c r="MPM14" s="57"/>
      <c r="MPN14" s="62"/>
      <c r="MPO14" s="63"/>
      <c r="MPP14" s="63"/>
      <c r="MPQ14" s="63"/>
      <c r="MPR14" s="63"/>
      <c r="MPS14" s="63"/>
      <c r="MPT14" s="63"/>
      <c r="MPU14" s="63"/>
      <c r="MPV14" s="63"/>
      <c r="MPW14" s="63"/>
      <c r="MPX14" s="63"/>
      <c r="MPY14" s="63"/>
      <c r="MPZ14" s="54"/>
      <c r="MQA14" s="54"/>
      <c r="MQB14" s="54"/>
      <c r="MQC14" s="57"/>
      <c r="MQD14" s="62"/>
      <c r="MQE14" s="63"/>
      <c r="MQF14" s="63"/>
      <c r="MQG14" s="63"/>
      <c r="MQH14" s="63"/>
      <c r="MQI14" s="63"/>
      <c r="MQJ14" s="63"/>
      <c r="MQK14" s="63"/>
      <c r="MQL14" s="63"/>
      <c r="MQM14" s="63"/>
      <c r="MQN14" s="63"/>
      <c r="MQO14" s="63"/>
      <c r="MQP14" s="54"/>
      <c r="MQQ14" s="54"/>
      <c r="MQR14" s="54"/>
      <c r="MQS14" s="57"/>
      <c r="MQT14" s="62"/>
      <c r="MQU14" s="63"/>
      <c r="MQV14" s="63"/>
      <c r="MQW14" s="63"/>
      <c r="MQX14" s="63"/>
      <c r="MQY14" s="63"/>
      <c r="MQZ14" s="63"/>
      <c r="MRA14" s="63"/>
      <c r="MRB14" s="63"/>
      <c r="MRC14" s="63"/>
      <c r="MRD14" s="63"/>
      <c r="MRE14" s="63"/>
      <c r="MRF14" s="54"/>
      <c r="MRG14" s="54"/>
      <c r="MRH14" s="54"/>
      <c r="MRI14" s="57"/>
      <c r="MRJ14" s="62"/>
      <c r="MRK14" s="63"/>
      <c r="MRL14" s="63"/>
      <c r="MRM14" s="63"/>
      <c r="MRN14" s="63"/>
      <c r="MRO14" s="63"/>
      <c r="MRP14" s="63"/>
      <c r="MRQ14" s="63"/>
      <c r="MRR14" s="63"/>
      <c r="MRS14" s="63"/>
      <c r="MRT14" s="63"/>
      <c r="MRU14" s="63"/>
      <c r="MRV14" s="54"/>
      <c r="MRW14" s="54"/>
      <c r="MRX14" s="54"/>
      <c r="MRY14" s="57"/>
      <c r="MRZ14" s="62"/>
      <c r="MSA14" s="63"/>
      <c r="MSB14" s="63"/>
      <c r="MSC14" s="63"/>
      <c r="MSD14" s="63"/>
      <c r="MSE14" s="63"/>
      <c r="MSF14" s="63"/>
      <c r="MSG14" s="63"/>
      <c r="MSH14" s="63"/>
      <c r="MSI14" s="63"/>
      <c r="MSJ14" s="63"/>
      <c r="MSK14" s="63"/>
      <c r="MSL14" s="54"/>
      <c r="MSM14" s="54"/>
      <c r="MSN14" s="54"/>
      <c r="MSO14" s="57"/>
      <c r="MSP14" s="62"/>
      <c r="MSQ14" s="63"/>
      <c r="MSR14" s="63"/>
      <c r="MSS14" s="63"/>
      <c r="MST14" s="63"/>
      <c r="MSU14" s="63"/>
      <c r="MSV14" s="63"/>
      <c r="MSW14" s="63"/>
      <c r="MSX14" s="63"/>
      <c r="MSY14" s="63"/>
      <c r="MSZ14" s="63"/>
      <c r="MTA14" s="63"/>
      <c r="MTB14" s="54"/>
      <c r="MTC14" s="54"/>
      <c r="MTD14" s="54"/>
      <c r="MTE14" s="57"/>
      <c r="MTF14" s="62"/>
      <c r="MTG14" s="63"/>
      <c r="MTH14" s="63"/>
      <c r="MTI14" s="63"/>
      <c r="MTJ14" s="63"/>
      <c r="MTK14" s="63"/>
      <c r="MTL14" s="63"/>
      <c r="MTM14" s="63"/>
      <c r="MTN14" s="63"/>
      <c r="MTO14" s="63"/>
      <c r="MTP14" s="63"/>
      <c r="MTQ14" s="63"/>
      <c r="MTR14" s="54"/>
      <c r="MTS14" s="54"/>
      <c r="MTT14" s="54"/>
      <c r="MTU14" s="57"/>
      <c r="MTV14" s="62"/>
      <c r="MTW14" s="63"/>
      <c r="MTX14" s="63"/>
      <c r="MTY14" s="63"/>
      <c r="MTZ14" s="63"/>
      <c r="MUA14" s="63"/>
      <c r="MUB14" s="63"/>
      <c r="MUC14" s="63"/>
      <c r="MUD14" s="63"/>
      <c r="MUE14" s="63"/>
      <c r="MUF14" s="63"/>
      <c r="MUG14" s="63"/>
      <c r="MUH14" s="54"/>
      <c r="MUI14" s="54"/>
      <c r="MUJ14" s="54"/>
      <c r="MUK14" s="57"/>
      <c r="MUL14" s="62"/>
      <c r="MUM14" s="63"/>
      <c r="MUN14" s="63"/>
      <c r="MUO14" s="63"/>
      <c r="MUP14" s="63"/>
      <c r="MUQ14" s="63"/>
      <c r="MUR14" s="63"/>
      <c r="MUS14" s="63"/>
      <c r="MUT14" s="63"/>
      <c r="MUU14" s="63"/>
      <c r="MUV14" s="63"/>
      <c r="MUW14" s="63"/>
      <c r="MUX14" s="54"/>
      <c r="MUY14" s="54"/>
      <c r="MUZ14" s="54"/>
      <c r="MVA14" s="57"/>
      <c r="MVB14" s="62"/>
      <c r="MVC14" s="63"/>
      <c r="MVD14" s="63"/>
      <c r="MVE14" s="63"/>
      <c r="MVF14" s="63"/>
      <c r="MVG14" s="63"/>
      <c r="MVH14" s="63"/>
      <c r="MVI14" s="63"/>
      <c r="MVJ14" s="63"/>
      <c r="MVK14" s="63"/>
      <c r="MVL14" s="63"/>
      <c r="MVM14" s="63"/>
      <c r="MVN14" s="54"/>
      <c r="MVO14" s="54"/>
      <c r="MVP14" s="54"/>
      <c r="MVQ14" s="57"/>
      <c r="MVR14" s="62"/>
      <c r="MVS14" s="63"/>
      <c r="MVT14" s="63"/>
      <c r="MVU14" s="63"/>
      <c r="MVV14" s="63"/>
      <c r="MVW14" s="63"/>
      <c r="MVX14" s="63"/>
      <c r="MVY14" s="63"/>
      <c r="MVZ14" s="63"/>
      <c r="MWA14" s="63"/>
      <c r="MWB14" s="63"/>
      <c r="MWC14" s="63"/>
      <c r="MWD14" s="54"/>
      <c r="MWE14" s="54"/>
      <c r="MWF14" s="54"/>
      <c r="MWG14" s="57"/>
      <c r="MWH14" s="62"/>
      <c r="MWI14" s="63"/>
      <c r="MWJ14" s="63"/>
      <c r="MWK14" s="63"/>
      <c r="MWL14" s="63"/>
      <c r="MWM14" s="63"/>
      <c r="MWN14" s="63"/>
      <c r="MWO14" s="63"/>
      <c r="MWP14" s="63"/>
      <c r="MWQ14" s="63"/>
      <c r="MWR14" s="63"/>
      <c r="MWS14" s="63"/>
      <c r="MWT14" s="54"/>
      <c r="MWU14" s="54"/>
      <c r="MWV14" s="54"/>
      <c r="MWW14" s="57"/>
      <c r="MWX14" s="62"/>
      <c r="MWY14" s="63"/>
      <c r="MWZ14" s="63"/>
      <c r="MXA14" s="63"/>
      <c r="MXB14" s="63"/>
      <c r="MXC14" s="63"/>
      <c r="MXD14" s="63"/>
      <c r="MXE14" s="63"/>
      <c r="MXF14" s="63"/>
      <c r="MXG14" s="63"/>
      <c r="MXH14" s="63"/>
      <c r="MXI14" s="63"/>
      <c r="MXJ14" s="54"/>
      <c r="MXK14" s="54"/>
      <c r="MXL14" s="54"/>
      <c r="MXM14" s="57"/>
      <c r="MXN14" s="62"/>
      <c r="MXO14" s="63"/>
      <c r="MXP14" s="63"/>
      <c r="MXQ14" s="63"/>
      <c r="MXR14" s="63"/>
      <c r="MXS14" s="63"/>
      <c r="MXT14" s="63"/>
      <c r="MXU14" s="63"/>
      <c r="MXV14" s="63"/>
      <c r="MXW14" s="63"/>
      <c r="MXX14" s="63"/>
      <c r="MXY14" s="63"/>
      <c r="MXZ14" s="54"/>
      <c r="MYA14" s="54"/>
      <c r="MYB14" s="54"/>
      <c r="MYC14" s="57"/>
      <c r="MYD14" s="62"/>
      <c r="MYE14" s="63"/>
      <c r="MYF14" s="63"/>
      <c r="MYG14" s="63"/>
      <c r="MYH14" s="63"/>
      <c r="MYI14" s="63"/>
      <c r="MYJ14" s="63"/>
      <c r="MYK14" s="63"/>
      <c r="MYL14" s="63"/>
      <c r="MYM14" s="63"/>
      <c r="MYN14" s="63"/>
      <c r="MYO14" s="63"/>
      <c r="MYP14" s="54"/>
      <c r="MYQ14" s="54"/>
      <c r="MYR14" s="54"/>
      <c r="MYS14" s="57"/>
      <c r="MYT14" s="62"/>
      <c r="MYU14" s="63"/>
      <c r="MYV14" s="63"/>
      <c r="MYW14" s="63"/>
      <c r="MYX14" s="63"/>
      <c r="MYY14" s="63"/>
      <c r="MYZ14" s="63"/>
      <c r="MZA14" s="63"/>
      <c r="MZB14" s="63"/>
      <c r="MZC14" s="63"/>
      <c r="MZD14" s="63"/>
      <c r="MZE14" s="63"/>
      <c r="MZF14" s="54"/>
      <c r="MZG14" s="54"/>
      <c r="MZH14" s="54"/>
      <c r="MZI14" s="57"/>
      <c r="MZJ14" s="62"/>
      <c r="MZK14" s="63"/>
      <c r="MZL14" s="63"/>
      <c r="MZM14" s="63"/>
      <c r="MZN14" s="63"/>
      <c r="MZO14" s="63"/>
      <c r="MZP14" s="63"/>
      <c r="MZQ14" s="63"/>
      <c r="MZR14" s="63"/>
      <c r="MZS14" s="63"/>
      <c r="MZT14" s="63"/>
      <c r="MZU14" s="63"/>
      <c r="MZV14" s="54"/>
      <c r="MZW14" s="54"/>
      <c r="MZX14" s="54"/>
      <c r="MZY14" s="57"/>
      <c r="MZZ14" s="62"/>
      <c r="NAA14" s="63"/>
      <c r="NAB14" s="63"/>
      <c r="NAC14" s="63"/>
      <c r="NAD14" s="63"/>
      <c r="NAE14" s="63"/>
      <c r="NAF14" s="63"/>
      <c r="NAG14" s="63"/>
      <c r="NAH14" s="63"/>
      <c r="NAI14" s="63"/>
      <c r="NAJ14" s="63"/>
      <c r="NAK14" s="63"/>
      <c r="NAL14" s="54"/>
      <c r="NAM14" s="54"/>
      <c r="NAN14" s="54"/>
      <c r="NAO14" s="57"/>
      <c r="NAP14" s="62"/>
      <c r="NAQ14" s="63"/>
      <c r="NAR14" s="63"/>
      <c r="NAS14" s="63"/>
      <c r="NAT14" s="63"/>
      <c r="NAU14" s="63"/>
      <c r="NAV14" s="63"/>
      <c r="NAW14" s="63"/>
      <c r="NAX14" s="63"/>
      <c r="NAY14" s="63"/>
      <c r="NAZ14" s="63"/>
      <c r="NBA14" s="63"/>
      <c r="NBB14" s="54"/>
      <c r="NBC14" s="54"/>
      <c r="NBD14" s="54"/>
      <c r="NBE14" s="57"/>
      <c r="NBF14" s="62"/>
      <c r="NBG14" s="63"/>
      <c r="NBH14" s="63"/>
      <c r="NBI14" s="63"/>
      <c r="NBJ14" s="63"/>
      <c r="NBK14" s="63"/>
      <c r="NBL14" s="63"/>
      <c r="NBM14" s="63"/>
      <c r="NBN14" s="63"/>
      <c r="NBO14" s="63"/>
      <c r="NBP14" s="63"/>
      <c r="NBQ14" s="63"/>
      <c r="NBR14" s="54"/>
      <c r="NBS14" s="54"/>
      <c r="NBT14" s="54"/>
      <c r="NBU14" s="57"/>
      <c r="NBV14" s="62"/>
      <c r="NBW14" s="63"/>
      <c r="NBX14" s="63"/>
      <c r="NBY14" s="63"/>
      <c r="NBZ14" s="63"/>
      <c r="NCA14" s="63"/>
      <c r="NCB14" s="63"/>
      <c r="NCC14" s="63"/>
      <c r="NCD14" s="63"/>
      <c r="NCE14" s="63"/>
      <c r="NCF14" s="63"/>
      <c r="NCG14" s="63"/>
      <c r="NCH14" s="54"/>
      <c r="NCI14" s="54"/>
      <c r="NCJ14" s="54"/>
      <c r="NCK14" s="57"/>
      <c r="NCL14" s="62"/>
      <c r="NCM14" s="63"/>
      <c r="NCN14" s="63"/>
      <c r="NCO14" s="63"/>
      <c r="NCP14" s="63"/>
      <c r="NCQ14" s="63"/>
      <c r="NCR14" s="63"/>
      <c r="NCS14" s="63"/>
      <c r="NCT14" s="63"/>
      <c r="NCU14" s="63"/>
      <c r="NCV14" s="63"/>
      <c r="NCW14" s="63"/>
      <c r="NCX14" s="54"/>
      <c r="NCY14" s="54"/>
      <c r="NCZ14" s="54"/>
      <c r="NDA14" s="57"/>
      <c r="NDB14" s="62"/>
      <c r="NDC14" s="63"/>
      <c r="NDD14" s="63"/>
      <c r="NDE14" s="63"/>
      <c r="NDF14" s="63"/>
      <c r="NDG14" s="63"/>
      <c r="NDH14" s="63"/>
      <c r="NDI14" s="63"/>
      <c r="NDJ14" s="63"/>
      <c r="NDK14" s="63"/>
      <c r="NDL14" s="63"/>
      <c r="NDM14" s="63"/>
      <c r="NDN14" s="54"/>
      <c r="NDO14" s="54"/>
      <c r="NDP14" s="54"/>
      <c r="NDQ14" s="57"/>
      <c r="NDR14" s="62"/>
      <c r="NDS14" s="63"/>
      <c r="NDT14" s="63"/>
      <c r="NDU14" s="63"/>
      <c r="NDV14" s="63"/>
      <c r="NDW14" s="63"/>
      <c r="NDX14" s="63"/>
      <c r="NDY14" s="63"/>
      <c r="NDZ14" s="63"/>
      <c r="NEA14" s="63"/>
      <c r="NEB14" s="63"/>
      <c r="NEC14" s="63"/>
      <c r="NED14" s="54"/>
      <c r="NEE14" s="54"/>
      <c r="NEF14" s="54"/>
      <c r="NEG14" s="57"/>
      <c r="NEH14" s="62"/>
      <c r="NEI14" s="63"/>
      <c r="NEJ14" s="63"/>
      <c r="NEK14" s="63"/>
      <c r="NEL14" s="63"/>
      <c r="NEM14" s="63"/>
      <c r="NEN14" s="63"/>
      <c r="NEO14" s="63"/>
      <c r="NEP14" s="63"/>
      <c r="NEQ14" s="63"/>
      <c r="NER14" s="63"/>
      <c r="NES14" s="63"/>
      <c r="NET14" s="54"/>
      <c r="NEU14" s="54"/>
      <c r="NEV14" s="54"/>
      <c r="NEW14" s="57"/>
      <c r="NEX14" s="62"/>
      <c r="NEY14" s="63"/>
      <c r="NEZ14" s="63"/>
      <c r="NFA14" s="63"/>
      <c r="NFB14" s="63"/>
      <c r="NFC14" s="63"/>
      <c r="NFD14" s="63"/>
      <c r="NFE14" s="63"/>
      <c r="NFF14" s="63"/>
      <c r="NFG14" s="63"/>
      <c r="NFH14" s="63"/>
      <c r="NFI14" s="63"/>
      <c r="NFJ14" s="54"/>
      <c r="NFK14" s="54"/>
      <c r="NFL14" s="54"/>
      <c r="NFM14" s="57"/>
      <c r="NFN14" s="62"/>
      <c r="NFO14" s="63"/>
      <c r="NFP14" s="63"/>
      <c r="NFQ14" s="63"/>
      <c r="NFR14" s="63"/>
      <c r="NFS14" s="63"/>
      <c r="NFT14" s="63"/>
      <c r="NFU14" s="63"/>
      <c r="NFV14" s="63"/>
      <c r="NFW14" s="63"/>
      <c r="NFX14" s="63"/>
      <c r="NFY14" s="63"/>
      <c r="NFZ14" s="54"/>
      <c r="NGA14" s="54"/>
      <c r="NGB14" s="54"/>
      <c r="NGC14" s="57"/>
      <c r="NGD14" s="62"/>
      <c r="NGE14" s="63"/>
      <c r="NGF14" s="63"/>
      <c r="NGG14" s="63"/>
      <c r="NGH14" s="63"/>
      <c r="NGI14" s="63"/>
      <c r="NGJ14" s="63"/>
      <c r="NGK14" s="63"/>
      <c r="NGL14" s="63"/>
      <c r="NGM14" s="63"/>
      <c r="NGN14" s="63"/>
      <c r="NGO14" s="63"/>
      <c r="NGP14" s="54"/>
      <c r="NGQ14" s="54"/>
      <c r="NGR14" s="54"/>
      <c r="NGS14" s="57"/>
      <c r="NGT14" s="62"/>
      <c r="NGU14" s="63"/>
      <c r="NGV14" s="63"/>
      <c r="NGW14" s="63"/>
      <c r="NGX14" s="63"/>
      <c r="NGY14" s="63"/>
      <c r="NGZ14" s="63"/>
      <c r="NHA14" s="63"/>
      <c r="NHB14" s="63"/>
      <c r="NHC14" s="63"/>
      <c r="NHD14" s="63"/>
      <c r="NHE14" s="63"/>
      <c r="NHF14" s="54"/>
      <c r="NHG14" s="54"/>
      <c r="NHH14" s="54"/>
      <c r="NHI14" s="57"/>
      <c r="NHJ14" s="62"/>
      <c r="NHK14" s="63"/>
      <c r="NHL14" s="63"/>
      <c r="NHM14" s="63"/>
      <c r="NHN14" s="63"/>
      <c r="NHO14" s="63"/>
      <c r="NHP14" s="63"/>
      <c r="NHQ14" s="63"/>
      <c r="NHR14" s="63"/>
      <c r="NHS14" s="63"/>
      <c r="NHT14" s="63"/>
      <c r="NHU14" s="63"/>
      <c r="NHV14" s="54"/>
      <c r="NHW14" s="54"/>
      <c r="NHX14" s="54"/>
      <c r="NHY14" s="57"/>
      <c r="NHZ14" s="62"/>
      <c r="NIA14" s="63"/>
      <c r="NIB14" s="63"/>
      <c r="NIC14" s="63"/>
      <c r="NID14" s="63"/>
      <c r="NIE14" s="63"/>
      <c r="NIF14" s="63"/>
      <c r="NIG14" s="63"/>
      <c r="NIH14" s="63"/>
      <c r="NII14" s="63"/>
      <c r="NIJ14" s="63"/>
      <c r="NIK14" s="63"/>
      <c r="NIL14" s="54"/>
      <c r="NIM14" s="54"/>
      <c r="NIN14" s="54"/>
      <c r="NIO14" s="57"/>
      <c r="NIP14" s="62"/>
      <c r="NIQ14" s="63"/>
      <c r="NIR14" s="63"/>
      <c r="NIS14" s="63"/>
      <c r="NIT14" s="63"/>
      <c r="NIU14" s="63"/>
      <c r="NIV14" s="63"/>
      <c r="NIW14" s="63"/>
      <c r="NIX14" s="63"/>
      <c r="NIY14" s="63"/>
      <c r="NIZ14" s="63"/>
      <c r="NJA14" s="63"/>
      <c r="NJB14" s="54"/>
      <c r="NJC14" s="54"/>
      <c r="NJD14" s="54"/>
      <c r="NJE14" s="57"/>
      <c r="NJF14" s="62"/>
      <c r="NJG14" s="63"/>
      <c r="NJH14" s="63"/>
      <c r="NJI14" s="63"/>
      <c r="NJJ14" s="63"/>
      <c r="NJK14" s="63"/>
      <c r="NJL14" s="63"/>
      <c r="NJM14" s="63"/>
      <c r="NJN14" s="63"/>
      <c r="NJO14" s="63"/>
      <c r="NJP14" s="63"/>
      <c r="NJQ14" s="63"/>
      <c r="NJR14" s="54"/>
      <c r="NJS14" s="54"/>
      <c r="NJT14" s="54"/>
      <c r="NJU14" s="57"/>
      <c r="NJV14" s="62"/>
      <c r="NJW14" s="63"/>
      <c r="NJX14" s="63"/>
      <c r="NJY14" s="63"/>
      <c r="NJZ14" s="63"/>
      <c r="NKA14" s="63"/>
      <c r="NKB14" s="63"/>
      <c r="NKC14" s="63"/>
      <c r="NKD14" s="63"/>
      <c r="NKE14" s="63"/>
      <c r="NKF14" s="63"/>
      <c r="NKG14" s="63"/>
      <c r="NKH14" s="54"/>
      <c r="NKI14" s="54"/>
      <c r="NKJ14" s="54"/>
      <c r="NKK14" s="57"/>
      <c r="NKL14" s="62"/>
      <c r="NKM14" s="63"/>
      <c r="NKN14" s="63"/>
      <c r="NKO14" s="63"/>
      <c r="NKP14" s="63"/>
      <c r="NKQ14" s="63"/>
      <c r="NKR14" s="63"/>
      <c r="NKS14" s="63"/>
      <c r="NKT14" s="63"/>
      <c r="NKU14" s="63"/>
      <c r="NKV14" s="63"/>
      <c r="NKW14" s="63"/>
      <c r="NKX14" s="54"/>
      <c r="NKY14" s="54"/>
      <c r="NKZ14" s="54"/>
      <c r="NLA14" s="57"/>
      <c r="NLB14" s="62"/>
      <c r="NLC14" s="63"/>
      <c r="NLD14" s="63"/>
      <c r="NLE14" s="63"/>
      <c r="NLF14" s="63"/>
      <c r="NLG14" s="63"/>
      <c r="NLH14" s="63"/>
      <c r="NLI14" s="63"/>
      <c r="NLJ14" s="63"/>
      <c r="NLK14" s="63"/>
      <c r="NLL14" s="63"/>
      <c r="NLM14" s="63"/>
      <c r="NLN14" s="54"/>
      <c r="NLO14" s="54"/>
      <c r="NLP14" s="54"/>
      <c r="NLQ14" s="57"/>
      <c r="NLR14" s="62"/>
      <c r="NLS14" s="63"/>
      <c r="NLT14" s="63"/>
      <c r="NLU14" s="63"/>
      <c r="NLV14" s="63"/>
      <c r="NLW14" s="63"/>
      <c r="NLX14" s="63"/>
      <c r="NLY14" s="63"/>
      <c r="NLZ14" s="63"/>
      <c r="NMA14" s="63"/>
      <c r="NMB14" s="63"/>
      <c r="NMC14" s="63"/>
      <c r="NMD14" s="54"/>
      <c r="NME14" s="54"/>
      <c r="NMF14" s="54"/>
      <c r="NMG14" s="57"/>
      <c r="NMH14" s="62"/>
      <c r="NMI14" s="63"/>
      <c r="NMJ14" s="63"/>
      <c r="NMK14" s="63"/>
      <c r="NML14" s="63"/>
      <c r="NMM14" s="63"/>
      <c r="NMN14" s="63"/>
      <c r="NMO14" s="63"/>
      <c r="NMP14" s="63"/>
      <c r="NMQ14" s="63"/>
      <c r="NMR14" s="63"/>
      <c r="NMS14" s="63"/>
      <c r="NMT14" s="54"/>
      <c r="NMU14" s="54"/>
      <c r="NMV14" s="54"/>
      <c r="NMW14" s="57"/>
      <c r="NMX14" s="62"/>
      <c r="NMY14" s="63"/>
      <c r="NMZ14" s="63"/>
      <c r="NNA14" s="63"/>
      <c r="NNB14" s="63"/>
      <c r="NNC14" s="63"/>
      <c r="NND14" s="63"/>
      <c r="NNE14" s="63"/>
      <c r="NNF14" s="63"/>
      <c r="NNG14" s="63"/>
      <c r="NNH14" s="63"/>
      <c r="NNI14" s="63"/>
      <c r="NNJ14" s="54"/>
      <c r="NNK14" s="54"/>
      <c r="NNL14" s="54"/>
      <c r="NNM14" s="57"/>
      <c r="NNN14" s="62"/>
      <c r="NNO14" s="63"/>
      <c r="NNP14" s="63"/>
      <c r="NNQ14" s="63"/>
      <c r="NNR14" s="63"/>
      <c r="NNS14" s="63"/>
      <c r="NNT14" s="63"/>
      <c r="NNU14" s="63"/>
      <c r="NNV14" s="63"/>
      <c r="NNW14" s="63"/>
      <c r="NNX14" s="63"/>
      <c r="NNY14" s="63"/>
      <c r="NNZ14" s="54"/>
      <c r="NOA14" s="54"/>
      <c r="NOB14" s="54"/>
      <c r="NOC14" s="57"/>
      <c r="NOD14" s="62"/>
      <c r="NOE14" s="63"/>
      <c r="NOF14" s="63"/>
      <c r="NOG14" s="63"/>
      <c r="NOH14" s="63"/>
      <c r="NOI14" s="63"/>
      <c r="NOJ14" s="63"/>
      <c r="NOK14" s="63"/>
      <c r="NOL14" s="63"/>
      <c r="NOM14" s="63"/>
      <c r="NON14" s="63"/>
      <c r="NOO14" s="63"/>
      <c r="NOP14" s="54"/>
      <c r="NOQ14" s="54"/>
      <c r="NOR14" s="54"/>
      <c r="NOS14" s="57"/>
      <c r="NOT14" s="62"/>
      <c r="NOU14" s="63"/>
      <c r="NOV14" s="63"/>
      <c r="NOW14" s="63"/>
      <c r="NOX14" s="63"/>
      <c r="NOY14" s="63"/>
      <c r="NOZ14" s="63"/>
      <c r="NPA14" s="63"/>
      <c r="NPB14" s="63"/>
      <c r="NPC14" s="63"/>
      <c r="NPD14" s="63"/>
      <c r="NPE14" s="63"/>
      <c r="NPF14" s="54"/>
      <c r="NPG14" s="54"/>
      <c r="NPH14" s="54"/>
      <c r="NPI14" s="57"/>
      <c r="NPJ14" s="62"/>
      <c r="NPK14" s="63"/>
      <c r="NPL14" s="63"/>
      <c r="NPM14" s="63"/>
      <c r="NPN14" s="63"/>
      <c r="NPO14" s="63"/>
      <c r="NPP14" s="63"/>
      <c r="NPQ14" s="63"/>
      <c r="NPR14" s="63"/>
      <c r="NPS14" s="63"/>
      <c r="NPT14" s="63"/>
      <c r="NPU14" s="63"/>
      <c r="NPV14" s="54"/>
      <c r="NPW14" s="54"/>
      <c r="NPX14" s="54"/>
      <c r="NPY14" s="57"/>
      <c r="NPZ14" s="62"/>
      <c r="NQA14" s="63"/>
      <c r="NQB14" s="63"/>
      <c r="NQC14" s="63"/>
      <c r="NQD14" s="63"/>
      <c r="NQE14" s="63"/>
      <c r="NQF14" s="63"/>
      <c r="NQG14" s="63"/>
      <c r="NQH14" s="63"/>
      <c r="NQI14" s="63"/>
      <c r="NQJ14" s="63"/>
      <c r="NQK14" s="63"/>
      <c r="NQL14" s="54"/>
      <c r="NQM14" s="54"/>
      <c r="NQN14" s="54"/>
      <c r="NQO14" s="57"/>
      <c r="NQP14" s="62"/>
      <c r="NQQ14" s="63"/>
      <c r="NQR14" s="63"/>
      <c r="NQS14" s="63"/>
      <c r="NQT14" s="63"/>
      <c r="NQU14" s="63"/>
      <c r="NQV14" s="63"/>
      <c r="NQW14" s="63"/>
      <c r="NQX14" s="63"/>
      <c r="NQY14" s="63"/>
      <c r="NQZ14" s="63"/>
      <c r="NRA14" s="63"/>
      <c r="NRB14" s="54"/>
      <c r="NRC14" s="54"/>
      <c r="NRD14" s="54"/>
      <c r="NRE14" s="57"/>
      <c r="NRF14" s="62"/>
      <c r="NRG14" s="63"/>
      <c r="NRH14" s="63"/>
      <c r="NRI14" s="63"/>
      <c r="NRJ14" s="63"/>
      <c r="NRK14" s="63"/>
      <c r="NRL14" s="63"/>
      <c r="NRM14" s="63"/>
      <c r="NRN14" s="63"/>
      <c r="NRO14" s="63"/>
      <c r="NRP14" s="63"/>
      <c r="NRQ14" s="63"/>
      <c r="NRR14" s="54"/>
      <c r="NRS14" s="54"/>
      <c r="NRT14" s="54"/>
      <c r="NRU14" s="57"/>
      <c r="NRV14" s="62"/>
      <c r="NRW14" s="63"/>
      <c r="NRX14" s="63"/>
      <c r="NRY14" s="63"/>
      <c r="NRZ14" s="63"/>
      <c r="NSA14" s="63"/>
      <c r="NSB14" s="63"/>
      <c r="NSC14" s="63"/>
      <c r="NSD14" s="63"/>
      <c r="NSE14" s="63"/>
      <c r="NSF14" s="63"/>
      <c r="NSG14" s="63"/>
      <c r="NSH14" s="54"/>
      <c r="NSI14" s="54"/>
      <c r="NSJ14" s="54"/>
      <c r="NSK14" s="57"/>
      <c r="NSL14" s="62"/>
      <c r="NSM14" s="63"/>
      <c r="NSN14" s="63"/>
      <c r="NSO14" s="63"/>
      <c r="NSP14" s="63"/>
      <c r="NSQ14" s="63"/>
      <c r="NSR14" s="63"/>
      <c r="NSS14" s="63"/>
      <c r="NST14" s="63"/>
      <c r="NSU14" s="63"/>
      <c r="NSV14" s="63"/>
      <c r="NSW14" s="63"/>
      <c r="NSX14" s="54"/>
      <c r="NSY14" s="54"/>
      <c r="NSZ14" s="54"/>
      <c r="NTA14" s="57"/>
      <c r="NTB14" s="62"/>
      <c r="NTC14" s="63"/>
      <c r="NTD14" s="63"/>
      <c r="NTE14" s="63"/>
      <c r="NTF14" s="63"/>
      <c r="NTG14" s="63"/>
      <c r="NTH14" s="63"/>
      <c r="NTI14" s="63"/>
      <c r="NTJ14" s="63"/>
      <c r="NTK14" s="63"/>
      <c r="NTL14" s="63"/>
      <c r="NTM14" s="63"/>
      <c r="NTN14" s="54"/>
      <c r="NTO14" s="54"/>
      <c r="NTP14" s="54"/>
      <c r="NTQ14" s="57"/>
      <c r="NTR14" s="62"/>
      <c r="NTS14" s="63"/>
      <c r="NTT14" s="63"/>
      <c r="NTU14" s="63"/>
      <c r="NTV14" s="63"/>
      <c r="NTW14" s="63"/>
      <c r="NTX14" s="63"/>
      <c r="NTY14" s="63"/>
      <c r="NTZ14" s="63"/>
      <c r="NUA14" s="63"/>
      <c r="NUB14" s="63"/>
      <c r="NUC14" s="63"/>
      <c r="NUD14" s="54"/>
      <c r="NUE14" s="54"/>
      <c r="NUF14" s="54"/>
      <c r="NUG14" s="57"/>
      <c r="NUH14" s="62"/>
      <c r="NUI14" s="63"/>
      <c r="NUJ14" s="63"/>
      <c r="NUK14" s="63"/>
      <c r="NUL14" s="63"/>
      <c r="NUM14" s="63"/>
      <c r="NUN14" s="63"/>
      <c r="NUO14" s="63"/>
      <c r="NUP14" s="63"/>
      <c r="NUQ14" s="63"/>
      <c r="NUR14" s="63"/>
      <c r="NUS14" s="63"/>
      <c r="NUT14" s="54"/>
      <c r="NUU14" s="54"/>
      <c r="NUV14" s="54"/>
      <c r="NUW14" s="57"/>
      <c r="NUX14" s="62"/>
      <c r="NUY14" s="63"/>
      <c r="NUZ14" s="63"/>
      <c r="NVA14" s="63"/>
      <c r="NVB14" s="63"/>
      <c r="NVC14" s="63"/>
      <c r="NVD14" s="63"/>
      <c r="NVE14" s="63"/>
      <c r="NVF14" s="63"/>
      <c r="NVG14" s="63"/>
      <c r="NVH14" s="63"/>
      <c r="NVI14" s="63"/>
      <c r="NVJ14" s="54"/>
      <c r="NVK14" s="54"/>
      <c r="NVL14" s="54"/>
      <c r="NVM14" s="57"/>
      <c r="NVN14" s="62"/>
      <c r="NVO14" s="63"/>
      <c r="NVP14" s="63"/>
      <c r="NVQ14" s="63"/>
      <c r="NVR14" s="63"/>
      <c r="NVS14" s="63"/>
      <c r="NVT14" s="63"/>
      <c r="NVU14" s="63"/>
      <c r="NVV14" s="63"/>
      <c r="NVW14" s="63"/>
      <c r="NVX14" s="63"/>
      <c r="NVY14" s="63"/>
      <c r="NVZ14" s="54"/>
      <c r="NWA14" s="54"/>
      <c r="NWB14" s="54"/>
      <c r="NWC14" s="57"/>
      <c r="NWD14" s="62"/>
      <c r="NWE14" s="63"/>
      <c r="NWF14" s="63"/>
      <c r="NWG14" s="63"/>
      <c r="NWH14" s="63"/>
      <c r="NWI14" s="63"/>
      <c r="NWJ14" s="63"/>
      <c r="NWK14" s="63"/>
      <c r="NWL14" s="63"/>
      <c r="NWM14" s="63"/>
      <c r="NWN14" s="63"/>
      <c r="NWO14" s="63"/>
      <c r="NWP14" s="54"/>
      <c r="NWQ14" s="54"/>
      <c r="NWR14" s="54"/>
      <c r="NWS14" s="57"/>
      <c r="NWT14" s="62"/>
      <c r="NWU14" s="63"/>
      <c r="NWV14" s="63"/>
      <c r="NWW14" s="63"/>
      <c r="NWX14" s="63"/>
      <c r="NWY14" s="63"/>
      <c r="NWZ14" s="63"/>
      <c r="NXA14" s="63"/>
      <c r="NXB14" s="63"/>
      <c r="NXC14" s="63"/>
      <c r="NXD14" s="63"/>
      <c r="NXE14" s="63"/>
      <c r="NXF14" s="54"/>
      <c r="NXG14" s="54"/>
      <c r="NXH14" s="54"/>
      <c r="NXI14" s="57"/>
      <c r="NXJ14" s="62"/>
      <c r="NXK14" s="63"/>
      <c r="NXL14" s="63"/>
      <c r="NXM14" s="63"/>
      <c r="NXN14" s="63"/>
      <c r="NXO14" s="63"/>
      <c r="NXP14" s="63"/>
      <c r="NXQ14" s="63"/>
      <c r="NXR14" s="63"/>
      <c r="NXS14" s="63"/>
      <c r="NXT14" s="63"/>
      <c r="NXU14" s="63"/>
      <c r="NXV14" s="54"/>
      <c r="NXW14" s="54"/>
      <c r="NXX14" s="54"/>
      <c r="NXY14" s="57"/>
      <c r="NXZ14" s="62"/>
      <c r="NYA14" s="63"/>
      <c r="NYB14" s="63"/>
      <c r="NYC14" s="63"/>
      <c r="NYD14" s="63"/>
      <c r="NYE14" s="63"/>
      <c r="NYF14" s="63"/>
      <c r="NYG14" s="63"/>
      <c r="NYH14" s="63"/>
      <c r="NYI14" s="63"/>
      <c r="NYJ14" s="63"/>
      <c r="NYK14" s="63"/>
      <c r="NYL14" s="54"/>
      <c r="NYM14" s="54"/>
      <c r="NYN14" s="54"/>
      <c r="NYO14" s="57"/>
      <c r="NYP14" s="62"/>
      <c r="NYQ14" s="63"/>
      <c r="NYR14" s="63"/>
      <c r="NYS14" s="63"/>
      <c r="NYT14" s="63"/>
      <c r="NYU14" s="63"/>
      <c r="NYV14" s="63"/>
      <c r="NYW14" s="63"/>
      <c r="NYX14" s="63"/>
      <c r="NYY14" s="63"/>
      <c r="NYZ14" s="63"/>
      <c r="NZA14" s="63"/>
      <c r="NZB14" s="54"/>
      <c r="NZC14" s="54"/>
      <c r="NZD14" s="54"/>
      <c r="NZE14" s="57"/>
      <c r="NZF14" s="62"/>
      <c r="NZG14" s="63"/>
      <c r="NZH14" s="63"/>
      <c r="NZI14" s="63"/>
      <c r="NZJ14" s="63"/>
      <c r="NZK14" s="63"/>
      <c r="NZL14" s="63"/>
      <c r="NZM14" s="63"/>
      <c r="NZN14" s="63"/>
      <c r="NZO14" s="63"/>
      <c r="NZP14" s="63"/>
      <c r="NZQ14" s="63"/>
      <c r="NZR14" s="54"/>
      <c r="NZS14" s="54"/>
      <c r="NZT14" s="54"/>
      <c r="NZU14" s="57"/>
      <c r="NZV14" s="62"/>
      <c r="NZW14" s="63"/>
      <c r="NZX14" s="63"/>
      <c r="NZY14" s="63"/>
      <c r="NZZ14" s="63"/>
      <c r="OAA14" s="63"/>
      <c r="OAB14" s="63"/>
      <c r="OAC14" s="63"/>
      <c r="OAD14" s="63"/>
      <c r="OAE14" s="63"/>
      <c r="OAF14" s="63"/>
      <c r="OAG14" s="63"/>
      <c r="OAH14" s="54"/>
      <c r="OAI14" s="54"/>
      <c r="OAJ14" s="54"/>
      <c r="OAK14" s="57"/>
      <c r="OAL14" s="62"/>
      <c r="OAM14" s="63"/>
      <c r="OAN14" s="63"/>
      <c r="OAO14" s="63"/>
      <c r="OAP14" s="63"/>
      <c r="OAQ14" s="63"/>
      <c r="OAR14" s="63"/>
      <c r="OAS14" s="63"/>
      <c r="OAT14" s="63"/>
      <c r="OAU14" s="63"/>
      <c r="OAV14" s="63"/>
      <c r="OAW14" s="63"/>
      <c r="OAX14" s="54"/>
      <c r="OAY14" s="54"/>
      <c r="OAZ14" s="54"/>
      <c r="OBA14" s="57"/>
      <c r="OBB14" s="62"/>
      <c r="OBC14" s="63"/>
      <c r="OBD14" s="63"/>
      <c r="OBE14" s="63"/>
      <c r="OBF14" s="63"/>
      <c r="OBG14" s="63"/>
      <c r="OBH14" s="63"/>
      <c r="OBI14" s="63"/>
      <c r="OBJ14" s="63"/>
      <c r="OBK14" s="63"/>
      <c r="OBL14" s="63"/>
      <c r="OBM14" s="63"/>
      <c r="OBN14" s="54"/>
      <c r="OBO14" s="54"/>
      <c r="OBP14" s="54"/>
      <c r="OBQ14" s="57"/>
      <c r="OBR14" s="62"/>
      <c r="OBS14" s="63"/>
      <c r="OBT14" s="63"/>
      <c r="OBU14" s="63"/>
      <c r="OBV14" s="63"/>
      <c r="OBW14" s="63"/>
      <c r="OBX14" s="63"/>
      <c r="OBY14" s="63"/>
      <c r="OBZ14" s="63"/>
      <c r="OCA14" s="63"/>
      <c r="OCB14" s="63"/>
      <c r="OCC14" s="63"/>
      <c r="OCD14" s="54"/>
      <c r="OCE14" s="54"/>
      <c r="OCF14" s="54"/>
      <c r="OCG14" s="57"/>
      <c r="OCH14" s="62"/>
      <c r="OCI14" s="63"/>
      <c r="OCJ14" s="63"/>
      <c r="OCK14" s="63"/>
      <c r="OCL14" s="63"/>
      <c r="OCM14" s="63"/>
      <c r="OCN14" s="63"/>
      <c r="OCO14" s="63"/>
      <c r="OCP14" s="63"/>
      <c r="OCQ14" s="63"/>
      <c r="OCR14" s="63"/>
      <c r="OCS14" s="63"/>
      <c r="OCT14" s="54"/>
      <c r="OCU14" s="54"/>
      <c r="OCV14" s="54"/>
      <c r="OCW14" s="57"/>
      <c r="OCX14" s="62"/>
      <c r="OCY14" s="63"/>
      <c r="OCZ14" s="63"/>
      <c r="ODA14" s="63"/>
      <c r="ODB14" s="63"/>
      <c r="ODC14" s="63"/>
      <c r="ODD14" s="63"/>
      <c r="ODE14" s="63"/>
      <c r="ODF14" s="63"/>
      <c r="ODG14" s="63"/>
      <c r="ODH14" s="63"/>
      <c r="ODI14" s="63"/>
      <c r="ODJ14" s="54"/>
      <c r="ODK14" s="54"/>
      <c r="ODL14" s="54"/>
      <c r="ODM14" s="57"/>
      <c r="ODN14" s="62"/>
      <c r="ODO14" s="63"/>
      <c r="ODP14" s="63"/>
      <c r="ODQ14" s="63"/>
      <c r="ODR14" s="63"/>
      <c r="ODS14" s="63"/>
      <c r="ODT14" s="63"/>
      <c r="ODU14" s="63"/>
      <c r="ODV14" s="63"/>
      <c r="ODW14" s="63"/>
      <c r="ODX14" s="63"/>
      <c r="ODY14" s="63"/>
      <c r="ODZ14" s="54"/>
      <c r="OEA14" s="54"/>
      <c r="OEB14" s="54"/>
      <c r="OEC14" s="57"/>
      <c r="OED14" s="62"/>
      <c r="OEE14" s="63"/>
      <c r="OEF14" s="63"/>
      <c r="OEG14" s="63"/>
      <c r="OEH14" s="63"/>
      <c r="OEI14" s="63"/>
      <c r="OEJ14" s="63"/>
      <c r="OEK14" s="63"/>
      <c r="OEL14" s="63"/>
      <c r="OEM14" s="63"/>
      <c r="OEN14" s="63"/>
      <c r="OEO14" s="63"/>
      <c r="OEP14" s="54"/>
      <c r="OEQ14" s="54"/>
      <c r="OER14" s="54"/>
      <c r="OES14" s="57"/>
      <c r="OET14" s="62"/>
      <c r="OEU14" s="63"/>
      <c r="OEV14" s="63"/>
      <c r="OEW14" s="63"/>
      <c r="OEX14" s="63"/>
      <c r="OEY14" s="63"/>
      <c r="OEZ14" s="63"/>
      <c r="OFA14" s="63"/>
      <c r="OFB14" s="63"/>
      <c r="OFC14" s="63"/>
      <c r="OFD14" s="63"/>
      <c r="OFE14" s="63"/>
      <c r="OFF14" s="54"/>
      <c r="OFG14" s="54"/>
      <c r="OFH14" s="54"/>
      <c r="OFI14" s="57"/>
      <c r="OFJ14" s="62"/>
      <c r="OFK14" s="63"/>
      <c r="OFL14" s="63"/>
      <c r="OFM14" s="63"/>
      <c r="OFN14" s="63"/>
      <c r="OFO14" s="63"/>
      <c r="OFP14" s="63"/>
      <c r="OFQ14" s="63"/>
      <c r="OFR14" s="63"/>
      <c r="OFS14" s="63"/>
      <c r="OFT14" s="63"/>
      <c r="OFU14" s="63"/>
      <c r="OFV14" s="54"/>
      <c r="OFW14" s="54"/>
      <c r="OFX14" s="54"/>
      <c r="OFY14" s="57"/>
      <c r="OFZ14" s="62"/>
      <c r="OGA14" s="63"/>
      <c r="OGB14" s="63"/>
      <c r="OGC14" s="63"/>
      <c r="OGD14" s="63"/>
      <c r="OGE14" s="63"/>
      <c r="OGF14" s="63"/>
      <c r="OGG14" s="63"/>
      <c r="OGH14" s="63"/>
      <c r="OGI14" s="63"/>
      <c r="OGJ14" s="63"/>
      <c r="OGK14" s="63"/>
      <c r="OGL14" s="54"/>
      <c r="OGM14" s="54"/>
      <c r="OGN14" s="54"/>
      <c r="OGO14" s="57"/>
      <c r="OGP14" s="62"/>
      <c r="OGQ14" s="63"/>
      <c r="OGR14" s="63"/>
      <c r="OGS14" s="63"/>
      <c r="OGT14" s="63"/>
      <c r="OGU14" s="63"/>
      <c r="OGV14" s="63"/>
      <c r="OGW14" s="63"/>
      <c r="OGX14" s="63"/>
      <c r="OGY14" s="63"/>
      <c r="OGZ14" s="63"/>
      <c r="OHA14" s="63"/>
      <c r="OHB14" s="54"/>
      <c r="OHC14" s="54"/>
      <c r="OHD14" s="54"/>
      <c r="OHE14" s="57"/>
      <c r="OHF14" s="62"/>
      <c r="OHG14" s="63"/>
      <c r="OHH14" s="63"/>
      <c r="OHI14" s="63"/>
      <c r="OHJ14" s="63"/>
      <c r="OHK14" s="63"/>
      <c r="OHL14" s="63"/>
      <c r="OHM14" s="63"/>
      <c r="OHN14" s="63"/>
      <c r="OHO14" s="63"/>
      <c r="OHP14" s="63"/>
      <c r="OHQ14" s="63"/>
      <c r="OHR14" s="54"/>
      <c r="OHS14" s="54"/>
      <c r="OHT14" s="54"/>
      <c r="OHU14" s="57"/>
      <c r="OHV14" s="62"/>
      <c r="OHW14" s="63"/>
      <c r="OHX14" s="63"/>
      <c r="OHY14" s="63"/>
      <c r="OHZ14" s="63"/>
      <c r="OIA14" s="63"/>
      <c r="OIB14" s="63"/>
      <c r="OIC14" s="63"/>
      <c r="OID14" s="63"/>
      <c r="OIE14" s="63"/>
      <c r="OIF14" s="63"/>
      <c r="OIG14" s="63"/>
      <c r="OIH14" s="54"/>
      <c r="OII14" s="54"/>
      <c r="OIJ14" s="54"/>
      <c r="OIK14" s="57"/>
      <c r="OIL14" s="62"/>
      <c r="OIM14" s="63"/>
      <c r="OIN14" s="63"/>
      <c r="OIO14" s="63"/>
      <c r="OIP14" s="63"/>
      <c r="OIQ14" s="63"/>
      <c r="OIR14" s="63"/>
      <c r="OIS14" s="63"/>
      <c r="OIT14" s="63"/>
      <c r="OIU14" s="63"/>
      <c r="OIV14" s="63"/>
      <c r="OIW14" s="63"/>
      <c r="OIX14" s="54"/>
      <c r="OIY14" s="54"/>
      <c r="OIZ14" s="54"/>
      <c r="OJA14" s="57"/>
      <c r="OJB14" s="62"/>
      <c r="OJC14" s="63"/>
      <c r="OJD14" s="63"/>
      <c r="OJE14" s="63"/>
      <c r="OJF14" s="63"/>
      <c r="OJG14" s="63"/>
      <c r="OJH14" s="63"/>
      <c r="OJI14" s="63"/>
      <c r="OJJ14" s="63"/>
      <c r="OJK14" s="63"/>
      <c r="OJL14" s="63"/>
      <c r="OJM14" s="63"/>
      <c r="OJN14" s="54"/>
      <c r="OJO14" s="54"/>
      <c r="OJP14" s="54"/>
      <c r="OJQ14" s="57"/>
      <c r="OJR14" s="62"/>
      <c r="OJS14" s="63"/>
      <c r="OJT14" s="63"/>
      <c r="OJU14" s="63"/>
      <c r="OJV14" s="63"/>
      <c r="OJW14" s="63"/>
      <c r="OJX14" s="63"/>
      <c r="OJY14" s="63"/>
      <c r="OJZ14" s="63"/>
      <c r="OKA14" s="63"/>
      <c r="OKB14" s="63"/>
      <c r="OKC14" s="63"/>
      <c r="OKD14" s="54"/>
      <c r="OKE14" s="54"/>
      <c r="OKF14" s="54"/>
      <c r="OKG14" s="57"/>
      <c r="OKH14" s="62"/>
      <c r="OKI14" s="63"/>
      <c r="OKJ14" s="63"/>
      <c r="OKK14" s="63"/>
      <c r="OKL14" s="63"/>
      <c r="OKM14" s="63"/>
      <c r="OKN14" s="63"/>
      <c r="OKO14" s="63"/>
      <c r="OKP14" s="63"/>
      <c r="OKQ14" s="63"/>
      <c r="OKR14" s="63"/>
      <c r="OKS14" s="63"/>
      <c r="OKT14" s="54"/>
      <c r="OKU14" s="54"/>
      <c r="OKV14" s="54"/>
      <c r="OKW14" s="57"/>
      <c r="OKX14" s="62"/>
      <c r="OKY14" s="63"/>
      <c r="OKZ14" s="63"/>
      <c r="OLA14" s="63"/>
      <c r="OLB14" s="63"/>
      <c r="OLC14" s="63"/>
      <c r="OLD14" s="63"/>
      <c r="OLE14" s="63"/>
      <c r="OLF14" s="63"/>
      <c r="OLG14" s="63"/>
      <c r="OLH14" s="63"/>
      <c r="OLI14" s="63"/>
      <c r="OLJ14" s="54"/>
      <c r="OLK14" s="54"/>
      <c r="OLL14" s="54"/>
      <c r="OLM14" s="57"/>
      <c r="OLN14" s="62"/>
      <c r="OLO14" s="63"/>
      <c r="OLP14" s="63"/>
      <c r="OLQ14" s="63"/>
      <c r="OLR14" s="63"/>
      <c r="OLS14" s="63"/>
      <c r="OLT14" s="63"/>
      <c r="OLU14" s="63"/>
      <c r="OLV14" s="63"/>
      <c r="OLW14" s="63"/>
      <c r="OLX14" s="63"/>
      <c r="OLY14" s="63"/>
      <c r="OLZ14" s="54"/>
      <c r="OMA14" s="54"/>
      <c r="OMB14" s="54"/>
      <c r="OMC14" s="57"/>
      <c r="OMD14" s="62"/>
      <c r="OME14" s="63"/>
      <c r="OMF14" s="63"/>
      <c r="OMG14" s="63"/>
      <c r="OMH14" s="63"/>
      <c r="OMI14" s="63"/>
      <c r="OMJ14" s="63"/>
      <c r="OMK14" s="63"/>
      <c r="OML14" s="63"/>
      <c r="OMM14" s="63"/>
      <c r="OMN14" s="63"/>
      <c r="OMO14" s="63"/>
      <c r="OMP14" s="54"/>
      <c r="OMQ14" s="54"/>
      <c r="OMR14" s="54"/>
      <c r="OMS14" s="57"/>
      <c r="OMT14" s="62"/>
      <c r="OMU14" s="63"/>
      <c r="OMV14" s="63"/>
      <c r="OMW14" s="63"/>
      <c r="OMX14" s="63"/>
      <c r="OMY14" s="63"/>
      <c r="OMZ14" s="63"/>
      <c r="ONA14" s="63"/>
      <c r="ONB14" s="63"/>
      <c r="ONC14" s="63"/>
      <c r="OND14" s="63"/>
      <c r="ONE14" s="63"/>
      <c r="ONF14" s="54"/>
      <c r="ONG14" s="54"/>
      <c r="ONH14" s="54"/>
      <c r="ONI14" s="57"/>
      <c r="ONJ14" s="62"/>
      <c r="ONK14" s="63"/>
      <c r="ONL14" s="63"/>
      <c r="ONM14" s="63"/>
      <c r="ONN14" s="63"/>
      <c r="ONO14" s="63"/>
      <c r="ONP14" s="63"/>
      <c r="ONQ14" s="63"/>
      <c r="ONR14" s="63"/>
      <c r="ONS14" s="63"/>
      <c r="ONT14" s="63"/>
      <c r="ONU14" s="63"/>
      <c r="ONV14" s="54"/>
      <c r="ONW14" s="54"/>
      <c r="ONX14" s="54"/>
      <c r="ONY14" s="57"/>
      <c r="ONZ14" s="62"/>
      <c r="OOA14" s="63"/>
      <c r="OOB14" s="63"/>
      <c r="OOC14" s="63"/>
      <c r="OOD14" s="63"/>
      <c r="OOE14" s="63"/>
      <c r="OOF14" s="63"/>
      <c r="OOG14" s="63"/>
      <c r="OOH14" s="63"/>
      <c r="OOI14" s="63"/>
      <c r="OOJ14" s="63"/>
      <c r="OOK14" s="63"/>
      <c r="OOL14" s="54"/>
      <c r="OOM14" s="54"/>
      <c r="OON14" s="54"/>
      <c r="OOO14" s="57"/>
      <c r="OOP14" s="62"/>
      <c r="OOQ14" s="63"/>
      <c r="OOR14" s="63"/>
      <c r="OOS14" s="63"/>
      <c r="OOT14" s="63"/>
      <c r="OOU14" s="63"/>
      <c r="OOV14" s="63"/>
      <c r="OOW14" s="63"/>
      <c r="OOX14" s="63"/>
      <c r="OOY14" s="63"/>
      <c r="OOZ14" s="63"/>
      <c r="OPA14" s="63"/>
      <c r="OPB14" s="54"/>
      <c r="OPC14" s="54"/>
      <c r="OPD14" s="54"/>
      <c r="OPE14" s="57"/>
      <c r="OPF14" s="62"/>
      <c r="OPG14" s="63"/>
      <c r="OPH14" s="63"/>
      <c r="OPI14" s="63"/>
      <c r="OPJ14" s="63"/>
      <c r="OPK14" s="63"/>
      <c r="OPL14" s="63"/>
      <c r="OPM14" s="63"/>
      <c r="OPN14" s="63"/>
      <c r="OPO14" s="63"/>
      <c r="OPP14" s="63"/>
      <c r="OPQ14" s="63"/>
      <c r="OPR14" s="54"/>
      <c r="OPS14" s="54"/>
      <c r="OPT14" s="54"/>
      <c r="OPU14" s="57"/>
      <c r="OPV14" s="62"/>
      <c r="OPW14" s="63"/>
      <c r="OPX14" s="63"/>
      <c r="OPY14" s="63"/>
      <c r="OPZ14" s="63"/>
      <c r="OQA14" s="63"/>
      <c r="OQB14" s="63"/>
      <c r="OQC14" s="63"/>
      <c r="OQD14" s="63"/>
      <c r="OQE14" s="63"/>
      <c r="OQF14" s="63"/>
      <c r="OQG14" s="63"/>
      <c r="OQH14" s="54"/>
      <c r="OQI14" s="54"/>
      <c r="OQJ14" s="54"/>
      <c r="OQK14" s="57"/>
      <c r="OQL14" s="62"/>
      <c r="OQM14" s="63"/>
      <c r="OQN14" s="63"/>
      <c r="OQO14" s="63"/>
      <c r="OQP14" s="63"/>
      <c r="OQQ14" s="63"/>
      <c r="OQR14" s="63"/>
      <c r="OQS14" s="63"/>
      <c r="OQT14" s="63"/>
      <c r="OQU14" s="63"/>
      <c r="OQV14" s="63"/>
      <c r="OQW14" s="63"/>
      <c r="OQX14" s="54"/>
      <c r="OQY14" s="54"/>
      <c r="OQZ14" s="54"/>
      <c r="ORA14" s="57"/>
      <c r="ORB14" s="62"/>
      <c r="ORC14" s="63"/>
      <c r="ORD14" s="63"/>
      <c r="ORE14" s="63"/>
      <c r="ORF14" s="63"/>
      <c r="ORG14" s="63"/>
      <c r="ORH14" s="63"/>
      <c r="ORI14" s="63"/>
      <c r="ORJ14" s="63"/>
      <c r="ORK14" s="63"/>
      <c r="ORL14" s="63"/>
      <c r="ORM14" s="63"/>
      <c r="ORN14" s="54"/>
      <c r="ORO14" s="54"/>
      <c r="ORP14" s="54"/>
      <c r="ORQ14" s="57"/>
      <c r="ORR14" s="62"/>
      <c r="ORS14" s="63"/>
      <c r="ORT14" s="63"/>
      <c r="ORU14" s="63"/>
      <c r="ORV14" s="63"/>
      <c r="ORW14" s="63"/>
      <c r="ORX14" s="63"/>
      <c r="ORY14" s="63"/>
      <c r="ORZ14" s="63"/>
      <c r="OSA14" s="63"/>
      <c r="OSB14" s="63"/>
      <c r="OSC14" s="63"/>
      <c r="OSD14" s="54"/>
      <c r="OSE14" s="54"/>
      <c r="OSF14" s="54"/>
      <c r="OSG14" s="57"/>
      <c r="OSH14" s="62"/>
      <c r="OSI14" s="63"/>
      <c r="OSJ14" s="63"/>
      <c r="OSK14" s="63"/>
      <c r="OSL14" s="63"/>
      <c r="OSM14" s="63"/>
      <c r="OSN14" s="63"/>
      <c r="OSO14" s="63"/>
      <c r="OSP14" s="63"/>
      <c r="OSQ14" s="63"/>
      <c r="OSR14" s="63"/>
      <c r="OSS14" s="63"/>
      <c r="OST14" s="54"/>
      <c r="OSU14" s="54"/>
      <c r="OSV14" s="54"/>
      <c r="OSW14" s="57"/>
      <c r="OSX14" s="62"/>
      <c r="OSY14" s="63"/>
      <c r="OSZ14" s="63"/>
      <c r="OTA14" s="63"/>
      <c r="OTB14" s="63"/>
      <c r="OTC14" s="63"/>
      <c r="OTD14" s="63"/>
      <c r="OTE14" s="63"/>
      <c r="OTF14" s="63"/>
      <c r="OTG14" s="63"/>
      <c r="OTH14" s="63"/>
      <c r="OTI14" s="63"/>
      <c r="OTJ14" s="54"/>
      <c r="OTK14" s="54"/>
      <c r="OTL14" s="54"/>
      <c r="OTM14" s="57"/>
      <c r="OTN14" s="62"/>
      <c r="OTO14" s="63"/>
      <c r="OTP14" s="63"/>
      <c r="OTQ14" s="63"/>
      <c r="OTR14" s="63"/>
      <c r="OTS14" s="63"/>
      <c r="OTT14" s="63"/>
      <c r="OTU14" s="63"/>
      <c r="OTV14" s="63"/>
      <c r="OTW14" s="63"/>
      <c r="OTX14" s="63"/>
      <c r="OTY14" s="63"/>
      <c r="OTZ14" s="54"/>
      <c r="OUA14" s="54"/>
      <c r="OUB14" s="54"/>
      <c r="OUC14" s="57"/>
      <c r="OUD14" s="62"/>
      <c r="OUE14" s="63"/>
      <c r="OUF14" s="63"/>
      <c r="OUG14" s="63"/>
      <c r="OUH14" s="63"/>
      <c r="OUI14" s="63"/>
      <c r="OUJ14" s="63"/>
      <c r="OUK14" s="63"/>
      <c r="OUL14" s="63"/>
      <c r="OUM14" s="63"/>
      <c r="OUN14" s="63"/>
      <c r="OUO14" s="63"/>
      <c r="OUP14" s="54"/>
      <c r="OUQ14" s="54"/>
      <c r="OUR14" s="54"/>
      <c r="OUS14" s="57"/>
      <c r="OUT14" s="62"/>
      <c r="OUU14" s="63"/>
      <c r="OUV14" s="63"/>
      <c r="OUW14" s="63"/>
      <c r="OUX14" s="63"/>
      <c r="OUY14" s="63"/>
      <c r="OUZ14" s="63"/>
      <c r="OVA14" s="63"/>
      <c r="OVB14" s="63"/>
      <c r="OVC14" s="63"/>
      <c r="OVD14" s="63"/>
      <c r="OVE14" s="63"/>
      <c r="OVF14" s="54"/>
      <c r="OVG14" s="54"/>
      <c r="OVH14" s="54"/>
      <c r="OVI14" s="57"/>
      <c r="OVJ14" s="62"/>
      <c r="OVK14" s="63"/>
      <c r="OVL14" s="63"/>
      <c r="OVM14" s="63"/>
      <c r="OVN14" s="63"/>
      <c r="OVO14" s="63"/>
      <c r="OVP14" s="63"/>
      <c r="OVQ14" s="63"/>
      <c r="OVR14" s="63"/>
      <c r="OVS14" s="63"/>
      <c r="OVT14" s="63"/>
      <c r="OVU14" s="63"/>
      <c r="OVV14" s="54"/>
      <c r="OVW14" s="54"/>
      <c r="OVX14" s="54"/>
      <c r="OVY14" s="57"/>
      <c r="OVZ14" s="62"/>
      <c r="OWA14" s="63"/>
      <c r="OWB14" s="63"/>
      <c r="OWC14" s="63"/>
      <c r="OWD14" s="63"/>
      <c r="OWE14" s="63"/>
      <c r="OWF14" s="63"/>
      <c r="OWG14" s="63"/>
      <c r="OWH14" s="63"/>
      <c r="OWI14" s="63"/>
      <c r="OWJ14" s="63"/>
      <c r="OWK14" s="63"/>
      <c r="OWL14" s="54"/>
      <c r="OWM14" s="54"/>
      <c r="OWN14" s="54"/>
      <c r="OWO14" s="57"/>
      <c r="OWP14" s="62"/>
      <c r="OWQ14" s="63"/>
      <c r="OWR14" s="63"/>
      <c r="OWS14" s="63"/>
      <c r="OWT14" s="63"/>
      <c r="OWU14" s="63"/>
      <c r="OWV14" s="63"/>
      <c r="OWW14" s="63"/>
      <c r="OWX14" s="63"/>
      <c r="OWY14" s="63"/>
      <c r="OWZ14" s="63"/>
      <c r="OXA14" s="63"/>
      <c r="OXB14" s="54"/>
      <c r="OXC14" s="54"/>
      <c r="OXD14" s="54"/>
      <c r="OXE14" s="57"/>
      <c r="OXF14" s="62"/>
      <c r="OXG14" s="63"/>
      <c r="OXH14" s="63"/>
      <c r="OXI14" s="63"/>
      <c r="OXJ14" s="63"/>
      <c r="OXK14" s="63"/>
      <c r="OXL14" s="63"/>
      <c r="OXM14" s="63"/>
      <c r="OXN14" s="63"/>
      <c r="OXO14" s="63"/>
      <c r="OXP14" s="63"/>
      <c r="OXQ14" s="63"/>
      <c r="OXR14" s="54"/>
      <c r="OXS14" s="54"/>
      <c r="OXT14" s="54"/>
      <c r="OXU14" s="57"/>
      <c r="OXV14" s="62"/>
      <c r="OXW14" s="63"/>
      <c r="OXX14" s="63"/>
      <c r="OXY14" s="63"/>
      <c r="OXZ14" s="63"/>
      <c r="OYA14" s="63"/>
      <c r="OYB14" s="63"/>
      <c r="OYC14" s="63"/>
      <c r="OYD14" s="63"/>
      <c r="OYE14" s="63"/>
      <c r="OYF14" s="63"/>
      <c r="OYG14" s="63"/>
      <c r="OYH14" s="54"/>
      <c r="OYI14" s="54"/>
      <c r="OYJ14" s="54"/>
      <c r="OYK14" s="57"/>
      <c r="OYL14" s="62"/>
      <c r="OYM14" s="63"/>
      <c r="OYN14" s="63"/>
      <c r="OYO14" s="63"/>
      <c r="OYP14" s="63"/>
      <c r="OYQ14" s="63"/>
      <c r="OYR14" s="63"/>
      <c r="OYS14" s="63"/>
      <c r="OYT14" s="63"/>
      <c r="OYU14" s="63"/>
      <c r="OYV14" s="63"/>
      <c r="OYW14" s="63"/>
      <c r="OYX14" s="54"/>
      <c r="OYY14" s="54"/>
      <c r="OYZ14" s="54"/>
      <c r="OZA14" s="57"/>
      <c r="OZB14" s="62"/>
      <c r="OZC14" s="63"/>
      <c r="OZD14" s="63"/>
      <c r="OZE14" s="63"/>
      <c r="OZF14" s="63"/>
      <c r="OZG14" s="63"/>
      <c r="OZH14" s="63"/>
      <c r="OZI14" s="63"/>
      <c r="OZJ14" s="63"/>
      <c r="OZK14" s="63"/>
      <c r="OZL14" s="63"/>
      <c r="OZM14" s="63"/>
      <c r="OZN14" s="54"/>
      <c r="OZO14" s="54"/>
      <c r="OZP14" s="54"/>
      <c r="OZQ14" s="57"/>
      <c r="OZR14" s="62"/>
      <c r="OZS14" s="63"/>
      <c r="OZT14" s="63"/>
      <c r="OZU14" s="63"/>
      <c r="OZV14" s="63"/>
      <c r="OZW14" s="63"/>
      <c r="OZX14" s="63"/>
      <c r="OZY14" s="63"/>
      <c r="OZZ14" s="63"/>
      <c r="PAA14" s="63"/>
      <c r="PAB14" s="63"/>
      <c r="PAC14" s="63"/>
      <c r="PAD14" s="54"/>
      <c r="PAE14" s="54"/>
      <c r="PAF14" s="54"/>
      <c r="PAG14" s="57"/>
      <c r="PAH14" s="62"/>
      <c r="PAI14" s="63"/>
      <c r="PAJ14" s="63"/>
      <c r="PAK14" s="63"/>
      <c r="PAL14" s="63"/>
      <c r="PAM14" s="63"/>
      <c r="PAN14" s="63"/>
      <c r="PAO14" s="63"/>
      <c r="PAP14" s="63"/>
      <c r="PAQ14" s="63"/>
      <c r="PAR14" s="63"/>
      <c r="PAS14" s="63"/>
      <c r="PAT14" s="54"/>
      <c r="PAU14" s="54"/>
      <c r="PAV14" s="54"/>
      <c r="PAW14" s="57"/>
      <c r="PAX14" s="62"/>
      <c r="PAY14" s="63"/>
      <c r="PAZ14" s="63"/>
      <c r="PBA14" s="63"/>
      <c r="PBB14" s="63"/>
      <c r="PBC14" s="63"/>
      <c r="PBD14" s="63"/>
      <c r="PBE14" s="63"/>
      <c r="PBF14" s="63"/>
      <c r="PBG14" s="63"/>
      <c r="PBH14" s="63"/>
      <c r="PBI14" s="63"/>
      <c r="PBJ14" s="54"/>
      <c r="PBK14" s="54"/>
      <c r="PBL14" s="54"/>
      <c r="PBM14" s="57"/>
      <c r="PBN14" s="62"/>
      <c r="PBO14" s="63"/>
      <c r="PBP14" s="63"/>
      <c r="PBQ14" s="63"/>
      <c r="PBR14" s="63"/>
      <c r="PBS14" s="63"/>
      <c r="PBT14" s="63"/>
      <c r="PBU14" s="63"/>
      <c r="PBV14" s="63"/>
      <c r="PBW14" s="63"/>
      <c r="PBX14" s="63"/>
      <c r="PBY14" s="63"/>
      <c r="PBZ14" s="54"/>
      <c r="PCA14" s="54"/>
      <c r="PCB14" s="54"/>
      <c r="PCC14" s="57"/>
      <c r="PCD14" s="62"/>
      <c r="PCE14" s="63"/>
      <c r="PCF14" s="63"/>
      <c r="PCG14" s="63"/>
      <c r="PCH14" s="63"/>
      <c r="PCI14" s="63"/>
      <c r="PCJ14" s="63"/>
      <c r="PCK14" s="63"/>
      <c r="PCL14" s="63"/>
      <c r="PCM14" s="63"/>
      <c r="PCN14" s="63"/>
      <c r="PCO14" s="63"/>
      <c r="PCP14" s="54"/>
      <c r="PCQ14" s="54"/>
      <c r="PCR14" s="54"/>
      <c r="PCS14" s="57"/>
      <c r="PCT14" s="62"/>
      <c r="PCU14" s="63"/>
      <c r="PCV14" s="63"/>
      <c r="PCW14" s="63"/>
      <c r="PCX14" s="63"/>
      <c r="PCY14" s="63"/>
      <c r="PCZ14" s="63"/>
      <c r="PDA14" s="63"/>
      <c r="PDB14" s="63"/>
      <c r="PDC14" s="63"/>
      <c r="PDD14" s="63"/>
      <c r="PDE14" s="63"/>
      <c r="PDF14" s="54"/>
      <c r="PDG14" s="54"/>
      <c r="PDH14" s="54"/>
      <c r="PDI14" s="57"/>
      <c r="PDJ14" s="62"/>
      <c r="PDK14" s="63"/>
      <c r="PDL14" s="63"/>
      <c r="PDM14" s="63"/>
      <c r="PDN14" s="63"/>
      <c r="PDO14" s="63"/>
      <c r="PDP14" s="63"/>
      <c r="PDQ14" s="63"/>
      <c r="PDR14" s="63"/>
      <c r="PDS14" s="63"/>
      <c r="PDT14" s="63"/>
      <c r="PDU14" s="63"/>
      <c r="PDV14" s="54"/>
      <c r="PDW14" s="54"/>
      <c r="PDX14" s="54"/>
      <c r="PDY14" s="57"/>
      <c r="PDZ14" s="62"/>
      <c r="PEA14" s="63"/>
      <c r="PEB14" s="63"/>
      <c r="PEC14" s="63"/>
      <c r="PED14" s="63"/>
      <c r="PEE14" s="63"/>
      <c r="PEF14" s="63"/>
      <c r="PEG14" s="63"/>
      <c r="PEH14" s="63"/>
      <c r="PEI14" s="63"/>
      <c r="PEJ14" s="63"/>
      <c r="PEK14" s="63"/>
      <c r="PEL14" s="54"/>
      <c r="PEM14" s="54"/>
      <c r="PEN14" s="54"/>
      <c r="PEO14" s="57"/>
      <c r="PEP14" s="62"/>
      <c r="PEQ14" s="63"/>
      <c r="PER14" s="63"/>
      <c r="PES14" s="63"/>
      <c r="PET14" s="63"/>
      <c r="PEU14" s="63"/>
      <c r="PEV14" s="63"/>
      <c r="PEW14" s="63"/>
      <c r="PEX14" s="63"/>
      <c r="PEY14" s="63"/>
      <c r="PEZ14" s="63"/>
      <c r="PFA14" s="63"/>
      <c r="PFB14" s="54"/>
      <c r="PFC14" s="54"/>
      <c r="PFD14" s="54"/>
      <c r="PFE14" s="57"/>
      <c r="PFF14" s="62"/>
      <c r="PFG14" s="63"/>
      <c r="PFH14" s="63"/>
      <c r="PFI14" s="63"/>
      <c r="PFJ14" s="63"/>
      <c r="PFK14" s="63"/>
      <c r="PFL14" s="63"/>
      <c r="PFM14" s="63"/>
      <c r="PFN14" s="63"/>
      <c r="PFO14" s="63"/>
      <c r="PFP14" s="63"/>
      <c r="PFQ14" s="63"/>
      <c r="PFR14" s="54"/>
      <c r="PFS14" s="54"/>
      <c r="PFT14" s="54"/>
      <c r="PFU14" s="57"/>
      <c r="PFV14" s="62"/>
      <c r="PFW14" s="63"/>
      <c r="PFX14" s="63"/>
      <c r="PFY14" s="63"/>
      <c r="PFZ14" s="63"/>
      <c r="PGA14" s="63"/>
      <c r="PGB14" s="63"/>
      <c r="PGC14" s="63"/>
      <c r="PGD14" s="63"/>
      <c r="PGE14" s="63"/>
      <c r="PGF14" s="63"/>
      <c r="PGG14" s="63"/>
      <c r="PGH14" s="54"/>
      <c r="PGI14" s="54"/>
      <c r="PGJ14" s="54"/>
      <c r="PGK14" s="57"/>
      <c r="PGL14" s="62"/>
      <c r="PGM14" s="63"/>
      <c r="PGN14" s="63"/>
      <c r="PGO14" s="63"/>
      <c r="PGP14" s="63"/>
      <c r="PGQ14" s="63"/>
      <c r="PGR14" s="63"/>
      <c r="PGS14" s="63"/>
      <c r="PGT14" s="63"/>
      <c r="PGU14" s="63"/>
      <c r="PGV14" s="63"/>
      <c r="PGW14" s="63"/>
      <c r="PGX14" s="54"/>
      <c r="PGY14" s="54"/>
      <c r="PGZ14" s="54"/>
      <c r="PHA14" s="57"/>
      <c r="PHB14" s="62"/>
      <c r="PHC14" s="63"/>
      <c r="PHD14" s="63"/>
      <c r="PHE14" s="63"/>
      <c r="PHF14" s="63"/>
      <c r="PHG14" s="63"/>
      <c r="PHH14" s="63"/>
      <c r="PHI14" s="63"/>
      <c r="PHJ14" s="63"/>
      <c r="PHK14" s="63"/>
      <c r="PHL14" s="63"/>
      <c r="PHM14" s="63"/>
      <c r="PHN14" s="54"/>
      <c r="PHO14" s="54"/>
      <c r="PHP14" s="54"/>
      <c r="PHQ14" s="57"/>
      <c r="PHR14" s="62"/>
      <c r="PHS14" s="63"/>
      <c r="PHT14" s="63"/>
      <c r="PHU14" s="63"/>
      <c r="PHV14" s="63"/>
      <c r="PHW14" s="63"/>
      <c r="PHX14" s="63"/>
      <c r="PHY14" s="63"/>
      <c r="PHZ14" s="63"/>
      <c r="PIA14" s="63"/>
      <c r="PIB14" s="63"/>
      <c r="PIC14" s="63"/>
      <c r="PID14" s="54"/>
      <c r="PIE14" s="54"/>
      <c r="PIF14" s="54"/>
      <c r="PIG14" s="57"/>
      <c r="PIH14" s="62"/>
      <c r="PII14" s="63"/>
      <c r="PIJ14" s="63"/>
      <c r="PIK14" s="63"/>
      <c r="PIL14" s="63"/>
      <c r="PIM14" s="63"/>
      <c r="PIN14" s="63"/>
      <c r="PIO14" s="63"/>
      <c r="PIP14" s="63"/>
      <c r="PIQ14" s="63"/>
      <c r="PIR14" s="63"/>
      <c r="PIS14" s="63"/>
      <c r="PIT14" s="54"/>
      <c r="PIU14" s="54"/>
      <c r="PIV14" s="54"/>
      <c r="PIW14" s="57"/>
      <c r="PIX14" s="62"/>
      <c r="PIY14" s="63"/>
      <c r="PIZ14" s="63"/>
      <c r="PJA14" s="63"/>
      <c r="PJB14" s="63"/>
      <c r="PJC14" s="63"/>
      <c r="PJD14" s="63"/>
      <c r="PJE14" s="63"/>
      <c r="PJF14" s="63"/>
      <c r="PJG14" s="63"/>
      <c r="PJH14" s="63"/>
      <c r="PJI14" s="63"/>
      <c r="PJJ14" s="54"/>
      <c r="PJK14" s="54"/>
      <c r="PJL14" s="54"/>
      <c r="PJM14" s="57"/>
      <c r="PJN14" s="62"/>
      <c r="PJO14" s="63"/>
      <c r="PJP14" s="63"/>
      <c r="PJQ14" s="63"/>
      <c r="PJR14" s="63"/>
      <c r="PJS14" s="63"/>
      <c r="PJT14" s="63"/>
      <c r="PJU14" s="63"/>
      <c r="PJV14" s="63"/>
      <c r="PJW14" s="63"/>
      <c r="PJX14" s="63"/>
      <c r="PJY14" s="63"/>
      <c r="PJZ14" s="54"/>
      <c r="PKA14" s="54"/>
      <c r="PKB14" s="54"/>
      <c r="PKC14" s="57"/>
      <c r="PKD14" s="62"/>
      <c r="PKE14" s="63"/>
      <c r="PKF14" s="63"/>
      <c r="PKG14" s="63"/>
      <c r="PKH14" s="63"/>
      <c r="PKI14" s="63"/>
      <c r="PKJ14" s="63"/>
      <c r="PKK14" s="63"/>
      <c r="PKL14" s="63"/>
      <c r="PKM14" s="63"/>
      <c r="PKN14" s="63"/>
      <c r="PKO14" s="63"/>
      <c r="PKP14" s="54"/>
      <c r="PKQ14" s="54"/>
      <c r="PKR14" s="54"/>
      <c r="PKS14" s="57"/>
      <c r="PKT14" s="62"/>
      <c r="PKU14" s="63"/>
      <c r="PKV14" s="63"/>
      <c r="PKW14" s="63"/>
      <c r="PKX14" s="63"/>
      <c r="PKY14" s="63"/>
      <c r="PKZ14" s="63"/>
      <c r="PLA14" s="63"/>
      <c r="PLB14" s="63"/>
      <c r="PLC14" s="63"/>
      <c r="PLD14" s="63"/>
      <c r="PLE14" s="63"/>
      <c r="PLF14" s="54"/>
      <c r="PLG14" s="54"/>
      <c r="PLH14" s="54"/>
      <c r="PLI14" s="57"/>
      <c r="PLJ14" s="62"/>
      <c r="PLK14" s="63"/>
      <c r="PLL14" s="63"/>
      <c r="PLM14" s="63"/>
      <c r="PLN14" s="63"/>
      <c r="PLO14" s="63"/>
      <c r="PLP14" s="63"/>
      <c r="PLQ14" s="63"/>
      <c r="PLR14" s="63"/>
      <c r="PLS14" s="63"/>
      <c r="PLT14" s="63"/>
      <c r="PLU14" s="63"/>
      <c r="PLV14" s="54"/>
      <c r="PLW14" s="54"/>
      <c r="PLX14" s="54"/>
      <c r="PLY14" s="57"/>
      <c r="PLZ14" s="62"/>
      <c r="PMA14" s="63"/>
      <c r="PMB14" s="63"/>
      <c r="PMC14" s="63"/>
      <c r="PMD14" s="63"/>
      <c r="PME14" s="63"/>
      <c r="PMF14" s="63"/>
      <c r="PMG14" s="63"/>
      <c r="PMH14" s="63"/>
      <c r="PMI14" s="63"/>
      <c r="PMJ14" s="63"/>
      <c r="PMK14" s="63"/>
      <c r="PML14" s="54"/>
      <c r="PMM14" s="54"/>
      <c r="PMN14" s="54"/>
      <c r="PMO14" s="57"/>
      <c r="PMP14" s="62"/>
      <c r="PMQ14" s="63"/>
      <c r="PMR14" s="63"/>
      <c r="PMS14" s="63"/>
      <c r="PMT14" s="63"/>
      <c r="PMU14" s="63"/>
      <c r="PMV14" s="63"/>
      <c r="PMW14" s="63"/>
      <c r="PMX14" s="63"/>
      <c r="PMY14" s="63"/>
      <c r="PMZ14" s="63"/>
      <c r="PNA14" s="63"/>
      <c r="PNB14" s="54"/>
      <c r="PNC14" s="54"/>
      <c r="PND14" s="54"/>
      <c r="PNE14" s="57"/>
      <c r="PNF14" s="62"/>
      <c r="PNG14" s="63"/>
      <c r="PNH14" s="63"/>
      <c r="PNI14" s="63"/>
      <c r="PNJ14" s="63"/>
      <c r="PNK14" s="63"/>
      <c r="PNL14" s="63"/>
      <c r="PNM14" s="63"/>
      <c r="PNN14" s="63"/>
      <c r="PNO14" s="63"/>
      <c r="PNP14" s="63"/>
      <c r="PNQ14" s="63"/>
      <c r="PNR14" s="54"/>
      <c r="PNS14" s="54"/>
      <c r="PNT14" s="54"/>
      <c r="PNU14" s="57"/>
      <c r="PNV14" s="62"/>
      <c r="PNW14" s="63"/>
      <c r="PNX14" s="63"/>
      <c r="PNY14" s="63"/>
      <c r="PNZ14" s="63"/>
      <c r="POA14" s="63"/>
      <c r="POB14" s="63"/>
      <c r="POC14" s="63"/>
      <c r="POD14" s="63"/>
      <c r="POE14" s="63"/>
      <c r="POF14" s="63"/>
      <c r="POG14" s="63"/>
      <c r="POH14" s="54"/>
      <c r="POI14" s="54"/>
      <c r="POJ14" s="54"/>
      <c r="POK14" s="57"/>
      <c r="POL14" s="62"/>
      <c r="POM14" s="63"/>
      <c r="PON14" s="63"/>
      <c r="POO14" s="63"/>
      <c r="POP14" s="63"/>
      <c r="POQ14" s="63"/>
      <c r="POR14" s="63"/>
      <c r="POS14" s="63"/>
      <c r="POT14" s="63"/>
      <c r="POU14" s="63"/>
      <c r="POV14" s="63"/>
      <c r="POW14" s="63"/>
      <c r="POX14" s="54"/>
      <c r="POY14" s="54"/>
      <c r="POZ14" s="54"/>
      <c r="PPA14" s="57"/>
      <c r="PPB14" s="62"/>
      <c r="PPC14" s="63"/>
      <c r="PPD14" s="63"/>
      <c r="PPE14" s="63"/>
      <c r="PPF14" s="63"/>
      <c r="PPG14" s="63"/>
      <c r="PPH14" s="63"/>
      <c r="PPI14" s="63"/>
      <c r="PPJ14" s="63"/>
      <c r="PPK14" s="63"/>
      <c r="PPL14" s="63"/>
      <c r="PPM14" s="63"/>
      <c r="PPN14" s="54"/>
      <c r="PPO14" s="54"/>
      <c r="PPP14" s="54"/>
      <c r="PPQ14" s="57"/>
      <c r="PPR14" s="62"/>
      <c r="PPS14" s="63"/>
      <c r="PPT14" s="63"/>
      <c r="PPU14" s="63"/>
      <c r="PPV14" s="63"/>
      <c r="PPW14" s="63"/>
      <c r="PPX14" s="63"/>
      <c r="PPY14" s="63"/>
      <c r="PPZ14" s="63"/>
      <c r="PQA14" s="63"/>
      <c r="PQB14" s="63"/>
      <c r="PQC14" s="63"/>
      <c r="PQD14" s="54"/>
      <c r="PQE14" s="54"/>
      <c r="PQF14" s="54"/>
      <c r="PQG14" s="57"/>
      <c r="PQH14" s="62"/>
      <c r="PQI14" s="63"/>
      <c r="PQJ14" s="63"/>
      <c r="PQK14" s="63"/>
      <c r="PQL14" s="63"/>
      <c r="PQM14" s="63"/>
      <c r="PQN14" s="63"/>
      <c r="PQO14" s="63"/>
      <c r="PQP14" s="63"/>
      <c r="PQQ14" s="63"/>
      <c r="PQR14" s="63"/>
      <c r="PQS14" s="63"/>
      <c r="PQT14" s="54"/>
      <c r="PQU14" s="54"/>
      <c r="PQV14" s="54"/>
      <c r="PQW14" s="57"/>
      <c r="PQX14" s="62"/>
      <c r="PQY14" s="63"/>
      <c r="PQZ14" s="63"/>
      <c r="PRA14" s="63"/>
      <c r="PRB14" s="63"/>
      <c r="PRC14" s="63"/>
      <c r="PRD14" s="63"/>
      <c r="PRE14" s="63"/>
      <c r="PRF14" s="63"/>
      <c r="PRG14" s="63"/>
      <c r="PRH14" s="63"/>
      <c r="PRI14" s="63"/>
      <c r="PRJ14" s="54"/>
      <c r="PRK14" s="54"/>
      <c r="PRL14" s="54"/>
      <c r="PRM14" s="57"/>
      <c r="PRN14" s="62"/>
      <c r="PRO14" s="63"/>
      <c r="PRP14" s="63"/>
      <c r="PRQ14" s="63"/>
      <c r="PRR14" s="63"/>
      <c r="PRS14" s="63"/>
      <c r="PRT14" s="63"/>
      <c r="PRU14" s="63"/>
      <c r="PRV14" s="63"/>
      <c r="PRW14" s="63"/>
      <c r="PRX14" s="63"/>
      <c r="PRY14" s="63"/>
      <c r="PRZ14" s="54"/>
      <c r="PSA14" s="54"/>
      <c r="PSB14" s="54"/>
      <c r="PSC14" s="57"/>
      <c r="PSD14" s="62"/>
      <c r="PSE14" s="63"/>
      <c r="PSF14" s="63"/>
      <c r="PSG14" s="63"/>
      <c r="PSH14" s="63"/>
      <c r="PSI14" s="63"/>
      <c r="PSJ14" s="63"/>
      <c r="PSK14" s="63"/>
      <c r="PSL14" s="63"/>
      <c r="PSM14" s="63"/>
      <c r="PSN14" s="63"/>
      <c r="PSO14" s="63"/>
      <c r="PSP14" s="54"/>
      <c r="PSQ14" s="54"/>
      <c r="PSR14" s="54"/>
      <c r="PSS14" s="57"/>
      <c r="PST14" s="62"/>
      <c r="PSU14" s="63"/>
      <c r="PSV14" s="63"/>
      <c r="PSW14" s="63"/>
      <c r="PSX14" s="63"/>
      <c r="PSY14" s="63"/>
      <c r="PSZ14" s="63"/>
      <c r="PTA14" s="63"/>
      <c r="PTB14" s="63"/>
      <c r="PTC14" s="63"/>
      <c r="PTD14" s="63"/>
      <c r="PTE14" s="63"/>
      <c r="PTF14" s="54"/>
      <c r="PTG14" s="54"/>
      <c r="PTH14" s="54"/>
      <c r="PTI14" s="57"/>
      <c r="PTJ14" s="62"/>
      <c r="PTK14" s="63"/>
      <c r="PTL14" s="63"/>
      <c r="PTM14" s="63"/>
      <c r="PTN14" s="63"/>
      <c r="PTO14" s="63"/>
      <c r="PTP14" s="63"/>
      <c r="PTQ14" s="63"/>
      <c r="PTR14" s="63"/>
      <c r="PTS14" s="63"/>
      <c r="PTT14" s="63"/>
      <c r="PTU14" s="63"/>
      <c r="PTV14" s="54"/>
      <c r="PTW14" s="54"/>
      <c r="PTX14" s="54"/>
      <c r="PTY14" s="57"/>
      <c r="PTZ14" s="62"/>
      <c r="PUA14" s="63"/>
      <c r="PUB14" s="63"/>
      <c r="PUC14" s="63"/>
      <c r="PUD14" s="63"/>
      <c r="PUE14" s="63"/>
      <c r="PUF14" s="63"/>
      <c r="PUG14" s="63"/>
      <c r="PUH14" s="63"/>
      <c r="PUI14" s="63"/>
      <c r="PUJ14" s="63"/>
      <c r="PUK14" s="63"/>
      <c r="PUL14" s="54"/>
      <c r="PUM14" s="54"/>
      <c r="PUN14" s="54"/>
      <c r="PUO14" s="57"/>
      <c r="PUP14" s="62"/>
      <c r="PUQ14" s="63"/>
      <c r="PUR14" s="63"/>
      <c r="PUS14" s="63"/>
      <c r="PUT14" s="63"/>
      <c r="PUU14" s="63"/>
      <c r="PUV14" s="63"/>
      <c r="PUW14" s="63"/>
      <c r="PUX14" s="63"/>
      <c r="PUY14" s="63"/>
      <c r="PUZ14" s="63"/>
      <c r="PVA14" s="63"/>
      <c r="PVB14" s="54"/>
      <c r="PVC14" s="54"/>
      <c r="PVD14" s="54"/>
      <c r="PVE14" s="57"/>
      <c r="PVF14" s="62"/>
      <c r="PVG14" s="63"/>
      <c r="PVH14" s="63"/>
      <c r="PVI14" s="63"/>
      <c r="PVJ14" s="63"/>
      <c r="PVK14" s="63"/>
      <c r="PVL14" s="63"/>
      <c r="PVM14" s="63"/>
      <c r="PVN14" s="63"/>
      <c r="PVO14" s="63"/>
      <c r="PVP14" s="63"/>
      <c r="PVQ14" s="63"/>
      <c r="PVR14" s="54"/>
      <c r="PVS14" s="54"/>
      <c r="PVT14" s="54"/>
      <c r="PVU14" s="57"/>
      <c r="PVV14" s="62"/>
      <c r="PVW14" s="63"/>
      <c r="PVX14" s="63"/>
      <c r="PVY14" s="63"/>
      <c r="PVZ14" s="63"/>
      <c r="PWA14" s="63"/>
      <c r="PWB14" s="63"/>
      <c r="PWC14" s="63"/>
      <c r="PWD14" s="63"/>
      <c r="PWE14" s="63"/>
      <c r="PWF14" s="63"/>
      <c r="PWG14" s="63"/>
      <c r="PWH14" s="54"/>
      <c r="PWI14" s="54"/>
      <c r="PWJ14" s="54"/>
      <c r="PWK14" s="57"/>
      <c r="PWL14" s="62"/>
      <c r="PWM14" s="63"/>
      <c r="PWN14" s="63"/>
      <c r="PWO14" s="63"/>
      <c r="PWP14" s="63"/>
      <c r="PWQ14" s="63"/>
      <c r="PWR14" s="63"/>
      <c r="PWS14" s="63"/>
      <c r="PWT14" s="63"/>
      <c r="PWU14" s="63"/>
      <c r="PWV14" s="63"/>
      <c r="PWW14" s="63"/>
      <c r="PWX14" s="54"/>
      <c r="PWY14" s="54"/>
      <c r="PWZ14" s="54"/>
      <c r="PXA14" s="57"/>
      <c r="PXB14" s="62"/>
      <c r="PXC14" s="63"/>
      <c r="PXD14" s="63"/>
      <c r="PXE14" s="63"/>
      <c r="PXF14" s="63"/>
      <c r="PXG14" s="63"/>
      <c r="PXH14" s="63"/>
      <c r="PXI14" s="63"/>
      <c r="PXJ14" s="63"/>
      <c r="PXK14" s="63"/>
      <c r="PXL14" s="63"/>
      <c r="PXM14" s="63"/>
      <c r="PXN14" s="54"/>
      <c r="PXO14" s="54"/>
      <c r="PXP14" s="54"/>
      <c r="PXQ14" s="57"/>
      <c r="PXR14" s="62"/>
      <c r="PXS14" s="63"/>
      <c r="PXT14" s="63"/>
      <c r="PXU14" s="63"/>
      <c r="PXV14" s="63"/>
      <c r="PXW14" s="63"/>
      <c r="PXX14" s="63"/>
      <c r="PXY14" s="63"/>
      <c r="PXZ14" s="63"/>
      <c r="PYA14" s="63"/>
      <c r="PYB14" s="63"/>
      <c r="PYC14" s="63"/>
      <c r="PYD14" s="54"/>
      <c r="PYE14" s="54"/>
      <c r="PYF14" s="54"/>
      <c r="PYG14" s="57"/>
      <c r="PYH14" s="62"/>
      <c r="PYI14" s="63"/>
      <c r="PYJ14" s="63"/>
      <c r="PYK14" s="63"/>
      <c r="PYL14" s="63"/>
      <c r="PYM14" s="63"/>
      <c r="PYN14" s="63"/>
      <c r="PYO14" s="63"/>
      <c r="PYP14" s="63"/>
      <c r="PYQ14" s="63"/>
      <c r="PYR14" s="63"/>
      <c r="PYS14" s="63"/>
      <c r="PYT14" s="54"/>
      <c r="PYU14" s="54"/>
      <c r="PYV14" s="54"/>
      <c r="PYW14" s="57"/>
      <c r="PYX14" s="62"/>
      <c r="PYY14" s="63"/>
      <c r="PYZ14" s="63"/>
      <c r="PZA14" s="63"/>
      <c r="PZB14" s="63"/>
      <c r="PZC14" s="63"/>
      <c r="PZD14" s="63"/>
      <c r="PZE14" s="63"/>
      <c r="PZF14" s="63"/>
      <c r="PZG14" s="63"/>
      <c r="PZH14" s="63"/>
      <c r="PZI14" s="63"/>
      <c r="PZJ14" s="54"/>
      <c r="PZK14" s="54"/>
      <c r="PZL14" s="54"/>
      <c r="PZM14" s="57"/>
      <c r="PZN14" s="62"/>
      <c r="PZO14" s="63"/>
      <c r="PZP14" s="63"/>
      <c r="PZQ14" s="63"/>
      <c r="PZR14" s="63"/>
      <c r="PZS14" s="63"/>
      <c r="PZT14" s="63"/>
      <c r="PZU14" s="63"/>
      <c r="PZV14" s="63"/>
      <c r="PZW14" s="63"/>
      <c r="PZX14" s="63"/>
      <c r="PZY14" s="63"/>
      <c r="PZZ14" s="54"/>
      <c r="QAA14" s="54"/>
      <c r="QAB14" s="54"/>
      <c r="QAC14" s="57"/>
      <c r="QAD14" s="62"/>
      <c r="QAE14" s="63"/>
      <c r="QAF14" s="63"/>
      <c r="QAG14" s="63"/>
      <c r="QAH14" s="63"/>
      <c r="QAI14" s="63"/>
      <c r="QAJ14" s="63"/>
      <c r="QAK14" s="63"/>
      <c r="QAL14" s="63"/>
      <c r="QAM14" s="63"/>
      <c r="QAN14" s="63"/>
      <c r="QAO14" s="63"/>
      <c r="QAP14" s="54"/>
      <c r="QAQ14" s="54"/>
      <c r="QAR14" s="54"/>
      <c r="QAS14" s="57"/>
      <c r="QAT14" s="62"/>
      <c r="QAU14" s="63"/>
      <c r="QAV14" s="63"/>
      <c r="QAW14" s="63"/>
      <c r="QAX14" s="63"/>
      <c r="QAY14" s="63"/>
      <c r="QAZ14" s="63"/>
      <c r="QBA14" s="63"/>
      <c r="QBB14" s="63"/>
      <c r="QBC14" s="63"/>
      <c r="QBD14" s="63"/>
      <c r="QBE14" s="63"/>
      <c r="QBF14" s="54"/>
      <c r="QBG14" s="54"/>
      <c r="QBH14" s="54"/>
      <c r="QBI14" s="57"/>
      <c r="QBJ14" s="62"/>
      <c r="QBK14" s="63"/>
      <c r="QBL14" s="63"/>
      <c r="QBM14" s="63"/>
      <c r="QBN14" s="63"/>
      <c r="QBO14" s="63"/>
      <c r="QBP14" s="63"/>
      <c r="QBQ14" s="63"/>
      <c r="QBR14" s="63"/>
      <c r="QBS14" s="63"/>
      <c r="QBT14" s="63"/>
      <c r="QBU14" s="63"/>
      <c r="QBV14" s="54"/>
      <c r="QBW14" s="54"/>
      <c r="QBX14" s="54"/>
      <c r="QBY14" s="57"/>
      <c r="QBZ14" s="62"/>
      <c r="QCA14" s="63"/>
      <c r="QCB14" s="63"/>
      <c r="QCC14" s="63"/>
      <c r="QCD14" s="63"/>
      <c r="QCE14" s="63"/>
      <c r="QCF14" s="63"/>
      <c r="QCG14" s="63"/>
      <c r="QCH14" s="63"/>
      <c r="QCI14" s="63"/>
      <c r="QCJ14" s="63"/>
      <c r="QCK14" s="63"/>
      <c r="QCL14" s="54"/>
      <c r="QCM14" s="54"/>
      <c r="QCN14" s="54"/>
      <c r="QCO14" s="57"/>
      <c r="QCP14" s="62"/>
      <c r="QCQ14" s="63"/>
      <c r="QCR14" s="63"/>
      <c r="QCS14" s="63"/>
      <c r="QCT14" s="63"/>
      <c r="QCU14" s="63"/>
      <c r="QCV14" s="63"/>
      <c r="QCW14" s="63"/>
      <c r="QCX14" s="63"/>
      <c r="QCY14" s="63"/>
      <c r="QCZ14" s="63"/>
      <c r="QDA14" s="63"/>
      <c r="QDB14" s="54"/>
      <c r="QDC14" s="54"/>
      <c r="QDD14" s="54"/>
      <c r="QDE14" s="57"/>
      <c r="QDF14" s="62"/>
      <c r="QDG14" s="63"/>
      <c r="QDH14" s="63"/>
      <c r="QDI14" s="63"/>
      <c r="QDJ14" s="63"/>
      <c r="QDK14" s="63"/>
      <c r="QDL14" s="63"/>
      <c r="QDM14" s="63"/>
      <c r="QDN14" s="63"/>
      <c r="QDO14" s="63"/>
      <c r="QDP14" s="63"/>
      <c r="QDQ14" s="63"/>
      <c r="QDR14" s="54"/>
      <c r="QDS14" s="54"/>
      <c r="QDT14" s="54"/>
      <c r="QDU14" s="57"/>
      <c r="QDV14" s="62"/>
      <c r="QDW14" s="63"/>
      <c r="QDX14" s="63"/>
      <c r="QDY14" s="63"/>
      <c r="QDZ14" s="63"/>
      <c r="QEA14" s="63"/>
      <c r="QEB14" s="63"/>
      <c r="QEC14" s="63"/>
      <c r="QED14" s="63"/>
      <c r="QEE14" s="63"/>
      <c r="QEF14" s="63"/>
      <c r="QEG14" s="63"/>
      <c r="QEH14" s="54"/>
      <c r="QEI14" s="54"/>
      <c r="QEJ14" s="54"/>
      <c r="QEK14" s="57"/>
      <c r="QEL14" s="62"/>
      <c r="QEM14" s="63"/>
      <c r="QEN14" s="63"/>
      <c r="QEO14" s="63"/>
      <c r="QEP14" s="63"/>
      <c r="QEQ14" s="63"/>
      <c r="QER14" s="63"/>
      <c r="QES14" s="63"/>
      <c r="QET14" s="63"/>
      <c r="QEU14" s="63"/>
      <c r="QEV14" s="63"/>
      <c r="QEW14" s="63"/>
      <c r="QEX14" s="54"/>
      <c r="QEY14" s="54"/>
      <c r="QEZ14" s="54"/>
      <c r="QFA14" s="57"/>
      <c r="QFB14" s="62"/>
      <c r="QFC14" s="63"/>
      <c r="QFD14" s="63"/>
      <c r="QFE14" s="63"/>
      <c r="QFF14" s="63"/>
      <c r="QFG14" s="63"/>
      <c r="QFH14" s="63"/>
      <c r="QFI14" s="63"/>
      <c r="QFJ14" s="63"/>
      <c r="QFK14" s="63"/>
      <c r="QFL14" s="63"/>
      <c r="QFM14" s="63"/>
      <c r="QFN14" s="54"/>
      <c r="QFO14" s="54"/>
      <c r="QFP14" s="54"/>
      <c r="QFQ14" s="57"/>
      <c r="QFR14" s="62"/>
      <c r="QFS14" s="63"/>
      <c r="QFT14" s="63"/>
      <c r="QFU14" s="63"/>
      <c r="QFV14" s="63"/>
      <c r="QFW14" s="63"/>
      <c r="QFX14" s="63"/>
      <c r="QFY14" s="63"/>
      <c r="QFZ14" s="63"/>
      <c r="QGA14" s="63"/>
      <c r="QGB14" s="63"/>
      <c r="QGC14" s="63"/>
      <c r="QGD14" s="54"/>
      <c r="QGE14" s="54"/>
      <c r="QGF14" s="54"/>
      <c r="QGG14" s="57"/>
      <c r="QGH14" s="62"/>
      <c r="QGI14" s="63"/>
      <c r="QGJ14" s="63"/>
      <c r="QGK14" s="63"/>
      <c r="QGL14" s="63"/>
      <c r="QGM14" s="63"/>
      <c r="QGN14" s="63"/>
      <c r="QGO14" s="63"/>
      <c r="QGP14" s="63"/>
      <c r="QGQ14" s="63"/>
      <c r="QGR14" s="63"/>
      <c r="QGS14" s="63"/>
      <c r="QGT14" s="54"/>
      <c r="QGU14" s="54"/>
      <c r="QGV14" s="54"/>
      <c r="QGW14" s="57"/>
      <c r="QGX14" s="62"/>
      <c r="QGY14" s="63"/>
      <c r="QGZ14" s="63"/>
      <c r="QHA14" s="63"/>
      <c r="QHB14" s="63"/>
      <c r="QHC14" s="63"/>
      <c r="QHD14" s="63"/>
      <c r="QHE14" s="63"/>
      <c r="QHF14" s="63"/>
      <c r="QHG14" s="63"/>
      <c r="QHH14" s="63"/>
      <c r="QHI14" s="63"/>
      <c r="QHJ14" s="54"/>
      <c r="QHK14" s="54"/>
      <c r="QHL14" s="54"/>
      <c r="QHM14" s="57"/>
      <c r="QHN14" s="62"/>
      <c r="QHO14" s="63"/>
      <c r="QHP14" s="63"/>
      <c r="QHQ14" s="63"/>
      <c r="QHR14" s="63"/>
      <c r="QHS14" s="63"/>
      <c r="QHT14" s="63"/>
      <c r="QHU14" s="63"/>
      <c r="QHV14" s="63"/>
      <c r="QHW14" s="63"/>
      <c r="QHX14" s="63"/>
      <c r="QHY14" s="63"/>
      <c r="QHZ14" s="54"/>
      <c r="QIA14" s="54"/>
      <c r="QIB14" s="54"/>
      <c r="QIC14" s="57"/>
      <c r="QID14" s="62"/>
      <c r="QIE14" s="63"/>
      <c r="QIF14" s="63"/>
      <c r="QIG14" s="63"/>
      <c r="QIH14" s="63"/>
      <c r="QII14" s="63"/>
      <c r="QIJ14" s="63"/>
      <c r="QIK14" s="63"/>
      <c r="QIL14" s="63"/>
      <c r="QIM14" s="63"/>
      <c r="QIN14" s="63"/>
      <c r="QIO14" s="63"/>
      <c r="QIP14" s="54"/>
      <c r="QIQ14" s="54"/>
      <c r="QIR14" s="54"/>
      <c r="QIS14" s="57"/>
      <c r="QIT14" s="62"/>
      <c r="QIU14" s="63"/>
      <c r="QIV14" s="63"/>
      <c r="QIW14" s="63"/>
      <c r="QIX14" s="63"/>
      <c r="QIY14" s="63"/>
      <c r="QIZ14" s="63"/>
      <c r="QJA14" s="63"/>
      <c r="QJB14" s="63"/>
      <c r="QJC14" s="63"/>
      <c r="QJD14" s="63"/>
      <c r="QJE14" s="63"/>
      <c r="QJF14" s="54"/>
      <c r="QJG14" s="54"/>
      <c r="QJH14" s="54"/>
      <c r="QJI14" s="57"/>
      <c r="QJJ14" s="62"/>
      <c r="QJK14" s="63"/>
      <c r="QJL14" s="63"/>
      <c r="QJM14" s="63"/>
      <c r="QJN14" s="63"/>
      <c r="QJO14" s="63"/>
      <c r="QJP14" s="63"/>
      <c r="QJQ14" s="63"/>
      <c r="QJR14" s="63"/>
      <c r="QJS14" s="63"/>
      <c r="QJT14" s="63"/>
      <c r="QJU14" s="63"/>
      <c r="QJV14" s="54"/>
      <c r="QJW14" s="54"/>
      <c r="QJX14" s="54"/>
      <c r="QJY14" s="57"/>
      <c r="QJZ14" s="62"/>
      <c r="QKA14" s="63"/>
      <c r="QKB14" s="63"/>
      <c r="QKC14" s="63"/>
      <c r="QKD14" s="63"/>
      <c r="QKE14" s="63"/>
      <c r="QKF14" s="63"/>
      <c r="QKG14" s="63"/>
      <c r="QKH14" s="63"/>
      <c r="QKI14" s="63"/>
      <c r="QKJ14" s="63"/>
      <c r="QKK14" s="63"/>
      <c r="QKL14" s="54"/>
      <c r="QKM14" s="54"/>
      <c r="QKN14" s="54"/>
      <c r="QKO14" s="57"/>
      <c r="QKP14" s="62"/>
      <c r="QKQ14" s="63"/>
      <c r="QKR14" s="63"/>
      <c r="QKS14" s="63"/>
      <c r="QKT14" s="63"/>
      <c r="QKU14" s="63"/>
      <c r="QKV14" s="63"/>
      <c r="QKW14" s="63"/>
      <c r="QKX14" s="63"/>
      <c r="QKY14" s="63"/>
      <c r="QKZ14" s="63"/>
      <c r="QLA14" s="63"/>
      <c r="QLB14" s="54"/>
      <c r="QLC14" s="54"/>
      <c r="QLD14" s="54"/>
      <c r="QLE14" s="57"/>
      <c r="QLF14" s="62"/>
      <c r="QLG14" s="63"/>
      <c r="QLH14" s="63"/>
      <c r="QLI14" s="63"/>
      <c r="QLJ14" s="63"/>
      <c r="QLK14" s="63"/>
      <c r="QLL14" s="63"/>
      <c r="QLM14" s="63"/>
      <c r="QLN14" s="63"/>
      <c r="QLO14" s="63"/>
      <c r="QLP14" s="63"/>
      <c r="QLQ14" s="63"/>
      <c r="QLR14" s="54"/>
      <c r="QLS14" s="54"/>
      <c r="QLT14" s="54"/>
      <c r="QLU14" s="57"/>
      <c r="QLV14" s="62"/>
      <c r="QLW14" s="63"/>
      <c r="QLX14" s="63"/>
      <c r="QLY14" s="63"/>
      <c r="QLZ14" s="63"/>
      <c r="QMA14" s="63"/>
      <c r="QMB14" s="63"/>
      <c r="QMC14" s="63"/>
      <c r="QMD14" s="63"/>
      <c r="QME14" s="63"/>
      <c r="QMF14" s="63"/>
      <c r="QMG14" s="63"/>
      <c r="QMH14" s="54"/>
      <c r="QMI14" s="54"/>
      <c r="QMJ14" s="54"/>
      <c r="QMK14" s="57"/>
      <c r="QML14" s="62"/>
      <c r="QMM14" s="63"/>
      <c r="QMN14" s="63"/>
      <c r="QMO14" s="63"/>
      <c r="QMP14" s="63"/>
      <c r="QMQ14" s="63"/>
      <c r="QMR14" s="63"/>
      <c r="QMS14" s="63"/>
      <c r="QMT14" s="63"/>
      <c r="QMU14" s="63"/>
      <c r="QMV14" s="63"/>
      <c r="QMW14" s="63"/>
      <c r="QMX14" s="54"/>
      <c r="QMY14" s="54"/>
      <c r="QMZ14" s="54"/>
      <c r="QNA14" s="57"/>
      <c r="QNB14" s="62"/>
      <c r="QNC14" s="63"/>
      <c r="QND14" s="63"/>
      <c r="QNE14" s="63"/>
      <c r="QNF14" s="63"/>
      <c r="QNG14" s="63"/>
      <c r="QNH14" s="63"/>
      <c r="QNI14" s="63"/>
      <c r="QNJ14" s="63"/>
      <c r="QNK14" s="63"/>
      <c r="QNL14" s="63"/>
      <c r="QNM14" s="63"/>
      <c r="QNN14" s="54"/>
      <c r="QNO14" s="54"/>
      <c r="QNP14" s="54"/>
      <c r="QNQ14" s="57"/>
      <c r="QNR14" s="62"/>
      <c r="QNS14" s="63"/>
      <c r="QNT14" s="63"/>
      <c r="QNU14" s="63"/>
      <c r="QNV14" s="63"/>
      <c r="QNW14" s="63"/>
      <c r="QNX14" s="63"/>
      <c r="QNY14" s="63"/>
      <c r="QNZ14" s="63"/>
      <c r="QOA14" s="63"/>
      <c r="QOB14" s="63"/>
      <c r="QOC14" s="63"/>
      <c r="QOD14" s="54"/>
      <c r="QOE14" s="54"/>
      <c r="QOF14" s="54"/>
      <c r="QOG14" s="57"/>
      <c r="QOH14" s="62"/>
      <c r="QOI14" s="63"/>
      <c r="QOJ14" s="63"/>
      <c r="QOK14" s="63"/>
      <c r="QOL14" s="63"/>
      <c r="QOM14" s="63"/>
      <c r="QON14" s="63"/>
      <c r="QOO14" s="63"/>
      <c r="QOP14" s="63"/>
      <c r="QOQ14" s="63"/>
      <c r="QOR14" s="63"/>
      <c r="QOS14" s="63"/>
      <c r="QOT14" s="54"/>
      <c r="QOU14" s="54"/>
      <c r="QOV14" s="54"/>
      <c r="QOW14" s="57"/>
      <c r="QOX14" s="62"/>
      <c r="QOY14" s="63"/>
      <c r="QOZ14" s="63"/>
      <c r="QPA14" s="63"/>
      <c r="QPB14" s="63"/>
      <c r="QPC14" s="63"/>
      <c r="QPD14" s="63"/>
      <c r="QPE14" s="63"/>
      <c r="QPF14" s="63"/>
      <c r="QPG14" s="63"/>
      <c r="QPH14" s="63"/>
      <c r="QPI14" s="63"/>
      <c r="QPJ14" s="54"/>
      <c r="QPK14" s="54"/>
      <c r="QPL14" s="54"/>
      <c r="QPM14" s="57"/>
      <c r="QPN14" s="62"/>
      <c r="QPO14" s="63"/>
      <c r="QPP14" s="63"/>
      <c r="QPQ14" s="63"/>
      <c r="QPR14" s="63"/>
      <c r="QPS14" s="63"/>
      <c r="QPT14" s="63"/>
      <c r="QPU14" s="63"/>
      <c r="QPV14" s="63"/>
      <c r="QPW14" s="63"/>
      <c r="QPX14" s="63"/>
      <c r="QPY14" s="63"/>
      <c r="QPZ14" s="54"/>
      <c r="QQA14" s="54"/>
      <c r="QQB14" s="54"/>
      <c r="QQC14" s="57"/>
      <c r="QQD14" s="62"/>
      <c r="QQE14" s="63"/>
      <c r="QQF14" s="63"/>
      <c r="QQG14" s="63"/>
      <c r="QQH14" s="63"/>
      <c r="QQI14" s="63"/>
      <c r="QQJ14" s="63"/>
      <c r="QQK14" s="63"/>
      <c r="QQL14" s="63"/>
      <c r="QQM14" s="63"/>
      <c r="QQN14" s="63"/>
      <c r="QQO14" s="63"/>
      <c r="QQP14" s="54"/>
      <c r="QQQ14" s="54"/>
      <c r="QQR14" s="54"/>
      <c r="QQS14" s="57"/>
      <c r="QQT14" s="62"/>
      <c r="QQU14" s="63"/>
      <c r="QQV14" s="63"/>
      <c r="QQW14" s="63"/>
      <c r="QQX14" s="63"/>
      <c r="QQY14" s="63"/>
      <c r="QQZ14" s="63"/>
      <c r="QRA14" s="63"/>
      <c r="QRB14" s="63"/>
      <c r="QRC14" s="63"/>
      <c r="QRD14" s="63"/>
      <c r="QRE14" s="63"/>
      <c r="QRF14" s="54"/>
      <c r="QRG14" s="54"/>
      <c r="QRH14" s="54"/>
      <c r="QRI14" s="57"/>
      <c r="QRJ14" s="62"/>
      <c r="QRK14" s="63"/>
      <c r="QRL14" s="63"/>
      <c r="QRM14" s="63"/>
      <c r="QRN14" s="63"/>
      <c r="QRO14" s="63"/>
      <c r="QRP14" s="63"/>
      <c r="QRQ14" s="63"/>
      <c r="QRR14" s="63"/>
      <c r="QRS14" s="63"/>
      <c r="QRT14" s="63"/>
      <c r="QRU14" s="63"/>
      <c r="QRV14" s="54"/>
      <c r="QRW14" s="54"/>
      <c r="QRX14" s="54"/>
      <c r="QRY14" s="57"/>
      <c r="QRZ14" s="62"/>
      <c r="QSA14" s="63"/>
      <c r="QSB14" s="63"/>
      <c r="QSC14" s="63"/>
      <c r="QSD14" s="63"/>
      <c r="QSE14" s="63"/>
      <c r="QSF14" s="63"/>
      <c r="QSG14" s="63"/>
      <c r="QSH14" s="63"/>
      <c r="QSI14" s="63"/>
      <c r="QSJ14" s="63"/>
      <c r="QSK14" s="63"/>
      <c r="QSL14" s="54"/>
      <c r="QSM14" s="54"/>
      <c r="QSN14" s="54"/>
      <c r="QSO14" s="57"/>
      <c r="QSP14" s="62"/>
      <c r="QSQ14" s="63"/>
      <c r="QSR14" s="63"/>
      <c r="QSS14" s="63"/>
      <c r="QST14" s="63"/>
      <c r="QSU14" s="63"/>
      <c r="QSV14" s="63"/>
      <c r="QSW14" s="63"/>
      <c r="QSX14" s="63"/>
      <c r="QSY14" s="63"/>
      <c r="QSZ14" s="63"/>
      <c r="QTA14" s="63"/>
      <c r="QTB14" s="54"/>
      <c r="QTC14" s="54"/>
      <c r="QTD14" s="54"/>
      <c r="QTE14" s="57"/>
      <c r="QTF14" s="62"/>
      <c r="QTG14" s="63"/>
      <c r="QTH14" s="63"/>
      <c r="QTI14" s="63"/>
      <c r="QTJ14" s="63"/>
      <c r="QTK14" s="63"/>
      <c r="QTL14" s="63"/>
      <c r="QTM14" s="63"/>
      <c r="QTN14" s="63"/>
      <c r="QTO14" s="63"/>
      <c r="QTP14" s="63"/>
      <c r="QTQ14" s="63"/>
      <c r="QTR14" s="54"/>
      <c r="QTS14" s="54"/>
      <c r="QTT14" s="54"/>
      <c r="QTU14" s="57"/>
      <c r="QTV14" s="62"/>
      <c r="QTW14" s="63"/>
      <c r="QTX14" s="63"/>
      <c r="QTY14" s="63"/>
      <c r="QTZ14" s="63"/>
      <c r="QUA14" s="63"/>
      <c r="QUB14" s="63"/>
      <c r="QUC14" s="63"/>
      <c r="QUD14" s="63"/>
      <c r="QUE14" s="63"/>
      <c r="QUF14" s="63"/>
      <c r="QUG14" s="63"/>
      <c r="QUH14" s="54"/>
      <c r="QUI14" s="54"/>
      <c r="QUJ14" s="54"/>
      <c r="QUK14" s="57"/>
      <c r="QUL14" s="62"/>
      <c r="QUM14" s="63"/>
      <c r="QUN14" s="63"/>
      <c r="QUO14" s="63"/>
      <c r="QUP14" s="63"/>
      <c r="QUQ14" s="63"/>
      <c r="QUR14" s="63"/>
      <c r="QUS14" s="63"/>
      <c r="QUT14" s="63"/>
      <c r="QUU14" s="63"/>
      <c r="QUV14" s="63"/>
      <c r="QUW14" s="63"/>
      <c r="QUX14" s="54"/>
      <c r="QUY14" s="54"/>
      <c r="QUZ14" s="54"/>
      <c r="QVA14" s="57"/>
      <c r="QVB14" s="62"/>
      <c r="QVC14" s="63"/>
      <c r="QVD14" s="63"/>
      <c r="QVE14" s="63"/>
      <c r="QVF14" s="63"/>
      <c r="QVG14" s="63"/>
      <c r="QVH14" s="63"/>
      <c r="QVI14" s="63"/>
      <c r="QVJ14" s="63"/>
      <c r="QVK14" s="63"/>
      <c r="QVL14" s="63"/>
      <c r="QVM14" s="63"/>
      <c r="QVN14" s="54"/>
      <c r="QVO14" s="54"/>
      <c r="QVP14" s="54"/>
      <c r="QVQ14" s="57"/>
      <c r="QVR14" s="62"/>
      <c r="QVS14" s="63"/>
      <c r="QVT14" s="63"/>
      <c r="QVU14" s="63"/>
      <c r="QVV14" s="63"/>
      <c r="QVW14" s="63"/>
      <c r="QVX14" s="63"/>
      <c r="QVY14" s="63"/>
      <c r="QVZ14" s="63"/>
      <c r="QWA14" s="63"/>
      <c r="QWB14" s="63"/>
      <c r="QWC14" s="63"/>
      <c r="QWD14" s="54"/>
      <c r="QWE14" s="54"/>
      <c r="QWF14" s="54"/>
      <c r="QWG14" s="57"/>
      <c r="QWH14" s="62"/>
      <c r="QWI14" s="63"/>
      <c r="QWJ14" s="63"/>
      <c r="QWK14" s="63"/>
      <c r="QWL14" s="63"/>
      <c r="QWM14" s="63"/>
      <c r="QWN14" s="63"/>
      <c r="QWO14" s="63"/>
      <c r="QWP14" s="63"/>
      <c r="QWQ14" s="63"/>
      <c r="QWR14" s="63"/>
      <c r="QWS14" s="63"/>
      <c r="QWT14" s="54"/>
      <c r="QWU14" s="54"/>
      <c r="QWV14" s="54"/>
      <c r="QWW14" s="57"/>
      <c r="QWX14" s="62"/>
      <c r="QWY14" s="63"/>
      <c r="QWZ14" s="63"/>
      <c r="QXA14" s="63"/>
      <c r="QXB14" s="63"/>
      <c r="QXC14" s="63"/>
      <c r="QXD14" s="63"/>
      <c r="QXE14" s="63"/>
      <c r="QXF14" s="63"/>
      <c r="QXG14" s="63"/>
      <c r="QXH14" s="63"/>
      <c r="QXI14" s="63"/>
      <c r="QXJ14" s="54"/>
      <c r="QXK14" s="54"/>
      <c r="QXL14" s="54"/>
      <c r="QXM14" s="57"/>
      <c r="QXN14" s="62"/>
      <c r="QXO14" s="63"/>
      <c r="QXP14" s="63"/>
      <c r="QXQ14" s="63"/>
      <c r="QXR14" s="63"/>
      <c r="QXS14" s="63"/>
      <c r="QXT14" s="63"/>
      <c r="QXU14" s="63"/>
      <c r="QXV14" s="63"/>
      <c r="QXW14" s="63"/>
      <c r="QXX14" s="63"/>
      <c r="QXY14" s="63"/>
      <c r="QXZ14" s="54"/>
      <c r="QYA14" s="54"/>
      <c r="QYB14" s="54"/>
      <c r="QYC14" s="57"/>
      <c r="QYD14" s="62"/>
      <c r="QYE14" s="63"/>
      <c r="QYF14" s="63"/>
      <c r="QYG14" s="63"/>
      <c r="QYH14" s="63"/>
      <c r="QYI14" s="63"/>
      <c r="QYJ14" s="63"/>
      <c r="QYK14" s="63"/>
      <c r="QYL14" s="63"/>
      <c r="QYM14" s="63"/>
      <c r="QYN14" s="63"/>
      <c r="QYO14" s="63"/>
      <c r="QYP14" s="54"/>
      <c r="QYQ14" s="54"/>
      <c r="QYR14" s="54"/>
      <c r="QYS14" s="57"/>
      <c r="QYT14" s="62"/>
      <c r="QYU14" s="63"/>
      <c r="QYV14" s="63"/>
      <c r="QYW14" s="63"/>
      <c r="QYX14" s="63"/>
      <c r="QYY14" s="63"/>
      <c r="QYZ14" s="63"/>
      <c r="QZA14" s="63"/>
      <c r="QZB14" s="63"/>
      <c r="QZC14" s="63"/>
      <c r="QZD14" s="63"/>
      <c r="QZE14" s="63"/>
      <c r="QZF14" s="54"/>
      <c r="QZG14" s="54"/>
      <c r="QZH14" s="54"/>
      <c r="QZI14" s="57"/>
      <c r="QZJ14" s="62"/>
      <c r="QZK14" s="63"/>
      <c r="QZL14" s="63"/>
      <c r="QZM14" s="63"/>
      <c r="QZN14" s="63"/>
      <c r="QZO14" s="63"/>
      <c r="QZP14" s="63"/>
      <c r="QZQ14" s="63"/>
      <c r="QZR14" s="63"/>
      <c r="QZS14" s="63"/>
      <c r="QZT14" s="63"/>
      <c r="QZU14" s="63"/>
      <c r="QZV14" s="54"/>
      <c r="QZW14" s="54"/>
      <c r="QZX14" s="54"/>
      <c r="QZY14" s="57"/>
      <c r="QZZ14" s="62"/>
      <c r="RAA14" s="63"/>
      <c r="RAB14" s="63"/>
      <c r="RAC14" s="63"/>
      <c r="RAD14" s="63"/>
      <c r="RAE14" s="63"/>
      <c r="RAF14" s="63"/>
      <c r="RAG14" s="63"/>
      <c r="RAH14" s="63"/>
      <c r="RAI14" s="63"/>
      <c r="RAJ14" s="63"/>
      <c r="RAK14" s="63"/>
      <c r="RAL14" s="54"/>
      <c r="RAM14" s="54"/>
      <c r="RAN14" s="54"/>
      <c r="RAO14" s="57"/>
      <c r="RAP14" s="62"/>
      <c r="RAQ14" s="63"/>
      <c r="RAR14" s="63"/>
      <c r="RAS14" s="63"/>
      <c r="RAT14" s="63"/>
      <c r="RAU14" s="63"/>
      <c r="RAV14" s="63"/>
      <c r="RAW14" s="63"/>
      <c r="RAX14" s="63"/>
      <c r="RAY14" s="63"/>
      <c r="RAZ14" s="63"/>
      <c r="RBA14" s="63"/>
      <c r="RBB14" s="54"/>
      <c r="RBC14" s="54"/>
      <c r="RBD14" s="54"/>
      <c r="RBE14" s="57"/>
      <c r="RBF14" s="62"/>
      <c r="RBG14" s="63"/>
      <c r="RBH14" s="63"/>
      <c r="RBI14" s="63"/>
      <c r="RBJ14" s="63"/>
      <c r="RBK14" s="63"/>
      <c r="RBL14" s="63"/>
      <c r="RBM14" s="63"/>
      <c r="RBN14" s="63"/>
      <c r="RBO14" s="63"/>
      <c r="RBP14" s="63"/>
      <c r="RBQ14" s="63"/>
      <c r="RBR14" s="54"/>
      <c r="RBS14" s="54"/>
      <c r="RBT14" s="54"/>
      <c r="RBU14" s="57"/>
      <c r="RBV14" s="62"/>
      <c r="RBW14" s="63"/>
      <c r="RBX14" s="63"/>
      <c r="RBY14" s="63"/>
      <c r="RBZ14" s="63"/>
      <c r="RCA14" s="63"/>
      <c r="RCB14" s="63"/>
      <c r="RCC14" s="63"/>
      <c r="RCD14" s="63"/>
      <c r="RCE14" s="63"/>
      <c r="RCF14" s="63"/>
      <c r="RCG14" s="63"/>
      <c r="RCH14" s="54"/>
      <c r="RCI14" s="54"/>
      <c r="RCJ14" s="54"/>
      <c r="RCK14" s="57"/>
      <c r="RCL14" s="62"/>
      <c r="RCM14" s="63"/>
      <c r="RCN14" s="63"/>
      <c r="RCO14" s="63"/>
      <c r="RCP14" s="63"/>
      <c r="RCQ14" s="63"/>
      <c r="RCR14" s="63"/>
      <c r="RCS14" s="63"/>
      <c r="RCT14" s="63"/>
      <c r="RCU14" s="63"/>
      <c r="RCV14" s="63"/>
      <c r="RCW14" s="63"/>
      <c r="RCX14" s="54"/>
      <c r="RCY14" s="54"/>
      <c r="RCZ14" s="54"/>
      <c r="RDA14" s="57"/>
      <c r="RDB14" s="62"/>
      <c r="RDC14" s="63"/>
      <c r="RDD14" s="63"/>
      <c r="RDE14" s="63"/>
      <c r="RDF14" s="63"/>
      <c r="RDG14" s="63"/>
      <c r="RDH14" s="63"/>
      <c r="RDI14" s="63"/>
      <c r="RDJ14" s="63"/>
      <c r="RDK14" s="63"/>
      <c r="RDL14" s="63"/>
      <c r="RDM14" s="63"/>
      <c r="RDN14" s="54"/>
      <c r="RDO14" s="54"/>
      <c r="RDP14" s="54"/>
      <c r="RDQ14" s="57"/>
      <c r="RDR14" s="62"/>
      <c r="RDS14" s="63"/>
      <c r="RDT14" s="63"/>
      <c r="RDU14" s="63"/>
      <c r="RDV14" s="63"/>
      <c r="RDW14" s="63"/>
      <c r="RDX14" s="63"/>
      <c r="RDY14" s="63"/>
      <c r="RDZ14" s="63"/>
      <c r="REA14" s="63"/>
      <c r="REB14" s="63"/>
      <c r="REC14" s="63"/>
      <c r="RED14" s="54"/>
      <c r="REE14" s="54"/>
      <c r="REF14" s="54"/>
      <c r="REG14" s="57"/>
      <c r="REH14" s="62"/>
      <c r="REI14" s="63"/>
      <c r="REJ14" s="63"/>
      <c r="REK14" s="63"/>
      <c r="REL14" s="63"/>
      <c r="REM14" s="63"/>
      <c r="REN14" s="63"/>
      <c r="REO14" s="63"/>
      <c r="REP14" s="63"/>
      <c r="REQ14" s="63"/>
      <c r="RER14" s="63"/>
      <c r="RES14" s="63"/>
      <c r="RET14" s="54"/>
      <c r="REU14" s="54"/>
      <c r="REV14" s="54"/>
      <c r="REW14" s="57"/>
      <c r="REX14" s="62"/>
      <c r="REY14" s="63"/>
      <c r="REZ14" s="63"/>
      <c r="RFA14" s="63"/>
      <c r="RFB14" s="63"/>
      <c r="RFC14" s="63"/>
      <c r="RFD14" s="63"/>
      <c r="RFE14" s="63"/>
      <c r="RFF14" s="63"/>
      <c r="RFG14" s="63"/>
      <c r="RFH14" s="63"/>
      <c r="RFI14" s="63"/>
      <c r="RFJ14" s="54"/>
      <c r="RFK14" s="54"/>
      <c r="RFL14" s="54"/>
      <c r="RFM14" s="57"/>
      <c r="RFN14" s="62"/>
      <c r="RFO14" s="63"/>
      <c r="RFP14" s="63"/>
      <c r="RFQ14" s="63"/>
      <c r="RFR14" s="63"/>
      <c r="RFS14" s="63"/>
      <c r="RFT14" s="63"/>
      <c r="RFU14" s="63"/>
      <c r="RFV14" s="63"/>
      <c r="RFW14" s="63"/>
      <c r="RFX14" s="63"/>
      <c r="RFY14" s="63"/>
      <c r="RFZ14" s="54"/>
      <c r="RGA14" s="54"/>
      <c r="RGB14" s="54"/>
      <c r="RGC14" s="57"/>
      <c r="RGD14" s="62"/>
      <c r="RGE14" s="63"/>
      <c r="RGF14" s="63"/>
      <c r="RGG14" s="63"/>
      <c r="RGH14" s="63"/>
      <c r="RGI14" s="63"/>
      <c r="RGJ14" s="63"/>
      <c r="RGK14" s="63"/>
      <c r="RGL14" s="63"/>
      <c r="RGM14" s="63"/>
      <c r="RGN14" s="63"/>
      <c r="RGO14" s="63"/>
      <c r="RGP14" s="54"/>
      <c r="RGQ14" s="54"/>
      <c r="RGR14" s="54"/>
      <c r="RGS14" s="57"/>
      <c r="RGT14" s="62"/>
      <c r="RGU14" s="63"/>
      <c r="RGV14" s="63"/>
      <c r="RGW14" s="63"/>
      <c r="RGX14" s="63"/>
      <c r="RGY14" s="63"/>
      <c r="RGZ14" s="63"/>
      <c r="RHA14" s="63"/>
      <c r="RHB14" s="63"/>
      <c r="RHC14" s="63"/>
      <c r="RHD14" s="63"/>
      <c r="RHE14" s="63"/>
      <c r="RHF14" s="54"/>
      <c r="RHG14" s="54"/>
      <c r="RHH14" s="54"/>
      <c r="RHI14" s="57"/>
      <c r="RHJ14" s="62"/>
      <c r="RHK14" s="63"/>
      <c r="RHL14" s="63"/>
      <c r="RHM14" s="63"/>
      <c r="RHN14" s="63"/>
      <c r="RHO14" s="63"/>
      <c r="RHP14" s="63"/>
      <c r="RHQ14" s="63"/>
      <c r="RHR14" s="63"/>
      <c r="RHS14" s="63"/>
      <c r="RHT14" s="63"/>
      <c r="RHU14" s="63"/>
      <c r="RHV14" s="54"/>
      <c r="RHW14" s="54"/>
      <c r="RHX14" s="54"/>
      <c r="RHY14" s="57"/>
      <c r="RHZ14" s="62"/>
      <c r="RIA14" s="63"/>
      <c r="RIB14" s="63"/>
      <c r="RIC14" s="63"/>
      <c r="RID14" s="63"/>
      <c r="RIE14" s="63"/>
      <c r="RIF14" s="63"/>
      <c r="RIG14" s="63"/>
      <c r="RIH14" s="63"/>
      <c r="RII14" s="63"/>
      <c r="RIJ14" s="63"/>
      <c r="RIK14" s="63"/>
      <c r="RIL14" s="54"/>
      <c r="RIM14" s="54"/>
      <c r="RIN14" s="54"/>
      <c r="RIO14" s="57"/>
      <c r="RIP14" s="62"/>
      <c r="RIQ14" s="63"/>
      <c r="RIR14" s="63"/>
      <c r="RIS14" s="63"/>
      <c r="RIT14" s="63"/>
      <c r="RIU14" s="63"/>
      <c r="RIV14" s="63"/>
      <c r="RIW14" s="63"/>
      <c r="RIX14" s="63"/>
      <c r="RIY14" s="63"/>
      <c r="RIZ14" s="63"/>
      <c r="RJA14" s="63"/>
      <c r="RJB14" s="54"/>
      <c r="RJC14" s="54"/>
      <c r="RJD14" s="54"/>
      <c r="RJE14" s="57"/>
      <c r="RJF14" s="62"/>
      <c r="RJG14" s="63"/>
      <c r="RJH14" s="63"/>
      <c r="RJI14" s="63"/>
      <c r="RJJ14" s="63"/>
      <c r="RJK14" s="63"/>
      <c r="RJL14" s="63"/>
      <c r="RJM14" s="63"/>
      <c r="RJN14" s="63"/>
      <c r="RJO14" s="63"/>
      <c r="RJP14" s="63"/>
      <c r="RJQ14" s="63"/>
      <c r="RJR14" s="54"/>
      <c r="RJS14" s="54"/>
      <c r="RJT14" s="54"/>
      <c r="RJU14" s="57"/>
      <c r="RJV14" s="62"/>
      <c r="RJW14" s="63"/>
      <c r="RJX14" s="63"/>
      <c r="RJY14" s="63"/>
      <c r="RJZ14" s="63"/>
      <c r="RKA14" s="63"/>
      <c r="RKB14" s="63"/>
      <c r="RKC14" s="63"/>
      <c r="RKD14" s="63"/>
      <c r="RKE14" s="63"/>
      <c r="RKF14" s="63"/>
      <c r="RKG14" s="63"/>
      <c r="RKH14" s="54"/>
      <c r="RKI14" s="54"/>
      <c r="RKJ14" s="54"/>
      <c r="RKK14" s="57"/>
      <c r="RKL14" s="62"/>
      <c r="RKM14" s="63"/>
      <c r="RKN14" s="63"/>
      <c r="RKO14" s="63"/>
      <c r="RKP14" s="63"/>
      <c r="RKQ14" s="63"/>
      <c r="RKR14" s="63"/>
      <c r="RKS14" s="63"/>
      <c r="RKT14" s="63"/>
      <c r="RKU14" s="63"/>
      <c r="RKV14" s="63"/>
      <c r="RKW14" s="63"/>
      <c r="RKX14" s="54"/>
      <c r="RKY14" s="54"/>
      <c r="RKZ14" s="54"/>
      <c r="RLA14" s="57"/>
      <c r="RLB14" s="62"/>
      <c r="RLC14" s="63"/>
      <c r="RLD14" s="63"/>
      <c r="RLE14" s="63"/>
      <c r="RLF14" s="63"/>
      <c r="RLG14" s="63"/>
      <c r="RLH14" s="63"/>
      <c r="RLI14" s="63"/>
      <c r="RLJ14" s="63"/>
      <c r="RLK14" s="63"/>
      <c r="RLL14" s="63"/>
      <c r="RLM14" s="63"/>
      <c r="RLN14" s="54"/>
      <c r="RLO14" s="54"/>
      <c r="RLP14" s="54"/>
      <c r="RLQ14" s="57"/>
      <c r="RLR14" s="62"/>
      <c r="RLS14" s="63"/>
      <c r="RLT14" s="63"/>
      <c r="RLU14" s="63"/>
      <c r="RLV14" s="63"/>
      <c r="RLW14" s="63"/>
      <c r="RLX14" s="63"/>
      <c r="RLY14" s="63"/>
      <c r="RLZ14" s="63"/>
      <c r="RMA14" s="63"/>
      <c r="RMB14" s="63"/>
      <c r="RMC14" s="63"/>
      <c r="RMD14" s="54"/>
      <c r="RME14" s="54"/>
      <c r="RMF14" s="54"/>
      <c r="RMG14" s="57"/>
      <c r="RMH14" s="62"/>
      <c r="RMI14" s="63"/>
      <c r="RMJ14" s="63"/>
      <c r="RMK14" s="63"/>
      <c r="RML14" s="63"/>
      <c r="RMM14" s="63"/>
      <c r="RMN14" s="63"/>
      <c r="RMO14" s="63"/>
      <c r="RMP14" s="63"/>
      <c r="RMQ14" s="63"/>
      <c r="RMR14" s="63"/>
      <c r="RMS14" s="63"/>
      <c r="RMT14" s="54"/>
      <c r="RMU14" s="54"/>
      <c r="RMV14" s="54"/>
      <c r="RMW14" s="57"/>
      <c r="RMX14" s="62"/>
      <c r="RMY14" s="63"/>
      <c r="RMZ14" s="63"/>
      <c r="RNA14" s="63"/>
      <c r="RNB14" s="63"/>
      <c r="RNC14" s="63"/>
      <c r="RND14" s="63"/>
      <c r="RNE14" s="63"/>
      <c r="RNF14" s="63"/>
      <c r="RNG14" s="63"/>
      <c r="RNH14" s="63"/>
      <c r="RNI14" s="63"/>
      <c r="RNJ14" s="54"/>
      <c r="RNK14" s="54"/>
      <c r="RNL14" s="54"/>
      <c r="RNM14" s="57"/>
      <c r="RNN14" s="62"/>
      <c r="RNO14" s="63"/>
      <c r="RNP14" s="63"/>
      <c r="RNQ14" s="63"/>
      <c r="RNR14" s="63"/>
      <c r="RNS14" s="63"/>
      <c r="RNT14" s="63"/>
      <c r="RNU14" s="63"/>
      <c r="RNV14" s="63"/>
      <c r="RNW14" s="63"/>
      <c r="RNX14" s="63"/>
      <c r="RNY14" s="63"/>
      <c r="RNZ14" s="54"/>
      <c r="ROA14" s="54"/>
      <c r="ROB14" s="54"/>
      <c r="ROC14" s="57"/>
      <c r="ROD14" s="62"/>
      <c r="ROE14" s="63"/>
      <c r="ROF14" s="63"/>
      <c r="ROG14" s="63"/>
      <c r="ROH14" s="63"/>
      <c r="ROI14" s="63"/>
      <c r="ROJ14" s="63"/>
      <c r="ROK14" s="63"/>
      <c r="ROL14" s="63"/>
      <c r="ROM14" s="63"/>
      <c r="RON14" s="63"/>
      <c r="ROO14" s="63"/>
      <c r="ROP14" s="54"/>
      <c r="ROQ14" s="54"/>
      <c r="ROR14" s="54"/>
      <c r="ROS14" s="57"/>
      <c r="ROT14" s="62"/>
      <c r="ROU14" s="63"/>
      <c r="ROV14" s="63"/>
      <c r="ROW14" s="63"/>
      <c r="ROX14" s="63"/>
      <c r="ROY14" s="63"/>
      <c r="ROZ14" s="63"/>
      <c r="RPA14" s="63"/>
      <c r="RPB14" s="63"/>
      <c r="RPC14" s="63"/>
      <c r="RPD14" s="63"/>
      <c r="RPE14" s="63"/>
      <c r="RPF14" s="54"/>
      <c r="RPG14" s="54"/>
      <c r="RPH14" s="54"/>
      <c r="RPI14" s="57"/>
      <c r="RPJ14" s="62"/>
      <c r="RPK14" s="63"/>
      <c r="RPL14" s="63"/>
      <c r="RPM14" s="63"/>
      <c r="RPN14" s="63"/>
      <c r="RPO14" s="63"/>
      <c r="RPP14" s="63"/>
      <c r="RPQ14" s="63"/>
      <c r="RPR14" s="63"/>
      <c r="RPS14" s="63"/>
      <c r="RPT14" s="63"/>
      <c r="RPU14" s="63"/>
      <c r="RPV14" s="54"/>
      <c r="RPW14" s="54"/>
      <c r="RPX14" s="54"/>
      <c r="RPY14" s="57"/>
      <c r="RPZ14" s="62"/>
      <c r="RQA14" s="63"/>
      <c r="RQB14" s="63"/>
      <c r="RQC14" s="63"/>
      <c r="RQD14" s="63"/>
      <c r="RQE14" s="63"/>
      <c r="RQF14" s="63"/>
      <c r="RQG14" s="63"/>
      <c r="RQH14" s="63"/>
      <c r="RQI14" s="63"/>
      <c r="RQJ14" s="63"/>
      <c r="RQK14" s="63"/>
      <c r="RQL14" s="54"/>
      <c r="RQM14" s="54"/>
      <c r="RQN14" s="54"/>
      <c r="RQO14" s="57"/>
      <c r="RQP14" s="62"/>
      <c r="RQQ14" s="63"/>
      <c r="RQR14" s="63"/>
      <c r="RQS14" s="63"/>
      <c r="RQT14" s="63"/>
      <c r="RQU14" s="63"/>
      <c r="RQV14" s="63"/>
      <c r="RQW14" s="63"/>
      <c r="RQX14" s="63"/>
      <c r="RQY14" s="63"/>
      <c r="RQZ14" s="63"/>
      <c r="RRA14" s="63"/>
      <c r="RRB14" s="54"/>
      <c r="RRC14" s="54"/>
      <c r="RRD14" s="54"/>
      <c r="RRE14" s="57"/>
      <c r="RRF14" s="62"/>
      <c r="RRG14" s="63"/>
      <c r="RRH14" s="63"/>
      <c r="RRI14" s="63"/>
      <c r="RRJ14" s="63"/>
      <c r="RRK14" s="63"/>
      <c r="RRL14" s="63"/>
      <c r="RRM14" s="63"/>
      <c r="RRN14" s="63"/>
      <c r="RRO14" s="63"/>
      <c r="RRP14" s="63"/>
      <c r="RRQ14" s="63"/>
      <c r="RRR14" s="54"/>
      <c r="RRS14" s="54"/>
      <c r="RRT14" s="54"/>
      <c r="RRU14" s="57"/>
      <c r="RRV14" s="62"/>
      <c r="RRW14" s="63"/>
      <c r="RRX14" s="63"/>
      <c r="RRY14" s="63"/>
      <c r="RRZ14" s="63"/>
      <c r="RSA14" s="63"/>
      <c r="RSB14" s="63"/>
      <c r="RSC14" s="63"/>
      <c r="RSD14" s="63"/>
      <c r="RSE14" s="63"/>
      <c r="RSF14" s="63"/>
      <c r="RSG14" s="63"/>
      <c r="RSH14" s="54"/>
      <c r="RSI14" s="54"/>
      <c r="RSJ14" s="54"/>
      <c r="RSK14" s="57"/>
      <c r="RSL14" s="62"/>
      <c r="RSM14" s="63"/>
      <c r="RSN14" s="63"/>
      <c r="RSO14" s="63"/>
      <c r="RSP14" s="63"/>
      <c r="RSQ14" s="63"/>
      <c r="RSR14" s="63"/>
      <c r="RSS14" s="63"/>
      <c r="RST14" s="63"/>
      <c r="RSU14" s="63"/>
      <c r="RSV14" s="63"/>
      <c r="RSW14" s="63"/>
      <c r="RSX14" s="54"/>
      <c r="RSY14" s="54"/>
      <c r="RSZ14" s="54"/>
      <c r="RTA14" s="57"/>
      <c r="RTB14" s="62"/>
      <c r="RTC14" s="63"/>
      <c r="RTD14" s="63"/>
      <c r="RTE14" s="63"/>
      <c r="RTF14" s="63"/>
      <c r="RTG14" s="63"/>
      <c r="RTH14" s="63"/>
      <c r="RTI14" s="63"/>
      <c r="RTJ14" s="63"/>
      <c r="RTK14" s="63"/>
      <c r="RTL14" s="63"/>
      <c r="RTM14" s="63"/>
      <c r="RTN14" s="54"/>
      <c r="RTO14" s="54"/>
      <c r="RTP14" s="54"/>
      <c r="RTQ14" s="57"/>
      <c r="RTR14" s="62"/>
      <c r="RTS14" s="63"/>
      <c r="RTT14" s="63"/>
      <c r="RTU14" s="63"/>
      <c r="RTV14" s="63"/>
      <c r="RTW14" s="63"/>
      <c r="RTX14" s="63"/>
      <c r="RTY14" s="63"/>
      <c r="RTZ14" s="63"/>
      <c r="RUA14" s="63"/>
      <c r="RUB14" s="63"/>
      <c r="RUC14" s="63"/>
      <c r="RUD14" s="54"/>
      <c r="RUE14" s="54"/>
      <c r="RUF14" s="54"/>
      <c r="RUG14" s="57"/>
      <c r="RUH14" s="62"/>
      <c r="RUI14" s="63"/>
      <c r="RUJ14" s="63"/>
      <c r="RUK14" s="63"/>
      <c r="RUL14" s="63"/>
      <c r="RUM14" s="63"/>
      <c r="RUN14" s="63"/>
      <c r="RUO14" s="63"/>
      <c r="RUP14" s="63"/>
      <c r="RUQ14" s="63"/>
      <c r="RUR14" s="63"/>
      <c r="RUS14" s="63"/>
      <c r="RUT14" s="54"/>
      <c r="RUU14" s="54"/>
      <c r="RUV14" s="54"/>
      <c r="RUW14" s="57"/>
      <c r="RUX14" s="62"/>
      <c r="RUY14" s="63"/>
      <c r="RUZ14" s="63"/>
      <c r="RVA14" s="63"/>
      <c r="RVB14" s="63"/>
      <c r="RVC14" s="63"/>
      <c r="RVD14" s="63"/>
      <c r="RVE14" s="63"/>
      <c r="RVF14" s="63"/>
      <c r="RVG14" s="63"/>
      <c r="RVH14" s="63"/>
      <c r="RVI14" s="63"/>
      <c r="RVJ14" s="54"/>
      <c r="RVK14" s="54"/>
      <c r="RVL14" s="54"/>
      <c r="RVM14" s="57"/>
      <c r="RVN14" s="62"/>
      <c r="RVO14" s="63"/>
      <c r="RVP14" s="63"/>
      <c r="RVQ14" s="63"/>
      <c r="RVR14" s="63"/>
      <c r="RVS14" s="63"/>
      <c r="RVT14" s="63"/>
      <c r="RVU14" s="63"/>
      <c r="RVV14" s="63"/>
      <c r="RVW14" s="63"/>
      <c r="RVX14" s="63"/>
      <c r="RVY14" s="63"/>
      <c r="RVZ14" s="54"/>
      <c r="RWA14" s="54"/>
      <c r="RWB14" s="54"/>
      <c r="RWC14" s="57"/>
      <c r="RWD14" s="62"/>
      <c r="RWE14" s="63"/>
      <c r="RWF14" s="63"/>
      <c r="RWG14" s="63"/>
      <c r="RWH14" s="63"/>
      <c r="RWI14" s="63"/>
      <c r="RWJ14" s="63"/>
      <c r="RWK14" s="63"/>
      <c r="RWL14" s="63"/>
      <c r="RWM14" s="63"/>
      <c r="RWN14" s="63"/>
      <c r="RWO14" s="63"/>
      <c r="RWP14" s="54"/>
      <c r="RWQ14" s="54"/>
      <c r="RWR14" s="54"/>
      <c r="RWS14" s="57"/>
      <c r="RWT14" s="62"/>
      <c r="RWU14" s="63"/>
      <c r="RWV14" s="63"/>
      <c r="RWW14" s="63"/>
      <c r="RWX14" s="63"/>
      <c r="RWY14" s="63"/>
      <c r="RWZ14" s="63"/>
      <c r="RXA14" s="63"/>
      <c r="RXB14" s="63"/>
      <c r="RXC14" s="63"/>
      <c r="RXD14" s="63"/>
      <c r="RXE14" s="63"/>
      <c r="RXF14" s="54"/>
      <c r="RXG14" s="54"/>
      <c r="RXH14" s="54"/>
      <c r="RXI14" s="57"/>
      <c r="RXJ14" s="62"/>
      <c r="RXK14" s="63"/>
      <c r="RXL14" s="63"/>
      <c r="RXM14" s="63"/>
      <c r="RXN14" s="63"/>
      <c r="RXO14" s="63"/>
      <c r="RXP14" s="63"/>
      <c r="RXQ14" s="63"/>
      <c r="RXR14" s="63"/>
      <c r="RXS14" s="63"/>
      <c r="RXT14" s="63"/>
      <c r="RXU14" s="63"/>
      <c r="RXV14" s="54"/>
      <c r="RXW14" s="54"/>
      <c r="RXX14" s="54"/>
      <c r="RXY14" s="57"/>
      <c r="RXZ14" s="62"/>
      <c r="RYA14" s="63"/>
      <c r="RYB14" s="63"/>
      <c r="RYC14" s="63"/>
      <c r="RYD14" s="63"/>
      <c r="RYE14" s="63"/>
      <c r="RYF14" s="63"/>
      <c r="RYG14" s="63"/>
      <c r="RYH14" s="63"/>
      <c r="RYI14" s="63"/>
      <c r="RYJ14" s="63"/>
      <c r="RYK14" s="63"/>
      <c r="RYL14" s="54"/>
      <c r="RYM14" s="54"/>
      <c r="RYN14" s="54"/>
      <c r="RYO14" s="57"/>
      <c r="RYP14" s="62"/>
      <c r="RYQ14" s="63"/>
      <c r="RYR14" s="63"/>
      <c r="RYS14" s="63"/>
      <c r="RYT14" s="63"/>
      <c r="RYU14" s="63"/>
      <c r="RYV14" s="63"/>
      <c r="RYW14" s="63"/>
      <c r="RYX14" s="63"/>
      <c r="RYY14" s="63"/>
      <c r="RYZ14" s="63"/>
      <c r="RZA14" s="63"/>
      <c r="RZB14" s="54"/>
      <c r="RZC14" s="54"/>
      <c r="RZD14" s="54"/>
      <c r="RZE14" s="57"/>
      <c r="RZF14" s="62"/>
      <c r="RZG14" s="63"/>
      <c r="RZH14" s="63"/>
      <c r="RZI14" s="63"/>
      <c r="RZJ14" s="63"/>
      <c r="RZK14" s="63"/>
      <c r="RZL14" s="63"/>
      <c r="RZM14" s="63"/>
      <c r="RZN14" s="63"/>
      <c r="RZO14" s="63"/>
      <c r="RZP14" s="63"/>
      <c r="RZQ14" s="63"/>
      <c r="RZR14" s="54"/>
      <c r="RZS14" s="54"/>
      <c r="RZT14" s="54"/>
      <c r="RZU14" s="57"/>
      <c r="RZV14" s="62"/>
      <c r="RZW14" s="63"/>
      <c r="RZX14" s="63"/>
      <c r="RZY14" s="63"/>
      <c r="RZZ14" s="63"/>
      <c r="SAA14" s="63"/>
      <c r="SAB14" s="63"/>
      <c r="SAC14" s="63"/>
      <c r="SAD14" s="63"/>
      <c r="SAE14" s="63"/>
      <c r="SAF14" s="63"/>
      <c r="SAG14" s="63"/>
      <c r="SAH14" s="54"/>
      <c r="SAI14" s="54"/>
      <c r="SAJ14" s="54"/>
      <c r="SAK14" s="57"/>
      <c r="SAL14" s="62"/>
      <c r="SAM14" s="63"/>
      <c r="SAN14" s="63"/>
      <c r="SAO14" s="63"/>
      <c r="SAP14" s="63"/>
      <c r="SAQ14" s="63"/>
      <c r="SAR14" s="63"/>
      <c r="SAS14" s="63"/>
      <c r="SAT14" s="63"/>
      <c r="SAU14" s="63"/>
      <c r="SAV14" s="63"/>
      <c r="SAW14" s="63"/>
      <c r="SAX14" s="54"/>
      <c r="SAY14" s="54"/>
      <c r="SAZ14" s="54"/>
      <c r="SBA14" s="57"/>
      <c r="SBB14" s="62"/>
      <c r="SBC14" s="63"/>
      <c r="SBD14" s="63"/>
      <c r="SBE14" s="63"/>
      <c r="SBF14" s="63"/>
      <c r="SBG14" s="63"/>
      <c r="SBH14" s="63"/>
      <c r="SBI14" s="63"/>
      <c r="SBJ14" s="63"/>
      <c r="SBK14" s="63"/>
      <c r="SBL14" s="63"/>
      <c r="SBM14" s="63"/>
      <c r="SBN14" s="54"/>
      <c r="SBO14" s="54"/>
      <c r="SBP14" s="54"/>
      <c r="SBQ14" s="57"/>
      <c r="SBR14" s="62"/>
      <c r="SBS14" s="63"/>
      <c r="SBT14" s="63"/>
      <c r="SBU14" s="63"/>
      <c r="SBV14" s="63"/>
      <c r="SBW14" s="63"/>
      <c r="SBX14" s="63"/>
      <c r="SBY14" s="63"/>
      <c r="SBZ14" s="63"/>
      <c r="SCA14" s="63"/>
      <c r="SCB14" s="63"/>
      <c r="SCC14" s="63"/>
      <c r="SCD14" s="54"/>
      <c r="SCE14" s="54"/>
      <c r="SCF14" s="54"/>
      <c r="SCG14" s="57"/>
      <c r="SCH14" s="62"/>
      <c r="SCI14" s="63"/>
      <c r="SCJ14" s="63"/>
      <c r="SCK14" s="63"/>
      <c r="SCL14" s="63"/>
      <c r="SCM14" s="63"/>
      <c r="SCN14" s="63"/>
      <c r="SCO14" s="63"/>
      <c r="SCP14" s="63"/>
      <c r="SCQ14" s="63"/>
      <c r="SCR14" s="63"/>
      <c r="SCS14" s="63"/>
      <c r="SCT14" s="54"/>
      <c r="SCU14" s="54"/>
      <c r="SCV14" s="54"/>
      <c r="SCW14" s="57"/>
      <c r="SCX14" s="62"/>
      <c r="SCY14" s="63"/>
      <c r="SCZ14" s="63"/>
      <c r="SDA14" s="63"/>
      <c r="SDB14" s="63"/>
      <c r="SDC14" s="63"/>
      <c r="SDD14" s="63"/>
      <c r="SDE14" s="63"/>
      <c r="SDF14" s="63"/>
      <c r="SDG14" s="63"/>
      <c r="SDH14" s="63"/>
      <c r="SDI14" s="63"/>
      <c r="SDJ14" s="54"/>
      <c r="SDK14" s="54"/>
      <c r="SDL14" s="54"/>
      <c r="SDM14" s="57"/>
      <c r="SDN14" s="62"/>
      <c r="SDO14" s="63"/>
      <c r="SDP14" s="63"/>
      <c r="SDQ14" s="63"/>
      <c r="SDR14" s="63"/>
      <c r="SDS14" s="63"/>
      <c r="SDT14" s="63"/>
      <c r="SDU14" s="63"/>
      <c r="SDV14" s="63"/>
      <c r="SDW14" s="63"/>
      <c r="SDX14" s="63"/>
      <c r="SDY14" s="63"/>
      <c r="SDZ14" s="54"/>
      <c r="SEA14" s="54"/>
      <c r="SEB14" s="54"/>
      <c r="SEC14" s="57"/>
      <c r="SED14" s="62"/>
      <c r="SEE14" s="63"/>
      <c r="SEF14" s="63"/>
      <c r="SEG14" s="63"/>
      <c r="SEH14" s="63"/>
      <c r="SEI14" s="63"/>
      <c r="SEJ14" s="63"/>
      <c r="SEK14" s="63"/>
      <c r="SEL14" s="63"/>
      <c r="SEM14" s="63"/>
      <c r="SEN14" s="63"/>
      <c r="SEO14" s="63"/>
      <c r="SEP14" s="54"/>
      <c r="SEQ14" s="54"/>
      <c r="SER14" s="54"/>
      <c r="SES14" s="57"/>
      <c r="SET14" s="62"/>
      <c r="SEU14" s="63"/>
      <c r="SEV14" s="63"/>
      <c r="SEW14" s="63"/>
      <c r="SEX14" s="63"/>
      <c r="SEY14" s="63"/>
      <c r="SEZ14" s="63"/>
      <c r="SFA14" s="63"/>
      <c r="SFB14" s="63"/>
      <c r="SFC14" s="63"/>
      <c r="SFD14" s="63"/>
      <c r="SFE14" s="63"/>
      <c r="SFF14" s="54"/>
      <c r="SFG14" s="54"/>
      <c r="SFH14" s="54"/>
      <c r="SFI14" s="57"/>
      <c r="SFJ14" s="62"/>
      <c r="SFK14" s="63"/>
      <c r="SFL14" s="63"/>
      <c r="SFM14" s="63"/>
      <c r="SFN14" s="63"/>
      <c r="SFO14" s="63"/>
      <c r="SFP14" s="63"/>
      <c r="SFQ14" s="63"/>
      <c r="SFR14" s="63"/>
      <c r="SFS14" s="63"/>
      <c r="SFT14" s="63"/>
      <c r="SFU14" s="63"/>
      <c r="SFV14" s="54"/>
      <c r="SFW14" s="54"/>
      <c r="SFX14" s="54"/>
      <c r="SFY14" s="57"/>
      <c r="SFZ14" s="62"/>
      <c r="SGA14" s="63"/>
      <c r="SGB14" s="63"/>
      <c r="SGC14" s="63"/>
      <c r="SGD14" s="63"/>
      <c r="SGE14" s="63"/>
      <c r="SGF14" s="63"/>
      <c r="SGG14" s="63"/>
      <c r="SGH14" s="63"/>
      <c r="SGI14" s="63"/>
      <c r="SGJ14" s="63"/>
      <c r="SGK14" s="63"/>
      <c r="SGL14" s="54"/>
      <c r="SGM14" s="54"/>
      <c r="SGN14" s="54"/>
      <c r="SGO14" s="57"/>
      <c r="SGP14" s="62"/>
      <c r="SGQ14" s="63"/>
      <c r="SGR14" s="63"/>
      <c r="SGS14" s="63"/>
      <c r="SGT14" s="63"/>
      <c r="SGU14" s="63"/>
      <c r="SGV14" s="63"/>
      <c r="SGW14" s="63"/>
      <c r="SGX14" s="63"/>
      <c r="SGY14" s="63"/>
      <c r="SGZ14" s="63"/>
      <c r="SHA14" s="63"/>
      <c r="SHB14" s="54"/>
      <c r="SHC14" s="54"/>
      <c r="SHD14" s="54"/>
      <c r="SHE14" s="57"/>
      <c r="SHF14" s="62"/>
      <c r="SHG14" s="63"/>
      <c r="SHH14" s="63"/>
      <c r="SHI14" s="63"/>
      <c r="SHJ14" s="63"/>
      <c r="SHK14" s="63"/>
      <c r="SHL14" s="63"/>
      <c r="SHM14" s="63"/>
      <c r="SHN14" s="63"/>
      <c r="SHO14" s="63"/>
      <c r="SHP14" s="63"/>
      <c r="SHQ14" s="63"/>
      <c r="SHR14" s="54"/>
      <c r="SHS14" s="54"/>
      <c r="SHT14" s="54"/>
      <c r="SHU14" s="57"/>
      <c r="SHV14" s="62"/>
      <c r="SHW14" s="63"/>
      <c r="SHX14" s="63"/>
      <c r="SHY14" s="63"/>
      <c r="SHZ14" s="63"/>
      <c r="SIA14" s="63"/>
      <c r="SIB14" s="63"/>
      <c r="SIC14" s="63"/>
      <c r="SID14" s="63"/>
      <c r="SIE14" s="63"/>
      <c r="SIF14" s="63"/>
      <c r="SIG14" s="63"/>
      <c r="SIH14" s="54"/>
      <c r="SII14" s="54"/>
      <c r="SIJ14" s="54"/>
      <c r="SIK14" s="57"/>
      <c r="SIL14" s="62"/>
      <c r="SIM14" s="63"/>
      <c r="SIN14" s="63"/>
      <c r="SIO14" s="63"/>
      <c r="SIP14" s="63"/>
      <c r="SIQ14" s="63"/>
      <c r="SIR14" s="63"/>
      <c r="SIS14" s="63"/>
      <c r="SIT14" s="63"/>
      <c r="SIU14" s="63"/>
      <c r="SIV14" s="63"/>
      <c r="SIW14" s="63"/>
      <c r="SIX14" s="54"/>
      <c r="SIY14" s="54"/>
      <c r="SIZ14" s="54"/>
      <c r="SJA14" s="57"/>
      <c r="SJB14" s="62"/>
      <c r="SJC14" s="63"/>
      <c r="SJD14" s="63"/>
      <c r="SJE14" s="63"/>
      <c r="SJF14" s="63"/>
      <c r="SJG14" s="63"/>
      <c r="SJH14" s="63"/>
      <c r="SJI14" s="63"/>
      <c r="SJJ14" s="63"/>
      <c r="SJK14" s="63"/>
      <c r="SJL14" s="63"/>
      <c r="SJM14" s="63"/>
      <c r="SJN14" s="54"/>
      <c r="SJO14" s="54"/>
      <c r="SJP14" s="54"/>
      <c r="SJQ14" s="57"/>
      <c r="SJR14" s="62"/>
      <c r="SJS14" s="63"/>
      <c r="SJT14" s="63"/>
      <c r="SJU14" s="63"/>
      <c r="SJV14" s="63"/>
      <c r="SJW14" s="63"/>
      <c r="SJX14" s="63"/>
      <c r="SJY14" s="63"/>
      <c r="SJZ14" s="63"/>
      <c r="SKA14" s="63"/>
      <c r="SKB14" s="63"/>
      <c r="SKC14" s="63"/>
      <c r="SKD14" s="54"/>
      <c r="SKE14" s="54"/>
      <c r="SKF14" s="54"/>
      <c r="SKG14" s="57"/>
      <c r="SKH14" s="62"/>
      <c r="SKI14" s="63"/>
      <c r="SKJ14" s="63"/>
      <c r="SKK14" s="63"/>
      <c r="SKL14" s="63"/>
      <c r="SKM14" s="63"/>
      <c r="SKN14" s="63"/>
      <c r="SKO14" s="63"/>
      <c r="SKP14" s="63"/>
      <c r="SKQ14" s="63"/>
      <c r="SKR14" s="63"/>
      <c r="SKS14" s="63"/>
      <c r="SKT14" s="54"/>
      <c r="SKU14" s="54"/>
      <c r="SKV14" s="54"/>
      <c r="SKW14" s="57"/>
      <c r="SKX14" s="62"/>
      <c r="SKY14" s="63"/>
      <c r="SKZ14" s="63"/>
      <c r="SLA14" s="63"/>
      <c r="SLB14" s="63"/>
      <c r="SLC14" s="63"/>
      <c r="SLD14" s="63"/>
      <c r="SLE14" s="63"/>
      <c r="SLF14" s="63"/>
      <c r="SLG14" s="63"/>
      <c r="SLH14" s="63"/>
      <c r="SLI14" s="63"/>
      <c r="SLJ14" s="54"/>
      <c r="SLK14" s="54"/>
      <c r="SLL14" s="54"/>
      <c r="SLM14" s="57"/>
      <c r="SLN14" s="62"/>
      <c r="SLO14" s="63"/>
      <c r="SLP14" s="63"/>
      <c r="SLQ14" s="63"/>
      <c r="SLR14" s="63"/>
      <c r="SLS14" s="63"/>
      <c r="SLT14" s="63"/>
      <c r="SLU14" s="63"/>
      <c r="SLV14" s="63"/>
      <c r="SLW14" s="63"/>
      <c r="SLX14" s="63"/>
      <c r="SLY14" s="63"/>
      <c r="SLZ14" s="54"/>
      <c r="SMA14" s="54"/>
      <c r="SMB14" s="54"/>
      <c r="SMC14" s="57"/>
      <c r="SMD14" s="62"/>
      <c r="SME14" s="63"/>
      <c r="SMF14" s="63"/>
      <c r="SMG14" s="63"/>
      <c r="SMH14" s="63"/>
      <c r="SMI14" s="63"/>
      <c r="SMJ14" s="63"/>
      <c r="SMK14" s="63"/>
      <c r="SML14" s="63"/>
      <c r="SMM14" s="63"/>
      <c r="SMN14" s="63"/>
      <c r="SMO14" s="63"/>
      <c r="SMP14" s="54"/>
      <c r="SMQ14" s="54"/>
      <c r="SMR14" s="54"/>
      <c r="SMS14" s="57"/>
      <c r="SMT14" s="62"/>
      <c r="SMU14" s="63"/>
      <c r="SMV14" s="63"/>
      <c r="SMW14" s="63"/>
      <c r="SMX14" s="63"/>
      <c r="SMY14" s="63"/>
      <c r="SMZ14" s="63"/>
      <c r="SNA14" s="63"/>
      <c r="SNB14" s="63"/>
      <c r="SNC14" s="63"/>
      <c r="SND14" s="63"/>
      <c r="SNE14" s="63"/>
      <c r="SNF14" s="54"/>
      <c r="SNG14" s="54"/>
      <c r="SNH14" s="54"/>
      <c r="SNI14" s="57"/>
      <c r="SNJ14" s="62"/>
      <c r="SNK14" s="63"/>
      <c r="SNL14" s="63"/>
      <c r="SNM14" s="63"/>
      <c r="SNN14" s="63"/>
      <c r="SNO14" s="63"/>
      <c r="SNP14" s="63"/>
      <c r="SNQ14" s="63"/>
      <c r="SNR14" s="63"/>
      <c r="SNS14" s="63"/>
      <c r="SNT14" s="63"/>
      <c r="SNU14" s="63"/>
      <c r="SNV14" s="54"/>
      <c r="SNW14" s="54"/>
      <c r="SNX14" s="54"/>
      <c r="SNY14" s="57"/>
      <c r="SNZ14" s="62"/>
      <c r="SOA14" s="63"/>
      <c r="SOB14" s="63"/>
      <c r="SOC14" s="63"/>
      <c r="SOD14" s="63"/>
      <c r="SOE14" s="63"/>
      <c r="SOF14" s="63"/>
      <c r="SOG14" s="63"/>
      <c r="SOH14" s="63"/>
      <c r="SOI14" s="63"/>
      <c r="SOJ14" s="63"/>
      <c r="SOK14" s="63"/>
      <c r="SOL14" s="54"/>
      <c r="SOM14" s="54"/>
      <c r="SON14" s="54"/>
      <c r="SOO14" s="57"/>
      <c r="SOP14" s="62"/>
      <c r="SOQ14" s="63"/>
      <c r="SOR14" s="63"/>
      <c r="SOS14" s="63"/>
      <c r="SOT14" s="63"/>
      <c r="SOU14" s="63"/>
      <c r="SOV14" s="63"/>
      <c r="SOW14" s="63"/>
      <c r="SOX14" s="63"/>
      <c r="SOY14" s="63"/>
      <c r="SOZ14" s="63"/>
      <c r="SPA14" s="63"/>
      <c r="SPB14" s="54"/>
      <c r="SPC14" s="54"/>
      <c r="SPD14" s="54"/>
      <c r="SPE14" s="57"/>
      <c r="SPF14" s="62"/>
      <c r="SPG14" s="63"/>
      <c r="SPH14" s="63"/>
      <c r="SPI14" s="63"/>
      <c r="SPJ14" s="63"/>
      <c r="SPK14" s="63"/>
      <c r="SPL14" s="63"/>
      <c r="SPM14" s="63"/>
      <c r="SPN14" s="63"/>
      <c r="SPO14" s="63"/>
      <c r="SPP14" s="63"/>
      <c r="SPQ14" s="63"/>
      <c r="SPR14" s="54"/>
      <c r="SPS14" s="54"/>
      <c r="SPT14" s="54"/>
      <c r="SPU14" s="57"/>
      <c r="SPV14" s="62"/>
      <c r="SPW14" s="63"/>
      <c r="SPX14" s="63"/>
      <c r="SPY14" s="63"/>
      <c r="SPZ14" s="63"/>
      <c r="SQA14" s="63"/>
      <c r="SQB14" s="63"/>
      <c r="SQC14" s="63"/>
      <c r="SQD14" s="63"/>
      <c r="SQE14" s="63"/>
      <c r="SQF14" s="63"/>
      <c r="SQG14" s="63"/>
      <c r="SQH14" s="54"/>
      <c r="SQI14" s="54"/>
      <c r="SQJ14" s="54"/>
      <c r="SQK14" s="57"/>
      <c r="SQL14" s="62"/>
      <c r="SQM14" s="63"/>
      <c r="SQN14" s="63"/>
      <c r="SQO14" s="63"/>
      <c r="SQP14" s="63"/>
      <c r="SQQ14" s="63"/>
      <c r="SQR14" s="63"/>
      <c r="SQS14" s="63"/>
      <c r="SQT14" s="63"/>
      <c r="SQU14" s="63"/>
      <c r="SQV14" s="63"/>
      <c r="SQW14" s="63"/>
      <c r="SQX14" s="54"/>
      <c r="SQY14" s="54"/>
      <c r="SQZ14" s="54"/>
      <c r="SRA14" s="57"/>
      <c r="SRB14" s="62"/>
      <c r="SRC14" s="63"/>
      <c r="SRD14" s="63"/>
      <c r="SRE14" s="63"/>
      <c r="SRF14" s="63"/>
      <c r="SRG14" s="63"/>
      <c r="SRH14" s="63"/>
      <c r="SRI14" s="63"/>
      <c r="SRJ14" s="63"/>
      <c r="SRK14" s="63"/>
      <c r="SRL14" s="63"/>
      <c r="SRM14" s="63"/>
      <c r="SRN14" s="54"/>
      <c r="SRO14" s="54"/>
      <c r="SRP14" s="54"/>
      <c r="SRQ14" s="57"/>
      <c r="SRR14" s="62"/>
      <c r="SRS14" s="63"/>
      <c r="SRT14" s="63"/>
      <c r="SRU14" s="63"/>
      <c r="SRV14" s="63"/>
      <c r="SRW14" s="63"/>
      <c r="SRX14" s="63"/>
      <c r="SRY14" s="63"/>
      <c r="SRZ14" s="63"/>
      <c r="SSA14" s="63"/>
      <c r="SSB14" s="63"/>
      <c r="SSC14" s="63"/>
      <c r="SSD14" s="54"/>
      <c r="SSE14" s="54"/>
      <c r="SSF14" s="54"/>
      <c r="SSG14" s="57"/>
      <c r="SSH14" s="62"/>
      <c r="SSI14" s="63"/>
      <c r="SSJ14" s="63"/>
      <c r="SSK14" s="63"/>
      <c r="SSL14" s="63"/>
      <c r="SSM14" s="63"/>
      <c r="SSN14" s="63"/>
      <c r="SSO14" s="63"/>
      <c r="SSP14" s="63"/>
      <c r="SSQ14" s="63"/>
      <c r="SSR14" s="63"/>
      <c r="SSS14" s="63"/>
      <c r="SST14" s="54"/>
      <c r="SSU14" s="54"/>
      <c r="SSV14" s="54"/>
      <c r="SSW14" s="57"/>
      <c r="SSX14" s="62"/>
      <c r="SSY14" s="63"/>
      <c r="SSZ14" s="63"/>
      <c r="STA14" s="63"/>
      <c r="STB14" s="63"/>
      <c r="STC14" s="63"/>
      <c r="STD14" s="63"/>
      <c r="STE14" s="63"/>
      <c r="STF14" s="63"/>
      <c r="STG14" s="63"/>
      <c r="STH14" s="63"/>
      <c r="STI14" s="63"/>
      <c r="STJ14" s="54"/>
      <c r="STK14" s="54"/>
      <c r="STL14" s="54"/>
      <c r="STM14" s="57"/>
      <c r="STN14" s="62"/>
      <c r="STO14" s="63"/>
      <c r="STP14" s="63"/>
      <c r="STQ14" s="63"/>
      <c r="STR14" s="63"/>
      <c r="STS14" s="63"/>
      <c r="STT14" s="63"/>
      <c r="STU14" s="63"/>
      <c r="STV14" s="63"/>
      <c r="STW14" s="63"/>
      <c r="STX14" s="63"/>
      <c r="STY14" s="63"/>
      <c r="STZ14" s="54"/>
      <c r="SUA14" s="54"/>
      <c r="SUB14" s="54"/>
      <c r="SUC14" s="57"/>
      <c r="SUD14" s="62"/>
      <c r="SUE14" s="63"/>
      <c r="SUF14" s="63"/>
      <c r="SUG14" s="63"/>
      <c r="SUH14" s="63"/>
      <c r="SUI14" s="63"/>
      <c r="SUJ14" s="63"/>
      <c r="SUK14" s="63"/>
      <c r="SUL14" s="63"/>
      <c r="SUM14" s="63"/>
      <c r="SUN14" s="63"/>
      <c r="SUO14" s="63"/>
      <c r="SUP14" s="54"/>
      <c r="SUQ14" s="54"/>
      <c r="SUR14" s="54"/>
      <c r="SUS14" s="57"/>
      <c r="SUT14" s="62"/>
      <c r="SUU14" s="63"/>
      <c r="SUV14" s="63"/>
      <c r="SUW14" s="63"/>
      <c r="SUX14" s="63"/>
      <c r="SUY14" s="63"/>
      <c r="SUZ14" s="63"/>
      <c r="SVA14" s="63"/>
      <c r="SVB14" s="63"/>
      <c r="SVC14" s="63"/>
      <c r="SVD14" s="63"/>
      <c r="SVE14" s="63"/>
      <c r="SVF14" s="54"/>
      <c r="SVG14" s="54"/>
      <c r="SVH14" s="54"/>
      <c r="SVI14" s="57"/>
      <c r="SVJ14" s="62"/>
      <c r="SVK14" s="63"/>
      <c r="SVL14" s="63"/>
      <c r="SVM14" s="63"/>
      <c r="SVN14" s="63"/>
      <c r="SVO14" s="63"/>
      <c r="SVP14" s="63"/>
      <c r="SVQ14" s="63"/>
      <c r="SVR14" s="63"/>
      <c r="SVS14" s="63"/>
      <c r="SVT14" s="63"/>
      <c r="SVU14" s="63"/>
      <c r="SVV14" s="54"/>
      <c r="SVW14" s="54"/>
      <c r="SVX14" s="54"/>
      <c r="SVY14" s="57"/>
      <c r="SVZ14" s="62"/>
      <c r="SWA14" s="63"/>
      <c r="SWB14" s="63"/>
      <c r="SWC14" s="63"/>
      <c r="SWD14" s="63"/>
      <c r="SWE14" s="63"/>
      <c r="SWF14" s="63"/>
      <c r="SWG14" s="63"/>
      <c r="SWH14" s="63"/>
      <c r="SWI14" s="63"/>
      <c r="SWJ14" s="63"/>
      <c r="SWK14" s="63"/>
      <c r="SWL14" s="54"/>
      <c r="SWM14" s="54"/>
      <c r="SWN14" s="54"/>
      <c r="SWO14" s="57"/>
      <c r="SWP14" s="62"/>
      <c r="SWQ14" s="63"/>
      <c r="SWR14" s="63"/>
      <c r="SWS14" s="63"/>
      <c r="SWT14" s="63"/>
      <c r="SWU14" s="63"/>
      <c r="SWV14" s="63"/>
      <c r="SWW14" s="63"/>
      <c r="SWX14" s="63"/>
      <c r="SWY14" s="63"/>
      <c r="SWZ14" s="63"/>
      <c r="SXA14" s="63"/>
      <c r="SXB14" s="54"/>
      <c r="SXC14" s="54"/>
      <c r="SXD14" s="54"/>
      <c r="SXE14" s="57"/>
      <c r="SXF14" s="62"/>
      <c r="SXG14" s="63"/>
      <c r="SXH14" s="63"/>
      <c r="SXI14" s="63"/>
      <c r="SXJ14" s="63"/>
      <c r="SXK14" s="63"/>
      <c r="SXL14" s="63"/>
      <c r="SXM14" s="63"/>
      <c r="SXN14" s="63"/>
      <c r="SXO14" s="63"/>
      <c r="SXP14" s="63"/>
      <c r="SXQ14" s="63"/>
      <c r="SXR14" s="54"/>
      <c r="SXS14" s="54"/>
      <c r="SXT14" s="54"/>
      <c r="SXU14" s="57"/>
      <c r="SXV14" s="62"/>
      <c r="SXW14" s="63"/>
      <c r="SXX14" s="63"/>
      <c r="SXY14" s="63"/>
      <c r="SXZ14" s="63"/>
      <c r="SYA14" s="63"/>
      <c r="SYB14" s="63"/>
      <c r="SYC14" s="63"/>
      <c r="SYD14" s="63"/>
      <c r="SYE14" s="63"/>
      <c r="SYF14" s="63"/>
      <c r="SYG14" s="63"/>
      <c r="SYH14" s="54"/>
      <c r="SYI14" s="54"/>
      <c r="SYJ14" s="54"/>
      <c r="SYK14" s="57"/>
      <c r="SYL14" s="62"/>
      <c r="SYM14" s="63"/>
      <c r="SYN14" s="63"/>
      <c r="SYO14" s="63"/>
      <c r="SYP14" s="63"/>
      <c r="SYQ14" s="63"/>
      <c r="SYR14" s="63"/>
      <c r="SYS14" s="63"/>
      <c r="SYT14" s="63"/>
      <c r="SYU14" s="63"/>
      <c r="SYV14" s="63"/>
      <c r="SYW14" s="63"/>
      <c r="SYX14" s="54"/>
      <c r="SYY14" s="54"/>
      <c r="SYZ14" s="54"/>
      <c r="SZA14" s="57"/>
      <c r="SZB14" s="62"/>
      <c r="SZC14" s="63"/>
      <c r="SZD14" s="63"/>
      <c r="SZE14" s="63"/>
      <c r="SZF14" s="63"/>
      <c r="SZG14" s="63"/>
      <c r="SZH14" s="63"/>
      <c r="SZI14" s="63"/>
      <c r="SZJ14" s="63"/>
      <c r="SZK14" s="63"/>
      <c r="SZL14" s="63"/>
      <c r="SZM14" s="63"/>
      <c r="SZN14" s="54"/>
      <c r="SZO14" s="54"/>
      <c r="SZP14" s="54"/>
      <c r="SZQ14" s="57"/>
      <c r="SZR14" s="62"/>
      <c r="SZS14" s="63"/>
      <c r="SZT14" s="63"/>
      <c r="SZU14" s="63"/>
      <c r="SZV14" s="63"/>
      <c r="SZW14" s="63"/>
      <c r="SZX14" s="63"/>
      <c r="SZY14" s="63"/>
      <c r="SZZ14" s="63"/>
      <c r="TAA14" s="63"/>
      <c r="TAB14" s="63"/>
      <c r="TAC14" s="63"/>
      <c r="TAD14" s="54"/>
      <c r="TAE14" s="54"/>
      <c r="TAF14" s="54"/>
      <c r="TAG14" s="57"/>
      <c r="TAH14" s="62"/>
      <c r="TAI14" s="63"/>
      <c r="TAJ14" s="63"/>
      <c r="TAK14" s="63"/>
      <c r="TAL14" s="63"/>
      <c r="TAM14" s="63"/>
      <c r="TAN14" s="63"/>
      <c r="TAO14" s="63"/>
      <c r="TAP14" s="63"/>
      <c r="TAQ14" s="63"/>
      <c r="TAR14" s="63"/>
      <c r="TAS14" s="63"/>
      <c r="TAT14" s="54"/>
      <c r="TAU14" s="54"/>
      <c r="TAV14" s="54"/>
      <c r="TAW14" s="57"/>
      <c r="TAX14" s="62"/>
      <c r="TAY14" s="63"/>
      <c r="TAZ14" s="63"/>
      <c r="TBA14" s="63"/>
      <c r="TBB14" s="63"/>
      <c r="TBC14" s="63"/>
      <c r="TBD14" s="63"/>
      <c r="TBE14" s="63"/>
      <c r="TBF14" s="63"/>
      <c r="TBG14" s="63"/>
      <c r="TBH14" s="63"/>
      <c r="TBI14" s="63"/>
      <c r="TBJ14" s="54"/>
      <c r="TBK14" s="54"/>
      <c r="TBL14" s="54"/>
      <c r="TBM14" s="57"/>
      <c r="TBN14" s="62"/>
      <c r="TBO14" s="63"/>
      <c r="TBP14" s="63"/>
      <c r="TBQ14" s="63"/>
      <c r="TBR14" s="63"/>
      <c r="TBS14" s="63"/>
      <c r="TBT14" s="63"/>
      <c r="TBU14" s="63"/>
      <c r="TBV14" s="63"/>
      <c r="TBW14" s="63"/>
      <c r="TBX14" s="63"/>
      <c r="TBY14" s="63"/>
      <c r="TBZ14" s="54"/>
      <c r="TCA14" s="54"/>
      <c r="TCB14" s="54"/>
      <c r="TCC14" s="57"/>
      <c r="TCD14" s="62"/>
      <c r="TCE14" s="63"/>
      <c r="TCF14" s="63"/>
      <c r="TCG14" s="63"/>
      <c r="TCH14" s="63"/>
      <c r="TCI14" s="63"/>
      <c r="TCJ14" s="63"/>
      <c r="TCK14" s="63"/>
      <c r="TCL14" s="63"/>
      <c r="TCM14" s="63"/>
      <c r="TCN14" s="63"/>
      <c r="TCO14" s="63"/>
      <c r="TCP14" s="54"/>
      <c r="TCQ14" s="54"/>
      <c r="TCR14" s="54"/>
      <c r="TCS14" s="57"/>
      <c r="TCT14" s="62"/>
      <c r="TCU14" s="63"/>
      <c r="TCV14" s="63"/>
      <c r="TCW14" s="63"/>
      <c r="TCX14" s="63"/>
      <c r="TCY14" s="63"/>
      <c r="TCZ14" s="63"/>
      <c r="TDA14" s="63"/>
      <c r="TDB14" s="63"/>
      <c r="TDC14" s="63"/>
      <c r="TDD14" s="63"/>
      <c r="TDE14" s="63"/>
      <c r="TDF14" s="54"/>
      <c r="TDG14" s="54"/>
      <c r="TDH14" s="54"/>
      <c r="TDI14" s="57"/>
      <c r="TDJ14" s="62"/>
      <c r="TDK14" s="63"/>
      <c r="TDL14" s="63"/>
      <c r="TDM14" s="63"/>
      <c r="TDN14" s="63"/>
      <c r="TDO14" s="63"/>
      <c r="TDP14" s="63"/>
      <c r="TDQ14" s="63"/>
      <c r="TDR14" s="63"/>
      <c r="TDS14" s="63"/>
      <c r="TDT14" s="63"/>
      <c r="TDU14" s="63"/>
      <c r="TDV14" s="54"/>
      <c r="TDW14" s="54"/>
      <c r="TDX14" s="54"/>
      <c r="TDY14" s="57"/>
      <c r="TDZ14" s="62"/>
      <c r="TEA14" s="63"/>
      <c r="TEB14" s="63"/>
      <c r="TEC14" s="63"/>
      <c r="TED14" s="63"/>
      <c r="TEE14" s="63"/>
      <c r="TEF14" s="63"/>
      <c r="TEG14" s="63"/>
      <c r="TEH14" s="63"/>
      <c r="TEI14" s="63"/>
      <c r="TEJ14" s="63"/>
      <c r="TEK14" s="63"/>
      <c r="TEL14" s="54"/>
      <c r="TEM14" s="54"/>
      <c r="TEN14" s="54"/>
      <c r="TEO14" s="57"/>
      <c r="TEP14" s="62"/>
      <c r="TEQ14" s="63"/>
      <c r="TER14" s="63"/>
      <c r="TES14" s="63"/>
      <c r="TET14" s="63"/>
      <c r="TEU14" s="63"/>
      <c r="TEV14" s="63"/>
      <c r="TEW14" s="63"/>
      <c r="TEX14" s="63"/>
      <c r="TEY14" s="63"/>
      <c r="TEZ14" s="63"/>
      <c r="TFA14" s="63"/>
      <c r="TFB14" s="54"/>
      <c r="TFC14" s="54"/>
      <c r="TFD14" s="54"/>
      <c r="TFE14" s="57"/>
      <c r="TFF14" s="62"/>
      <c r="TFG14" s="63"/>
      <c r="TFH14" s="63"/>
      <c r="TFI14" s="63"/>
      <c r="TFJ14" s="63"/>
      <c r="TFK14" s="63"/>
      <c r="TFL14" s="63"/>
      <c r="TFM14" s="63"/>
      <c r="TFN14" s="63"/>
      <c r="TFO14" s="63"/>
      <c r="TFP14" s="63"/>
      <c r="TFQ14" s="63"/>
      <c r="TFR14" s="54"/>
      <c r="TFS14" s="54"/>
      <c r="TFT14" s="54"/>
      <c r="TFU14" s="57"/>
      <c r="TFV14" s="62"/>
      <c r="TFW14" s="63"/>
      <c r="TFX14" s="63"/>
      <c r="TFY14" s="63"/>
      <c r="TFZ14" s="63"/>
      <c r="TGA14" s="63"/>
      <c r="TGB14" s="63"/>
      <c r="TGC14" s="63"/>
      <c r="TGD14" s="63"/>
      <c r="TGE14" s="63"/>
      <c r="TGF14" s="63"/>
      <c r="TGG14" s="63"/>
      <c r="TGH14" s="54"/>
      <c r="TGI14" s="54"/>
      <c r="TGJ14" s="54"/>
      <c r="TGK14" s="57"/>
      <c r="TGL14" s="62"/>
      <c r="TGM14" s="63"/>
      <c r="TGN14" s="63"/>
      <c r="TGO14" s="63"/>
      <c r="TGP14" s="63"/>
      <c r="TGQ14" s="63"/>
      <c r="TGR14" s="63"/>
      <c r="TGS14" s="63"/>
      <c r="TGT14" s="63"/>
      <c r="TGU14" s="63"/>
      <c r="TGV14" s="63"/>
      <c r="TGW14" s="63"/>
      <c r="TGX14" s="54"/>
      <c r="TGY14" s="54"/>
      <c r="TGZ14" s="54"/>
      <c r="THA14" s="57"/>
      <c r="THB14" s="62"/>
      <c r="THC14" s="63"/>
      <c r="THD14" s="63"/>
      <c r="THE14" s="63"/>
      <c r="THF14" s="63"/>
      <c r="THG14" s="63"/>
      <c r="THH14" s="63"/>
      <c r="THI14" s="63"/>
      <c r="THJ14" s="63"/>
      <c r="THK14" s="63"/>
      <c r="THL14" s="63"/>
      <c r="THM14" s="63"/>
      <c r="THN14" s="54"/>
      <c r="THO14" s="54"/>
      <c r="THP14" s="54"/>
      <c r="THQ14" s="57"/>
      <c r="THR14" s="62"/>
      <c r="THS14" s="63"/>
      <c r="THT14" s="63"/>
      <c r="THU14" s="63"/>
      <c r="THV14" s="63"/>
      <c r="THW14" s="63"/>
      <c r="THX14" s="63"/>
      <c r="THY14" s="63"/>
      <c r="THZ14" s="63"/>
      <c r="TIA14" s="63"/>
      <c r="TIB14" s="63"/>
      <c r="TIC14" s="63"/>
      <c r="TID14" s="54"/>
      <c r="TIE14" s="54"/>
      <c r="TIF14" s="54"/>
      <c r="TIG14" s="57"/>
      <c r="TIH14" s="62"/>
      <c r="TII14" s="63"/>
      <c r="TIJ14" s="63"/>
      <c r="TIK14" s="63"/>
      <c r="TIL14" s="63"/>
      <c r="TIM14" s="63"/>
      <c r="TIN14" s="63"/>
      <c r="TIO14" s="63"/>
      <c r="TIP14" s="63"/>
      <c r="TIQ14" s="63"/>
      <c r="TIR14" s="63"/>
      <c r="TIS14" s="63"/>
      <c r="TIT14" s="54"/>
      <c r="TIU14" s="54"/>
      <c r="TIV14" s="54"/>
      <c r="TIW14" s="57"/>
      <c r="TIX14" s="62"/>
      <c r="TIY14" s="63"/>
      <c r="TIZ14" s="63"/>
      <c r="TJA14" s="63"/>
      <c r="TJB14" s="63"/>
      <c r="TJC14" s="63"/>
      <c r="TJD14" s="63"/>
      <c r="TJE14" s="63"/>
      <c r="TJF14" s="63"/>
      <c r="TJG14" s="63"/>
      <c r="TJH14" s="63"/>
      <c r="TJI14" s="63"/>
      <c r="TJJ14" s="54"/>
      <c r="TJK14" s="54"/>
      <c r="TJL14" s="54"/>
      <c r="TJM14" s="57"/>
      <c r="TJN14" s="62"/>
      <c r="TJO14" s="63"/>
      <c r="TJP14" s="63"/>
      <c r="TJQ14" s="63"/>
      <c r="TJR14" s="63"/>
      <c r="TJS14" s="63"/>
      <c r="TJT14" s="63"/>
      <c r="TJU14" s="63"/>
      <c r="TJV14" s="63"/>
      <c r="TJW14" s="63"/>
      <c r="TJX14" s="63"/>
      <c r="TJY14" s="63"/>
      <c r="TJZ14" s="54"/>
      <c r="TKA14" s="54"/>
      <c r="TKB14" s="54"/>
      <c r="TKC14" s="57"/>
      <c r="TKD14" s="62"/>
      <c r="TKE14" s="63"/>
      <c r="TKF14" s="63"/>
      <c r="TKG14" s="63"/>
      <c r="TKH14" s="63"/>
      <c r="TKI14" s="63"/>
      <c r="TKJ14" s="63"/>
      <c r="TKK14" s="63"/>
      <c r="TKL14" s="63"/>
      <c r="TKM14" s="63"/>
      <c r="TKN14" s="63"/>
      <c r="TKO14" s="63"/>
      <c r="TKP14" s="54"/>
      <c r="TKQ14" s="54"/>
      <c r="TKR14" s="54"/>
      <c r="TKS14" s="57"/>
      <c r="TKT14" s="62"/>
      <c r="TKU14" s="63"/>
      <c r="TKV14" s="63"/>
      <c r="TKW14" s="63"/>
      <c r="TKX14" s="63"/>
      <c r="TKY14" s="63"/>
      <c r="TKZ14" s="63"/>
      <c r="TLA14" s="63"/>
      <c r="TLB14" s="63"/>
      <c r="TLC14" s="63"/>
      <c r="TLD14" s="63"/>
      <c r="TLE14" s="63"/>
      <c r="TLF14" s="54"/>
      <c r="TLG14" s="54"/>
      <c r="TLH14" s="54"/>
      <c r="TLI14" s="57"/>
      <c r="TLJ14" s="62"/>
      <c r="TLK14" s="63"/>
      <c r="TLL14" s="63"/>
      <c r="TLM14" s="63"/>
      <c r="TLN14" s="63"/>
      <c r="TLO14" s="63"/>
      <c r="TLP14" s="63"/>
      <c r="TLQ14" s="63"/>
      <c r="TLR14" s="63"/>
      <c r="TLS14" s="63"/>
      <c r="TLT14" s="63"/>
      <c r="TLU14" s="63"/>
      <c r="TLV14" s="54"/>
      <c r="TLW14" s="54"/>
      <c r="TLX14" s="54"/>
      <c r="TLY14" s="57"/>
      <c r="TLZ14" s="62"/>
      <c r="TMA14" s="63"/>
      <c r="TMB14" s="63"/>
      <c r="TMC14" s="63"/>
      <c r="TMD14" s="63"/>
      <c r="TME14" s="63"/>
      <c r="TMF14" s="63"/>
      <c r="TMG14" s="63"/>
      <c r="TMH14" s="63"/>
      <c r="TMI14" s="63"/>
      <c r="TMJ14" s="63"/>
      <c r="TMK14" s="63"/>
      <c r="TML14" s="54"/>
      <c r="TMM14" s="54"/>
      <c r="TMN14" s="54"/>
      <c r="TMO14" s="57"/>
      <c r="TMP14" s="62"/>
      <c r="TMQ14" s="63"/>
      <c r="TMR14" s="63"/>
      <c r="TMS14" s="63"/>
      <c r="TMT14" s="63"/>
      <c r="TMU14" s="63"/>
      <c r="TMV14" s="63"/>
      <c r="TMW14" s="63"/>
      <c r="TMX14" s="63"/>
      <c r="TMY14" s="63"/>
      <c r="TMZ14" s="63"/>
      <c r="TNA14" s="63"/>
      <c r="TNB14" s="54"/>
      <c r="TNC14" s="54"/>
      <c r="TND14" s="54"/>
      <c r="TNE14" s="57"/>
      <c r="TNF14" s="62"/>
      <c r="TNG14" s="63"/>
      <c r="TNH14" s="63"/>
      <c r="TNI14" s="63"/>
      <c r="TNJ14" s="63"/>
      <c r="TNK14" s="63"/>
      <c r="TNL14" s="63"/>
      <c r="TNM14" s="63"/>
      <c r="TNN14" s="63"/>
      <c r="TNO14" s="63"/>
      <c r="TNP14" s="63"/>
      <c r="TNQ14" s="63"/>
      <c r="TNR14" s="54"/>
      <c r="TNS14" s="54"/>
      <c r="TNT14" s="54"/>
      <c r="TNU14" s="57"/>
      <c r="TNV14" s="62"/>
      <c r="TNW14" s="63"/>
      <c r="TNX14" s="63"/>
      <c r="TNY14" s="63"/>
      <c r="TNZ14" s="63"/>
      <c r="TOA14" s="63"/>
      <c r="TOB14" s="63"/>
      <c r="TOC14" s="63"/>
      <c r="TOD14" s="63"/>
      <c r="TOE14" s="63"/>
      <c r="TOF14" s="63"/>
      <c r="TOG14" s="63"/>
      <c r="TOH14" s="54"/>
      <c r="TOI14" s="54"/>
      <c r="TOJ14" s="54"/>
      <c r="TOK14" s="57"/>
      <c r="TOL14" s="62"/>
      <c r="TOM14" s="63"/>
      <c r="TON14" s="63"/>
      <c r="TOO14" s="63"/>
      <c r="TOP14" s="63"/>
      <c r="TOQ14" s="63"/>
      <c r="TOR14" s="63"/>
      <c r="TOS14" s="63"/>
      <c r="TOT14" s="63"/>
      <c r="TOU14" s="63"/>
      <c r="TOV14" s="63"/>
      <c r="TOW14" s="63"/>
      <c r="TOX14" s="54"/>
      <c r="TOY14" s="54"/>
      <c r="TOZ14" s="54"/>
      <c r="TPA14" s="57"/>
      <c r="TPB14" s="62"/>
      <c r="TPC14" s="63"/>
      <c r="TPD14" s="63"/>
      <c r="TPE14" s="63"/>
      <c r="TPF14" s="63"/>
      <c r="TPG14" s="63"/>
      <c r="TPH14" s="63"/>
      <c r="TPI14" s="63"/>
      <c r="TPJ14" s="63"/>
      <c r="TPK14" s="63"/>
      <c r="TPL14" s="63"/>
      <c r="TPM14" s="63"/>
      <c r="TPN14" s="54"/>
      <c r="TPO14" s="54"/>
      <c r="TPP14" s="54"/>
      <c r="TPQ14" s="57"/>
      <c r="TPR14" s="62"/>
      <c r="TPS14" s="63"/>
      <c r="TPT14" s="63"/>
      <c r="TPU14" s="63"/>
      <c r="TPV14" s="63"/>
      <c r="TPW14" s="63"/>
      <c r="TPX14" s="63"/>
      <c r="TPY14" s="63"/>
      <c r="TPZ14" s="63"/>
      <c r="TQA14" s="63"/>
      <c r="TQB14" s="63"/>
      <c r="TQC14" s="63"/>
      <c r="TQD14" s="54"/>
      <c r="TQE14" s="54"/>
      <c r="TQF14" s="54"/>
      <c r="TQG14" s="57"/>
      <c r="TQH14" s="62"/>
      <c r="TQI14" s="63"/>
      <c r="TQJ14" s="63"/>
      <c r="TQK14" s="63"/>
      <c r="TQL14" s="63"/>
      <c r="TQM14" s="63"/>
      <c r="TQN14" s="63"/>
      <c r="TQO14" s="63"/>
      <c r="TQP14" s="63"/>
      <c r="TQQ14" s="63"/>
      <c r="TQR14" s="63"/>
      <c r="TQS14" s="63"/>
      <c r="TQT14" s="54"/>
      <c r="TQU14" s="54"/>
      <c r="TQV14" s="54"/>
      <c r="TQW14" s="57"/>
      <c r="TQX14" s="62"/>
      <c r="TQY14" s="63"/>
      <c r="TQZ14" s="63"/>
      <c r="TRA14" s="63"/>
      <c r="TRB14" s="63"/>
      <c r="TRC14" s="63"/>
      <c r="TRD14" s="63"/>
      <c r="TRE14" s="63"/>
      <c r="TRF14" s="63"/>
      <c r="TRG14" s="63"/>
      <c r="TRH14" s="63"/>
      <c r="TRI14" s="63"/>
      <c r="TRJ14" s="54"/>
      <c r="TRK14" s="54"/>
      <c r="TRL14" s="54"/>
      <c r="TRM14" s="57"/>
      <c r="TRN14" s="62"/>
      <c r="TRO14" s="63"/>
      <c r="TRP14" s="63"/>
      <c r="TRQ14" s="63"/>
      <c r="TRR14" s="63"/>
      <c r="TRS14" s="63"/>
      <c r="TRT14" s="63"/>
      <c r="TRU14" s="63"/>
      <c r="TRV14" s="63"/>
      <c r="TRW14" s="63"/>
      <c r="TRX14" s="63"/>
      <c r="TRY14" s="63"/>
      <c r="TRZ14" s="54"/>
      <c r="TSA14" s="54"/>
      <c r="TSB14" s="54"/>
      <c r="TSC14" s="57"/>
      <c r="TSD14" s="62"/>
      <c r="TSE14" s="63"/>
      <c r="TSF14" s="63"/>
      <c r="TSG14" s="63"/>
      <c r="TSH14" s="63"/>
      <c r="TSI14" s="63"/>
      <c r="TSJ14" s="63"/>
      <c r="TSK14" s="63"/>
      <c r="TSL14" s="63"/>
      <c r="TSM14" s="63"/>
      <c r="TSN14" s="63"/>
      <c r="TSO14" s="63"/>
      <c r="TSP14" s="54"/>
      <c r="TSQ14" s="54"/>
      <c r="TSR14" s="54"/>
      <c r="TSS14" s="57"/>
      <c r="TST14" s="62"/>
      <c r="TSU14" s="63"/>
      <c r="TSV14" s="63"/>
      <c r="TSW14" s="63"/>
      <c r="TSX14" s="63"/>
      <c r="TSY14" s="63"/>
      <c r="TSZ14" s="63"/>
      <c r="TTA14" s="63"/>
      <c r="TTB14" s="63"/>
      <c r="TTC14" s="63"/>
      <c r="TTD14" s="63"/>
      <c r="TTE14" s="63"/>
      <c r="TTF14" s="54"/>
      <c r="TTG14" s="54"/>
      <c r="TTH14" s="54"/>
      <c r="TTI14" s="57"/>
      <c r="TTJ14" s="62"/>
      <c r="TTK14" s="63"/>
      <c r="TTL14" s="63"/>
      <c r="TTM14" s="63"/>
      <c r="TTN14" s="63"/>
      <c r="TTO14" s="63"/>
      <c r="TTP14" s="63"/>
      <c r="TTQ14" s="63"/>
      <c r="TTR14" s="63"/>
      <c r="TTS14" s="63"/>
      <c r="TTT14" s="63"/>
      <c r="TTU14" s="63"/>
      <c r="TTV14" s="54"/>
      <c r="TTW14" s="54"/>
      <c r="TTX14" s="54"/>
      <c r="TTY14" s="57"/>
      <c r="TTZ14" s="62"/>
      <c r="TUA14" s="63"/>
      <c r="TUB14" s="63"/>
      <c r="TUC14" s="63"/>
      <c r="TUD14" s="63"/>
      <c r="TUE14" s="63"/>
      <c r="TUF14" s="63"/>
      <c r="TUG14" s="63"/>
      <c r="TUH14" s="63"/>
      <c r="TUI14" s="63"/>
      <c r="TUJ14" s="63"/>
      <c r="TUK14" s="63"/>
      <c r="TUL14" s="54"/>
      <c r="TUM14" s="54"/>
      <c r="TUN14" s="54"/>
      <c r="TUO14" s="57"/>
      <c r="TUP14" s="62"/>
      <c r="TUQ14" s="63"/>
      <c r="TUR14" s="63"/>
      <c r="TUS14" s="63"/>
      <c r="TUT14" s="63"/>
      <c r="TUU14" s="63"/>
      <c r="TUV14" s="63"/>
      <c r="TUW14" s="63"/>
      <c r="TUX14" s="63"/>
      <c r="TUY14" s="63"/>
      <c r="TUZ14" s="63"/>
      <c r="TVA14" s="63"/>
      <c r="TVB14" s="54"/>
      <c r="TVC14" s="54"/>
      <c r="TVD14" s="54"/>
      <c r="TVE14" s="57"/>
      <c r="TVF14" s="62"/>
      <c r="TVG14" s="63"/>
      <c r="TVH14" s="63"/>
      <c r="TVI14" s="63"/>
      <c r="TVJ14" s="63"/>
      <c r="TVK14" s="63"/>
      <c r="TVL14" s="63"/>
      <c r="TVM14" s="63"/>
      <c r="TVN14" s="63"/>
      <c r="TVO14" s="63"/>
      <c r="TVP14" s="63"/>
      <c r="TVQ14" s="63"/>
      <c r="TVR14" s="54"/>
      <c r="TVS14" s="54"/>
      <c r="TVT14" s="54"/>
      <c r="TVU14" s="57"/>
      <c r="TVV14" s="62"/>
      <c r="TVW14" s="63"/>
      <c r="TVX14" s="63"/>
      <c r="TVY14" s="63"/>
      <c r="TVZ14" s="63"/>
      <c r="TWA14" s="63"/>
      <c r="TWB14" s="63"/>
      <c r="TWC14" s="63"/>
      <c r="TWD14" s="63"/>
      <c r="TWE14" s="63"/>
      <c r="TWF14" s="63"/>
      <c r="TWG14" s="63"/>
      <c r="TWH14" s="54"/>
      <c r="TWI14" s="54"/>
      <c r="TWJ14" s="54"/>
      <c r="TWK14" s="57"/>
      <c r="TWL14" s="62"/>
      <c r="TWM14" s="63"/>
      <c r="TWN14" s="63"/>
      <c r="TWO14" s="63"/>
      <c r="TWP14" s="63"/>
      <c r="TWQ14" s="63"/>
      <c r="TWR14" s="63"/>
      <c r="TWS14" s="63"/>
      <c r="TWT14" s="63"/>
      <c r="TWU14" s="63"/>
      <c r="TWV14" s="63"/>
      <c r="TWW14" s="63"/>
      <c r="TWX14" s="54"/>
      <c r="TWY14" s="54"/>
      <c r="TWZ14" s="54"/>
      <c r="TXA14" s="57"/>
      <c r="TXB14" s="62"/>
      <c r="TXC14" s="63"/>
      <c r="TXD14" s="63"/>
      <c r="TXE14" s="63"/>
      <c r="TXF14" s="63"/>
      <c r="TXG14" s="63"/>
      <c r="TXH14" s="63"/>
      <c r="TXI14" s="63"/>
      <c r="TXJ14" s="63"/>
      <c r="TXK14" s="63"/>
      <c r="TXL14" s="63"/>
      <c r="TXM14" s="63"/>
      <c r="TXN14" s="54"/>
      <c r="TXO14" s="54"/>
      <c r="TXP14" s="54"/>
      <c r="TXQ14" s="57"/>
      <c r="TXR14" s="62"/>
      <c r="TXS14" s="63"/>
      <c r="TXT14" s="63"/>
      <c r="TXU14" s="63"/>
      <c r="TXV14" s="63"/>
      <c r="TXW14" s="63"/>
      <c r="TXX14" s="63"/>
      <c r="TXY14" s="63"/>
      <c r="TXZ14" s="63"/>
      <c r="TYA14" s="63"/>
      <c r="TYB14" s="63"/>
      <c r="TYC14" s="63"/>
      <c r="TYD14" s="54"/>
      <c r="TYE14" s="54"/>
      <c r="TYF14" s="54"/>
      <c r="TYG14" s="57"/>
      <c r="TYH14" s="62"/>
      <c r="TYI14" s="63"/>
      <c r="TYJ14" s="63"/>
      <c r="TYK14" s="63"/>
      <c r="TYL14" s="63"/>
      <c r="TYM14" s="63"/>
      <c r="TYN14" s="63"/>
      <c r="TYO14" s="63"/>
      <c r="TYP14" s="63"/>
      <c r="TYQ14" s="63"/>
      <c r="TYR14" s="63"/>
      <c r="TYS14" s="63"/>
      <c r="TYT14" s="54"/>
      <c r="TYU14" s="54"/>
      <c r="TYV14" s="54"/>
      <c r="TYW14" s="57"/>
      <c r="TYX14" s="62"/>
      <c r="TYY14" s="63"/>
      <c r="TYZ14" s="63"/>
      <c r="TZA14" s="63"/>
      <c r="TZB14" s="63"/>
      <c r="TZC14" s="63"/>
      <c r="TZD14" s="63"/>
      <c r="TZE14" s="63"/>
      <c r="TZF14" s="63"/>
      <c r="TZG14" s="63"/>
      <c r="TZH14" s="63"/>
      <c r="TZI14" s="63"/>
      <c r="TZJ14" s="54"/>
      <c r="TZK14" s="54"/>
      <c r="TZL14" s="54"/>
      <c r="TZM14" s="57"/>
      <c r="TZN14" s="62"/>
      <c r="TZO14" s="63"/>
      <c r="TZP14" s="63"/>
      <c r="TZQ14" s="63"/>
      <c r="TZR14" s="63"/>
      <c r="TZS14" s="63"/>
      <c r="TZT14" s="63"/>
      <c r="TZU14" s="63"/>
      <c r="TZV14" s="63"/>
      <c r="TZW14" s="63"/>
      <c r="TZX14" s="63"/>
      <c r="TZY14" s="63"/>
      <c r="TZZ14" s="54"/>
      <c r="UAA14" s="54"/>
      <c r="UAB14" s="54"/>
      <c r="UAC14" s="57"/>
      <c r="UAD14" s="62"/>
      <c r="UAE14" s="63"/>
      <c r="UAF14" s="63"/>
      <c r="UAG14" s="63"/>
      <c r="UAH14" s="63"/>
      <c r="UAI14" s="63"/>
      <c r="UAJ14" s="63"/>
      <c r="UAK14" s="63"/>
      <c r="UAL14" s="63"/>
      <c r="UAM14" s="63"/>
      <c r="UAN14" s="63"/>
      <c r="UAO14" s="63"/>
      <c r="UAP14" s="54"/>
      <c r="UAQ14" s="54"/>
      <c r="UAR14" s="54"/>
      <c r="UAS14" s="57"/>
      <c r="UAT14" s="62"/>
      <c r="UAU14" s="63"/>
      <c r="UAV14" s="63"/>
      <c r="UAW14" s="63"/>
      <c r="UAX14" s="63"/>
      <c r="UAY14" s="63"/>
      <c r="UAZ14" s="63"/>
      <c r="UBA14" s="63"/>
      <c r="UBB14" s="63"/>
      <c r="UBC14" s="63"/>
      <c r="UBD14" s="63"/>
      <c r="UBE14" s="63"/>
      <c r="UBF14" s="54"/>
      <c r="UBG14" s="54"/>
      <c r="UBH14" s="54"/>
      <c r="UBI14" s="57"/>
      <c r="UBJ14" s="62"/>
      <c r="UBK14" s="63"/>
      <c r="UBL14" s="63"/>
      <c r="UBM14" s="63"/>
      <c r="UBN14" s="63"/>
      <c r="UBO14" s="63"/>
      <c r="UBP14" s="63"/>
      <c r="UBQ14" s="63"/>
      <c r="UBR14" s="63"/>
      <c r="UBS14" s="63"/>
      <c r="UBT14" s="63"/>
      <c r="UBU14" s="63"/>
      <c r="UBV14" s="54"/>
      <c r="UBW14" s="54"/>
      <c r="UBX14" s="54"/>
      <c r="UBY14" s="57"/>
      <c r="UBZ14" s="62"/>
      <c r="UCA14" s="63"/>
      <c r="UCB14" s="63"/>
      <c r="UCC14" s="63"/>
      <c r="UCD14" s="63"/>
      <c r="UCE14" s="63"/>
      <c r="UCF14" s="63"/>
      <c r="UCG14" s="63"/>
      <c r="UCH14" s="63"/>
      <c r="UCI14" s="63"/>
      <c r="UCJ14" s="63"/>
      <c r="UCK14" s="63"/>
      <c r="UCL14" s="54"/>
      <c r="UCM14" s="54"/>
      <c r="UCN14" s="54"/>
      <c r="UCO14" s="57"/>
      <c r="UCP14" s="62"/>
      <c r="UCQ14" s="63"/>
      <c r="UCR14" s="63"/>
      <c r="UCS14" s="63"/>
      <c r="UCT14" s="63"/>
      <c r="UCU14" s="63"/>
      <c r="UCV14" s="63"/>
      <c r="UCW14" s="63"/>
      <c r="UCX14" s="63"/>
      <c r="UCY14" s="63"/>
      <c r="UCZ14" s="63"/>
      <c r="UDA14" s="63"/>
      <c r="UDB14" s="54"/>
      <c r="UDC14" s="54"/>
      <c r="UDD14" s="54"/>
      <c r="UDE14" s="57"/>
      <c r="UDF14" s="62"/>
      <c r="UDG14" s="63"/>
      <c r="UDH14" s="63"/>
      <c r="UDI14" s="63"/>
      <c r="UDJ14" s="63"/>
      <c r="UDK14" s="63"/>
      <c r="UDL14" s="63"/>
      <c r="UDM14" s="63"/>
      <c r="UDN14" s="63"/>
      <c r="UDO14" s="63"/>
      <c r="UDP14" s="63"/>
      <c r="UDQ14" s="63"/>
      <c r="UDR14" s="54"/>
      <c r="UDS14" s="54"/>
      <c r="UDT14" s="54"/>
      <c r="UDU14" s="57"/>
      <c r="UDV14" s="62"/>
      <c r="UDW14" s="63"/>
      <c r="UDX14" s="63"/>
      <c r="UDY14" s="63"/>
      <c r="UDZ14" s="63"/>
      <c r="UEA14" s="63"/>
      <c r="UEB14" s="63"/>
      <c r="UEC14" s="63"/>
      <c r="UED14" s="63"/>
      <c r="UEE14" s="63"/>
      <c r="UEF14" s="63"/>
      <c r="UEG14" s="63"/>
      <c r="UEH14" s="54"/>
      <c r="UEI14" s="54"/>
      <c r="UEJ14" s="54"/>
      <c r="UEK14" s="57"/>
      <c r="UEL14" s="62"/>
      <c r="UEM14" s="63"/>
      <c r="UEN14" s="63"/>
      <c r="UEO14" s="63"/>
      <c r="UEP14" s="63"/>
      <c r="UEQ14" s="63"/>
      <c r="UER14" s="63"/>
      <c r="UES14" s="63"/>
      <c r="UET14" s="63"/>
      <c r="UEU14" s="63"/>
      <c r="UEV14" s="63"/>
      <c r="UEW14" s="63"/>
      <c r="UEX14" s="54"/>
      <c r="UEY14" s="54"/>
      <c r="UEZ14" s="54"/>
      <c r="UFA14" s="57"/>
      <c r="UFB14" s="62"/>
      <c r="UFC14" s="63"/>
      <c r="UFD14" s="63"/>
      <c r="UFE14" s="63"/>
      <c r="UFF14" s="63"/>
      <c r="UFG14" s="63"/>
      <c r="UFH14" s="63"/>
      <c r="UFI14" s="63"/>
      <c r="UFJ14" s="63"/>
      <c r="UFK14" s="63"/>
      <c r="UFL14" s="63"/>
      <c r="UFM14" s="63"/>
      <c r="UFN14" s="54"/>
      <c r="UFO14" s="54"/>
      <c r="UFP14" s="54"/>
      <c r="UFQ14" s="57"/>
      <c r="UFR14" s="62"/>
      <c r="UFS14" s="63"/>
      <c r="UFT14" s="63"/>
      <c r="UFU14" s="63"/>
      <c r="UFV14" s="63"/>
      <c r="UFW14" s="63"/>
      <c r="UFX14" s="63"/>
      <c r="UFY14" s="63"/>
      <c r="UFZ14" s="63"/>
      <c r="UGA14" s="63"/>
      <c r="UGB14" s="63"/>
      <c r="UGC14" s="63"/>
      <c r="UGD14" s="54"/>
      <c r="UGE14" s="54"/>
      <c r="UGF14" s="54"/>
      <c r="UGG14" s="57"/>
      <c r="UGH14" s="62"/>
      <c r="UGI14" s="63"/>
      <c r="UGJ14" s="63"/>
      <c r="UGK14" s="63"/>
      <c r="UGL14" s="63"/>
      <c r="UGM14" s="63"/>
      <c r="UGN14" s="63"/>
      <c r="UGO14" s="63"/>
      <c r="UGP14" s="63"/>
      <c r="UGQ14" s="63"/>
      <c r="UGR14" s="63"/>
      <c r="UGS14" s="63"/>
      <c r="UGT14" s="54"/>
      <c r="UGU14" s="54"/>
      <c r="UGV14" s="54"/>
      <c r="UGW14" s="57"/>
      <c r="UGX14" s="62"/>
      <c r="UGY14" s="63"/>
      <c r="UGZ14" s="63"/>
      <c r="UHA14" s="63"/>
      <c r="UHB14" s="63"/>
      <c r="UHC14" s="63"/>
      <c r="UHD14" s="63"/>
      <c r="UHE14" s="63"/>
      <c r="UHF14" s="63"/>
      <c r="UHG14" s="63"/>
      <c r="UHH14" s="63"/>
      <c r="UHI14" s="63"/>
      <c r="UHJ14" s="54"/>
      <c r="UHK14" s="54"/>
      <c r="UHL14" s="54"/>
      <c r="UHM14" s="57"/>
      <c r="UHN14" s="62"/>
      <c r="UHO14" s="63"/>
      <c r="UHP14" s="63"/>
      <c r="UHQ14" s="63"/>
      <c r="UHR14" s="63"/>
      <c r="UHS14" s="63"/>
      <c r="UHT14" s="63"/>
      <c r="UHU14" s="63"/>
      <c r="UHV14" s="63"/>
      <c r="UHW14" s="63"/>
      <c r="UHX14" s="63"/>
      <c r="UHY14" s="63"/>
      <c r="UHZ14" s="54"/>
      <c r="UIA14" s="54"/>
      <c r="UIB14" s="54"/>
      <c r="UIC14" s="57"/>
      <c r="UID14" s="62"/>
      <c r="UIE14" s="63"/>
      <c r="UIF14" s="63"/>
      <c r="UIG14" s="63"/>
      <c r="UIH14" s="63"/>
      <c r="UII14" s="63"/>
      <c r="UIJ14" s="63"/>
      <c r="UIK14" s="63"/>
      <c r="UIL14" s="63"/>
      <c r="UIM14" s="63"/>
      <c r="UIN14" s="63"/>
      <c r="UIO14" s="63"/>
      <c r="UIP14" s="54"/>
      <c r="UIQ14" s="54"/>
      <c r="UIR14" s="54"/>
      <c r="UIS14" s="57"/>
      <c r="UIT14" s="62"/>
      <c r="UIU14" s="63"/>
      <c r="UIV14" s="63"/>
      <c r="UIW14" s="63"/>
      <c r="UIX14" s="63"/>
      <c r="UIY14" s="63"/>
      <c r="UIZ14" s="63"/>
      <c r="UJA14" s="63"/>
      <c r="UJB14" s="63"/>
      <c r="UJC14" s="63"/>
      <c r="UJD14" s="63"/>
      <c r="UJE14" s="63"/>
      <c r="UJF14" s="54"/>
      <c r="UJG14" s="54"/>
      <c r="UJH14" s="54"/>
      <c r="UJI14" s="57"/>
      <c r="UJJ14" s="62"/>
      <c r="UJK14" s="63"/>
      <c r="UJL14" s="63"/>
      <c r="UJM14" s="63"/>
      <c r="UJN14" s="63"/>
      <c r="UJO14" s="63"/>
      <c r="UJP14" s="63"/>
      <c r="UJQ14" s="63"/>
      <c r="UJR14" s="63"/>
      <c r="UJS14" s="63"/>
      <c r="UJT14" s="63"/>
      <c r="UJU14" s="63"/>
      <c r="UJV14" s="54"/>
      <c r="UJW14" s="54"/>
      <c r="UJX14" s="54"/>
      <c r="UJY14" s="57"/>
      <c r="UJZ14" s="62"/>
      <c r="UKA14" s="63"/>
      <c r="UKB14" s="63"/>
      <c r="UKC14" s="63"/>
      <c r="UKD14" s="63"/>
      <c r="UKE14" s="63"/>
      <c r="UKF14" s="63"/>
      <c r="UKG14" s="63"/>
      <c r="UKH14" s="63"/>
      <c r="UKI14" s="63"/>
      <c r="UKJ14" s="63"/>
      <c r="UKK14" s="63"/>
      <c r="UKL14" s="54"/>
      <c r="UKM14" s="54"/>
      <c r="UKN14" s="54"/>
      <c r="UKO14" s="57"/>
      <c r="UKP14" s="62"/>
      <c r="UKQ14" s="63"/>
      <c r="UKR14" s="63"/>
      <c r="UKS14" s="63"/>
      <c r="UKT14" s="63"/>
      <c r="UKU14" s="63"/>
      <c r="UKV14" s="63"/>
      <c r="UKW14" s="63"/>
      <c r="UKX14" s="63"/>
      <c r="UKY14" s="63"/>
      <c r="UKZ14" s="63"/>
      <c r="ULA14" s="63"/>
      <c r="ULB14" s="54"/>
      <c r="ULC14" s="54"/>
      <c r="ULD14" s="54"/>
      <c r="ULE14" s="57"/>
      <c r="ULF14" s="62"/>
      <c r="ULG14" s="63"/>
      <c r="ULH14" s="63"/>
      <c r="ULI14" s="63"/>
      <c r="ULJ14" s="63"/>
      <c r="ULK14" s="63"/>
      <c r="ULL14" s="63"/>
      <c r="ULM14" s="63"/>
      <c r="ULN14" s="63"/>
      <c r="ULO14" s="63"/>
      <c r="ULP14" s="63"/>
      <c r="ULQ14" s="63"/>
      <c r="ULR14" s="54"/>
      <c r="ULS14" s="54"/>
      <c r="ULT14" s="54"/>
      <c r="ULU14" s="57"/>
      <c r="ULV14" s="62"/>
      <c r="ULW14" s="63"/>
      <c r="ULX14" s="63"/>
      <c r="ULY14" s="63"/>
      <c r="ULZ14" s="63"/>
      <c r="UMA14" s="63"/>
      <c r="UMB14" s="63"/>
      <c r="UMC14" s="63"/>
      <c r="UMD14" s="63"/>
      <c r="UME14" s="63"/>
      <c r="UMF14" s="63"/>
      <c r="UMG14" s="63"/>
      <c r="UMH14" s="54"/>
      <c r="UMI14" s="54"/>
      <c r="UMJ14" s="54"/>
      <c r="UMK14" s="57"/>
      <c r="UML14" s="62"/>
      <c r="UMM14" s="63"/>
      <c r="UMN14" s="63"/>
      <c r="UMO14" s="63"/>
      <c r="UMP14" s="63"/>
      <c r="UMQ14" s="63"/>
      <c r="UMR14" s="63"/>
      <c r="UMS14" s="63"/>
      <c r="UMT14" s="63"/>
      <c r="UMU14" s="63"/>
      <c r="UMV14" s="63"/>
      <c r="UMW14" s="63"/>
      <c r="UMX14" s="54"/>
      <c r="UMY14" s="54"/>
      <c r="UMZ14" s="54"/>
      <c r="UNA14" s="57"/>
      <c r="UNB14" s="62"/>
      <c r="UNC14" s="63"/>
      <c r="UND14" s="63"/>
      <c r="UNE14" s="63"/>
      <c r="UNF14" s="63"/>
      <c r="UNG14" s="63"/>
      <c r="UNH14" s="63"/>
      <c r="UNI14" s="63"/>
      <c r="UNJ14" s="63"/>
      <c r="UNK14" s="63"/>
      <c r="UNL14" s="63"/>
      <c r="UNM14" s="63"/>
      <c r="UNN14" s="54"/>
      <c r="UNO14" s="54"/>
      <c r="UNP14" s="54"/>
      <c r="UNQ14" s="57"/>
      <c r="UNR14" s="62"/>
      <c r="UNS14" s="63"/>
      <c r="UNT14" s="63"/>
      <c r="UNU14" s="63"/>
      <c r="UNV14" s="63"/>
      <c r="UNW14" s="63"/>
      <c r="UNX14" s="63"/>
      <c r="UNY14" s="63"/>
      <c r="UNZ14" s="63"/>
      <c r="UOA14" s="63"/>
      <c r="UOB14" s="63"/>
      <c r="UOC14" s="63"/>
      <c r="UOD14" s="54"/>
      <c r="UOE14" s="54"/>
      <c r="UOF14" s="54"/>
      <c r="UOG14" s="57"/>
      <c r="UOH14" s="62"/>
      <c r="UOI14" s="63"/>
      <c r="UOJ14" s="63"/>
      <c r="UOK14" s="63"/>
      <c r="UOL14" s="63"/>
      <c r="UOM14" s="63"/>
      <c r="UON14" s="63"/>
      <c r="UOO14" s="63"/>
      <c r="UOP14" s="63"/>
      <c r="UOQ14" s="63"/>
      <c r="UOR14" s="63"/>
      <c r="UOS14" s="63"/>
      <c r="UOT14" s="54"/>
      <c r="UOU14" s="54"/>
      <c r="UOV14" s="54"/>
      <c r="UOW14" s="57"/>
      <c r="UOX14" s="62"/>
      <c r="UOY14" s="63"/>
      <c r="UOZ14" s="63"/>
      <c r="UPA14" s="63"/>
      <c r="UPB14" s="63"/>
      <c r="UPC14" s="63"/>
      <c r="UPD14" s="63"/>
      <c r="UPE14" s="63"/>
      <c r="UPF14" s="63"/>
      <c r="UPG14" s="63"/>
      <c r="UPH14" s="63"/>
      <c r="UPI14" s="63"/>
      <c r="UPJ14" s="54"/>
      <c r="UPK14" s="54"/>
      <c r="UPL14" s="54"/>
      <c r="UPM14" s="57"/>
      <c r="UPN14" s="62"/>
      <c r="UPO14" s="63"/>
      <c r="UPP14" s="63"/>
      <c r="UPQ14" s="63"/>
      <c r="UPR14" s="63"/>
      <c r="UPS14" s="63"/>
      <c r="UPT14" s="63"/>
      <c r="UPU14" s="63"/>
      <c r="UPV14" s="63"/>
      <c r="UPW14" s="63"/>
      <c r="UPX14" s="63"/>
      <c r="UPY14" s="63"/>
      <c r="UPZ14" s="54"/>
      <c r="UQA14" s="54"/>
      <c r="UQB14" s="54"/>
      <c r="UQC14" s="57"/>
      <c r="UQD14" s="62"/>
      <c r="UQE14" s="63"/>
      <c r="UQF14" s="63"/>
      <c r="UQG14" s="63"/>
      <c r="UQH14" s="63"/>
      <c r="UQI14" s="63"/>
      <c r="UQJ14" s="63"/>
      <c r="UQK14" s="63"/>
      <c r="UQL14" s="63"/>
      <c r="UQM14" s="63"/>
      <c r="UQN14" s="63"/>
      <c r="UQO14" s="63"/>
      <c r="UQP14" s="54"/>
      <c r="UQQ14" s="54"/>
      <c r="UQR14" s="54"/>
      <c r="UQS14" s="57"/>
      <c r="UQT14" s="62"/>
      <c r="UQU14" s="63"/>
      <c r="UQV14" s="63"/>
      <c r="UQW14" s="63"/>
      <c r="UQX14" s="63"/>
      <c r="UQY14" s="63"/>
      <c r="UQZ14" s="63"/>
      <c r="URA14" s="63"/>
      <c r="URB14" s="63"/>
      <c r="URC14" s="63"/>
      <c r="URD14" s="63"/>
      <c r="URE14" s="63"/>
      <c r="URF14" s="54"/>
      <c r="URG14" s="54"/>
      <c r="URH14" s="54"/>
      <c r="URI14" s="57"/>
      <c r="URJ14" s="62"/>
      <c r="URK14" s="63"/>
      <c r="URL14" s="63"/>
      <c r="URM14" s="63"/>
      <c r="URN14" s="63"/>
      <c r="URO14" s="63"/>
      <c r="URP14" s="63"/>
      <c r="URQ14" s="63"/>
      <c r="URR14" s="63"/>
      <c r="URS14" s="63"/>
      <c r="URT14" s="63"/>
      <c r="URU14" s="63"/>
      <c r="URV14" s="54"/>
      <c r="URW14" s="54"/>
      <c r="URX14" s="54"/>
      <c r="URY14" s="57"/>
      <c r="URZ14" s="62"/>
      <c r="USA14" s="63"/>
      <c r="USB14" s="63"/>
      <c r="USC14" s="63"/>
      <c r="USD14" s="63"/>
      <c r="USE14" s="63"/>
      <c r="USF14" s="63"/>
      <c r="USG14" s="63"/>
      <c r="USH14" s="63"/>
      <c r="USI14" s="63"/>
      <c r="USJ14" s="63"/>
      <c r="USK14" s="63"/>
      <c r="USL14" s="54"/>
      <c r="USM14" s="54"/>
      <c r="USN14" s="54"/>
      <c r="USO14" s="57"/>
      <c r="USP14" s="62"/>
      <c r="USQ14" s="63"/>
      <c r="USR14" s="63"/>
      <c r="USS14" s="63"/>
      <c r="UST14" s="63"/>
      <c r="USU14" s="63"/>
      <c r="USV14" s="63"/>
      <c r="USW14" s="63"/>
      <c r="USX14" s="63"/>
      <c r="USY14" s="63"/>
      <c r="USZ14" s="63"/>
      <c r="UTA14" s="63"/>
      <c r="UTB14" s="54"/>
      <c r="UTC14" s="54"/>
      <c r="UTD14" s="54"/>
      <c r="UTE14" s="57"/>
      <c r="UTF14" s="62"/>
      <c r="UTG14" s="63"/>
      <c r="UTH14" s="63"/>
      <c r="UTI14" s="63"/>
      <c r="UTJ14" s="63"/>
      <c r="UTK14" s="63"/>
      <c r="UTL14" s="63"/>
      <c r="UTM14" s="63"/>
      <c r="UTN14" s="63"/>
      <c r="UTO14" s="63"/>
      <c r="UTP14" s="63"/>
      <c r="UTQ14" s="63"/>
      <c r="UTR14" s="54"/>
      <c r="UTS14" s="54"/>
      <c r="UTT14" s="54"/>
      <c r="UTU14" s="57"/>
      <c r="UTV14" s="62"/>
      <c r="UTW14" s="63"/>
      <c r="UTX14" s="63"/>
      <c r="UTY14" s="63"/>
      <c r="UTZ14" s="63"/>
      <c r="UUA14" s="63"/>
      <c r="UUB14" s="63"/>
      <c r="UUC14" s="63"/>
      <c r="UUD14" s="63"/>
      <c r="UUE14" s="63"/>
      <c r="UUF14" s="63"/>
      <c r="UUG14" s="63"/>
      <c r="UUH14" s="54"/>
      <c r="UUI14" s="54"/>
      <c r="UUJ14" s="54"/>
      <c r="UUK14" s="57"/>
      <c r="UUL14" s="62"/>
      <c r="UUM14" s="63"/>
      <c r="UUN14" s="63"/>
      <c r="UUO14" s="63"/>
      <c r="UUP14" s="63"/>
      <c r="UUQ14" s="63"/>
      <c r="UUR14" s="63"/>
      <c r="UUS14" s="63"/>
      <c r="UUT14" s="63"/>
      <c r="UUU14" s="63"/>
      <c r="UUV14" s="63"/>
      <c r="UUW14" s="63"/>
      <c r="UUX14" s="54"/>
      <c r="UUY14" s="54"/>
      <c r="UUZ14" s="54"/>
      <c r="UVA14" s="57"/>
      <c r="UVB14" s="62"/>
      <c r="UVC14" s="63"/>
      <c r="UVD14" s="63"/>
      <c r="UVE14" s="63"/>
      <c r="UVF14" s="63"/>
      <c r="UVG14" s="63"/>
      <c r="UVH14" s="63"/>
      <c r="UVI14" s="63"/>
      <c r="UVJ14" s="63"/>
      <c r="UVK14" s="63"/>
      <c r="UVL14" s="63"/>
      <c r="UVM14" s="63"/>
      <c r="UVN14" s="54"/>
      <c r="UVO14" s="54"/>
      <c r="UVP14" s="54"/>
      <c r="UVQ14" s="57"/>
      <c r="UVR14" s="62"/>
      <c r="UVS14" s="63"/>
      <c r="UVT14" s="63"/>
      <c r="UVU14" s="63"/>
      <c r="UVV14" s="63"/>
      <c r="UVW14" s="63"/>
      <c r="UVX14" s="63"/>
      <c r="UVY14" s="63"/>
      <c r="UVZ14" s="63"/>
      <c r="UWA14" s="63"/>
      <c r="UWB14" s="63"/>
      <c r="UWC14" s="63"/>
      <c r="UWD14" s="54"/>
      <c r="UWE14" s="54"/>
      <c r="UWF14" s="54"/>
      <c r="UWG14" s="57"/>
      <c r="UWH14" s="62"/>
      <c r="UWI14" s="63"/>
      <c r="UWJ14" s="63"/>
      <c r="UWK14" s="63"/>
      <c r="UWL14" s="63"/>
      <c r="UWM14" s="63"/>
      <c r="UWN14" s="63"/>
      <c r="UWO14" s="63"/>
      <c r="UWP14" s="63"/>
      <c r="UWQ14" s="63"/>
      <c r="UWR14" s="63"/>
      <c r="UWS14" s="63"/>
      <c r="UWT14" s="54"/>
      <c r="UWU14" s="54"/>
      <c r="UWV14" s="54"/>
      <c r="UWW14" s="57"/>
      <c r="UWX14" s="62"/>
      <c r="UWY14" s="63"/>
      <c r="UWZ14" s="63"/>
      <c r="UXA14" s="63"/>
      <c r="UXB14" s="63"/>
      <c r="UXC14" s="63"/>
      <c r="UXD14" s="63"/>
      <c r="UXE14" s="63"/>
      <c r="UXF14" s="63"/>
      <c r="UXG14" s="63"/>
      <c r="UXH14" s="63"/>
      <c r="UXI14" s="63"/>
      <c r="UXJ14" s="54"/>
      <c r="UXK14" s="54"/>
      <c r="UXL14" s="54"/>
      <c r="UXM14" s="57"/>
      <c r="UXN14" s="62"/>
      <c r="UXO14" s="63"/>
      <c r="UXP14" s="63"/>
      <c r="UXQ14" s="63"/>
      <c r="UXR14" s="63"/>
      <c r="UXS14" s="63"/>
      <c r="UXT14" s="63"/>
      <c r="UXU14" s="63"/>
      <c r="UXV14" s="63"/>
      <c r="UXW14" s="63"/>
      <c r="UXX14" s="63"/>
      <c r="UXY14" s="63"/>
      <c r="UXZ14" s="54"/>
      <c r="UYA14" s="54"/>
      <c r="UYB14" s="54"/>
      <c r="UYC14" s="57"/>
      <c r="UYD14" s="62"/>
      <c r="UYE14" s="63"/>
      <c r="UYF14" s="63"/>
      <c r="UYG14" s="63"/>
      <c r="UYH14" s="63"/>
      <c r="UYI14" s="63"/>
      <c r="UYJ14" s="63"/>
      <c r="UYK14" s="63"/>
      <c r="UYL14" s="63"/>
      <c r="UYM14" s="63"/>
      <c r="UYN14" s="63"/>
      <c r="UYO14" s="63"/>
      <c r="UYP14" s="54"/>
      <c r="UYQ14" s="54"/>
      <c r="UYR14" s="54"/>
      <c r="UYS14" s="57"/>
      <c r="UYT14" s="62"/>
      <c r="UYU14" s="63"/>
      <c r="UYV14" s="63"/>
      <c r="UYW14" s="63"/>
      <c r="UYX14" s="63"/>
      <c r="UYY14" s="63"/>
      <c r="UYZ14" s="63"/>
      <c r="UZA14" s="63"/>
      <c r="UZB14" s="63"/>
      <c r="UZC14" s="63"/>
      <c r="UZD14" s="63"/>
      <c r="UZE14" s="63"/>
      <c r="UZF14" s="54"/>
      <c r="UZG14" s="54"/>
      <c r="UZH14" s="54"/>
      <c r="UZI14" s="57"/>
      <c r="UZJ14" s="62"/>
      <c r="UZK14" s="63"/>
      <c r="UZL14" s="63"/>
      <c r="UZM14" s="63"/>
      <c r="UZN14" s="63"/>
      <c r="UZO14" s="63"/>
      <c r="UZP14" s="63"/>
      <c r="UZQ14" s="63"/>
      <c r="UZR14" s="63"/>
      <c r="UZS14" s="63"/>
      <c r="UZT14" s="63"/>
      <c r="UZU14" s="63"/>
      <c r="UZV14" s="54"/>
      <c r="UZW14" s="54"/>
      <c r="UZX14" s="54"/>
      <c r="UZY14" s="57"/>
      <c r="UZZ14" s="62"/>
      <c r="VAA14" s="63"/>
      <c r="VAB14" s="63"/>
      <c r="VAC14" s="63"/>
      <c r="VAD14" s="63"/>
      <c r="VAE14" s="63"/>
      <c r="VAF14" s="63"/>
      <c r="VAG14" s="63"/>
      <c r="VAH14" s="63"/>
      <c r="VAI14" s="63"/>
      <c r="VAJ14" s="63"/>
      <c r="VAK14" s="63"/>
      <c r="VAL14" s="54"/>
      <c r="VAM14" s="54"/>
      <c r="VAN14" s="54"/>
      <c r="VAO14" s="57"/>
      <c r="VAP14" s="62"/>
      <c r="VAQ14" s="63"/>
      <c r="VAR14" s="63"/>
      <c r="VAS14" s="63"/>
      <c r="VAT14" s="63"/>
      <c r="VAU14" s="63"/>
      <c r="VAV14" s="63"/>
      <c r="VAW14" s="63"/>
      <c r="VAX14" s="63"/>
      <c r="VAY14" s="63"/>
      <c r="VAZ14" s="63"/>
      <c r="VBA14" s="63"/>
      <c r="VBB14" s="54"/>
      <c r="VBC14" s="54"/>
      <c r="VBD14" s="54"/>
      <c r="VBE14" s="57"/>
      <c r="VBF14" s="62"/>
      <c r="VBG14" s="63"/>
      <c r="VBH14" s="63"/>
      <c r="VBI14" s="63"/>
      <c r="VBJ14" s="63"/>
      <c r="VBK14" s="63"/>
      <c r="VBL14" s="63"/>
      <c r="VBM14" s="63"/>
      <c r="VBN14" s="63"/>
      <c r="VBO14" s="63"/>
      <c r="VBP14" s="63"/>
      <c r="VBQ14" s="63"/>
      <c r="VBR14" s="54"/>
      <c r="VBS14" s="54"/>
      <c r="VBT14" s="54"/>
      <c r="VBU14" s="57"/>
      <c r="VBV14" s="62"/>
      <c r="VBW14" s="63"/>
      <c r="VBX14" s="63"/>
      <c r="VBY14" s="63"/>
      <c r="VBZ14" s="63"/>
      <c r="VCA14" s="63"/>
      <c r="VCB14" s="63"/>
      <c r="VCC14" s="63"/>
      <c r="VCD14" s="63"/>
      <c r="VCE14" s="63"/>
      <c r="VCF14" s="63"/>
      <c r="VCG14" s="63"/>
      <c r="VCH14" s="54"/>
      <c r="VCI14" s="54"/>
      <c r="VCJ14" s="54"/>
      <c r="VCK14" s="57"/>
      <c r="VCL14" s="62"/>
      <c r="VCM14" s="63"/>
      <c r="VCN14" s="63"/>
      <c r="VCO14" s="63"/>
      <c r="VCP14" s="63"/>
      <c r="VCQ14" s="63"/>
      <c r="VCR14" s="63"/>
      <c r="VCS14" s="63"/>
      <c r="VCT14" s="63"/>
      <c r="VCU14" s="63"/>
      <c r="VCV14" s="63"/>
      <c r="VCW14" s="63"/>
      <c r="VCX14" s="54"/>
      <c r="VCY14" s="54"/>
      <c r="VCZ14" s="54"/>
      <c r="VDA14" s="57"/>
      <c r="VDB14" s="62"/>
      <c r="VDC14" s="63"/>
      <c r="VDD14" s="63"/>
      <c r="VDE14" s="63"/>
      <c r="VDF14" s="63"/>
      <c r="VDG14" s="63"/>
      <c r="VDH14" s="63"/>
      <c r="VDI14" s="63"/>
      <c r="VDJ14" s="63"/>
      <c r="VDK14" s="63"/>
      <c r="VDL14" s="63"/>
      <c r="VDM14" s="63"/>
      <c r="VDN14" s="54"/>
      <c r="VDO14" s="54"/>
      <c r="VDP14" s="54"/>
      <c r="VDQ14" s="57"/>
      <c r="VDR14" s="62"/>
      <c r="VDS14" s="63"/>
      <c r="VDT14" s="63"/>
      <c r="VDU14" s="63"/>
      <c r="VDV14" s="63"/>
      <c r="VDW14" s="63"/>
      <c r="VDX14" s="63"/>
      <c r="VDY14" s="63"/>
      <c r="VDZ14" s="63"/>
      <c r="VEA14" s="63"/>
      <c r="VEB14" s="63"/>
      <c r="VEC14" s="63"/>
      <c r="VED14" s="54"/>
      <c r="VEE14" s="54"/>
      <c r="VEF14" s="54"/>
      <c r="VEG14" s="57"/>
      <c r="VEH14" s="62"/>
      <c r="VEI14" s="63"/>
      <c r="VEJ14" s="63"/>
      <c r="VEK14" s="63"/>
      <c r="VEL14" s="63"/>
      <c r="VEM14" s="63"/>
      <c r="VEN14" s="63"/>
      <c r="VEO14" s="63"/>
      <c r="VEP14" s="63"/>
      <c r="VEQ14" s="63"/>
      <c r="VER14" s="63"/>
      <c r="VES14" s="63"/>
      <c r="VET14" s="54"/>
      <c r="VEU14" s="54"/>
      <c r="VEV14" s="54"/>
      <c r="VEW14" s="57"/>
      <c r="VEX14" s="62"/>
      <c r="VEY14" s="63"/>
      <c r="VEZ14" s="63"/>
      <c r="VFA14" s="63"/>
      <c r="VFB14" s="63"/>
      <c r="VFC14" s="63"/>
      <c r="VFD14" s="63"/>
      <c r="VFE14" s="63"/>
      <c r="VFF14" s="63"/>
      <c r="VFG14" s="63"/>
      <c r="VFH14" s="63"/>
      <c r="VFI14" s="63"/>
      <c r="VFJ14" s="54"/>
      <c r="VFK14" s="54"/>
      <c r="VFL14" s="54"/>
      <c r="VFM14" s="57"/>
      <c r="VFN14" s="62"/>
      <c r="VFO14" s="63"/>
      <c r="VFP14" s="63"/>
      <c r="VFQ14" s="63"/>
      <c r="VFR14" s="63"/>
      <c r="VFS14" s="63"/>
      <c r="VFT14" s="63"/>
      <c r="VFU14" s="63"/>
      <c r="VFV14" s="63"/>
      <c r="VFW14" s="63"/>
      <c r="VFX14" s="63"/>
      <c r="VFY14" s="63"/>
      <c r="VFZ14" s="54"/>
      <c r="VGA14" s="54"/>
      <c r="VGB14" s="54"/>
      <c r="VGC14" s="57"/>
      <c r="VGD14" s="62"/>
      <c r="VGE14" s="63"/>
      <c r="VGF14" s="63"/>
      <c r="VGG14" s="63"/>
      <c r="VGH14" s="63"/>
      <c r="VGI14" s="63"/>
      <c r="VGJ14" s="63"/>
      <c r="VGK14" s="63"/>
      <c r="VGL14" s="63"/>
      <c r="VGM14" s="63"/>
      <c r="VGN14" s="63"/>
      <c r="VGO14" s="63"/>
      <c r="VGP14" s="54"/>
      <c r="VGQ14" s="54"/>
      <c r="VGR14" s="54"/>
      <c r="VGS14" s="57"/>
      <c r="VGT14" s="62"/>
      <c r="VGU14" s="63"/>
      <c r="VGV14" s="63"/>
      <c r="VGW14" s="63"/>
      <c r="VGX14" s="63"/>
      <c r="VGY14" s="63"/>
      <c r="VGZ14" s="63"/>
      <c r="VHA14" s="63"/>
      <c r="VHB14" s="63"/>
      <c r="VHC14" s="63"/>
      <c r="VHD14" s="63"/>
      <c r="VHE14" s="63"/>
      <c r="VHF14" s="54"/>
      <c r="VHG14" s="54"/>
      <c r="VHH14" s="54"/>
      <c r="VHI14" s="57"/>
      <c r="VHJ14" s="62"/>
      <c r="VHK14" s="63"/>
      <c r="VHL14" s="63"/>
      <c r="VHM14" s="63"/>
      <c r="VHN14" s="63"/>
      <c r="VHO14" s="63"/>
      <c r="VHP14" s="63"/>
      <c r="VHQ14" s="63"/>
      <c r="VHR14" s="63"/>
      <c r="VHS14" s="63"/>
      <c r="VHT14" s="63"/>
      <c r="VHU14" s="63"/>
      <c r="VHV14" s="54"/>
      <c r="VHW14" s="54"/>
      <c r="VHX14" s="54"/>
      <c r="VHY14" s="57"/>
      <c r="VHZ14" s="62"/>
      <c r="VIA14" s="63"/>
      <c r="VIB14" s="63"/>
      <c r="VIC14" s="63"/>
      <c r="VID14" s="63"/>
      <c r="VIE14" s="63"/>
      <c r="VIF14" s="63"/>
      <c r="VIG14" s="63"/>
      <c r="VIH14" s="63"/>
      <c r="VII14" s="63"/>
      <c r="VIJ14" s="63"/>
      <c r="VIK14" s="63"/>
      <c r="VIL14" s="54"/>
      <c r="VIM14" s="54"/>
      <c r="VIN14" s="54"/>
      <c r="VIO14" s="57"/>
      <c r="VIP14" s="62"/>
      <c r="VIQ14" s="63"/>
      <c r="VIR14" s="63"/>
      <c r="VIS14" s="63"/>
      <c r="VIT14" s="63"/>
      <c r="VIU14" s="63"/>
      <c r="VIV14" s="63"/>
      <c r="VIW14" s="63"/>
      <c r="VIX14" s="63"/>
      <c r="VIY14" s="63"/>
      <c r="VIZ14" s="63"/>
      <c r="VJA14" s="63"/>
      <c r="VJB14" s="54"/>
      <c r="VJC14" s="54"/>
      <c r="VJD14" s="54"/>
      <c r="VJE14" s="57"/>
      <c r="VJF14" s="62"/>
      <c r="VJG14" s="63"/>
      <c r="VJH14" s="63"/>
      <c r="VJI14" s="63"/>
      <c r="VJJ14" s="63"/>
      <c r="VJK14" s="63"/>
      <c r="VJL14" s="63"/>
      <c r="VJM14" s="63"/>
      <c r="VJN14" s="63"/>
      <c r="VJO14" s="63"/>
      <c r="VJP14" s="63"/>
      <c r="VJQ14" s="63"/>
      <c r="VJR14" s="54"/>
      <c r="VJS14" s="54"/>
      <c r="VJT14" s="54"/>
      <c r="VJU14" s="57"/>
      <c r="VJV14" s="62"/>
      <c r="VJW14" s="63"/>
      <c r="VJX14" s="63"/>
      <c r="VJY14" s="63"/>
      <c r="VJZ14" s="63"/>
      <c r="VKA14" s="63"/>
      <c r="VKB14" s="63"/>
      <c r="VKC14" s="63"/>
      <c r="VKD14" s="63"/>
      <c r="VKE14" s="63"/>
      <c r="VKF14" s="63"/>
      <c r="VKG14" s="63"/>
      <c r="VKH14" s="54"/>
      <c r="VKI14" s="54"/>
      <c r="VKJ14" s="54"/>
      <c r="VKK14" s="57"/>
      <c r="VKL14" s="62"/>
      <c r="VKM14" s="63"/>
      <c r="VKN14" s="63"/>
      <c r="VKO14" s="63"/>
      <c r="VKP14" s="63"/>
      <c r="VKQ14" s="63"/>
      <c r="VKR14" s="63"/>
      <c r="VKS14" s="63"/>
      <c r="VKT14" s="63"/>
      <c r="VKU14" s="63"/>
      <c r="VKV14" s="63"/>
      <c r="VKW14" s="63"/>
      <c r="VKX14" s="54"/>
      <c r="VKY14" s="54"/>
      <c r="VKZ14" s="54"/>
      <c r="VLA14" s="57"/>
      <c r="VLB14" s="62"/>
      <c r="VLC14" s="63"/>
      <c r="VLD14" s="63"/>
      <c r="VLE14" s="63"/>
      <c r="VLF14" s="63"/>
      <c r="VLG14" s="63"/>
      <c r="VLH14" s="63"/>
      <c r="VLI14" s="63"/>
      <c r="VLJ14" s="63"/>
      <c r="VLK14" s="63"/>
      <c r="VLL14" s="63"/>
      <c r="VLM14" s="63"/>
      <c r="VLN14" s="54"/>
      <c r="VLO14" s="54"/>
      <c r="VLP14" s="54"/>
      <c r="VLQ14" s="57"/>
      <c r="VLR14" s="62"/>
      <c r="VLS14" s="63"/>
      <c r="VLT14" s="63"/>
      <c r="VLU14" s="63"/>
      <c r="VLV14" s="63"/>
      <c r="VLW14" s="63"/>
      <c r="VLX14" s="63"/>
      <c r="VLY14" s="63"/>
      <c r="VLZ14" s="63"/>
      <c r="VMA14" s="63"/>
      <c r="VMB14" s="63"/>
      <c r="VMC14" s="63"/>
      <c r="VMD14" s="54"/>
      <c r="VME14" s="54"/>
      <c r="VMF14" s="54"/>
      <c r="VMG14" s="57"/>
      <c r="VMH14" s="62"/>
      <c r="VMI14" s="63"/>
      <c r="VMJ14" s="63"/>
      <c r="VMK14" s="63"/>
      <c r="VML14" s="63"/>
      <c r="VMM14" s="63"/>
      <c r="VMN14" s="63"/>
      <c r="VMO14" s="63"/>
      <c r="VMP14" s="63"/>
      <c r="VMQ14" s="63"/>
      <c r="VMR14" s="63"/>
      <c r="VMS14" s="63"/>
      <c r="VMT14" s="54"/>
      <c r="VMU14" s="54"/>
      <c r="VMV14" s="54"/>
      <c r="VMW14" s="57"/>
      <c r="VMX14" s="62"/>
      <c r="VMY14" s="63"/>
      <c r="VMZ14" s="63"/>
      <c r="VNA14" s="63"/>
      <c r="VNB14" s="63"/>
      <c r="VNC14" s="63"/>
      <c r="VND14" s="63"/>
      <c r="VNE14" s="63"/>
      <c r="VNF14" s="63"/>
      <c r="VNG14" s="63"/>
      <c r="VNH14" s="63"/>
      <c r="VNI14" s="63"/>
      <c r="VNJ14" s="54"/>
      <c r="VNK14" s="54"/>
      <c r="VNL14" s="54"/>
      <c r="VNM14" s="57"/>
      <c r="VNN14" s="62"/>
      <c r="VNO14" s="63"/>
      <c r="VNP14" s="63"/>
      <c r="VNQ14" s="63"/>
      <c r="VNR14" s="63"/>
      <c r="VNS14" s="63"/>
      <c r="VNT14" s="63"/>
      <c r="VNU14" s="63"/>
      <c r="VNV14" s="63"/>
      <c r="VNW14" s="63"/>
      <c r="VNX14" s="63"/>
      <c r="VNY14" s="63"/>
      <c r="VNZ14" s="54"/>
      <c r="VOA14" s="54"/>
      <c r="VOB14" s="54"/>
      <c r="VOC14" s="57"/>
      <c r="VOD14" s="62"/>
      <c r="VOE14" s="63"/>
      <c r="VOF14" s="63"/>
      <c r="VOG14" s="63"/>
      <c r="VOH14" s="63"/>
      <c r="VOI14" s="63"/>
      <c r="VOJ14" s="63"/>
      <c r="VOK14" s="63"/>
      <c r="VOL14" s="63"/>
      <c r="VOM14" s="63"/>
      <c r="VON14" s="63"/>
      <c r="VOO14" s="63"/>
      <c r="VOP14" s="54"/>
      <c r="VOQ14" s="54"/>
      <c r="VOR14" s="54"/>
      <c r="VOS14" s="57"/>
      <c r="VOT14" s="62"/>
      <c r="VOU14" s="63"/>
      <c r="VOV14" s="63"/>
      <c r="VOW14" s="63"/>
      <c r="VOX14" s="63"/>
      <c r="VOY14" s="63"/>
      <c r="VOZ14" s="63"/>
      <c r="VPA14" s="63"/>
      <c r="VPB14" s="63"/>
      <c r="VPC14" s="63"/>
      <c r="VPD14" s="63"/>
      <c r="VPE14" s="63"/>
      <c r="VPF14" s="54"/>
      <c r="VPG14" s="54"/>
      <c r="VPH14" s="54"/>
      <c r="VPI14" s="57"/>
      <c r="VPJ14" s="62"/>
      <c r="VPK14" s="63"/>
      <c r="VPL14" s="63"/>
      <c r="VPM14" s="63"/>
      <c r="VPN14" s="63"/>
      <c r="VPO14" s="63"/>
      <c r="VPP14" s="63"/>
      <c r="VPQ14" s="63"/>
      <c r="VPR14" s="63"/>
      <c r="VPS14" s="63"/>
      <c r="VPT14" s="63"/>
      <c r="VPU14" s="63"/>
      <c r="VPV14" s="54"/>
      <c r="VPW14" s="54"/>
      <c r="VPX14" s="54"/>
      <c r="VPY14" s="57"/>
      <c r="VPZ14" s="62"/>
      <c r="VQA14" s="63"/>
      <c r="VQB14" s="63"/>
      <c r="VQC14" s="63"/>
      <c r="VQD14" s="63"/>
      <c r="VQE14" s="63"/>
      <c r="VQF14" s="63"/>
      <c r="VQG14" s="63"/>
      <c r="VQH14" s="63"/>
      <c r="VQI14" s="63"/>
      <c r="VQJ14" s="63"/>
      <c r="VQK14" s="63"/>
      <c r="VQL14" s="54"/>
      <c r="VQM14" s="54"/>
      <c r="VQN14" s="54"/>
      <c r="VQO14" s="57"/>
      <c r="VQP14" s="62"/>
      <c r="VQQ14" s="63"/>
      <c r="VQR14" s="63"/>
      <c r="VQS14" s="63"/>
      <c r="VQT14" s="63"/>
      <c r="VQU14" s="63"/>
      <c r="VQV14" s="63"/>
      <c r="VQW14" s="63"/>
      <c r="VQX14" s="63"/>
      <c r="VQY14" s="63"/>
      <c r="VQZ14" s="63"/>
      <c r="VRA14" s="63"/>
      <c r="VRB14" s="54"/>
      <c r="VRC14" s="54"/>
      <c r="VRD14" s="54"/>
      <c r="VRE14" s="57"/>
      <c r="VRF14" s="62"/>
      <c r="VRG14" s="63"/>
      <c r="VRH14" s="63"/>
      <c r="VRI14" s="63"/>
      <c r="VRJ14" s="63"/>
      <c r="VRK14" s="63"/>
      <c r="VRL14" s="63"/>
      <c r="VRM14" s="63"/>
      <c r="VRN14" s="63"/>
      <c r="VRO14" s="63"/>
      <c r="VRP14" s="63"/>
      <c r="VRQ14" s="63"/>
      <c r="VRR14" s="54"/>
      <c r="VRS14" s="54"/>
      <c r="VRT14" s="54"/>
      <c r="VRU14" s="57"/>
      <c r="VRV14" s="62"/>
      <c r="VRW14" s="63"/>
      <c r="VRX14" s="63"/>
      <c r="VRY14" s="63"/>
      <c r="VRZ14" s="63"/>
      <c r="VSA14" s="63"/>
      <c r="VSB14" s="63"/>
      <c r="VSC14" s="63"/>
      <c r="VSD14" s="63"/>
      <c r="VSE14" s="63"/>
      <c r="VSF14" s="63"/>
      <c r="VSG14" s="63"/>
      <c r="VSH14" s="54"/>
      <c r="VSI14" s="54"/>
      <c r="VSJ14" s="54"/>
      <c r="VSK14" s="57"/>
      <c r="VSL14" s="62"/>
      <c r="VSM14" s="63"/>
      <c r="VSN14" s="63"/>
      <c r="VSO14" s="63"/>
      <c r="VSP14" s="63"/>
      <c r="VSQ14" s="63"/>
      <c r="VSR14" s="63"/>
      <c r="VSS14" s="63"/>
      <c r="VST14" s="63"/>
      <c r="VSU14" s="63"/>
      <c r="VSV14" s="63"/>
      <c r="VSW14" s="63"/>
      <c r="VSX14" s="54"/>
      <c r="VSY14" s="54"/>
      <c r="VSZ14" s="54"/>
      <c r="VTA14" s="57"/>
      <c r="VTB14" s="62"/>
      <c r="VTC14" s="63"/>
      <c r="VTD14" s="63"/>
      <c r="VTE14" s="63"/>
      <c r="VTF14" s="63"/>
      <c r="VTG14" s="63"/>
      <c r="VTH14" s="63"/>
      <c r="VTI14" s="63"/>
      <c r="VTJ14" s="63"/>
      <c r="VTK14" s="63"/>
      <c r="VTL14" s="63"/>
      <c r="VTM14" s="63"/>
      <c r="VTN14" s="54"/>
      <c r="VTO14" s="54"/>
      <c r="VTP14" s="54"/>
      <c r="VTQ14" s="57"/>
      <c r="VTR14" s="62"/>
      <c r="VTS14" s="63"/>
      <c r="VTT14" s="63"/>
      <c r="VTU14" s="63"/>
      <c r="VTV14" s="63"/>
      <c r="VTW14" s="63"/>
      <c r="VTX14" s="63"/>
      <c r="VTY14" s="63"/>
      <c r="VTZ14" s="63"/>
      <c r="VUA14" s="63"/>
      <c r="VUB14" s="63"/>
      <c r="VUC14" s="63"/>
      <c r="VUD14" s="54"/>
      <c r="VUE14" s="54"/>
      <c r="VUF14" s="54"/>
      <c r="VUG14" s="57"/>
      <c r="VUH14" s="62"/>
      <c r="VUI14" s="63"/>
      <c r="VUJ14" s="63"/>
      <c r="VUK14" s="63"/>
      <c r="VUL14" s="63"/>
      <c r="VUM14" s="63"/>
      <c r="VUN14" s="63"/>
      <c r="VUO14" s="63"/>
      <c r="VUP14" s="63"/>
      <c r="VUQ14" s="63"/>
      <c r="VUR14" s="63"/>
      <c r="VUS14" s="63"/>
      <c r="VUT14" s="54"/>
      <c r="VUU14" s="54"/>
      <c r="VUV14" s="54"/>
      <c r="VUW14" s="57"/>
      <c r="VUX14" s="62"/>
      <c r="VUY14" s="63"/>
      <c r="VUZ14" s="63"/>
      <c r="VVA14" s="63"/>
      <c r="VVB14" s="63"/>
      <c r="VVC14" s="63"/>
      <c r="VVD14" s="63"/>
      <c r="VVE14" s="63"/>
      <c r="VVF14" s="63"/>
      <c r="VVG14" s="63"/>
      <c r="VVH14" s="63"/>
      <c r="VVI14" s="63"/>
      <c r="VVJ14" s="54"/>
      <c r="VVK14" s="54"/>
      <c r="VVL14" s="54"/>
      <c r="VVM14" s="57"/>
      <c r="VVN14" s="62"/>
      <c r="VVO14" s="63"/>
      <c r="VVP14" s="63"/>
      <c r="VVQ14" s="63"/>
      <c r="VVR14" s="63"/>
      <c r="VVS14" s="63"/>
      <c r="VVT14" s="63"/>
      <c r="VVU14" s="63"/>
      <c r="VVV14" s="63"/>
      <c r="VVW14" s="63"/>
      <c r="VVX14" s="63"/>
      <c r="VVY14" s="63"/>
      <c r="VVZ14" s="54"/>
      <c r="VWA14" s="54"/>
      <c r="VWB14" s="54"/>
      <c r="VWC14" s="57"/>
      <c r="VWD14" s="62"/>
      <c r="VWE14" s="63"/>
      <c r="VWF14" s="63"/>
      <c r="VWG14" s="63"/>
      <c r="VWH14" s="63"/>
      <c r="VWI14" s="63"/>
      <c r="VWJ14" s="63"/>
      <c r="VWK14" s="63"/>
      <c r="VWL14" s="63"/>
      <c r="VWM14" s="63"/>
      <c r="VWN14" s="63"/>
      <c r="VWO14" s="63"/>
      <c r="VWP14" s="54"/>
      <c r="VWQ14" s="54"/>
      <c r="VWR14" s="54"/>
      <c r="VWS14" s="57"/>
      <c r="VWT14" s="62"/>
      <c r="VWU14" s="63"/>
      <c r="VWV14" s="63"/>
      <c r="VWW14" s="63"/>
      <c r="VWX14" s="63"/>
      <c r="VWY14" s="63"/>
      <c r="VWZ14" s="63"/>
      <c r="VXA14" s="63"/>
      <c r="VXB14" s="63"/>
      <c r="VXC14" s="63"/>
      <c r="VXD14" s="63"/>
      <c r="VXE14" s="63"/>
      <c r="VXF14" s="54"/>
      <c r="VXG14" s="54"/>
      <c r="VXH14" s="54"/>
      <c r="VXI14" s="57"/>
      <c r="VXJ14" s="62"/>
      <c r="VXK14" s="63"/>
      <c r="VXL14" s="63"/>
      <c r="VXM14" s="63"/>
      <c r="VXN14" s="63"/>
      <c r="VXO14" s="63"/>
      <c r="VXP14" s="63"/>
      <c r="VXQ14" s="63"/>
      <c r="VXR14" s="63"/>
      <c r="VXS14" s="63"/>
      <c r="VXT14" s="63"/>
      <c r="VXU14" s="63"/>
      <c r="VXV14" s="54"/>
      <c r="VXW14" s="54"/>
      <c r="VXX14" s="54"/>
      <c r="VXY14" s="57"/>
      <c r="VXZ14" s="62"/>
      <c r="VYA14" s="63"/>
      <c r="VYB14" s="63"/>
      <c r="VYC14" s="63"/>
      <c r="VYD14" s="63"/>
      <c r="VYE14" s="63"/>
      <c r="VYF14" s="63"/>
      <c r="VYG14" s="63"/>
      <c r="VYH14" s="63"/>
      <c r="VYI14" s="63"/>
      <c r="VYJ14" s="63"/>
      <c r="VYK14" s="63"/>
      <c r="VYL14" s="54"/>
      <c r="VYM14" s="54"/>
      <c r="VYN14" s="54"/>
      <c r="VYO14" s="57"/>
      <c r="VYP14" s="62"/>
      <c r="VYQ14" s="63"/>
      <c r="VYR14" s="63"/>
      <c r="VYS14" s="63"/>
      <c r="VYT14" s="63"/>
      <c r="VYU14" s="63"/>
      <c r="VYV14" s="63"/>
      <c r="VYW14" s="63"/>
      <c r="VYX14" s="63"/>
      <c r="VYY14" s="63"/>
      <c r="VYZ14" s="63"/>
      <c r="VZA14" s="63"/>
      <c r="VZB14" s="54"/>
      <c r="VZC14" s="54"/>
      <c r="VZD14" s="54"/>
      <c r="VZE14" s="57"/>
      <c r="VZF14" s="62"/>
      <c r="VZG14" s="63"/>
      <c r="VZH14" s="63"/>
      <c r="VZI14" s="63"/>
      <c r="VZJ14" s="63"/>
      <c r="VZK14" s="63"/>
      <c r="VZL14" s="63"/>
      <c r="VZM14" s="63"/>
      <c r="VZN14" s="63"/>
      <c r="VZO14" s="63"/>
      <c r="VZP14" s="63"/>
      <c r="VZQ14" s="63"/>
      <c r="VZR14" s="54"/>
      <c r="VZS14" s="54"/>
      <c r="VZT14" s="54"/>
      <c r="VZU14" s="57"/>
      <c r="VZV14" s="62"/>
      <c r="VZW14" s="63"/>
      <c r="VZX14" s="63"/>
      <c r="VZY14" s="63"/>
      <c r="VZZ14" s="63"/>
      <c r="WAA14" s="63"/>
      <c r="WAB14" s="63"/>
      <c r="WAC14" s="63"/>
      <c r="WAD14" s="63"/>
      <c r="WAE14" s="63"/>
      <c r="WAF14" s="63"/>
      <c r="WAG14" s="63"/>
      <c r="WAH14" s="54"/>
      <c r="WAI14" s="54"/>
      <c r="WAJ14" s="54"/>
      <c r="WAK14" s="57"/>
      <c r="WAL14" s="62"/>
      <c r="WAM14" s="63"/>
      <c r="WAN14" s="63"/>
      <c r="WAO14" s="63"/>
      <c r="WAP14" s="63"/>
      <c r="WAQ14" s="63"/>
      <c r="WAR14" s="63"/>
      <c r="WAS14" s="63"/>
      <c r="WAT14" s="63"/>
      <c r="WAU14" s="63"/>
      <c r="WAV14" s="63"/>
      <c r="WAW14" s="63"/>
      <c r="WAX14" s="54"/>
      <c r="WAY14" s="54"/>
      <c r="WAZ14" s="54"/>
      <c r="WBA14" s="57"/>
      <c r="WBB14" s="62"/>
      <c r="WBC14" s="63"/>
      <c r="WBD14" s="63"/>
      <c r="WBE14" s="63"/>
      <c r="WBF14" s="63"/>
      <c r="WBG14" s="63"/>
      <c r="WBH14" s="63"/>
      <c r="WBI14" s="63"/>
      <c r="WBJ14" s="63"/>
      <c r="WBK14" s="63"/>
      <c r="WBL14" s="63"/>
      <c r="WBM14" s="63"/>
      <c r="WBN14" s="54"/>
      <c r="WBO14" s="54"/>
      <c r="WBP14" s="54"/>
      <c r="WBQ14" s="57"/>
      <c r="WBR14" s="62"/>
      <c r="WBS14" s="63"/>
      <c r="WBT14" s="63"/>
      <c r="WBU14" s="63"/>
      <c r="WBV14" s="63"/>
      <c r="WBW14" s="63"/>
      <c r="WBX14" s="63"/>
      <c r="WBY14" s="63"/>
      <c r="WBZ14" s="63"/>
      <c r="WCA14" s="63"/>
      <c r="WCB14" s="63"/>
      <c r="WCC14" s="63"/>
      <c r="WCD14" s="54"/>
      <c r="WCE14" s="54"/>
      <c r="WCF14" s="54"/>
      <c r="WCG14" s="57"/>
      <c r="WCH14" s="62"/>
      <c r="WCI14" s="63"/>
      <c r="WCJ14" s="63"/>
      <c r="WCK14" s="63"/>
      <c r="WCL14" s="63"/>
      <c r="WCM14" s="63"/>
      <c r="WCN14" s="63"/>
      <c r="WCO14" s="63"/>
      <c r="WCP14" s="63"/>
      <c r="WCQ14" s="63"/>
      <c r="WCR14" s="63"/>
      <c r="WCS14" s="63"/>
      <c r="WCT14" s="54"/>
      <c r="WCU14" s="54"/>
      <c r="WCV14" s="54"/>
      <c r="WCW14" s="57"/>
      <c r="WCX14" s="62"/>
      <c r="WCY14" s="63"/>
      <c r="WCZ14" s="63"/>
      <c r="WDA14" s="63"/>
      <c r="WDB14" s="63"/>
      <c r="WDC14" s="63"/>
      <c r="WDD14" s="63"/>
      <c r="WDE14" s="63"/>
      <c r="WDF14" s="63"/>
      <c r="WDG14" s="63"/>
      <c r="WDH14" s="63"/>
      <c r="WDI14" s="63"/>
      <c r="WDJ14" s="54"/>
      <c r="WDK14" s="54"/>
      <c r="WDL14" s="54"/>
      <c r="WDM14" s="57"/>
      <c r="WDN14" s="62"/>
      <c r="WDO14" s="63"/>
      <c r="WDP14" s="63"/>
      <c r="WDQ14" s="63"/>
      <c r="WDR14" s="63"/>
      <c r="WDS14" s="63"/>
      <c r="WDT14" s="63"/>
      <c r="WDU14" s="63"/>
      <c r="WDV14" s="63"/>
      <c r="WDW14" s="63"/>
      <c r="WDX14" s="63"/>
      <c r="WDY14" s="63"/>
      <c r="WDZ14" s="54"/>
      <c r="WEA14" s="54"/>
      <c r="WEB14" s="54"/>
      <c r="WEC14" s="57"/>
      <c r="WED14" s="62"/>
      <c r="WEE14" s="63"/>
      <c r="WEF14" s="63"/>
      <c r="WEG14" s="63"/>
      <c r="WEH14" s="63"/>
      <c r="WEI14" s="63"/>
      <c r="WEJ14" s="63"/>
      <c r="WEK14" s="63"/>
      <c r="WEL14" s="63"/>
      <c r="WEM14" s="63"/>
      <c r="WEN14" s="63"/>
      <c r="WEO14" s="63"/>
      <c r="WEP14" s="54"/>
      <c r="WEQ14" s="54"/>
      <c r="WER14" s="54"/>
      <c r="WES14" s="57"/>
      <c r="WET14" s="62"/>
      <c r="WEU14" s="63"/>
      <c r="WEV14" s="63"/>
      <c r="WEW14" s="63"/>
      <c r="WEX14" s="63"/>
      <c r="WEY14" s="63"/>
      <c r="WEZ14" s="63"/>
      <c r="WFA14" s="63"/>
      <c r="WFB14" s="63"/>
      <c r="WFC14" s="63"/>
      <c r="WFD14" s="63"/>
      <c r="WFE14" s="63"/>
      <c r="WFF14" s="54"/>
      <c r="WFG14" s="54"/>
      <c r="WFH14" s="54"/>
      <c r="WFI14" s="57"/>
      <c r="WFJ14" s="62"/>
      <c r="WFK14" s="63"/>
      <c r="WFL14" s="63"/>
      <c r="WFM14" s="63"/>
      <c r="WFN14" s="63"/>
      <c r="WFO14" s="63"/>
      <c r="WFP14" s="63"/>
      <c r="WFQ14" s="63"/>
      <c r="WFR14" s="63"/>
      <c r="WFS14" s="63"/>
      <c r="WFT14" s="63"/>
      <c r="WFU14" s="63"/>
      <c r="WFV14" s="54"/>
      <c r="WFW14" s="54"/>
      <c r="WFX14" s="54"/>
      <c r="WFY14" s="57"/>
      <c r="WFZ14" s="62"/>
      <c r="WGA14" s="63"/>
      <c r="WGB14" s="63"/>
      <c r="WGC14" s="63"/>
      <c r="WGD14" s="63"/>
      <c r="WGE14" s="63"/>
      <c r="WGF14" s="63"/>
      <c r="WGG14" s="63"/>
      <c r="WGH14" s="63"/>
      <c r="WGI14" s="63"/>
      <c r="WGJ14" s="63"/>
      <c r="WGK14" s="63"/>
      <c r="WGL14" s="54"/>
      <c r="WGM14" s="54"/>
      <c r="WGN14" s="54"/>
      <c r="WGO14" s="57"/>
      <c r="WGP14" s="62"/>
      <c r="WGQ14" s="63"/>
      <c r="WGR14" s="63"/>
      <c r="WGS14" s="63"/>
      <c r="WGT14" s="63"/>
      <c r="WGU14" s="63"/>
      <c r="WGV14" s="63"/>
      <c r="WGW14" s="63"/>
      <c r="WGX14" s="63"/>
      <c r="WGY14" s="63"/>
      <c r="WGZ14" s="63"/>
      <c r="WHA14" s="63"/>
      <c r="WHB14" s="54"/>
      <c r="WHC14" s="54"/>
      <c r="WHD14" s="54"/>
      <c r="WHE14" s="57"/>
      <c r="WHF14" s="62"/>
      <c r="WHG14" s="63"/>
      <c r="WHH14" s="63"/>
      <c r="WHI14" s="63"/>
      <c r="WHJ14" s="63"/>
      <c r="WHK14" s="63"/>
      <c r="WHL14" s="63"/>
      <c r="WHM14" s="63"/>
      <c r="WHN14" s="63"/>
      <c r="WHO14" s="63"/>
      <c r="WHP14" s="63"/>
      <c r="WHQ14" s="63"/>
      <c r="WHR14" s="54"/>
      <c r="WHS14" s="54"/>
      <c r="WHT14" s="54"/>
      <c r="WHU14" s="57"/>
      <c r="WHV14" s="62"/>
      <c r="WHW14" s="63"/>
      <c r="WHX14" s="63"/>
      <c r="WHY14" s="63"/>
      <c r="WHZ14" s="63"/>
      <c r="WIA14" s="63"/>
      <c r="WIB14" s="63"/>
      <c r="WIC14" s="63"/>
      <c r="WID14" s="63"/>
      <c r="WIE14" s="63"/>
      <c r="WIF14" s="63"/>
      <c r="WIG14" s="63"/>
      <c r="WIH14" s="54"/>
      <c r="WII14" s="54"/>
      <c r="WIJ14" s="54"/>
      <c r="WIK14" s="57"/>
      <c r="WIL14" s="62"/>
      <c r="WIM14" s="63"/>
      <c r="WIN14" s="63"/>
      <c r="WIO14" s="63"/>
      <c r="WIP14" s="63"/>
      <c r="WIQ14" s="63"/>
      <c r="WIR14" s="63"/>
      <c r="WIS14" s="63"/>
      <c r="WIT14" s="63"/>
      <c r="WIU14" s="63"/>
      <c r="WIV14" s="63"/>
      <c r="WIW14" s="63"/>
      <c r="WIX14" s="54"/>
      <c r="WIY14" s="54"/>
      <c r="WIZ14" s="54"/>
      <c r="WJA14" s="57"/>
      <c r="WJB14" s="62"/>
      <c r="WJC14" s="63"/>
      <c r="WJD14" s="63"/>
      <c r="WJE14" s="63"/>
      <c r="WJF14" s="63"/>
      <c r="WJG14" s="63"/>
      <c r="WJH14" s="63"/>
      <c r="WJI14" s="63"/>
      <c r="WJJ14" s="63"/>
      <c r="WJK14" s="63"/>
      <c r="WJL14" s="63"/>
      <c r="WJM14" s="63"/>
      <c r="WJN14" s="54"/>
      <c r="WJO14" s="54"/>
      <c r="WJP14" s="54"/>
      <c r="WJQ14" s="57"/>
      <c r="WJR14" s="62"/>
      <c r="WJS14" s="63"/>
      <c r="WJT14" s="63"/>
      <c r="WJU14" s="63"/>
      <c r="WJV14" s="63"/>
      <c r="WJW14" s="63"/>
      <c r="WJX14" s="63"/>
      <c r="WJY14" s="63"/>
      <c r="WJZ14" s="63"/>
      <c r="WKA14" s="63"/>
      <c r="WKB14" s="63"/>
      <c r="WKC14" s="63"/>
      <c r="WKD14" s="54"/>
      <c r="WKE14" s="54"/>
      <c r="WKF14" s="54"/>
      <c r="WKG14" s="57"/>
      <c r="WKH14" s="62"/>
      <c r="WKI14" s="63"/>
      <c r="WKJ14" s="63"/>
      <c r="WKK14" s="63"/>
      <c r="WKL14" s="63"/>
      <c r="WKM14" s="63"/>
      <c r="WKN14" s="63"/>
      <c r="WKO14" s="63"/>
      <c r="WKP14" s="63"/>
      <c r="WKQ14" s="63"/>
      <c r="WKR14" s="63"/>
      <c r="WKS14" s="63"/>
      <c r="WKT14" s="54"/>
      <c r="WKU14" s="54"/>
      <c r="WKV14" s="54"/>
      <c r="WKW14" s="57"/>
      <c r="WKX14" s="62"/>
      <c r="WKY14" s="63"/>
      <c r="WKZ14" s="63"/>
      <c r="WLA14" s="63"/>
      <c r="WLB14" s="63"/>
      <c r="WLC14" s="63"/>
      <c r="WLD14" s="63"/>
      <c r="WLE14" s="63"/>
      <c r="WLF14" s="63"/>
      <c r="WLG14" s="63"/>
      <c r="WLH14" s="63"/>
      <c r="WLI14" s="63"/>
      <c r="WLJ14" s="54"/>
      <c r="WLK14" s="54"/>
      <c r="WLL14" s="54"/>
      <c r="WLM14" s="57"/>
      <c r="WLN14" s="62"/>
      <c r="WLO14" s="63"/>
      <c r="WLP14" s="63"/>
      <c r="WLQ14" s="63"/>
      <c r="WLR14" s="63"/>
      <c r="WLS14" s="63"/>
      <c r="WLT14" s="63"/>
      <c r="WLU14" s="63"/>
      <c r="WLV14" s="63"/>
      <c r="WLW14" s="63"/>
      <c r="WLX14" s="63"/>
      <c r="WLY14" s="63"/>
      <c r="WLZ14" s="54"/>
      <c r="WMA14" s="54"/>
      <c r="WMB14" s="54"/>
      <c r="WMC14" s="57"/>
      <c r="WMD14" s="62"/>
      <c r="WME14" s="63"/>
      <c r="WMF14" s="63"/>
      <c r="WMG14" s="63"/>
      <c r="WMH14" s="63"/>
      <c r="WMI14" s="63"/>
      <c r="WMJ14" s="63"/>
      <c r="WMK14" s="63"/>
      <c r="WML14" s="63"/>
      <c r="WMM14" s="63"/>
      <c r="WMN14" s="63"/>
      <c r="WMO14" s="63"/>
      <c r="WMP14" s="54"/>
      <c r="WMQ14" s="54"/>
      <c r="WMR14" s="54"/>
      <c r="WMS14" s="57"/>
      <c r="WMT14" s="62"/>
      <c r="WMU14" s="63"/>
      <c r="WMV14" s="63"/>
      <c r="WMW14" s="63"/>
      <c r="WMX14" s="63"/>
      <c r="WMY14" s="63"/>
      <c r="WMZ14" s="63"/>
      <c r="WNA14" s="63"/>
      <c r="WNB14" s="63"/>
      <c r="WNC14" s="63"/>
      <c r="WND14" s="63"/>
      <c r="WNE14" s="63"/>
      <c r="WNF14" s="54"/>
      <c r="WNG14" s="54"/>
      <c r="WNH14" s="54"/>
      <c r="WNI14" s="57"/>
      <c r="WNJ14" s="62"/>
      <c r="WNK14" s="63"/>
      <c r="WNL14" s="63"/>
      <c r="WNM14" s="63"/>
      <c r="WNN14" s="63"/>
      <c r="WNO14" s="63"/>
      <c r="WNP14" s="63"/>
      <c r="WNQ14" s="63"/>
      <c r="WNR14" s="63"/>
      <c r="WNS14" s="63"/>
      <c r="WNT14" s="63"/>
      <c r="WNU14" s="63"/>
      <c r="WNV14" s="54"/>
      <c r="WNW14" s="54"/>
      <c r="WNX14" s="54"/>
      <c r="WNY14" s="57"/>
      <c r="WNZ14" s="62"/>
      <c r="WOA14" s="63"/>
      <c r="WOB14" s="63"/>
      <c r="WOC14" s="63"/>
      <c r="WOD14" s="63"/>
      <c r="WOE14" s="63"/>
      <c r="WOF14" s="63"/>
      <c r="WOG14" s="63"/>
      <c r="WOH14" s="63"/>
      <c r="WOI14" s="63"/>
      <c r="WOJ14" s="63"/>
      <c r="WOK14" s="63"/>
      <c r="WOL14" s="54"/>
      <c r="WOM14" s="54"/>
      <c r="WON14" s="54"/>
      <c r="WOO14" s="57"/>
      <c r="WOP14" s="62"/>
      <c r="WOQ14" s="63"/>
      <c r="WOR14" s="63"/>
      <c r="WOS14" s="63"/>
      <c r="WOT14" s="63"/>
      <c r="WOU14" s="63"/>
      <c r="WOV14" s="63"/>
      <c r="WOW14" s="63"/>
      <c r="WOX14" s="63"/>
      <c r="WOY14" s="63"/>
      <c r="WOZ14" s="63"/>
      <c r="WPA14" s="63"/>
      <c r="WPB14" s="54"/>
      <c r="WPC14" s="54"/>
      <c r="WPD14" s="54"/>
      <c r="WPE14" s="57"/>
      <c r="WPF14" s="62"/>
      <c r="WPG14" s="63"/>
      <c r="WPH14" s="63"/>
      <c r="WPI14" s="63"/>
      <c r="WPJ14" s="63"/>
      <c r="WPK14" s="63"/>
      <c r="WPL14" s="63"/>
      <c r="WPM14" s="63"/>
      <c r="WPN14" s="63"/>
      <c r="WPO14" s="63"/>
      <c r="WPP14" s="63"/>
      <c r="WPQ14" s="63"/>
      <c r="WPR14" s="54"/>
      <c r="WPS14" s="54"/>
      <c r="WPT14" s="54"/>
      <c r="WPU14" s="57"/>
      <c r="WPV14" s="62"/>
      <c r="WPW14" s="63"/>
      <c r="WPX14" s="63"/>
      <c r="WPY14" s="63"/>
      <c r="WPZ14" s="63"/>
      <c r="WQA14" s="63"/>
      <c r="WQB14" s="63"/>
      <c r="WQC14" s="63"/>
      <c r="WQD14" s="63"/>
      <c r="WQE14" s="63"/>
      <c r="WQF14" s="63"/>
      <c r="WQG14" s="63"/>
      <c r="WQH14" s="54"/>
      <c r="WQI14" s="54"/>
      <c r="WQJ14" s="54"/>
      <c r="WQK14" s="57"/>
      <c r="WQL14" s="62"/>
      <c r="WQM14" s="63"/>
      <c r="WQN14" s="63"/>
      <c r="WQO14" s="63"/>
      <c r="WQP14" s="63"/>
      <c r="WQQ14" s="63"/>
      <c r="WQR14" s="63"/>
      <c r="WQS14" s="63"/>
      <c r="WQT14" s="63"/>
      <c r="WQU14" s="63"/>
      <c r="WQV14" s="63"/>
      <c r="WQW14" s="63"/>
      <c r="WQX14" s="54"/>
      <c r="WQY14" s="54"/>
      <c r="WQZ14" s="54"/>
      <c r="WRA14" s="57"/>
      <c r="WRB14" s="62"/>
      <c r="WRC14" s="63"/>
      <c r="WRD14" s="63"/>
      <c r="WRE14" s="63"/>
      <c r="WRF14" s="63"/>
      <c r="WRG14" s="63"/>
      <c r="WRH14" s="63"/>
      <c r="WRI14" s="63"/>
      <c r="WRJ14" s="63"/>
      <c r="WRK14" s="63"/>
      <c r="WRL14" s="63"/>
      <c r="WRM14" s="63"/>
      <c r="WRN14" s="54"/>
      <c r="WRO14" s="54"/>
      <c r="WRP14" s="54"/>
      <c r="WRQ14" s="57"/>
      <c r="WRR14" s="62"/>
      <c r="WRS14" s="63"/>
      <c r="WRT14" s="63"/>
      <c r="WRU14" s="63"/>
      <c r="WRV14" s="63"/>
      <c r="WRW14" s="63"/>
      <c r="WRX14" s="63"/>
      <c r="WRY14" s="63"/>
      <c r="WRZ14" s="63"/>
      <c r="WSA14" s="63"/>
      <c r="WSB14" s="63"/>
      <c r="WSC14" s="63"/>
      <c r="WSD14" s="54"/>
      <c r="WSE14" s="54"/>
      <c r="WSF14" s="54"/>
      <c r="WSG14" s="57"/>
      <c r="WSH14" s="62"/>
      <c r="WSI14" s="63"/>
      <c r="WSJ14" s="63"/>
      <c r="WSK14" s="63"/>
      <c r="WSL14" s="63"/>
      <c r="WSM14" s="63"/>
      <c r="WSN14" s="63"/>
      <c r="WSO14" s="63"/>
      <c r="WSP14" s="63"/>
      <c r="WSQ14" s="63"/>
      <c r="WSR14" s="63"/>
      <c r="WSS14" s="63"/>
      <c r="WST14" s="54"/>
      <c r="WSU14" s="54"/>
      <c r="WSV14" s="54"/>
      <c r="WSW14" s="57"/>
      <c r="WSX14" s="62"/>
      <c r="WSY14" s="63"/>
      <c r="WSZ14" s="63"/>
      <c r="WTA14" s="63"/>
      <c r="WTB14" s="63"/>
      <c r="WTC14" s="63"/>
      <c r="WTD14" s="63"/>
      <c r="WTE14" s="63"/>
      <c r="WTF14" s="63"/>
      <c r="WTG14" s="63"/>
      <c r="WTH14" s="63"/>
      <c r="WTI14" s="63"/>
      <c r="WTJ14" s="54"/>
      <c r="WTK14" s="54"/>
      <c r="WTL14" s="54"/>
      <c r="WTM14" s="57"/>
      <c r="WTN14" s="62"/>
      <c r="WTO14" s="63"/>
      <c r="WTP14" s="63"/>
      <c r="WTQ14" s="63"/>
      <c r="WTR14" s="63"/>
      <c r="WTS14" s="63"/>
      <c r="WTT14" s="63"/>
      <c r="WTU14" s="63"/>
      <c r="WTV14" s="63"/>
      <c r="WTW14" s="63"/>
      <c r="WTX14" s="63"/>
      <c r="WTY14" s="63"/>
      <c r="WTZ14" s="54"/>
      <c r="WUA14" s="54"/>
      <c r="WUB14" s="54"/>
      <c r="WUC14" s="57"/>
      <c r="WUD14" s="62"/>
      <c r="WUE14" s="63"/>
      <c r="WUF14" s="63"/>
      <c r="WUG14" s="63"/>
      <c r="WUH14" s="63"/>
      <c r="WUI14" s="63"/>
      <c r="WUJ14" s="63"/>
      <c r="WUK14" s="63"/>
      <c r="WUL14" s="63"/>
      <c r="WUM14" s="63"/>
      <c r="WUN14" s="63"/>
      <c r="WUO14" s="63"/>
      <c r="WUP14" s="54"/>
      <c r="WUQ14" s="54"/>
      <c r="WUR14" s="54"/>
      <c r="WUS14" s="57"/>
      <c r="WUT14" s="62"/>
      <c r="WUU14" s="63"/>
      <c r="WUV14" s="63"/>
      <c r="WUW14" s="63"/>
      <c r="WUX14" s="63"/>
      <c r="WUY14" s="63"/>
      <c r="WUZ14" s="63"/>
      <c r="WVA14" s="63"/>
      <c r="WVB14" s="63"/>
      <c r="WVC14" s="63"/>
      <c r="WVD14" s="63"/>
      <c r="WVE14" s="63"/>
      <c r="WVF14" s="54"/>
      <c r="WVG14" s="54"/>
      <c r="WVH14" s="54"/>
      <c r="WVI14" s="57"/>
      <c r="WVJ14" s="62"/>
      <c r="WVK14" s="63"/>
      <c r="WVL14" s="63"/>
      <c r="WVM14" s="63"/>
      <c r="WVN14" s="63"/>
      <c r="WVO14" s="63"/>
      <c r="WVP14" s="63"/>
      <c r="WVQ14" s="63"/>
      <c r="WVR14" s="63"/>
      <c r="WVS14" s="63"/>
      <c r="WVT14" s="63"/>
      <c r="WVU14" s="63"/>
      <c r="WVV14" s="54"/>
      <c r="WVW14" s="54"/>
      <c r="WVX14" s="54"/>
      <c r="WVY14" s="57"/>
      <c r="WVZ14" s="62"/>
      <c r="WWA14" s="63"/>
      <c r="WWB14" s="63"/>
      <c r="WWC14" s="63"/>
      <c r="WWD14" s="63"/>
      <c r="WWE14" s="63"/>
      <c r="WWF14" s="63"/>
      <c r="WWG14" s="63"/>
      <c r="WWH14" s="63"/>
      <c r="WWI14" s="63"/>
      <c r="WWJ14" s="63"/>
      <c r="WWK14" s="63"/>
      <c r="WWL14" s="54"/>
      <c r="WWM14" s="54"/>
      <c r="WWN14" s="54"/>
      <c r="WWO14" s="57"/>
      <c r="WWP14" s="62"/>
      <c r="WWQ14" s="63"/>
      <c r="WWR14" s="63"/>
      <c r="WWS14" s="63"/>
      <c r="WWT14" s="63"/>
      <c r="WWU14" s="63"/>
      <c r="WWV14" s="63"/>
      <c r="WWW14" s="63"/>
      <c r="WWX14" s="63"/>
      <c r="WWY14" s="63"/>
      <c r="WWZ14" s="63"/>
      <c r="WXA14" s="63"/>
      <c r="WXB14" s="54"/>
      <c r="WXC14" s="54"/>
      <c r="WXD14" s="54"/>
      <c r="WXE14" s="57"/>
      <c r="WXF14" s="62"/>
      <c r="WXG14" s="63"/>
      <c r="WXH14" s="63"/>
      <c r="WXI14" s="63"/>
      <c r="WXJ14" s="63"/>
      <c r="WXK14" s="63"/>
      <c r="WXL14" s="63"/>
      <c r="WXM14" s="63"/>
      <c r="WXN14" s="63"/>
      <c r="WXO14" s="63"/>
      <c r="WXP14" s="63"/>
      <c r="WXQ14" s="63"/>
      <c r="WXR14" s="54"/>
      <c r="WXS14" s="54"/>
      <c r="WXT14" s="54"/>
      <c r="WXU14" s="57"/>
      <c r="WXV14" s="62"/>
      <c r="WXW14" s="63"/>
      <c r="WXX14" s="63"/>
      <c r="WXY14" s="63"/>
      <c r="WXZ14" s="63"/>
      <c r="WYA14" s="63"/>
      <c r="WYB14" s="63"/>
      <c r="WYC14" s="63"/>
      <c r="WYD14" s="63"/>
      <c r="WYE14" s="63"/>
      <c r="WYF14" s="63"/>
      <c r="WYG14" s="63"/>
      <c r="WYH14" s="54"/>
      <c r="WYI14" s="54"/>
      <c r="WYJ14" s="54"/>
      <c r="WYK14" s="57"/>
      <c r="WYL14" s="62"/>
      <c r="WYM14" s="63"/>
      <c r="WYN14" s="63"/>
      <c r="WYO14" s="63"/>
      <c r="WYP14" s="63"/>
      <c r="WYQ14" s="63"/>
      <c r="WYR14" s="63"/>
      <c r="WYS14" s="63"/>
      <c r="WYT14" s="63"/>
      <c r="WYU14" s="63"/>
      <c r="WYV14" s="63"/>
      <c r="WYW14" s="63"/>
      <c r="WYX14" s="54"/>
      <c r="WYY14" s="54"/>
      <c r="WYZ14" s="54"/>
      <c r="WZA14" s="57"/>
      <c r="WZB14" s="62"/>
      <c r="WZC14" s="63"/>
      <c r="WZD14" s="63"/>
      <c r="WZE14" s="63"/>
      <c r="WZF14" s="63"/>
      <c r="WZG14" s="63"/>
      <c r="WZH14" s="63"/>
      <c r="WZI14" s="63"/>
      <c r="WZJ14" s="63"/>
      <c r="WZK14" s="63"/>
      <c r="WZL14" s="63"/>
      <c r="WZM14" s="63"/>
      <c r="WZN14" s="54"/>
      <c r="WZO14" s="54"/>
      <c r="WZP14" s="54"/>
      <c r="WZQ14" s="57"/>
      <c r="WZR14" s="62"/>
      <c r="WZS14" s="63"/>
      <c r="WZT14" s="63"/>
      <c r="WZU14" s="63"/>
      <c r="WZV14" s="63"/>
      <c r="WZW14" s="63"/>
      <c r="WZX14" s="63"/>
      <c r="WZY14" s="63"/>
      <c r="WZZ14" s="63"/>
      <c r="XAA14" s="63"/>
      <c r="XAB14" s="63"/>
      <c r="XAC14" s="63"/>
      <c r="XAD14" s="54"/>
      <c r="XAE14" s="54"/>
      <c r="XAF14" s="54"/>
      <c r="XAG14" s="57"/>
      <c r="XAH14" s="62"/>
      <c r="XAI14" s="63"/>
      <c r="XAJ14" s="63"/>
      <c r="XAK14" s="63"/>
      <c r="XAL14" s="63"/>
      <c r="XAM14" s="63"/>
      <c r="XAN14" s="63"/>
      <c r="XAO14" s="63"/>
      <c r="XAP14" s="63"/>
      <c r="XAQ14" s="63"/>
      <c r="XAR14" s="63"/>
      <c r="XAS14" s="63"/>
      <c r="XAT14" s="54"/>
      <c r="XAU14" s="54"/>
      <c r="XAV14" s="54"/>
      <c r="XAW14" s="57"/>
      <c r="XAX14" s="62"/>
      <c r="XAY14" s="63"/>
      <c r="XAZ14" s="63"/>
      <c r="XBA14" s="63"/>
      <c r="XBB14" s="63"/>
      <c r="XBC14" s="63"/>
      <c r="XBD14" s="63"/>
      <c r="XBE14" s="63"/>
      <c r="XBF14" s="63"/>
      <c r="XBG14" s="63"/>
      <c r="XBH14" s="63"/>
      <c r="XBI14" s="63"/>
      <c r="XBJ14" s="54"/>
      <c r="XBK14" s="54"/>
      <c r="XBL14" s="54"/>
      <c r="XBM14" s="57"/>
      <c r="XBN14" s="62"/>
      <c r="XBO14" s="63"/>
      <c r="XBP14" s="63"/>
      <c r="XBQ14" s="63"/>
      <c r="XBR14" s="63"/>
      <c r="XBS14" s="63"/>
      <c r="XBT14" s="63"/>
      <c r="XBU14" s="63"/>
      <c r="XBV14" s="63"/>
      <c r="XBW14" s="63"/>
      <c r="XBX14" s="63"/>
      <c r="XBY14" s="63"/>
      <c r="XBZ14" s="54"/>
      <c r="XCA14" s="54"/>
      <c r="XCB14" s="54"/>
      <c r="XCC14" s="57"/>
      <c r="XCD14" s="62"/>
      <c r="XCE14" s="63"/>
      <c r="XCF14" s="63"/>
      <c r="XCG14" s="63"/>
      <c r="XCH14" s="63"/>
      <c r="XCI14" s="63"/>
      <c r="XCJ14" s="63"/>
      <c r="XCK14" s="63"/>
      <c r="XCL14" s="63"/>
      <c r="XCM14" s="63"/>
      <c r="XCN14" s="63"/>
      <c r="XCO14" s="63"/>
      <c r="XCP14" s="54"/>
      <c r="XCQ14" s="54"/>
      <c r="XCR14" s="54"/>
      <c r="XCS14" s="57"/>
      <c r="XCT14" s="62"/>
      <c r="XCU14" s="63"/>
      <c r="XCV14" s="63"/>
      <c r="XCW14" s="63"/>
      <c r="XCX14" s="63"/>
      <c r="XCY14" s="63"/>
      <c r="XCZ14" s="63"/>
      <c r="XDA14" s="63"/>
      <c r="XDB14" s="63"/>
      <c r="XDC14" s="63"/>
      <c r="XDD14" s="63"/>
      <c r="XDE14" s="63"/>
      <c r="XDF14" s="54"/>
      <c r="XDG14" s="54"/>
      <c r="XDH14" s="54"/>
      <c r="XDI14" s="57"/>
      <c r="XDJ14" s="62"/>
      <c r="XDK14" s="63"/>
      <c r="XDL14" s="63"/>
      <c r="XDM14" s="63"/>
      <c r="XDN14" s="63"/>
      <c r="XDO14" s="63"/>
      <c r="XDP14" s="63"/>
      <c r="XDQ14" s="63"/>
      <c r="XDR14" s="63"/>
      <c r="XDS14" s="63"/>
      <c r="XDT14" s="63"/>
      <c r="XDU14" s="63"/>
      <c r="XDV14" s="54"/>
      <c r="XDW14" s="54"/>
      <c r="XDX14" s="54"/>
      <c r="XDY14" s="57"/>
      <c r="XDZ14" s="62"/>
      <c r="XEA14" s="63"/>
      <c r="XEB14" s="63"/>
      <c r="XEC14" s="63"/>
      <c r="XED14" s="63"/>
      <c r="XEE14" s="63"/>
      <c r="XEF14" s="63"/>
      <c r="XEG14" s="63"/>
      <c r="XEH14" s="63"/>
      <c r="XEI14" s="63"/>
      <c r="XEJ14" s="63"/>
      <c r="XEK14" s="63"/>
      <c r="XEL14" s="54"/>
      <c r="XEM14" s="54"/>
      <c r="XEN14" s="54"/>
      <c r="XEO14" s="57"/>
      <c r="XEP14" s="62"/>
      <c r="XEQ14" s="63"/>
      <c r="XER14" s="63"/>
      <c r="XES14" s="63"/>
      <c r="XET14" s="63"/>
      <c r="XEU14" s="63"/>
      <c r="XEV14" s="63"/>
      <c r="XEW14" s="63"/>
      <c r="XEX14" s="63"/>
      <c r="XEY14" s="63"/>
      <c r="XEZ14" s="63"/>
      <c r="XFA14" s="63"/>
      <c r="XFB14" s="54"/>
      <c r="XFC14" s="54"/>
      <c r="XFD14" s="54"/>
    </row>
    <row r="15" spans="1:16384" s="41" customFormat="1" ht="222" hidden="1" customHeight="1">
      <c r="A15" s="42" t="s">
        <v>1741</v>
      </c>
      <c r="B15" s="65" t="s">
        <v>1742</v>
      </c>
      <c r="C15" s="65" t="s">
        <v>1743</v>
      </c>
      <c r="D15" s="65" t="s">
        <v>1744</v>
      </c>
      <c r="E15" s="65" t="s">
        <v>1745</v>
      </c>
      <c r="F15" s="65" t="s">
        <v>1746</v>
      </c>
      <c r="G15" s="48" t="s">
        <v>36</v>
      </c>
      <c r="H15" s="48" t="s">
        <v>11</v>
      </c>
      <c r="I15" s="48"/>
      <c r="J15" s="48" t="s">
        <v>0</v>
      </c>
      <c r="K15" s="48" t="s">
        <v>4</v>
      </c>
      <c r="L15" s="48"/>
      <c r="M15" s="46"/>
    </row>
    <row r="16" spans="1:16384" s="41" customFormat="1" ht="222" hidden="1" customHeight="1">
      <c r="A16" s="42" t="s">
        <v>1747</v>
      </c>
      <c r="B16" s="66" t="s">
        <v>1748</v>
      </c>
      <c r="C16" s="66" t="s">
        <v>1743</v>
      </c>
      <c r="D16" s="66" t="s">
        <v>1749</v>
      </c>
      <c r="E16" s="66" t="s">
        <v>1750</v>
      </c>
      <c r="F16" s="66" t="s">
        <v>1751</v>
      </c>
      <c r="G16" s="48" t="s">
        <v>36</v>
      </c>
      <c r="H16" s="48" t="s">
        <v>11</v>
      </c>
      <c r="I16" s="48"/>
      <c r="J16" s="48" t="s">
        <v>0</v>
      </c>
      <c r="K16" s="48" t="s">
        <v>4</v>
      </c>
      <c r="L16" s="48"/>
      <c r="M16" s="46"/>
    </row>
    <row r="17" spans="1:16384" s="41" customFormat="1" ht="222" hidden="1" customHeight="1">
      <c r="A17" s="42" t="s">
        <v>1752</v>
      </c>
      <c r="B17" s="66" t="s">
        <v>1753</v>
      </c>
      <c r="C17" s="66" t="s">
        <v>1743</v>
      </c>
      <c r="D17" s="66" t="s">
        <v>1749</v>
      </c>
      <c r="E17" s="66" t="s">
        <v>1754</v>
      </c>
      <c r="F17" s="66" t="s">
        <v>1755</v>
      </c>
      <c r="G17" s="48" t="s">
        <v>36</v>
      </c>
      <c r="H17" s="48" t="s">
        <v>11</v>
      </c>
      <c r="I17" s="48"/>
      <c r="J17" s="48" t="s">
        <v>0</v>
      </c>
      <c r="K17" s="48" t="s">
        <v>4</v>
      </c>
      <c r="L17" s="48"/>
      <c r="M17" s="46"/>
    </row>
    <row r="18" spans="1:16384" s="41" customFormat="1" ht="222" customHeight="1">
      <c r="A18" s="42" t="s">
        <v>1756</v>
      </c>
      <c r="B18" s="66" t="s">
        <v>1757</v>
      </c>
      <c r="C18" s="66" t="s">
        <v>1743</v>
      </c>
      <c r="D18" s="66" t="s">
        <v>1749</v>
      </c>
      <c r="E18" s="66" t="s">
        <v>1758</v>
      </c>
      <c r="F18" s="66" t="s">
        <v>1759</v>
      </c>
      <c r="G18" s="48" t="s">
        <v>36</v>
      </c>
      <c r="H18" s="48" t="s">
        <v>11</v>
      </c>
      <c r="I18" s="48"/>
      <c r="J18" s="48" t="s">
        <v>0</v>
      </c>
      <c r="K18" s="48" t="s">
        <v>4</v>
      </c>
      <c r="L18" s="48"/>
      <c r="M18" s="46"/>
    </row>
    <row r="19" spans="1:16384" s="41" customFormat="1" ht="222" hidden="1" customHeight="1">
      <c r="A19" s="42" t="s">
        <v>1760</v>
      </c>
      <c r="B19" s="66" t="s">
        <v>1761</v>
      </c>
      <c r="C19" s="66" t="s">
        <v>1743</v>
      </c>
      <c r="D19" s="66" t="s">
        <v>1749</v>
      </c>
      <c r="E19" s="66" t="s">
        <v>1762</v>
      </c>
      <c r="F19" s="66" t="s">
        <v>1763</v>
      </c>
      <c r="G19" s="48" t="s">
        <v>36</v>
      </c>
      <c r="H19" s="48" t="s">
        <v>11</v>
      </c>
      <c r="I19" s="48"/>
      <c r="J19" s="48" t="s">
        <v>0</v>
      </c>
      <c r="K19" s="48" t="s">
        <v>4</v>
      </c>
      <c r="L19" s="48"/>
      <c r="M19" s="46"/>
    </row>
    <row r="20" spans="1:16384" s="41" customFormat="1" ht="222" hidden="1" customHeight="1">
      <c r="A20" s="42" t="s">
        <v>1764</v>
      </c>
      <c r="B20" s="66" t="s">
        <v>1765</v>
      </c>
      <c r="C20" s="66" t="s">
        <v>1743</v>
      </c>
      <c r="D20" s="66" t="s">
        <v>1749</v>
      </c>
      <c r="E20" s="66" t="s">
        <v>1754</v>
      </c>
      <c r="F20" s="66" t="s">
        <v>1766</v>
      </c>
      <c r="G20" s="48" t="s">
        <v>36</v>
      </c>
      <c r="H20" s="48" t="s">
        <v>11</v>
      </c>
      <c r="I20" s="48"/>
      <c r="J20" s="48" t="s">
        <v>0</v>
      </c>
      <c r="K20" s="48" t="s">
        <v>4</v>
      </c>
      <c r="L20" s="48"/>
      <c r="M20" s="46"/>
    </row>
    <row r="21" spans="1:16384" s="41" customFormat="1" ht="222" customHeight="1">
      <c r="A21" s="42" t="s">
        <v>1767</v>
      </c>
      <c r="B21" s="66" t="s">
        <v>1768</v>
      </c>
      <c r="C21" s="66" t="s">
        <v>1743</v>
      </c>
      <c r="D21" s="66" t="s">
        <v>1749</v>
      </c>
      <c r="E21" s="66" t="s">
        <v>1758</v>
      </c>
      <c r="F21" s="66" t="s">
        <v>1769</v>
      </c>
      <c r="G21" s="48" t="s">
        <v>36</v>
      </c>
      <c r="H21" s="48" t="s">
        <v>11</v>
      </c>
      <c r="I21" s="48"/>
      <c r="J21" s="48" t="s">
        <v>0</v>
      </c>
      <c r="K21" s="48" t="s">
        <v>4</v>
      </c>
      <c r="L21" s="48"/>
      <c r="M21" s="46"/>
    </row>
    <row r="22" spans="1:16384" s="41" customFormat="1" ht="222" hidden="1" customHeight="1">
      <c r="A22" s="42" t="s">
        <v>1770</v>
      </c>
      <c r="B22" s="66" t="s">
        <v>1771</v>
      </c>
      <c r="C22" s="66" t="s">
        <v>1772</v>
      </c>
      <c r="D22" s="67" t="s">
        <v>1773</v>
      </c>
      <c r="E22" s="107"/>
      <c r="F22" s="66" t="s">
        <v>1774</v>
      </c>
      <c r="G22" s="48" t="s">
        <v>36</v>
      </c>
      <c r="H22" s="48" t="s">
        <v>11</v>
      </c>
      <c r="I22" s="48"/>
      <c r="J22" s="48" t="s">
        <v>0</v>
      </c>
      <c r="K22" s="48" t="s">
        <v>0</v>
      </c>
      <c r="L22" s="48"/>
      <c r="M22" s="46"/>
    </row>
    <row r="23" spans="1:16384" s="41" customFormat="1" ht="222" hidden="1" customHeight="1">
      <c r="A23" s="42" t="s">
        <v>1775</v>
      </c>
      <c r="B23" s="66" t="s">
        <v>1776</v>
      </c>
      <c r="C23" s="66" t="s">
        <v>1777</v>
      </c>
      <c r="D23" s="67" t="s">
        <v>1773</v>
      </c>
      <c r="E23" s="68" t="s">
        <v>1745</v>
      </c>
      <c r="F23" s="66" t="s">
        <v>1774</v>
      </c>
      <c r="G23" s="48" t="s">
        <v>36</v>
      </c>
      <c r="H23" s="48" t="s">
        <v>11</v>
      </c>
      <c r="I23" s="48"/>
      <c r="J23" s="48" t="s">
        <v>0</v>
      </c>
      <c r="K23" s="48" t="s">
        <v>4</v>
      </c>
      <c r="L23" s="48"/>
      <c r="M23" s="46"/>
    </row>
    <row r="24" spans="1:16384" s="41" customFormat="1" ht="222" customHeight="1">
      <c r="A24" s="42" t="s">
        <v>1778</v>
      </c>
      <c r="B24" s="66" t="s">
        <v>1779</v>
      </c>
      <c r="C24" s="66" t="s">
        <v>1780</v>
      </c>
      <c r="D24" s="67" t="s">
        <v>1773</v>
      </c>
      <c r="E24" s="68" t="s">
        <v>1745</v>
      </c>
      <c r="F24" s="66" t="s">
        <v>1774</v>
      </c>
      <c r="G24" s="48" t="s">
        <v>36</v>
      </c>
      <c r="H24" s="48" t="s">
        <v>11</v>
      </c>
      <c r="I24" s="48"/>
      <c r="J24" s="48" t="s">
        <v>0</v>
      </c>
      <c r="K24" s="48" t="s">
        <v>4</v>
      </c>
      <c r="L24" s="48"/>
      <c r="M24" s="46"/>
    </row>
    <row r="25" spans="1:16384" s="41" customFormat="1" ht="222" hidden="1" customHeight="1">
      <c r="A25" s="42" t="s">
        <v>1781</v>
      </c>
      <c r="B25" s="66" t="s">
        <v>1782</v>
      </c>
      <c r="C25" s="66" t="s">
        <v>1783</v>
      </c>
      <c r="D25" s="67" t="s">
        <v>1773</v>
      </c>
      <c r="E25" s="68" t="s">
        <v>1745</v>
      </c>
      <c r="F25" s="66" t="s">
        <v>1774</v>
      </c>
      <c r="G25" s="48" t="s">
        <v>36</v>
      </c>
      <c r="H25" s="48" t="s">
        <v>11</v>
      </c>
      <c r="I25" s="48"/>
      <c r="J25" s="48" t="s">
        <v>0</v>
      </c>
      <c r="K25" s="48" t="s">
        <v>4</v>
      </c>
      <c r="L25" s="48"/>
      <c r="M25" s="46"/>
    </row>
    <row r="26" spans="1:16384" s="41" customFormat="1" ht="222" hidden="1" customHeight="1">
      <c r="A26" s="42" t="s">
        <v>1784</v>
      </c>
      <c r="B26" s="66" t="s">
        <v>1785</v>
      </c>
      <c r="C26" s="66" t="s">
        <v>1786</v>
      </c>
      <c r="D26" s="67" t="s">
        <v>1773</v>
      </c>
      <c r="E26" s="68" t="s">
        <v>1745</v>
      </c>
      <c r="F26" s="66" t="s">
        <v>1774</v>
      </c>
      <c r="G26" s="48" t="s">
        <v>36</v>
      </c>
      <c r="H26" s="48" t="s">
        <v>11</v>
      </c>
      <c r="I26" s="48"/>
      <c r="J26" s="48" t="s">
        <v>0</v>
      </c>
      <c r="K26" s="48" t="s">
        <v>4</v>
      </c>
      <c r="L26" s="48"/>
      <c r="M26" s="46"/>
    </row>
    <row r="27" spans="1:16384" s="41" customFormat="1" ht="222" customHeight="1">
      <c r="A27" s="42" t="s">
        <v>1787</v>
      </c>
      <c r="B27" s="66" t="s">
        <v>1788</v>
      </c>
      <c r="C27" s="66" t="s">
        <v>1789</v>
      </c>
      <c r="D27" s="67" t="s">
        <v>1773</v>
      </c>
      <c r="E27" s="68" t="s">
        <v>1745</v>
      </c>
      <c r="F27" s="66" t="s">
        <v>1774</v>
      </c>
      <c r="G27" s="48" t="s">
        <v>36</v>
      </c>
      <c r="H27" s="48" t="s">
        <v>11</v>
      </c>
      <c r="I27" s="48"/>
      <c r="J27" s="48" t="s">
        <v>0</v>
      </c>
      <c r="K27" s="48" t="s">
        <v>4</v>
      </c>
      <c r="L27" s="48"/>
      <c r="M27" s="46"/>
    </row>
    <row r="28" spans="1:16384" s="64" customFormat="1" ht="22.9" hidden="1" customHeight="1">
      <c r="A28" s="59" t="s">
        <v>1790</v>
      </c>
      <c r="B28" s="60" t="s">
        <v>1791</v>
      </c>
      <c r="C28" s="61"/>
      <c r="D28" s="61"/>
      <c r="E28" s="61"/>
      <c r="F28" s="61"/>
      <c r="G28" s="61"/>
      <c r="H28" s="61"/>
      <c r="I28" s="61"/>
      <c r="J28" s="61"/>
      <c r="K28" s="61"/>
      <c r="L28" s="61"/>
      <c r="M28" s="61"/>
      <c r="N28" s="54"/>
      <c r="O28" s="54"/>
      <c r="P28" s="54"/>
      <c r="Q28" s="57"/>
      <c r="R28" s="62"/>
      <c r="S28" s="63"/>
      <c r="T28" s="63"/>
      <c r="U28" s="63"/>
      <c r="V28" s="63"/>
      <c r="W28" s="63"/>
      <c r="X28" s="63"/>
      <c r="Y28" s="63"/>
      <c r="Z28" s="63"/>
      <c r="AA28" s="63"/>
      <c r="AB28" s="63"/>
      <c r="AC28" s="63"/>
      <c r="AD28" s="54"/>
      <c r="AE28" s="54"/>
      <c r="AF28" s="54"/>
      <c r="AG28" s="57"/>
      <c r="AH28" s="62"/>
      <c r="AI28" s="63"/>
      <c r="AJ28" s="63"/>
      <c r="AK28" s="63"/>
      <c r="AL28" s="63"/>
      <c r="AM28" s="63"/>
      <c r="AN28" s="63"/>
      <c r="AO28" s="63"/>
      <c r="AP28" s="63"/>
      <c r="AQ28" s="63"/>
      <c r="AR28" s="63"/>
      <c r="AS28" s="63"/>
      <c r="AT28" s="54"/>
      <c r="AU28" s="54"/>
      <c r="AV28" s="54"/>
      <c r="AW28" s="57"/>
      <c r="AX28" s="62"/>
      <c r="AY28" s="63"/>
      <c r="AZ28" s="63"/>
      <c r="BA28" s="63"/>
      <c r="BB28" s="63"/>
      <c r="BC28" s="63"/>
      <c r="BD28" s="63"/>
      <c r="BE28" s="63"/>
      <c r="BF28" s="63"/>
      <c r="BG28" s="63"/>
      <c r="BH28" s="63"/>
      <c r="BI28" s="63"/>
      <c r="BJ28" s="54"/>
      <c r="BK28" s="54"/>
      <c r="BL28" s="54"/>
      <c r="BM28" s="57"/>
      <c r="BN28" s="62"/>
      <c r="BO28" s="63"/>
      <c r="BP28" s="63"/>
      <c r="BQ28" s="63"/>
      <c r="BR28" s="63"/>
      <c r="BS28" s="63"/>
      <c r="BT28" s="63"/>
      <c r="BU28" s="63"/>
      <c r="BV28" s="63"/>
      <c r="BW28" s="63"/>
      <c r="BX28" s="63"/>
      <c r="BY28" s="63"/>
      <c r="BZ28" s="54"/>
      <c r="CA28" s="54"/>
      <c r="CB28" s="54"/>
      <c r="CC28" s="57"/>
      <c r="CD28" s="62"/>
      <c r="CE28" s="63"/>
      <c r="CF28" s="63"/>
      <c r="CG28" s="63"/>
      <c r="CH28" s="63"/>
      <c r="CI28" s="63"/>
      <c r="CJ28" s="63"/>
      <c r="CK28" s="63"/>
      <c r="CL28" s="63"/>
      <c r="CM28" s="63"/>
      <c r="CN28" s="63"/>
      <c r="CO28" s="63"/>
      <c r="CP28" s="54"/>
      <c r="CQ28" s="54"/>
      <c r="CR28" s="54"/>
      <c r="CS28" s="57"/>
      <c r="CT28" s="62"/>
      <c r="CU28" s="63"/>
      <c r="CV28" s="63"/>
      <c r="CW28" s="63"/>
      <c r="CX28" s="63"/>
      <c r="CY28" s="63"/>
      <c r="CZ28" s="63"/>
      <c r="DA28" s="63"/>
      <c r="DB28" s="63"/>
      <c r="DC28" s="63"/>
      <c r="DD28" s="63"/>
      <c r="DE28" s="63"/>
      <c r="DF28" s="54"/>
      <c r="DG28" s="54"/>
      <c r="DH28" s="54"/>
      <c r="DI28" s="57"/>
      <c r="DJ28" s="62"/>
      <c r="DK28" s="63"/>
      <c r="DL28" s="63"/>
      <c r="DM28" s="63"/>
      <c r="DN28" s="63"/>
      <c r="DO28" s="63"/>
      <c r="DP28" s="63"/>
      <c r="DQ28" s="63"/>
      <c r="DR28" s="63"/>
      <c r="DS28" s="63"/>
      <c r="DT28" s="63"/>
      <c r="DU28" s="63"/>
      <c r="DV28" s="54"/>
      <c r="DW28" s="54"/>
      <c r="DX28" s="54"/>
      <c r="DY28" s="57"/>
      <c r="DZ28" s="62"/>
      <c r="EA28" s="63"/>
      <c r="EB28" s="63"/>
      <c r="EC28" s="63"/>
      <c r="ED28" s="63"/>
      <c r="EE28" s="63"/>
      <c r="EF28" s="63"/>
      <c r="EG28" s="63"/>
      <c r="EH28" s="63"/>
      <c r="EI28" s="63"/>
      <c r="EJ28" s="63"/>
      <c r="EK28" s="63"/>
      <c r="EL28" s="54"/>
      <c r="EM28" s="54"/>
      <c r="EN28" s="54"/>
      <c r="EO28" s="57"/>
      <c r="EP28" s="62"/>
      <c r="EQ28" s="63"/>
      <c r="ER28" s="63"/>
      <c r="ES28" s="63"/>
      <c r="ET28" s="63"/>
      <c r="EU28" s="63"/>
      <c r="EV28" s="63"/>
      <c r="EW28" s="63"/>
      <c r="EX28" s="63"/>
      <c r="EY28" s="63"/>
      <c r="EZ28" s="63"/>
      <c r="FA28" s="63"/>
      <c r="FB28" s="54"/>
      <c r="FC28" s="54"/>
      <c r="FD28" s="54"/>
      <c r="FE28" s="57"/>
      <c r="FF28" s="62"/>
      <c r="FG28" s="63"/>
      <c r="FH28" s="63"/>
      <c r="FI28" s="63"/>
      <c r="FJ28" s="63"/>
      <c r="FK28" s="63"/>
      <c r="FL28" s="63"/>
      <c r="FM28" s="63"/>
      <c r="FN28" s="63"/>
      <c r="FO28" s="63"/>
      <c r="FP28" s="63"/>
      <c r="FQ28" s="63"/>
      <c r="FR28" s="54"/>
      <c r="FS28" s="54"/>
      <c r="FT28" s="54"/>
      <c r="FU28" s="57"/>
      <c r="FV28" s="62"/>
      <c r="FW28" s="63"/>
      <c r="FX28" s="63"/>
      <c r="FY28" s="63"/>
      <c r="FZ28" s="63"/>
      <c r="GA28" s="63"/>
      <c r="GB28" s="63"/>
      <c r="GC28" s="63"/>
      <c r="GD28" s="63"/>
      <c r="GE28" s="63"/>
      <c r="GF28" s="63"/>
      <c r="GG28" s="63"/>
      <c r="GH28" s="54"/>
      <c r="GI28" s="54"/>
      <c r="GJ28" s="54"/>
      <c r="GK28" s="57"/>
      <c r="GL28" s="62"/>
      <c r="GM28" s="63"/>
      <c r="GN28" s="63"/>
      <c r="GO28" s="63"/>
      <c r="GP28" s="63"/>
      <c r="GQ28" s="63"/>
      <c r="GR28" s="63"/>
      <c r="GS28" s="63"/>
      <c r="GT28" s="63"/>
      <c r="GU28" s="63"/>
      <c r="GV28" s="63"/>
      <c r="GW28" s="63"/>
      <c r="GX28" s="54"/>
      <c r="GY28" s="54"/>
      <c r="GZ28" s="54"/>
      <c r="HA28" s="57"/>
      <c r="HB28" s="62"/>
      <c r="HC28" s="63"/>
      <c r="HD28" s="63"/>
      <c r="HE28" s="63"/>
      <c r="HF28" s="63"/>
      <c r="HG28" s="63"/>
      <c r="HH28" s="63"/>
      <c r="HI28" s="63"/>
      <c r="HJ28" s="63"/>
      <c r="HK28" s="63"/>
      <c r="HL28" s="63"/>
      <c r="HM28" s="63"/>
      <c r="HN28" s="54"/>
      <c r="HO28" s="54"/>
      <c r="HP28" s="54"/>
      <c r="HQ28" s="57"/>
      <c r="HR28" s="62"/>
      <c r="HS28" s="63"/>
      <c r="HT28" s="63"/>
      <c r="HU28" s="63"/>
      <c r="HV28" s="63"/>
      <c r="HW28" s="63"/>
      <c r="HX28" s="63"/>
      <c r="HY28" s="63"/>
      <c r="HZ28" s="63"/>
      <c r="IA28" s="63"/>
      <c r="IB28" s="63"/>
      <c r="IC28" s="63"/>
      <c r="ID28" s="54"/>
      <c r="IE28" s="54"/>
      <c r="IF28" s="54"/>
      <c r="IG28" s="57"/>
      <c r="IH28" s="62"/>
      <c r="II28" s="63"/>
      <c r="IJ28" s="63"/>
      <c r="IK28" s="63"/>
      <c r="IL28" s="63"/>
      <c r="IM28" s="63"/>
      <c r="IN28" s="63"/>
      <c r="IO28" s="63"/>
      <c r="IP28" s="63"/>
      <c r="IQ28" s="63"/>
      <c r="IR28" s="63"/>
      <c r="IS28" s="63"/>
      <c r="IT28" s="54"/>
      <c r="IU28" s="54"/>
      <c r="IV28" s="54"/>
      <c r="IW28" s="57"/>
      <c r="IX28" s="62"/>
      <c r="IY28" s="63"/>
      <c r="IZ28" s="63"/>
      <c r="JA28" s="63"/>
      <c r="JB28" s="63"/>
      <c r="JC28" s="63"/>
      <c r="JD28" s="63"/>
      <c r="JE28" s="63"/>
      <c r="JF28" s="63"/>
      <c r="JG28" s="63"/>
      <c r="JH28" s="63"/>
      <c r="JI28" s="63"/>
      <c r="JJ28" s="54"/>
      <c r="JK28" s="54"/>
      <c r="JL28" s="54"/>
      <c r="JM28" s="57"/>
      <c r="JN28" s="62"/>
      <c r="JO28" s="63"/>
      <c r="JP28" s="63"/>
      <c r="JQ28" s="63"/>
      <c r="JR28" s="63"/>
      <c r="JS28" s="63"/>
      <c r="JT28" s="63"/>
      <c r="JU28" s="63"/>
      <c r="JV28" s="63"/>
      <c r="JW28" s="63"/>
      <c r="JX28" s="63"/>
      <c r="JY28" s="63"/>
      <c r="JZ28" s="54"/>
      <c r="KA28" s="54"/>
      <c r="KB28" s="54"/>
      <c r="KC28" s="57"/>
      <c r="KD28" s="62"/>
      <c r="KE28" s="63"/>
      <c r="KF28" s="63"/>
      <c r="KG28" s="63"/>
      <c r="KH28" s="63"/>
      <c r="KI28" s="63"/>
      <c r="KJ28" s="63"/>
      <c r="KK28" s="63"/>
      <c r="KL28" s="63"/>
      <c r="KM28" s="63"/>
      <c r="KN28" s="63"/>
      <c r="KO28" s="63"/>
      <c r="KP28" s="54"/>
      <c r="KQ28" s="54"/>
      <c r="KR28" s="54"/>
      <c r="KS28" s="57"/>
      <c r="KT28" s="62"/>
      <c r="KU28" s="63"/>
      <c r="KV28" s="63"/>
      <c r="KW28" s="63"/>
      <c r="KX28" s="63"/>
      <c r="KY28" s="63"/>
      <c r="KZ28" s="63"/>
      <c r="LA28" s="63"/>
      <c r="LB28" s="63"/>
      <c r="LC28" s="63"/>
      <c r="LD28" s="63"/>
      <c r="LE28" s="63"/>
      <c r="LF28" s="54"/>
      <c r="LG28" s="54"/>
      <c r="LH28" s="54"/>
      <c r="LI28" s="57"/>
      <c r="LJ28" s="62"/>
      <c r="LK28" s="63"/>
      <c r="LL28" s="63"/>
      <c r="LM28" s="63"/>
      <c r="LN28" s="63"/>
      <c r="LO28" s="63"/>
      <c r="LP28" s="63"/>
      <c r="LQ28" s="63"/>
      <c r="LR28" s="63"/>
      <c r="LS28" s="63"/>
      <c r="LT28" s="63"/>
      <c r="LU28" s="63"/>
      <c r="LV28" s="54"/>
      <c r="LW28" s="54"/>
      <c r="LX28" s="54"/>
      <c r="LY28" s="57"/>
      <c r="LZ28" s="62"/>
      <c r="MA28" s="63"/>
      <c r="MB28" s="63"/>
      <c r="MC28" s="63"/>
      <c r="MD28" s="63"/>
      <c r="ME28" s="63"/>
      <c r="MF28" s="63"/>
      <c r="MG28" s="63"/>
      <c r="MH28" s="63"/>
      <c r="MI28" s="63"/>
      <c r="MJ28" s="63"/>
      <c r="MK28" s="63"/>
      <c r="ML28" s="54"/>
      <c r="MM28" s="54"/>
      <c r="MN28" s="54"/>
      <c r="MO28" s="57"/>
      <c r="MP28" s="62"/>
      <c r="MQ28" s="63"/>
      <c r="MR28" s="63"/>
      <c r="MS28" s="63"/>
      <c r="MT28" s="63"/>
      <c r="MU28" s="63"/>
      <c r="MV28" s="63"/>
      <c r="MW28" s="63"/>
      <c r="MX28" s="63"/>
      <c r="MY28" s="63"/>
      <c r="MZ28" s="63"/>
      <c r="NA28" s="63"/>
      <c r="NB28" s="54"/>
      <c r="NC28" s="54"/>
      <c r="ND28" s="54"/>
      <c r="NE28" s="57"/>
      <c r="NF28" s="62"/>
      <c r="NG28" s="63"/>
      <c r="NH28" s="63"/>
      <c r="NI28" s="63"/>
      <c r="NJ28" s="63"/>
      <c r="NK28" s="63"/>
      <c r="NL28" s="63"/>
      <c r="NM28" s="63"/>
      <c r="NN28" s="63"/>
      <c r="NO28" s="63"/>
      <c r="NP28" s="63"/>
      <c r="NQ28" s="63"/>
      <c r="NR28" s="54"/>
      <c r="NS28" s="54"/>
      <c r="NT28" s="54"/>
      <c r="NU28" s="57"/>
      <c r="NV28" s="62"/>
      <c r="NW28" s="63"/>
      <c r="NX28" s="63"/>
      <c r="NY28" s="63"/>
      <c r="NZ28" s="63"/>
      <c r="OA28" s="63"/>
      <c r="OB28" s="63"/>
      <c r="OC28" s="63"/>
      <c r="OD28" s="63"/>
      <c r="OE28" s="63"/>
      <c r="OF28" s="63"/>
      <c r="OG28" s="63"/>
      <c r="OH28" s="54"/>
      <c r="OI28" s="54"/>
      <c r="OJ28" s="54"/>
      <c r="OK28" s="57"/>
      <c r="OL28" s="62"/>
      <c r="OM28" s="63"/>
      <c r="ON28" s="63"/>
      <c r="OO28" s="63"/>
      <c r="OP28" s="63"/>
      <c r="OQ28" s="63"/>
      <c r="OR28" s="63"/>
      <c r="OS28" s="63"/>
      <c r="OT28" s="63"/>
      <c r="OU28" s="63"/>
      <c r="OV28" s="63"/>
      <c r="OW28" s="63"/>
      <c r="OX28" s="54"/>
      <c r="OY28" s="54"/>
      <c r="OZ28" s="54"/>
      <c r="PA28" s="57"/>
      <c r="PB28" s="62"/>
      <c r="PC28" s="63"/>
      <c r="PD28" s="63"/>
      <c r="PE28" s="63"/>
      <c r="PF28" s="63"/>
      <c r="PG28" s="63"/>
      <c r="PH28" s="63"/>
      <c r="PI28" s="63"/>
      <c r="PJ28" s="63"/>
      <c r="PK28" s="63"/>
      <c r="PL28" s="63"/>
      <c r="PM28" s="63"/>
      <c r="PN28" s="54"/>
      <c r="PO28" s="54"/>
      <c r="PP28" s="54"/>
      <c r="PQ28" s="57"/>
      <c r="PR28" s="62"/>
      <c r="PS28" s="63"/>
      <c r="PT28" s="63"/>
      <c r="PU28" s="63"/>
      <c r="PV28" s="63"/>
      <c r="PW28" s="63"/>
      <c r="PX28" s="63"/>
      <c r="PY28" s="63"/>
      <c r="PZ28" s="63"/>
      <c r="QA28" s="63"/>
      <c r="QB28" s="63"/>
      <c r="QC28" s="63"/>
      <c r="QD28" s="54"/>
      <c r="QE28" s="54"/>
      <c r="QF28" s="54"/>
      <c r="QG28" s="57"/>
      <c r="QH28" s="62"/>
      <c r="QI28" s="63"/>
      <c r="QJ28" s="63"/>
      <c r="QK28" s="63"/>
      <c r="QL28" s="63"/>
      <c r="QM28" s="63"/>
      <c r="QN28" s="63"/>
      <c r="QO28" s="63"/>
      <c r="QP28" s="63"/>
      <c r="QQ28" s="63"/>
      <c r="QR28" s="63"/>
      <c r="QS28" s="63"/>
      <c r="QT28" s="54"/>
      <c r="QU28" s="54"/>
      <c r="QV28" s="54"/>
      <c r="QW28" s="57"/>
      <c r="QX28" s="62"/>
      <c r="QY28" s="63"/>
      <c r="QZ28" s="63"/>
      <c r="RA28" s="63"/>
      <c r="RB28" s="63"/>
      <c r="RC28" s="63"/>
      <c r="RD28" s="63"/>
      <c r="RE28" s="63"/>
      <c r="RF28" s="63"/>
      <c r="RG28" s="63"/>
      <c r="RH28" s="63"/>
      <c r="RI28" s="63"/>
      <c r="RJ28" s="54"/>
      <c r="RK28" s="54"/>
      <c r="RL28" s="54"/>
      <c r="RM28" s="57"/>
      <c r="RN28" s="62"/>
      <c r="RO28" s="63"/>
      <c r="RP28" s="63"/>
      <c r="RQ28" s="63"/>
      <c r="RR28" s="63"/>
      <c r="RS28" s="63"/>
      <c r="RT28" s="63"/>
      <c r="RU28" s="63"/>
      <c r="RV28" s="63"/>
      <c r="RW28" s="63"/>
      <c r="RX28" s="63"/>
      <c r="RY28" s="63"/>
      <c r="RZ28" s="54"/>
      <c r="SA28" s="54"/>
      <c r="SB28" s="54"/>
      <c r="SC28" s="57"/>
      <c r="SD28" s="62"/>
      <c r="SE28" s="63"/>
      <c r="SF28" s="63"/>
      <c r="SG28" s="63"/>
      <c r="SH28" s="63"/>
      <c r="SI28" s="63"/>
      <c r="SJ28" s="63"/>
      <c r="SK28" s="63"/>
      <c r="SL28" s="63"/>
      <c r="SM28" s="63"/>
      <c r="SN28" s="63"/>
      <c r="SO28" s="63"/>
      <c r="SP28" s="54"/>
      <c r="SQ28" s="54"/>
      <c r="SR28" s="54"/>
      <c r="SS28" s="57"/>
      <c r="ST28" s="62"/>
      <c r="SU28" s="63"/>
      <c r="SV28" s="63"/>
      <c r="SW28" s="63"/>
      <c r="SX28" s="63"/>
      <c r="SY28" s="63"/>
      <c r="SZ28" s="63"/>
      <c r="TA28" s="63"/>
      <c r="TB28" s="63"/>
      <c r="TC28" s="63"/>
      <c r="TD28" s="63"/>
      <c r="TE28" s="63"/>
      <c r="TF28" s="54"/>
      <c r="TG28" s="54"/>
      <c r="TH28" s="54"/>
      <c r="TI28" s="57"/>
      <c r="TJ28" s="62"/>
      <c r="TK28" s="63"/>
      <c r="TL28" s="63"/>
      <c r="TM28" s="63"/>
      <c r="TN28" s="63"/>
      <c r="TO28" s="63"/>
      <c r="TP28" s="63"/>
      <c r="TQ28" s="63"/>
      <c r="TR28" s="63"/>
      <c r="TS28" s="63"/>
      <c r="TT28" s="63"/>
      <c r="TU28" s="63"/>
      <c r="TV28" s="54"/>
      <c r="TW28" s="54"/>
      <c r="TX28" s="54"/>
      <c r="TY28" s="57"/>
      <c r="TZ28" s="62"/>
      <c r="UA28" s="63"/>
      <c r="UB28" s="63"/>
      <c r="UC28" s="63"/>
      <c r="UD28" s="63"/>
      <c r="UE28" s="63"/>
      <c r="UF28" s="63"/>
      <c r="UG28" s="63"/>
      <c r="UH28" s="63"/>
      <c r="UI28" s="63"/>
      <c r="UJ28" s="63"/>
      <c r="UK28" s="63"/>
      <c r="UL28" s="54"/>
      <c r="UM28" s="54"/>
      <c r="UN28" s="54"/>
      <c r="UO28" s="57"/>
      <c r="UP28" s="62"/>
      <c r="UQ28" s="63"/>
      <c r="UR28" s="63"/>
      <c r="US28" s="63"/>
      <c r="UT28" s="63"/>
      <c r="UU28" s="63"/>
      <c r="UV28" s="63"/>
      <c r="UW28" s="63"/>
      <c r="UX28" s="63"/>
      <c r="UY28" s="63"/>
      <c r="UZ28" s="63"/>
      <c r="VA28" s="63"/>
      <c r="VB28" s="54"/>
      <c r="VC28" s="54"/>
      <c r="VD28" s="54"/>
      <c r="VE28" s="57"/>
      <c r="VF28" s="62"/>
      <c r="VG28" s="63"/>
      <c r="VH28" s="63"/>
      <c r="VI28" s="63"/>
      <c r="VJ28" s="63"/>
      <c r="VK28" s="63"/>
      <c r="VL28" s="63"/>
      <c r="VM28" s="63"/>
      <c r="VN28" s="63"/>
      <c r="VO28" s="63"/>
      <c r="VP28" s="63"/>
      <c r="VQ28" s="63"/>
      <c r="VR28" s="54"/>
      <c r="VS28" s="54"/>
      <c r="VT28" s="54"/>
      <c r="VU28" s="57"/>
      <c r="VV28" s="62"/>
      <c r="VW28" s="63"/>
      <c r="VX28" s="63"/>
      <c r="VY28" s="63"/>
      <c r="VZ28" s="63"/>
      <c r="WA28" s="63"/>
      <c r="WB28" s="63"/>
      <c r="WC28" s="63"/>
      <c r="WD28" s="63"/>
      <c r="WE28" s="63"/>
      <c r="WF28" s="63"/>
      <c r="WG28" s="63"/>
      <c r="WH28" s="54"/>
      <c r="WI28" s="54"/>
      <c r="WJ28" s="54"/>
      <c r="WK28" s="57"/>
      <c r="WL28" s="62"/>
      <c r="WM28" s="63"/>
      <c r="WN28" s="63"/>
      <c r="WO28" s="63"/>
      <c r="WP28" s="63"/>
      <c r="WQ28" s="63"/>
      <c r="WR28" s="63"/>
      <c r="WS28" s="63"/>
      <c r="WT28" s="63"/>
      <c r="WU28" s="63"/>
      <c r="WV28" s="63"/>
      <c r="WW28" s="63"/>
      <c r="WX28" s="54"/>
      <c r="WY28" s="54"/>
      <c r="WZ28" s="54"/>
      <c r="XA28" s="57"/>
      <c r="XB28" s="62"/>
      <c r="XC28" s="63"/>
      <c r="XD28" s="63"/>
      <c r="XE28" s="63"/>
      <c r="XF28" s="63"/>
      <c r="XG28" s="63"/>
      <c r="XH28" s="63"/>
      <c r="XI28" s="63"/>
      <c r="XJ28" s="63"/>
      <c r="XK28" s="63"/>
      <c r="XL28" s="63"/>
      <c r="XM28" s="63"/>
      <c r="XN28" s="54"/>
      <c r="XO28" s="54"/>
      <c r="XP28" s="54"/>
      <c r="XQ28" s="57"/>
      <c r="XR28" s="62"/>
      <c r="XS28" s="63"/>
      <c r="XT28" s="63"/>
      <c r="XU28" s="63"/>
      <c r="XV28" s="63"/>
      <c r="XW28" s="63"/>
      <c r="XX28" s="63"/>
      <c r="XY28" s="63"/>
      <c r="XZ28" s="63"/>
      <c r="YA28" s="63"/>
      <c r="YB28" s="63"/>
      <c r="YC28" s="63"/>
      <c r="YD28" s="54"/>
      <c r="YE28" s="54"/>
      <c r="YF28" s="54"/>
      <c r="YG28" s="57"/>
      <c r="YH28" s="62"/>
      <c r="YI28" s="63"/>
      <c r="YJ28" s="63"/>
      <c r="YK28" s="63"/>
      <c r="YL28" s="63"/>
      <c r="YM28" s="63"/>
      <c r="YN28" s="63"/>
      <c r="YO28" s="63"/>
      <c r="YP28" s="63"/>
      <c r="YQ28" s="63"/>
      <c r="YR28" s="63"/>
      <c r="YS28" s="63"/>
      <c r="YT28" s="54"/>
      <c r="YU28" s="54"/>
      <c r="YV28" s="54"/>
      <c r="YW28" s="57"/>
      <c r="YX28" s="62"/>
      <c r="YY28" s="63"/>
      <c r="YZ28" s="63"/>
      <c r="ZA28" s="63"/>
      <c r="ZB28" s="63"/>
      <c r="ZC28" s="63"/>
      <c r="ZD28" s="63"/>
      <c r="ZE28" s="63"/>
      <c r="ZF28" s="63"/>
      <c r="ZG28" s="63"/>
      <c r="ZH28" s="63"/>
      <c r="ZI28" s="63"/>
      <c r="ZJ28" s="54"/>
      <c r="ZK28" s="54"/>
      <c r="ZL28" s="54"/>
      <c r="ZM28" s="57"/>
      <c r="ZN28" s="62"/>
      <c r="ZO28" s="63"/>
      <c r="ZP28" s="63"/>
      <c r="ZQ28" s="63"/>
      <c r="ZR28" s="63"/>
      <c r="ZS28" s="63"/>
      <c r="ZT28" s="63"/>
      <c r="ZU28" s="63"/>
      <c r="ZV28" s="63"/>
      <c r="ZW28" s="63"/>
      <c r="ZX28" s="63"/>
      <c r="ZY28" s="63"/>
      <c r="ZZ28" s="54"/>
      <c r="AAA28" s="54"/>
      <c r="AAB28" s="54"/>
      <c r="AAC28" s="57"/>
      <c r="AAD28" s="62"/>
      <c r="AAE28" s="63"/>
      <c r="AAF28" s="63"/>
      <c r="AAG28" s="63"/>
      <c r="AAH28" s="63"/>
      <c r="AAI28" s="63"/>
      <c r="AAJ28" s="63"/>
      <c r="AAK28" s="63"/>
      <c r="AAL28" s="63"/>
      <c r="AAM28" s="63"/>
      <c r="AAN28" s="63"/>
      <c r="AAO28" s="63"/>
      <c r="AAP28" s="54"/>
      <c r="AAQ28" s="54"/>
      <c r="AAR28" s="54"/>
      <c r="AAS28" s="57"/>
      <c r="AAT28" s="62"/>
      <c r="AAU28" s="63"/>
      <c r="AAV28" s="63"/>
      <c r="AAW28" s="63"/>
      <c r="AAX28" s="63"/>
      <c r="AAY28" s="63"/>
      <c r="AAZ28" s="63"/>
      <c r="ABA28" s="63"/>
      <c r="ABB28" s="63"/>
      <c r="ABC28" s="63"/>
      <c r="ABD28" s="63"/>
      <c r="ABE28" s="63"/>
      <c r="ABF28" s="54"/>
      <c r="ABG28" s="54"/>
      <c r="ABH28" s="54"/>
      <c r="ABI28" s="57"/>
      <c r="ABJ28" s="62"/>
      <c r="ABK28" s="63"/>
      <c r="ABL28" s="63"/>
      <c r="ABM28" s="63"/>
      <c r="ABN28" s="63"/>
      <c r="ABO28" s="63"/>
      <c r="ABP28" s="63"/>
      <c r="ABQ28" s="63"/>
      <c r="ABR28" s="63"/>
      <c r="ABS28" s="63"/>
      <c r="ABT28" s="63"/>
      <c r="ABU28" s="63"/>
      <c r="ABV28" s="54"/>
      <c r="ABW28" s="54"/>
      <c r="ABX28" s="54"/>
      <c r="ABY28" s="57"/>
      <c r="ABZ28" s="62"/>
      <c r="ACA28" s="63"/>
      <c r="ACB28" s="63"/>
      <c r="ACC28" s="63"/>
      <c r="ACD28" s="63"/>
      <c r="ACE28" s="63"/>
      <c r="ACF28" s="63"/>
      <c r="ACG28" s="63"/>
      <c r="ACH28" s="63"/>
      <c r="ACI28" s="63"/>
      <c r="ACJ28" s="63"/>
      <c r="ACK28" s="63"/>
      <c r="ACL28" s="54"/>
      <c r="ACM28" s="54"/>
      <c r="ACN28" s="54"/>
      <c r="ACO28" s="57"/>
      <c r="ACP28" s="62"/>
      <c r="ACQ28" s="63"/>
      <c r="ACR28" s="63"/>
      <c r="ACS28" s="63"/>
      <c r="ACT28" s="63"/>
      <c r="ACU28" s="63"/>
      <c r="ACV28" s="63"/>
      <c r="ACW28" s="63"/>
      <c r="ACX28" s="63"/>
      <c r="ACY28" s="63"/>
      <c r="ACZ28" s="63"/>
      <c r="ADA28" s="63"/>
      <c r="ADB28" s="54"/>
      <c r="ADC28" s="54"/>
      <c r="ADD28" s="54"/>
      <c r="ADE28" s="57"/>
      <c r="ADF28" s="62"/>
      <c r="ADG28" s="63"/>
      <c r="ADH28" s="63"/>
      <c r="ADI28" s="63"/>
      <c r="ADJ28" s="63"/>
      <c r="ADK28" s="63"/>
      <c r="ADL28" s="63"/>
      <c r="ADM28" s="63"/>
      <c r="ADN28" s="63"/>
      <c r="ADO28" s="63"/>
      <c r="ADP28" s="63"/>
      <c r="ADQ28" s="63"/>
      <c r="ADR28" s="54"/>
      <c r="ADS28" s="54"/>
      <c r="ADT28" s="54"/>
      <c r="ADU28" s="57"/>
      <c r="ADV28" s="62"/>
      <c r="ADW28" s="63"/>
      <c r="ADX28" s="63"/>
      <c r="ADY28" s="63"/>
      <c r="ADZ28" s="63"/>
      <c r="AEA28" s="63"/>
      <c r="AEB28" s="63"/>
      <c r="AEC28" s="63"/>
      <c r="AED28" s="63"/>
      <c r="AEE28" s="63"/>
      <c r="AEF28" s="63"/>
      <c r="AEG28" s="63"/>
      <c r="AEH28" s="54"/>
      <c r="AEI28" s="54"/>
      <c r="AEJ28" s="54"/>
      <c r="AEK28" s="57"/>
      <c r="AEL28" s="62"/>
      <c r="AEM28" s="63"/>
      <c r="AEN28" s="63"/>
      <c r="AEO28" s="63"/>
      <c r="AEP28" s="63"/>
      <c r="AEQ28" s="63"/>
      <c r="AER28" s="63"/>
      <c r="AES28" s="63"/>
      <c r="AET28" s="63"/>
      <c r="AEU28" s="63"/>
      <c r="AEV28" s="63"/>
      <c r="AEW28" s="63"/>
      <c r="AEX28" s="54"/>
      <c r="AEY28" s="54"/>
      <c r="AEZ28" s="54"/>
      <c r="AFA28" s="57"/>
      <c r="AFB28" s="62"/>
      <c r="AFC28" s="63"/>
      <c r="AFD28" s="63"/>
      <c r="AFE28" s="63"/>
      <c r="AFF28" s="63"/>
      <c r="AFG28" s="63"/>
      <c r="AFH28" s="63"/>
      <c r="AFI28" s="63"/>
      <c r="AFJ28" s="63"/>
      <c r="AFK28" s="63"/>
      <c r="AFL28" s="63"/>
      <c r="AFM28" s="63"/>
      <c r="AFN28" s="54"/>
      <c r="AFO28" s="54"/>
      <c r="AFP28" s="54"/>
      <c r="AFQ28" s="57"/>
      <c r="AFR28" s="62"/>
      <c r="AFS28" s="63"/>
      <c r="AFT28" s="63"/>
      <c r="AFU28" s="63"/>
      <c r="AFV28" s="63"/>
      <c r="AFW28" s="63"/>
      <c r="AFX28" s="63"/>
      <c r="AFY28" s="63"/>
      <c r="AFZ28" s="63"/>
      <c r="AGA28" s="63"/>
      <c r="AGB28" s="63"/>
      <c r="AGC28" s="63"/>
      <c r="AGD28" s="54"/>
      <c r="AGE28" s="54"/>
      <c r="AGF28" s="54"/>
      <c r="AGG28" s="57"/>
      <c r="AGH28" s="62"/>
      <c r="AGI28" s="63"/>
      <c r="AGJ28" s="63"/>
      <c r="AGK28" s="63"/>
      <c r="AGL28" s="63"/>
      <c r="AGM28" s="63"/>
      <c r="AGN28" s="63"/>
      <c r="AGO28" s="63"/>
      <c r="AGP28" s="63"/>
      <c r="AGQ28" s="63"/>
      <c r="AGR28" s="63"/>
      <c r="AGS28" s="63"/>
      <c r="AGT28" s="54"/>
      <c r="AGU28" s="54"/>
      <c r="AGV28" s="54"/>
      <c r="AGW28" s="57"/>
      <c r="AGX28" s="62"/>
      <c r="AGY28" s="63"/>
      <c r="AGZ28" s="63"/>
      <c r="AHA28" s="63"/>
      <c r="AHB28" s="63"/>
      <c r="AHC28" s="63"/>
      <c r="AHD28" s="63"/>
      <c r="AHE28" s="63"/>
      <c r="AHF28" s="63"/>
      <c r="AHG28" s="63"/>
      <c r="AHH28" s="63"/>
      <c r="AHI28" s="63"/>
      <c r="AHJ28" s="54"/>
      <c r="AHK28" s="54"/>
      <c r="AHL28" s="54"/>
      <c r="AHM28" s="57"/>
      <c r="AHN28" s="62"/>
      <c r="AHO28" s="63"/>
      <c r="AHP28" s="63"/>
      <c r="AHQ28" s="63"/>
      <c r="AHR28" s="63"/>
      <c r="AHS28" s="63"/>
      <c r="AHT28" s="63"/>
      <c r="AHU28" s="63"/>
      <c r="AHV28" s="63"/>
      <c r="AHW28" s="63"/>
      <c r="AHX28" s="63"/>
      <c r="AHY28" s="63"/>
      <c r="AHZ28" s="54"/>
      <c r="AIA28" s="54"/>
      <c r="AIB28" s="54"/>
      <c r="AIC28" s="57"/>
      <c r="AID28" s="62"/>
      <c r="AIE28" s="63"/>
      <c r="AIF28" s="63"/>
      <c r="AIG28" s="63"/>
      <c r="AIH28" s="63"/>
      <c r="AII28" s="63"/>
      <c r="AIJ28" s="63"/>
      <c r="AIK28" s="63"/>
      <c r="AIL28" s="63"/>
      <c r="AIM28" s="63"/>
      <c r="AIN28" s="63"/>
      <c r="AIO28" s="63"/>
      <c r="AIP28" s="54"/>
      <c r="AIQ28" s="54"/>
      <c r="AIR28" s="54"/>
      <c r="AIS28" s="57"/>
      <c r="AIT28" s="62"/>
      <c r="AIU28" s="63"/>
      <c r="AIV28" s="63"/>
      <c r="AIW28" s="63"/>
      <c r="AIX28" s="63"/>
      <c r="AIY28" s="63"/>
      <c r="AIZ28" s="63"/>
      <c r="AJA28" s="63"/>
      <c r="AJB28" s="63"/>
      <c r="AJC28" s="63"/>
      <c r="AJD28" s="63"/>
      <c r="AJE28" s="63"/>
      <c r="AJF28" s="54"/>
      <c r="AJG28" s="54"/>
      <c r="AJH28" s="54"/>
      <c r="AJI28" s="57"/>
      <c r="AJJ28" s="62"/>
      <c r="AJK28" s="63"/>
      <c r="AJL28" s="63"/>
      <c r="AJM28" s="63"/>
      <c r="AJN28" s="63"/>
      <c r="AJO28" s="63"/>
      <c r="AJP28" s="63"/>
      <c r="AJQ28" s="63"/>
      <c r="AJR28" s="63"/>
      <c r="AJS28" s="63"/>
      <c r="AJT28" s="63"/>
      <c r="AJU28" s="63"/>
      <c r="AJV28" s="54"/>
      <c r="AJW28" s="54"/>
      <c r="AJX28" s="54"/>
      <c r="AJY28" s="57"/>
      <c r="AJZ28" s="62"/>
      <c r="AKA28" s="63"/>
      <c r="AKB28" s="63"/>
      <c r="AKC28" s="63"/>
      <c r="AKD28" s="63"/>
      <c r="AKE28" s="63"/>
      <c r="AKF28" s="63"/>
      <c r="AKG28" s="63"/>
      <c r="AKH28" s="63"/>
      <c r="AKI28" s="63"/>
      <c r="AKJ28" s="63"/>
      <c r="AKK28" s="63"/>
      <c r="AKL28" s="54"/>
      <c r="AKM28" s="54"/>
      <c r="AKN28" s="54"/>
      <c r="AKO28" s="57"/>
      <c r="AKP28" s="62"/>
      <c r="AKQ28" s="63"/>
      <c r="AKR28" s="63"/>
      <c r="AKS28" s="63"/>
      <c r="AKT28" s="63"/>
      <c r="AKU28" s="63"/>
      <c r="AKV28" s="63"/>
      <c r="AKW28" s="63"/>
      <c r="AKX28" s="63"/>
      <c r="AKY28" s="63"/>
      <c r="AKZ28" s="63"/>
      <c r="ALA28" s="63"/>
      <c r="ALB28" s="54"/>
      <c r="ALC28" s="54"/>
      <c r="ALD28" s="54"/>
      <c r="ALE28" s="57"/>
      <c r="ALF28" s="62"/>
      <c r="ALG28" s="63"/>
      <c r="ALH28" s="63"/>
      <c r="ALI28" s="63"/>
      <c r="ALJ28" s="63"/>
      <c r="ALK28" s="63"/>
      <c r="ALL28" s="63"/>
      <c r="ALM28" s="63"/>
      <c r="ALN28" s="63"/>
      <c r="ALO28" s="63"/>
      <c r="ALP28" s="63"/>
      <c r="ALQ28" s="63"/>
      <c r="ALR28" s="54"/>
      <c r="ALS28" s="54"/>
      <c r="ALT28" s="54"/>
      <c r="ALU28" s="57"/>
      <c r="ALV28" s="62"/>
      <c r="ALW28" s="63"/>
      <c r="ALX28" s="63"/>
      <c r="ALY28" s="63"/>
      <c r="ALZ28" s="63"/>
      <c r="AMA28" s="63"/>
      <c r="AMB28" s="63"/>
      <c r="AMC28" s="63"/>
      <c r="AMD28" s="63"/>
      <c r="AME28" s="63"/>
      <c r="AMF28" s="63"/>
      <c r="AMG28" s="63"/>
      <c r="AMH28" s="54"/>
      <c r="AMI28" s="54"/>
      <c r="AMJ28" s="54"/>
      <c r="AMK28" s="57"/>
      <c r="AML28" s="62"/>
      <c r="AMM28" s="63"/>
      <c r="AMN28" s="63"/>
      <c r="AMO28" s="63"/>
      <c r="AMP28" s="63"/>
      <c r="AMQ28" s="63"/>
      <c r="AMR28" s="63"/>
      <c r="AMS28" s="63"/>
      <c r="AMT28" s="63"/>
      <c r="AMU28" s="63"/>
      <c r="AMV28" s="63"/>
      <c r="AMW28" s="63"/>
      <c r="AMX28" s="54"/>
      <c r="AMY28" s="54"/>
      <c r="AMZ28" s="54"/>
      <c r="ANA28" s="57"/>
      <c r="ANB28" s="62"/>
      <c r="ANC28" s="63"/>
      <c r="AND28" s="63"/>
      <c r="ANE28" s="63"/>
      <c r="ANF28" s="63"/>
      <c r="ANG28" s="63"/>
      <c r="ANH28" s="63"/>
      <c r="ANI28" s="63"/>
      <c r="ANJ28" s="63"/>
      <c r="ANK28" s="63"/>
      <c r="ANL28" s="63"/>
      <c r="ANM28" s="63"/>
      <c r="ANN28" s="54"/>
      <c r="ANO28" s="54"/>
      <c r="ANP28" s="54"/>
      <c r="ANQ28" s="57"/>
      <c r="ANR28" s="62"/>
      <c r="ANS28" s="63"/>
      <c r="ANT28" s="63"/>
      <c r="ANU28" s="63"/>
      <c r="ANV28" s="63"/>
      <c r="ANW28" s="63"/>
      <c r="ANX28" s="63"/>
      <c r="ANY28" s="63"/>
      <c r="ANZ28" s="63"/>
      <c r="AOA28" s="63"/>
      <c r="AOB28" s="63"/>
      <c r="AOC28" s="63"/>
      <c r="AOD28" s="54"/>
      <c r="AOE28" s="54"/>
      <c r="AOF28" s="54"/>
      <c r="AOG28" s="57"/>
      <c r="AOH28" s="62"/>
      <c r="AOI28" s="63"/>
      <c r="AOJ28" s="63"/>
      <c r="AOK28" s="63"/>
      <c r="AOL28" s="63"/>
      <c r="AOM28" s="63"/>
      <c r="AON28" s="63"/>
      <c r="AOO28" s="63"/>
      <c r="AOP28" s="63"/>
      <c r="AOQ28" s="63"/>
      <c r="AOR28" s="63"/>
      <c r="AOS28" s="63"/>
      <c r="AOT28" s="54"/>
      <c r="AOU28" s="54"/>
      <c r="AOV28" s="54"/>
      <c r="AOW28" s="57"/>
      <c r="AOX28" s="62"/>
      <c r="AOY28" s="63"/>
      <c r="AOZ28" s="63"/>
      <c r="APA28" s="63"/>
      <c r="APB28" s="63"/>
      <c r="APC28" s="63"/>
      <c r="APD28" s="63"/>
      <c r="APE28" s="63"/>
      <c r="APF28" s="63"/>
      <c r="APG28" s="63"/>
      <c r="APH28" s="63"/>
      <c r="API28" s="63"/>
      <c r="APJ28" s="54"/>
      <c r="APK28" s="54"/>
      <c r="APL28" s="54"/>
      <c r="APM28" s="57"/>
      <c r="APN28" s="62"/>
      <c r="APO28" s="63"/>
      <c r="APP28" s="63"/>
      <c r="APQ28" s="63"/>
      <c r="APR28" s="63"/>
      <c r="APS28" s="63"/>
      <c r="APT28" s="63"/>
      <c r="APU28" s="63"/>
      <c r="APV28" s="63"/>
      <c r="APW28" s="63"/>
      <c r="APX28" s="63"/>
      <c r="APY28" s="63"/>
      <c r="APZ28" s="54"/>
      <c r="AQA28" s="54"/>
      <c r="AQB28" s="54"/>
      <c r="AQC28" s="57"/>
      <c r="AQD28" s="62"/>
      <c r="AQE28" s="63"/>
      <c r="AQF28" s="63"/>
      <c r="AQG28" s="63"/>
      <c r="AQH28" s="63"/>
      <c r="AQI28" s="63"/>
      <c r="AQJ28" s="63"/>
      <c r="AQK28" s="63"/>
      <c r="AQL28" s="63"/>
      <c r="AQM28" s="63"/>
      <c r="AQN28" s="63"/>
      <c r="AQO28" s="63"/>
      <c r="AQP28" s="54"/>
      <c r="AQQ28" s="54"/>
      <c r="AQR28" s="54"/>
      <c r="AQS28" s="57"/>
      <c r="AQT28" s="62"/>
      <c r="AQU28" s="63"/>
      <c r="AQV28" s="63"/>
      <c r="AQW28" s="63"/>
      <c r="AQX28" s="63"/>
      <c r="AQY28" s="63"/>
      <c r="AQZ28" s="63"/>
      <c r="ARA28" s="63"/>
      <c r="ARB28" s="63"/>
      <c r="ARC28" s="63"/>
      <c r="ARD28" s="63"/>
      <c r="ARE28" s="63"/>
      <c r="ARF28" s="54"/>
      <c r="ARG28" s="54"/>
      <c r="ARH28" s="54"/>
      <c r="ARI28" s="57"/>
      <c r="ARJ28" s="62"/>
      <c r="ARK28" s="63"/>
      <c r="ARL28" s="63"/>
      <c r="ARM28" s="63"/>
      <c r="ARN28" s="63"/>
      <c r="ARO28" s="63"/>
      <c r="ARP28" s="63"/>
      <c r="ARQ28" s="63"/>
      <c r="ARR28" s="63"/>
      <c r="ARS28" s="63"/>
      <c r="ART28" s="63"/>
      <c r="ARU28" s="63"/>
      <c r="ARV28" s="54"/>
      <c r="ARW28" s="54"/>
      <c r="ARX28" s="54"/>
      <c r="ARY28" s="57"/>
      <c r="ARZ28" s="62"/>
      <c r="ASA28" s="63"/>
      <c r="ASB28" s="63"/>
      <c r="ASC28" s="63"/>
      <c r="ASD28" s="63"/>
      <c r="ASE28" s="63"/>
      <c r="ASF28" s="63"/>
      <c r="ASG28" s="63"/>
      <c r="ASH28" s="63"/>
      <c r="ASI28" s="63"/>
      <c r="ASJ28" s="63"/>
      <c r="ASK28" s="63"/>
      <c r="ASL28" s="54"/>
      <c r="ASM28" s="54"/>
      <c r="ASN28" s="54"/>
      <c r="ASO28" s="57"/>
      <c r="ASP28" s="62"/>
      <c r="ASQ28" s="63"/>
      <c r="ASR28" s="63"/>
      <c r="ASS28" s="63"/>
      <c r="AST28" s="63"/>
      <c r="ASU28" s="63"/>
      <c r="ASV28" s="63"/>
      <c r="ASW28" s="63"/>
      <c r="ASX28" s="63"/>
      <c r="ASY28" s="63"/>
      <c r="ASZ28" s="63"/>
      <c r="ATA28" s="63"/>
      <c r="ATB28" s="54"/>
      <c r="ATC28" s="54"/>
      <c r="ATD28" s="54"/>
      <c r="ATE28" s="57"/>
      <c r="ATF28" s="62"/>
      <c r="ATG28" s="63"/>
      <c r="ATH28" s="63"/>
      <c r="ATI28" s="63"/>
      <c r="ATJ28" s="63"/>
      <c r="ATK28" s="63"/>
      <c r="ATL28" s="63"/>
      <c r="ATM28" s="63"/>
      <c r="ATN28" s="63"/>
      <c r="ATO28" s="63"/>
      <c r="ATP28" s="63"/>
      <c r="ATQ28" s="63"/>
      <c r="ATR28" s="54"/>
      <c r="ATS28" s="54"/>
      <c r="ATT28" s="54"/>
      <c r="ATU28" s="57"/>
      <c r="ATV28" s="62"/>
      <c r="ATW28" s="63"/>
      <c r="ATX28" s="63"/>
      <c r="ATY28" s="63"/>
      <c r="ATZ28" s="63"/>
      <c r="AUA28" s="63"/>
      <c r="AUB28" s="63"/>
      <c r="AUC28" s="63"/>
      <c r="AUD28" s="63"/>
      <c r="AUE28" s="63"/>
      <c r="AUF28" s="63"/>
      <c r="AUG28" s="63"/>
      <c r="AUH28" s="54"/>
      <c r="AUI28" s="54"/>
      <c r="AUJ28" s="54"/>
      <c r="AUK28" s="57"/>
      <c r="AUL28" s="62"/>
      <c r="AUM28" s="63"/>
      <c r="AUN28" s="63"/>
      <c r="AUO28" s="63"/>
      <c r="AUP28" s="63"/>
      <c r="AUQ28" s="63"/>
      <c r="AUR28" s="63"/>
      <c r="AUS28" s="63"/>
      <c r="AUT28" s="63"/>
      <c r="AUU28" s="63"/>
      <c r="AUV28" s="63"/>
      <c r="AUW28" s="63"/>
      <c r="AUX28" s="54"/>
      <c r="AUY28" s="54"/>
      <c r="AUZ28" s="54"/>
      <c r="AVA28" s="57"/>
      <c r="AVB28" s="62"/>
      <c r="AVC28" s="63"/>
      <c r="AVD28" s="63"/>
      <c r="AVE28" s="63"/>
      <c r="AVF28" s="63"/>
      <c r="AVG28" s="63"/>
      <c r="AVH28" s="63"/>
      <c r="AVI28" s="63"/>
      <c r="AVJ28" s="63"/>
      <c r="AVK28" s="63"/>
      <c r="AVL28" s="63"/>
      <c r="AVM28" s="63"/>
      <c r="AVN28" s="54"/>
      <c r="AVO28" s="54"/>
      <c r="AVP28" s="54"/>
      <c r="AVQ28" s="57"/>
      <c r="AVR28" s="62"/>
      <c r="AVS28" s="63"/>
      <c r="AVT28" s="63"/>
      <c r="AVU28" s="63"/>
      <c r="AVV28" s="63"/>
      <c r="AVW28" s="63"/>
      <c r="AVX28" s="63"/>
      <c r="AVY28" s="63"/>
      <c r="AVZ28" s="63"/>
      <c r="AWA28" s="63"/>
      <c r="AWB28" s="63"/>
      <c r="AWC28" s="63"/>
      <c r="AWD28" s="54"/>
      <c r="AWE28" s="54"/>
      <c r="AWF28" s="54"/>
      <c r="AWG28" s="57"/>
      <c r="AWH28" s="62"/>
      <c r="AWI28" s="63"/>
      <c r="AWJ28" s="63"/>
      <c r="AWK28" s="63"/>
      <c r="AWL28" s="63"/>
      <c r="AWM28" s="63"/>
      <c r="AWN28" s="63"/>
      <c r="AWO28" s="63"/>
      <c r="AWP28" s="63"/>
      <c r="AWQ28" s="63"/>
      <c r="AWR28" s="63"/>
      <c r="AWS28" s="63"/>
      <c r="AWT28" s="54"/>
      <c r="AWU28" s="54"/>
      <c r="AWV28" s="54"/>
      <c r="AWW28" s="57"/>
      <c r="AWX28" s="62"/>
      <c r="AWY28" s="63"/>
      <c r="AWZ28" s="63"/>
      <c r="AXA28" s="63"/>
      <c r="AXB28" s="63"/>
      <c r="AXC28" s="63"/>
      <c r="AXD28" s="63"/>
      <c r="AXE28" s="63"/>
      <c r="AXF28" s="63"/>
      <c r="AXG28" s="63"/>
      <c r="AXH28" s="63"/>
      <c r="AXI28" s="63"/>
      <c r="AXJ28" s="54"/>
      <c r="AXK28" s="54"/>
      <c r="AXL28" s="54"/>
      <c r="AXM28" s="57"/>
      <c r="AXN28" s="62"/>
      <c r="AXO28" s="63"/>
      <c r="AXP28" s="63"/>
      <c r="AXQ28" s="63"/>
      <c r="AXR28" s="63"/>
      <c r="AXS28" s="63"/>
      <c r="AXT28" s="63"/>
      <c r="AXU28" s="63"/>
      <c r="AXV28" s="63"/>
      <c r="AXW28" s="63"/>
      <c r="AXX28" s="63"/>
      <c r="AXY28" s="63"/>
      <c r="AXZ28" s="54"/>
      <c r="AYA28" s="54"/>
      <c r="AYB28" s="54"/>
      <c r="AYC28" s="57"/>
      <c r="AYD28" s="62"/>
      <c r="AYE28" s="63"/>
      <c r="AYF28" s="63"/>
      <c r="AYG28" s="63"/>
      <c r="AYH28" s="63"/>
      <c r="AYI28" s="63"/>
      <c r="AYJ28" s="63"/>
      <c r="AYK28" s="63"/>
      <c r="AYL28" s="63"/>
      <c r="AYM28" s="63"/>
      <c r="AYN28" s="63"/>
      <c r="AYO28" s="63"/>
      <c r="AYP28" s="54"/>
      <c r="AYQ28" s="54"/>
      <c r="AYR28" s="54"/>
      <c r="AYS28" s="57"/>
      <c r="AYT28" s="62"/>
      <c r="AYU28" s="63"/>
      <c r="AYV28" s="63"/>
      <c r="AYW28" s="63"/>
      <c r="AYX28" s="63"/>
      <c r="AYY28" s="63"/>
      <c r="AYZ28" s="63"/>
      <c r="AZA28" s="63"/>
      <c r="AZB28" s="63"/>
      <c r="AZC28" s="63"/>
      <c r="AZD28" s="63"/>
      <c r="AZE28" s="63"/>
      <c r="AZF28" s="54"/>
      <c r="AZG28" s="54"/>
      <c r="AZH28" s="54"/>
      <c r="AZI28" s="57"/>
      <c r="AZJ28" s="62"/>
      <c r="AZK28" s="63"/>
      <c r="AZL28" s="63"/>
      <c r="AZM28" s="63"/>
      <c r="AZN28" s="63"/>
      <c r="AZO28" s="63"/>
      <c r="AZP28" s="63"/>
      <c r="AZQ28" s="63"/>
      <c r="AZR28" s="63"/>
      <c r="AZS28" s="63"/>
      <c r="AZT28" s="63"/>
      <c r="AZU28" s="63"/>
      <c r="AZV28" s="54"/>
      <c r="AZW28" s="54"/>
      <c r="AZX28" s="54"/>
      <c r="AZY28" s="57"/>
      <c r="AZZ28" s="62"/>
      <c r="BAA28" s="63"/>
      <c r="BAB28" s="63"/>
      <c r="BAC28" s="63"/>
      <c r="BAD28" s="63"/>
      <c r="BAE28" s="63"/>
      <c r="BAF28" s="63"/>
      <c r="BAG28" s="63"/>
      <c r="BAH28" s="63"/>
      <c r="BAI28" s="63"/>
      <c r="BAJ28" s="63"/>
      <c r="BAK28" s="63"/>
      <c r="BAL28" s="54"/>
      <c r="BAM28" s="54"/>
      <c r="BAN28" s="54"/>
      <c r="BAO28" s="57"/>
      <c r="BAP28" s="62"/>
      <c r="BAQ28" s="63"/>
      <c r="BAR28" s="63"/>
      <c r="BAS28" s="63"/>
      <c r="BAT28" s="63"/>
      <c r="BAU28" s="63"/>
      <c r="BAV28" s="63"/>
      <c r="BAW28" s="63"/>
      <c r="BAX28" s="63"/>
      <c r="BAY28" s="63"/>
      <c r="BAZ28" s="63"/>
      <c r="BBA28" s="63"/>
      <c r="BBB28" s="54"/>
      <c r="BBC28" s="54"/>
      <c r="BBD28" s="54"/>
      <c r="BBE28" s="57"/>
      <c r="BBF28" s="62"/>
      <c r="BBG28" s="63"/>
      <c r="BBH28" s="63"/>
      <c r="BBI28" s="63"/>
      <c r="BBJ28" s="63"/>
      <c r="BBK28" s="63"/>
      <c r="BBL28" s="63"/>
      <c r="BBM28" s="63"/>
      <c r="BBN28" s="63"/>
      <c r="BBO28" s="63"/>
      <c r="BBP28" s="63"/>
      <c r="BBQ28" s="63"/>
      <c r="BBR28" s="54"/>
      <c r="BBS28" s="54"/>
      <c r="BBT28" s="54"/>
      <c r="BBU28" s="57"/>
      <c r="BBV28" s="62"/>
      <c r="BBW28" s="63"/>
      <c r="BBX28" s="63"/>
      <c r="BBY28" s="63"/>
      <c r="BBZ28" s="63"/>
      <c r="BCA28" s="63"/>
      <c r="BCB28" s="63"/>
      <c r="BCC28" s="63"/>
      <c r="BCD28" s="63"/>
      <c r="BCE28" s="63"/>
      <c r="BCF28" s="63"/>
      <c r="BCG28" s="63"/>
      <c r="BCH28" s="54"/>
      <c r="BCI28" s="54"/>
      <c r="BCJ28" s="54"/>
      <c r="BCK28" s="57"/>
      <c r="BCL28" s="62"/>
      <c r="BCM28" s="63"/>
      <c r="BCN28" s="63"/>
      <c r="BCO28" s="63"/>
      <c r="BCP28" s="63"/>
      <c r="BCQ28" s="63"/>
      <c r="BCR28" s="63"/>
      <c r="BCS28" s="63"/>
      <c r="BCT28" s="63"/>
      <c r="BCU28" s="63"/>
      <c r="BCV28" s="63"/>
      <c r="BCW28" s="63"/>
      <c r="BCX28" s="54"/>
      <c r="BCY28" s="54"/>
      <c r="BCZ28" s="54"/>
      <c r="BDA28" s="57"/>
      <c r="BDB28" s="62"/>
      <c r="BDC28" s="63"/>
      <c r="BDD28" s="63"/>
      <c r="BDE28" s="63"/>
      <c r="BDF28" s="63"/>
      <c r="BDG28" s="63"/>
      <c r="BDH28" s="63"/>
      <c r="BDI28" s="63"/>
      <c r="BDJ28" s="63"/>
      <c r="BDK28" s="63"/>
      <c r="BDL28" s="63"/>
      <c r="BDM28" s="63"/>
      <c r="BDN28" s="54"/>
      <c r="BDO28" s="54"/>
      <c r="BDP28" s="54"/>
      <c r="BDQ28" s="57"/>
      <c r="BDR28" s="62"/>
      <c r="BDS28" s="63"/>
      <c r="BDT28" s="63"/>
      <c r="BDU28" s="63"/>
      <c r="BDV28" s="63"/>
      <c r="BDW28" s="63"/>
      <c r="BDX28" s="63"/>
      <c r="BDY28" s="63"/>
      <c r="BDZ28" s="63"/>
      <c r="BEA28" s="63"/>
      <c r="BEB28" s="63"/>
      <c r="BEC28" s="63"/>
      <c r="BED28" s="54"/>
      <c r="BEE28" s="54"/>
      <c r="BEF28" s="54"/>
      <c r="BEG28" s="57"/>
      <c r="BEH28" s="62"/>
      <c r="BEI28" s="63"/>
      <c r="BEJ28" s="63"/>
      <c r="BEK28" s="63"/>
      <c r="BEL28" s="63"/>
      <c r="BEM28" s="63"/>
      <c r="BEN28" s="63"/>
      <c r="BEO28" s="63"/>
      <c r="BEP28" s="63"/>
      <c r="BEQ28" s="63"/>
      <c r="BER28" s="63"/>
      <c r="BES28" s="63"/>
      <c r="BET28" s="54"/>
      <c r="BEU28" s="54"/>
      <c r="BEV28" s="54"/>
      <c r="BEW28" s="57"/>
      <c r="BEX28" s="62"/>
      <c r="BEY28" s="63"/>
      <c r="BEZ28" s="63"/>
      <c r="BFA28" s="63"/>
      <c r="BFB28" s="63"/>
      <c r="BFC28" s="63"/>
      <c r="BFD28" s="63"/>
      <c r="BFE28" s="63"/>
      <c r="BFF28" s="63"/>
      <c r="BFG28" s="63"/>
      <c r="BFH28" s="63"/>
      <c r="BFI28" s="63"/>
      <c r="BFJ28" s="54"/>
      <c r="BFK28" s="54"/>
      <c r="BFL28" s="54"/>
      <c r="BFM28" s="57"/>
      <c r="BFN28" s="62"/>
      <c r="BFO28" s="63"/>
      <c r="BFP28" s="63"/>
      <c r="BFQ28" s="63"/>
      <c r="BFR28" s="63"/>
      <c r="BFS28" s="63"/>
      <c r="BFT28" s="63"/>
      <c r="BFU28" s="63"/>
      <c r="BFV28" s="63"/>
      <c r="BFW28" s="63"/>
      <c r="BFX28" s="63"/>
      <c r="BFY28" s="63"/>
      <c r="BFZ28" s="54"/>
      <c r="BGA28" s="54"/>
      <c r="BGB28" s="54"/>
      <c r="BGC28" s="57"/>
      <c r="BGD28" s="62"/>
      <c r="BGE28" s="63"/>
      <c r="BGF28" s="63"/>
      <c r="BGG28" s="63"/>
      <c r="BGH28" s="63"/>
      <c r="BGI28" s="63"/>
      <c r="BGJ28" s="63"/>
      <c r="BGK28" s="63"/>
      <c r="BGL28" s="63"/>
      <c r="BGM28" s="63"/>
      <c r="BGN28" s="63"/>
      <c r="BGO28" s="63"/>
      <c r="BGP28" s="54"/>
      <c r="BGQ28" s="54"/>
      <c r="BGR28" s="54"/>
      <c r="BGS28" s="57"/>
      <c r="BGT28" s="62"/>
      <c r="BGU28" s="63"/>
      <c r="BGV28" s="63"/>
      <c r="BGW28" s="63"/>
      <c r="BGX28" s="63"/>
      <c r="BGY28" s="63"/>
      <c r="BGZ28" s="63"/>
      <c r="BHA28" s="63"/>
      <c r="BHB28" s="63"/>
      <c r="BHC28" s="63"/>
      <c r="BHD28" s="63"/>
      <c r="BHE28" s="63"/>
      <c r="BHF28" s="54"/>
      <c r="BHG28" s="54"/>
      <c r="BHH28" s="54"/>
      <c r="BHI28" s="57"/>
      <c r="BHJ28" s="62"/>
      <c r="BHK28" s="63"/>
      <c r="BHL28" s="63"/>
      <c r="BHM28" s="63"/>
      <c r="BHN28" s="63"/>
      <c r="BHO28" s="63"/>
      <c r="BHP28" s="63"/>
      <c r="BHQ28" s="63"/>
      <c r="BHR28" s="63"/>
      <c r="BHS28" s="63"/>
      <c r="BHT28" s="63"/>
      <c r="BHU28" s="63"/>
      <c r="BHV28" s="54"/>
      <c r="BHW28" s="54"/>
      <c r="BHX28" s="54"/>
      <c r="BHY28" s="57"/>
      <c r="BHZ28" s="62"/>
      <c r="BIA28" s="63"/>
      <c r="BIB28" s="63"/>
      <c r="BIC28" s="63"/>
      <c r="BID28" s="63"/>
      <c r="BIE28" s="63"/>
      <c r="BIF28" s="63"/>
      <c r="BIG28" s="63"/>
      <c r="BIH28" s="63"/>
      <c r="BII28" s="63"/>
      <c r="BIJ28" s="63"/>
      <c r="BIK28" s="63"/>
      <c r="BIL28" s="54"/>
      <c r="BIM28" s="54"/>
      <c r="BIN28" s="54"/>
      <c r="BIO28" s="57"/>
      <c r="BIP28" s="62"/>
      <c r="BIQ28" s="63"/>
      <c r="BIR28" s="63"/>
      <c r="BIS28" s="63"/>
      <c r="BIT28" s="63"/>
      <c r="BIU28" s="63"/>
      <c r="BIV28" s="63"/>
      <c r="BIW28" s="63"/>
      <c r="BIX28" s="63"/>
      <c r="BIY28" s="63"/>
      <c r="BIZ28" s="63"/>
      <c r="BJA28" s="63"/>
      <c r="BJB28" s="54"/>
      <c r="BJC28" s="54"/>
      <c r="BJD28" s="54"/>
      <c r="BJE28" s="57"/>
      <c r="BJF28" s="62"/>
      <c r="BJG28" s="63"/>
      <c r="BJH28" s="63"/>
      <c r="BJI28" s="63"/>
      <c r="BJJ28" s="63"/>
      <c r="BJK28" s="63"/>
      <c r="BJL28" s="63"/>
      <c r="BJM28" s="63"/>
      <c r="BJN28" s="63"/>
      <c r="BJO28" s="63"/>
      <c r="BJP28" s="63"/>
      <c r="BJQ28" s="63"/>
      <c r="BJR28" s="54"/>
      <c r="BJS28" s="54"/>
      <c r="BJT28" s="54"/>
      <c r="BJU28" s="57"/>
      <c r="BJV28" s="62"/>
      <c r="BJW28" s="63"/>
      <c r="BJX28" s="63"/>
      <c r="BJY28" s="63"/>
      <c r="BJZ28" s="63"/>
      <c r="BKA28" s="63"/>
      <c r="BKB28" s="63"/>
      <c r="BKC28" s="63"/>
      <c r="BKD28" s="63"/>
      <c r="BKE28" s="63"/>
      <c r="BKF28" s="63"/>
      <c r="BKG28" s="63"/>
      <c r="BKH28" s="54"/>
      <c r="BKI28" s="54"/>
      <c r="BKJ28" s="54"/>
      <c r="BKK28" s="57"/>
      <c r="BKL28" s="62"/>
      <c r="BKM28" s="63"/>
      <c r="BKN28" s="63"/>
      <c r="BKO28" s="63"/>
      <c r="BKP28" s="63"/>
      <c r="BKQ28" s="63"/>
      <c r="BKR28" s="63"/>
      <c r="BKS28" s="63"/>
      <c r="BKT28" s="63"/>
      <c r="BKU28" s="63"/>
      <c r="BKV28" s="63"/>
      <c r="BKW28" s="63"/>
      <c r="BKX28" s="54"/>
      <c r="BKY28" s="54"/>
      <c r="BKZ28" s="54"/>
      <c r="BLA28" s="57"/>
      <c r="BLB28" s="62"/>
      <c r="BLC28" s="63"/>
      <c r="BLD28" s="63"/>
      <c r="BLE28" s="63"/>
      <c r="BLF28" s="63"/>
      <c r="BLG28" s="63"/>
      <c r="BLH28" s="63"/>
      <c r="BLI28" s="63"/>
      <c r="BLJ28" s="63"/>
      <c r="BLK28" s="63"/>
      <c r="BLL28" s="63"/>
      <c r="BLM28" s="63"/>
      <c r="BLN28" s="54"/>
      <c r="BLO28" s="54"/>
      <c r="BLP28" s="54"/>
      <c r="BLQ28" s="57"/>
      <c r="BLR28" s="62"/>
      <c r="BLS28" s="63"/>
      <c r="BLT28" s="63"/>
      <c r="BLU28" s="63"/>
      <c r="BLV28" s="63"/>
      <c r="BLW28" s="63"/>
      <c r="BLX28" s="63"/>
      <c r="BLY28" s="63"/>
      <c r="BLZ28" s="63"/>
      <c r="BMA28" s="63"/>
      <c r="BMB28" s="63"/>
      <c r="BMC28" s="63"/>
      <c r="BMD28" s="54"/>
      <c r="BME28" s="54"/>
      <c r="BMF28" s="54"/>
      <c r="BMG28" s="57"/>
      <c r="BMH28" s="62"/>
      <c r="BMI28" s="63"/>
      <c r="BMJ28" s="63"/>
      <c r="BMK28" s="63"/>
      <c r="BML28" s="63"/>
      <c r="BMM28" s="63"/>
      <c r="BMN28" s="63"/>
      <c r="BMO28" s="63"/>
      <c r="BMP28" s="63"/>
      <c r="BMQ28" s="63"/>
      <c r="BMR28" s="63"/>
      <c r="BMS28" s="63"/>
      <c r="BMT28" s="54"/>
      <c r="BMU28" s="54"/>
      <c r="BMV28" s="54"/>
      <c r="BMW28" s="57"/>
      <c r="BMX28" s="62"/>
      <c r="BMY28" s="63"/>
      <c r="BMZ28" s="63"/>
      <c r="BNA28" s="63"/>
      <c r="BNB28" s="63"/>
      <c r="BNC28" s="63"/>
      <c r="BND28" s="63"/>
      <c r="BNE28" s="63"/>
      <c r="BNF28" s="63"/>
      <c r="BNG28" s="63"/>
      <c r="BNH28" s="63"/>
      <c r="BNI28" s="63"/>
      <c r="BNJ28" s="54"/>
      <c r="BNK28" s="54"/>
      <c r="BNL28" s="54"/>
      <c r="BNM28" s="57"/>
      <c r="BNN28" s="62"/>
      <c r="BNO28" s="63"/>
      <c r="BNP28" s="63"/>
      <c r="BNQ28" s="63"/>
      <c r="BNR28" s="63"/>
      <c r="BNS28" s="63"/>
      <c r="BNT28" s="63"/>
      <c r="BNU28" s="63"/>
      <c r="BNV28" s="63"/>
      <c r="BNW28" s="63"/>
      <c r="BNX28" s="63"/>
      <c r="BNY28" s="63"/>
      <c r="BNZ28" s="54"/>
      <c r="BOA28" s="54"/>
      <c r="BOB28" s="54"/>
      <c r="BOC28" s="57"/>
      <c r="BOD28" s="62"/>
      <c r="BOE28" s="63"/>
      <c r="BOF28" s="63"/>
      <c r="BOG28" s="63"/>
      <c r="BOH28" s="63"/>
      <c r="BOI28" s="63"/>
      <c r="BOJ28" s="63"/>
      <c r="BOK28" s="63"/>
      <c r="BOL28" s="63"/>
      <c r="BOM28" s="63"/>
      <c r="BON28" s="63"/>
      <c r="BOO28" s="63"/>
      <c r="BOP28" s="54"/>
      <c r="BOQ28" s="54"/>
      <c r="BOR28" s="54"/>
      <c r="BOS28" s="57"/>
      <c r="BOT28" s="62"/>
      <c r="BOU28" s="63"/>
      <c r="BOV28" s="63"/>
      <c r="BOW28" s="63"/>
      <c r="BOX28" s="63"/>
      <c r="BOY28" s="63"/>
      <c r="BOZ28" s="63"/>
      <c r="BPA28" s="63"/>
      <c r="BPB28" s="63"/>
      <c r="BPC28" s="63"/>
      <c r="BPD28" s="63"/>
      <c r="BPE28" s="63"/>
      <c r="BPF28" s="54"/>
      <c r="BPG28" s="54"/>
      <c r="BPH28" s="54"/>
      <c r="BPI28" s="57"/>
      <c r="BPJ28" s="62"/>
      <c r="BPK28" s="63"/>
      <c r="BPL28" s="63"/>
      <c r="BPM28" s="63"/>
      <c r="BPN28" s="63"/>
      <c r="BPO28" s="63"/>
      <c r="BPP28" s="63"/>
      <c r="BPQ28" s="63"/>
      <c r="BPR28" s="63"/>
      <c r="BPS28" s="63"/>
      <c r="BPT28" s="63"/>
      <c r="BPU28" s="63"/>
      <c r="BPV28" s="54"/>
      <c r="BPW28" s="54"/>
      <c r="BPX28" s="54"/>
      <c r="BPY28" s="57"/>
      <c r="BPZ28" s="62"/>
      <c r="BQA28" s="63"/>
      <c r="BQB28" s="63"/>
      <c r="BQC28" s="63"/>
      <c r="BQD28" s="63"/>
      <c r="BQE28" s="63"/>
      <c r="BQF28" s="63"/>
      <c r="BQG28" s="63"/>
      <c r="BQH28" s="63"/>
      <c r="BQI28" s="63"/>
      <c r="BQJ28" s="63"/>
      <c r="BQK28" s="63"/>
      <c r="BQL28" s="54"/>
      <c r="BQM28" s="54"/>
      <c r="BQN28" s="54"/>
      <c r="BQO28" s="57"/>
      <c r="BQP28" s="62"/>
      <c r="BQQ28" s="63"/>
      <c r="BQR28" s="63"/>
      <c r="BQS28" s="63"/>
      <c r="BQT28" s="63"/>
      <c r="BQU28" s="63"/>
      <c r="BQV28" s="63"/>
      <c r="BQW28" s="63"/>
      <c r="BQX28" s="63"/>
      <c r="BQY28" s="63"/>
      <c r="BQZ28" s="63"/>
      <c r="BRA28" s="63"/>
      <c r="BRB28" s="54"/>
      <c r="BRC28" s="54"/>
      <c r="BRD28" s="54"/>
      <c r="BRE28" s="57"/>
      <c r="BRF28" s="62"/>
      <c r="BRG28" s="63"/>
      <c r="BRH28" s="63"/>
      <c r="BRI28" s="63"/>
      <c r="BRJ28" s="63"/>
      <c r="BRK28" s="63"/>
      <c r="BRL28" s="63"/>
      <c r="BRM28" s="63"/>
      <c r="BRN28" s="63"/>
      <c r="BRO28" s="63"/>
      <c r="BRP28" s="63"/>
      <c r="BRQ28" s="63"/>
      <c r="BRR28" s="54"/>
      <c r="BRS28" s="54"/>
      <c r="BRT28" s="54"/>
      <c r="BRU28" s="57"/>
      <c r="BRV28" s="62"/>
      <c r="BRW28" s="63"/>
      <c r="BRX28" s="63"/>
      <c r="BRY28" s="63"/>
      <c r="BRZ28" s="63"/>
      <c r="BSA28" s="63"/>
      <c r="BSB28" s="63"/>
      <c r="BSC28" s="63"/>
      <c r="BSD28" s="63"/>
      <c r="BSE28" s="63"/>
      <c r="BSF28" s="63"/>
      <c r="BSG28" s="63"/>
      <c r="BSH28" s="54"/>
      <c r="BSI28" s="54"/>
      <c r="BSJ28" s="54"/>
      <c r="BSK28" s="57"/>
      <c r="BSL28" s="62"/>
      <c r="BSM28" s="63"/>
      <c r="BSN28" s="63"/>
      <c r="BSO28" s="63"/>
      <c r="BSP28" s="63"/>
      <c r="BSQ28" s="63"/>
      <c r="BSR28" s="63"/>
      <c r="BSS28" s="63"/>
      <c r="BST28" s="63"/>
      <c r="BSU28" s="63"/>
      <c r="BSV28" s="63"/>
      <c r="BSW28" s="63"/>
      <c r="BSX28" s="54"/>
      <c r="BSY28" s="54"/>
      <c r="BSZ28" s="54"/>
      <c r="BTA28" s="57"/>
      <c r="BTB28" s="62"/>
      <c r="BTC28" s="63"/>
      <c r="BTD28" s="63"/>
      <c r="BTE28" s="63"/>
      <c r="BTF28" s="63"/>
      <c r="BTG28" s="63"/>
      <c r="BTH28" s="63"/>
      <c r="BTI28" s="63"/>
      <c r="BTJ28" s="63"/>
      <c r="BTK28" s="63"/>
      <c r="BTL28" s="63"/>
      <c r="BTM28" s="63"/>
      <c r="BTN28" s="54"/>
      <c r="BTO28" s="54"/>
      <c r="BTP28" s="54"/>
      <c r="BTQ28" s="57"/>
      <c r="BTR28" s="62"/>
      <c r="BTS28" s="63"/>
      <c r="BTT28" s="63"/>
      <c r="BTU28" s="63"/>
      <c r="BTV28" s="63"/>
      <c r="BTW28" s="63"/>
      <c r="BTX28" s="63"/>
      <c r="BTY28" s="63"/>
      <c r="BTZ28" s="63"/>
      <c r="BUA28" s="63"/>
      <c r="BUB28" s="63"/>
      <c r="BUC28" s="63"/>
      <c r="BUD28" s="54"/>
      <c r="BUE28" s="54"/>
      <c r="BUF28" s="54"/>
      <c r="BUG28" s="57"/>
      <c r="BUH28" s="62"/>
      <c r="BUI28" s="63"/>
      <c r="BUJ28" s="63"/>
      <c r="BUK28" s="63"/>
      <c r="BUL28" s="63"/>
      <c r="BUM28" s="63"/>
      <c r="BUN28" s="63"/>
      <c r="BUO28" s="63"/>
      <c r="BUP28" s="63"/>
      <c r="BUQ28" s="63"/>
      <c r="BUR28" s="63"/>
      <c r="BUS28" s="63"/>
      <c r="BUT28" s="54"/>
      <c r="BUU28" s="54"/>
      <c r="BUV28" s="54"/>
      <c r="BUW28" s="57"/>
      <c r="BUX28" s="62"/>
      <c r="BUY28" s="63"/>
      <c r="BUZ28" s="63"/>
      <c r="BVA28" s="63"/>
      <c r="BVB28" s="63"/>
      <c r="BVC28" s="63"/>
      <c r="BVD28" s="63"/>
      <c r="BVE28" s="63"/>
      <c r="BVF28" s="63"/>
      <c r="BVG28" s="63"/>
      <c r="BVH28" s="63"/>
      <c r="BVI28" s="63"/>
      <c r="BVJ28" s="54"/>
      <c r="BVK28" s="54"/>
      <c r="BVL28" s="54"/>
      <c r="BVM28" s="57"/>
      <c r="BVN28" s="62"/>
      <c r="BVO28" s="63"/>
      <c r="BVP28" s="63"/>
      <c r="BVQ28" s="63"/>
      <c r="BVR28" s="63"/>
      <c r="BVS28" s="63"/>
      <c r="BVT28" s="63"/>
      <c r="BVU28" s="63"/>
      <c r="BVV28" s="63"/>
      <c r="BVW28" s="63"/>
      <c r="BVX28" s="63"/>
      <c r="BVY28" s="63"/>
      <c r="BVZ28" s="54"/>
      <c r="BWA28" s="54"/>
      <c r="BWB28" s="54"/>
      <c r="BWC28" s="57"/>
      <c r="BWD28" s="62"/>
      <c r="BWE28" s="63"/>
      <c r="BWF28" s="63"/>
      <c r="BWG28" s="63"/>
      <c r="BWH28" s="63"/>
      <c r="BWI28" s="63"/>
      <c r="BWJ28" s="63"/>
      <c r="BWK28" s="63"/>
      <c r="BWL28" s="63"/>
      <c r="BWM28" s="63"/>
      <c r="BWN28" s="63"/>
      <c r="BWO28" s="63"/>
      <c r="BWP28" s="54"/>
      <c r="BWQ28" s="54"/>
      <c r="BWR28" s="54"/>
      <c r="BWS28" s="57"/>
      <c r="BWT28" s="62"/>
      <c r="BWU28" s="63"/>
      <c r="BWV28" s="63"/>
      <c r="BWW28" s="63"/>
      <c r="BWX28" s="63"/>
      <c r="BWY28" s="63"/>
      <c r="BWZ28" s="63"/>
      <c r="BXA28" s="63"/>
      <c r="BXB28" s="63"/>
      <c r="BXC28" s="63"/>
      <c r="BXD28" s="63"/>
      <c r="BXE28" s="63"/>
      <c r="BXF28" s="54"/>
      <c r="BXG28" s="54"/>
      <c r="BXH28" s="54"/>
      <c r="BXI28" s="57"/>
      <c r="BXJ28" s="62"/>
      <c r="BXK28" s="63"/>
      <c r="BXL28" s="63"/>
      <c r="BXM28" s="63"/>
      <c r="BXN28" s="63"/>
      <c r="BXO28" s="63"/>
      <c r="BXP28" s="63"/>
      <c r="BXQ28" s="63"/>
      <c r="BXR28" s="63"/>
      <c r="BXS28" s="63"/>
      <c r="BXT28" s="63"/>
      <c r="BXU28" s="63"/>
      <c r="BXV28" s="54"/>
      <c r="BXW28" s="54"/>
      <c r="BXX28" s="54"/>
      <c r="BXY28" s="57"/>
      <c r="BXZ28" s="62"/>
      <c r="BYA28" s="63"/>
      <c r="BYB28" s="63"/>
      <c r="BYC28" s="63"/>
      <c r="BYD28" s="63"/>
      <c r="BYE28" s="63"/>
      <c r="BYF28" s="63"/>
      <c r="BYG28" s="63"/>
      <c r="BYH28" s="63"/>
      <c r="BYI28" s="63"/>
      <c r="BYJ28" s="63"/>
      <c r="BYK28" s="63"/>
      <c r="BYL28" s="54"/>
      <c r="BYM28" s="54"/>
      <c r="BYN28" s="54"/>
      <c r="BYO28" s="57"/>
      <c r="BYP28" s="62"/>
      <c r="BYQ28" s="63"/>
      <c r="BYR28" s="63"/>
      <c r="BYS28" s="63"/>
      <c r="BYT28" s="63"/>
      <c r="BYU28" s="63"/>
      <c r="BYV28" s="63"/>
      <c r="BYW28" s="63"/>
      <c r="BYX28" s="63"/>
      <c r="BYY28" s="63"/>
      <c r="BYZ28" s="63"/>
      <c r="BZA28" s="63"/>
      <c r="BZB28" s="54"/>
      <c r="BZC28" s="54"/>
      <c r="BZD28" s="54"/>
      <c r="BZE28" s="57"/>
      <c r="BZF28" s="62"/>
      <c r="BZG28" s="63"/>
      <c r="BZH28" s="63"/>
      <c r="BZI28" s="63"/>
      <c r="BZJ28" s="63"/>
      <c r="BZK28" s="63"/>
      <c r="BZL28" s="63"/>
      <c r="BZM28" s="63"/>
      <c r="BZN28" s="63"/>
      <c r="BZO28" s="63"/>
      <c r="BZP28" s="63"/>
      <c r="BZQ28" s="63"/>
      <c r="BZR28" s="54"/>
      <c r="BZS28" s="54"/>
      <c r="BZT28" s="54"/>
      <c r="BZU28" s="57"/>
      <c r="BZV28" s="62"/>
      <c r="BZW28" s="63"/>
      <c r="BZX28" s="63"/>
      <c r="BZY28" s="63"/>
      <c r="BZZ28" s="63"/>
      <c r="CAA28" s="63"/>
      <c r="CAB28" s="63"/>
      <c r="CAC28" s="63"/>
      <c r="CAD28" s="63"/>
      <c r="CAE28" s="63"/>
      <c r="CAF28" s="63"/>
      <c r="CAG28" s="63"/>
      <c r="CAH28" s="54"/>
      <c r="CAI28" s="54"/>
      <c r="CAJ28" s="54"/>
      <c r="CAK28" s="57"/>
      <c r="CAL28" s="62"/>
      <c r="CAM28" s="63"/>
      <c r="CAN28" s="63"/>
      <c r="CAO28" s="63"/>
      <c r="CAP28" s="63"/>
      <c r="CAQ28" s="63"/>
      <c r="CAR28" s="63"/>
      <c r="CAS28" s="63"/>
      <c r="CAT28" s="63"/>
      <c r="CAU28" s="63"/>
      <c r="CAV28" s="63"/>
      <c r="CAW28" s="63"/>
      <c r="CAX28" s="54"/>
      <c r="CAY28" s="54"/>
      <c r="CAZ28" s="54"/>
      <c r="CBA28" s="57"/>
      <c r="CBB28" s="62"/>
      <c r="CBC28" s="63"/>
      <c r="CBD28" s="63"/>
      <c r="CBE28" s="63"/>
      <c r="CBF28" s="63"/>
      <c r="CBG28" s="63"/>
      <c r="CBH28" s="63"/>
      <c r="CBI28" s="63"/>
      <c r="CBJ28" s="63"/>
      <c r="CBK28" s="63"/>
      <c r="CBL28" s="63"/>
      <c r="CBM28" s="63"/>
      <c r="CBN28" s="54"/>
      <c r="CBO28" s="54"/>
      <c r="CBP28" s="54"/>
      <c r="CBQ28" s="57"/>
      <c r="CBR28" s="62"/>
      <c r="CBS28" s="63"/>
      <c r="CBT28" s="63"/>
      <c r="CBU28" s="63"/>
      <c r="CBV28" s="63"/>
      <c r="CBW28" s="63"/>
      <c r="CBX28" s="63"/>
      <c r="CBY28" s="63"/>
      <c r="CBZ28" s="63"/>
      <c r="CCA28" s="63"/>
      <c r="CCB28" s="63"/>
      <c r="CCC28" s="63"/>
      <c r="CCD28" s="54"/>
      <c r="CCE28" s="54"/>
      <c r="CCF28" s="54"/>
      <c r="CCG28" s="57"/>
      <c r="CCH28" s="62"/>
      <c r="CCI28" s="63"/>
      <c r="CCJ28" s="63"/>
      <c r="CCK28" s="63"/>
      <c r="CCL28" s="63"/>
      <c r="CCM28" s="63"/>
      <c r="CCN28" s="63"/>
      <c r="CCO28" s="63"/>
      <c r="CCP28" s="63"/>
      <c r="CCQ28" s="63"/>
      <c r="CCR28" s="63"/>
      <c r="CCS28" s="63"/>
      <c r="CCT28" s="54"/>
      <c r="CCU28" s="54"/>
      <c r="CCV28" s="54"/>
      <c r="CCW28" s="57"/>
      <c r="CCX28" s="62"/>
      <c r="CCY28" s="63"/>
      <c r="CCZ28" s="63"/>
      <c r="CDA28" s="63"/>
      <c r="CDB28" s="63"/>
      <c r="CDC28" s="63"/>
      <c r="CDD28" s="63"/>
      <c r="CDE28" s="63"/>
      <c r="CDF28" s="63"/>
      <c r="CDG28" s="63"/>
      <c r="CDH28" s="63"/>
      <c r="CDI28" s="63"/>
      <c r="CDJ28" s="54"/>
      <c r="CDK28" s="54"/>
      <c r="CDL28" s="54"/>
      <c r="CDM28" s="57"/>
      <c r="CDN28" s="62"/>
      <c r="CDO28" s="63"/>
      <c r="CDP28" s="63"/>
      <c r="CDQ28" s="63"/>
      <c r="CDR28" s="63"/>
      <c r="CDS28" s="63"/>
      <c r="CDT28" s="63"/>
      <c r="CDU28" s="63"/>
      <c r="CDV28" s="63"/>
      <c r="CDW28" s="63"/>
      <c r="CDX28" s="63"/>
      <c r="CDY28" s="63"/>
      <c r="CDZ28" s="54"/>
      <c r="CEA28" s="54"/>
      <c r="CEB28" s="54"/>
      <c r="CEC28" s="57"/>
      <c r="CED28" s="62"/>
      <c r="CEE28" s="63"/>
      <c r="CEF28" s="63"/>
      <c r="CEG28" s="63"/>
      <c r="CEH28" s="63"/>
      <c r="CEI28" s="63"/>
      <c r="CEJ28" s="63"/>
      <c r="CEK28" s="63"/>
      <c r="CEL28" s="63"/>
      <c r="CEM28" s="63"/>
      <c r="CEN28" s="63"/>
      <c r="CEO28" s="63"/>
      <c r="CEP28" s="54"/>
      <c r="CEQ28" s="54"/>
      <c r="CER28" s="54"/>
      <c r="CES28" s="57"/>
      <c r="CET28" s="62"/>
      <c r="CEU28" s="63"/>
      <c r="CEV28" s="63"/>
      <c r="CEW28" s="63"/>
      <c r="CEX28" s="63"/>
      <c r="CEY28" s="63"/>
      <c r="CEZ28" s="63"/>
      <c r="CFA28" s="63"/>
      <c r="CFB28" s="63"/>
      <c r="CFC28" s="63"/>
      <c r="CFD28" s="63"/>
      <c r="CFE28" s="63"/>
      <c r="CFF28" s="54"/>
      <c r="CFG28" s="54"/>
      <c r="CFH28" s="54"/>
      <c r="CFI28" s="57"/>
      <c r="CFJ28" s="62"/>
      <c r="CFK28" s="63"/>
      <c r="CFL28" s="63"/>
      <c r="CFM28" s="63"/>
      <c r="CFN28" s="63"/>
      <c r="CFO28" s="63"/>
      <c r="CFP28" s="63"/>
      <c r="CFQ28" s="63"/>
      <c r="CFR28" s="63"/>
      <c r="CFS28" s="63"/>
      <c r="CFT28" s="63"/>
      <c r="CFU28" s="63"/>
      <c r="CFV28" s="54"/>
      <c r="CFW28" s="54"/>
      <c r="CFX28" s="54"/>
      <c r="CFY28" s="57"/>
      <c r="CFZ28" s="62"/>
      <c r="CGA28" s="63"/>
      <c r="CGB28" s="63"/>
      <c r="CGC28" s="63"/>
      <c r="CGD28" s="63"/>
      <c r="CGE28" s="63"/>
      <c r="CGF28" s="63"/>
      <c r="CGG28" s="63"/>
      <c r="CGH28" s="63"/>
      <c r="CGI28" s="63"/>
      <c r="CGJ28" s="63"/>
      <c r="CGK28" s="63"/>
      <c r="CGL28" s="54"/>
      <c r="CGM28" s="54"/>
      <c r="CGN28" s="54"/>
      <c r="CGO28" s="57"/>
      <c r="CGP28" s="62"/>
      <c r="CGQ28" s="63"/>
      <c r="CGR28" s="63"/>
      <c r="CGS28" s="63"/>
      <c r="CGT28" s="63"/>
      <c r="CGU28" s="63"/>
      <c r="CGV28" s="63"/>
      <c r="CGW28" s="63"/>
      <c r="CGX28" s="63"/>
      <c r="CGY28" s="63"/>
      <c r="CGZ28" s="63"/>
      <c r="CHA28" s="63"/>
      <c r="CHB28" s="54"/>
      <c r="CHC28" s="54"/>
      <c r="CHD28" s="54"/>
      <c r="CHE28" s="57"/>
      <c r="CHF28" s="62"/>
      <c r="CHG28" s="63"/>
      <c r="CHH28" s="63"/>
      <c r="CHI28" s="63"/>
      <c r="CHJ28" s="63"/>
      <c r="CHK28" s="63"/>
      <c r="CHL28" s="63"/>
      <c r="CHM28" s="63"/>
      <c r="CHN28" s="63"/>
      <c r="CHO28" s="63"/>
      <c r="CHP28" s="63"/>
      <c r="CHQ28" s="63"/>
      <c r="CHR28" s="54"/>
      <c r="CHS28" s="54"/>
      <c r="CHT28" s="54"/>
      <c r="CHU28" s="57"/>
      <c r="CHV28" s="62"/>
      <c r="CHW28" s="63"/>
      <c r="CHX28" s="63"/>
      <c r="CHY28" s="63"/>
      <c r="CHZ28" s="63"/>
      <c r="CIA28" s="63"/>
      <c r="CIB28" s="63"/>
      <c r="CIC28" s="63"/>
      <c r="CID28" s="63"/>
      <c r="CIE28" s="63"/>
      <c r="CIF28" s="63"/>
      <c r="CIG28" s="63"/>
      <c r="CIH28" s="54"/>
      <c r="CII28" s="54"/>
      <c r="CIJ28" s="54"/>
      <c r="CIK28" s="57"/>
      <c r="CIL28" s="62"/>
      <c r="CIM28" s="63"/>
      <c r="CIN28" s="63"/>
      <c r="CIO28" s="63"/>
      <c r="CIP28" s="63"/>
      <c r="CIQ28" s="63"/>
      <c r="CIR28" s="63"/>
      <c r="CIS28" s="63"/>
      <c r="CIT28" s="63"/>
      <c r="CIU28" s="63"/>
      <c r="CIV28" s="63"/>
      <c r="CIW28" s="63"/>
      <c r="CIX28" s="54"/>
      <c r="CIY28" s="54"/>
      <c r="CIZ28" s="54"/>
      <c r="CJA28" s="57"/>
      <c r="CJB28" s="62"/>
      <c r="CJC28" s="63"/>
      <c r="CJD28" s="63"/>
      <c r="CJE28" s="63"/>
      <c r="CJF28" s="63"/>
      <c r="CJG28" s="63"/>
      <c r="CJH28" s="63"/>
      <c r="CJI28" s="63"/>
      <c r="CJJ28" s="63"/>
      <c r="CJK28" s="63"/>
      <c r="CJL28" s="63"/>
      <c r="CJM28" s="63"/>
      <c r="CJN28" s="54"/>
      <c r="CJO28" s="54"/>
      <c r="CJP28" s="54"/>
      <c r="CJQ28" s="57"/>
      <c r="CJR28" s="62"/>
      <c r="CJS28" s="63"/>
      <c r="CJT28" s="63"/>
      <c r="CJU28" s="63"/>
      <c r="CJV28" s="63"/>
      <c r="CJW28" s="63"/>
      <c r="CJX28" s="63"/>
      <c r="CJY28" s="63"/>
      <c r="CJZ28" s="63"/>
      <c r="CKA28" s="63"/>
      <c r="CKB28" s="63"/>
      <c r="CKC28" s="63"/>
      <c r="CKD28" s="54"/>
      <c r="CKE28" s="54"/>
      <c r="CKF28" s="54"/>
      <c r="CKG28" s="57"/>
      <c r="CKH28" s="62"/>
      <c r="CKI28" s="63"/>
      <c r="CKJ28" s="63"/>
      <c r="CKK28" s="63"/>
      <c r="CKL28" s="63"/>
      <c r="CKM28" s="63"/>
      <c r="CKN28" s="63"/>
      <c r="CKO28" s="63"/>
      <c r="CKP28" s="63"/>
      <c r="CKQ28" s="63"/>
      <c r="CKR28" s="63"/>
      <c r="CKS28" s="63"/>
      <c r="CKT28" s="54"/>
      <c r="CKU28" s="54"/>
      <c r="CKV28" s="54"/>
      <c r="CKW28" s="57"/>
      <c r="CKX28" s="62"/>
      <c r="CKY28" s="63"/>
      <c r="CKZ28" s="63"/>
      <c r="CLA28" s="63"/>
      <c r="CLB28" s="63"/>
      <c r="CLC28" s="63"/>
      <c r="CLD28" s="63"/>
      <c r="CLE28" s="63"/>
      <c r="CLF28" s="63"/>
      <c r="CLG28" s="63"/>
      <c r="CLH28" s="63"/>
      <c r="CLI28" s="63"/>
      <c r="CLJ28" s="54"/>
      <c r="CLK28" s="54"/>
      <c r="CLL28" s="54"/>
      <c r="CLM28" s="57"/>
      <c r="CLN28" s="62"/>
      <c r="CLO28" s="63"/>
      <c r="CLP28" s="63"/>
      <c r="CLQ28" s="63"/>
      <c r="CLR28" s="63"/>
      <c r="CLS28" s="63"/>
      <c r="CLT28" s="63"/>
      <c r="CLU28" s="63"/>
      <c r="CLV28" s="63"/>
      <c r="CLW28" s="63"/>
      <c r="CLX28" s="63"/>
      <c r="CLY28" s="63"/>
      <c r="CLZ28" s="54"/>
      <c r="CMA28" s="54"/>
      <c r="CMB28" s="54"/>
      <c r="CMC28" s="57"/>
      <c r="CMD28" s="62"/>
      <c r="CME28" s="63"/>
      <c r="CMF28" s="63"/>
      <c r="CMG28" s="63"/>
      <c r="CMH28" s="63"/>
      <c r="CMI28" s="63"/>
      <c r="CMJ28" s="63"/>
      <c r="CMK28" s="63"/>
      <c r="CML28" s="63"/>
      <c r="CMM28" s="63"/>
      <c r="CMN28" s="63"/>
      <c r="CMO28" s="63"/>
      <c r="CMP28" s="54"/>
      <c r="CMQ28" s="54"/>
      <c r="CMR28" s="54"/>
      <c r="CMS28" s="57"/>
      <c r="CMT28" s="62"/>
      <c r="CMU28" s="63"/>
      <c r="CMV28" s="63"/>
      <c r="CMW28" s="63"/>
      <c r="CMX28" s="63"/>
      <c r="CMY28" s="63"/>
      <c r="CMZ28" s="63"/>
      <c r="CNA28" s="63"/>
      <c r="CNB28" s="63"/>
      <c r="CNC28" s="63"/>
      <c r="CND28" s="63"/>
      <c r="CNE28" s="63"/>
      <c r="CNF28" s="54"/>
      <c r="CNG28" s="54"/>
      <c r="CNH28" s="54"/>
      <c r="CNI28" s="57"/>
      <c r="CNJ28" s="62"/>
      <c r="CNK28" s="63"/>
      <c r="CNL28" s="63"/>
      <c r="CNM28" s="63"/>
      <c r="CNN28" s="63"/>
      <c r="CNO28" s="63"/>
      <c r="CNP28" s="63"/>
      <c r="CNQ28" s="63"/>
      <c r="CNR28" s="63"/>
      <c r="CNS28" s="63"/>
      <c r="CNT28" s="63"/>
      <c r="CNU28" s="63"/>
      <c r="CNV28" s="54"/>
      <c r="CNW28" s="54"/>
      <c r="CNX28" s="54"/>
      <c r="CNY28" s="57"/>
      <c r="CNZ28" s="62"/>
      <c r="COA28" s="63"/>
      <c r="COB28" s="63"/>
      <c r="COC28" s="63"/>
      <c r="COD28" s="63"/>
      <c r="COE28" s="63"/>
      <c r="COF28" s="63"/>
      <c r="COG28" s="63"/>
      <c r="COH28" s="63"/>
      <c r="COI28" s="63"/>
      <c r="COJ28" s="63"/>
      <c r="COK28" s="63"/>
      <c r="COL28" s="54"/>
      <c r="COM28" s="54"/>
      <c r="CON28" s="54"/>
      <c r="COO28" s="57"/>
      <c r="COP28" s="62"/>
      <c r="COQ28" s="63"/>
      <c r="COR28" s="63"/>
      <c r="COS28" s="63"/>
      <c r="COT28" s="63"/>
      <c r="COU28" s="63"/>
      <c r="COV28" s="63"/>
      <c r="COW28" s="63"/>
      <c r="COX28" s="63"/>
      <c r="COY28" s="63"/>
      <c r="COZ28" s="63"/>
      <c r="CPA28" s="63"/>
      <c r="CPB28" s="54"/>
      <c r="CPC28" s="54"/>
      <c r="CPD28" s="54"/>
      <c r="CPE28" s="57"/>
      <c r="CPF28" s="62"/>
      <c r="CPG28" s="63"/>
      <c r="CPH28" s="63"/>
      <c r="CPI28" s="63"/>
      <c r="CPJ28" s="63"/>
      <c r="CPK28" s="63"/>
      <c r="CPL28" s="63"/>
      <c r="CPM28" s="63"/>
      <c r="CPN28" s="63"/>
      <c r="CPO28" s="63"/>
      <c r="CPP28" s="63"/>
      <c r="CPQ28" s="63"/>
      <c r="CPR28" s="54"/>
      <c r="CPS28" s="54"/>
      <c r="CPT28" s="54"/>
      <c r="CPU28" s="57"/>
      <c r="CPV28" s="62"/>
      <c r="CPW28" s="63"/>
      <c r="CPX28" s="63"/>
      <c r="CPY28" s="63"/>
      <c r="CPZ28" s="63"/>
      <c r="CQA28" s="63"/>
      <c r="CQB28" s="63"/>
      <c r="CQC28" s="63"/>
      <c r="CQD28" s="63"/>
      <c r="CQE28" s="63"/>
      <c r="CQF28" s="63"/>
      <c r="CQG28" s="63"/>
      <c r="CQH28" s="54"/>
      <c r="CQI28" s="54"/>
      <c r="CQJ28" s="54"/>
      <c r="CQK28" s="57"/>
      <c r="CQL28" s="62"/>
      <c r="CQM28" s="63"/>
      <c r="CQN28" s="63"/>
      <c r="CQO28" s="63"/>
      <c r="CQP28" s="63"/>
      <c r="CQQ28" s="63"/>
      <c r="CQR28" s="63"/>
      <c r="CQS28" s="63"/>
      <c r="CQT28" s="63"/>
      <c r="CQU28" s="63"/>
      <c r="CQV28" s="63"/>
      <c r="CQW28" s="63"/>
      <c r="CQX28" s="54"/>
      <c r="CQY28" s="54"/>
      <c r="CQZ28" s="54"/>
      <c r="CRA28" s="57"/>
      <c r="CRB28" s="62"/>
      <c r="CRC28" s="63"/>
      <c r="CRD28" s="63"/>
      <c r="CRE28" s="63"/>
      <c r="CRF28" s="63"/>
      <c r="CRG28" s="63"/>
      <c r="CRH28" s="63"/>
      <c r="CRI28" s="63"/>
      <c r="CRJ28" s="63"/>
      <c r="CRK28" s="63"/>
      <c r="CRL28" s="63"/>
      <c r="CRM28" s="63"/>
      <c r="CRN28" s="54"/>
      <c r="CRO28" s="54"/>
      <c r="CRP28" s="54"/>
      <c r="CRQ28" s="57"/>
      <c r="CRR28" s="62"/>
      <c r="CRS28" s="63"/>
      <c r="CRT28" s="63"/>
      <c r="CRU28" s="63"/>
      <c r="CRV28" s="63"/>
      <c r="CRW28" s="63"/>
      <c r="CRX28" s="63"/>
      <c r="CRY28" s="63"/>
      <c r="CRZ28" s="63"/>
      <c r="CSA28" s="63"/>
      <c r="CSB28" s="63"/>
      <c r="CSC28" s="63"/>
      <c r="CSD28" s="54"/>
      <c r="CSE28" s="54"/>
      <c r="CSF28" s="54"/>
      <c r="CSG28" s="57"/>
      <c r="CSH28" s="62"/>
      <c r="CSI28" s="63"/>
      <c r="CSJ28" s="63"/>
      <c r="CSK28" s="63"/>
      <c r="CSL28" s="63"/>
      <c r="CSM28" s="63"/>
      <c r="CSN28" s="63"/>
      <c r="CSO28" s="63"/>
      <c r="CSP28" s="63"/>
      <c r="CSQ28" s="63"/>
      <c r="CSR28" s="63"/>
      <c r="CSS28" s="63"/>
      <c r="CST28" s="54"/>
      <c r="CSU28" s="54"/>
      <c r="CSV28" s="54"/>
      <c r="CSW28" s="57"/>
      <c r="CSX28" s="62"/>
      <c r="CSY28" s="63"/>
      <c r="CSZ28" s="63"/>
      <c r="CTA28" s="63"/>
      <c r="CTB28" s="63"/>
      <c r="CTC28" s="63"/>
      <c r="CTD28" s="63"/>
      <c r="CTE28" s="63"/>
      <c r="CTF28" s="63"/>
      <c r="CTG28" s="63"/>
      <c r="CTH28" s="63"/>
      <c r="CTI28" s="63"/>
      <c r="CTJ28" s="54"/>
      <c r="CTK28" s="54"/>
      <c r="CTL28" s="54"/>
      <c r="CTM28" s="57"/>
      <c r="CTN28" s="62"/>
      <c r="CTO28" s="63"/>
      <c r="CTP28" s="63"/>
      <c r="CTQ28" s="63"/>
      <c r="CTR28" s="63"/>
      <c r="CTS28" s="63"/>
      <c r="CTT28" s="63"/>
      <c r="CTU28" s="63"/>
      <c r="CTV28" s="63"/>
      <c r="CTW28" s="63"/>
      <c r="CTX28" s="63"/>
      <c r="CTY28" s="63"/>
      <c r="CTZ28" s="54"/>
      <c r="CUA28" s="54"/>
      <c r="CUB28" s="54"/>
      <c r="CUC28" s="57"/>
      <c r="CUD28" s="62"/>
      <c r="CUE28" s="63"/>
      <c r="CUF28" s="63"/>
      <c r="CUG28" s="63"/>
      <c r="CUH28" s="63"/>
      <c r="CUI28" s="63"/>
      <c r="CUJ28" s="63"/>
      <c r="CUK28" s="63"/>
      <c r="CUL28" s="63"/>
      <c r="CUM28" s="63"/>
      <c r="CUN28" s="63"/>
      <c r="CUO28" s="63"/>
      <c r="CUP28" s="54"/>
      <c r="CUQ28" s="54"/>
      <c r="CUR28" s="54"/>
      <c r="CUS28" s="57"/>
      <c r="CUT28" s="62"/>
      <c r="CUU28" s="63"/>
      <c r="CUV28" s="63"/>
      <c r="CUW28" s="63"/>
      <c r="CUX28" s="63"/>
      <c r="CUY28" s="63"/>
      <c r="CUZ28" s="63"/>
      <c r="CVA28" s="63"/>
      <c r="CVB28" s="63"/>
      <c r="CVC28" s="63"/>
      <c r="CVD28" s="63"/>
      <c r="CVE28" s="63"/>
      <c r="CVF28" s="54"/>
      <c r="CVG28" s="54"/>
      <c r="CVH28" s="54"/>
      <c r="CVI28" s="57"/>
      <c r="CVJ28" s="62"/>
      <c r="CVK28" s="63"/>
      <c r="CVL28" s="63"/>
      <c r="CVM28" s="63"/>
      <c r="CVN28" s="63"/>
      <c r="CVO28" s="63"/>
      <c r="CVP28" s="63"/>
      <c r="CVQ28" s="63"/>
      <c r="CVR28" s="63"/>
      <c r="CVS28" s="63"/>
      <c r="CVT28" s="63"/>
      <c r="CVU28" s="63"/>
      <c r="CVV28" s="54"/>
      <c r="CVW28" s="54"/>
      <c r="CVX28" s="54"/>
      <c r="CVY28" s="57"/>
      <c r="CVZ28" s="62"/>
      <c r="CWA28" s="63"/>
      <c r="CWB28" s="63"/>
      <c r="CWC28" s="63"/>
      <c r="CWD28" s="63"/>
      <c r="CWE28" s="63"/>
      <c r="CWF28" s="63"/>
      <c r="CWG28" s="63"/>
      <c r="CWH28" s="63"/>
      <c r="CWI28" s="63"/>
      <c r="CWJ28" s="63"/>
      <c r="CWK28" s="63"/>
      <c r="CWL28" s="54"/>
      <c r="CWM28" s="54"/>
      <c r="CWN28" s="54"/>
      <c r="CWO28" s="57"/>
      <c r="CWP28" s="62"/>
      <c r="CWQ28" s="63"/>
      <c r="CWR28" s="63"/>
      <c r="CWS28" s="63"/>
      <c r="CWT28" s="63"/>
      <c r="CWU28" s="63"/>
      <c r="CWV28" s="63"/>
      <c r="CWW28" s="63"/>
      <c r="CWX28" s="63"/>
      <c r="CWY28" s="63"/>
      <c r="CWZ28" s="63"/>
      <c r="CXA28" s="63"/>
      <c r="CXB28" s="54"/>
      <c r="CXC28" s="54"/>
      <c r="CXD28" s="54"/>
      <c r="CXE28" s="57"/>
      <c r="CXF28" s="62"/>
      <c r="CXG28" s="63"/>
      <c r="CXH28" s="63"/>
      <c r="CXI28" s="63"/>
      <c r="CXJ28" s="63"/>
      <c r="CXK28" s="63"/>
      <c r="CXL28" s="63"/>
      <c r="CXM28" s="63"/>
      <c r="CXN28" s="63"/>
      <c r="CXO28" s="63"/>
      <c r="CXP28" s="63"/>
      <c r="CXQ28" s="63"/>
      <c r="CXR28" s="54"/>
      <c r="CXS28" s="54"/>
      <c r="CXT28" s="54"/>
      <c r="CXU28" s="57"/>
      <c r="CXV28" s="62"/>
      <c r="CXW28" s="63"/>
      <c r="CXX28" s="63"/>
      <c r="CXY28" s="63"/>
      <c r="CXZ28" s="63"/>
      <c r="CYA28" s="63"/>
      <c r="CYB28" s="63"/>
      <c r="CYC28" s="63"/>
      <c r="CYD28" s="63"/>
      <c r="CYE28" s="63"/>
      <c r="CYF28" s="63"/>
      <c r="CYG28" s="63"/>
      <c r="CYH28" s="54"/>
      <c r="CYI28" s="54"/>
      <c r="CYJ28" s="54"/>
      <c r="CYK28" s="57"/>
      <c r="CYL28" s="62"/>
      <c r="CYM28" s="63"/>
      <c r="CYN28" s="63"/>
      <c r="CYO28" s="63"/>
      <c r="CYP28" s="63"/>
      <c r="CYQ28" s="63"/>
      <c r="CYR28" s="63"/>
      <c r="CYS28" s="63"/>
      <c r="CYT28" s="63"/>
      <c r="CYU28" s="63"/>
      <c r="CYV28" s="63"/>
      <c r="CYW28" s="63"/>
      <c r="CYX28" s="54"/>
      <c r="CYY28" s="54"/>
      <c r="CYZ28" s="54"/>
      <c r="CZA28" s="57"/>
      <c r="CZB28" s="62"/>
      <c r="CZC28" s="63"/>
      <c r="CZD28" s="63"/>
      <c r="CZE28" s="63"/>
      <c r="CZF28" s="63"/>
      <c r="CZG28" s="63"/>
      <c r="CZH28" s="63"/>
      <c r="CZI28" s="63"/>
      <c r="CZJ28" s="63"/>
      <c r="CZK28" s="63"/>
      <c r="CZL28" s="63"/>
      <c r="CZM28" s="63"/>
      <c r="CZN28" s="54"/>
      <c r="CZO28" s="54"/>
      <c r="CZP28" s="54"/>
      <c r="CZQ28" s="57"/>
      <c r="CZR28" s="62"/>
      <c r="CZS28" s="63"/>
      <c r="CZT28" s="63"/>
      <c r="CZU28" s="63"/>
      <c r="CZV28" s="63"/>
      <c r="CZW28" s="63"/>
      <c r="CZX28" s="63"/>
      <c r="CZY28" s="63"/>
      <c r="CZZ28" s="63"/>
      <c r="DAA28" s="63"/>
      <c r="DAB28" s="63"/>
      <c r="DAC28" s="63"/>
      <c r="DAD28" s="54"/>
      <c r="DAE28" s="54"/>
      <c r="DAF28" s="54"/>
      <c r="DAG28" s="57"/>
      <c r="DAH28" s="62"/>
      <c r="DAI28" s="63"/>
      <c r="DAJ28" s="63"/>
      <c r="DAK28" s="63"/>
      <c r="DAL28" s="63"/>
      <c r="DAM28" s="63"/>
      <c r="DAN28" s="63"/>
      <c r="DAO28" s="63"/>
      <c r="DAP28" s="63"/>
      <c r="DAQ28" s="63"/>
      <c r="DAR28" s="63"/>
      <c r="DAS28" s="63"/>
      <c r="DAT28" s="54"/>
      <c r="DAU28" s="54"/>
      <c r="DAV28" s="54"/>
      <c r="DAW28" s="57"/>
      <c r="DAX28" s="62"/>
      <c r="DAY28" s="63"/>
      <c r="DAZ28" s="63"/>
      <c r="DBA28" s="63"/>
      <c r="DBB28" s="63"/>
      <c r="DBC28" s="63"/>
      <c r="DBD28" s="63"/>
      <c r="DBE28" s="63"/>
      <c r="DBF28" s="63"/>
      <c r="DBG28" s="63"/>
      <c r="DBH28" s="63"/>
      <c r="DBI28" s="63"/>
      <c r="DBJ28" s="54"/>
      <c r="DBK28" s="54"/>
      <c r="DBL28" s="54"/>
      <c r="DBM28" s="57"/>
      <c r="DBN28" s="62"/>
      <c r="DBO28" s="63"/>
      <c r="DBP28" s="63"/>
      <c r="DBQ28" s="63"/>
      <c r="DBR28" s="63"/>
      <c r="DBS28" s="63"/>
      <c r="DBT28" s="63"/>
      <c r="DBU28" s="63"/>
      <c r="DBV28" s="63"/>
      <c r="DBW28" s="63"/>
      <c r="DBX28" s="63"/>
      <c r="DBY28" s="63"/>
      <c r="DBZ28" s="54"/>
      <c r="DCA28" s="54"/>
      <c r="DCB28" s="54"/>
      <c r="DCC28" s="57"/>
      <c r="DCD28" s="62"/>
      <c r="DCE28" s="63"/>
      <c r="DCF28" s="63"/>
      <c r="DCG28" s="63"/>
      <c r="DCH28" s="63"/>
      <c r="DCI28" s="63"/>
      <c r="DCJ28" s="63"/>
      <c r="DCK28" s="63"/>
      <c r="DCL28" s="63"/>
      <c r="DCM28" s="63"/>
      <c r="DCN28" s="63"/>
      <c r="DCO28" s="63"/>
      <c r="DCP28" s="54"/>
      <c r="DCQ28" s="54"/>
      <c r="DCR28" s="54"/>
      <c r="DCS28" s="57"/>
      <c r="DCT28" s="62"/>
      <c r="DCU28" s="63"/>
      <c r="DCV28" s="63"/>
      <c r="DCW28" s="63"/>
      <c r="DCX28" s="63"/>
      <c r="DCY28" s="63"/>
      <c r="DCZ28" s="63"/>
      <c r="DDA28" s="63"/>
      <c r="DDB28" s="63"/>
      <c r="DDC28" s="63"/>
      <c r="DDD28" s="63"/>
      <c r="DDE28" s="63"/>
      <c r="DDF28" s="54"/>
      <c r="DDG28" s="54"/>
      <c r="DDH28" s="54"/>
      <c r="DDI28" s="57"/>
      <c r="DDJ28" s="62"/>
      <c r="DDK28" s="63"/>
      <c r="DDL28" s="63"/>
      <c r="DDM28" s="63"/>
      <c r="DDN28" s="63"/>
      <c r="DDO28" s="63"/>
      <c r="DDP28" s="63"/>
      <c r="DDQ28" s="63"/>
      <c r="DDR28" s="63"/>
      <c r="DDS28" s="63"/>
      <c r="DDT28" s="63"/>
      <c r="DDU28" s="63"/>
      <c r="DDV28" s="54"/>
      <c r="DDW28" s="54"/>
      <c r="DDX28" s="54"/>
      <c r="DDY28" s="57"/>
      <c r="DDZ28" s="62"/>
      <c r="DEA28" s="63"/>
      <c r="DEB28" s="63"/>
      <c r="DEC28" s="63"/>
      <c r="DED28" s="63"/>
      <c r="DEE28" s="63"/>
      <c r="DEF28" s="63"/>
      <c r="DEG28" s="63"/>
      <c r="DEH28" s="63"/>
      <c r="DEI28" s="63"/>
      <c r="DEJ28" s="63"/>
      <c r="DEK28" s="63"/>
      <c r="DEL28" s="54"/>
      <c r="DEM28" s="54"/>
      <c r="DEN28" s="54"/>
      <c r="DEO28" s="57"/>
      <c r="DEP28" s="62"/>
      <c r="DEQ28" s="63"/>
      <c r="DER28" s="63"/>
      <c r="DES28" s="63"/>
      <c r="DET28" s="63"/>
      <c r="DEU28" s="63"/>
      <c r="DEV28" s="63"/>
      <c r="DEW28" s="63"/>
      <c r="DEX28" s="63"/>
      <c r="DEY28" s="63"/>
      <c r="DEZ28" s="63"/>
      <c r="DFA28" s="63"/>
      <c r="DFB28" s="54"/>
      <c r="DFC28" s="54"/>
      <c r="DFD28" s="54"/>
      <c r="DFE28" s="57"/>
      <c r="DFF28" s="62"/>
      <c r="DFG28" s="63"/>
      <c r="DFH28" s="63"/>
      <c r="DFI28" s="63"/>
      <c r="DFJ28" s="63"/>
      <c r="DFK28" s="63"/>
      <c r="DFL28" s="63"/>
      <c r="DFM28" s="63"/>
      <c r="DFN28" s="63"/>
      <c r="DFO28" s="63"/>
      <c r="DFP28" s="63"/>
      <c r="DFQ28" s="63"/>
      <c r="DFR28" s="54"/>
      <c r="DFS28" s="54"/>
      <c r="DFT28" s="54"/>
      <c r="DFU28" s="57"/>
      <c r="DFV28" s="62"/>
      <c r="DFW28" s="63"/>
      <c r="DFX28" s="63"/>
      <c r="DFY28" s="63"/>
      <c r="DFZ28" s="63"/>
      <c r="DGA28" s="63"/>
      <c r="DGB28" s="63"/>
      <c r="DGC28" s="63"/>
      <c r="DGD28" s="63"/>
      <c r="DGE28" s="63"/>
      <c r="DGF28" s="63"/>
      <c r="DGG28" s="63"/>
      <c r="DGH28" s="54"/>
      <c r="DGI28" s="54"/>
      <c r="DGJ28" s="54"/>
      <c r="DGK28" s="57"/>
      <c r="DGL28" s="62"/>
      <c r="DGM28" s="63"/>
      <c r="DGN28" s="63"/>
      <c r="DGO28" s="63"/>
      <c r="DGP28" s="63"/>
      <c r="DGQ28" s="63"/>
      <c r="DGR28" s="63"/>
      <c r="DGS28" s="63"/>
      <c r="DGT28" s="63"/>
      <c r="DGU28" s="63"/>
      <c r="DGV28" s="63"/>
      <c r="DGW28" s="63"/>
      <c r="DGX28" s="54"/>
      <c r="DGY28" s="54"/>
      <c r="DGZ28" s="54"/>
      <c r="DHA28" s="57"/>
      <c r="DHB28" s="62"/>
      <c r="DHC28" s="63"/>
      <c r="DHD28" s="63"/>
      <c r="DHE28" s="63"/>
      <c r="DHF28" s="63"/>
      <c r="DHG28" s="63"/>
      <c r="DHH28" s="63"/>
      <c r="DHI28" s="63"/>
      <c r="DHJ28" s="63"/>
      <c r="DHK28" s="63"/>
      <c r="DHL28" s="63"/>
      <c r="DHM28" s="63"/>
      <c r="DHN28" s="54"/>
      <c r="DHO28" s="54"/>
      <c r="DHP28" s="54"/>
      <c r="DHQ28" s="57"/>
      <c r="DHR28" s="62"/>
      <c r="DHS28" s="63"/>
      <c r="DHT28" s="63"/>
      <c r="DHU28" s="63"/>
      <c r="DHV28" s="63"/>
      <c r="DHW28" s="63"/>
      <c r="DHX28" s="63"/>
      <c r="DHY28" s="63"/>
      <c r="DHZ28" s="63"/>
      <c r="DIA28" s="63"/>
      <c r="DIB28" s="63"/>
      <c r="DIC28" s="63"/>
      <c r="DID28" s="54"/>
      <c r="DIE28" s="54"/>
      <c r="DIF28" s="54"/>
      <c r="DIG28" s="57"/>
      <c r="DIH28" s="62"/>
      <c r="DII28" s="63"/>
      <c r="DIJ28" s="63"/>
      <c r="DIK28" s="63"/>
      <c r="DIL28" s="63"/>
      <c r="DIM28" s="63"/>
      <c r="DIN28" s="63"/>
      <c r="DIO28" s="63"/>
      <c r="DIP28" s="63"/>
      <c r="DIQ28" s="63"/>
      <c r="DIR28" s="63"/>
      <c r="DIS28" s="63"/>
      <c r="DIT28" s="54"/>
      <c r="DIU28" s="54"/>
      <c r="DIV28" s="54"/>
      <c r="DIW28" s="57"/>
      <c r="DIX28" s="62"/>
      <c r="DIY28" s="63"/>
      <c r="DIZ28" s="63"/>
      <c r="DJA28" s="63"/>
      <c r="DJB28" s="63"/>
      <c r="DJC28" s="63"/>
      <c r="DJD28" s="63"/>
      <c r="DJE28" s="63"/>
      <c r="DJF28" s="63"/>
      <c r="DJG28" s="63"/>
      <c r="DJH28" s="63"/>
      <c r="DJI28" s="63"/>
      <c r="DJJ28" s="54"/>
      <c r="DJK28" s="54"/>
      <c r="DJL28" s="54"/>
      <c r="DJM28" s="57"/>
      <c r="DJN28" s="62"/>
      <c r="DJO28" s="63"/>
      <c r="DJP28" s="63"/>
      <c r="DJQ28" s="63"/>
      <c r="DJR28" s="63"/>
      <c r="DJS28" s="63"/>
      <c r="DJT28" s="63"/>
      <c r="DJU28" s="63"/>
      <c r="DJV28" s="63"/>
      <c r="DJW28" s="63"/>
      <c r="DJX28" s="63"/>
      <c r="DJY28" s="63"/>
      <c r="DJZ28" s="54"/>
      <c r="DKA28" s="54"/>
      <c r="DKB28" s="54"/>
      <c r="DKC28" s="57"/>
      <c r="DKD28" s="62"/>
      <c r="DKE28" s="63"/>
      <c r="DKF28" s="63"/>
      <c r="DKG28" s="63"/>
      <c r="DKH28" s="63"/>
      <c r="DKI28" s="63"/>
      <c r="DKJ28" s="63"/>
      <c r="DKK28" s="63"/>
      <c r="DKL28" s="63"/>
      <c r="DKM28" s="63"/>
      <c r="DKN28" s="63"/>
      <c r="DKO28" s="63"/>
      <c r="DKP28" s="54"/>
      <c r="DKQ28" s="54"/>
      <c r="DKR28" s="54"/>
      <c r="DKS28" s="57"/>
      <c r="DKT28" s="62"/>
      <c r="DKU28" s="63"/>
      <c r="DKV28" s="63"/>
      <c r="DKW28" s="63"/>
      <c r="DKX28" s="63"/>
      <c r="DKY28" s="63"/>
      <c r="DKZ28" s="63"/>
      <c r="DLA28" s="63"/>
      <c r="DLB28" s="63"/>
      <c r="DLC28" s="63"/>
      <c r="DLD28" s="63"/>
      <c r="DLE28" s="63"/>
      <c r="DLF28" s="54"/>
      <c r="DLG28" s="54"/>
      <c r="DLH28" s="54"/>
      <c r="DLI28" s="57"/>
      <c r="DLJ28" s="62"/>
      <c r="DLK28" s="63"/>
      <c r="DLL28" s="63"/>
      <c r="DLM28" s="63"/>
      <c r="DLN28" s="63"/>
      <c r="DLO28" s="63"/>
      <c r="DLP28" s="63"/>
      <c r="DLQ28" s="63"/>
      <c r="DLR28" s="63"/>
      <c r="DLS28" s="63"/>
      <c r="DLT28" s="63"/>
      <c r="DLU28" s="63"/>
      <c r="DLV28" s="54"/>
      <c r="DLW28" s="54"/>
      <c r="DLX28" s="54"/>
      <c r="DLY28" s="57"/>
      <c r="DLZ28" s="62"/>
      <c r="DMA28" s="63"/>
      <c r="DMB28" s="63"/>
      <c r="DMC28" s="63"/>
      <c r="DMD28" s="63"/>
      <c r="DME28" s="63"/>
      <c r="DMF28" s="63"/>
      <c r="DMG28" s="63"/>
      <c r="DMH28" s="63"/>
      <c r="DMI28" s="63"/>
      <c r="DMJ28" s="63"/>
      <c r="DMK28" s="63"/>
      <c r="DML28" s="54"/>
      <c r="DMM28" s="54"/>
      <c r="DMN28" s="54"/>
      <c r="DMO28" s="57"/>
      <c r="DMP28" s="62"/>
      <c r="DMQ28" s="63"/>
      <c r="DMR28" s="63"/>
      <c r="DMS28" s="63"/>
      <c r="DMT28" s="63"/>
      <c r="DMU28" s="63"/>
      <c r="DMV28" s="63"/>
      <c r="DMW28" s="63"/>
      <c r="DMX28" s="63"/>
      <c r="DMY28" s="63"/>
      <c r="DMZ28" s="63"/>
      <c r="DNA28" s="63"/>
      <c r="DNB28" s="54"/>
      <c r="DNC28" s="54"/>
      <c r="DND28" s="54"/>
      <c r="DNE28" s="57"/>
      <c r="DNF28" s="62"/>
      <c r="DNG28" s="63"/>
      <c r="DNH28" s="63"/>
      <c r="DNI28" s="63"/>
      <c r="DNJ28" s="63"/>
      <c r="DNK28" s="63"/>
      <c r="DNL28" s="63"/>
      <c r="DNM28" s="63"/>
      <c r="DNN28" s="63"/>
      <c r="DNO28" s="63"/>
      <c r="DNP28" s="63"/>
      <c r="DNQ28" s="63"/>
      <c r="DNR28" s="54"/>
      <c r="DNS28" s="54"/>
      <c r="DNT28" s="54"/>
      <c r="DNU28" s="57"/>
      <c r="DNV28" s="62"/>
      <c r="DNW28" s="63"/>
      <c r="DNX28" s="63"/>
      <c r="DNY28" s="63"/>
      <c r="DNZ28" s="63"/>
      <c r="DOA28" s="63"/>
      <c r="DOB28" s="63"/>
      <c r="DOC28" s="63"/>
      <c r="DOD28" s="63"/>
      <c r="DOE28" s="63"/>
      <c r="DOF28" s="63"/>
      <c r="DOG28" s="63"/>
      <c r="DOH28" s="54"/>
      <c r="DOI28" s="54"/>
      <c r="DOJ28" s="54"/>
      <c r="DOK28" s="57"/>
      <c r="DOL28" s="62"/>
      <c r="DOM28" s="63"/>
      <c r="DON28" s="63"/>
      <c r="DOO28" s="63"/>
      <c r="DOP28" s="63"/>
      <c r="DOQ28" s="63"/>
      <c r="DOR28" s="63"/>
      <c r="DOS28" s="63"/>
      <c r="DOT28" s="63"/>
      <c r="DOU28" s="63"/>
      <c r="DOV28" s="63"/>
      <c r="DOW28" s="63"/>
      <c r="DOX28" s="54"/>
      <c r="DOY28" s="54"/>
      <c r="DOZ28" s="54"/>
      <c r="DPA28" s="57"/>
      <c r="DPB28" s="62"/>
      <c r="DPC28" s="63"/>
      <c r="DPD28" s="63"/>
      <c r="DPE28" s="63"/>
      <c r="DPF28" s="63"/>
      <c r="DPG28" s="63"/>
      <c r="DPH28" s="63"/>
      <c r="DPI28" s="63"/>
      <c r="DPJ28" s="63"/>
      <c r="DPK28" s="63"/>
      <c r="DPL28" s="63"/>
      <c r="DPM28" s="63"/>
      <c r="DPN28" s="54"/>
      <c r="DPO28" s="54"/>
      <c r="DPP28" s="54"/>
      <c r="DPQ28" s="57"/>
      <c r="DPR28" s="62"/>
      <c r="DPS28" s="63"/>
      <c r="DPT28" s="63"/>
      <c r="DPU28" s="63"/>
      <c r="DPV28" s="63"/>
      <c r="DPW28" s="63"/>
      <c r="DPX28" s="63"/>
      <c r="DPY28" s="63"/>
      <c r="DPZ28" s="63"/>
      <c r="DQA28" s="63"/>
      <c r="DQB28" s="63"/>
      <c r="DQC28" s="63"/>
      <c r="DQD28" s="54"/>
      <c r="DQE28" s="54"/>
      <c r="DQF28" s="54"/>
      <c r="DQG28" s="57"/>
      <c r="DQH28" s="62"/>
      <c r="DQI28" s="63"/>
      <c r="DQJ28" s="63"/>
      <c r="DQK28" s="63"/>
      <c r="DQL28" s="63"/>
      <c r="DQM28" s="63"/>
      <c r="DQN28" s="63"/>
      <c r="DQO28" s="63"/>
      <c r="DQP28" s="63"/>
      <c r="DQQ28" s="63"/>
      <c r="DQR28" s="63"/>
      <c r="DQS28" s="63"/>
      <c r="DQT28" s="54"/>
      <c r="DQU28" s="54"/>
      <c r="DQV28" s="54"/>
      <c r="DQW28" s="57"/>
      <c r="DQX28" s="62"/>
      <c r="DQY28" s="63"/>
      <c r="DQZ28" s="63"/>
      <c r="DRA28" s="63"/>
      <c r="DRB28" s="63"/>
      <c r="DRC28" s="63"/>
      <c r="DRD28" s="63"/>
      <c r="DRE28" s="63"/>
      <c r="DRF28" s="63"/>
      <c r="DRG28" s="63"/>
      <c r="DRH28" s="63"/>
      <c r="DRI28" s="63"/>
      <c r="DRJ28" s="54"/>
      <c r="DRK28" s="54"/>
      <c r="DRL28" s="54"/>
      <c r="DRM28" s="57"/>
      <c r="DRN28" s="62"/>
      <c r="DRO28" s="63"/>
      <c r="DRP28" s="63"/>
      <c r="DRQ28" s="63"/>
      <c r="DRR28" s="63"/>
      <c r="DRS28" s="63"/>
      <c r="DRT28" s="63"/>
      <c r="DRU28" s="63"/>
      <c r="DRV28" s="63"/>
      <c r="DRW28" s="63"/>
      <c r="DRX28" s="63"/>
      <c r="DRY28" s="63"/>
      <c r="DRZ28" s="54"/>
      <c r="DSA28" s="54"/>
      <c r="DSB28" s="54"/>
      <c r="DSC28" s="57"/>
      <c r="DSD28" s="62"/>
      <c r="DSE28" s="63"/>
      <c r="DSF28" s="63"/>
      <c r="DSG28" s="63"/>
      <c r="DSH28" s="63"/>
      <c r="DSI28" s="63"/>
      <c r="DSJ28" s="63"/>
      <c r="DSK28" s="63"/>
      <c r="DSL28" s="63"/>
      <c r="DSM28" s="63"/>
      <c r="DSN28" s="63"/>
      <c r="DSO28" s="63"/>
      <c r="DSP28" s="54"/>
      <c r="DSQ28" s="54"/>
      <c r="DSR28" s="54"/>
      <c r="DSS28" s="57"/>
      <c r="DST28" s="62"/>
      <c r="DSU28" s="63"/>
      <c r="DSV28" s="63"/>
      <c r="DSW28" s="63"/>
      <c r="DSX28" s="63"/>
      <c r="DSY28" s="63"/>
      <c r="DSZ28" s="63"/>
      <c r="DTA28" s="63"/>
      <c r="DTB28" s="63"/>
      <c r="DTC28" s="63"/>
      <c r="DTD28" s="63"/>
      <c r="DTE28" s="63"/>
      <c r="DTF28" s="54"/>
      <c r="DTG28" s="54"/>
      <c r="DTH28" s="54"/>
      <c r="DTI28" s="57"/>
      <c r="DTJ28" s="62"/>
      <c r="DTK28" s="63"/>
      <c r="DTL28" s="63"/>
      <c r="DTM28" s="63"/>
      <c r="DTN28" s="63"/>
      <c r="DTO28" s="63"/>
      <c r="DTP28" s="63"/>
      <c r="DTQ28" s="63"/>
      <c r="DTR28" s="63"/>
      <c r="DTS28" s="63"/>
      <c r="DTT28" s="63"/>
      <c r="DTU28" s="63"/>
      <c r="DTV28" s="54"/>
      <c r="DTW28" s="54"/>
      <c r="DTX28" s="54"/>
      <c r="DTY28" s="57"/>
      <c r="DTZ28" s="62"/>
      <c r="DUA28" s="63"/>
      <c r="DUB28" s="63"/>
      <c r="DUC28" s="63"/>
      <c r="DUD28" s="63"/>
      <c r="DUE28" s="63"/>
      <c r="DUF28" s="63"/>
      <c r="DUG28" s="63"/>
      <c r="DUH28" s="63"/>
      <c r="DUI28" s="63"/>
      <c r="DUJ28" s="63"/>
      <c r="DUK28" s="63"/>
      <c r="DUL28" s="54"/>
      <c r="DUM28" s="54"/>
      <c r="DUN28" s="54"/>
      <c r="DUO28" s="57"/>
      <c r="DUP28" s="62"/>
      <c r="DUQ28" s="63"/>
      <c r="DUR28" s="63"/>
      <c r="DUS28" s="63"/>
      <c r="DUT28" s="63"/>
      <c r="DUU28" s="63"/>
      <c r="DUV28" s="63"/>
      <c r="DUW28" s="63"/>
      <c r="DUX28" s="63"/>
      <c r="DUY28" s="63"/>
      <c r="DUZ28" s="63"/>
      <c r="DVA28" s="63"/>
      <c r="DVB28" s="54"/>
      <c r="DVC28" s="54"/>
      <c r="DVD28" s="54"/>
      <c r="DVE28" s="57"/>
      <c r="DVF28" s="62"/>
      <c r="DVG28" s="63"/>
      <c r="DVH28" s="63"/>
      <c r="DVI28" s="63"/>
      <c r="DVJ28" s="63"/>
      <c r="DVK28" s="63"/>
      <c r="DVL28" s="63"/>
      <c r="DVM28" s="63"/>
      <c r="DVN28" s="63"/>
      <c r="DVO28" s="63"/>
      <c r="DVP28" s="63"/>
      <c r="DVQ28" s="63"/>
      <c r="DVR28" s="54"/>
      <c r="DVS28" s="54"/>
      <c r="DVT28" s="54"/>
      <c r="DVU28" s="57"/>
      <c r="DVV28" s="62"/>
      <c r="DVW28" s="63"/>
      <c r="DVX28" s="63"/>
      <c r="DVY28" s="63"/>
      <c r="DVZ28" s="63"/>
      <c r="DWA28" s="63"/>
      <c r="DWB28" s="63"/>
      <c r="DWC28" s="63"/>
      <c r="DWD28" s="63"/>
      <c r="DWE28" s="63"/>
      <c r="DWF28" s="63"/>
      <c r="DWG28" s="63"/>
      <c r="DWH28" s="54"/>
      <c r="DWI28" s="54"/>
      <c r="DWJ28" s="54"/>
      <c r="DWK28" s="57"/>
      <c r="DWL28" s="62"/>
      <c r="DWM28" s="63"/>
      <c r="DWN28" s="63"/>
      <c r="DWO28" s="63"/>
      <c r="DWP28" s="63"/>
      <c r="DWQ28" s="63"/>
      <c r="DWR28" s="63"/>
      <c r="DWS28" s="63"/>
      <c r="DWT28" s="63"/>
      <c r="DWU28" s="63"/>
      <c r="DWV28" s="63"/>
      <c r="DWW28" s="63"/>
      <c r="DWX28" s="54"/>
      <c r="DWY28" s="54"/>
      <c r="DWZ28" s="54"/>
      <c r="DXA28" s="57"/>
      <c r="DXB28" s="62"/>
      <c r="DXC28" s="63"/>
      <c r="DXD28" s="63"/>
      <c r="DXE28" s="63"/>
      <c r="DXF28" s="63"/>
      <c r="DXG28" s="63"/>
      <c r="DXH28" s="63"/>
      <c r="DXI28" s="63"/>
      <c r="DXJ28" s="63"/>
      <c r="DXK28" s="63"/>
      <c r="DXL28" s="63"/>
      <c r="DXM28" s="63"/>
      <c r="DXN28" s="54"/>
      <c r="DXO28" s="54"/>
      <c r="DXP28" s="54"/>
      <c r="DXQ28" s="57"/>
      <c r="DXR28" s="62"/>
      <c r="DXS28" s="63"/>
      <c r="DXT28" s="63"/>
      <c r="DXU28" s="63"/>
      <c r="DXV28" s="63"/>
      <c r="DXW28" s="63"/>
      <c r="DXX28" s="63"/>
      <c r="DXY28" s="63"/>
      <c r="DXZ28" s="63"/>
      <c r="DYA28" s="63"/>
      <c r="DYB28" s="63"/>
      <c r="DYC28" s="63"/>
      <c r="DYD28" s="54"/>
      <c r="DYE28" s="54"/>
      <c r="DYF28" s="54"/>
      <c r="DYG28" s="57"/>
      <c r="DYH28" s="62"/>
      <c r="DYI28" s="63"/>
      <c r="DYJ28" s="63"/>
      <c r="DYK28" s="63"/>
      <c r="DYL28" s="63"/>
      <c r="DYM28" s="63"/>
      <c r="DYN28" s="63"/>
      <c r="DYO28" s="63"/>
      <c r="DYP28" s="63"/>
      <c r="DYQ28" s="63"/>
      <c r="DYR28" s="63"/>
      <c r="DYS28" s="63"/>
      <c r="DYT28" s="54"/>
      <c r="DYU28" s="54"/>
      <c r="DYV28" s="54"/>
      <c r="DYW28" s="57"/>
      <c r="DYX28" s="62"/>
      <c r="DYY28" s="63"/>
      <c r="DYZ28" s="63"/>
      <c r="DZA28" s="63"/>
      <c r="DZB28" s="63"/>
      <c r="DZC28" s="63"/>
      <c r="DZD28" s="63"/>
      <c r="DZE28" s="63"/>
      <c r="DZF28" s="63"/>
      <c r="DZG28" s="63"/>
      <c r="DZH28" s="63"/>
      <c r="DZI28" s="63"/>
      <c r="DZJ28" s="54"/>
      <c r="DZK28" s="54"/>
      <c r="DZL28" s="54"/>
      <c r="DZM28" s="57"/>
      <c r="DZN28" s="62"/>
      <c r="DZO28" s="63"/>
      <c r="DZP28" s="63"/>
      <c r="DZQ28" s="63"/>
      <c r="DZR28" s="63"/>
      <c r="DZS28" s="63"/>
      <c r="DZT28" s="63"/>
      <c r="DZU28" s="63"/>
      <c r="DZV28" s="63"/>
      <c r="DZW28" s="63"/>
      <c r="DZX28" s="63"/>
      <c r="DZY28" s="63"/>
      <c r="DZZ28" s="54"/>
      <c r="EAA28" s="54"/>
      <c r="EAB28" s="54"/>
      <c r="EAC28" s="57"/>
      <c r="EAD28" s="62"/>
      <c r="EAE28" s="63"/>
      <c r="EAF28" s="63"/>
      <c r="EAG28" s="63"/>
      <c r="EAH28" s="63"/>
      <c r="EAI28" s="63"/>
      <c r="EAJ28" s="63"/>
      <c r="EAK28" s="63"/>
      <c r="EAL28" s="63"/>
      <c r="EAM28" s="63"/>
      <c r="EAN28" s="63"/>
      <c r="EAO28" s="63"/>
      <c r="EAP28" s="54"/>
      <c r="EAQ28" s="54"/>
      <c r="EAR28" s="54"/>
      <c r="EAS28" s="57"/>
      <c r="EAT28" s="62"/>
      <c r="EAU28" s="63"/>
      <c r="EAV28" s="63"/>
      <c r="EAW28" s="63"/>
      <c r="EAX28" s="63"/>
      <c r="EAY28" s="63"/>
      <c r="EAZ28" s="63"/>
      <c r="EBA28" s="63"/>
      <c r="EBB28" s="63"/>
      <c r="EBC28" s="63"/>
      <c r="EBD28" s="63"/>
      <c r="EBE28" s="63"/>
      <c r="EBF28" s="54"/>
      <c r="EBG28" s="54"/>
      <c r="EBH28" s="54"/>
      <c r="EBI28" s="57"/>
      <c r="EBJ28" s="62"/>
      <c r="EBK28" s="63"/>
      <c r="EBL28" s="63"/>
      <c r="EBM28" s="63"/>
      <c r="EBN28" s="63"/>
      <c r="EBO28" s="63"/>
      <c r="EBP28" s="63"/>
      <c r="EBQ28" s="63"/>
      <c r="EBR28" s="63"/>
      <c r="EBS28" s="63"/>
      <c r="EBT28" s="63"/>
      <c r="EBU28" s="63"/>
      <c r="EBV28" s="54"/>
      <c r="EBW28" s="54"/>
      <c r="EBX28" s="54"/>
      <c r="EBY28" s="57"/>
      <c r="EBZ28" s="62"/>
      <c r="ECA28" s="63"/>
      <c r="ECB28" s="63"/>
      <c r="ECC28" s="63"/>
      <c r="ECD28" s="63"/>
      <c r="ECE28" s="63"/>
      <c r="ECF28" s="63"/>
      <c r="ECG28" s="63"/>
      <c r="ECH28" s="63"/>
      <c r="ECI28" s="63"/>
      <c r="ECJ28" s="63"/>
      <c r="ECK28" s="63"/>
      <c r="ECL28" s="54"/>
      <c r="ECM28" s="54"/>
      <c r="ECN28" s="54"/>
      <c r="ECO28" s="57"/>
      <c r="ECP28" s="62"/>
      <c r="ECQ28" s="63"/>
      <c r="ECR28" s="63"/>
      <c r="ECS28" s="63"/>
      <c r="ECT28" s="63"/>
      <c r="ECU28" s="63"/>
      <c r="ECV28" s="63"/>
      <c r="ECW28" s="63"/>
      <c r="ECX28" s="63"/>
      <c r="ECY28" s="63"/>
      <c r="ECZ28" s="63"/>
      <c r="EDA28" s="63"/>
      <c r="EDB28" s="54"/>
      <c r="EDC28" s="54"/>
      <c r="EDD28" s="54"/>
      <c r="EDE28" s="57"/>
      <c r="EDF28" s="62"/>
      <c r="EDG28" s="63"/>
      <c r="EDH28" s="63"/>
      <c r="EDI28" s="63"/>
      <c r="EDJ28" s="63"/>
      <c r="EDK28" s="63"/>
      <c r="EDL28" s="63"/>
      <c r="EDM28" s="63"/>
      <c r="EDN28" s="63"/>
      <c r="EDO28" s="63"/>
      <c r="EDP28" s="63"/>
      <c r="EDQ28" s="63"/>
      <c r="EDR28" s="54"/>
      <c r="EDS28" s="54"/>
      <c r="EDT28" s="54"/>
      <c r="EDU28" s="57"/>
      <c r="EDV28" s="62"/>
      <c r="EDW28" s="63"/>
      <c r="EDX28" s="63"/>
      <c r="EDY28" s="63"/>
      <c r="EDZ28" s="63"/>
      <c r="EEA28" s="63"/>
      <c r="EEB28" s="63"/>
      <c r="EEC28" s="63"/>
      <c r="EED28" s="63"/>
      <c r="EEE28" s="63"/>
      <c r="EEF28" s="63"/>
      <c r="EEG28" s="63"/>
      <c r="EEH28" s="54"/>
      <c r="EEI28" s="54"/>
      <c r="EEJ28" s="54"/>
      <c r="EEK28" s="57"/>
      <c r="EEL28" s="62"/>
      <c r="EEM28" s="63"/>
      <c r="EEN28" s="63"/>
      <c r="EEO28" s="63"/>
      <c r="EEP28" s="63"/>
      <c r="EEQ28" s="63"/>
      <c r="EER28" s="63"/>
      <c r="EES28" s="63"/>
      <c r="EET28" s="63"/>
      <c r="EEU28" s="63"/>
      <c r="EEV28" s="63"/>
      <c r="EEW28" s="63"/>
      <c r="EEX28" s="54"/>
      <c r="EEY28" s="54"/>
      <c r="EEZ28" s="54"/>
      <c r="EFA28" s="57"/>
      <c r="EFB28" s="62"/>
      <c r="EFC28" s="63"/>
      <c r="EFD28" s="63"/>
      <c r="EFE28" s="63"/>
      <c r="EFF28" s="63"/>
      <c r="EFG28" s="63"/>
      <c r="EFH28" s="63"/>
      <c r="EFI28" s="63"/>
      <c r="EFJ28" s="63"/>
      <c r="EFK28" s="63"/>
      <c r="EFL28" s="63"/>
      <c r="EFM28" s="63"/>
      <c r="EFN28" s="54"/>
      <c r="EFO28" s="54"/>
      <c r="EFP28" s="54"/>
      <c r="EFQ28" s="57"/>
      <c r="EFR28" s="62"/>
      <c r="EFS28" s="63"/>
      <c r="EFT28" s="63"/>
      <c r="EFU28" s="63"/>
      <c r="EFV28" s="63"/>
      <c r="EFW28" s="63"/>
      <c r="EFX28" s="63"/>
      <c r="EFY28" s="63"/>
      <c r="EFZ28" s="63"/>
      <c r="EGA28" s="63"/>
      <c r="EGB28" s="63"/>
      <c r="EGC28" s="63"/>
      <c r="EGD28" s="54"/>
      <c r="EGE28" s="54"/>
      <c r="EGF28" s="54"/>
      <c r="EGG28" s="57"/>
      <c r="EGH28" s="62"/>
      <c r="EGI28" s="63"/>
      <c r="EGJ28" s="63"/>
      <c r="EGK28" s="63"/>
      <c r="EGL28" s="63"/>
      <c r="EGM28" s="63"/>
      <c r="EGN28" s="63"/>
      <c r="EGO28" s="63"/>
      <c r="EGP28" s="63"/>
      <c r="EGQ28" s="63"/>
      <c r="EGR28" s="63"/>
      <c r="EGS28" s="63"/>
      <c r="EGT28" s="54"/>
      <c r="EGU28" s="54"/>
      <c r="EGV28" s="54"/>
      <c r="EGW28" s="57"/>
      <c r="EGX28" s="62"/>
      <c r="EGY28" s="63"/>
      <c r="EGZ28" s="63"/>
      <c r="EHA28" s="63"/>
      <c r="EHB28" s="63"/>
      <c r="EHC28" s="63"/>
      <c r="EHD28" s="63"/>
      <c r="EHE28" s="63"/>
      <c r="EHF28" s="63"/>
      <c r="EHG28" s="63"/>
      <c r="EHH28" s="63"/>
      <c r="EHI28" s="63"/>
      <c r="EHJ28" s="54"/>
      <c r="EHK28" s="54"/>
      <c r="EHL28" s="54"/>
      <c r="EHM28" s="57"/>
      <c r="EHN28" s="62"/>
      <c r="EHO28" s="63"/>
      <c r="EHP28" s="63"/>
      <c r="EHQ28" s="63"/>
      <c r="EHR28" s="63"/>
      <c r="EHS28" s="63"/>
      <c r="EHT28" s="63"/>
      <c r="EHU28" s="63"/>
      <c r="EHV28" s="63"/>
      <c r="EHW28" s="63"/>
      <c r="EHX28" s="63"/>
      <c r="EHY28" s="63"/>
      <c r="EHZ28" s="54"/>
      <c r="EIA28" s="54"/>
      <c r="EIB28" s="54"/>
      <c r="EIC28" s="57"/>
      <c r="EID28" s="62"/>
      <c r="EIE28" s="63"/>
      <c r="EIF28" s="63"/>
      <c r="EIG28" s="63"/>
      <c r="EIH28" s="63"/>
      <c r="EII28" s="63"/>
      <c r="EIJ28" s="63"/>
      <c r="EIK28" s="63"/>
      <c r="EIL28" s="63"/>
      <c r="EIM28" s="63"/>
      <c r="EIN28" s="63"/>
      <c r="EIO28" s="63"/>
      <c r="EIP28" s="54"/>
      <c r="EIQ28" s="54"/>
      <c r="EIR28" s="54"/>
      <c r="EIS28" s="57"/>
      <c r="EIT28" s="62"/>
      <c r="EIU28" s="63"/>
      <c r="EIV28" s="63"/>
      <c r="EIW28" s="63"/>
      <c r="EIX28" s="63"/>
      <c r="EIY28" s="63"/>
      <c r="EIZ28" s="63"/>
      <c r="EJA28" s="63"/>
      <c r="EJB28" s="63"/>
      <c r="EJC28" s="63"/>
      <c r="EJD28" s="63"/>
      <c r="EJE28" s="63"/>
      <c r="EJF28" s="54"/>
      <c r="EJG28" s="54"/>
      <c r="EJH28" s="54"/>
      <c r="EJI28" s="57"/>
      <c r="EJJ28" s="62"/>
      <c r="EJK28" s="63"/>
      <c r="EJL28" s="63"/>
      <c r="EJM28" s="63"/>
      <c r="EJN28" s="63"/>
      <c r="EJO28" s="63"/>
      <c r="EJP28" s="63"/>
      <c r="EJQ28" s="63"/>
      <c r="EJR28" s="63"/>
      <c r="EJS28" s="63"/>
      <c r="EJT28" s="63"/>
      <c r="EJU28" s="63"/>
      <c r="EJV28" s="54"/>
      <c r="EJW28" s="54"/>
      <c r="EJX28" s="54"/>
      <c r="EJY28" s="57"/>
      <c r="EJZ28" s="62"/>
      <c r="EKA28" s="63"/>
      <c r="EKB28" s="63"/>
      <c r="EKC28" s="63"/>
      <c r="EKD28" s="63"/>
      <c r="EKE28" s="63"/>
      <c r="EKF28" s="63"/>
      <c r="EKG28" s="63"/>
      <c r="EKH28" s="63"/>
      <c r="EKI28" s="63"/>
      <c r="EKJ28" s="63"/>
      <c r="EKK28" s="63"/>
      <c r="EKL28" s="54"/>
      <c r="EKM28" s="54"/>
      <c r="EKN28" s="54"/>
      <c r="EKO28" s="57"/>
      <c r="EKP28" s="62"/>
      <c r="EKQ28" s="63"/>
      <c r="EKR28" s="63"/>
      <c r="EKS28" s="63"/>
      <c r="EKT28" s="63"/>
      <c r="EKU28" s="63"/>
      <c r="EKV28" s="63"/>
      <c r="EKW28" s="63"/>
      <c r="EKX28" s="63"/>
      <c r="EKY28" s="63"/>
      <c r="EKZ28" s="63"/>
      <c r="ELA28" s="63"/>
      <c r="ELB28" s="54"/>
      <c r="ELC28" s="54"/>
      <c r="ELD28" s="54"/>
      <c r="ELE28" s="57"/>
      <c r="ELF28" s="62"/>
      <c r="ELG28" s="63"/>
      <c r="ELH28" s="63"/>
      <c r="ELI28" s="63"/>
      <c r="ELJ28" s="63"/>
      <c r="ELK28" s="63"/>
      <c r="ELL28" s="63"/>
      <c r="ELM28" s="63"/>
      <c r="ELN28" s="63"/>
      <c r="ELO28" s="63"/>
      <c r="ELP28" s="63"/>
      <c r="ELQ28" s="63"/>
      <c r="ELR28" s="54"/>
      <c r="ELS28" s="54"/>
      <c r="ELT28" s="54"/>
      <c r="ELU28" s="57"/>
      <c r="ELV28" s="62"/>
      <c r="ELW28" s="63"/>
      <c r="ELX28" s="63"/>
      <c r="ELY28" s="63"/>
      <c r="ELZ28" s="63"/>
      <c r="EMA28" s="63"/>
      <c r="EMB28" s="63"/>
      <c r="EMC28" s="63"/>
      <c r="EMD28" s="63"/>
      <c r="EME28" s="63"/>
      <c r="EMF28" s="63"/>
      <c r="EMG28" s="63"/>
      <c r="EMH28" s="54"/>
      <c r="EMI28" s="54"/>
      <c r="EMJ28" s="54"/>
      <c r="EMK28" s="57"/>
      <c r="EML28" s="62"/>
      <c r="EMM28" s="63"/>
      <c r="EMN28" s="63"/>
      <c r="EMO28" s="63"/>
      <c r="EMP28" s="63"/>
      <c r="EMQ28" s="63"/>
      <c r="EMR28" s="63"/>
      <c r="EMS28" s="63"/>
      <c r="EMT28" s="63"/>
      <c r="EMU28" s="63"/>
      <c r="EMV28" s="63"/>
      <c r="EMW28" s="63"/>
      <c r="EMX28" s="54"/>
      <c r="EMY28" s="54"/>
      <c r="EMZ28" s="54"/>
      <c r="ENA28" s="57"/>
      <c r="ENB28" s="62"/>
      <c r="ENC28" s="63"/>
      <c r="END28" s="63"/>
      <c r="ENE28" s="63"/>
      <c r="ENF28" s="63"/>
      <c r="ENG28" s="63"/>
      <c r="ENH28" s="63"/>
      <c r="ENI28" s="63"/>
      <c r="ENJ28" s="63"/>
      <c r="ENK28" s="63"/>
      <c r="ENL28" s="63"/>
      <c r="ENM28" s="63"/>
      <c r="ENN28" s="54"/>
      <c r="ENO28" s="54"/>
      <c r="ENP28" s="54"/>
      <c r="ENQ28" s="57"/>
      <c r="ENR28" s="62"/>
      <c r="ENS28" s="63"/>
      <c r="ENT28" s="63"/>
      <c r="ENU28" s="63"/>
      <c r="ENV28" s="63"/>
      <c r="ENW28" s="63"/>
      <c r="ENX28" s="63"/>
      <c r="ENY28" s="63"/>
      <c r="ENZ28" s="63"/>
      <c r="EOA28" s="63"/>
      <c r="EOB28" s="63"/>
      <c r="EOC28" s="63"/>
      <c r="EOD28" s="54"/>
      <c r="EOE28" s="54"/>
      <c r="EOF28" s="54"/>
      <c r="EOG28" s="57"/>
      <c r="EOH28" s="62"/>
      <c r="EOI28" s="63"/>
      <c r="EOJ28" s="63"/>
      <c r="EOK28" s="63"/>
      <c r="EOL28" s="63"/>
      <c r="EOM28" s="63"/>
      <c r="EON28" s="63"/>
      <c r="EOO28" s="63"/>
      <c r="EOP28" s="63"/>
      <c r="EOQ28" s="63"/>
      <c r="EOR28" s="63"/>
      <c r="EOS28" s="63"/>
      <c r="EOT28" s="54"/>
      <c r="EOU28" s="54"/>
      <c r="EOV28" s="54"/>
      <c r="EOW28" s="57"/>
      <c r="EOX28" s="62"/>
      <c r="EOY28" s="63"/>
      <c r="EOZ28" s="63"/>
      <c r="EPA28" s="63"/>
      <c r="EPB28" s="63"/>
      <c r="EPC28" s="63"/>
      <c r="EPD28" s="63"/>
      <c r="EPE28" s="63"/>
      <c r="EPF28" s="63"/>
      <c r="EPG28" s="63"/>
      <c r="EPH28" s="63"/>
      <c r="EPI28" s="63"/>
      <c r="EPJ28" s="54"/>
      <c r="EPK28" s="54"/>
      <c r="EPL28" s="54"/>
      <c r="EPM28" s="57"/>
      <c r="EPN28" s="62"/>
      <c r="EPO28" s="63"/>
      <c r="EPP28" s="63"/>
      <c r="EPQ28" s="63"/>
      <c r="EPR28" s="63"/>
      <c r="EPS28" s="63"/>
      <c r="EPT28" s="63"/>
      <c r="EPU28" s="63"/>
      <c r="EPV28" s="63"/>
      <c r="EPW28" s="63"/>
      <c r="EPX28" s="63"/>
      <c r="EPY28" s="63"/>
      <c r="EPZ28" s="54"/>
      <c r="EQA28" s="54"/>
      <c r="EQB28" s="54"/>
      <c r="EQC28" s="57"/>
      <c r="EQD28" s="62"/>
      <c r="EQE28" s="63"/>
      <c r="EQF28" s="63"/>
      <c r="EQG28" s="63"/>
      <c r="EQH28" s="63"/>
      <c r="EQI28" s="63"/>
      <c r="EQJ28" s="63"/>
      <c r="EQK28" s="63"/>
      <c r="EQL28" s="63"/>
      <c r="EQM28" s="63"/>
      <c r="EQN28" s="63"/>
      <c r="EQO28" s="63"/>
      <c r="EQP28" s="54"/>
      <c r="EQQ28" s="54"/>
      <c r="EQR28" s="54"/>
      <c r="EQS28" s="57"/>
      <c r="EQT28" s="62"/>
      <c r="EQU28" s="63"/>
      <c r="EQV28" s="63"/>
      <c r="EQW28" s="63"/>
      <c r="EQX28" s="63"/>
      <c r="EQY28" s="63"/>
      <c r="EQZ28" s="63"/>
      <c r="ERA28" s="63"/>
      <c r="ERB28" s="63"/>
      <c r="ERC28" s="63"/>
      <c r="ERD28" s="63"/>
      <c r="ERE28" s="63"/>
      <c r="ERF28" s="54"/>
      <c r="ERG28" s="54"/>
      <c r="ERH28" s="54"/>
      <c r="ERI28" s="57"/>
      <c r="ERJ28" s="62"/>
      <c r="ERK28" s="63"/>
      <c r="ERL28" s="63"/>
      <c r="ERM28" s="63"/>
      <c r="ERN28" s="63"/>
      <c r="ERO28" s="63"/>
      <c r="ERP28" s="63"/>
      <c r="ERQ28" s="63"/>
      <c r="ERR28" s="63"/>
      <c r="ERS28" s="63"/>
      <c r="ERT28" s="63"/>
      <c r="ERU28" s="63"/>
      <c r="ERV28" s="54"/>
      <c r="ERW28" s="54"/>
      <c r="ERX28" s="54"/>
      <c r="ERY28" s="57"/>
      <c r="ERZ28" s="62"/>
      <c r="ESA28" s="63"/>
      <c r="ESB28" s="63"/>
      <c r="ESC28" s="63"/>
      <c r="ESD28" s="63"/>
      <c r="ESE28" s="63"/>
      <c r="ESF28" s="63"/>
      <c r="ESG28" s="63"/>
      <c r="ESH28" s="63"/>
      <c r="ESI28" s="63"/>
      <c r="ESJ28" s="63"/>
      <c r="ESK28" s="63"/>
      <c r="ESL28" s="54"/>
      <c r="ESM28" s="54"/>
      <c r="ESN28" s="54"/>
      <c r="ESO28" s="57"/>
      <c r="ESP28" s="62"/>
      <c r="ESQ28" s="63"/>
      <c r="ESR28" s="63"/>
      <c r="ESS28" s="63"/>
      <c r="EST28" s="63"/>
      <c r="ESU28" s="63"/>
      <c r="ESV28" s="63"/>
      <c r="ESW28" s="63"/>
      <c r="ESX28" s="63"/>
      <c r="ESY28" s="63"/>
      <c r="ESZ28" s="63"/>
      <c r="ETA28" s="63"/>
      <c r="ETB28" s="54"/>
      <c r="ETC28" s="54"/>
      <c r="ETD28" s="54"/>
      <c r="ETE28" s="57"/>
      <c r="ETF28" s="62"/>
      <c r="ETG28" s="63"/>
      <c r="ETH28" s="63"/>
      <c r="ETI28" s="63"/>
      <c r="ETJ28" s="63"/>
      <c r="ETK28" s="63"/>
      <c r="ETL28" s="63"/>
      <c r="ETM28" s="63"/>
      <c r="ETN28" s="63"/>
      <c r="ETO28" s="63"/>
      <c r="ETP28" s="63"/>
      <c r="ETQ28" s="63"/>
      <c r="ETR28" s="54"/>
      <c r="ETS28" s="54"/>
      <c r="ETT28" s="54"/>
      <c r="ETU28" s="57"/>
      <c r="ETV28" s="62"/>
      <c r="ETW28" s="63"/>
      <c r="ETX28" s="63"/>
      <c r="ETY28" s="63"/>
      <c r="ETZ28" s="63"/>
      <c r="EUA28" s="63"/>
      <c r="EUB28" s="63"/>
      <c r="EUC28" s="63"/>
      <c r="EUD28" s="63"/>
      <c r="EUE28" s="63"/>
      <c r="EUF28" s="63"/>
      <c r="EUG28" s="63"/>
      <c r="EUH28" s="54"/>
      <c r="EUI28" s="54"/>
      <c r="EUJ28" s="54"/>
      <c r="EUK28" s="57"/>
      <c r="EUL28" s="62"/>
      <c r="EUM28" s="63"/>
      <c r="EUN28" s="63"/>
      <c r="EUO28" s="63"/>
      <c r="EUP28" s="63"/>
      <c r="EUQ28" s="63"/>
      <c r="EUR28" s="63"/>
      <c r="EUS28" s="63"/>
      <c r="EUT28" s="63"/>
      <c r="EUU28" s="63"/>
      <c r="EUV28" s="63"/>
      <c r="EUW28" s="63"/>
      <c r="EUX28" s="54"/>
      <c r="EUY28" s="54"/>
      <c r="EUZ28" s="54"/>
      <c r="EVA28" s="57"/>
      <c r="EVB28" s="62"/>
      <c r="EVC28" s="63"/>
      <c r="EVD28" s="63"/>
      <c r="EVE28" s="63"/>
      <c r="EVF28" s="63"/>
      <c r="EVG28" s="63"/>
      <c r="EVH28" s="63"/>
      <c r="EVI28" s="63"/>
      <c r="EVJ28" s="63"/>
      <c r="EVK28" s="63"/>
      <c r="EVL28" s="63"/>
      <c r="EVM28" s="63"/>
      <c r="EVN28" s="54"/>
      <c r="EVO28" s="54"/>
      <c r="EVP28" s="54"/>
      <c r="EVQ28" s="57"/>
      <c r="EVR28" s="62"/>
      <c r="EVS28" s="63"/>
      <c r="EVT28" s="63"/>
      <c r="EVU28" s="63"/>
      <c r="EVV28" s="63"/>
      <c r="EVW28" s="63"/>
      <c r="EVX28" s="63"/>
      <c r="EVY28" s="63"/>
      <c r="EVZ28" s="63"/>
      <c r="EWA28" s="63"/>
      <c r="EWB28" s="63"/>
      <c r="EWC28" s="63"/>
      <c r="EWD28" s="54"/>
      <c r="EWE28" s="54"/>
      <c r="EWF28" s="54"/>
      <c r="EWG28" s="57"/>
      <c r="EWH28" s="62"/>
      <c r="EWI28" s="63"/>
      <c r="EWJ28" s="63"/>
      <c r="EWK28" s="63"/>
      <c r="EWL28" s="63"/>
      <c r="EWM28" s="63"/>
      <c r="EWN28" s="63"/>
      <c r="EWO28" s="63"/>
      <c r="EWP28" s="63"/>
      <c r="EWQ28" s="63"/>
      <c r="EWR28" s="63"/>
      <c r="EWS28" s="63"/>
      <c r="EWT28" s="54"/>
      <c r="EWU28" s="54"/>
      <c r="EWV28" s="54"/>
      <c r="EWW28" s="57"/>
      <c r="EWX28" s="62"/>
      <c r="EWY28" s="63"/>
      <c r="EWZ28" s="63"/>
      <c r="EXA28" s="63"/>
      <c r="EXB28" s="63"/>
      <c r="EXC28" s="63"/>
      <c r="EXD28" s="63"/>
      <c r="EXE28" s="63"/>
      <c r="EXF28" s="63"/>
      <c r="EXG28" s="63"/>
      <c r="EXH28" s="63"/>
      <c r="EXI28" s="63"/>
      <c r="EXJ28" s="54"/>
      <c r="EXK28" s="54"/>
      <c r="EXL28" s="54"/>
      <c r="EXM28" s="57"/>
      <c r="EXN28" s="62"/>
      <c r="EXO28" s="63"/>
      <c r="EXP28" s="63"/>
      <c r="EXQ28" s="63"/>
      <c r="EXR28" s="63"/>
      <c r="EXS28" s="63"/>
      <c r="EXT28" s="63"/>
      <c r="EXU28" s="63"/>
      <c r="EXV28" s="63"/>
      <c r="EXW28" s="63"/>
      <c r="EXX28" s="63"/>
      <c r="EXY28" s="63"/>
      <c r="EXZ28" s="54"/>
      <c r="EYA28" s="54"/>
      <c r="EYB28" s="54"/>
      <c r="EYC28" s="57"/>
      <c r="EYD28" s="62"/>
      <c r="EYE28" s="63"/>
      <c r="EYF28" s="63"/>
      <c r="EYG28" s="63"/>
      <c r="EYH28" s="63"/>
      <c r="EYI28" s="63"/>
      <c r="EYJ28" s="63"/>
      <c r="EYK28" s="63"/>
      <c r="EYL28" s="63"/>
      <c r="EYM28" s="63"/>
      <c r="EYN28" s="63"/>
      <c r="EYO28" s="63"/>
      <c r="EYP28" s="54"/>
      <c r="EYQ28" s="54"/>
      <c r="EYR28" s="54"/>
      <c r="EYS28" s="57"/>
      <c r="EYT28" s="62"/>
      <c r="EYU28" s="63"/>
      <c r="EYV28" s="63"/>
      <c r="EYW28" s="63"/>
      <c r="EYX28" s="63"/>
      <c r="EYY28" s="63"/>
      <c r="EYZ28" s="63"/>
      <c r="EZA28" s="63"/>
      <c r="EZB28" s="63"/>
      <c r="EZC28" s="63"/>
      <c r="EZD28" s="63"/>
      <c r="EZE28" s="63"/>
      <c r="EZF28" s="54"/>
      <c r="EZG28" s="54"/>
      <c r="EZH28" s="54"/>
      <c r="EZI28" s="57"/>
      <c r="EZJ28" s="62"/>
      <c r="EZK28" s="63"/>
      <c r="EZL28" s="63"/>
      <c r="EZM28" s="63"/>
      <c r="EZN28" s="63"/>
      <c r="EZO28" s="63"/>
      <c r="EZP28" s="63"/>
      <c r="EZQ28" s="63"/>
      <c r="EZR28" s="63"/>
      <c r="EZS28" s="63"/>
      <c r="EZT28" s="63"/>
      <c r="EZU28" s="63"/>
      <c r="EZV28" s="54"/>
      <c r="EZW28" s="54"/>
      <c r="EZX28" s="54"/>
      <c r="EZY28" s="57"/>
      <c r="EZZ28" s="62"/>
      <c r="FAA28" s="63"/>
      <c r="FAB28" s="63"/>
      <c r="FAC28" s="63"/>
      <c r="FAD28" s="63"/>
      <c r="FAE28" s="63"/>
      <c r="FAF28" s="63"/>
      <c r="FAG28" s="63"/>
      <c r="FAH28" s="63"/>
      <c r="FAI28" s="63"/>
      <c r="FAJ28" s="63"/>
      <c r="FAK28" s="63"/>
      <c r="FAL28" s="54"/>
      <c r="FAM28" s="54"/>
      <c r="FAN28" s="54"/>
      <c r="FAO28" s="57"/>
      <c r="FAP28" s="62"/>
      <c r="FAQ28" s="63"/>
      <c r="FAR28" s="63"/>
      <c r="FAS28" s="63"/>
      <c r="FAT28" s="63"/>
      <c r="FAU28" s="63"/>
      <c r="FAV28" s="63"/>
      <c r="FAW28" s="63"/>
      <c r="FAX28" s="63"/>
      <c r="FAY28" s="63"/>
      <c r="FAZ28" s="63"/>
      <c r="FBA28" s="63"/>
      <c r="FBB28" s="54"/>
      <c r="FBC28" s="54"/>
      <c r="FBD28" s="54"/>
      <c r="FBE28" s="57"/>
      <c r="FBF28" s="62"/>
      <c r="FBG28" s="63"/>
      <c r="FBH28" s="63"/>
      <c r="FBI28" s="63"/>
      <c r="FBJ28" s="63"/>
      <c r="FBK28" s="63"/>
      <c r="FBL28" s="63"/>
      <c r="FBM28" s="63"/>
      <c r="FBN28" s="63"/>
      <c r="FBO28" s="63"/>
      <c r="FBP28" s="63"/>
      <c r="FBQ28" s="63"/>
      <c r="FBR28" s="54"/>
      <c r="FBS28" s="54"/>
      <c r="FBT28" s="54"/>
      <c r="FBU28" s="57"/>
      <c r="FBV28" s="62"/>
      <c r="FBW28" s="63"/>
      <c r="FBX28" s="63"/>
      <c r="FBY28" s="63"/>
      <c r="FBZ28" s="63"/>
      <c r="FCA28" s="63"/>
      <c r="FCB28" s="63"/>
      <c r="FCC28" s="63"/>
      <c r="FCD28" s="63"/>
      <c r="FCE28" s="63"/>
      <c r="FCF28" s="63"/>
      <c r="FCG28" s="63"/>
      <c r="FCH28" s="54"/>
      <c r="FCI28" s="54"/>
      <c r="FCJ28" s="54"/>
      <c r="FCK28" s="57"/>
      <c r="FCL28" s="62"/>
      <c r="FCM28" s="63"/>
      <c r="FCN28" s="63"/>
      <c r="FCO28" s="63"/>
      <c r="FCP28" s="63"/>
      <c r="FCQ28" s="63"/>
      <c r="FCR28" s="63"/>
      <c r="FCS28" s="63"/>
      <c r="FCT28" s="63"/>
      <c r="FCU28" s="63"/>
      <c r="FCV28" s="63"/>
      <c r="FCW28" s="63"/>
      <c r="FCX28" s="54"/>
      <c r="FCY28" s="54"/>
      <c r="FCZ28" s="54"/>
      <c r="FDA28" s="57"/>
      <c r="FDB28" s="62"/>
      <c r="FDC28" s="63"/>
      <c r="FDD28" s="63"/>
      <c r="FDE28" s="63"/>
      <c r="FDF28" s="63"/>
      <c r="FDG28" s="63"/>
      <c r="FDH28" s="63"/>
      <c r="FDI28" s="63"/>
      <c r="FDJ28" s="63"/>
      <c r="FDK28" s="63"/>
      <c r="FDL28" s="63"/>
      <c r="FDM28" s="63"/>
      <c r="FDN28" s="54"/>
      <c r="FDO28" s="54"/>
      <c r="FDP28" s="54"/>
      <c r="FDQ28" s="57"/>
      <c r="FDR28" s="62"/>
      <c r="FDS28" s="63"/>
      <c r="FDT28" s="63"/>
      <c r="FDU28" s="63"/>
      <c r="FDV28" s="63"/>
      <c r="FDW28" s="63"/>
      <c r="FDX28" s="63"/>
      <c r="FDY28" s="63"/>
      <c r="FDZ28" s="63"/>
      <c r="FEA28" s="63"/>
      <c r="FEB28" s="63"/>
      <c r="FEC28" s="63"/>
      <c r="FED28" s="54"/>
      <c r="FEE28" s="54"/>
      <c r="FEF28" s="54"/>
      <c r="FEG28" s="57"/>
      <c r="FEH28" s="62"/>
      <c r="FEI28" s="63"/>
      <c r="FEJ28" s="63"/>
      <c r="FEK28" s="63"/>
      <c r="FEL28" s="63"/>
      <c r="FEM28" s="63"/>
      <c r="FEN28" s="63"/>
      <c r="FEO28" s="63"/>
      <c r="FEP28" s="63"/>
      <c r="FEQ28" s="63"/>
      <c r="FER28" s="63"/>
      <c r="FES28" s="63"/>
      <c r="FET28" s="54"/>
      <c r="FEU28" s="54"/>
      <c r="FEV28" s="54"/>
      <c r="FEW28" s="57"/>
      <c r="FEX28" s="62"/>
      <c r="FEY28" s="63"/>
      <c r="FEZ28" s="63"/>
      <c r="FFA28" s="63"/>
      <c r="FFB28" s="63"/>
      <c r="FFC28" s="63"/>
      <c r="FFD28" s="63"/>
      <c r="FFE28" s="63"/>
      <c r="FFF28" s="63"/>
      <c r="FFG28" s="63"/>
      <c r="FFH28" s="63"/>
      <c r="FFI28" s="63"/>
      <c r="FFJ28" s="54"/>
      <c r="FFK28" s="54"/>
      <c r="FFL28" s="54"/>
      <c r="FFM28" s="57"/>
      <c r="FFN28" s="62"/>
      <c r="FFO28" s="63"/>
      <c r="FFP28" s="63"/>
      <c r="FFQ28" s="63"/>
      <c r="FFR28" s="63"/>
      <c r="FFS28" s="63"/>
      <c r="FFT28" s="63"/>
      <c r="FFU28" s="63"/>
      <c r="FFV28" s="63"/>
      <c r="FFW28" s="63"/>
      <c r="FFX28" s="63"/>
      <c r="FFY28" s="63"/>
      <c r="FFZ28" s="54"/>
      <c r="FGA28" s="54"/>
      <c r="FGB28" s="54"/>
      <c r="FGC28" s="57"/>
      <c r="FGD28" s="62"/>
      <c r="FGE28" s="63"/>
      <c r="FGF28" s="63"/>
      <c r="FGG28" s="63"/>
      <c r="FGH28" s="63"/>
      <c r="FGI28" s="63"/>
      <c r="FGJ28" s="63"/>
      <c r="FGK28" s="63"/>
      <c r="FGL28" s="63"/>
      <c r="FGM28" s="63"/>
      <c r="FGN28" s="63"/>
      <c r="FGO28" s="63"/>
      <c r="FGP28" s="54"/>
      <c r="FGQ28" s="54"/>
      <c r="FGR28" s="54"/>
      <c r="FGS28" s="57"/>
      <c r="FGT28" s="62"/>
      <c r="FGU28" s="63"/>
      <c r="FGV28" s="63"/>
      <c r="FGW28" s="63"/>
      <c r="FGX28" s="63"/>
      <c r="FGY28" s="63"/>
      <c r="FGZ28" s="63"/>
      <c r="FHA28" s="63"/>
      <c r="FHB28" s="63"/>
      <c r="FHC28" s="63"/>
      <c r="FHD28" s="63"/>
      <c r="FHE28" s="63"/>
      <c r="FHF28" s="54"/>
      <c r="FHG28" s="54"/>
      <c r="FHH28" s="54"/>
      <c r="FHI28" s="57"/>
      <c r="FHJ28" s="62"/>
      <c r="FHK28" s="63"/>
      <c r="FHL28" s="63"/>
      <c r="FHM28" s="63"/>
      <c r="FHN28" s="63"/>
      <c r="FHO28" s="63"/>
      <c r="FHP28" s="63"/>
      <c r="FHQ28" s="63"/>
      <c r="FHR28" s="63"/>
      <c r="FHS28" s="63"/>
      <c r="FHT28" s="63"/>
      <c r="FHU28" s="63"/>
      <c r="FHV28" s="54"/>
      <c r="FHW28" s="54"/>
      <c r="FHX28" s="54"/>
      <c r="FHY28" s="57"/>
      <c r="FHZ28" s="62"/>
      <c r="FIA28" s="63"/>
      <c r="FIB28" s="63"/>
      <c r="FIC28" s="63"/>
      <c r="FID28" s="63"/>
      <c r="FIE28" s="63"/>
      <c r="FIF28" s="63"/>
      <c r="FIG28" s="63"/>
      <c r="FIH28" s="63"/>
      <c r="FII28" s="63"/>
      <c r="FIJ28" s="63"/>
      <c r="FIK28" s="63"/>
      <c r="FIL28" s="54"/>
      <c r="FIM28" s="54"/>
      <c r="FIN28" s="54"/>
      <c r="FIO28" s="57"/>
      <c r="FIP28" s="62"/>
      <c r="FIQ28" s="63"/>
      <c r="FIR28" s="63"/>
      <c r="FIS28" s="63"/>
      <c r="FIT28" s="63"/>
      <c r="FIU28" s="63"/>
      <c r="FIV28" s="63"/>
      <c r="FIW28" s="63"/>
      <c r="FIX28" s="63"/>
      <c r="FIY28" s="63"/>
      <c r="FIZ28" s="63"/>
      <c r="FJA28" s="63"/>
      <c r="FJB28" s="54"/>
      <c r="FJC28" s="54"/>
      <c r="FJD28" s="54"/>
      <c r="FJE28" s="57"/>
      <c r="FJF28" s="62"/>
      <c r="FJG28" s="63"/>
      <c r="FJH28" s="63"/>
      <c r="FJI28" s="63"/>
      <c r="FJJ28" s="63"/>
      <c r="FJK28" s="63"/>
      <c r="FJL28" s="63"/>
      <c r="FJM28" s="63"/>
      <c r="FJN28" s="63"/>
      <c r="FJO28" s="63"/>
      <c r="FJP28" s="63"/>
      <c r="FJQ28" s="63"/>
      <c r="FJR28" s="54"/>
      <c r="FJS28" s="54"/>
      <c r="FJT28" s="54"/>
      <c r="FJU28" s="57"/>
      <c r="FJV28" s="62"/>
      <c r="FJW28" s="63"/>
      <c r="FJX28" s="63"/>
      <c r="FJY28" s="63"/>
      <c r="FJZ28" s="63"/>
      <c r="FKA28" s="63"/>
      <c r="FKB28" s="63"/>
      <c r="FKC28" s="63"/>
      <c r="FKD28" s="63"/>
      <c r="FKE28" s="63"/>
      <c r="FKF28" s="63"/>
      <c r="FKG28" s="63"/>
      <c r="FKH28" s="54"/>
      <c r="FKI28" s="54"/>
      <c r="FKJ28" s="54"/>
      <c r="FKK28" s="57"/>
      <c r="FKL28" s="62"/>
      <c r="FKM28" s="63"/>
      <c r="FKN28" s="63"/>
      <c r="FKO28" s="63"/>
      <c r="FKP28" s="63"/>
      <c r="FKQ28" s="63"/>
      <c r="FKR28" s="63"/>
      <c r="FKS28" s="63"/>
      <c r="FKT28" s="63"/>
      <c r="FKU28" s="63"/>
      <c r="FKV28" s="63"/>
      <c r="FKW28" s="63"/>
      <c r="FKX28" s="54"/>
      <c r="FKY28" s="54"/>
      <c r="FKZ28" s="54"/>
      <c r="FLA28" s="57"/>
      <c r="FLB28" s="62"/>
      <c r="FLC28" s="63"/>
      <c r="FLD28" s="63"/>
      <c r="FLE28" s="63"/>
      <c r="FLF28" s="63"/>
      <c r="FLG28" s="63"/>
      <c r="FLH28" s="63"/>
      <c r="FLI28" s="63"/>
      <c r="FLJ28" s="63"/>
      <c r="FLK28" s="63"/>
      <c r="FLL28" s="63"/>
      <c r="FLM28" s="63"/>
      <c r="FLN28" s="54"/>
      <c r="FLO28" s="54"/>
      <c r="FLP28" s="54"/>
      <c r="FLQ28" s="57"/>
      <c r="FLR28" s="62"/>
      <c r="FLS28" s="63"/>
      <c r="FLT28" s="63"/>
      <c r="FLU28" s="63"/>
      <c r="FLV28" s="63"/>
      <c r="FLW28" s="63"/>
      <c r="FLX28" s="63"/>
      <c r="FLY28" s="63"/>
      <c r="FLZ28" s="63"/>
      <c r="FMA28" s="63"/>
      <c r="FMB28" s="63"/>
      <c r="FMC28" s="63"/>
      <c r="FMD28" s="54"/>
      <c r="FME28" s="54"/>
      <c r="FMF28" s="54"/>
      <c r="FMG28" s="57"/>
      <c r="FMH28" s="62"/>
      <c r="FMI28" s="63"/>
      <c r="FMJ28" s="63"/>
      <c r="FMK28" s="63"/>
      <c r="FML28" s="63"/>
      <c r="FMM28" s="63"/>
      <c r="FMN28" s="63"/>
      <c r="FMO28" s="63"/>
      <c r="FMP28" s="63"/>
      <c r="FMQ28" s="63"/>
      <c r="FMR28" s="63"/>
      <c r="FMS28" s="63"/>
      <c r="FMT28" s="54"/>
      <c r="FMU28" s="54"/>
      <c r="FMV28" s="54"/>
      <c r="FMW28" s="57"/>
      <c r="FMX28" s="62"/>
      <c r="FMY28" s="63"/>
      <c r="FMZ28" s="63"/>
      <c r="FNA28" s="63"/>
      <c r="FNB28" s="63"/>
      <c r="FNC28" s="63"/>
      <c r="FND28" s="63"/>
      <c r="FNE28" s="63"/>
      <c r="FNF28" s="63"/>
      <c r="FNG28" s="63"/>
      <c r="FNH28" s="63"/>
      <c r="FNI28" s="63"/>
      <c r="FNJ28" s="54"/>
      <c r="FNK28" s="54"/>
      <c r="FNL28" s="54"/>
      <c r="FNM28" s="57"/>
      <c r="FNN28" s="62"/>
      <c r="FNO28" s="63"/>
      <c r="FNP28" s="63"/>
      <c r="FNQ28" s="63"/>
      <c r="FNR28" s="63"/>
      <c r="FNS28" s="63"/>
      <c r="FNT28" s="63"/>
      <c r="FNU28" s="63"/>
      <c r="FNV28" s="63"/>
      <c r="FNW28" s="63"/>
      <c r="FNX28" s="63"/>
      <c r="FNY28" s="63"/>
      <c r="FNZ28" s="54"/>
      <c r="FOA28" s="54"/>
      <c r="FOB28" s="54"/>
      <c r="FOC28" s="57"/>
      <c r="FOD28" s="62"/>
      <c r="FOE28" s="63"/>
      <c r="FOF28" s="63"/>
      <c r="FOG28" s="63"/>
      <c r="FOH28" s="63"/>
      <c r="FOI28" s="63"/>
      <c r="FOJ28" s="63"/>
      <c r="FOK28" s="63"/>
      <c r="FOL28" s="63"/>
      <c r="FOM28" s="63"/>
      <c r="FON28" s="63"/>
      <c r="FOO28" s="63"/>
      <c r="FOP28" s="54"/>
      <c r="FOQ28" s="54"/>
      <c r="FOR28" s="54"/>
      <c r="FOS28" s="57"/>
      <c r="FOT28" s="62"/>
      <c r="FOU28" s="63"/>
      <c r="FOV28" s="63"/>
      <c r="FOW28" s="63"/>
      <c r="FOX28" s="63"/>
      <c r="FOY28" s="63"/>
      <c r="FOZ28" s="63"/>
      <c r="FPA28" s="63"/>
      <c r="FPB28" s="63"/>
      <c r="FPC28" s="63"/>
      <c r="FPD28" s="63"/>
      <c r="FPE28" s="63"/>
      <c r="FPF28" s="54"/>
      <c r="FPG28" s="54"/>
      <c r="FPH28" s="54"/>
      <c r="FPI28" s="57"/>
      <c r="FPJ28" s="62"/>
      <c r="FPK28" s="63"/>
      <c r="FPL28" s="63"/>
      <c r="FPM28" s="63"/>
      <c r="FPN28" s="63"/>
      <c r="FPO28" s="63"/>
      <c r="FPP28" s="63"/>
      <c r="FPQ28" s="63"/>
      <c r="FPR28" s="63"/>
      <c r="FPS28" s="63"/>
      <c r="FPT28" s="63"/>
      <c r="FPU28" s="63"/>
      <c r="FPV28" s="54"/>
      <c r="FPW28" s="54"/>
      <c r="FPX28" s="54"/>
      <c r="FPY28" s="57"/>
      <c r="FPZ28" s="62"/>
      <c r="FQA28" s="63"/>
      <c r="FQB28" s="63"/>
      <c r="FQC28" s="63"/>
      <c r="FQD28" s="63"/>
      <c r="FQE28" s="63"/>
      <c r="FQF28" s="63"/>
      <c r="FQG28" s="63"/>
      <c r="FQH28" s="63"/>
      <c r="FQI28" s="63"/>
      <c r="FQJ28" s="63"/>
      <c r="FQK28" s="63"/>
      <c r="FQL28" s="54"/>
      <c r="FQM28" s="54"/>
      <c r="FQN28" s="54"/>
      <c r="FQO28" s="57"/>
      <c r="FQP28" s="62"/>
      <c r="FQQ28" s="63"/>
      <c r="FQR28" s="63"/>
      <c r="FQS28" s="63"/>
      <c r="FQT28" s="63"/>
      <c r="FQU28" s="63"/>
      <c r="FQV28" s="63"/>
      <c r="FQW28" s="63"/>
      <c r="FQX28" s="63"/>
      <c r="FQY28" s="63"/>
      <c r="FQZ28" s="63"/>
      <c r="FRA28" s="63"/>
      <c r="FRB28" s="54"/>
      <c r="FRC28" s="54"/>
      <c r="FRD28" s="54"/>
      <c r="FRE28" s="57"/>
      <c r="FRF28" s="62"/>
      <c r="FRG28" s="63"/>
      <c r="FRH28" s="63"/>
      <c r="FRI28" s="63"/>
      <c r="FRJ28" s="63"/>
      <c r="FRK28" s="63"/>
      <c r="FRL28" s="63"/>
      <c r="FRM28" s="63"/>
      <c r="FRN28" s="63"/>
      <c r="FRO28" s="63"/>
      <c r="FRP28" s="63"/>
      <c r="FRQ28" s="63"/>
      <c r="FRR28" s="54"/>
      <c r="FRS28" s="54"/>
      <c r="FRT28" s="54"/>
      <c r="FRU28" s="57"/>
      <c r="FRV28" s="62"/>
      <c r="FRW28" s="63"/>
      <c r="FRX28" s="63"/>
      <c r="FRY28" s="63"/>
      <c r="FRZ28" s="63"/>
      <c r="FSA28" s="63"/>
      <c r="FSB28" s="63"/>
      <c r="FSC28" s="63"/>
      <c r="FSD28" s="63"/>
      <c r="FSE28" s="63"/>
      <c r="FSF28" s="63"/>
      <c r="FSG28" s="63"/>
      <c r="FSH28" s="54"/>
      <c r="FSI28" s="54"/>
      <c r="FSJ28" s="54"/>
      <c r="FSK28" s="57"/>
      <c r="FSL28" s="62"/>
      <c r="FSM28" s="63"/>
      <c r="FSN28" s="63"/>
      <c r="FSO28" s="63"/>
      <c r="FSP28" s="63"/>
      <c r="FSQ28" s="63"/>
      <c r="FSR28" s="63"/>
      <c r="FSS28" s="63"/>
      <c r="FST28" s="63"/>
      <c r="FSU28" s="63"/>
      <c r="FSV28" s="63"/>
      <c r="FSW28" s="63"/>
      <c r="FSX28" s="54"/>
      <c r="FSY28" s="54"/>
      <c r="FSZ28" s="54"/>
      <c r="FTA28" s="57"/>
      <c r="FTB28" s="62"/>
      <c r="FTC28" s="63"/>
      <c r="FTD28" s="63"/>
      <c r="FTE28" s="63"/>
      <c r="FTF28" s="63"/>
      <c r="FTG28" s="63"/>
      <c r="FTH28" s="63"/>
      <c r="FTI28" s="63"/>
      <c r="FTJ28" s="63"/>
      <c r="FTK28" s="63"/>
      <c r="FTL28" s="63"/>
      <c r="FTM28" s="63"/>
      <c r="FTN28" s="54"/>
      <c r="FTO28" s="54"/>
      <c r="FTP28" s="54"/>
      <c r="FTQ28" s="57"/>
      <c r="FTR28" s="62"/>
      <c r="FTS28" s="63"/>
      <c r="FTT28" s="63"/>
      <c r="FTU28" s="63"/>
      <c r="FTV28" s="63"/>
      <c r="FTW28" s="63"/>
      <c r="FTX28" s="63"/>
      <c r="FTY28" s="63"/>
      <c r="FTZ28" s="63"/>
      <c r="FUA28" s="63"/>
      <c r="FUB28" s="63"/>
      <c r="FUC28" s="63"/>
      <c r="FUD28" s="54"/>
      <c r="FUE28" s="54"/>
      <c r="FUF28" s="54"/>
      <c r="FUG28" s="57"/>
      <c r="FUH28" s="62"/>
      <c r="FUI28" s="63"/>
      <c r="FUJ28" s="63"/>
      <c r="FUK28" s="63"/>
      <c r="FUL28" s="63"/>
      <c r="FUM28" s="63"/>
      <c r="FUN28" s="63"/>
      <c r="FUO28" s="63"/>
      <c r="FUP28" s="63"/>
      <c r="FUQ28" s="63"/>
      <c r="FUR28" s="63"/>
      <c r="FUS28" s="63"/>
      <c r="FUT28" s="54"/>
      <c r="FUU28" s="54"/>
      <c r="FUV28" s="54"/>
      <c r="FUW28" s="57"/>
      <c r="FUX28" s="62"/>
      <c r="FUY28" s="63"/>
      <c r="FUZ28" s="63"/>
      <c r="FVA28" s="63"/>
      <c r="FVB28" s="63"/>
      <c r="FVC28" s="63"/>
      <c r="FVD28" s="63"/>
      <c r="FVE28" s="63"/>
      <c r="FVF28" s="63"/>
      <c r="FVG28" s="63"/>
      <c r="FVH28" s="63"/>
      <c r="FVI28" s="63"/>
      <c r="FVJ28" s="54"/>
      <c r="FVK28" s="54"/>
      <c r="FVL28" s="54"/>
      <c r="FVM28" s="57"/>
      <c r="FVN28" s="62"/>
      <c r="FVO28" s="63"/>
      <c r="FVP28" s="63"/>
      <c r="FVQ28" s="63"/>
      <c r="FVR28" s="63"/>
      <c r="FVS28" s="63"/>
      <c r="FVT28" s="63"/>
      <c r="FVU28" s="63"/>
      <c r="FVV28" s="63"/>
      <c r="FVW28" s="63"/>
      <c r="FVX28" s="63"/>
      <c r="FVY28" s="63"/>
      <c r="FVZ28" s="54"/>
      <c r="FWA28" s="54"/>
      <c r="FWB28" s="54"/>
      <c r="FWC28" s="57"/>
      <c r="FWD28" s="62"/>
      <c r="FWE28" s="63"/>
      <c r="FWF28" s="63"/>
      <c r="FWG28" s="63"/>
      <c r="FWH28" s="63"/>
      <c r="FWI28" s="63"/>
      <c r="FWJ28" s="63"/>
      <c r="FWK28" s="63"/>
      <c r="FWL28" s="63"/>
      <c r="FWM28" s="63"/>
      <c r="FWN28" s="63"/>
      <c r="FWO28" s="63"/>
      <c r="FWP28" s="54"/>
      <c r="FWQ28" s="54"/>
      <c r="FWR28" s="54"/>
      <c r="FWS28" s="57"/>
      <c r="FWT28" s="62"/>
      <c r="FWU28" s="63"/>
      <c r="FWV28" s="63"/>
      <c r="FWW28" s="63"/>
      <c r="FWX28" s="63"/>
      <c r="FWY28" s="63"/>
      <c r="FWZ28" s="63"/>
      <c r="FXA28" s="63"/>
      <c r="FXB28" s="63"/>
      <c r="FXC28" s="63"/>
      <c r="FXD28" s="63"/>
      <c r="FXE28" s="63"/>
      <c r="FXF28" s="54"/>
      <c r="FXG28" s="54"/>
      <c r="FXH28" s="54"/>
      <c r="FXI28" s="57"/>
      <c r="FXJ28" s="62"/>
      <c r="FXK28" s="63"/>
      <c r="FXL28" s="63"/>
      <c r="FXM28" s="63"/>
      <c r="FXN28" s="63"/>
      <c r="FXO28" s="63"/>
      <c r="FXP28" s="63"/>
      <c r="FXQ28" s="63"/>
      <c r="FXR28" s="63"/>
      <c r="FXS28" s="63"/>
      <c r="FXT28" s="63"/>
      <c r="FXU28" s="63"/>
      <c r="FXV28" s="54"/>
      <c r="FXW28" s="54"/>
      <c r="FXX28" s="54"/>
      <c r="FXY28" s="57"/>
      <c r="FXZ28" s="62"/>
      <c r="FYA28" s="63"/>
      <c r="FYB28" s="63"/>
      <c r="FYC28" s="63"/>
      <c r="FYD28" s="63"/>
      <c r="FYE28" s="63"/>
      <c r="FYF28" s="63"/>
      <c r="FYG28" s="63"/>
      <c r="FYH28" s="63"/>
      <c r="FYI28" s="63"/>
      <c r="FYJ28" s="63"/>
      <c r="FYK28" s="63"/>
      <c r="FYL28" s="54"/>
      <c r="FYM28" s="54"/>
      <c r="FYN28" s="54"/>
      <c r="FYO28" s="57"/>
      <c r="FYP28" s="62"/>
      <c r="FYQ28" s="63"/>
      <c r="FYR28" s="63"/>
      <c r="FYS28" s="63"/>
      <c r="FYT28" s="63"/>
      <c r="FYU28" s="63"/>
      <c r="FYV28" s="63"/>
      <c r="FYW28" s="63"/>
      <c r="FYX28" s="63"/>
      <c r="FYY28" s="63"/>
      <c r="FYZ28" s="63"/>
      <c r="FZA28" s="63"/>
      <c r="FZB28" s="54"/>
      <c r="FZC28" s="54"/>
      <c r="FZD28" s="54"/>
      <c r="FZE28" s="57"/>
      <c r="FZF28" s="62"/>
      <c r="FZG28" s="63"/>
      <c r="FZH28" s="63"/>
      <c r="FZI28" s="63"/>
      <c r="FZJ28" s="63"/>
      <c r="FZK28" s="63"/>
      <c r="FZL28" s="63"/>
      <c r="FZM28" s="63"/>
      <c r="FZN28" s="63"/>
      <c r="FZO28" s="63"/>
      <c r="FZP28" s="63"/>
      <c r="FZQ28" s="63"/>
      <c r="FZR28" s="54"/>
      <c r="FZS28" s="54"/>
      <c r="FZT28" s="54"/>
      <c r="FZU28" s="57"/>
      <c r="FZV28" s="62"/>
      <c r="FZW28" s="63"/>
      <c r="FZX28" s="63"/>
      <c r="FZY28" s="63"/>
      <c r="FZZ28" s="63"/>
      <c r="GAA28" s="63"/>
      <c r="GAB28" s="63"/>
      <c r="GAC28" s="63"/>
      <c r="GAD28" s="63"/>
      <c r="GAE28" s="63"/>
      <c r="GAF28" s="63"/>
      <c r="GAG28" s="63"/>
      <c r="GAH28" s="54"/>
      <c r="GAI28" s="54"/>
      <c r="GAJ28" s="54"/>
      <c r="GAK28" s="57"/>
      <c r="GAL28" s="62"/>
      <c r="GAM28" s="63"/>
      <c r="GAN28" s="63"/>
      <c r="GAO28" s="63"/>
      <c r="GAP28" s="63"/>
      <c r="GAQ28" s="63"/>
      <c r="GAR28" s="63"/>
      <c r="GAS28" s="63"/>
      <c r="GAT28" s="63"/>
      <c r="GAU28" s="63"/>
      <c r="GAV28" s="63"/>
      <c r="GAW28" s="63"/>
      <c r="GAX28" s="54"/>
      <c r="GAY28" s="54"/>
      <c r="GAZ28" s="54"/>
      <c r="GBA28" s="57"/>
      <c r="GBB28" s="62"/>
      <c r="GBC28" s="63"/>
      <c r="GBD28" s="63"/>
      <c r="GBE28" s="63"/>
      <c r="GBF28" s="63"/>
      <c r="GBG28" s="63"/>
      <c r="GBH28" s="63"/>
      <c r="GBI28" s="63"/>
      <c r="GBJ28" s="63"/>
      <c r="GBK28" s="63"/>
      <c r="GBL28" s="63"/>
      <c r="GBM28" s="63"/>
      <c r="GBN28" s="54"/>
      <c r="GBO28" s="54"/>
      <c r="GBP28" s="54"/>
      <c r="GBQ28" s="57"/>
      <c r="GBR28" s="62"/>
      <c r="GBS28" s="63"/>
      <c r="GBT28" s="63"/>
      <c r="GBU28" s="63"/>
      <c r="GBV28" s="63"/>
      <c r="GBW28" s="63"/>
      <c r="GBX28" s="63"/>
      <c r="GBY28" s="63"/>
      <c r="GBZ28" s="63"/>
      <c r="GCA28" s="63"/>
      <c r="GCB28" s="63"/>
      <c r="GCC28" s="63"/>
      <c r="GCD28" s="54"/>
      <c r="GCE28" s="54"/>
      <c r="GCF28" s="54"/>
      <c r="GCG28" s="57"/>
      <c r="GCH28" s="62"/>
      <c r="GCI28" s="63"/>
      <c r="GCJ28" s="63"/>
      <c r="GCK28" s="63"/>
      <c r="GCL28" s="63"/>
      <c r="GCM28" s="63"/>
      <c r="GCN28" s="63"/>
      <c r="GCO28" s="63"/>
      <c r="GCP28" s="63"/>
      <c r="GCQ28" s="63"/>
      <c r="GCR28" s="63"/>
      <c r="GCS28" s="63"/>
      <c r="GCT28" s="54"/>
      <c r="GCU28" s="54"/>
      <c r="GCV28" s="54"/>
      <c r="GCW28" s="57"/>
      <c r="GCX28" s="62"/>
      <c r="GCY28" s="63"/>
      <c r="GCZ28" s="63"/>
      <c r="GDA28" s="63"/>
      <c r="GDB28" s="63"/>
      <c r="GDC28" s="63"/>
      <c r="GDD28" s="63"/>
      <c r="GDE28" s="63"/>
      <c r="GDF28" s="63"/>
      <c r="GDG28" s="63"/>
      <c r="GDH28" s="63"/>
      <c r="GDI28" s="63"/>
      <c r="GDJ28" s="54"/>
      <c r="GDK28" s="54"/>
      <c r="GDL28" s="54"/>
      <c r="GDM28" s="57"/>
      <c r="GDN28" s="62"/>
      <c r="GDO28" s="63"/>
      <c r="GDP28" s="63"/>
      <c r="GDQ28" s="63"/>
      <c r="GDR28" s="63"/>
      <c r="GDS28" s="63"/>
      <c r="GDT28" s="63"/>
      <c r="GDU28" s="63"/>
      <c r="GDV28" s="63"/>
      <c r="GDW28" s="63"/>
      <c r="GDX28" s="63"/>
      <c r="GDY28" s="63"/>
      <c r="GDZ28" s="54"/>
      <c r="GEA28" s="54"/>
      <c r="GEB28" s="54"/>
      <c r="GEC28" s="57"/>
      <c r="GED28" s="62"/>
      <c r="GEE28" s="63"/>
      <c r="GEF28" s="63"/>
      <c r="GEG28" s="63"/>
      <c r="GEH28" s="63"/>
      <c r="GEI28" s="63"/>
      <c r="GEJ28" s="63"/>
      <c r="GEK28" s="63"/>
      <c r="GEL28" s="63"/>
      <c r="GEM28" s="63"/>
      <c r="GEN28" s="63"/>
      <c r="GEO28" s="63"/>
      <c r="GEP28" s="54"/>
      <c r="GEQ28" s="54"/>
      <c r="GER28" s="54"/>
      <c r="GES28" s="57"/>
      <c r="GET28" s="62"/>
      <c r="GEU28" s="63"/>
      <c r="GEV28" s="63"/>
      <c r="GEW28" s="63"/>
      <c r="GEX28" s="63"/>
      <c r="GEY28" s="63"/>
      <c r="GEZ28" s="63"/>
      <c r="GFA28" s="63"/>
      <c r="GFB28" s="63"/>
      <c r="GFC28" s="63"/>
      <c r="GFD28" s="63"/>
      <c r="GFE28" s="63"/>
      <c r="GFF28" s="54"/>
      <c r="GFG28" s="54"/>
      <c r="GFH28" s="54"/>
      <c r="GFI28" s="57"/>
      <c r="GFJ28" s="62"/>
      <c r="GFK28" s="63"/>
      <c r="GFL28" s="63"/>
      <c r="GFM28" s="63"/>
      <c r="GFN28" s="63"/>
      <c r="GFO28" s="63"/>
      <c r="GFP28" s="63"/>
      <c r="GFQ28" s="63"/>
      <c r="GFR28" s="63"/>
      <c r="GFS28" s="63"/>
      <c r="GFT28" s="63"/>
      <c r="GFU28" s="63"/>
      <c r="GFV28" s="54"/>
      <c r="GFW28" s="54"/>
      <c r="GFX28" s="54"/>
      <c r="GFY28" s="57"/>
      <c r="GFZ28" s="62"/>
      <c r="GGA28" s="63"/>
      <c r="GGB28" s="63"/>
      <c r="GGC28" s="63"/>
      <c r="GGD28" s="63"/>
      <c r="GGE28" s="63"/>
      <c r="GGF28" s="63"/>
      <c r="GGG28" s="63"/>
      <c r="GGH28" s="63"/>
      <c r="GGI28" s="63"/>
      <c r="GGJ28" s="63"/>
      <c r="GGK28" s="63"/>
      <c r="GGL28" s="54"/>
      <c r="GGM28" s="54"/>
      <c r="GGN28" s="54"/>
      <c r="GGO28" s="57"/>
      <c r="GGP28" s="62"/>
      <c r="GGQ28" s="63"/>
      <c r="GGR28" s="63"/>
      <c r="GGS28" s="63"/>
      <c r="GGT28" s="63"/>
      <c r="GGU28" s="63"/>
      <c r="GGV28" s="63"/>
      <c r="GGW28" s="63"/>
      <c r="GGX28" s="63"/>
      <c r="GGY28" s="63"/>
      <c r="GGZ28" s="63"/>
      <c r="GHA28" s="63"/>
      <c r="GHB28" s="54"/>
      <c r="GHC28" s="54"/>
      <c r="GHD28" s="54"/>
      <c r="GHE28" s="57"/>
      <c r="GHF28" s="62"/>
      <c r="GHG28" s="63"/>
      <c r="GHH28" s="63"/>
      <c r="GHI28" s="63"/>
      <c r="GHJ28" s="63"/>
      <c r="GHK28" s="63"/>
      <c r="GHL28" s="63"/>
      <c r="GHM28" s="63"/>
      <c r="GHN28" s="63"/>
      <c r="GHO28" s="63"/>
      <c r="GHP28" s="63"/>
      <c r="GHQ28" s="63"/>
      <c r="GHR28" s="54"/>
      <c r="GHS28" s="54"/>
      <c r="GHT28" s="54"/>
      <c r="GHU28" s="57"/>
      <c r="GHV28" s="62"/>
      <c r="GHW28" s="63"/>
      <c r="GHX28" s="63"/>
      <c r="GHY28" s="63"/>
      <c r="GHZ28" s="63"/>
      <c r="GIA28" s="63"/>
      <c r="GIB28" s="63"/>
      <c r="GIC28" s="63"/>
      <c r="GID28" s="63"/>
      <c r="GIE28" s="63"/>
      <c r="GIF28" s="63"/>
      <c r="GIG28" s="63"/>
      <c r="GIH28" s="54"/>
      <c r="GII28" s="54"/>
      <c r="GIJ28" s="54"/>
      <c r="GIK28" s="57"/>
      <c r="GIL28" s="62"/>
      <c r="GIM28" s="63"/>
      <c r="GIN28" s="63"/>
      <c r="GIO28" s="63"/>
      <c r="GIP28" s="63"/>
      <c r="GIQ28" s="63"/>
      <c r="GIR28" s="63"/>
      <c r="GIS28" s="63"/>
      <c r="GIT28" s="63"/>
      <c r="GIU28" s="63"/>
      <c r="GIV28" s="63"/>
      <c r="GIW28" s="63"/>
      <c r="GIX28" s="54"/>
      <c r="GIY28" s="54"/>
      <c r="GIZ28" s="54"/>
      <c r="GJA28" s="57"/>
      <c r="GJB28" s="62"/>
      <c r="GJC28" s="63"/>
      <c r="GJD28" s="63"/>
      <c r="GJE28" s="63"/>
      <c r="GJF28" s="63"/>
      <c r="GJG28" s="63"/>
      <c r="GJH28" s="63"/>
      <c r="GJI28" s="63"/>
      <c r="GJJ28" s="63"/>
      <c r="GJK28" s="63"/>
      <c r="GJL28" s="63"/>
      <c r="GJM28" s="63"/>
      <c r="GJN28" s="54"/>
      <c r="GJO28" s="54"/>
      <c r="GJP28" s="54"/>
      <c r="GJQ28" s="57"/>
      <c r="GJR28" s="62"/>
      <c r="GJS28" s="63"/>
      <c r="GJT28" s="63"/>
      <c r="GJU28" s="63"/>
      <c r="GJV28" s="63"/>
      <c r="GJW28" s="63"/>
      <c r="GJX28" s="63"/>
      <c r="GJY28" s="63"/>
      <c r="GJZ28" s="63"/>
      <c r="GKA28" s="63"/>
      <c r="GKB28" s="63"/>
      <c r="GKC28" s="63"/>
      <c r="GKD28" s="54"/>
      <c r="GKE28" s="54"/>
      <c r="GKF28" s="54"/>
      <c r="GKG28" s="57"/>
      <c r="GKH28" s="62"/>
      <c r="GKI28" s="63"/>
      <c r="GKJ28" s="63"/>
      <c r="GKK28" s="63"/>
      <c r="GKL28" s="63"/>
      <c r="GKM28" s="63"/>
      <c r="GKN28" s="63"/>
      <c r="GKO28" s="63"/>
      <c r="GKP28" s="63"/>
      <c r="GKQ28" s="63"/>
      <c r="GKR28" s="63"/>
      <c r="GKS28" s="63"/>
      <c r="GKT28" s="54"/>
      <c r="GKU28" s="54"/>
      <c r="GKV28" s="54"/>
      <c r="GKW28" s="57"/>
      <c r="GKX28" s="62"/>
      <c r="GKY28" s="63"/>
      <c r="GKZ28" s="63"/>
      <c r="GLA28" s="63"/>
      <c r="GLB28" s="63"/>
      <c r="GLC28" s="63"/>
      <c r="GLD28" s="63"/>
      <c r="GLE28" s="63"/>
      <c r="GLF28" s="63"/>
      <c r="GLG28" s="63"/>
      <c r="GLH28" s="63"/>
      <c r="GLI28" s="63"/>
      <c r="GLJ28" s="54"/>
      <c r="GLK28" s="54"/>
      <c r="GLL28" s="54"/>
      <c r="GLM28" s="57"/>
      <c r="GLN28" s="62"/>
      <c r="GLO28" s="63"/>
      <c r="GLP28" s="63"/>
      <c r="GLQ28" s="63"/>
      <c r="GLR28" s="63"/>
      <c r="GLS28" s="63"/>
      <c r="GLT28" s="63"/>
      <c r="GLU28" s="63"/>
      <c r="GLV28" s="63"/>
      <c r="GLW28" s="63"/>
      <c r="GLX28" s="63"/>
      <c r="GLY28" s="63"/>
      <c r="GLZ28" s="54"/>
      <c r="GMA28" s="54"/>
      <c r="GMB28" s="54"/>
      <c r="GMC28" s="57"/>
      <c r="GMD28" s="62"/>
      <c r="GME28" s="63"/>
      <c r="GMF28" s="63"/>
      <c r="GMG28" s="63"/>
      <c r="GMH28" s="63"/>
      <c r="GMI28" s="63"/>
      <c r="GMJ28" s="63"/>
      <c r="GMK28" s="63"/>
      <c r="GML28" s="63"/>
      <c r="GMM28" s="63"/>
      <c r="GMN28" s="63"/>
      <c r="GMO28" s="63"/>
      <c r="GMP28" s="54"/>
      <c r="GMQ28" s="54"/>
      <c r="GMR28" s="54"/>
      <c r="GMS28" s="57"/>
      <c r="GMT28" s="62"/>
      <c r="GMU28" s="63"/>
      <c r="GMV28" s="63"/>
      <c r="GMW28" s="63"/>
      <c r="GMX28" s="63"/>
      <c r="GMY28" s="63"/>
      <c r="GMZ28" s="63"/>
      <c r="GNA28" s="63"/>
      <c r="GNB28" s="63"/>
      <c r="GNC28" s="63"/>
      <c r="GND28" s="63"/>
      <c r="GNE28" s="63"/>
      <c r="GNF28" s="54"/>
      <c r="GNG28" s="54"/>
      <c r="GNH28" s="54"/>
      <c r="GNI28" s="57"/>
      <c r="GNJ28" s="62"/>
      <c r="GNK28" s="63"/>
      <c r="GNL28" s="63"/>
      <c r="GNM28" s="63"/>
      <c r="GNN28" s="63"/>
      <c r="GNO28" s="63"/>
      <c r="GNP28" s="63"/>
      <c r="GNQ28" s="63"/>
      <c r="GNR28" s="63"/>
      <c r="GNS28" s="63"/>
      <c r="GNT28" s="63"/>
      <c r="GNU28" s="63"/>
      <c r="GNV28" s="54"/>
      <c r="GNW28" s="54"/>
      <c r="GNX28" s="54"/>
      <c r="GNY28" s="57"/>
      <c r="GNZ28" s="62"/>
      <c r="GOA28" s="63"/>
      <c r="GOB28" s="63"/>
      <c r="GOC28" s="63"/>
      <c r="GOD28" s="63"/>
      <c r="GOE28" s="63"/>
      <c r="GOF28" s="63"/>
      <c r="GOG28" s="63"/>
      <c r="GOH28" s="63"/>
      <c r="GOI28" s="63"/>
      <c r="GOJ28" s="63"/>
      <c r="GOK28" s="63"/>
      <c r="GOL28" s="54"/>
      <c r="GOM28" s="54"/>
      <c r="GON28" s="54"/>
      <c r="GOO28" s="57"/>
      <c r="GOP28" s="62"/>
      <c r="GOQ28" s="63"/>
      <c r="GOR28" s="63"/>
      <c r="GOS28" s="63"/>
      <c r="GOT28" s="63"/>
      <c r="GOU28" s="63"/>
      <c r="GOV28" s="63"/>
      <c r="GOW28" s="63"/>
      <c r="GOX28" s="63"/>
      <c r="GOY28" s="63"/>
      <c r="GOZ28" s="63"/>
      <c r="GPA28" s="63"/>
      <c r="GPB28" s="54"/>
      <c r="GPC28" s="54"/>
      <c r="GPD28" s="54"/>
      <c r="GPE28" s="57"/>
      <c r="GPF28" s="62"/>
      <c r="GPG28" s="63"/>
      <c r="GPH28" s="63"/>
      <c r="GPI28" s="63"/>
      <c r="GPJ28" s="63"/>
      <c r="GPK28" s="63"/>
      <c r="GPL28" s="63"/>
      <c r="GPM28" s="63"/>
      <c r="GPN28" s="63"/>
      <c r="GPO28" s="63"/>
      <c r="GPP28" s="63"/>
      <c r="GPQ28" s="63"/>
      <c r="GPR28" s="54"/>
      <c r="GPS28" s="54"/>
      <c r="GPT28" s="54"/>
      <c r="GPU28" s="57"/>
      <c r="GPV28" s="62"/>
      <c r="GPW28" s="63"/>
      <c r="GPX28" s="63"/>
      <c r="GPY28" s="63"/>
      <c r="GPZ28" s="63"/>
      <c r="GQA28" s="63"/>
      <c r="GQB28" s="63"/>
      <c r="GQC28" s="63"/>
      <c r="GQD28" s="63"/>
      <c r="GQE28" s="63"/>
      <c r="GQF28" s="63"/>
      <c r="GQG28" s="63"/>
      <c r="GQH28" s="54"/>
      <c r="GQI28" s="54"/>
      <c r="GQJ28" s="54"/>
      <c r="GQK28" s="57"/>
      <c r="GQL28" s="62"/>
      <c r="GQM28" s="63"/>
      <c r="GQN28" s="63"/>
      <c r="GQO28" s="63"/>
      <c r="GQP28" s="63"/>
      <c r="GQQ28" s="63"/>
      <c r="GQR28" s="63"/>
      <c r="GQS28" s="63"/>
      <c r="GQT28" s="63"/>
      <c r="GQU28" s="63"/>
      <c r="GQV28" s="63"/>
      <c r="GQW28" s="63"/>
      <c r="GQX28" s="54"/>
      <c r="GQY28" s="54"/>
      <c r="GQZ28" s="54"/>
      <c r="GRA28" s="57"/>
      <c r="GRB28" s="62"/>
      <c r="GRC28" s="63"/>
      <c r="GRD28" s="63"/>
      <c r="GRE28" s="63"/>
      <c r="GRF28" s="63"/>
      <c r="GRG28" s="63"/>
      <c r="GRH28" s="63"/>
      <c r="GRI28" s="63"/>
      <c r="GRJ28" s="63"/>
      <c r="GRK28" s="63"/>
      <c r="GRL28" s="63"/>
      <c r="GRM28" s="63"/>
      <c r="GRN28" s="54"/>
      <c r="GRO28" s="54"/>
      <c r="GRP28" s="54"/>
      <c r="GRQ28" s="57"/>
      <c r="GRR28" s="62"/>
      <c r="GRS28" s="63"/>
      <c r="GRT28" s="63"/>
      <c r="GRU28" s="63"/>
      <c r="GRV28" s="63"/>
      <c r="GRW28" s="63"/>
      <c r="GRX28" s="63"/>
      <c r="GRY28" s="63"/>
      <c r="GRZ28" s="63"/>
      <c r="GSA28" s="63"/>
      <c r="GSB28" s="63"/>
      <c r="GSC28" s="63"/>
      <c r="GSD28" s="54"/>
      <c r="GSE28" s="54"/>
      <c r="GSF28" s="54"/>
      <c r="GSG28" s="57"/>
      <c r="GSH28" s="62"/>
      <c r="GSI28" s="63"/>
      <c r="GSJ28" s="63"/>
      <c r="GSK28" s="63"/>
      <c r="GSL28" s="63"/>
      <c r="GSM28" s="63"/>
      <c r="GSN28" s="63"/>
      <c r="GSO28" s="63"/>
      <c r="GSP28" s="63"/>
      <c r="GSQ28" s="63"/>
      <c r="GSR28" s="63"/>
      <c r="GSS28" s="63"/>
      <c r="GST28" s="54"/>
      <c r="GSU28" s="54"/>
      <c r="GSV28" s="54"/>
      <c r="GSW28" s="57"/>
      <c r="GSX28" s="62"/>
      <c r="GSY28" s="63"/>
      <c r="GSZ28" s="63"/>
      <c r="GTA28" s="63"/>
      <c r="GTB28" s="63"/>
      <c r="GTC28" s="63"/>
      <c r="GTD28" s="63"/>
      <c r="GTE28" s="63"/>
      <c r="GTF28" s="63"/>
      <c r="GTG28" s="63"/>
      <c r="GTH28" s="63"/>
      <c r="GTI28" s="63"/>
      <c r="GTJ28" s="54"/>
      <c r="GTK28" s="54"/>
      <c r="GTL28" s="54"/>
      <c r="GTM28" s="57"/>
      <c r="GTN28" s="62"/>
      <c r="GTO28" s="63"/>
      <c r="GTP28" s="63"/>
      <c r="GTQ28" s="63"/>
      <c r="GTR28" s="63"/>
      <c r="GTS28" s="63"/>
      <c r="GTT28" s="63"/>
      <c r="GTU28" s="63"/>
      <c r="GTV28" s="63"/>
      <c r="GTW28" s="63"/>
      <c r="GTX28" s="63"/>
      <c r="GTY28" s="63"/>
      <c r="GTZ28" s="54"/>
      <c r="GUA28" s="54"/>
      <c r="GUB28" s="54"/>
      <c r="GUC28" s="57"/>
      <c r="GUD28" s="62"/>
      <c r="GUE28" s="63"/>
      <c r="GUF28" s="63"/>
      <c r="GUG28" s="63"/>
      <c r="GUH28" s="63"/>
      <c r="GUI28" s="63"/>
      <c r="GUJ28" s="63"/>
      <c r="GUK28" s="63"/>
      <c r="GUL28" s="63"/>
      <c r="GUM28" s="63"/>
      <c r="GUN28" s="63"/>
      <c r="GUO28" s="63"/>
      <c r="GUP28" s="54"/>
      <c r="GUQ28" s="54"/>
      <c r="GUR28" s="54"/>
      <c r="GUS28" s="57"/>
      <c r="GUT28" s="62"/>
      <c r="GUU28" s="63"/>
      <c r="GUV28" s="63"/>
      <c r="GUW28" s="63"/>
      <c r="GUX28" s="63"/>
      <c r="GUY28" s="63"/>
      <c r="GUZ28" s="63"/>
      <c r="GVA28" s="63"/>
      <c r="GVB28" s="63"/>
      <c r="GVC28" s="63"/>
      <c r="GVD28" s="63"/>
      <c r="GVE28" s="63"/>
      <c r="GVF28" s="54"/>
      <c r="GVG28" s="54"/>
      <c r="GVH28" s="54"/>
      <c r="GVI28" s="57"/>
      <c r="GVJ28" s="62"/>
      <c r="GVK28" s="63"/>
      <c r="GVL28" s="63"/>
      <c r="GVM28" s="63"/>
      <c r="GVN28" s="63"/>
      <c r="GVO28" s="63"/>
      <c r="GVP28" s="63"/>
      <c r="GVQ28" s="63"/>
      <c r="GVR28" s="63"/>
      <c r="GVS28" s="63"/>
      <c r="GVT28" s="63"/>
      <c r="GVU28" s="63"/>
      <c r="GVV28" s="54"/>
      <c r="GVW28" s="54"/>
      <c r="GVX28" s="54"/>
      <c r="GVY28" s="57"/>
      <c r="GVZ28" s="62"/>
      <c r="GWA28" s="63"/>
      <c r="GWB28" s="63"/>
      <c r="GWC28" s="63"/>
      <c r="GWD28" s="63"/>
      <c r="GWE28" s="63"/>
      <c r="GWF28" s="63"/>
      <c r="GWG28" s="63"/>
      <c r="GWH28" s="63"/>
      <c r="GWI28" s="63"/>
      <c r="GWJ28" s="63"/>
      <c r="GWK28" s="63"/>
      <c r="GWL28" s="54"/>
      <c r="GWM28" s="54"/>
      <c r="GWN28" s="54"/>
      <c r="GWO28" s="57"/>
      <c r="GWP28" s="62"/>
      <c r="GWQ28" s="63"/>
      <c r="GWR28" s="63"/>
      <c r="GWS28" s="63"/>
      <c r="GWT28" s="63"/>
      <c r="GWU28" s="63"/>
      <c r="GWV28" s="63"/>
      <c r="GWW28" s="63"/>
      <c r="GWX28" s="63"/>
      <c r="GWY28" s="63"/>
      <c r="GWZ28" s="63"/>
      <c r="GXA28" s="63"/>
      <c r="GXB28" s="54"/>
      <c r="GXC28" s="54"/>
      <c r="GXD28" s="54"/>
      <c r="GXE28" s="57"/>
      <c r="GXF28" s="62"/>
      <c r="GXG28" s="63"/>
      <c r="GXH28" s="63"/>
      <c r="GXI28" s="63"/>
      <c r="GXJ28" s="63"/>
      <c r="GXK28" s="63"/>
      <c r="GXL28" s="63"/>
      <c r="GXM28" s="63"/>
      <c r="GXN28" s="63"/>
      <c r="GXO28" s="63"/>
      <c r="GXP28" s="63"/>
      <c r="GXQ28" s="63"/>
      <c r="GXR28" s="54"/>
      <c r="GXS28" s="54"/>
      <c r="GXT28" s="54"/>
      <c r="GXU28" s="57"/>
      <c r="GXV28" s="62"/>
      <c r="GXW28" s="63"/>
      <c r="GXX28" s="63"/>
      <c r="GXY28" s="63"/>
      <c r="GXZ28" s="63"/>
      <c r="GYA28" s="63"/>
      <c r="GYB28" s="63"/>
      <c r="GYC28" s="63"/>
      <c r="GYD28" s="63"/>
      <c r="GYE28" s="63"/>
      <c r="GYF28" s="63"/>
      <c r="GYG28" s="63"/>
      <c r="GYH28" s="54"/>
      <c r="GYI28" s="54"/>
      <c r="GYJ28" s="54"/>
      <c r="GYK28" s="57"/>
      <c r="GYL28" s="62"/>
      <c r="GYM28" s="63"/>
      <c r="GYN28" s="63"/>
      <c r="GYO28" s="63"/>
      <c r="GYP28" s="63"/>
      <c r="GYQ28" s="63"/>
      <c r="GYR28" s="63"/>
      <c r="GYS28" s="63"/>
      <c r="GYT28" s="63"/>
      <c r="GYU28" s="63"/>
      <c r="GYV28" s="63"/>
      <c r="GYW28" s="63"/>
      <c r="GYX28" s="54"/>
      <c r="GYY28" s="54"/>
      <c r="GYZ28" s="54"/>
      <c r="GZA28" s="57"/>
      <c r="GZB28" s="62"/>
      <c r="GZC28" s="63"/>
      <c r="GZD28" s="63"/>
      <c r="GZE28" s="63"/>
      <c r="GZF28" s="63"/>
      <c r="GZG28" s="63"/>
      <c r="GZH28" s="63"/>
      <c r="GZI28" s="63"/>
      <c r="GZJ28" s="63"/>
      <c r="GZK28" s="63"/>
      <c r="GZL28" s="63"/>
      <c r="GZM28" s="63"/>
      <c r="GZN28" s="54"/>
      <c r="GZO28" s="54"/>
      <c r="GZP28" s="54"/>
      <c r="GZQ28" s="57"/>
      <c r="GZR28" s="62"/>
      <c r="GZS28" s="63"/>
      <c r="GZT28" s="63"/>
      <c r="GZU28" s="63"/>
      <c r="GZV28" s="63"/>
      <c r="GZW28" s="63"/>
      <c r="GZX28" s="63"/>
      <c r="GZY28" s="63"/>
      <c r="GZZ28" s="63"/>
      <c r="HAA28" s="63"/>
      <c r="HAB28" s="63"/>
      <c r="HAC28" s="63"/>
      <c r="HAD28" s="54"/>
      <c r="HAE28" s="54"/>
      <c r="HAF28" s="54"/>
      <c r="HAG28" s="57"/>
      <c r="HAH28" s="62"/>
      <c r="HAI28" s="63"/>
      <c r="HAJ28" s="63"/>
      <c r="HAK28" s="63"/>
      <c r="HAL28" s="63"/>
      <c r="HAM28" s="63"/>
      <c r="HAN28" s="63"/>
      <c r="HAO28" s="63"/>
      <c r="HAP28" s="63"/>
      <c r="HAQ28" s="63"/>
      <c r="HAR28" s="63"/>
      <c r="HAS28" s="63"/>
      <c r="HAT28" s="54"/>
      <c r="HAU28" s="54"/>
      <c r="HAV28" s="54"/>
      <c r="HAW28" s="57"/>
      <c r="HAX28" s="62"/>
      <c r="HAY28" s="63"/>
      <c r="HAZ28" s="63"/>
      <c r="HBA28" s="63"/>
      <c r="HBB28" s="63"/>
      <c r="HBC28" s="63"/>
      <c r="HBD28" s="63"/>
      <c r="HBE28" s="63"/>
      <c r="HBF28" s="63"/>
      <c r="HBG28" s="63"/>
      <c r="HBH28" s="63"/>
      <c r="HBI28" s="63"/>
      <c r="HBJ28" s="54"/>
      <c r="HBK28" s="54"/>
      <c r="HBL28" s="54"/>
      <c r="HBM28" s="57"/>
      <c r="HBN28" s="62"/>
      <c r="HBO28" s="63"/>
      <c r="HBP28" s="63"/>
      <c r="HBQ28" s="63"/>
      <c r="HBR28" s="63"/>
      <c r="HBS28" s="63"/>
      <c r="HBT28" s="63"/>
      <c r="HBU28" s="63"/>
      <c r="HBV28" s="63"/>
      <c r="HBW28" s="63"/>
      <c r="HBX28" s="63"/>
      <c r="HBY28" s="63"/>
      <c r="HBZ28" s="54"/>
      <c r="HCA28" s="54"/>
      <c r="HCB28" s="54"/>
      <c r="HCC28" s="57"/>
      <c r="HCD28" s="62"/>
      <c r="HCE28" s="63"/>
      <c r="HCF28" s="63"/>
      <c r="HCG28" s="63"/>
      <c r="HCH28" s="63"/>
      <c r="HCI28" s="63"/>
      <c r="HCJ28" s="63"/>
      <c r="HCK28" s="63"/>
      <c r="HCL28" s="63"/>
      <c r="HCM28" s="63"/>
      <c r="HCN28" s="63"/>
      <c r="HCO28" s="63"/>
      <c r="HCP28" s="54"/>
      <c r="HCQ28" s="54"/>
      <c r="HCR28" s="54"/>
      <c r="HCS28" s="57"/>
      <c r="HCT28" s="62"/>
      <c r="HCU28" s="63"/>
      <c r="HCV28" s="63"/>
      <c r="HCW28" s="63"/>
      <c r="HCX28" s="63"/>
      <c r="HCY28" s="63"/>
      <c r="HCZ28" s="63"/>
      <c r="HDA28" s="63"/>
      <c r="HDB28" s="63"/>
      <c r="HDC28" s="63"/>
      <c r="HDD28" s="63"/>
      <c r="HDE28" s="63"/>
      <c r="HDF28" s="54"/>
      <c r="HDG28" s="54"/>
      <c r="HDH28" s="54"/>
      <c r="HDI28" s="57"/>
      <c r="HDJ28" s="62"/>
      <c r="HDK28" s="63"/>
      <c r="HDL28" s="63"/>
      <c r="HDM28" s="63"/>
      <c r="HDN28" s="63"/>
      <c r="HDO28" s="63"/>
      <c r="HDP28" s="63"/>
      <c r="HDQ28" s="63"/>
      <c r="HDR28" s="63"/>
      <c r="HDS28" s="63"/>
      <c r="HDT28" s="63"/>
      <c r="HDU28" s="63"/>
      <c r="HDV28" s="54"/>
      <c r="HDW28" s="54"/>
      <c r="HDX28" s="54"/>
      <c r="HDY28" s="57"/>
      <c r="HDZ28" s="62"/>
      <c r="HEA28" s="63"/>
      <c r="HEB28" s="63"/>
      <c r="HEC28" s="63"/>
      <c r="HED28" s="63"/>
      <c r="HEE28" s="63"/>
      <c r="HEF28" s="63"/>
      <c r="HEG28" s="63"/>
      <c r="HEH28" s="63"/>
      <c r="HEI28" s="63"/>
      <c r="HEJ28" s="63"/>
      <c r="HEK28" s="63"/>
      <c r="HEL28" s="54"/>
      <c r="HEM28" s="54"/>
      <c r="HEN28" s="54"/>
      <c r="HEO28" s="57"/>
      <c r="HEP28" s="62"/>
      <c r="HEQ28" s="63"/>
      <c r="HER28" s="63"/>
      <c r="HES28" s="63"/>
      <c r="HET28" s="63"/>
      <c r="HEU28" s="63"/>
      <c r="HEV28" s="63"/>
      <c r="HEW28" s="63"/>
      <c r="HEX28" s="63"/>
      <c r="HEY28" s="63"/>
      <c r="HEZ28" s="63"/>
      <c r="HFA28" s="63"/>
      <c r="HFB28" s="54"/>
      <c r="HFC28" s="54"/>
      <c r="HFD28" s="54"/>
      <c r="HFE28" s="57"/>
      <c r="HFF28" s="62"/>
      <c r="HFG28" s="63"/>
      <c r="HFH28" s="63"/>
      <c r="HFI28" s="63"/>
      <c r="HFJ28" s="63"/>
      <c r="HFK28" s="63"/>
      <c r="HFL28" s="63"/>
      <c r="HFM28" s="63"/>
      <c r="HFN28" s="63"/>
      <c r="HFO28" s="63"/>
      <c r="HFP28" s="63"/>
      <c r="HFQ28" s="63"/>
      <c r="HFR28" s="54"/>
      <c r="HFS28" s="54"/>
      <c r="HFT28" s="54"/>
      <c r="HFU28" s="57"/>
      <c r="HFV28" s="62"/>
      <c r="HFW28" s="63"/>
      <c r="HFX28" s="63"/>
      <c r="HFY28" s="63"/>
      <c r="HFZ28" s="63"/>
      <c r="HGA28" s="63"/>
      <c r="HGB28" s="63"/>
      <c r="HGC28" s="63"/>
      <c r="HGD28" s="63"/>
      <c r="HGE28" s="63"/>
      <c r="HGF28" s="63"/>
      <c r="HGG28" s="63"/>
      <c r="HGH28" s="54"/>
      <c r="HGI28" s="54"/>
      <c r="HGJ28" s="54"/>
      <c r="HGK28" s="57"/>
      <c r="HGL28" s="62"/>
      <c r="HGM28" s="63"/>
      <c r="HGN28" s="63"/>
      <c r="HGO28" s="63"/>
      <c r="HGP28" s="63"/>
      <c r="HGQ28" s="63"/>
      <c r="HGR28" s="63"/>
      <c r="HGS28" s="63"/>
      <c r="HGT28" s="63"/>
      <c r="HGU28" s="63"/>
      <c r="HGV28" s="63"/>
      <c r="HGW28" s="63"/>
      <c r="HGX28" s="54"/>
      <c r="HGY28" s="54"/>
      <c r="HGZ28" s="54"/>
      <c r="HHA28" s="57"/>
      <c r="HHB28" s="62"/>
      <c r="HHC28" s="63"/>
      <c r="HHD28" s="63"/>
      <c r="HHE28" s="63"/>
      <c r="HHF28" s="63"/>
      <c r="HHG28" s="63"/>
      <c r="HHH28" s="63"/>
      <c r="HHI28" s="63"/>
      <c r="HHJ28" s="63"/>
      <c r="HHK28" s="63"/>
      <c r="HHL28" s="63"/>
      <c r="HHM28" s="63"/>
      <c r="HHN28" s="54"/>
      <c r="HHO28" s="54"/>
      <c r="HHP28" s="54"/>
      <c r="HHQ28" s="57"/>
      <c r="HHR28" s="62"/>
      <c r="HHS28" s="63"/>
      <c r="HHT28" s="63"/>
      <c r="HHU28" s="63"/>
      <c r="HHV28" s="63"/>
      <c r="HHW28" s="63"/>
      <c r="HHX28" s="63"/>
      <c r="HHY28" s="63"/>
      <c r="HHZ28" s="63"/>
      <c r="HIA28" s="63"/>
      <c r="HIB28" s="63"/>
      <c r="HIC28" s="63"/>
      <c r="HID28" s="54"/>
      <c r="HIE28" s="54"/>
      <c r="HIF28" s="54"/>
      <c r="HIG28" s="57"/>
      <c r="HIH28" s="62"/>
      <c r="HII28" s="63"/>
      <c r="HIJ28" s="63"/>
      <c r="HIK28" s="63"/>
      <c r="HIL28" s="63"/>
      <c r="HIM28" s="63"/>
      <c r="HIN28" s="63"/>
      <c r="HIO28" s="63"/>
      <c r="HIP28" s="63"/>
      <c r="HIQ28" s="63"/>
      <c r="HIR28" s="63"/>
      <c r="HIS28" s="63"/>
      <c r="HIT28" s="54"/>
      <c r="HIU28" s="54"/>
      <c r="HIV28" s="54"/>
      <c r="HIW28" s="57"/>
      <c r="HIX28" s="62"/>
      <c r="HIY28" s="63"/>
      <c r="HIZ28" s="63"/>
      <c r="HJA28" s="63"/>
      <c r="HJB28" s="63"/>
      <c r="HJC28" s="63"/>
      <c r="HJD28" s="63"/>
      <c r="HJE28" s="63"/>
      <c r="HJF28" s="63"/>
      <c r="HJG28" s="63"/>
      <c r="HJH28" s="63"/>
      <c r="HJI28" s="63"/>
      <c r="HJJ28" s="54"/>
      <c r="HJK28" s="54"/>
      <c r="HJL28" s="54"/>
      <c r="HJM28" s="57"/>
      <c r="HJN28" s="62"/>
      <c r="HJO28" s="63"/>
      <c r="HJP28" s="63"/>
      <c r="HJQ28" s="63"/>
      <c r="HJR28" s="63"/>
      <c r="HJS28" s="63"/>
      <c r="HJT28" s="63"/>
      <c r="HJU28" s="63"/>
      <c r="HJV28" s="63"/>
      <c r="HJW28" s="63"/>
      <c r="HJX28" s="63"/>
      <c r="HJY28" s="63"/>
      <c r="HJZ28" s="54"/>
      <c r="HKA28" s="54"/>
      <c r="HKB28" s="54"/>
      <c r="HKC28" s="57"/>
      <c r="HKD28" s="62"/>
      <c r="HKE28" s="63"/>
      <c r="HKF28" s="63"/>
      <c r="HKG28" s="63"/>
      <c r="HKH28" s="63"/>
      <c r="HKI28" s="63"/>
      <c r="HKJ28" s="63"/>
      <c r="HKK28" s="63"/>
      <c r="HKL28" s="63"/>
      <c r="HKM28" s="63"/>
      <c r="HKN28" s="63"/>
      <c r="HKO28" s="63"/>
      <c r="HKP28" s="54"/>
      <c r="HKQ28" s="54"/>
      <c r="HKR28" s="54"/>
      <c r="HKS28" s="57"/>
      <c r="HKT28" s="62"/>
      <c r="HKU28" s="63"/>
      <c r="HKV28" s="63"/>
      <c r="HKW28" s="63"/>
      <c r="HKX28" s="63"/>
      <c r="HKY28" s="63"/>
      <c r="HKZ28" s="63"/>
      <c r="HLA28" s="63"/>
      <c r="HLB28" s="63"/>
      <c r="HLC28" s="63"/>
      <c r="HLD28" s="63"/>
      <c r="HLE28" s="63"/>
      <c r="HLF28" s="54"/>
      <c r="HLG28" s="54"/>
      <c r="HLH28" s="54"/>
      <c r="HLI28" s="57"/>
      <c r="HLJ28" s="62"/>
      <c r="HLK28" s="63"/>
      <c r="HLL28" s="63"/>
      <c r="HLM28" s="63"/>
      <c r="HLN28" s="63"/>
      <c r="HLO28" s="63"/>
      <c r="HLP28" s="63"/>
      <c r="HLQ28" s="63"/>
      <c r="HLR28" s="63"/>
      <c r="HLS28" s="63"/>
      <c r="HLT28" s="63"/>
      <c r="HLU28" s="63"/>
      <c r="HLV28" s="54"/>
      <c r="HLW28" s="54"/>
      <c r="HLX28" s="54"/>
      <c r="HLY28" s="57"/>
      <c r="HLZ28" s="62"/>
      <c r="HMA28" s="63"/>
      <c r="HMB28" s="63"/>
      <c r="HMC28" s="63"/>
      <c r="HMD28" s="63"/>
      <c r="HME28" s="63"/>
      <c r="HMF28" s="63"/>
      <c r="HMG28" s="63"/>
      <c r="HMH28" s="63"/>
      <c r="HMI28" s="63"/>
      <c r="HMJ28" s="63"/>
      <c r="HMK28" s="63"/>
      <c r="HML28" s="54"/>
      <c r="HMM28" s="54"/>
      <c r="HMN28" s="54"/>
      <c r="HMO28" s="57"/>
      <c r="HMP28" s="62"/>
      <c r="HMQ28" s="63"/>
      <c r="HMR28" s="63"/>
      <c r="HMS28" s="63"/>
      <c r="HMT28" s="63"/>
      <c r="HMU28" s="63"/>
      <c r="HMV28" s="63"/>
      <c r="HMW28" s="63"/>
      <c r="HMX28" s="63"/>
      <c r="HMY28" s="63"/>
      <c r="HMZ28" s="63"/>
      <c r="HNA28" s="63"/>
      <c r="HNB28" s="54"/>
      <c r="HNC28" s="54"/>
      <c r="HND28" s="54"/>
      <c r="HNE28" s="57"/>
      <c r="HNF28" s="62"/>
      <c r="HNG28" s="63"/>
      <c r="HNH28" s="63"/>
      <c r="HNI28" s="63"/>
      <c r="HNJ28" s="63"/>
      <c r="HNK28" s="63"/>
      <c r="HNL28" s="63"/>
      <c r="HNM28" s="63"/>
      <c r="HNN28" s="63"/>
      <c r="HNO28" s="63"/>
      <c r="HNP28" s="63"/>
      <c r="HNQ28" s="63"/>
      <c r="HNR28" s="54"/>
      <c r="HNS28" s="54"/>
      <c r="HNT28" s="54"/>
      <c r="HNU28" s="57"/>
      <c r="HNV28" s="62"/>
      <c r="HNW28" s="63"/>
      <c r="HNX28" s="63"/>
      <c r="HNY28" s="63"/>
      <c r="HNZ28" s="63"/>
      <c r="HOA28" s="63"/>
      <c r="HOB28" s="63"/>
      <c r="HOC28" s="63"/>
      <c r="HOD28" s="63"/>
      <c r="HOE28" s="63"/>
      <c r="HOF28" s="63"/>
      <c r="HOG28" s="63"/>
      <c r="HOH28" s="54"/>
      <c r="HOI28" s="54"/>
      <c r="HOJ28" s="54"/>
      <c r="HOK28" s="57"/>
      <c r="HOL28" s="62"/>
      <c r="HOM28" s="63"/>
      <c r="HON28" s="63"/>
      <c r="HOO28" s="63"/>
      <c r="HOP28" s="63"/>
      <c r="HOQ28" s="63"/>
      <c r="HOR28" s="63"/>
      <c r="HOS28" s="63"/>
      <c r="HOT28" s="63"/>
      <c r="HOU28" s="63"/>
      <c r="HOV28" s="63"/>
      <c r="HOW28" s="63"/>
      <c r="HOX28" s="54"/>
      <c r="HOY28" s="54"/>
      <c r="HOZ28" s="54"/>
      <c r="HPA28" s="57"/>
      <c r="HPB28" s="62"/>
      <c r="HPC28" s="63"/>
      <c r="HPD28" s="63"/>
      <c r="HPE28" s="63"/>
      <c r="HPF28" s="63"/>
      <c r="HPG28" s="63"/>
      <c r="HPH28" s="63"/>
      <c r="HPI28" s="63"/>
      <c r="HPJ28" s="63"/>
      <c r="HPK28" s="63"/>
      <c r="HPL28" s="63"/>
      <c r="HPM28" s="63"/>
      <c r="HPN28" s="54"/>
      <c r="HPO28" s="54"/>
      <c r="HPP28" s="54"/>
      <c r="HPQ28" s="57"/>
      <c r="HPR28" s="62"/>
      <c r="HPS28" s="63"/>
      <c r="HPT28" s="63"/>
      <c r="HPU28" s="63"/>
      <c r="HPV28" s="63"/>
      <c r="HPW28" s="63"/>
      <c r="HPX28" s="63"/>
      <c r="HPY28" s="63"/>
      <c r="HPZ28" s="63"/>
      <c r="HQA28" s="63"/>
      <c r="HQB28" s="63"/>
      <c r="HQC28" s="63"/>
      <c r="HQD28" s="54"/>
      <c r="HQE28" s="54"/>
      <c r="HQF28" s="54"/>
      <c r="HQG28" s="57"/>
      <c r="HQH28" s="62"/>
      <c r="HQI28" s="63"/>
      <c r="HQJ28" s="63"/>
      <c r="HQK28" s="63"/>
      <c r="HQL28" s="63"/>
      <c r="HQM28" s="63"/>
      <c r="HQN28" s="63"/>
      <c r="HQO28" s="63"/>
      <c r="HQP28" s="63"/>
      <c r="HQQ28" s="63"/>
      <c r="HQR28" s="63"/>
      <c r="HQS28" s="63"/>
      <c r="HQT28" s="54"/>
      <c r="HQU28" s="54"/>
      <c r="HQV28" s="54"/>
      <c r="HQW28" s="57"/>
      <c r="HQX28" s="62"/>
      <c r="HQY28" s="63"/>
      <c r="HQZ28" s="63"/>
      <c r="HRA28" s="63"/>
      <c r="HRB28" s="63"/>
      <c r="HRC28" s="63"/>
      <c r="HRD28" s="63"/>
      <c r="HRE28" s="63"/>
      <c r="HRF28" s="63"/>
      <c r="HRG28" s="63"/>
      <c r="HRH28" s="63"/>
      <c r="HRI28" s="63"/>
      <c r="HRJ28" s="54"/>
      <c r="HRK28" s="54"/>
      <c r="HRL28" s="54"/>
      <c r="HRM28" s="57"/>
      <c r="HRN28" s="62"/>
      <c r="HRO28" s="63"/>
      <c r="HRP28" s="63"/>
      <c r="HRQ28" s="63"/>
      <c r="HRR28" s="63"/>
      <c r="HRS28" s="63"/>
      <c r="HRT28" s="63"/>
      <c r="HRU28" s="63"/>
      <c r="HRV28" s="63"/>
      <c r="HRW28" s="63"/>
      <c r="HRX28" s="63"/>
      <c r="HRY28" s="63"/>
      <c r="HRZ28" s="54"/>
      <c r="HSA28" s="54"/>
      <c r="HSB28" s="54"/>
      <c r="HSC28" s="57"/>
      <c r="HSD28" s="62"/>
      <c r="HSE28" s="63"/>
      <c r="HSF28" s="63"/>
      <c r="HSG28" s="63"/>
      <c r="HSH28" s="63"/>
      <c r="HSI28" s="63"/>
      <c r="HSJ28" s="63"/>
      <c r="HSK28" s="63"/>
      <c r="HSL28" s="63"/>
      <c r="HSM28" s="63"/>
      <c r="HSN28" s="63"/>
      <c r="HSO28" s="63"/>
      <c r="HSP28" s="54"/>
      <c r="HSQ28" s="54"/>
      <c r="HSR28" s="54"/>
      <c r="HSS28" s="57"/>
      <c r="HST28" s="62"/>
      <c r="HSU28" s="63"/>
      <c r="HSV28" s="63"/>
      <c r="HSW28" s="63"/>
      <c r="HSX28" s="63"/>
      <c r="HSY28" s="63"/>
      <c r="HSZ28" s="63"/>
      <c r="HTA28" s="63"/>
      <c r="HTB28" s="63"/>
      <c r="HTC28" s="63"/>
      <c r="HTD28" s="63"/>
      <c r="HTE28" s="63"/>
      <c r="HTF28" s="54"/>
      <c r="HTG28" s="54"/>
      <c r="HTH28" s="54"/>
      <c r="HTI28" s="57"/>
      <c r="HTJ28" s="62"/>
      <c r="HTK28" s="63"/>
      <c r="HTL28" s="63"/>
      <c r="HTM28" s="63"/>
      <c r="HTN28" s="63"/>
      <c r="HTO28" s="63"/>
      <c r="HTP28" s="63"/>
      <c r="HTQ28" s="63"/>
      <c r="HTR28" s="63"/>
      <c r="HTS28" s="63"/>
      <c r="HTT28" s="63"/>
      <c r="HTU28" s="63"/>
      <c r="HTV28" s="54"/>
      <c r="HTW28" s="54"/>
      <c r="HTX28" s="54"/>
      <c r="HTY28" s="57"/>
      <c r="HTZ28" s="62"/>
      <c r="HUA28" s="63"/>
      <c r="HUB28" s="63"/>
      <c r="HUC28" s="63"/>
      <c r="HUD28" s="63"/>
      <c r="HUE28" s="63"/>
      <c r="HUF28" s="63"/>
      <c r="HUG28" s="63"/>
      <c r="HUH28" s="63"/>
      <c r="HUI28" s="63"/>
      <c r="HUJ28" s="63"/>
      <c r="HUK28" s="63"/>
      <c r="HUL28" s="54"/>
      <c r="HUM28" s="54"/>
      <c r="HUN28" s="54"/>
      <c r="HUO28" s="57"/>
      <c r="HUP28" s="62"/>
      <c r="HUQ28" s="63"/>
      <c r="HUR28" s="63"/>
      <c r="HUS28" s="63"/>
      <c r="HUT28" s="63"/>
      <c r="HUU28" s="63"/>
      <c r="HUV28" s="63"/>
      <c r="HUW28" s="63"/>
      <c r="HUX28" s="63"/>
      <c r="HUY28" s="63"/>
      <c r="HUZ28" s="63"/>
      <c r="HVA28" s="63"/>
      <c r="HVB28" s="54"/>
      <c r="HVC28" s="54"/>
      <c r="HVD28" s="54"/>
      <c r="HVE28" s="57"/>
      <c r="HVF28" s="62"/>
      <c r="HVG28" s="63"/>
      <c r="HVH28" s="63"/>
      <c r="HVI28" s="63"/>
      <c r="HVJ28" s="63"/>
      <c r="HVK28" s="63"/>
      <c r="HVL28" s="63"/>
      <c r="HVM28" s="63"/>
      <c r="HVN28" s="63"/>
      <c r="HVO28" s="63"/>
      <c r="HVP28" s="63"/>
      <c r="HVQ28" s="63"/>
      <c r="HVR28" s="54"/>
      <c r="HVS28" s="54"/>
      <c r="HVT28" s="54"/>
      <c r="HVU28" s="57"/>
      <c r="HVV28" s="62"/>
      <c r="HVW28" s="63"/>
      <c r="HVX28" s="63"/>
      <c r="HVY28" s="63"/>
      <c r="HVZ28" s="63"/>
      <c r="HWA28" s="63"/>
      <c r="HWB28" s="63"/>
      <c r="HWC28" s="63"/>
      <c r="HWD28" s="63"/>
      <c r="HWE28" s="63"/>
      <c r="HWF28" s="63"/>
      <c r="HWG28" s="63"/>
      <c r="HWH28" s="54"/>
      <c r="HWI28" s="54"/>
      <c r="HWJ28" s="54"/>
      <c r="HWK28" s="57"/>
      <c r="HWL28" s="62"/>
      <c r="HWM28" s="63"/>
      <c r="HWN28" s="63"/>
      <c r="HWO28" s="63"/>
      <c r="HWP28" s="63"/>
      <c r="HWQ28" s="63"/>
      <c r="HWR28" s="63"/>
      <c r="HWS28" s="63"/>
      <c r="HWT28" s="63"/>
      <c r="HWU28" s="63"/>
      <c r="HWV28" s="63"/>
      <c r="HWW28" s="63"/>
      <c r="HWX28" s="54"/>
      <c r="HWY28" s="54"/>
      <c r="HWZ28" s="54"/>
      <c r="HXA28" s="57"/>
      <c r="HXB28" s="62"/>
      <c r="HXC28" s="63"/>
      <c r="HXD28" s="63"/>
      <c r="HXE28" s="63"/>
      <c r="HXF28" s="63"/>
      <c r="HXG28" s="63"/>
      <c r="HXH28" s="63"/>
      <c r="HXI28" s="63"/>
      <c r="HXJ28" s="63"/>
      <c r="HXK28" s="63"/>
      <c r="HXL28" s="63"/>
      <c r="HXM28" s="63"/>
      <c r="HXN28" s="54"/>
      <c r="HXO28" s="54"/>
      <c r="HXP28" s="54"/>
      <c r="HXQ28" s="57"/>
      <c r="HXR28" s="62"/>
      <c r="HXS28" s="63"/>
      <c r="HXT28" s="63"/>
      <c r="HXU28" s="63"/>
      <c r="HXV28" s="63"/>
      <c r="HXW28" s="63"/>
      <c r="HXX28" s="63"/>
      <c r="HXY28" s="63"/>
      <c r="HXZ28" s="63"/>
      <c r="HYA28" s="63"/>
      <c r="HYB28" s="63"/>
      <c r="HYC28" s="63"/>
      <c r="HYD28" s="54"/>
      <c r="HYE28" s="54"/>
      <c r="HYF28" s="54"/>
      <c r="HYG28" s="57"/>
      <c r="HYH28" s="62"/>
      <c r="HYI28" s="63"/>
      <c r="HYJ28" s="63"/>
      <c r="HYK28" s="63"/>
      <c r="HYL28" s="63"/>
      <c r="HYM28" s="63"/>
      <c r="HYN28" s="63"/>
      <c r="HYO28" s="63"/>
      <c r="HYP28" s="63"/>
      <c r="HYQ28" s="63"/>
      <c r="HYR28" s="63"/>
      <c r="HYS28" s="63"/>
      <c r="HYT28" s="54"/>
      <c r="HYU28" s="54"/>
      <c r="HYV28" s="54"/>
      <c r="HYW28" s="57"/>
      <c r="HYX28" s="62"/>
      <c r="HYY28" s="63"/>
      <c r="HYZ28" s="63"/>
      <c r="HZA28" s="63"/>
      <c r="HZB28" s="63"/>
      <c r="HZC28" s="63"/>
      <c r="HZD28" s="63"/>
      <c r="HZE28" s="63"/>
      <c r="HZF28" s="63"/>
      <c r="HZG28" s="63"/>
      <c r="HZH28" s="63"/>
      <c r="HZI28" s="63"/>
      <c r="HZJ28" s="54"/>
      <c r="HZK28" s="54"/>
      <c r="HZL28" s="54"/>
      <c r="HZM28" s="57"/>
      <c r="HZN28" s="62"/>
      <c r="HZO28" s="63"/>
      <c r="HZP28" s="63"/>
      <c r="HZQ28" s="63"/>
      <c r="HZR28" s="63"/>
      <c r="HZS28" s="63"/>
      <c r="HZT28" s="63"/>
      <c r="HZU28" s="63"/>
      <c r="HZV28" s="63"/>
      <c r="HZW28" s="63"/>
      <c r="HZX28" s="63"/>
      <c r="HZY28" s="63"/>
      <c r="HZZ28" s="54"/>
      <c r="IAA28" s="54"/>
      <c r="IAB28" s="54"/>
      <c r="IAC28" s="57"/>
      <c r="IAD28" s="62"/>
      <c r="IAE28" s="63"/>
      <c r="IAF28" s="63"/>
      <c r="IAG28" s="63"/>
      <c r="IAH28" s="63"/>
      <c r="IAI28" s="63"/>
      <c r="IAJ28" s="63"/>
      <c r="IAK28" s="63"/>
      <c r="IAL28" s="63"/>
      <c r="IAM28" s="63"/>
      <c r="IAN28" s="63"/>
      <c r="IAO28" s="63"/>
      <c r="IAP28" s="54"/>
      <c r="IAQ28" s="54"/>
      <c r="IAR28" s="54"/>
      <c r="IAS28" s="57"/>
      <c r="IAT28" s="62"/>
      <c r="IAU28" s="63"/>
      <c r="IAV28" s="63"/>
      <c r="IAW28" s="63"/>
      <c r="IAX28" s="63"/>
      <c r="IAY28" s="63"/>
      <c r="IAZ28" s="63"/>
      <c r="IBA28" s="63"/>
      <c r="IBB28" s="63"/>
      <c r="IBC28" s="63"/>
      <c r="IBD28" s="63"/>
      <c r="IBE28" s="63"/>
      <c r="IBF28" s="54"/>
      <c r="IBG28" s="54"/>
      <c r="IBH28" s="54"/>
      <c r="IBI28" s="57"/>
      <c r="IBJ28" s="62"/>
      <c r="IBK28" s="63"/>
      <c r="IBL28" s="63"/>
      <c r="IBM28" s="63"/>
      <c r="IBN28" s="63"/>
      <c r="IBO28" s="63"/>
      <c r="IBP28" s="63"/>
      <c r="IBQ28" s="63"/>
      <c r="IBR28" s="63"/>
      <c r="IBS28" s="63"/>
      <c r="IBT28" s="63"/>
      <c r="IBU28" s="63"/>
      <c r="IBV28" s="54"/>
      <c r="IBW28" s="54"/>
      <c r="IBX28" s="54"/>
      <c r="IBY28" s="57"/>
      <c r="IBZ28" s="62"/>
      <c r="ICA28" s="63"/>
      <c r="ICB28" s="63"/>
      <c r="ICC28" s="63"/>
      <c r="ICD28" s="63"/>
      <c r="ICE28" s="63"/>
      <c r="ICF28" s="63"/>
      <c r="ICG28" s="63"/>
      <c r="ICH28" s="63"/>
      <c r="ICI28" s="63"/>
      <c r="ICJ28" s="63"/>
      <c r="ICK28" s="63"/>
      <c r="ICL28" s="54"/>
      <c r="ICM28" s="54"/>
      <c r="ICN28" s="54"/>
      <c r="ICO28" s="57"/>
      <c r="ICP28" s="62"/>
      <c r="ICQ28" s="63"/>
      <c r="ICR28" s="63"/>
      <c r="ICS28" s="63"/>
      <c r="ICT28" s="63"/>
      <c r="ICU28" s="63"/>
      <c r="ICV28" s="63"/>
      <c r="ICW28" s="63"/>
      <c r="ICX28" s="63"/>
      <c r="ICY28" s="63"/>
      <c r="ICZ28" s="63"/>
      <c r="IDA28" s="63"/>
      <c r="IDB28" s="54"/>
      <c r="IDC28" s="54"/>
      <c r="IDD28" s="54"/>
      <c r="IDE28" s="57"/>
      <c r="IDF28" s="62"/>
      <c r="IDG28" s="63"/>
      <c r="IDH28" s="63"/>
      <c r="IDI28" s="63"/>
      <c r="IDJ28" s="63"/>
      <c r="IDK28" s="63"/>
      <c r="IDL28" s="63"/>
      <c r="IDM28" s="63"/>
      <c r="IDN28" s="63"/>
      <c r="IDO28" s="63"/>
      <c r="IDP28" s="63"/>
      <c r="IDQ28" s="63"/>
      <c r="IDR28" s="54"/>
      <c r="IDS28" s="54"/>
      <c r="IDT28" s="54"/>
      <c r="IDU28" s="57"/>
      <c r="IDV28" s="62"/>
      <c r="IDW28" s="63"/>
      <c r="IDX28" s="63"/>
      <c r="IDY28" s="63"/>
      <c r="IDZ28" s="63"/>
      <c r="IEA28" s="63"/>
      <c r="IEB28" s="63"/>
      <c r="IEC28" s="63"/>
      <c r="IED28" s="63"/>
      <c r="IEE28" s="63"/>
      <c r="IEF28" s="63"/>
      <c r="IEG28" s="63"/>
      <c r="IEH28" s="54"/>
      <c r="IEI28" s="54"/>
      <c r="IEJ28" s="54"/>
      <c r="IEK28" s="57"/>
      <c r="IEL28" s="62"/>
      <c r="IEM28" s="63"/>
      <c r="IEN28" s="63"/>
      <c r="IEO28" s="63"/>
      <c r="IEP28" s="63"/>
      <c r="IEQ28" s="63"/>
      <c r="IER28" s="63"/>
      <c r="IES28" s="63"/>
      <c r="IET28" s="63"/>
      <c r="IEU28" s="63"/>
      <c r="IEV28" s="63"/>
      <c r="IEW28" s="63"/>
      <c r="IEX28" s="54"/>
      <c r="IEY28" s="54"/>
      <c r="IEZ28" s="54"/>
      <c r="IFA28" s="57"/>
      <c r="IFB28" s="62"/>
      <c r="IFC28" s="63"/>
      <c r="IFD28" s="63"/>
      <c r="IFE28" s="63"/>
      <c r="IFF28" s="63"/>
      <c r="IFG28" s="63"/>
      <c r="IFH28" s="63"/>
      <c r="IFI28" s="63"/>
      <c r="IFJ28" s="63"/>
      <c r="IFK28" s="63"/>
      <c r="IFL28" s="63"/>
      <c r="IFM28" s="63"/>
      <c r="IFN28" s="54"/>
      <c r="IFO28" s="54"/>
      <c r="IFP28" s="54"/>
      <c r="IFQ28" s="57"/>
      <c r="IFR28" s="62"/>
      <c r="IFS28" s="63"/>
      <c r="IFT28" s="63"/>
      <c r="IFU28" s="63"/>
      <c r="IFV28" s="63"/>
      <c r="IFW28" s="63"/>
      <c r="IFX28" s="63"/>
      <c r="IFY28" s="63"/>
      <c r="IFZ28" s="63"/>
      <c r="IGA28" s="63"/>
      <c r="IGB28" s="63"/>
      <c r="IGC28" s="63"/>
      <c r="IGD28" s="54"/>
      <c r="IGE28" s="54"/>
      <c r="IGF28" s="54"/>
      <c r="IGG28" s="57"/>
      <c r="IGH28" s="62"/>
      <c r="IGI28" s="63"/>
      <c r="IGJ28" s="63"/>
      <c r="IGK28" s="63"/>
      <c r="IGL28" s="63"/>
      <c r="IGM28" s="63"/>
      <c r="IGN28" s="63"/>
      <c r="IGO28" s="63"/>
      <c r="IGP28" s="63"/>
      <c r="IGQ28" s="63"/>
      <c r="IGR28" s="63"/>
      <c r="IGS28" s="63"/>
      <c r="IGT28" s="54"/>
      <c r="IGU28" s="54"/>
      <c r="IGV28" s="54"/>
      <c r="IGW28" s="57"/>
      <c r="IGX28" s="62"/>
      <c r="IGY28" s="63"/>
      <c r="IGZ28" s="63"/>
      <c r="IHA28" s="63"/>
      <c r="IHB28" s="63"/>
      <c r="IHC28" s="63"/>
      <c r="IHD28" s="63"/>
      <c r="IHE28" s="63"/>
      <c r="IHF28" s="63"/>
      <c r="IHG28" s="63"/>
      <c r="IHH28" s="63"/>
      <c r="IHI28" s="63"/>
      <c r="IHJ28" s="54"/>
      <c r="IHK28" s="54"/>
      <c r="IHL28" s="54"/>
      <c r="IHM28" s="57"/>
      <c r="IHN28" s="62"/>
      <c r="IHO28" s="63"/>
      <c r="IHP28" s="63"/>
      <c r="IHQ28" s="63"/>
      <c r="IHR28" s="63"/>
      <c r="IHS28" s="63"/>
      <c r="IHT28" s="63"/>
      <c r="IHU28" s="63"/>
      <c r="IHV28" s="63"/>
      <c r="IHW28" s="63"/>
      <c r="IHX28" s="63"/>
      <c r="IHY28" s="63"/>
      <c r="IHZ28" s="54"/>
      <c r="IIA28" s="54"/>
      <c r="IIB28" s="54"/>
      <c r="IIC28" s="57"/>
      <c r="IID28" s="62"/>
      <c r="IIE28" s="63"/>
      <c r="IIF28" s="63"/>
      <c r="IIG28" s="63"/>
      <c r="IIH28" s="63"/>
      <c r="III28" s="63"/>
      <c r="IIJ28" s="63"/>
      <c r="IIK28" s="63"/>
      <c r="IIL28" s="63"/>
      <c r="IIM28" s="63"/>
      <c r="IIN28" s="63"/>
      <c r="IIO28" s="63"/>
      <c r="IIP28" s="54"/>
      <c r="IIQ28" s="54"/>
      <c r="IIR28" s="54"/>
      <c r="IIS28" s="57"/>
      <c r="IIT28" s="62"/>
      <c r="IIU28" s="63"/>
      <c r="IIV28" s="63"/>
      <c r="IIW28" s="63"/>
      <c r="IIX28" s="63"/>
      <c r="IIY28" s="63"/>
      <c r="IIZ28" s="63"/>
      <c r="IJA28" s="63"/>
      <c r="IJB28" s="63"/>
      <c r="IJC28" s="63"/>
      <c r="IJD28" s="63"/>
      <c r="IJE28" s="63"/>
      <c r="IJF28" s="54"/>
      <c r="IJG28" s="54"/>
      <c r="IJH28" s="54"/>
      <c r="IJI28" s="57"/>
      <c r="IJJ28" s="62"/>
      <c r="IJK28" s="63"/>
      <c r="IJL28" s="63"/>
      <c r="IJM28" s="63"/>
      <c r="IJN28" s="63"/>
      <c r="IJO28" s="63"/>
      <c r="IJP28" s="63"/>
      <c r="IJQ28" s="63"/>
      <c r="IJR28" s="63"/>
      <c r="IJS28" s="63"/>
      <c r="IJT28" s="63"/>
      <c r="IJU28" s="63"/>
      <c r="IJV28" s="54"/>
      <c r="IJW28" s="54"/>
      <c r="IJX28" s="54"/>
      <c r="IJY28" s="57"/>
      <c r="IJZ28" s="62"/>
      <c r="IKA28" s="63"/>
      <c r="IKB28" s="63"/>
      <c r="IKC28" s="63"/>
      <c r="IKD28" s="63"/>
      <c r="IKE28" s="63"/>
      <c r="IKF28" s="63"/>
      <c r="IKG28" s="63"/>
      <c r="IKH28" s="63"/>
      <c r="IKI28" s="63"/>
      <c r="IKJ28" s="63"/>
      <c r="IKK28" s="63"/>
      <c r="IKL28" s="54"/>
      <c r="IKM28" s="54"/>
      <c r="IKN28" s="54"/>
      <c r="IKO28" s="57"/>
      <c r="IKP28" s="62"/>
      <c r="IKQ28" s="63"/>
      <c r="IKR28" s="63"/>
      <c r="IKS28" s="63"/>
      <c r="IKT28" s="63"/>
      <c r="IKU28" s="63"/>
      <c r="IKV28" s="63"/>
      <c r="IKW28" s="63"/>
      <c r="IKX28" s="63"/>
      <c r="IKY28" s="63"/>
      <c r="IKZ28" s="63"/>
      <c r="ILA28" s="63"/>
      <c r="ILB28" s="54"/>
      <c r="ILC28" s="54"/>
      <c r="ILD28" s="54"/>
      <c r="ILE28" s="57"/>
      <c r="ILF28" s="62"/>
      <c r="ILG28" s="63"/>
      <c r="ILH28" s="63"/>
      <c r="ILI28" s="63"/>
      <c r="ILJ28" s="63"/>
      <c r="ILK28" s="63"/>
      <c r="ILL28" s="63"/>
      <c r="ILM28" s="63"/>
      <c r="ILN28" s="63"/>
      <c r="ILO28" s="63"/>
      <c r="ILP28" s="63"/>
      <c r="ILQ28" s="63"/>
      <c r="ILR28" s="54"/>
      <c r="ILS28" s="54"/>
      <c r="ILT28" s="54"/>
      <c r="ILU28" s="57"/>
      <c r="ILV28" s="62"/>
      <c r="ILW28" s="63"/>
      <c r="ILX28" s="63"/>
      <c r="ILY28" s="63"/>
      <c r="ILZ28" s="63"/>
      <c r="IMA28" s="63"/>
      <c r="IMB28" s="63"/>
      <c r="IMC28" s="63"/>
      <c r="IMD28" s="63"/>
      <c r="IME28" s="63"/>
      <c r="IMF28" s="63"/>
      <c r="IMG28" s="63"/>
      <c r="IMH28" s="54"/>
      <c r="IMI28" s="54"/>
      <c r="IMJ28" s="54"/>
      <c r="IMK28" s="57"/>
      <c r="IML28" s="62"/>
      <c r="IMM28" s="63"/>
      <c r="IMN28" s="63"/>
      <c r="IMO28" s="63"/>
      <c r="IMP28" s="63"/>
      <c r="IMQ28" s="63"/>
      <c r="IMR28" s="63"/>
      <c r="IMS28" s="63"/>
      <c r="IMT28" s="63"/>
      <c r="IMU28" s="63"/>
      <c r="IMV28" s="63"/>
      <c r="IMW28" s="63"/>
      <c r="IMX28" s="54"/>
      <c r="IMY28" s="54"/>
      <c r="IMZ28" s="54"/>
      <c r="INA28" s="57"/>
      <c r="INB28" s="62"/>
      <c r="INC28" s="63"/>
      <c r="IND28" s="63"/>
      <c r="INE28" s="63"/>
      <c r="INF28" s="63"/>
      <c r="ING28" s="63"/>
      <c r="INH28" s="63"/>
      <c r="INI28" s="63"/>
      <c r="INJ28" s="63"/>
      <c r="INK28" s="63"/>
      <c r="INL28" s="63"/>
      <c r="INM28" s="63"/>
      <c r="INN28" s="54"/>
      <c r="INO28" s="54"/>
      <c r="INP28" s="54"/>
      <c r="INQ28" s="57"/>
      <c r="INR28" s="62"/>
      <c r="INS28" s="63"/>
      <c r="INT28" s="63"/>
      <c r="INU28" s="63"/>
      <c r="INV28" s="63"/>
      <c r="INW28" s="63"/>
      <c r="INX28" s="63"/>
      <c r="INY28" s="63"/>
      <c r="INZ28" s="63"/>
      <c r="IOA28" s="63"/>
      <c r="IOB28" s="63"/>
      <c r="IOC28" s="63"/>
      <c r="IOD28" s="54"/>
      <c r="IOE28" s="54"/>
      <c r="IOF28" s="54"/>
      <c r="IOG28" s="57"/>
      <c r="IOH28" s="62"/>
      <c r="IOI28" s="63"/>
      <c r="IOJ28" s="63"/>
      <c r="IOK28" s="63"/>
      <c r="IOL28" s="63"/>
      <c r="IOM28" s="63"/>
      <c r="ION28" s="63"/>
      <c r="IOO28" s="63"/>
      <c r="IOP28" s="63"/>
      <c r="IOQ28" s="63"/>
      <c r="IOR28" s="63"/>
      <c r="IOS28" s="63"/>
      <c r="IOT28" s="54"/>
      <c r="IOU28" s="54"/>
      <c r="IOV28" s="54"/>
      <c r="IOW28" s="57"/>
      <c r="IOX28" s="62"/>
      <c r="IOY28" s="63"/>
      <c r="IOZ28" s="63"/>
      <c r="IPA28" s="63"/>
      <c r="IPB28" s="63"/>
      <c r="IPC28" s="63"/>
      <c r="IPD28" s="63"/>
      <c r="IPE28" s="63"/>
      <c r="IPF28" s="63"/>
      <c r="IPG28" s="63"/>
      <c r="IPH28" s="63"/>
      <c r="IPI28" s="63"/>
      <c r="IPJ28" s="54"/>
      <c r="IPK28" s="54"/>
      <c r="IPL28" s="54"/>
      <c r="IPM28" s="57"/>
      <c r="IPN28" s="62"/>
      <c r="IPO28" s="63"/>
      <c r="IPP28" s="63"/>
      <c r="IPQ28" s="63"/>
      <c r="IPR28" s="63"/>
      <c r="IPS28" s="63"/>
      <c r="IPT28" s="63"/>
      <c r="IPU28" s="63"/>
      <c r="IPV28" s="63"/>
      <c r="IPW28" s="63"/>
      <c r="IPX28" s="63"/>
      <c r="IPY28" s="63"/>
      <c r="IPZ28" s="54"/>
      <c r="IQA28" s="54"/>
      <c r="IQB28" s="54"/>
      <c r="IQC28" s="57"/>
      <c r="IQD28" s="62"/>
      <c r="IQE28" s="63"/>
      <c r="IQF28" s="63"/>
      <c r="IQG28" s="63"/>
      <c r="IQH28" s="63"/>
      <c r="IQI28" s="63"/>
      <c r="IQJ28" s="63"/>
      <c r="IQK28" s="63"/>
      <c r="IQL28" s="63"/>
      <c r="IQM28" s="63"/>
      <c r="IQN28" s="63"/>
      <c r="IQO28" s="63"/>
      <c r="IQP28" s="54"/>
      <c r="IQQ28" s="54"/>
      <c r="IQR28" s="54"/>
      <c r="IQS28" s="57"/>
      <c r="IQT28" s="62"/>
      <c r="IQU28" s="63"/>
      <c r="IQV28" s="63"/>
      <c r="IQW28" s="63"/>
      <c r="IQX28" s="63"/>
      <c r="IQY28" s="63"/>
      <c r="IQZ28" s="63"/>
      <c r="IRA28" s="63"/>
      <c r="IRB28" s="63"/>
      <c r="IRC28" s="63"/>
      <c r="IRD28" s="63"/>
      <c r="IRE28" s="63"/>
      <c r="IRF28" s="54"/>
      <c r="IRG28" s="54"/>
      <c r="IRH28" s="54"/>
      <c r="IRI28" s="57"/>
      <c r="IRJ28" s="62"/>
      <c r="IRK28" s="63"/>
      <c r="IRL28" s="63"/>
      <c r="IRM28" s="63"/>
      <c r="IRN28" s="63"/>
      <c r="IRO28" s="63"/>
      <c r="IRP28" s="63"/>
      <c r="IRQ28" s="63"/>
      <c r="IRR28" s="63"/>
      <c r="IRS28" s="63"/>
      <c r="IRT28" s="63"/>
      <c r="IRU28" s="63"/>
      <c r="IRV28" s="54"/>
      <c r="IRW28" s="54"/>
      <c r="IRX28" s="54"/>
      <c r="IRY28" s="57"/>
      <c r="IRZ28" s="62"/>
      <c r="ISA28" s="63"/>
      <c r="ISB28" s="63"/>
      <c r="ISC28" s="63"/>
      <c r="ISD28" s="63"/>
      <c r="ISE28" s="63"/>
      <c r="ISF28" s="63"/>
      <c r="ISG28" s="63"/>
      <c r="ISH28" s="63"/>
      <c r="ISI28" s="63"/>
      <c r="ISJ28" s="63"/>
      <c r="ISK28" s="63"/>
      <c r="ISL28" s="54"/>
      <c r="ISM28" s="54"/>
      <c r="ISN28" s="54"/>
      <c r="ISO28" s="57"/>
      <c r="ISP28" s="62"/>
      <c r="ISQ28" s="63"/>
      <c r="ISR28" s="63"/>
      <c r="ISS28" s="63"/>
      <c r="IST28" s="63"/>
      <c r="ISU28" s="63"/>
      <c r="ISV28" s="63"/>
      <c r="ISW28" s="63"/>
      <c r="ISX28" s="63"/>
      <c r="ISY28" s="63"/>
      <c r="ISZ28" s="63"/>
      <c r="ITA28" s="63"/>
      <c r="ITB28" s="54"/>
      <c r="ITC28" s="54"/>
      <c r="ITD28" s="54"/>
      <c r="ITE28" s="57"/>
      <c r="ITF28" s="62"/>
      <c r="ITG28" s="63"/>
      <c r="ITH28" s="63"/>
      <c r="ITI28" s="63"/>
      <c r="ITJ28" s="63"/>
      <c r="ITK28" s="63"/>
      <c r="ITL28" s="63"/>
      <c r="ITM28" s="63"/>
      <c r="ITN28" s="63"/>
      <c r="ITO28" s="63"/>
      <c r="ITP28" s="63"/>
      <c r="ITQ28" s="63"/>
      <c r="ITR28" s="54"/>
      <c r="ITS28" s="54"/>
      <c r="ITT28" s="54"/>
      <c r="ITU28" s="57"/>
      <c r="ITV28" s="62"/>
      <c r="ITW28" s="63"/>
      <c r="ITX28" s="63"/>
      <c r="ITY28" s="63"/>
      <c r="ITZ28" s="63"/>
      <c r="IUA28" s="63"/>
      <c r="IUB28" s="63"/>
      <c r="IUC28" s="63"/>
      <c r="IUD28" s="63"/>
      <c r="IUE28" s="63"/>
      <c r="IUF28" s="63"/>
      <c r="IUG28" s="63"/>
      <c r="IUH28" s="54"/>
      <c r="IUI28" s="54"/>
      <c r="IUJ28" s="54"/>
      <c r="IUK28" s="57"/>
      <c r="IUL28" s="62"/>
      <c r="IUM28" s="63"/>
      <c r="IUN28" s="63"/>
      <c r="IUO28" s="63"/>
      <c r="IUP28" s="63"/>
      <c r="IUQ28" s="63"/>
      <c r="IUR28" s="63"/>
      <c r="IUS28" s="63"/>
      <c r="IUT28" s="63"/>
      <c r="IUU28" s="63"/>
      <c r="IUV28" s="63"/>
      <c r="IUW28" s="63"/>
      <c r="IUX28" s="54"/>
      <c r="IUY28" s="54"/>
      <c r="IUZ28" s="54"/>
      <c r="IVA28" s="57"/>
      <c r="IVB28" s="62"/>
      <c r="IVC28" s="63"/>
      <c r="IVD28" s="63"/>
      <c r="IVE28" s="63"/>
      <c r="IVF28" s="63"/>
      <c r="IVG28" s="63"/>
      <c r="IVH28" s="63"/>
      <c r="IVI28" s="63"/>
      <c r="IVJ28" s="63"/>
      <c r="IVK28" s="63"/>
      <c r="IVL28" s="63"/>
      <c r="IVM28" s="63"/>
      <c r="IVN28" s="54"/>
      <c r="IVO28" s="54"/>
      <c r="IVP28" s="54"/>
      <c r="IVQ28" s="57"/>
      <c r="IVR28" s="62"/>
      <c r="IVS28" s="63"/>
      <c r="IVT28" s="63"/>
      <c r="IVU28" s="63"/>
      <c r="IVV28" s="63"/>
      <c r="IVW28" s="63"/>
      <c r="IVX28" s="63"/>
      <c r="IVY28" s="63"/>
      <c r="IVZ28" s="63"/>
      <c r="IWA28" s="63"/>
      <c r="IWB28" s="63"/>
      <c r="IWC28" s="63"/>
      <c r="IWD28" s="54"/>
      <c r="IWE28" s="54"/>
      <c r="IWF28" s="54"/>
      <c r="IWG28" s="57"/>
      <c r="IWH28" s="62"/>
      <c r="IWI28" s="63"/>
      <c r="IWJ28" s="63"/>
      <c r="IWK28" s="63"/>
      <c r="IWL28" s="63"/>
      <c r="IWM28" s="63"/>
      <c r="IWN28" s="63"/>
      <c r="IWO28" s="63"/>
      <c r="IWP28" s="63"/>
      <c r="IWQ28" s="63"/>
      <c r="IWR28" s="63"/>
      <c r="IWS28" s="63"/>
      <c r="IWT28" s="54"/>
      <c r="IWU28" s="54"/>
      <c r="IWV28" s="54"/>
      <c r="IWW28" s="57"/>
      <c r="IWX28" s="62"/>
      <c r="IWY28" s="63"/>
      <c r="IWZ28" s="63"/>
      <c r="IXA28" s="63"/>
      <c r="IXB28" s="63"/>
      <c r="IXC28" s="63"/>
      <c r="IXD28" s="63"/>
      <c r="IXE28" s="63"/>
      <c r="IXF28" s="63"/>
      <c r="IXG28" s="63"/>
      <c r="IXH28" s="63"/>
      <c r="IXI28" s="63"/>
      <c r="IXJ28" s="54"/>
      <c r="IXK28" s="54"/>
      <c r="IXL28" s="54"/>
      <c r="IXM28" s="57"/>
      <c r="IXN28" s="62"/>
      <c r="IXO28" s="63"/>
      <c r="IXP28" s="63"/>
      <c r="IXQ28" s="63"/>
      <c r="IXR28" s="63"/>
      <c r="IXS28" s="63"/>
      <c r="IXT28" s="63"/>
      <c r="IXU28" s="63"/>
      <c r="IXV28" s="63"/>
      <c r="IXW28" s="63"/>
      <c r="IXX28" s="63"/>
      <c r="IXY28" s="63"/>
      <c r="IXZ28" s="54"/>
      <c r="IYA28" s="54"/>
      <c r="IYB28" s="54"/>
      <c r="IYC28" s="57"/>
      <c r="IYD28" s="62"/>
      <c r="IYE28" s="63"/>
      <c r="IYF28" s="63"/>
      <c r="IYG28" s="63"/>
      <c r="IYH28" s="63"/>
      <c r="IYI28" s="63"/>
      <c r="IYJ28" s="63"/>
      <c r="IYK28" s="63"/>
      <c r="IYL28" s="63"/>
      <c r="IYM28" s="63"/>
      <c r="IYN28" s="63"/>
      <c r="IYO28" s="63"/>
      <c r="IYP28" s="54"/>
      <c r="IYQ28" s="54"/>
      <c r="IYR28" s="54"/>
      <c r="IYS28" s="57"/>
      <c r="IYT28" s="62"/>
      <c r="IYU28" s="63"/>
      <c r="IYV28" s="63"/>
      <c r="IYW28" s="63"/>
      <c r="IYX28" s="63"/>
      <c r="IYY28" s="63"/>
      <c r="IYZ28" s="63"/>
      <c r="IZA28" s="63"/>
      <c r="IZB28" s="63"/>
      <c r="IZC28" s="63"/>
      <c r="IZD28" s="63"/>
      <c r="IZE28" s="63"/>
      <c r="IZF28" s="54"/>
      <c r="IZG28" s="54"/>
      <c r="IZH28" s="54"/>
      <c r="IZI28" s="57"/>
      <c r="IZJ28" s="62"/>
      <c r="IZK28" s="63"/>
      <c r="IZL28" s="63"/>
      <c r="IZM28" s="63"/>
      <c r="IZN28" s="63"/>
      <c r="IZO28" s="63"/>
      <c r="IZP28" s="63"/>
      <c r="IZQ28" s="63"/>
      <c r="IZR28" s="63"/>
      <c r="IZS28" s="63"/>
      <c r="IZT28" s="63"/>
      <c r="IZU28" s="63"/>
      <c r="IZV28" s="54"/>
      <c r="IZW28" s="54"/>
      <c r="IZX28" s="54"/>
      <c r="IZY28" s="57"/>
      <c r="IZZ28" s="62"/>
      <c r="JAA28" s="63"/>
      <c r="JAB28" s="63"/>
      <c r="JAC28" s="63"/>
      <c r="JAD28" s="63"/>
      <c r="JAE28" s="63"/>
      <c r="JAF28" s="63"/>
      <c r="JAG28" s="63"/>
      <c r="JAH28" s="63"/>
      <c r="JAI28" s="63"/>
      <c r="JAJ28" s="63"/>
      <c r="JAK28" s="63"/>
      <c r="JAL28" s="54"/>
      <c r="JAM28" s="54"/>
      <c r="JAN28" s="54"/>
      <c r="JAO28" s="57"/>
      <c r="JAP28" s="62"/>
      <c r="JAQ28" s="63"/>
      <c r="JAR28" s="63"/>
      <c r="JAS28" s="63"/>
      <c r="JAT28" s="63"/>
      <c r="JAU28" s="63"/>
      <c r="JAV28" s="63"/>
      <c r="JAW28" s="63"/>
      <c r="JAX28" s="63"/>
      <c r="JAY28" s="63"/>
      <c r="JAZ28" s="63"/>
      <c r="JBA28" s="63"/>
      <c r="JBB28" s="54"/>
      <c r="JBC28" s="54"/>
      <c r="JBD28" s="54"/>
      <c r="JBE28" s="57"/>
      <c r="JBF28" s="62"/>
      <c r="JBG28" s="63"/>
      <c r="JBH28" s="63"/>
      <c r="JBI28" s="63"/>
      <c r="JBJ28" s="63"/>
      <c r="JBK28" s="63"/>
      <c r="JBL28" s="63"/>
      <c r="JBM28" s="63"/>
      <c r="JBN28" s="63"/>
      <c r="JBO28" s="63"/>
      <c r="JBP28" s="63"/>
      <c r="JBQ28" s="63"/>
      <c r="JBR28" s="54"/>
      <c r="JBS28" s="54"/>
      <c r="JBT28" s="54"/>
      <c r="JBU28" s="57"/>
      <c r="JBV28" s="62"/>
      <c r="JBW28" s="63"/>
      <c r="JBX28" s="63"/>
      <c r="JBY28" s="63"/>
      <c r="JBZ28" s="63"/>
      <c r="JCA28" s="63"/>
      <c r="JCB28" s="63"/>
      <c r="JCC28" s="63"/>
      <c r="JCD28" s="63"/>
      <c r="JCE28" s="63"/>
      <c r="JCF28" s="63"/>
      <c r="JCG28" s="63"/>
      <c r="JCH28" s="54"/>
      <c r="JCI28" s="54"/>
      <c r="JCJ28" s="54"/>
      <c r="JCK28" s="57"/>
      <c r="JCL28" s="62"/>
      <c r="JCM28" s="63"/>
      <c r="JCN28" s="63"/>
      <c r="JCO28" s="63"/>
      <c r="JCP28" s="63"/>
      <c r="JCQ28" s="63"/>
      <c r="JCR28" s="63"/>
      <c r="JCS28" s="63"/>
      <c r="JCT28" s="63"/>
      <c r="JCU28" s="63"/>
      <c r="JCV28" s="63"/>
      <c r="JCW28" s="63"/>
      <c r="JCX28" s="54"/>
      <c r="JCY28" s="54"/>
      <c r="JCZ28" s="54"/>
      <c r="JDA28" s="57"/>
      <c r="JDB28" s="62"/>
      <c r="JDC28" s="63"/>
      <c r="JDD28" s="63"/>
      <c r="JDE28" s="63"/>
      <c r="JDF28" s="63"/>
      <c r="JDG28" s="63"/>
      <c r="JDH28" s="63"/>
      <c r="JDI28" s="63"/>
      <c r="JDJ28" s="63"/>
      <c r="JDK28" s="63"/>
      <c r="JDL28" s="63"/>
      <c r="JDM28" s="63"/>
      <c r="JDN28" s="54"/>
      <c r="JDO28" s="54"/>
      <c r="JDP28" s="54"/>
      <c r="JDQ28" s="57"/>
      <c r="JDR28" s="62"/>
      <c r="JDS28" s="63"/>
      <c r="JDT28" s="63"/>
      <c r="JDU28" s="63"/>
      <c r="JDV28" s="63"/>
      <c r="JDW28" s="63"/>
      <c r="JDX28" s="63"/>
      <c r="JDY28" s="63"/>
      <c r="JDZ28" s="63"/>
      <c r="JEA28" s="63"/>
      <c r="JEB28" s="63"/>
      <c r="JEC28" s="63"/>
      <c r="JED28" s="54"/>
      <c r="JEE28" s="54"/>
      <c r="JEF28" s="54"/>
      <c r="JEG28" s="57"/>
      <c r="JEH28" s="62"/>
      <c r="JEI28" s="63"/>
      <c r="JEJ28" s="63"/>
      <c r="JEK28" s="63"/>
      <c r="JEL28" s="63"/>
      <c r="JEM28" s="63"/>
      <c r="JEN28" s="63"/>
      <c r="JEO28" s="63"/>
      <c r="JEP28" s="63"/>
      <c r="JEQ28" s="63"/>
      <c r="JER28" s="63"/>
      <c r="JES28" s="63"/>
      <c r="JET28" s="54"/>
      <c r="JEU28" s="54"/>
      <c r="JEV28" s="54"/>
      <c r="JEW28" s="57"/>
      <c r="JEX28" s="62"/>
      <c r="JEY28" s="63"/>
      <c r="JEZ28" s="63"/>
      <c r="JFA28" s="63"/>
      <c r="JFB28" s="63"/>
      <c r="JFC28" s="63"/>
      <c r="JFD28" s="63"/>
      <c r="JFE28" s="63"/>
      <c r="JFF28" s="63"/>
      <c r="JFG28" s="63"/>
      <c r="JFH28" s="63"/>
      <c r="JFI28" s="63"/>
      <c r="JFJ28" s="54"/>
      <c r="JFK28" s="54"/>
      <c r="JFL28" s="54"/>
      <c r="JFM28" s="57"/>
      <c r="JFN28" s="62"/>
      <c r="JFO28" s="63"/>
      <c r="JFP28" s="63"/>
      <c r="JFQ28" s="63"/>
      <c r="JFR28" s="63"/>
      <c r="JFS28" s="63"/>
      <c r="JFT28" s="63"/>
      <c r="JFU28" s="63"/>
      <c r="JFV28" s="63"/>
      <c r="JFW28" s="63"/>
      <c r="JFX28" s="63"/>
      <c r="JFY28" s="63"/>
      <c r="JFZ28" s="54"/>
      <c r="JGA28" s="54"/>
      <c r="JGB28" s="54"/>
      <c r="JGC28" s="57"/>
      <c r="JGD28" s="62"/>
      <c r="JGE28" s="63"/>
      <c r="JGF28" s="63"/>
      <c r="JGG28" s="63"/>
      <c r="JGH28" s="63"/>
      <c r="JGI28" s="63"/>
      <c r="JGJ28" s="63"/>
      <c r="JGK28" s="63"/>
      <c r="JGL28" s="63"/>
      <c r="JGM28" s="63"/>
      <c r="JGN28" s="63"/>
      <c r="JGO28" s="63"/>
      <c r="JGP28" s="54"/>
      <c r="JGQ28" s="54"/>
      <c r="JGR28" s="54"/>
      <c r="JGS28" s="57"/>
      <c r="JGT28" s="62"/>
      <c r="JGU28" s="63"/>
      <c r="JGV28" s="63"/>
      <c r="JGW28" s="63"/>
      <c r="JGX28" s="63"/>
      <c r="JGY28" s="63"/>
      <c r="JGZ28" s="63"/>
      <c r="JHA28" s="63"/>
      <c r="JHB28" s="63"/>
      <c r="JHC28" s="63"/>
      <c r="JHD28" s="63"/>
      <c r="JHE28" s="63"/>
      <c r="JHF28" s="54"/>
      <c r="JHG28" s="54"/>
      <c r="JHH28" s="54"/>
      <c r="JHI28" s="57"/>
      <c r="JHJ28" s="62"/>
      <c r="JHK28" s="63"/>
      <c r="JHL28" s="63"/>
      <c r="JHM28" s="63"/>
      <c r="JHN28" s="63"/>
      <c r="JHO28" s="63"/>
      <c r="JHP28" s="63"/>
      <c r="JHQ28" s="63"/>
      <c r="JHR28" s="63"/>
      <c r="JHS28" s="63"/>
      <c r="JHT28" s="63"/>
      <c r="JHU28" s="63"/>
      <c r="JHV28" s="54"/>
      <c r="JHW28" s="54"/>
      <c r="JHX28" s="54"/>
      <c r="JHY28" s="57"/>
      <c r="JHZ28" s="62"/>
      <c r="JIA28" s="63"/>
      <c r="JIB28" s="63"/>
      <c r="JIC28" s="63"/>
      <c r="JID28" s="63"/>
      <c r="JIE28" s="63"/>
      <c r="JIF28" s="63"/>
      <c r="JIG28" s="63"/>
      <c r="JIH28" s="63"/>
      <c r="JII28" s="63"/>
      <c r="JIJ28" s="63"/>
      <c r="JIK28" s="63"/>
      <c r="JIL28" s="54"/>
      <c r="JIM28" s="54"/>
      <c r="JIN28" s="54"/>
      <c r="JIO28" s="57"/>
      <c r="JIP28" s="62"/>
      <c r="JIQ28" s="63"/>
      <c r="JIR28" s="63"/>
      <c r="JIS28" s="63"/>
      <c r="JIT28" s="63"/>
      <c r="JIU28" s="63"/>
      <c r="JIV28" s="63"/>
      <c r="JIW28" s="63"/>
      <c r="JIX28" s="63"/>
      <c r="JIY28" s="63"/>
      <c r="JIZ28" s="63"/>
      <c r="JJA28" s="63"/>
      <c r="JJB28" s="54"/>
      <c r="JJC28" s="54"/>
      <c r="JJD28" s="54"/>
      <c r="JJE28" s="57"/>
      <c r="JJF28" s="62"/>
      <c r="JJG28" s="63"/>
      <c r="JJH28" s="63"/>
      <c r="JJI28" s="63"/>
      <c r="JJJ28" s="63"/>
      <c r="JJK28" s="63"/>
      <c r="JJL28" s="63"/>
      <c r="JJM28" s="63"/>
      <c r="JJN28" s="63"/>
      <c r="JJO28" s="63"/>
      <c r="JJP28" s="63"/>
      <c r="JJQ28" s="63"/>
      <c r="JJR28" s="54"/>
      <c r="JJS28" s="54"/>
      <c r="JJT28" s="54"/>
      <c r="JJU28" s="57"/>
      <c r="JJV28" s="62"/>
      <c r="JJW28" s="63"/>
      <c r="JJX28" s="63"/>
      <c r="JJY28" s="63"/>
      <c r="JJZ28" s="63"/>
      <c r="JKA28" s="63"/>
      <c r="JKB28" s="63"/>
      <c r="JKC28" s="63"/>
      <c r="JKD28" s="63"/>
      <c r="JKE28" s="63"/>
      <c r="JKF28" s="63"/>
      <c r="JKG28" s="63"/>
      <c r="JKH28" s="54"/>
      <c r="JKI28" s="54"/>
      <c r="JKJ28" s="54"/>
      <c r="JKK28" s="57"/>
      <c r="JKL28" s="62"/>
      <c r="JKM28" s="63"/>
      <c r="JKN28" s="63"/>
      <c r="JKO28" s="63"/>
      <c r="JKP28" s="63"/>
      <c r="JKQ28" s="63"/>
      <c r="JKR28" s="63"/>
      <c r="JKS28" s="63"/>
      <c r="JKT28" s="63"/>
      <c r="JKU28" s="63"/>
      <c r="JKV28" s="63"/>
      <c r="JKW28" s="63"/>
      <c r="JKX28" s="54"/>
      <c r="JKY28" s="54"/>
      <c r="JKZ28" s="54"/>
      <c r="JLA28" s="57"/>
      <c r="JLB28" s="62"/>
      <c r="JLC28" s="63"/>
      <c r="JLD28" s="63"/>
      <c r="JLE28" s="63"/>
      <c r="JLF28" s="63"/>
      <c r="JLG28" s="63"/>
      <c r="JLH28" s="63"/>
      <c r="JLI28" s="63"/>
      <c r="JLJ28" s="63"/>
      <c r="JLK28" s="63"/>
      <c r="JLL28" s="63"/>
      <c r="JLM28" s="63"/>
      <c r="JLN28" s="54"/>
      <c r="JLO28" s="54"/>
      <c r="JLP28" s="54"/>
      <c r="JLQ28" s="57"/>
      <c r="JLR28" s="62"/>
      <c r="JLS28" s="63"/>
      <c r="JLT28" s="63"/>
      <c r="JLU28" s="63"/>
      <c r="JLV28" s="63"/>
      <c r="JLW28" s="63"/>
      <c r="JLX28" s="63"/>
      <c r="JLY28" s="63"/>
      <c r="JLZ28" s="63"/>
      <c r="JMA28" s="63"/>
      <c r="JMB28" s="63"/>
      <c r="JMC28" s="63"/>
      <c r="JMD28" s="54"/>
      <c r="JME28" s="54"/>
      <c r="JMF28" s="54"/>
      <c r="JMG28" s="57"/>
      <c r="JMH28" s="62"/>
      <c r="JMI28" s="63"/>
      <c r="JMJ28" s="63"/>
      <c r="JMK28" s="63"/>
      <c r="JML28" s="63"/>
      <c r="JMM28" s="63"/>
      <c r="JMN28" s="63"/>
      <c r="JMO28" s="63"/>
      <c r="JMP28" s="63"/>
      <c r="JMQ28" s="63"/>
      <c r="JMR28" s="63"/>
      <c r="JMS28" s="63"/>
      <c r="JMT28" s="54"/>
      <c r="JMU28" s="54"/>
      <c r="JMV28" s="54"/>
      <c r="JMW28" s="57"/>
      <c r="JMX28" s="62"/>
      <c r="JMY28" s="63"/>
      <c r="JMZ28" s="63"/>
      <c r="JNA28" s="63"/>
      <c r="JNB28" s="63"/>
      <c r="JNC28" s="63"/>
      <c r="JND28" s="63"/>
      <c r="JNE28" s="63"/>
      <c r="JNF28" s="63"/>
      <c r="JNG28" s="63"/>
      <c r="JNH28" s="63"/>
      <c r="JNI28" s="63"/>
      <c r="JNJ28" s="54"/>
      <c r="JNK28" s="54"/>
      <c r="JNL28" s="54"/>
      <c r="JNM28" s="57"/>
      <c r="JNN28" s="62"/>
      <c r="JNO28" s="63"/>
      <c r="JNP28" s="63"/>
      <c r="JNQ28" s="63"/>
      <c r="JNR28" s="63"/>
      <c r="JNS28" s="63"/>
      <c r="JNT28" s="63"/>
      <c r="JNU28" s="63"/>
      <c r="JNV28" s="63"/>
      <c r="JNW28" s="63"/>
      <c r="JNX28" s="63"/>
      <c r="JNY28" s="63"/>
      <c r="JNZ28" s="54"/>
      <c r="JOA28" s="54"/>
      <c r="JOB28" s="54"/>
      <c r="JOC28" s="57"/>
      <c r="JOD28" s="62"/>
      <c r="JOE28" s="63"/>
      <c r="JOF28" s="63"/>
      <c r="JOG28" s="63"/>
      <c r="JOH28" s="63"/>
      <c r="JOI28" s="63"/>
      <c r="JOJ28" s="63"/>
      <c r="JOK28" s="63"/>
      <c r="JOL28" s="63"/>
      <c r="JOM28" s="63"/>
      <c r="JON28" s="63"/>
      <c r="JOO28" s="63"/>
      <c r="JOP28" s="54"/>
      <c r="JOQ28" s="54"/>
      <c r="JOR28" s="54"/>
      <c r="JOS28" s="57"/>
      <c r="JOT28" s="62"/>
      <c r="JOU28" s="63"/>
      <c r="JOV28" s="63"/>
      <c r="JOW28" s="63"/>
      <c r="JOX28" s="63"/>
      <c r="JOY28" s="63"/>
      <c r="JOZ28" s="63"/>
      <c r="JPA28" s="63"/>
      <c r="JPB28" s="63"/>
      <c r="JPC28" s="63"/>
      <c r="JPD28" s="63"/>
      <c r="JPE28" s="63"/>
      <c r="JPF28" s="54"/>
      <c r="JPG28" s="54"/>
      <c r="JPH28" s="54"/>
      <c r="JPI28" s="57"/>
      <c r="JPJ28" s="62"/>
      <c r="JPK28" s="63"/>
      <c r="JPL28" s="63"/>
      <c r="JPM28" s="63"/>
      <c r="JPN28" s="63"/>
      <c r="JPO28" s="63"/>
      <c r="JPP28" s="63"/>
      <c r="JPQ28" s="63"/>
      <c r="JPR28" s="63"/>
      <c r="JPS28" s="63"/>
      <c r="JPT28" s="63"/>
      <c r="JPU28" s="63"/>
      <c r="JPV28" s="54"/>
      <c r="JPW28" s="54"/>
      <c r="JPX28" s="54"/>
      <c r="JPY28" s="57"/>
      <c r="JPZ28" s="62"/>
      <c r="JQA28" s="63"/>
      <c r="JQB28" s="63"/>
      <c r="JQC28" s="63"/>
      <c r="JQD28" s="63"/>
      <c r="JQE28" s="63"/>
      <c r="JQF28" s="63"/>
      <c r="JQG28" s="63"/>
      <c r="JQH28" s="63"/>
      <c r="JQI28" s="63"/>
      <c r="JQJ28" s="63"/>
      <c r="JQK28" s="63"/>
      <c r="JQL28" s="54"/>
      <c r="JQM28" s="54"/>
      <c r="JQN28" s="54"/>
      <c r="JQO28" s="57"/>
      <c r="JQP28" s="62"/>
      <c r="JQQ28" s="63"/>
      <c r="JQR28" s="63"/>
      <c r="JQS28" s="63"/>
      <c r="JQT28" s="63"/>
      <c r="JQU28" s="63"/>
      <c r="JQV28" s="63"/>
      <c r="JQW28" s="63"/>
      <c r="JQX28" s="63"/>
      <c r="JQY28" s="63"/>
      <c r="JQZ28" s="63"/>
      <c r="JRA28" s="63"/>
      <c r="JRB28" s="54"/>
      <c r="JRC28" s="54"/>
      <c r="JRD28" s="54"/>
      <c r="JRE28" s="57"/>
      <c r="JRF28" s="62"/>
      <c r="JRG28" s="63"/>
      <c r="JRH28" s="63"/>
      <c r="JRI28" s="63"/>
      <c r="JRJ28" s="63"/>
      <c r="JRK28" s="63"/>
      <c r="JRL28" s="63"/>
      <c r="JRM28" s="63"/>
      <c r="JRN28" s="63"/>
      <c r="JRO28" s="63"/>
      <c r="JRP28" s="63"/>
      <c r="JRQ28" s="63"/>
      <c r="JRR28" s="54"/>
      <c r="JRS28" s="54"/>
      <c r="JRT28" s="54"/>
      <c r="JRU28" s="57"/>
      <c r="JRV28" s="62"/>
      <c r="JRW28" s="63"/>
      <c r="JRX28" s="63"/>
      <c r="JRY28" s="63"/>
      <c r="JRZ28" s="63"/>
      <c r="JSA28" s="63"/>
      <c r="JSB28" s="63"/>
      <c r="JSC28" s="63"/>
      <c r="JSD28" s="63"/>
      <c r="JSE28" s="63"/>
      <c r="JSF28" s="63"/>
      <c r="JSG28" s="63"/>
      <c r="JSH28" s="54"/>
      <c r="JSI28" s="54"/>
      <c r="JSJ28" s="54"/>
      <c r="JSK28" s="57"/>
      <c r="JSL28" s="62"/>
      <c r="JSM28" s="63"/>
      <c r="JSN28" s="63"/>
      <c r="JSO28" s="63"/>
      <c r="JSP28" s="63"/>
      <c r="JSQ28" s="63"/>
      <c r="JSR28" s="63"/>
      <c r="JSS28" s="63"/>
      <c r="JST28" s="63"/>
      <c r="JSU28" s="63"/>
      <c r="JSV28" s="63"/>
      <c r="JSW28" s="63"/>
      <c r="JSX28" s="54"/>
      <c r="JSY28" s="54"/>
      <c r="JSZ28" s="54"/>
      <c r="JTA28" s="57"/>
      <c r="JTB28" s="62"/>
      <c r="JTC28" s="63"/>
      <c r="JTD28" s="63"/>
      <c r="JTE28" s="63"/>
      <c r="JTF28" s="63"/>
      <c r="JTG28" s="63"/>
      <c r="JTH28" s="63"/>
      <c r="JTI28" s="63"/>
      <c r="JTJ28" s="63"/>
      <c r="JTK28" s="63"/>
      <c r="JTL28" s="63"/>
      <c r="JTM28" s="63"/>
      <c r="JTN28" s="54"/>
      <c r="JTO28" s="54"/>
      <c r="JTP28" s="54"/>
      <c r="JTQ28" s="57"/>
      <c r="JTR28" s="62"/>
      <c r="JTS28" s="63"/>
      <c r="JTT28" s="63"/>
      <c r="JTU28" s="63"/>
      <c r="JTV28" s="63"/>
      <c r="JTW28" s="63"/>
      <c r="JTX28" s="63"/>
      <c r="JTY28" s="63"/>
      <c r="JTZ28" s="63"/>
      <c r="JUA28" s="63"/>
      <c r="JUB28" s="63"/>
      <c r="JUC28" s="63"/>
      <c r="JUD28" s="54"/>
      <c r="JUE28" s="54"/>
      <c r="JUF28" s="54"/>
      <c r="JUG28" s="57"/>
      <c r="JUH28" s="62"/>
      <c r="JUI28" s="63"/>
      <c r="JUJ28" s="63"/>
      <c r="JUK28" s="63"/>
      <c r="JUL28" s="63"/>
      <c r="JUM28" s="63"/>
      <c r="JUN28" s="63"/>
      <c r="JUO28" s="63"/>
      <c r="JUP28" s="63"/>
      <c r="JUQ28" s="63"/>
      <c r="JUR28" s="63"/>
      <c r="JUS28" s="63"/>
      <c r="JUT28" s="54"/>
      <c r="JUU28" s="54"/>
      <c r="JUV28" s="54"/>
      <c r="JUW28" s="57"/>
      <c r="JUX28" s="62"/>
      <c r="JUY28" s="63"/>
      <c r="JUZ28" s="63"/>
      <c r="JVA28" s="63"/>
      <c r="JVB28" s="63"/>
      <c r="JVC28" s="63"/>
      <c r="JVD28" s="63"/>
      <c r="JVE28" s="63"/>
      <c r="JVF28" s="63"/>
      <c r="JVG28" s="63"/>
      <c r="JVH28" s="63"/>
      <c r="JVI28" s="63"/>
      <c r="JVJ28" s="54"/>
      <c r="JVK28" s="54"/>
      <c r="JVL28" s="54"/>
      <c r="JVM28" s="57"/>
      <c r="JVN28" s="62"/>
      <c r="JVO28" s="63"/>
      <c r="JVP28" s="63"/>
      <c r="JVQ28" s="63"/>
      <c r="JVR28" s="63"/>
      <c r="JVS28" s="63"/>
      <c r="JVT28" s="63"/>
      <c r="JVU28" s="63"/>
      <c r="JVV28" s="63"/>
      <c r="JVW28" s="63"/>
      <c r="JVX28" s="63"/>
      <c r="JVY28" s="63"/>
      <c r="JVZ28" s="54"/>
      <c r="JWA28" s="54"/>
      <c r="JWB28" s="54"/>
      <c r="JWC28" s="57"/>
      <c r="JWD28" s="62"/>
      <c r="JWE28" s="63"/>
      <c r="JWF28" s="63"/>
      <c r="JWG28" s="63"/>
      <c r="JWH28" s="63"/>
      <c r="JWI28" s="63"/>
      <c r="JWJ28" s="63"/>
      <c r="JWK28" s="63"/>
      <c r="JWL28" s="63"/>
      <c r="JWM28" s="63"/>
      <c r="JWN28" s="63"/>
      <c r="JWO28" s="63"/>
      <c r="JWP28" s="54"/>
      <c r="JWQ28" s="54"/>
      <c r="JWR28" s="54"/>
      <c r="JWS28" s="57"/>
      <c r="JWT28" s="62"/>
      <c r="JWU28" s="63"/>
      <c r="JWV28" s="63"/>
      <c r="JWW28" s="63"/>
      <c r="JWX28" s="63"/>
      <c r="JWY28" s="63"/>
      <c r="JWZ28" s="63"/>
      <c r="JXA28" s="63"/>
      <c r="JXB28" s="63"/>
      <c r="JXC28" s="63"/>
      <c r="JXD28" s="63"/>
      <c r="JXE28" s="63"/>
      <c r="JXF28" s="54"/>
      <c r="JXG28" s="54"/>
      <c r="JXH28" s="54"/>
      <c r="JXI28" s="57"/>
      <c r="JXJ28" s="62"/>
      <c r="JXK28" s="63"/>
      <c r="JXL28" s="63"/>
      <c r="JXM28" s="63"/>
      <c r="JXN28" s="63"/>
      <c r="JXO28" s="63"/>
      <c r="JXP28" s="63"/>
      <c r="JXQ28" s="63"/>
      <c r="JXR28" s="63"/>
      <c r="JXS28" s="63"/>
      <c r="JXT28" s="63"/>
      <c r="JXU28" s="63"/>
      <c r="JXV28" s="54"/>
      <c r="JXW28" s="54"/>
      <c r="JXX28" s="54"/>
      <c r="JXY28" s="57"/>
      <c r="JXZ28" s="62"/>
      <c r="JYA28" s="63"/>
      <c r="JYB28" s="63"/>
      <c r="JYC28" s="63"/>
      <c r="JYD28" s="63"/>
      <c r="JYE28" s="63"/>
      <c r="JYF28" s="63"/>
      <c r="JYG28" s="63"/>
      <c r="JYH28" s="63"/>
      <c r="JYI28" s="63"/>
      <c r="JYJ28" s="63"/>
      <c r="JYK28" s="63"/>
      <c r="JYL28" s="54"/>
      <c r="JYM28" s="54"/>
      <c r="JYN28" s="54"/>
      <c r="JYO28" s="57"/>
      <c r="JYP28" s="62"/>
      <c r="JYQ28" s="63"/>
      <c r="JYR28" s="63"/>
      <c r="JYS28" s="63"/>
      <c r="JYT28" s="63"/>
      <c r="JYU28" s="63"/>
      <c r="JYV28" s="63"/>
      <c r="JYW28" s="63"/>
      <c r="JYX28" s="63"/>
      <c r="JYY28" s="63"/>
      <c r="JYZ28" s="63"/>
      <c r="JZA28" s="63"/>
      <c r="JZB28" s="54"/>
      <c r="JZC28" s="54"/>
      <c r="JZD28" s="54"/>
      <c r="JZE28" s="57"/>
      <c r="JZF28" s="62"/>
      <c r="JZG28" s="63"/>
      <c r="JZH28" s="63"/>
      <c r="JZI28" s="63"/>
      <c r="JZJ28" s="63"/>
      <c r="JZK28" s="63"/>
      <c r="JZL28" s="63"/>
      <c r="JZM28" s="63"/>
      <c r="JZN28" s="63"/>
      <c r="JZO28" s="63"/>
      <c r="JZP28" s="63"/>
      <c r="JZQ28" s="63"/>
      <c r="JZR28" s="54"/>
      <c r="JZS28" s="54"/>
      <c r="JZT28" s="54"/>
      <c r="JZU28" s="57"/>
      <c r="JZV28" s="62"/>
      <c r="JZW28" s="63"/>
      <c r="JZX28" s="63"/>
      <c r="JZY28" s="63"/>
      <c r="JZZ28" s="63"/>
      <c r="KAA28" s="63"/>
      <c r="KAB28" s="63"/>
      <c r="KAC28" s="63"/>
      <c r="KAD28" s="63"/>
      <c r="KAE28" s="63"/>
      <c r="KAF28" s="63"/>
      <c r="KAG28" s="63"/>
      <c r="KAH28" s="54"/>
      <c r="KAI28" s="54"/>
      <c r="KAJ28" s="54"/>
      <c r="KAK28" s="57"/>
      <c r="KAL28" s="62"/>
      <c r="KAM28" s="63"/>
      <c r="KAN28" s="63"/>
      <c r="KAO28" s="63"/>
      <c r="KAP28" s="63"/>
      <c r="KAQ28" s="63"/>
      <c r="KAR28" s="63"/>
      <c r="KAS28" s="63"/>
      <c r="KAT28" s="63"/>
      <c r="KAU28" s="63"/>
      <c r="KAV28" s="63"/>
      <c r="KAW28" s="63"/>
      <c r="KAX28" s="54"/>
      <c r="KAY28" s="54"/>
      <c r="KAZ28" s="54"/>
      <c r="KBA28" s="57"/>
      <c r="KBB28" s="62"/>
      <c r="KBC28" s="63"/>
      <c r="KBD28" s="63"/>
      <c r="KBE28" s="63"/>
      <c r="KBF28" s="63"/>
      <c r="KBG28" s="63"/>
      <c r="KBH28" s="63"/>
      <c r="KBI28" s="63"/>
      <c r="KBJ28" s="63"/>
      <c r="KBK28" s="63"/>
      <c r="KBL28" s="63"/>
      <c r="KBM28" s="63"/>
      <c r="KBN28" s="54"/>
      <c r="KBO28" s="54"/>
      <c r="KBP28" s="54"/>
      <c r="KBQ28" s="57"/>
      <c r="KBR28" s="62"/>
      <c r="KBS28" s="63"/>
      <c r="KBT28" s="63"/>
      <c r="KBU28" s="63"/>
      <c r="KBV28" s="63"/>
      <c r="KBW28" s="63"/>
      <c r="KBX28" s="63"/>
      <c r="KBY28" s="63"/>
      <c r="KBZ28" s="63"/>
      <c r="KCA28" s="63"/>
      <c r="KCB28" s="63"/>
      <c r="KCC28" s="63"/>
      <c r="KCD28" s="54"/>
      <c r="KCE28" s="54"/>
      <c r="KCF28" s="54"/>
      <c r="KCG28" s="57"/>
      <c r="KCH28" s="62"/>
      <c r="KCI28" s="63"/>
      <c r="KCJ28" s="63"/>
      <c r="KCK28" s="63"/>
      <c r="KCL28" s="63"/>
      <c r="KCM28" s="63"/>
      <c r="KCN28" s="63"/>
      <c r="KCO28" s="63"/>
      <c r="KCP28" s="63"/>
      <c r="KCQ28" s="63"/>
      <c r="KCR28" s="63"/>
      <c r="KCS28" s="63"/>
      <c r="KCT28" s="54"/>
      <c r="KCU28" s="54"/>
      <c r="KCV28" s="54"/>
      <c r="KCW28" s="57"/>
      <c r="KCX28" s="62"/>
      <c r="KCY28" s="63"/>
      <c r="KCZ28" s="63"/>
      <c r="KDA28" s="63"/>
      <c r="KDB28" s="63"/>
      <c r="KDC28" s="63"/>
      <c r="KDD28" s="63"/>
      <c r="KDE28" s="63"/>
      <c r="KDF28" s="63"/>
      <c r="KDG28" s="63"/>
      <c r="KDH28" s="63"/>
      <c r="KDI28" s="63"/>
      <c r="KDJ28" s="54"/>
      <c r="KDK28" s="54"/>
      <c r="KDL28" s="54"/>
      <c r="KDM28" s="57"/>
      <c r="KDN28" s="62"/>
      <c r="KDO28" s="63"/>
      <c r="KDP28" s="63"/>
      <c r="KDQ28" s="63"/>
      <c r="KDR28" s="63"/>
      <c r="KDS28" s="63"/>
      <c r="KDT28" s="63"/>
      <c r="KDU28" s="63"/>
      <c r="KDV28" s="63"/>
      <c r="KDW28" s="63"/>
      <c r="KDX28" s="63"/>
      <c r="KDY28" s="63"/>
      <c r="KDZ28" s="54"/>
      <c r="KEA28" s="54"/>
      <c r="KEB28" s="54"/>
      <c r="KEC28" s="57"/>
      <c r="KED28" s="62"/>
      <c r="KEE28" s="63"/>
      <c r="KEF28" s="63"/>
      <c r="KEG28" s="63"/>
      <c r="KEH28" s="63"/>
      <c r="KEI28" s="63"/>
      <c r="KEJ28" s="63"/>
      <c r="KEK28" s="63"/>
      <c r="KEL28" s="63"/>
      <c r="KEM28" s="63"/>
      <c r="KEN28" s="63"/>
      <c r="KEO28" s="63"/>
      <c r="KEP28" s="54"/>
      <c r="KEQ28" s="54"/>
      <c r="KER28" s="54"/>
      <c r="KES28" s="57"/>
      <c r="KET28" s="62"/>
      <c r="KEU28" s="63"/>
      <c r="KEV28" s="63"/>
      <c r="KEW28" s="63"/>
      <c r="KEX28" s="63"/>
      <c r="KEY28" s="63"/>
      <c r="KEZ28" s="63"/>
      <c r="KFA28" s="63"/>
      <c r="KFB28" s="63"/>
      <c r="KFC28" s="63"/>
      <c r="KFD28" s="63"/>
      <c r="KFE28" s="63"/>
      <c r="KFF28" s="54"/>
      <c r="KFG28" s="54"/>
      <c r="KFH28" s="54"/>
      <c r="KFI28" s="57"/>
      <c r="KFJ28" s="62"/>
      <c r="KFK28" s="63"/>
      <c r="KFL28" s="63"/>
      <c r="KFM28" s="63"/>
      <c r="KFN28" s="63"/>
      <c r="KFO28" s="63"/>
      <c r="KFP28" s="63"/>
      <c r="KFQ28" s="63"/>
      <c r="KFR28" s="63"/>
      <c r="KFS28" s="63"/>
      <c r="KFT28" s="63"/>
      <c r="KFU28" s="63"/>
      <c r="KFV28" s="54"/>
      <c r="KFW28" s="54"/>
      <c r="KFX28" s="54"/>
      <c r="KFY28" s="57"/>
      <c r="KFZ28" s="62"/>
      <c r="KGA28" s="63"/>
      <c r="KGB28" s="63"/>
      <c r="KGC28" s="63"/>
      <c r="KGD28" s="63"/>
      <c r="KGE28" s="63"/>
      <c r="KGF28" s="63"/>
      <c r="KGG28" s="63"/>
      <c r="KGH28" s="63"/>
      <c r="KGI28" s="63"/>
      <c r="KGJ28" s="63"/>
      <c r="KGK28" s="63"/>
      <c r="KGL28" s="54"/>
      <c r="KGM28" s="54"/>
      <c r="KGN28" s="54"/>
      <c r="KGO28" s="57"/>
      <c r="KGP28" s="62"/>
      <c r="KGQ28" s="63"/>
      <c r="KGR28" s="63"/>
      <c r="KGS28" s="63"/>
      <c r="KGT28" s="63"/>
      <c r="KGU28" s="63"/>
      <c r="KGV28" s="63"/>
      <c r="KGW28" s="63"/>
      <c r="KGX28" s="63"/>
      <c r="KGY28" s="63"/>
      <c r="KGZ28" s="63"/>
      <c r="KHA28" s="63"/>
      <c r="KHB28" s="54"/>
      <c r="KHC28" s="54"/>
      <c r="KHD28" s="54"/>
      <c r="KHE28" s="57"/>
      <c r="KHF28" s="62"/>
      <c r="KHG28" s="63"/>
      <c r="KHH28" s="63"/>
      <c r="KHI28" s="63"/>
      <c r="KHJ28" s="63"/>
      <c r="KHK28" s="63"/>
      <c r="KHL28" s="63"/>
      <c r="KHM28" s="63"/>
      <c r="KHN28" s="63"/>
      <c r="KHO28" s="63"/>
      <c r="KHP28" s="63"/>
      <c r="KHQ28" s="63"/>
      <c r="KHR28" s="54"/>
      <c r="KHS28" s="54"/>
      <c r="KHT28" s="54"/>
      <c r="KHU28" s="57"/>
      <c r="KHV28" s="62"/>
      <c r="KHW28" s="63"/>
      <c r="KHX28" s="63"/>
      <c r="KHY28" s="63"/>
      <c r="KHZ28" s="63"/>
      <c r="KIA28" s="63"/>
      <c r="KIB28" s="63"/>
      <c r="KIC28" s="63"/>
      <c r="KID28" s="63"/>
      <c r="KIE28" s="63"/>
      <c r="KIF28" s="63"/>
      <c r="KIG28" s="63"/>
      <c r="KIH28" s="54"/>
      <c r="KII28" s="54"/>
      <c r="KIJ28" s="54"/>
      <c r="KIK28" s="57"/>
      <c r="KIL28" s="62"/>
      <c r="KIM28" s="63"/>
      <c r="KIN28" s="63"/>
      <c r="KIO28" s="63"/>
      <c r="KIP28" s="63"/>
      <c r="KIQ28" s="63"/>
      <c r="KIR28" s="63"/>
      <c r="KIS28" s="63"/>
      <c r="KIT28" s="63"/>
      <c r="KIU28" s="63"/>
      <c r="KIV28" s="63"/>
      <c r="KIW28" s="63"/>
      <c r="KIX28" s="54"/>
      <c r="KIY28" s="54"/>
      <c r="KIZ28" s="54"/>
      <c r="KJA28" s="57"/>
      <c r="KJB28" s="62"/>
      <c r="KJC28" s="63"/>
      <c r="KJD28" s="63"/>
      <c r="KJE28" s="63"/>
      <c r="KJF28" s="63"/>
      <c r="KJG28" s="63"/>
      <c r="KJH28" s="63"/>
      <c r="KJI28" s="63"/>
      <c r="KJJ28" s="63"/>
      <c r="KJK28" s="63"/>
      <c r="KJL28" s="63"/>
      <c r="KJM28" s="63"/>
      <c r="KJN28" s="54"/>
      <c r="KJO28" s="54"/>
      <c r="KJP28" s="54"/>
      <c r="KJQ28" s="57"/>
      <c r="KJR28" s="62"/>
      <c r="KJS28" s="63"/>
      <c r="KJT28" s="63"/>
      <c r="KJU28" s="63"/>
      <c r="KJV28" s="63"/>
      <c r="KJW28" s="63"/>
      <c r="KJX28" s="63"/>
      <c r="KJY28" s="63"/>
      <c r="KJZ28" s="63"/>
      <c r="KKA28" s="63"/>
      <c r="KKB28" s="63"/>
      <c r="KKC28" s="63"/>
      <c r="KKD28" s="54"/>
      <c r="KKE28" s="54"/>
      <c r="KKF28" s="54"/>
      <c r="KKG28" s="57"/>
      <c r="KKH28" s="62"/>
      <c r="KKI28" s="63"/>
      <c r="KKJ28" s="63"/>
      <c r="KKK28" s="63"/>
      <c r="KKL28" s="63"/>
      <c r="KKM28" s="63"/>
      <c r="KKN28" s="63"/>
      <c r="KKO28" s="63"/>
      <c r="KKP28" s="63"/>
      <c r="KKQ28" s="63"/>
      <c r="KKR28" s="63"/>
      <c r="KKS28" s="63"/>
      <c r="KKT28" s="54"/>
      <c r="KKU28" s="54"/>
      <c r="KKV28" s="54"/>
      <c r="KKW28" s="57"/>
      <c r="KKX28" s="62"/>
      <c r="KKY28" s="63"/>
      <c r="KKZ28" s="63"/>
      <c r="KLA28" s="63"/>
      <c r="KLB28" s="63"/>
      <c r="KLC28" s="63"/>
      <c r="KLD28" s="63"/>
      <c r="KLE28" s="63"/>
      <c r="KLF28" s="63"/>
      <c r="KLG28" s="63"/>
      <c r="KLH28" s="63"/>
      <c r="KLI28" s="63"/>
      <c r="KLJ28" s="54"/>
      <c r="KLK28" s="54"/>
      <c r="KLL28" s="54"/>
      <c r="KLM28" s="57"/>
      <c r="KLN28" s="62"/>
      <c r="KLO28" s="63"/>
      <c r="KLP28" s="63"/>
      <c r="KLQ28" s="63"/>
      <c r="KLR28" s="63"/>
      <c r="KLS28" s="63"/>
      <c r="KLT28" s="63"/>
      <c r="KLU28" s="63"/>
      <c r="KLV28" s="63"/>
      <c r="KLW28" s="63"/>
      <c r="KLX28" s="63"/>
      <c r="KLY28" s="63"/>
      <c r="KLZ28" s="54"/>
      <c r="KMA28" s="54"/>
      <c r="KMB28" s="54"/>
      <c r="KMC28" s="57"/>
      <c r="KMD28" s="62"/>
      <c r="KME28" s="63"/>
      <c r="KMF28" s="63"/>
      <c r="KMG28" s="63"/>
      <c r="KMH28" s="63"/>
      <c r="KMI28" s="63"/>
      <c r="KMJ28" s="63"/>
      <c r="KMK28" s="63"/>
      <c r="KML28" s="63"/>
      <c r="KMM28" s="63"/>
      <c r="KMN28" s="63"/>
      <c r="KMO28" s="63"/>
      <c r="KMP28" s="54"/>
      <c r="KMQ28" s="54"/>
      <c r="KMR28" s="54"/>
      <c r="KMS28" s="57"/>
      <c r="KMT28" s="62"/>
      <c r="KMU28" s="63"/>
      <c r="KMV28" s="63"/>
      <c r="KMW28" s="63"/>
      <c r="KMX28" s="63"/>
      <c r="KMY28" s="63"/>
      <c r="KMZ28" s="63"/>
      <c r="KNA28" s="63"/>
      <c r="KNB28" s="63"/>
      <c r="KNC28" s="63"/>
      <c r="KND28" s="63"/>
      <c r="KNE28" s="63"/>
      <c r="KNF28" s="54"/>
      <c r="KNG28" s="54"/>
      <c r="KNH28" s="54"/>
      <c r="KNI28" s="57"/>
      <c r="KNJ28" s="62"/>
      <c r="KNK28" s="63"/>
      <c r="KNL28" s="63"/>
      <c r="KNM28" s="63"/>
      <c r="KNN28" s="63"/>
      <c r="KNO28" s="63"/>
      <c r="KNP28" s="63"/>
      <c r="KNQ28" s="63"/>
      <c r="KNR28" s="63"/>
      <c r="KNS28" s="63"/>
      <c r="KNT28" s="63"/>
      <c r="KNU28" s="63"/>
      <c r="KNV28" s="54"/>
      <c r="KNW28" s="54"/>
      <c r="KNX28" s="54"/>
      <c r="KNY28" s="57"/>
      <c r="KNZ28" s="62"/>
      <c r="KOA28" s="63"/>
      <c r="KOB28" s="63"/>
      <c r="KOC28" s="63"/>
      <c r="KOD28" s="63"/>
      <c r="KOE28" s="63"/>
      <c r="KOF28" s="63"/>
      <c r="KOG28" s="63"/>
      <c r="KOH28" s="63"/>
      <c r="KOI28" s="63"/>
      <c r="KOJ28" s="63"/>
      <c r="KOK28" s="63"/>
      <c r="KOL28" s="54"/>
      <c r="KOM28" s="54"/>
      <c r="KON28" s="54"/>
      <c r="KOO28" s="57"/>
      <c r="KOP28" s="62"/>
      <c r="KOQ28" s="63"/>
      <c r="KOR28" s="63"/>
      <c r="KOS28" s="63"/>
      <c r="KOT28" s="63"/>
      <c r="KOU28" s="63"/>
      <c r="KOV28" s="63"/>
      <c r="KOW28" s="63"/>
      <c r="KOX28" s="63"/>
      <c r="KOY28" s="63"/>
      <c r="KOZ28" s="63"/>
      <c r="KPA28" s="63"/>
      <c r="KPB28" s="54"/>
      <c r="KPC28" s="54"/>
      <c r="KPD28" s="54"/>
      <c r="KPE28" s="57"/>
      <c r="KPF28" s="62"/>
      <c r="KPG28" s="63"/>
      <c r="KPH28" s="63"/>
      <c r="KPI28" s="63"/>
      <c r="KPJ28" s="63"/>
      <c r="KPK28" s="63"/>
      <c r="KPL28" s="63"/>
      <c r="KPM28" s="63"/>
      <c r="KPN28" s="63"/>
      <c r="KPO28" s="63"/>
      <c r="KPP28" s="63"/>
      <c r="KPQ28" s="63"/>
      <c r="KPR28" s="54"/>
      <c r="KPS28" s="54"/>
      <c r="KPT28" s="54"/>
      <c r="KPU28" s="57"/>
      <c r="KPV28" s="62"/>
      <c r="KPW28" s="63"/>
      <c r="KPX28" s="63"/>
      <c r="KPY28" s="63"/>
      <c r="KPZ28" s="63"/>
      <c r="KQA28" s="63"/>
      <c r="KQB28" s="63"/>
      <c r="KQC28" s="63"/>
      <c r="KQD28" s="63"/>
      <c r="KQE28" s="63"/>
      <c r="KQF28" s="63"/>
      <c r="KQG28" s="63"/>
      <c r="KQH28" s="54"/>
      <c r="KQI28" s="54"/>
      <c r="KQJ28" s="54"/>
      <c r="KQK28" s="57"/>
      <c r="KQL28" s="62"/>
      <c r="KQM28" s="63"/>
      <c r="KQN28" s="63"/>
      <c r="KQO28" s="63"/>
      <c r="KQP28" s="63"/>
      <c r="KQQ28" s="63"/>
      <c r="KQR28" s="63"/>
      <c r="KQS28" s="63"/>
      <c r="KQT28" s="63"/>
      <c r="KQU28" s="63"/>
      <c r="KQV28" s="63"/>
      <c r="KQW28" s="63"/>
      <c r="KQX28" s="54"/>
      <c r="KQY28" s="54"/>
      <c r="KQZ28" s="54"/>
      <c r="KRA28" s="57"/>
      <c r="KRB28" s="62"/>
      <c r="KRC28" s="63"/>
      <c r="KRD28" s="63"/>
      <c r="KRE28" s="63"/>
      <c r="KRF28" s="63"/>
      <c r="KRG28" s="63"/>
      <c r="KRH28" s="63"/>
      <c r="KRI28" s="63"/>
      <c r="KRJ28" s="63"/>
      <c r="KRK28" s="63"/>
      <c r="KRL28" s="63"/>
      <c r="KRM28" s="63"/>
      <c r="KRN28" s="54"/>
      <c r="KRO28" s="54"/>
      <c r="KRP28" s="54"/>
      <c r="KRQ28" s="57"/>
      <c r="KRR28" s="62"/>
      <c r="KRS28" s="63"/>
      <c r="KRT28" s="63"/>
      <c r="KRU28" s="63"/>
      <c r="KRV28" s="63"/>
      <c r="KRW28" s="63"/>
      <c r="KRX28" s="63"/>
      <c r="KRY28" s="63"/>
      <c r="KRZ28" s="63"/>
      <c r="KSA28" s="63"/>
      <c r="KSB28" s="63"/>
      <c r="KSC28" s="63"/>
      <c r="KSD28" s="54"/>
      <c r="KSE28" s="54"/>
      <c r="KSF28" s="54"/>
      <c r="KSG28" s="57"/>
      <c r="KSH28" s="62"/>
      <c r="KSI28" s="63"/>
      <c r="KSJ28" s="63"/>
      <c r="KSK28" s="63"/>
      <c r="KSL28" s="63"/>
      <c r="KSM28" s="63"/>
      <c r="KSN28" s="63"/>
      <c r="KSO28" s="63"/>
      <c r="KSP28" s="63"/>
      <c r="KSQ28" s="63"/>
      <c r="KSR28" s="63"/>
      <c r="KSS28" s="63"/>
      <c r="KST28" s="54"/>
      <c r="KSU28" s="54"/>
      <c r="KSV28" s="54"/>
      <c r="KSW28" s="57"/>
      <c r="KSX28" s="62"/>
      <c r="KSY28" s="63"/>
      <c r="KSZ28" s="63"/>
      <c r="KTA28" s="63"/>
      <c r="KTB28" s="63"/>
      <c r="KTC28" s="63"/>
      <c r="KTD28" s="63"/>
      <c r="KTE28" s="63"/>
      <c r="KTF28" s="63"/>
      <c r="KTG28" s="63"/>
      <c r="KTH28" s="63"/>
      <c r="KTI28" s="63"/>
      <c r="KTJ28" s="54"/>
      <c r="KTK28" s="54"/>
      <c r="KTL28" s="54"/>
      <c r="KTM28" s="57"/>
      <c r="KTN28" s="62"/>
      <c r="KTO28" s="63"/>
      <c r="KTP28" s="63"/>
      <c r="KTQ28" s="63"/>
      <c r="KTR28" s="63"/>
      <c r="KTS28" s="63"/>
      <c r="KTT28" s="63"/>
      <c r="KTU28" s="63"/>
      <c r="KTV28" s="63"/>
      <c r="KTW28" s="63"/>
      <c r="KTX28" s="63"/>
      <c r="KTY28" s="63"/>
      <c r="KTZ28" s="54"/>
      <c r="KUA28" s="54"/>
      <c r="KUB28" s="54"/>
      <c r="KUC28" s="57"/>
      <c r="KUD28" s="62"/>
      <c r="KUE28" s="63"/>
      <c r="KUF28" s="63"/>
      <c r="KUG28" s="63"/>
      <c r="KUH28" s="63"/>
      <c r="KUI28" s="63"/>
      <c r="KUJ28" s="63"/>
      <c r="KUK28" s="63"/>
      <c r="KUL28" s="63"/>
      <c r="KUM28" s="63"/>
      <c r="KUN28" s="63"/>
      <c r="KUO28" s="63"/>
      <c r="KUP28" s="54"/>
      <c r="KUQ28" s="54"/>
      <c r="KUR28" s="54"/>
      <c r="KUS28" s="57"/>
      <c r="KUT28" s="62"/>
      <c r="KUU28" s="63"/>
      <c r="KUV28" s="63"/>
      <c r="KUW28" s="63"/>
      <c r="KUX28" s="63"/>
      <c r="KUY28" s="63"/>
      <c r="KUZ28" s="63"/>
      <c r="KVA28" s="63"/>
      <c r="KVB28" s="63"/>
      <c r="KVC28" s="63"/>
      <c r="KVD28" s="63"/>
      <c r="KVE28" s="63"/>
      <c r="KVF28" s="54"/>
      <c r="KVG28" s="54"/>
      <c r="KVH28" s="54"/>
      <c r="KVI28" s="57"/>
      <c r="KVJ28" s="62"/>
      <c r="KVK28" s="63"/>
      <c r="KVL28" s="63"/>
      <c r="KVM28" s="63"/>
      <c r="KVN28" s="63"/>
      <c r="KVO28" s="63"/>
      <c r="KVP28" s="63"/>
      <c r="KVQ28" s="63"/>
      <c r="KVR28" s="63"/>
      <c r="KVS28" s="63"/>
      <c r="KVT28" s="63"/>
      <c r="KVU28" s="63"/>
      <c r="KVV28" s="54"/>
      <c r="KVW28" s="54"/>
      <c r="KVX28" s="54"/>
      <c r="KVY28" s="57"/>
      <c r="KVZ28" s="62"/>
      <c r="KWA28" s="63"/>
      <c r="KWB28" s="63"/>
      <c r="KWC28" s="63"/>
      <c r="KWD28" s="63"/>
      <c r="KWE28" s="63"/>
      <c r="KWF28" s="63"/>
      <c r="KWG28" s="63"/>
      <c r="KWH28" s="63"/>
      <c r="KWI28" s="63"/>
      <c r="KWJ28" s="63"/>
      <c r="KWK28" s="63"/>
      <c r="KWL28" s="54"/>
      <c r="KWM28" s="54"/>
      <c r="KWN28" s="54"/>
      <c r="KWO28" s="57"/>
      <c r="KWP28" s="62"/>
      <c r="KWQ28" s="63"/>
      <c r="KWR28" s="63"/>
      <c r="KWS28" s="63"/>
      <c r="KWT28" s="63"/>
      <c r="KWU28" s="63"/>
      <c r="KWV28" s="63"/>
      <c r="KWW28" s="63"/>
      <c r="KWX28" s="63"/>
      <c r="KWY28" s="63"/>
      <c r="KWZ28" s="63"/>
      <c r="KXA28" s="63"/>
      <c r="KXB28" s="54"/>
      <c r="KXC28" s="54"/>
      <c r="KXD28" s="54"/>
      <c r="KXE28" s="57"/>
      <c r="KXF28" s="62"/>
      <c r="KXG28" s="63"/>
      <c r="KXH28" s="63"/>
      <c r="KXI28" s="63"/>
      <c r="KXJ28" s="63"/>
      <c r="KXK28" s="63"/>
      <c r="KXL28" s="63"/>
      <c r="KXM28" s="63"/>
      <c r="KXN28" s="63"/>
      <c r="KXO28" s="63"/>
      <c r="KXP28" s="63"/>
      <c r="KXQ28" s="63"/>
      <c r="KXR28" s="54"/>
      <c r="KXS28" s="54"/>
      <c r="KXT28" s="54"/>
      <c r="KXU28" s="57"/>
      <c r="KXV28" s="62"/>
      <c r="KXW28" s="63"/>
      <c r="KXX28" s="63"/>
      <c r="KXY28" s="63"/>
      <c r="KXZ28" s="63"/>
      <c r="KYA28" s="63"/>
      <c r="KYB28" s="63"/>
      <c r="KYC28" s="63"/>
      <c r="KYD28" s="63"/>
      <c r="KYE28" s="63"/>
      <c r="KYF28" s="63"/>
      <c r="KYG28" s="63"/>
      <c r="KYH28" s="54"/>
      <c r="KYI28" s="54"/>
      <c r="KYJ28" s="54"/>
      <c r="KYK28" s="57"/>
      <c r="KYL28" s="62"/>
      <c r="KYM28" s="63"/>
      <c r="KYN28" s="63"/>
      <c r="KYO28" s="63"/>
      <c r="KYP28" s="63"/>
      <c r="KYQ28" s="63"/>
      <c r="KYR28" s="63"/>
      <c r="KYS28" s="63"/>
      <c r="KYT28" s="63"/>
      <c r="KYU28" s="63"/>
      <c r="KYV28" s="63"/>
      <c r="KYW28" s="63"/>
      <c r="KYX28" s="54"/>
      <c r="KYY28" s="54"/>
      <c r="KYZ28" s="54"/>
      <c r="KZA28" s="57"/>
      <c r="KZB28" s="62"/>
      <c r="KZC28" s="63"/>
      <c r="KZD28" s="63"/>
      <c r="KZE28" s="63"/>
      <c r="KZF28" s="63"/>
      <c r="KZG28" s="63"/>
      <c r="KZH28" s="63"/>
      <c r="KZI28" s="63"/>
      <c r="KZJ28" s="63"/>
      <c r="KZK28" s="63"/>
      <c r="KZL28" s="63"/>
      <c r="KZM28" s="63"/>
      <c r="KZN28" s="54"/>
      <c r="KZO28" s="54"/>
      <c r="KZP28" s="54"/>
      <c r="KZQ28" s="57"/>
      <c r="KZR28" s="62"/>
      <c r="KZS28" s="63"/>
      <c r="KZT28" s="63"/>
      <c r="KZU28" s="63"/>
      <c r="KZV28" s="63"/>
      <c r="KZW28" s="63"/>
      <c r="KZX28" s="63"/>
      <c r="KZY28" s="63"/>
      <c r="KZZ28" s="63"/>
      <c r="LAA28" s="63"/>
      <c r="LAB28" s="63"/>
      <c r="LAC28" s="63"/>
      <c r="LAD28" s="54"/>
      <c r="LAE28" s="54"/>
      <c r="LAF28" s="54"/>
      <c r="LAG28" s="57"/>
      <c r="LAH28" s="62"/>
      <c r="LAI28" s="63"/>
      <c r="LAJ28" s="63"/>
      <c r="LAK28" s="63"/>
      <c r="LAL28" s="63"/>
      <c r="LAM28" s="63"/>
      <c r="LAN28" s="63"/>
      <c r="LAO28" s="63"/>
      <c r="LAP28" s="63"/>
      <c r="LAQ28" s="63"/>
      <c r="LAR28" s="63"/>
      <c r="LAS28" s="63"/>
      <c r="LAT28" s="54"/>
      <c r="LAU28" s="54"/>
      <c r="LAV28" s="54"/>
      <c r="LAW28" s="57"/>
      <c r="LAX28" s="62"/>
      <c r="LAY28" s="63"/>
      <c r="LAZ28" s="63"/>
      <c r="LBA28" s="63"/>
      <c r="LBB28" s="63"/>
      <c r="LBC28" s="63"/>
      <c r="LBD28" s="63"/>
      <c r="LBE28" s="63"/>
      <c r="LBF28" s="63"/>
      <c r="LBG28" s="63"/>
      <c r="LBH28" s="63"/>
      <c r="LBI28" s="63"/>
      <c r="LBJ28" s="54"/>
      <c r="LBK28" s="54"/>
      <c r="LBL28" s="54"/>
      <c r="LBM28" s="57"/>
      <c r="LBN28" s="62"/>
      <c r="LBO28" s="63"/>
      <c r="LBP28" s="63"/>
      <c r="LBQ28" s="63"/>
      <c r="LBR28" s="63"/>
      <c r="LBS28" s="63"/>
      <c r="LBT28" s="63"/>
      <c r="LBU28" s="63"/>
      <c r="LBV28" s="63"/>
      <c r="LBW28" s="63"/>
      <c r="LBX28" s="63"/>
      <c r="LBY28" s="63"/>
      <c r="LBZ28" s="54"/>
      <c r="LCA28" s="54"/>
      <c r="LCB28" s="54"/>
      <c r="LCC28" s="57"/>
      <c r="LCD28" s="62"/>
      <c r="LCE28" s="63"/>
      <c r="LCF28" s="63"/>
      <c r="LCG28" s="63"/>
      <c r="LCH28" s="63"/>
      <c r="LCI28" s="63"/>
      <c r="LCJ28" s="63"/>
      <c r="LCK28" s="63"/>
      <c r="LCL28" s="63"/>
      <c r="LCM28" s="63"/>
      <c r="LCN28" s="63"/>
      <c r="LCO28" s="63"/>
      <c r="LCP28" s="54"/>
      <c r="LCQ28" s="54"/>
      <c r="LCR28" s="54"/>
      <c r="LCS28" s="57"/>
      <c r="LCT28" s="62"/>
      <c r="LCU28" s="63"/>
      <c r="LCV28" s="63"/>
      <c r="LCW28" s="63"/>
      <c r="LCX28" s="63"/>
      <c r="LCY28" s="63"/>
      <c r="LCZ28" s="63"/>
      <c r="LDA28" s="63"/>
      <c r="LDB28" s="63"/>
      <c r="LDC28" s="63"/>
      <c r="LDD28" s="63"/>
      <c r="LDE28" s="63"/>
      <c r="LDF28" s="54"/>
      <c r="LDG28" s="54"/>
      <c r="LDH28" s="54"/>
      <c r="LDI28" s="57"/>
      <c r="LDJ28" s="62"/>
      <c r="LDK28" s="63"/>
      <c r="LDL28" s="63"/>
      <c r="LDM28" s="63"/>
      <c r="LDN28" s="63"/>
      <c r="LDO28" s="63"/>
      <c r="LDP28" s="63"/>
      <c r="LDQ28" s="63"/>
      <c r="LDR28" s="63"/>
      <c r="LDS28" s="63"/>
      <c r="LDT28" s="63"/>
      <c r="LDU28" s="63"/>
      <c r="LDV28" s="54"/>
      <c r="LDW28" s="54"/>
      <c r="LDX28" s="54"/>
      <c r="LDY28" s="57"/>
      <c r="LDZ28" s="62"/>
      <c r="LEA28" s="63"/>
      <c r="LEB28" s="63"/>
      <c r="LEC28" s="63"/>
      <c r="LED28" s="63"/>
      <c r="LEE28" s="63"/>
      <c r="LEF28" s="63"/>
      <c r="LEG28" s="63"/>
      <c r="LEH28" s="63"/>
      <c r="LEI28" s="63"/>
      <c r="LEJ28" s="63"/>
      <c r="LEK28" s="63"/>
      <c r="LEL28" s="54"/>
      <c r="LEM28" s="54"/>
      <c r="LEN28" s="54"/>
      <c r="LEO28" s="57"/>
      <c r="LEP28" s="62"/>
      <c r="LEQ28" s="63"/>
      <c r="LER28" s="63"/>
      <c r="LES28" s="63"/>
      <c r="LET28" s="63"/>
      <c r="LEU28" s="63"/>
      <c r="LEV28" s="63"/>
      <c r="LEW28" s="63"/>
      <c r="LEX28" s="63"/>
      <c r="LEY28" s="63"/>
      <c r="LEZ28" s="63"/>
      <c r="LFA28" s="63"/>
      <c r="LFB28" s="54"/>
      <c r="LFC28" s="54"/>
      <c r="LFD28" s="54"/>
      <c r="LFE28" s="57"/>
      <c r="LFF28" s="62"/>
      <c r="LFG28" s="63"/>
      <c r="LFH28" s="63"/>
      <c r="LFI28" s="63"/>
      <c r="LFJ28" s="63"/>
      <c r="LFK28" s="63"/>
      <c r="LFL28" s="63"/>
      <c r="LFM28" s="63"/>
      <c r="LFN28" s="63"/>
      <c r="LFO28" s="63"/>
      <c r="LFP28" s="63"/>
      <c r="LFQ28" s="63"/>
      <c r="LFR28" s="54"/>
      <c r="LFS28" s="54"/>
      <c r="LFT28" s="54"/>
      <c r="LFU28" s="57"/>
      <c r="LFV28" s="62"/>
      <c r="LFW28" s="63"/>
      <c r="LFX28" s="63"/>
      <c r="LFY28" s="63"/>
      <c r="LFZ28" s="63"/>
      <c r="LGA28" s="63"/>
      <c r="LGB28" s="63"/>
      <c r="LGC28" s="63"/>
      <c r="LGD28" s="63"/>
      <c r="LGE28" s="63"/>
      <c r="LGF28" s="63"/>
      <c r="LGG28" s="63"/>
      <c r="LGH28" s="54"/>
      <c r="LGI28" s="54"/>
      <c r="LGJ28" s="54"/>
      <c r="LGK28" s="57"/>
      <c r="LGL28" s="62"/>
      <c r="LGM28" s="63"/>
      <c r="LGN28" s="63"/>
      <c r="LGO28" s="63"/>
      <c r="LGP28" s="63"/>
      <c r="LGQ28" s="63"/>
      <c r="LGR28" s="63"/>
      <c r="LGS28" s="63"/>
      <c r="LGT28" s="63"/>
      <c r="LGU28" s="63"/>
      <c r="LGV28" s="63"/>
      <c r="LGW28" s="63"/>
      <c r="LGX28" s="54"/>
      <c r="LGY28" s="54"/>
      <c r="LGZ28" s="54"/>
      <c r="LHA28" s="57"/>
      <c r="LHB28" s="62"/>
      <c r="LHC28" s="63"/>
      <c r="LHD28" s="63"/>
      <c r="LHE28" s="63"/>
      <c r="LHF28" s="63"/>
      <c r="LHG28" s="63"/>
      <c r="LHH28" s="63"/>
      <c r="LHI28" s="63"/>
      <c r="LHJ28" s="63"/>
      <c r="LHK28" s="63"/>
      <c r="LHL28" s="63"/>
      <c r="LHM28" s="63"/>
      <c r="LHN28" s="54"/>
      <c r="LHO28" s="54"/>
      <c r="LHP28" s="54"/>
      <c r="LHQ28" s="57"/>
      <c r="LHR28" s="62"/>
      <c r="LHS28" s="63"/>
      <c r="LHT28" s="63"/>
      <c r="LHU28" s="63"/>
      <c r="LHV28" s="63"/>
      <c r="LHW28" s="63"/>
      <c r="LHX28" s="63"/>
      <c r="LHY28" s="63"/>
      <c r="LHZ28" s="63"/>
      <c r="LIA28" s="63"/>
      <c r="LIB28" s="63"/>
      <c r="LIC28" s="63"/>
      <c r="LID28" s="54"/>
      <c r="LIE28" s="54"/>
      <c r="LIF28" s="54"/>
      <c r="LIG28" s="57"/>
      <c r="LIH28" s="62"/>
      <c r="LII28" s="63"/>
      <c r="LIJ28" s="63"/>
      <c r="LIK28" s="63"/>
      <c r="LIL28" s="63"/>
      <c r="LIM28" s="63"/>
      <c r="LIN28" s="63"/>
      <c r="LIO28" s="63"/>
      <c r="LIP28" s="63"/>
      <c r="LIQ28" s="63"/>
      <c r="LIR28" s="63"/>
      <c r="LIS28" s="63"/>
      <c r="LIT28" s="54"/>
      <c r="LIU28" s="54"/>
      <c r="LIV28" s="54"/>
      <c r="LIW28" s="57"/>
      <c r="LIX28" s="62"/>
      <c r="LIY28" s="63"/>
      <c r="LIZ28" s="63"/>
      <c r="LJA28" s="63"/>
      <c r="LJB28" s="63"/>
      <c r="LJC28" s="63"/>
      <c r="LJD28" s="63"/>
      <c r="LJE28" s="63"/>
      <c r="LJF28" s="63"/>
      <c r="LJG28" s="63"/>
      <c r="LJH28" s="63"/>
      <c r="LJI28" s="63"/>
      <c r="LJJ28" s="54"/>
      <c r="LJK28" s="54"/>
      <c r="LJL28" s="54"/>
      <c r="LJM28" s="57"/>
      <c r="LJN28" s="62"/>
      <c r="LJO28" s="63"/>
      <c r="LJP28" s="63"/>
      <c r="LJQ28" s="63"/>
      <c r="LJR28" s="63"/>
      <c r="LJS28" s="63"/>
      <c r="LJT28" s="63"/>
      <c r="LJU28" s="63"/>
      <c r="LJV28" s="63"/>
      <c r="LJW28" s="63"/>
      <c r="LJX28" s="63"/>
      <c r="LJY28" s="63"/>
      <c r="LJZ28" s="54"/>
      <c r="LKA28" s="54"/>
      <c r="LKB28" s="54"/>
      <c r="LKC28" s="57"/>
      <c r="LKD28" s="62"/>
      <c r="LKE28" s="63"/>
      <c r="LKF28" s="63"/>
      <c r="LKG28" s="63"/>
      <c r="LKH28" s="63"/>
      <c r="LKI28" s="63"/>
      <c r="LKJ28" s="63"/>
      <c r="LKK28" s="63"/>
      <c r="LKL28" s="63"/>
      <c r="LKM28" s="63"/>
      <c r="LKN28" s="63"/>
      <c r="LKO28" s="63"/>
      <c r="LKP28" s="54"/>
      <c r="LKQ28" s="54"/>
      <c r="LKR28" s="54"/>
      <c r="LKS28" s="57"/>
      <c r="LKT28" s="62"/>
      <c r="LKU28" s="63"/>
      <c r="LKV28" s="63"/>
      <c r="LKW28" s="63"/>
      <c r="LKX28" s="63"/>
      <c r="LKY28" s="63"/>
      <c r="LKZ28" s="63"/>
      <c r="LLA28" s="63"/>
      <c r="LLB28" s="63"/>
      <c r="LLC28" s="63"/>
      <c r="LLD28" s="63"/>
      <c r="LLE28" s="63"/>
      <c r="LLF28" s="54"/>
      <c r="LLG28" s="54"/>
      <c r="LLH28" s="54"/>
      <c r="LLI28" s="57"/>
      <c r="LLJ28" s="62"/>
      <c r="LLK28" s="63"/>
      <c r="LLL28" s="63"/>
      <c r="LLM28" s="63"/>
      <c r="LLN28" s="63"/>
      <c r="LLO28" s="63"/>
      <c r="LLP28" s="63"/>
      <c r="LLQ28" s="63"/>
      <c r="LLR28" s="63"/>
      <c r="LLS28" s="63"/>
      <c r="LLT28" s="63"/>
      <c r="LLU28" s="63"/>
      <c r="LLV28" s="54"/>
      <c r="LLW28" s="54"/>
      <c r="LLX28" s="54"/>
      <c r="LLY28" s="57"/>
      <c r="LLZ28" s="62"/>
      <c r="LMA28" s="63"/>
      <c r="LMB28" s="63"/>
      <c r="LMC28" s="63"/>
      <c r="LMD28" s="63"/>
      <c r="LME28" s="63"/>
      <c r="LMF28" s="63"/>
      <c r="LMG28" s="63"/>
      <c r="LMH28" s="63"/>
      <c r="LMI28" s="63"/>
      <c r="LMJ28" s="63"/>
      <c r="LMK28" s="63"/>
      <c r="LML28" s="54"/>
      <c r="LMM28" s="54"/>
      <c r="LMN28" s="54"/>
      <c r="LMO28" s="57"/>
      <c r="LMP28" s="62"/>
      <c r="LMQ28" s="63"/>
      <c r="LMR28" s="63"/>
      <c r="LMS28" s="63"/>
      <c r="LMT28" s="63"/>
      <c r="LMU28" s="63"/>
      <c r="LMV28" s="63"/>
      <c r="LMW28" s="63"/>
      <c r="LMX28" s="63"/>
      <c r="LMY28" s="63"/>
      <c r="LMZ28" s="63"/>
      <c r="LNA28" s="63"/>
      <c r="LNB28" s="54"/>
      <c r="LNC28" s="54"/>
      <c r="LND28" s="54"/>
      <c r="LNE28" s="57"/>
      <c r="LNF28" s="62"/>
      <c r="LNG28" s="63"/>
      <c r="LNH28" s="63"/>
      <c r="LNI28" s="63"/>
      <c r="LNJ28" s="63"/>
      <c r="LNK28" s="63"/>
      <c r="LNL28" s="63"/>
      <c r="LNM28" s="63"/>
      <c r="LNN28" s="63"/>
      <c r="LNO28" s="63"/>
      <c r="LNP28" s="63"/>
      <c r="LNQ28" s="63"/>
      <c r="LNR28" s="54"/>
      <c r="LNS28" s="54"/>
      <c r="LNT28" s="54"/>
      <c r="LNU28" s="57"/>
      <c r="LNV28" s="62"/>
      <c r="LNW28" s="63"/>
      <c r="LNX28" s="63"/>
      <c r="LNY28" s="63"/>
      <c r="LNZ28" s="63"/>
      <c r="LOA28" s="63"/>
      <c r="LOB28" s="63"/>
      <c r="LOC28" s="63"/>
      <c r="LOD28" s="63"/>
      <c r="LOE28" s="63"/>
      <c r="LOF28" s="63"/>
      <c r="LOG28" s="63"/>
      <c r="LOH28" s="54"/>
      <c r="LOI28" s="54"/>
      <c r="LOJ28" s="54"/>
      <c r="LOK28" s="57"/>
      <c r="LOL28" s="62"/>
      <c r="LOM28" s="63"/>
      <c r="LON28" s="63"/>
      <c r="LOO28" s="63"/>
      <c r="LOP28" s="63"/>
      <c r="LOQ28" s="63"/>
      <c r="LOR28" s="63"/>
      <c r="LOS28" s="63"/>
      <c r="LOT28" s="63"/>
      <c r="LOU28" s="63"/>
      <c r="LOV28" s="63"/>
      <c r="LOW28" s="63"/>
      <c r="LOX28" s="54"/>
      <c r="LOY28" s="54"/>
      <c r="LOZ28" s="54"/>
      <c r="LPA28" s="57"/>
      <c r="LPB28" s="62"/>
      <c r="LPC28" s="63"/>
      <c r="LPD28" s="63"/>
      <c r="LPE28" s="63"/>
      <c r="LPF28" s="63"/>
      <c r="LPG28" s="63"/>
      <c r="LPH28" s="63"/>
      <c r="LPI28" s="63"/>
      <c r="LPJ28" s="63"/>
      <c r="LPK28" s="63"/>
      <c r="LPL28" s="63"/>
      <c r="LPM28" s="63"/>
      <c r="LPN28" s="54"/>
      <c r="LPO28" s="54"/>
      <c r="LPP28" s="54"/>
      <c r="LPQ28" s="57"/>
      <c r="LPR28" s="62"/>
      <c r="LPS28" s="63"/>
      <c r="LPT28" s="63"/>
      <c r="LPU28" s="63"/>
      <c r="LPV28" s="63"/>
      <c r="LPW28" s="63"/>
      <c r="LPX28" s="63"/>
      <c r="LPY28" s="63"/>
      <c r="LPZ28" s="63"/>
      <c r="LQA28" s="63"/>
      <c r="LQB28" s="63"/>
      <c r="LQC28" s="63"/>
      <c r="LQD28" s="54"/>
      <c r="LQE28" s="54"/>
      <c r="LQF28" s="54"/>
      <c r="LQG28" s="57"/>
      <c r="LQH28" s="62"/>
      <c r="LQI28" s="63"/>
      <c r="LQJ28" s="63"/>
      <c r="LQK28" s="63"/>
      <c r="LQL28" s="63"/>
      <c r="LQM28" s="63"/>
      <c r="LQN28" s="63"/>
      <c r="LQO28" s="63"/>
      <c r="LQP28" s="63"/>
      <c r="LQQ28" s="63"/>
      <c r="LQR28" s="63"/>
      <c r="LQS28" s="63"/>
      <c r="LQT28" s="54"/>
      <c r="LQU28" s="54"/>
      <c r="LQV28" s="54"/>
      <c r="LQW28" s="57"/>
      <c r="LQX28" s="62"/>
      <c r="LQY28" s="63"/>
      <c r="LQZ28" s="63"/>
      <c r="LRA28" s="63"/>
      <c r="LRB28" s="63"/>
      <c r="LRC28" s="63"/>
      <c r="LRD28" s="63"/>
      <c r="LRE28" s="63"/>
      <c r="LRF28" s="63"/>
      <c r="LRG28" s="63"/>
      <c r="LRH28" s="63"/>
      <c r="LRI28" s="63"/>
      <c r="LRJ28" s="54"/>
      <c r="LRK28" s="54"/>
      <c r="LRL28" s="54"/>
      <c r="LRM28" s="57"/>
      <c r="LRN28" s="62"/>
      <c r="LRO28" s="63"/>
      <c r="LRP28" s="63"/>
      <c r="LRQ28" s="63"/>
      <c r="LRR28" s="63"/>
      <c r="LRS28" s="63"/>
      <c r="LRT28" s="63"/>
      <c r="LRU28" s="63"/>
      <c r="LRV28" s="63"/>
      <c r="LRW28" s="63"/>
      <c r="LRX28" s="63"/>
      <c r="LRY28" s="63"/>
      <c r="LRZ28" s="54"/>
      <c r="LSA28" s="54"/>
      <c r="LSB28" s="54"/>
      <c r="LSC28" s="57"/>
      <c r="LSD28" s="62"/>
      <c r="LSE28" s="63"/>
      <c r="LSF28" s="63"/>
      <c r="LSG28" s="63"/>
      <c r="LSH28" s="63"/>
      <c r="LSI28" s="63"/>
      <c r="LSJ28" s="63"/>
      <c r="LSK28" s="63"/>
      <c r="LSL28" s="63"/>
      <c r="LSM28" s="63"/>
      <c r="LSN28" s="63"/>
      <c r="LSO28" s="63"/>
      <c r="LSP28" s="54"/>
      <c r="LSQ28" s="54"/>
      <c r="LSR28" s="54"/>
      <c r="LSS28" s="57"/>
      <c r="LST28" s="62"/>
      <c r="LSU28" s="63"/>
      <c r="LSV28" s="63"/>
      <c r="LSW28" s="63"/>
      <c r="LSX28" s="63"/>
      <c r="LSY28" s="63"/>
      <c r="LSZ28" s="63"/>
      <c r="LTA28" s="63"/>
      <c r="LTB28" s="63"/>
      <c r="LTC28" s="63"/>
      <c r="LTD28" s="63"/>
      <c r="LTE28" s="63"/>
      <c r="LTF28" s="54"/>
      <c r="LTG28" s="54"/>
      <c r="LTH28" s="54"/>
      <c r="LTI28" s="57"/>
      <c r="LTJ28" s="62"/>
      <c r="LTK28" s="63"/>
      <c r="LTL28" s="63"/>
      <c r="LTM28" s="63"/>
      <c r="LTN28" s="63"/>
      <c r="LTO28" s="63"/>
      <c r="LTP28" s="63"/>
      <c r="LTQ28" s="63"/>
      <c r="LTR28" s="63"/>
      <c r="LTS28" s="63"/>
      <c r="LTT28" s="63"/>
      <c r="LTU28" s="63"/>
      <c r="LTV28" s="54"/>
      <c r="LTW28" s="54"/>
      <c r="LTX28" s="54"/>
      <c r="LTY28" s="57"/>
      <c r="LTZ28" s="62"/>
      <c r="LUA28" s="63"/>
      <c r="LUB28" s="63"/>
      <c r="LUC28" s="63"/>
      <c r="LUD28" s="63"/>
      <c r="LUE28" s="63"/>
      <c r="LUF28" s="63"/>
      <c r="LUG28" s="63"/>
      <c r="LUH28" s="63"/>
      <c r="LUI28" s="63"/>
      <c r="LUJ28" s="63"/>
      <c r="LUK28" s="63"/>
      <c r="LUL28" s="54"/>
      <c r="LUM28" s="54"/>
      <c r="LUN28" s="54"/>
      <c r="LUO28" s="57"/>
      <c r="LUP28" s="62"/>
      <c r="LUQ28" s="63"/>
      <c r="LUR28" s="63"/>
      <c r="LUS28" s="63"/>
      <c r="LUT28" s="63"/>
      <c r="LUU28" s="63"/>
      <c r="LUV28" s="63"/>
      <c r="LUW28" s="63"/>
      <c r="LUX28" s="63"/>
      <c r="LUY28" s="63"/>
      <c r="LUZ28" s="63"/>
      <c r="LVA28" s="63"/>
      <c r="LVB28" s="54"/>
      <c r="LVC28" s="54"/>
      <c r="LVD28" s="54"/>
      <c r="LVE28" s="57"/>
      <c r="LVF28" s="62"/>
      <c r="LVG28" s="63"/>
      <c r="LVH28" s="63"/>
      <c r="LVI28" s="63"/>
      <c r="LVJ28" s="63"/>
      <c r="LVK28" s="63"/>
      <c r="LVL28" s="63"/>
      <c r="LVM28" s="63"/>
      <c r="LVN28" s="63"/>
      <c r="LVO28" s="63"/>
      <c r="LVP28" s="63"/>
      <c r="LVQ28" s="63"/>
      <c r="LVR28" s="54"/>
      <c r="LVS28" s="54"/>
      <c r="LVT28" s="54"/>
      <c r="LVU28" s="57"/>
      <c r="LVV28" s="62"/>
      <c r="LVW28" s="63"/>
      <c r="LVX28" s="63"/>
      <c r="LVY28" s="63"/>
      <c r="LVZ28" s="63"/>
      <c r="LWA28" s="63"/>
      <c r="LWB28" s="63"/>
      <c r="LWC28" s="63"/>
      <c r="LWD28" s="63"/>
      <c r="LWE28" s="63"/>
      <c r="LWF28" s="63"/>
      <c r="LWG28" s="63"/>
      <c r="LWH28" s="54"/>
      <c r="LWI28" s="54"/>
      <c r="LWJ28" s="54"/>
      <c r="LWK28" s="57"/>
      <c r="LWL28" s="62"/>
      <c r="LWM28" s="63"/>
      <c r="LWN28" s="63"/>
      <c r="LWO28" s="63"/>
      <c r="LWP28" s="63"/>
      <c r="LWQ28" s="63"/>
      <c r="LWR28" s="63"/>
      <c r="LWS28" s="63"/>
      <c r="LWT28" s="63"/>
      <c r="LWU28" s="63"/>
      <c r="LWV28" s="63"/>
      <c r="LWW28" s="63"/>
      <c r="LWX28" s="54"/>
      <c r="LWY28" s="54"/>
      <c r="LWZ28" s="54"/>
      <c r="LXA28" s="57"/>
      <c r="LXB28" s="62"/>
      <c r="LXC28" s="63"/>
      <c r="LXD28" s="63"/>
      <c r="LXE28" s="63"/>
      <c r="LXF28" s="63"/>
      <c r="LXG28" s="63"/>
      <c r="LXH28" s="63"/>
      <c r="LXI28" s="63"/>
      <c r="LXJ28" s="63"/>
      <c r="LXK28" s="63"/>
      <c r="LXL28" s="63"/>
      <c r="LXM28" s="63"/>
      <c r="LXN28" s="54"/>
      <c r="LXO28" s="54"/>
      <c r="LXP28" s="54"/>
      <c r="LXQ28" s="57"/>
      <c r="LXR28" s="62"/>
      <c r="LXS28" s="63"/>
      <c r="LXT28" s="63"/>
      <c r="LXU28" s="63"/>
      <c r="LXV28" s="63"/>
      <c r="LXW28" s="63"/>
      <c r="LXX28" s="63"/>
      <c r="LXY28" s="63"/>
      <c r="LXZ28" s="63"/>
      <c r="LYA28" s="63"/>
      <c r="LYB28" s="63"/>
      <c r="LYC28" s="63"/>
      <c r="LYD28" s="54"/>
      <c r="LYE28" s="54"/>
      <c r="LYF28" s="54"/>
      <c r="LYG28" s="57"/>
      <c r="LYH28" s="62"/>
      <c r="LYI28" s="63"/>
      <c r="LYJ28" s="63"/>
      <c r="LYK28" s="63"/>
      <c r="LYL28" s="63"/>
      <c r="LYM28" s="63"/>
      <c r="LYN28" s="63"/>
      <c r="LYO28" s="63"/>
      <c r="LYP28" s="63"/>
      <c r="LYQ28" s="63"/>
      <c r="LYR28" s="63"/>
      <c r="LYS28" s="63"/>
      <c r="LYT28" s="54"/>
      <c r="LYU28" s="54"/>
      <c r="LYV28" s="54"/>
      <c r="LYW28" s="57"/>
      <c r="LYX28" s="62"/>
      <c r="LYY28" s="63"/>
      <c r="LYZ28" s="63"/>
      <c r="LZA28" s="63"/>
      <c r="LZB28" s="63"/>
      <c r="LZC28" s="63"/>
      <c r="LZD28" s="63"/>
      <c r="LZE28" s="63"/>
      <c r="LZF28" s="63"/>
      <c r="LZG28" s="63"/>
      <c r="LZH28" s="63"/>
      <c r="LZI28" s="63"/>
      <c r="LZJ28" s="54"/>
      <c r="LZK28" s="54"/>
      <c r="LZL28" s="54"/>
      <c r="LZM28" s="57"/>
      <c r="LZN28" s="62"/>
      <c r="LZO28" s="63"/>
      <c r="LZP28" s="63"/>
      <c r="LZQ28" s="63"/>
      <c r="LZR28" s="63"/>
      <c r="LZS28" s="63"/>
      <c r="LZT28" s="63"/>
      <c r="LZU28" s="63"/>
      <c r="LZV28" s="63"/>
      <c r="LZW28" s="63"/>
      <c r="LZX28" s="63"/>
      <c r="LZY28" s="63"/>
      <c r="LZZ28" s="54"/>
      <c r="MAA28" s="54"/>
      <c r="MAB28" s="54"/>
      <c r="MAC28" s="57"/>
      <c r="MAD28" s="62"/>
      <c r="MAE28" s="63"/>
      <c r="MAF28" s="63"/>
      <c r="MAG28" s="63"/>
      <c r="MAH28" s="63"/>
      <c r="MAI28" s="63"/>
      <c r="MAJ28" s="63"/>
      <c r="MAK28" s="63"/>
      <c r="MAL28" s="63"/>
      <c r="MAM28" s="63"/>
      <c r="MAN28" s="63"/>
      <c r="MAO28" s="63"/>
      <c r="MAP28" s="54"/>
      <c r="MAQ28" s="54"/>
      <c r="MAR28" s="54"/>
      <c r="MAS28" s="57"/>
      <c r="MAT28" s="62"/>
      <c r="MAU28" s="63"/>
      <c r="MAV28" s="63"/>
      <c r="MAW28" s="63"/>
      <c r="MAX28" s="63"/>
      <c r="MAY28" s="63"/>
      <c r="MAZ28" s="63"/>
      <c r="MBA28" s="63"/>
      <c r="MBB28" s="63"/>
      <c r="MBC28" s="63"/>
      <c r="MBD28" s="63"/>
      <c r="MBE28" s="63"/>
      <c r="MBF28" s="54"/>
      <c r="MBG28" s="54"/>
      <c r="MBH28" s="54"/>
      <c r="MBI28" s="57"/>
      <c r="MBJ28" s="62"/>
      <c r="MBK28" s="63"/>
      <c r="MBL28" s="63"/>
      <c r="MBM28" s="63"/>
      <c r="MBN28" s="63"/>
      <c r="MBO28" s="63"/>
      <c r="MBP28" s="63"/>
      <c r="MBQ28" s="63"/>
      <c r="MBR28" s="63"/>
      <c r="MBS28" s="63"/>
      <c r="MBT28" s="63"/>
      <c r="MBU28" s="63"/>
      <c r="MBV28" s="54"/>
      <c r="MBW28" s="54"/>
      <c r="MBX28" s="54"/>
      <c r="MBY28" s="57"/>
      <c r="MBZ28" s="62"/>
      <c r="MCA28" s="63"/>
      <c r="MCB28" s="63"/>
      <c r="MCC28" s="63"/>
      <c r="MCD28" s="63"/>
      <c r="MCE28" s="63"/>
      <c r="MCF28" s="63"/>
      <c r="MCG28" s="63"/>
      <c r="MCH28" s="63"/>
      <c r="MCI28" s="63"/>
      <c r="MCJ28" s="63"/>
      <c r="MCK28" s="63"/>
      <c r="MCL28" s="54"/>
      <c r="MCM28" s="54"/>
      <c r="MCN28" s="54"/>
      <c r="MCO28" s="57"/>
      <c r="MCP28" s="62"/>
      <c r="MCQ28" s="63"/>
      <c r="MCR28" s="63"/>
      <c r="MCS28" s="63"/>
      <c r="MCT28" s="63"/>
      <c r="MCU28" s="63"/>
      <c r="MCV28" s="63"/>
      <c r="MCW28" s="63"/>
      <c r="MCX28" s="63"/>
      <c r="MCY28" s="63"/>
      <c r="MCZ28" s="63"/>
      <c r="MDA28" s="63"/>
      <c r="MDB28" s="54"/>
      <c r="MDC28" s="54"/>
      <c r="MDD28" s="54"/>
      <c r="MDE28" s="57"/>
      <c r="MDF28" s="62"/>
      <c r="MDG28" s="63"/>
      <c r="MDH28" s="63"/>
      <c r="MDI28" s="63"/>
      <c r="MDJ28" s="63"/>
      <c r="MDK28" s="63"/>
      <c r="MDL28" s="63"/>
      <c r="MDM28" s="63"/>
      <c r="MDN28" s="63"/>
      <c r="MDO28" s="63"/>
      <c r="MDP28" s="63"/>
      <c r="MDQ28" s="63"/>
      <c r="MDR28" s="54"/>
      <c r="MDS28" s="54"/>
      <c r="MDT28" s="54"/>
      <c r="MDU28" s="57"/>
      <c r="MDV28" s="62"/>
      <c r="MDW28" s="63"/>
      <c r="MDX28" s="63"/>
      <c r="MDY28" s="63"/>
      <c r="MDZ28" s="63"/>
      <c r="MEA28" s="63"/>
      <c r="MEB28" s="63"/>
      <c r="MEC28" s="63"/>
      <c r="MED28" s="63"/>
      <c r="MEE28" s="63"/>
      <c r="MEF28" s="63"/>
      <c r="MEG28" s="63"/>
      <c r="MEH28" s="54"/>
      <c r="MEI28" s="54"/>
      <c r="MEJ28" s="54"/>
      <c r="MEK28" s="57"/>
      <c r="MEL28" s="62"/>
      <c r="MEM28" s="63"/>
      <c r="MEN28" s="63"/>
      <c r="MEO28" s="63"/>
      <c r="MEP28" s="63"/>
      <c r="MEQ28" s="63"/>
      <c r="MER28" s="63"/>
      <c r="MES28" s="63"/>
      <c r="MET28" s="63"/>
      <c r="MEU28" s="63"/>
      <c r="MEV28" s="63"/>
      <c r="MEW28" s="63"/>
      <c r="MEX28" s="54"/>
      <c r="MEY28" s="54"/>
      <c r="MEZ28" s="54"/>
      <c r="MFA28" s="57"/>
      <c r="MFB28" s="62"/>
      <c r="MFC28" s="63"/>
      <c r="MFD28" s="63"/>
      <c r="MFE28" s="63"/>
      <c r="MFF28" s="63"/>
      <c r="MFG28" s="63"/>
      <c r="MFH28" s="63"/>
      <c r="MFI28" s="63"/>
      <c r="MFJ28" s="63"/>
      <c r="MFK28" s="63"/>
      <c r="MFL28" s="63"/>
      <c r="MFM28" s="63"/>
      <c r="MFN28" s="54"/>
      <c r="MFO28" s="54"/>
      <c r="MFP28" s="54"/>
      <c r="MFQ28" s="57"/>
      <c r="MFR28" s="62"/>
      <c r="MFS28" s="63"/>
      <c r="MFT28" s="63"/>
      <c r="MFU28" s="63"/>
      <c r="MFV28" s="63"/>
      <c r="MFW28" s="63"/>
      <c r="MFX28" s="63"/>
      <c r="MFY28" s="63"/>
      <c r="MFZ28" s="63"/>
      <c r="MGA28" s="63"/>
      <c r="MGB28" s="63"/>
      <c r="MGC28" s="63"/>
      <c r="MGD28" s="54"/>
      <c r="MGE28" s="54"/>
      <c r="MGF28" s="54"/>
      <c r="MGG28" s="57"/>
      <c r="MGH28" s="62"/>
      <c r="MGI28" s="63"/>
      <c r="MGJ28" s="63"/>
      <c r="MGK28" s="63"/>
      <c r="MGL28" s="63"/>
      <c r="MGM28" s="63"/>
      <c r="MGN28" s="63"/>
      <c r="MGO28" s="63"/>
      <c r="MGP28" s="63"/>
      <c r="MGQ28" s="63"/>
      <c r="MGR28" s="63"/>
      <c r="MGS28" s="63"/>
      <c r="MGT28" s="54"/>
      <c r="MGU28" s="54"/>
      <c r="MGV28" s="54"/>
      <c r="MGW28" s="57"/>
      <c r="MGX28" s="62"/>
      <c r="MGY28" s="63"/>
      <c r="MGZ28" s="63"/>
      <c r="MHA28" s="63"/>
      <c r="MHB28" s="63"/>
      <c r="MHC28" s="63"/>
      <c r="MHD28" s="63"/>
      <c r="MHE28" s="63"/>
      <c r="MHF28" s="63"/>
      <c r="MHG28" s="63"/>
      <c r="MHH28" s="63"/>
      <c r="MHI28" s="63"/>
      <c r="MHJ28" s="54"/>
      <c r="MHK28" s="54"/>
      <c r="MHL28" s="54"/>
      <c r="MHM28" s="57"/>
      <c r="MHN28" s="62"/>
      <c r="MHO28" s="63"/>
      <c r="MHP28" s="63"/>
      <c r="MHQ28" s="63"/>
      <c r="MHR28" s="63"/>
      <c r="MHS28" s="63"/>
      <c r="MHT28" s="63"/>
      <c r="MHU28" s="63"/>
      <c r="MHV28" s="63"/>
      <c r="MHW28" s="63"/>
      <c r="MHX28" s="63"/>
      <c r="MHY28" s="63"/>
      <c r="MHZ28" s="54"/>
      <c r="MIA28" s="54"/>
      <c r="MIB28" s="54"/>
      <c r="MIC28" s="57"/>
      <c r="MID28" s="62"/>
      <c r="MIE28" s="63"/>
      <c r="MIF28" s="63"/>
      <c r="MIG28" s="63"/>
      <c r="MIH28" s="63"/>
      <c r="MII28" s="63"/>
      <c r="MIJ28" s="63"/>
      <c r="MIK28" s="63"/>
      <c r="MIL28" s="63"/>
      <c r="MIM28" s="63"/>
      <c r="MIN28" s="63"/>
      <c r="MIO28" s="63"/>
      <c r="MIP28" s="54"/>
      <c r="MIQ28" s="54"/>
      <c r="MIR28" s="54"/>
      <c r="MIS28" s="57"/>
      <c r="MIT28" s="62"/>
      <c r="MIU28" s="63"/>
      <c r="MIV28" s="63"/>
      <c r="MIW28" s="63"/>
      <c r="MIX28" s="63"/>
      <c r="MIY28" s="63"/>
      <c r="MIZ28" s="63"/>
      <c r="MJA28" s="63"/>
      <c r="MJB28" s="63"/>
      <c r="MJC28" s="63"/>
      <c r="MJD28" s="63"/>
      <c r="MJE28" s="63"/>
      <c r="MJF28" s="54"/>
      <c r="MJG28" s="54"/>
      <c r="MJH28" s="54"/>
      <c r="MJI28" s="57"/>
      <c r="MJJ28" s="62"/>
      <c r="MJK28" s="63"/>
      <c r="MJL28" s="63"/>
      <c r="MJM28" s="63"/>
      <c r="MJN28" s="63"/>
      <c r="MJO28" s="63"/>
      <c r="MJP28" s="63"/>
      <c r="MJQ28" s="63"/>
      <c r="MJR28" s="63"/>
      <c r="MJS28" s="63"/>
      <c r="MJT28" s="63"/>
      <c r="MJU28" s="63"/>
      <c r="MJV28" s="54"/>
      <c r="MJW28" s="54"/>
      <c r="MJX28" s="54"/>
      <c r="MJY28" s="57"/>
      <c r="MJZ28" s="62"/>
      <c r="MKA28" s="63"/>
      <c r="MKB28" s="63"/>
      <c r="MKC28" s="63"/>
      <c r="MKD28" s="63"/>
      <c r="MKE28" s="63"/>
      <c r="MKF28" s="63"/>
      <c r="MKG28" s="63"/>
      <c r="MKH28" s="63"/>
      <c r="MKI28" s="63"/>
      <c r="MKJ28" s="63"/>
      <c r="MKK28" s="63"/>
      <c r="MKL28" s="54"/>
      <c r="MKM28" s="54"/>
      <c r="MKN28" s="54"/>
      <c r="MKO28" s="57"/>
      <c r="MKP28" s="62"/>
      <c r="MKQ28" s="63"/>
      <c r="MKR28" s="63"/>
      <c r="MKS28" s="63"/>
      <c r="MKT28" s="63"/>
      <c r="MKU28" s="63"/>
      <c r="MKV28" s="63"/>
      <c r="MKW28" s="63"/>
      <c r="MKX28" s="63"/>
      <c r="MKY28" s="63"/>
      <c r="MKZ28" s="63"/>
      <c r="MLA28" s="63"/>
      <c r="MLB28" s="54"/>
      <c r="MLC28" s="54"/>
      <c r="MLD28" s="54"/>
      <c r="MLE28" s="57"/>
      <c r="MLF28" s="62"/>
      <c r="MLG28" s="63"/>
      <c r="MLH28" s="63"/>
      <c r="MLI28" s="63"/>
      <c r="MLJ28" s="63"/>
      <c r="MLK28" s="63"/>
      <c r="MLL28" s="63"/>
      <c r="MLM28" s="63"/>
      <c r="MLN28" s="63"/>
      <c r="MLO28" s="63"/>
      <c r="MLP28" s="63"/>
      <c r="MLQ28" s="63"/>
      <c r="MLR28" s="54"/>
      <c r="MLS28" s="54"/>
      <c r="MLT28" s="54"/>
      <c r="MLU28" s="57"/>
      <c r="MLV28" s="62"/>
      <c r="MLW28" s="63"/>
      <c r="MLX28" s="63"/>
      <c r="MLY28" s="63"/>
      <c r="MLZ28" s="63"/>
      <c r="MMA28" s="63"/>
      <c r="MMB28" s="63"/>
      <c r="MMC28" s="63"/>
      <c r="MMD28" s="63"/>
      <c r="MME28" s="63"/>
      <c r="MMF28" s="63"/>
      <c r="MMG28" s="63"/>
      <c r="MMH28" s="54"/>
      <c r="MMI28" s="54"/>
      <c r="MMJ28" s="54"/>
      <c r="MMK28" s="57"/>
      <c r="MML28" s="62"/>
      <c r="MMM28" s="63"/>
      <c r="MMN28" s="63"/>
      <c r="MMO28" s="63"/>
      <c r="MMP28" s="63"/>
      <c r="MMQ28" s="63"/>
      <c r="MMR28" s="63"/>
      <c r="MMS28" s="63"/>
      <c r="MMT28" s="63"/>
      <c r="MMU28" s="63"/>
      <c r="MMV28" s="63"/>
      <c r="MMW28" s="63"/>
      <c r="MMX28" s="54"/>
      <c r="MMY28" s="54"/>
      <c r="MMZ28" s="54"/>
      <c r="MNA28" s="57"/>
      <c r="MNB28" s="62"/>
      <c r="MNC28" s="63"/>
      <c r="MND28" s="63"/>
      <c r="MNE28" s="63"/>
      <c r="MNF28" s="63"/>
      <c r="MNG28" s="63"/>
      <c r="MNH28" s="63"/>
      <c r="MNI28" s="63"/>
      <c r="MNJ28" s="63"/>
      <c r="MNK28" s="63"/>
      <c r="MNL28" s="63"/>
      <c r="MNM28" s="63"/>
      <c r="MNN28" s="54"/>
      <c r="MNO28" s="54"/>
      <c r="MNP28" s="54"/>
      <c r="MNQ28" s="57"/>
      <c r="MNR28" s="62"/>
      <c r="MNS28" s="63"/>
      <c r="MNT28" s="63"/>
      <c r="MNU28" s="63"/>
      <c r="MNV28" s="63"/>
      <c r="MNW28" s="63"/>
      <c r="MNX28" s="63"/>
      <c r="MNY28" s="63"/>
      <c r="MNZ28" s="63"/>
      <c r="MOA28" s="63"/>
      <c r="MOB28" s="63"/>
      <c r="MOC28" s="63"/>
      <c r="MOD28" s="54"/>
      <c r="MOE28" s="54"/>
      <c r="MOF28" s="54"/>
      <c r="MOG28" s="57"/>
      <c r="MOH28" s="62"/>
      <c r="MOI28" s="63"/>
      <c r="MOJ28" s="63"/>
      <c r="MOK28" s="63"/>
      <c r="MOL28" s="63"/>
      <c r="MOM28" s="63"/>
      <c r="MON28" s="63"/>
      <c r="MOO28" s="63"/>
      <c r="MOP28" s="63"/>
      <c r="MOQ28" s="63"/>
      <c r="MOR28" s="63"/>
      <c r="MOS28" s="63"/>
      <c r="MOT28" s="54"/>
      <c r="MOU28" s="54"/>
      <c r="MOV28" s="54"/>
      <c r="MOW28" s="57"/>
      <c r="MOX28" s="62"/>
      <c r="MOY28" s="63"/>
      <c r="MOZ28" s="63"/>
      <c r="MPA28" s="63"/>
      <c r="MPB28" s="63"/>
      <c r="MPC28" s="63"/>
      <c r="MPD28" s="63"/>
      <c r="MPE28" s="63"/>
      <c r="MPF28" s="63"/>
      <c r="MPG28" s="63"/>
      <c r="MPH28" s="63"/>
      <c r="MPI28" s="63"/>
      <c r="MPJ28" s="54"/>
      <c r="MPK28" s="54"/>
      <c r="MPL28" s="54"/>
      <c r="MPM28" s="57"/>
      <c r="MPN28" s="62"/>
      <c r="MPO28" s="63"/>
      <c r="MPP28" s="63"/>
      <c r="MPQ28" s="63"/>
      <c r="MPR28" s="63"/>
      <c r="MPS28" s="63"/>
      <c r="MPT28" s="63"/>
      <c r="MPU28" s="63"/>
      <c r="MPV28" s="63"/>
      <c r="MPW28" s="63"/>
      <c r="MPX28" s="63"/>
      <c r="MPY28" s="63"/>
      <c r="MPZ28" s="54"/>
      <c r="MQA28" s="54"/>
      <c r="MQB28" s="54"/>
      <c r="MQC28" s="57"/>
      <c r="MQD28" s="62"/>
      <c r="MQE28" s="63"/>
      <c r="MQF28" s="63"/>
      <c r="MQG28" s="63"/>
      <c r="MQH28" s="63"/>
      <c r="MQI28" s="63"/>
      <c r="MQJ28" s="63"/>
      <c r="MQK28" s="63"/>
      <c r="MQL28" s="63"/>
      <c r="MQM28" s="63"/>
      <c r="MQN28" s="63"/>
      <c r="MQO28" s="63"/>
      <c r="MQP28" s="54"/>
      <c r="MQQ28" s="54"/>
      <c r="MQR28" s="54"/>
      <c r="MQS28" s="57"/>
      <c r="MQT28" s="62"/>
      <c r="MQU28" s="63"/>
      <c r="MQV28" s="63"/>
      <c r="MQW28" s="63"/>
      <c r="MQX28" s="63"/>
      <c r="MQY28" s="63"/>
      <c r="MQZ28" s="63"/>
      <c r="MRA28" s="63"/>
      <c r="MRB28" s="63"/>
      <c r="MRC28" s="63"/>
      <c r="MRD28" s="63"/>
      <c r="MRE28" s="63"/>
      <c r="MRF28" s="54"/>
      <c r="MRG28" s="54"/>
      <c r="MRH28" s="54"/>
      <c r="MRI28" s="57"/>
      <c r="MRJ28" s="62"/>
      <c r="MRK28" s="63"/>
      <c r="MRL28" s="63"/>
      <c r="MRM28" s="63"/>
      <c r="MRN28" s="63"/>
      <c r="MRO28" s="63"/>
      <c r="MRP28" s="63"/>
      <c r="MRQ28" s="63"/>
      <c r="MRR28" s="63"/>
      <c r="MRS28" s="63"/>
      <c r="MRT28" s="63"/>
      <c r="MRU28" s="63"/>
      <c r="MRV28" s="54"/>
      <c r="MRW28" s="54"/>
      <c r="MRX28" s="54"/>
      <c r="MRY28" s="57"/>
      <c r="MRZ28" s="62"/>
      <c r="MSA28" s="63"/>
      <c r="MSB28" s="63"/>
      <c r="MSC28" s="63"/>
      <c r="MSD28" s="63"/>
      <c r="MSE28" s="63"/>
      <c r="MSF28" s="63"/>
      <c r="MSG28" s="63"/>
      <c r="MSH28" s="63"/>
      <c r="MSI28" s="63"/>
      <c r="MSJ28" s="63"/>
      <c r="MSK28" s="63"/>
      <c r="MSL28" s="54"/>
      <c r="MSM28" s="54"/>
      <c r="MSN28" s="54"/>
      <c r="MSO28" s="57"/>
      <c r="MSP28" s="62"/>
      <c r="MSQ28" s="63"/>
      <c r="MSR28" s="63"/>
      <c r="MSS28" s="63"/>
      <c r="MST28" s="63"/>
      <c r="MSU28" s="63"/>
      <c r="MSV28" s="63"/>
      <c r="MSW28" s="63"/>
      <c r="MSX28" s="63"/>
      <c r="MSY28" s="63"/>
      <c r="MSZ28" s="63"/>
      <c r="MTA28" s="63"/>
      <c r="MTB28" s="54"/>
      <c r="MTC28" s="54"/>
      <c r="MTD28" s="54"/>
      <c r="MTE28" s="57"/>
      <c r="MTF28" s="62"/>
      <c r="MTG28" s="63"/>
      <c r="MTH28" s="63"/>
      <c r="MTI28" s="63"/>
      <c r="MTJ28" s="63"/>
      <c r="MTK28" s="63"/>
      <c r="MTL28" s="63"/>
      <c r="MTM28" s="63"/>
      <c r="MTN28" s="63"/>
      <c r="MTO28" s="63"/>
      <c r="MTP28" s="63"/>
      <c r="MTQ28" s="63"/>
      <c r="MTR28" s="54"/>
      <c r="MTS28" s="54"/>
      <c r="MTT28" s="54"/>
      <c r="MTU28" s="57"/>
      <c r="MTV28" s="62"/>
      <c r="MTW28" s="63"/>
      <c r="MTX28" s="63"/>
      <c r="MTY28" s="63"/>
      <c r="MTZ28" s="63"/>
      <c r="MUA28" s="63"/>
      <c r="MUB28" s="63"/>
      <c r="MUC28" s="63"/>
      <c r="MUD28" s="63"/>
      <c r="MUE28" s="63"/>
      <c r="MUF28" s="63"/>
      <c r="MUG28" s="63"/>
      <c r="MUH28" s="54"/>
      <c r="MUI28" s="54"/>
      <c r="MUJ28" s="54"/>
      <c r="MUK28" s="57"/>
      <c r="MUL28" s="62"/>
      <c r="MUM28" s="63"/>
      <c r="MUN28" s="63"/>
      <c r="MUO28" s="63"/>
      <c r="MUP28" s="63"/>
      <c r="MUQ28" s="63"/>
      <c r="MUR28" s="63"/>
      <c r="MUS28" s="63"/>
      <c r="MUT28" s="63"/>
      <c r="MUU28" s="63"/>
      <c r="MUV28" s="63"/>
      <c r="MUW28" s="63"/>
      <c r="MUX28" s="54"/>
      <c r="MUY28" s="54"/>
      <c r="MUZ28" s="54"/>
      <c r="MVA28" s="57"/>
      <c r="MVB28" s="62"/>
      <c r="MVC28" s="63"/>
      <c r="MVD28" s="63"/>
      <c r="MVE28" s="63"/>
      <c r="MVF28" s="63"/>
      <c r="MVG28" s="63"/>
      <c r="MVH28" s="63"/>
      <c r="MVI28" s="63"/>
      <c r="MVJ28" s="63"/>
      <c r="MVK28" s="63"/>
      <c r="MVL28" s="63"/>
      <c r="MVM28" s="63"/>
      <c r="MVN28" s="54"/>
      <c r="MVO28" s="54"/>
      <c r="MVP28" s="54"/>
      <c r="MVQ28" s="57"/>
      <c r="MVR28" s="62"/>
      <c r="MVS28" s="63"/>
      <c r="MVT28" s="63"/>
      <c r="MVU28" s="63"/>
      <c r="MVV28" s="63"/>
      <c r="MVW28" s="63"/>
      <c r="MVX28" s="63"/>
      <c r="MVY28" s="63"/>
      <c r="MVZ28" s="63"/>
      <c r="MWA28" s="63"/>
      <c r="MWB28" s="63"/>
      <c r="MWC28" s="63"/>
      <c r="MWD28" s="54"/>
      <c r="MWE28" s="54"/>
      <c r="MWF28" s="54"/>
      <c r="MWG28" s="57"/>
      <c r="MWH28" s="62"/>
      <c r="MWI28" s="63"/>
      <c r="MWJ28" s="63"/>
      <c r="MWK28" s="63"/>
      <c r="MWL28" s="63"/>
      <c r="MWM28" s="63"/>
      <c r="MWN28" s="63"/>
      <c r="MWO28" s="63"/>
      <c r="MWP28" s="63"/>
      <c r="MWQ28" s="63"/>
      <c r="MWR28" s="63"/>
      <c r="MWS28" s="63"/>
      <c r="MWT28" s="54"/>
      <c r="MWU28" s="54"/>
      <c r="MWV28" s="54"/>
      <c r="MWW28" s="57"/>
      <c r="MWX28" s="62"/>
      <c r="MWY28" s="63"/>
      <c r="MWZ28" s="63"/>
      <c r="MXA28" s="63"/>
      <c r="MXB28" s="63"/>
      <c r="MXC28" s="63"/>
      <c r="MXD28" s="63"/>
      <c r="MXE28" s="63"/>
      <c r="MXF28" s="63"/>
      <c r="MXG28" s="63"/>
      <c r="MXH28" s="63"/>
      <c r="MXI28" s="63"/>
      <c r="MXJ28" s="54"/>
      <c r="MXK28" s="54"/>
      <c r="MXL28" s="54"/>
      <c r="MXM28" s="57"/>
      <c r="MXN28" s="62"/>
      <c r="MXO28" s="63"/>
      <c r="MXP28" s="63"/>
      <c r="MXQ28" s="63"/>
      <c r="MXR28" s="63"/>
      <c r="MXS28" s="63"/>
      <c r="MXT28" s="63"/>
      <c r="MXU28" s="63"/>
      <c r="MXV28" s="63"/>
      <c r="MXW28" s="63"/>
      <c r="MXX28" s="63"/>
      <c r="MXY28" s="63"/>
      <c r="MXZ28" s="54"/>
      <c r="MYA28" s="54"/>
      <c r="MYB28" s="54"/>
      <c r="MYC28" s="57"/>
      <c r="MYD28" s="62"/>
      <c r="MYE28" s="63"/>
      <c r="MYF28" s="63"/>
      <c r="MYG28" s="63"/>
      <c r="MYH28" s="63"/>
      <c r="MYI28" s="63"/>
      <c r="MYJ28" s="63"/>
      <c r="MYK28" s="63"/>
      <c r="MYL28" s="63"/>
      <c r="MYM28" s="63"/>
      <c r="MYN28" s="63"/>
      <c r="MYO28" s="63"/>
      <c r="MYP28" s="54"/>
      <c r="MYQ28" s="54"/>
      <c r="MYR28" s="54"/>
      <c r="MYS28" s="57"/>
      <c r="MYT28" s="62"/>
      <c r="MYU28" s="63"/>
      <c r="MYV28" s="63"/>
      <c r="MYW28" s="63"/>
      <c r="MYX28" s="63"/>
      <c r="MYY28" s="63"/>
      <c r="MYZ28" s="63"/>
      <c r="MZA28" s="63"/>
      <c r="MZB28" s="63"/>
      <c r="MZC28" s="63"/>
      <c r="MZD28" s="63"/>
      <c r="MZE28" s="63"/>
      <c r="MZF28" s="54"/>
      <c r="MZG28" s="54"/>
      <c r="MZH28" s="54"/>
      <c r="MZI28" s="57"/>
      <c r="MZJ28" s="62"/>
      <c r="MZK28" s="63"/>
      <c r="MZL28" s="63"/>
      <c r="MZM28" s="63"/>
      <c r="MZN28" s="63"/>
      <c r="MZO28" s="63"/>
      <c r="MZP28" s="63"/>
      <c r="MZQ28" s="63"/>
      <c r="MZR28" s="63"/>
      <c r="MZS28" s="63"/>
      <c r="MZT28" s="63"/>
      <c r="MZU28" s="63"/>
      <c r="MZV28" s="54"/>
      <c r="MZW28" s="54"/>
      <c r="MZX28" s="54"/>
      <c r="MZY28" s="57"/>
      <c r="MZZ28" s="62"/>
      <c r="NAA28" s="63"/>
      <c r="NAB28" s="63"/>
      <c r="NAC28" s="63"/>
      <c r="NAD28" s="63"/>
      <c r="NAE28" s="63"/>
      <c r="NAF28" s="63"/>
      <c r="NAG28" s="63"/>
      <c r="NAH28" s="63"/>
      <c r="NAI28" s="63"/>
      <c r="NAJ28" s="63"/>
      <c r="NAK28" s="63"/>
      <c r="NAL28" s="54"/>
      <c r="NAM28" s="54"/>
      <c r="NAN28" s="54"/>
      <c r="NAO28" s="57"/>
      <c r="NAP28" s="62"/>
      <c r="NAQ28" s="63"/>
      <c r="NAR28" s="63"/>
      <c r="NAS28" s="63"/>
      <c r="NAT28" s="63"/>
      <c r="NAU28" s="63"/>
      <c r="NAV28" s="63"/>
      <c r="NAW28" s="63"/>
      <c r="NAX28" s="63"/>
      <c r="NAY28" s="63"/>
      <c r="NAZ28" s="63"/>
      <c r="NBA28" s="63"/>
      <c r="NBB28" s="54"/>
      <c r="NBC28" s="54"/>
      <c r="NBD28" s="54"/>
      <c r="NBE28" s="57"/>
      <c r="NBF28" s="62"/>
      <c r="NBG28" s="63"/>
      <c r="NBH28" s="63"/>
      <c r="NBI28" s="63"/>
      <c r="NBJ28" s="63"/>
      <c r="NBK28" s="63"/>
      <c r="NBL28" s="63"/>
      <c r="NBM28" s="63"/>
      <c r="NBN28" s="63"/>
      <c r="NBO28" s="63"/>
      <c r="NBP28" s="63"/>
      <c r="NBQ28" s="63"/>
      <c r="NBR28" s="54"/>
      <c r="NBS28" s="54"/>
      <c r="NBT28" s="54"/>
      <c r="NBU28" s="57"/>
      <c r="NBV28" s="62"/>
      <c r="NBW28" s="63"/>
      <c r="NBX28" s="63"/>
      <c r="NBY28" s="63"/>
      <c r="NBZ28" s="63"/>
      <c r="NCA28" s="63"/>
      <c r="NCB28" s="63"/>
      <c r="NCC28" s="63"/>
      <c r="NCD28" s="63"/>
      <c r="NCE28" s="63"/>
      <c r="NCF28" s="63"/>
      <c r="NCG28" s="63"/>
      <c r="NCH28" s="54"/>
      <c r="NCI28" s="54"/>
      <c r="NCJ28" s="54"/>
      <c r="NCK28" s="57"/>
      <c r="NCL28" s="62"/>
      <c r="NCM28" s="63"/>
      <c r="NCN28" s="63"/>
      <c r="NCO28" s="63"/>
      <c r="NCP28" s="63"/>
      <c r="NCQ28" s="63"/>
      <c r="NCR28" s="63"/>
      <c r="NCS28" s="63"/>
      <c r="NCT28" s="63"/>
      <c r="NCU28" s="63"/>
      <c r="NCV28" s="63"/>
      <c r="NCW28" s="63"/>
      <c r="NCX28" s="54"/>
      <c r="NCY28" s="54"/>
      <c r="NCZ28" s="54"/>
      <c r="NDA28" s="57"/>
      <c r="NDB28" s="62"/>
      <c r="NDC28" s="63"/>
      <c r="NDD28" s="63"/>
      <c r="NDE28" s="63"/>
      <c r="NDF28" s="63"/>
      <c r="NDG28" s="63"/>
      <c r="NDH28" s="63"/>
      <c r="NDI28" s="63"/>
      <c r="NDJ28" s="63"/>
      <c r="NDK28" s="63"/>
      <c r="NDL28" s="63"/>
      <c r="NDM28" s="63"/>
      <c r="NDN28" s="54"/>
      <c r="NDO28" s="54"/>
      <c r="NDP28" s="54"/>
      <c r="NDQ28" s="57"/>
      <c r="NDR28" s="62"/>
      <c r="NDS28" s="63"/>
      <c r="NDT28" s="63"/>
      <c r="NDU28" s="63"/>
      <c r="NDV28" s="63"/>
      <c r="NDW28" s="63"/>
      <c r="NDX28" s="63"/>
      <c r="NDY28" s="63"/>
      <c r="NDZ28" s="63"/>
      <c r="NEA28" s="63"/>
      <c r="NEB28" s="63"/>
      <c r="NEC28" s="63"/>
      <c r="NED28" s="54"/>
      <c r="NEE28" s="54"/>
      <c r="NEF28" s="54"/>
      <c r="NEG28" s="57"/>
      <c r="NEH28" s="62"/>
      <c r="NEI28" s="63"/>
      <c r="NEJ28" s="63"/>
      <c r="NEK28" s="63"/>
      <c r="NEL28" s="63"/>
      <c r="NEM28" s="63"/>
      <c r="NEN28" s="63"/>
      <c r="NEO28" s="63"/>
      <c r="NEP28" s="63"/>
      <c r="NEQ28" s="63"/>
      <c r="NER28" s="63"/>
      <c r="NES28" s="63"/>
      <c r="NET28" s="54"/>
      <c r="NEU28" s="54"/>
      <c r="NEV28" s="54"/>
      <c r="NEW28" s="57"/>
      <c r="NEX28" s="62"/>
      <c r="NEY28" s="63"/>
      <c r="NEZ28" s="63"/>
      <c r="NFA28" s="63"/>
      <c r="NFB28" s="63"/>
      <c r="NFC28" s="63"/>
      <c r="NFD28" s="63"/>
      <c r="NFE28" s="63"/>
      <c r="NFF28" s="63"/>
      <c r="NFG28" s="63"/>
      <c r="NFH28" s="63"/>
      <c r="NFI28" s="63"/>
      <c r="NFJ28" s="54"/>
      <c r="NFK28" s="54"/>
      <c r="NFL28" s="54"/>
      <c r="NFM28" s="57"/>
      <c r="NFN28" s="62"/>
      <c r="NFO28" s="63"/>
      <c r="NFP28" s="63"/>
      <c r="NFQ28" s="63"/>
      <c r="NFR28" s="63"/>
      <c r="NFS28" s="63"/>
      <c r="NFT28" s="63"/>
      <c r="NFU28" s="63"/>
      <c r="NFV28" s="63"/>
      <c r="NFW28" s="63"/>
      <c r="NFX28" s="63"/>
      <c r="NFY28" s="63"/>
      <c r="NFZ28" s="54"/>
      <c r="NGA28" s="54"/>
      <c r="NGB28" s="54"/>
      <c r="NGC28" s="57"/>
      <c r="NGD28" s="62"/>
      <c r="NGE28" s="63"/>
      <c r="NGF28" s="63"/>
      <c r="NGG28" s="63"/>
      <c r="NGH28" s="63"/>
      <c r="NGI28" s="63"/>
      <c r="NGJ28" s="63"/>
      <c r="NGK28" s="63"/>
      <c r="NGL28" s="63"/>
      <c r="NGM28" s="63"/>
      <c r="NGN28" s="63"/>
      <c r="NGO28" s="63"/>
      <c r="NGP28" s="54"/>
      <c r="NGQ28" s="54"/>
      <c r="NGR28" s="54"/>
      <c r="NGS28" s="57"/>
      <c r="NGT28" s="62"/>
      <c r="NGU28" s="63"/>
      <c r="NGV28" s="63"/>
      <c r="NGW28" s="63"/>
      <c r="NGX28" s="63"/>
      <c r="NGY28" s="63"/>
      <c r="NGZ28" s="63"/>
      <c r="NHA28" s="63"/>
      <c r="NHB28" s="63"/>
      <c r="NHC28" s="63"/>
      <c r="NHD28" s="63"/>
      <c r="NHE28" s="63"/>
      <c r="NHF28" s="54"/>
      <c r="NHG28" s="54"/>
      <c r="NHH28" s="54"/>
      <c r="NHI28" s="57"/>
      <c r="NHJ28" s="62"/>
      <c r="NHK28" s="63"/>
      <c r="NHL28" s="63"/>
      <c r="NHM28" s="63"/>
      <c r="NHN28" s="63"/>
      <c r="NHO28" s="63"/>
      <c r="NHP28" s="63"/>
      <c r="NHQ28" s="63"/>
      <c r="NHR28" s="63"/>
      <c r="NHS28" s="63"/>
      <c r="NHT28" s="63"/>
      <c r="NHU28" s="63"/>
      <c r="NHV28" s="54"/>
      <c r="NHW28" s="54"/>
      <c r="NHX28" s="54"/>
      <c r="NHY28" s="57"/>
      <c r="NHZ28" s="62"/>
      <c r="NIA28" s="63"/>
      <c r="NIB28" s="63"/>
      <c r="NIC28" s="63"/>
      <c r="NID28" s="63"/>
      <c r="NIE28" s="63"/>
      <c r="NIF28" s="63"/>
      <c r="NIG28" s="63"/>
      <c r="NIH28" s="63"/>
      <c r="NII28" s="63"/>
      <c r="NIJ28" s="63"/>
      <c r="NIK28" s="63"/>
      <c r="NIL28" s="54"/>
      <c r="NIM28" s="54"/>
      <c r="NIN28" s="54"/>
      <c r="NIO28" s="57"/>
      <c r="NIP28" s="62"/>
      <c r="NIQ28" s="63"/>
      <c r="NIR28" s="63"/>
      <c r="NIS28" s="63"/>
      <c r="NIT28" s="63"/>
      <c r="NIU28" s="63"/>
      <c r="NIV28" s="63"/>
      <c r="NIW28" s="63"/>
      <c r="NIX28" s="63"/>
      <c r="NIY28" s="63"/>
      <c r="NIZ28" s="63"/>
      <c r="NJA28" s="63"/>
      <c r="NJB28" s="54"/>
      <c r="NJC28" s="54"/>
      <c r="NJD28" s="54"/>
      <c r="NJE28" s="57"/>
      <c r="NJF28" s="62"/>
      <c r="NJG28" s="63"/>
      <c r="NJH28" s="63"/>
      <c r="NJI28" s="63"/>
      <c r="NJJ28" s="63"/>
      <c r="NJK28" s="63"/>
      <c r="NJL28" s="63"/>
      <c r="NJM28" s="63"/>
      <c r="NJN28" s="63"/>
      <c r="NJO28" s="63"/>
      <c r="NJP28" s="63"/>
      <c r="NJQ28" s="63"/>
      <c r="NJR28" s="54"/>
      <c r="NJS28" s="54"/>
      <c r="NJT28" s="54"/>
      <c r="NJU28" s="57"/>
      <c r="NJV28" s="62"/>
      <c r="NJW28" s="63"/>
      <c r="NJX28" s="63"/>
      <c r="NJY28" s="63"/>
      <c r="NJZ28" s="63"/>
      <c r="NKA28" s="63"/>
      <c r="NKB28" s="63"/>
      <c r="NKC28" s="63"/>
      <c r="NKD28" s="63"/>
      <c r="NKE28" s="63"/>
      <c r="NKF28" s="63"/>
      <c r="NKG28" s="63"/>
      <c r="NKH28" s="54"/>
      <c r="NKI28" s="54"/>
      <c r="NKJ28" s="54"/>
      <c r="NKK28" s="57"/>
      <c r="NKL28" s="62"/>
      <c r="NKM28" s="63"/>
      <c r="NKN28" s="63"/>
      <c r="NKO28" s="63"/>
      <c r="NKP28" s="63"/>
      <c r="NKQ28" s="63"/>
      <c r="NKR28" s="63"/>
      <c r="NKS28" s="63"/>
      <c r="NKT28" s="63"/>
      <c r="NKU28" s="63"/>
      <c r="NKV28" s="63"/>
      <c r="NKW28" s="63"/>
      <c r="NKX28" s="54"/>
      <c r="NKY28" s="54"/>
      <c r="NKZ28" s="54"/>
      <c r="NLA28" s="57"/>
      <c r="NLB28" s="62"/>
      <c r="NLC28" s="63"/>
      <c r="NLD28" s="63"/>
      <c r="NLE28" s="63"/>
      <c r="NLF28" s="63"/>
      <c r="NLG28" s="63"/>
      <c r="NLH28" s="63"/>
      <c r="NLI28" s="63"/>
      <c r="NLJ28" s="63"/>
      <c r="NLK28" s="63"/>
      <c r="NLL28" s="63"/>
      <c r="NLM28" s="63"/>
      <c r="NLN28" s="54"/>
      <c r="NLO28" s="54"/>
      <c r="NLP28" s="54"/>
      <c r="NLQ28" s="57"/>
      <c r="NLR28" s="62"/>
      <c r="NLS28" s="63"/>
      <c r="NLT28" s="63"/>
      <c r="NLU28" s="63"/>
      <c r="NLV28" s="63"/>
      <c r="NLW28" s="63"/>
      <c r="NLX28" s="63"/>
      <c r="NLY28" s="63"/>
      <c r="NLZ28" s="63"/>
      <c r="NMA28" s="63"/>
      <c r="NMB28" s="63"/>
      <c r="NMC28" s="63"/>
      <c r="NMD28" s="54"/>
      <c r="NME28" s="54"/>
      <c r="NMF28" s="54"/>
      <c r="NMG28" s="57"/>
      <c r="NMH28" s="62"/>
      <c r="NMI28" s="63"/>
      <c r="NMJ28" s="63"/>
      <c r="NMK28" s="63"/>
      <c r="NML28" s="63"/>
      <c r="NMM28" s="63"/>
      <c r="NMN28" s="63"/>
      <c r="NMO28" s="63"/>
      <c r="NMP28" s="63"/>
      <c r="NMQ28" s="63"/>
      <c r="NMR28" s="63"/>
      <c r="NMS28" s="63"/>
      <c r="NMT28" s="54"/>
      <c r="NMU28" s="54"/>
      <c r="NMV28" s="54"/>
      <c r="NMW28" s="57"/>
      <c r="NMX28" s="62"/>
      <c r="NMY28" s="63"/>
      <c r="NMZ28" s="63"/>
      <c r="NNA28" s="63"/>
      <c r="NNB28" s="63"/>
      <c r="NNC28" s="63"/>
      <c r="NND28" s="63"/>
      <c r="NNE28" s="63"/>
      <c r="NNF28" s="63"/>
      <c r="NNG28" s="63"/>
      <c r="NNH28" s="63"/>
      <c r="NNI28" s="63"/>
      <c r="NNJ28" s="54"/>
      <c r="NNK28" s="54"/>
      <c r="NNL28" s="54"/>
      <c r="NNM28" s="57"/>
      <c r="NNN28" s="62"/>
      <c r="NNO28" s="63"/>
      <c r="NNP28" s="63"/>
      <c r="NNQ28" s="63"/>
      <c r="NNR28" s="63"/>
      <c r="NNS28" s="63"/>
      <c r="NNT28" s="63"/>
      <c r="NNU28" s="63"/>
      <c r="NNV28" s="63"/>
      <c r="NNW28" s="63"/>
      <c r="NNX28" s="63"/>
      <c r="NNY28" s="63"/>
      <c r="NNZ28" s="54"/>
      <c r="NOA28" s="54"/>
      <c r="NOB28" s="54"/>
      <c r="NOC28" s="57"/>
      <c r="NOD28" s="62"/>
      <c r="NOE28" s="63"/>
      <c r="NOF28" s="63"/>
      <c r="NOG28" s="63"/>
      <c r="NOH28" s="63"/>
      <c r="NOI28" s="63"/>
      <c r="NOJ28" s="63"/>
      <c r="NOK28" s="63"/>
      <c r="NOL28" s="63"/>
      <c r="NOM28" s="63"/>
      <c r="NON28" s="63"/>
      <c r="NOO28" s="63"/>
      <c r="NOP28" s="54"/>
      <c r="NOQ28" s="54"/>
      <c r="NOR28" s="54"/>
      <c r="NOS28" s="57"/>
      <c r="NOT28" s="62"/>
      <c r="NOU28" s="63"/>
      <c r="NOV28" s="63"/>
      <c r="NOW28" s="63"/>
      <c r="NOX28" s="63"/>
      <c r="NOY28" s="63"/>
      <c r="NOZ28" s="63"/>
      <c r="NPA28" s="63"/>
      <c r="NPB28" s="63"/>
      <c r="NPC28" s="63"/>
      <c r="NPD28" s="63"/>
      <c r="NPE28" s="63"/>
      <c r="NPF28" s="54"/>
      <c r="NPG28" s="54"/>
      <c r="NPH28" s="54"/>
      <c r="NPI28" s="57"/>
      <c r="NPJ28" s="62"/>
      <c r="NPK28" s="63"/>
      <c r="NPL28" s="63"/>
      <c r="NPM28" s="63"/>
      <c r="NPN28" s="63"/>
      <c r="NPO28" s="63"/>
      <c r="NPP28" s="63"/>
      <c r="NPQ28" s="63"/>
      <c r="NPR28" s="63"/>
      <c r="NPS28" s="63"/>
      <c r="NPT28" s="63"/>
      <c r="NPU28" s="63"/>
      <c r="NPV28" s="54"/>
      <c r="NPW28" s="54"/>
      <c r="NPX28" s="54"/>
      <c r="NPY28" s="57"/>
      <c r="NPZ28" s="62"/>
      <c r="NQA28" s="63"/>
      <c r="NQB28" s="63"/>
      <c r="NQC28" s="63"/>
      <c r="NQD28" s="63"/>
      <c r="NQE28" s="63"/>
      <c r="NQF28" s="63"/>
      <c r="NQG28" s="63"/>
      <c r="NQH28" s="63"/>
      <c r="NQI28" s="63"/>
      <c r="NQJ28" s="63"/>
      <c r="NQK28" s="63"/>
      <c r="NQL28" s="54"/>
      <c r="NQM28" s="54"/>
      <c r="NQN28" s="54"/>
      <c r="NQO28" s="57"/>
      <c r="NQP28" s="62"/>
      <c r="NQQ28" s="63"/>
      <c r="NQR28" s="63"/>
      <c r="NQS28" s="63"/>
      <c r="NQT28" s="63"/>
      <c r="NQU28" s="63"/>
      <c r="NQV28" s="63"/>
      <c r="NQW28" s="63"/>
      <c r="NQX28" s="63"/>
      <c r="NQY28" s="63"/>
      <c r="NQZ28" s="63"/>
      <c r="NRA28" s="63"/>
      <c r="NRB28" s="54"/>
      <c r="NRC28" s="54"/>
      <c r="NRD28" s="54"/>
      <c r="NRE28" s="57"/>
      <c r="NRF28" s="62"/>
      <c r="NRG28" s="63"/>
      <c r="NRH28" s="63"/>
      <c r="NRI28" s="63"/>
      <c r="NRJ28" s="63"/>
      <c r="NRK28" s="63"/>
      <c r="NRL28" s="63"/>
      <c r="NRM28" s="63"/>
      <c r="NRN28" s="63"/>
      <c r="NRO28" s="63"/>
      <c r="NRP28" s="63"/>
      <c r="NRQ28" s="63"/>
      <c r="NRR28" s="54"/>
      <c r="NRS28" s="54"/>
      <c r="NRT28" s="54"/>
      <c r="NRU28" s="57"/>
      <c r="NRV28" s="62"/>
      <c r="NRW28" s="63"/>
      <c r="NRX28" s="63"/>
      <c r="NRY28" s="63"/>
      <c r="NRZ28" s="63"/>
      <c r="NSA28" s="63"/>
      <c r="NSB28" s="63"/>
      <c r="NSC28" s="63"/>
      <c r="NSD28" s="63"/>
      <c r="NSE28" s="63"/>
      <c r="NSF28" s="63"/>
      <c r="NSG28" s="63"/>
      <c r="NSH28" s="54"/>
      <c r="NSI28" s="54"/>
      <c r="NSJ28" s="54"/>
      <c r="NSK28" s="57"/>
      <c r="NSL28" s="62"/>
      <c r="NSM28" s="63"/>
      <c r="NSN28" s="63"/>
      <c r="NSO28" s="63"/>
      <c r="NSP28" s="63"/>
      <c r="NSQ28" s="63"/>
      <c r="NSR28" s="63"/>
      <c r="NSS28" s="63"/>
      <c r="NST28" s="63"/>
      <c r="NSU28" s="63"/>
      <c r="NSV28" s="63"/>
      <c r="NSW28" s="63"/>
      <c r="NSX28" s="54"/>
      <c r="NSY28" s="54"/>
      <c r="NSZ28" s="54"/>
      <c r="NTA28" s="57"/>
      <c r="NTB28" s="62"/>
      <c r="NTC28" s="63"/>
      <c r="NTD28" s="63"/>
      <c r="NTE28" s="63"/>
      <c r="NTF28" s="63"/>
      <c r="NTG28" s="63"/>
      <c r="NTH28" s="63"/>
      <c r="NTI28" s="63"/>
      <c r="NTJ28" s="63"/>
      <c r="NTK28" s="63"/>
      <c r="NTL28" s="63"/>
      <c r="NTM28" s="63"/>
      <c r="NTN28" s="54"/>
      <c r="NTO28" s="54"/>
      <c r="NTP28" s="54"/>
      <c r="NTQ28" s="57"/>
      <c r="NTR28" s="62"/>
      <c r="NTS28" s="63"/>
      <c r="NTT28" s="63"/>
      <c r="NTU28" s="63"/>
      <c r="NTV28" s="63"/>
      <c r="NTW28" s="63"/>
      <c r="NTX28" s="63"/>
      <c r="NTY28" s="63"/>
      <c r="NTZ28" s="63"/>
      <c r="NUA28" s="63"/>
      <c r="NUB28" s="63"/>
      <c r="NUC28" s="63"/>
      <c r="NUD28" s="54"/>
      <c r="NUE28" s="54"/>
      <c r="NUF28" s="54"/>
      <c r="NUG28" s="57"/>
      <c r="NUH28" s="62"/>
      <c r="NUI28" s="63"/>
      <c r="NUJ28" s="63"/>
      <c r="NUK28" s="63"/>
      <c r="NUL28" s="63"/>
      <c r="NUM28" s="63"/>
      <c r="NUN28" s="63"/>
      <c r="NUO28" s="63"/>
      <c r="NUP28" s="63"/>
      <c r="NUQ28" s="63"/>
      <c r="NUR28" s="63"/>
      <c r="NUS28" s="63"/>
      <c r="NUT28" s="54"/>
      <c r="NUU28" s="54"/>
      <c r="NUV28" s="54"/>
      <c r="NUW28" s="57"/>
      <c r="NUX28" s="62"/>
      <c r="NUY28" s="63"/>
      <c r="NUZ28" s="63"/>
      <c r="NVA28" s="63"/>
      <c r="NVB28" s="63"/>
      <c r="NVC28" s="63"/>
      <c r="NVD28" s="63"/>
      <c r="NVE28" s="63"/>
      <c r="NVF28" s="63"/>
      <c r="NVG28" s="63"/>
      <c r="NVH28" s="63"/>
      <c r="NVI28" s="63"/>
      <c r="NVJ28" s="54"/>
      <c r="NVK28" s="54"/>
      <c r="NVL28" s="54"/>
      <c r="NVM28" s="57"/>
      <c r="NVN28" s="62"/>
      <c r="NVO28" s="63"/>
      <c r="NVP28" s="63"/>
      <c r="NVQ28" s="63"/>
      <c r="NVR28" s="63"/>
      <c r="NVS28" s="63"/>
      <c r="NVT28" s="63"/>
      <c r="NVU28" s="63"/>
      <c r="NVV28" s="63"/>
      <c r="NVW28" s="63"/>
      <c r="NVX28" s="63"/>
      <c r="NVY28" s="63"/>
      <c r="NVZ28" s="54"/>
      <c r="NWA28" s="54"/>
      <c r="NWB28" s="54"/>
      <c r="NWC28" s="57"/>
      <c r="NWD28" s="62"/>
      <c r="NWE28" s="63"/>
      <c r="NWF28" s="63"/>
      <c r="NWG28" s="63"/>
      <c r="NWH28" s="63"/>
      <c r="NWI28" s="63"/>
      <c r="NWJ28" s="63"/>
      <c r="NWK28" s="63"/>
      <c r="NWL28" s="63"/>
      <c r="NWM28" s="63"/>
      <c r="NWN28" s="63"/>
      <c r="NWO28" s="63"/>
      <c r="NWP28" s="54"/>
      <c r="NWQ28" s="54"/>
      <c r="NWR28" s="54"/>
      <c r="NWS28" s="57"/>
      <c r="NWT28" s="62"/>
      <c r="NWU28" s="63"/>
      <c r="NWV28" s="63"/>
      <c r="NWW28" s="63"/>
      <c r="NWX28" s="63"/>
      <c r="NWY28" s="63"/>
      <c r="NWZ28" s="63"/>
      <c r="NXA28" s="63"/>
      <c r="NXB28" s="63"/>
      <c r="NXC28" s="63"/>
      <c r="NXD28" s="63"/>
      <c r="NXE28" s="63"/>
      <c r="NXF28" s="54"/>
      <c r="NXG28" s="54"/>
      <c r="NXH28" s="54"/>
      <c r="NXI28" s="57"/>
      <c r="NXJ28" s="62"/>
      <c r="NXK28" s="63"/>
      <c r="NXL28" s="63"/>
      <c r="NXM28" s="63"/>
      <c r="NXN28" s="63"/>
      <c r="NXO28" s="63"/>
      <c r="NXP28" s="63"/>
      <c r="NXQ28" s="63"/>
      <c r="NXR28" s="63"/>
      <c r="NXS28" s="63"/>
      <c r="NXT28" s="63"/>
      <c r="NXU28" s="63"/>
      <c r="NXV28" s="54"/>
      <c r="NXW28" s="54"/>
      <c r="NXX28" s="54"/>
      <c r="NXY28" s="57"/>
      <c r="NXZ28" s="62"/>
      <c r="NYA28" s="63"/>
      <c r="NYB28" s="63"/>
      <c r="NYC28" s="63"/>
      <c r="NYD28" s="63"/>
      <c r="NYE28" s="63"/>
      <c r="NYF28" s="63"/>
      <c r="NYG28" s="63"/>
      <c r="NYH28" s="63"/>
      <c r="NYI28" s="63"/>
      <c r="NYJ28" s="63"/>
      <c r="NYK28" s="63"/>
      <c r="NYL28" s="54"/>
      <c r="NYM28" s="54"/>
      <c r="NYN28" s="54"/>
      <c r="NYO28" s="57"/>
      <c r="NYP28" s="62"/>
      <c r="NYQ28" s="63"/>
      <c r="NYR28" s="63"/>
      <c r="NYS28" s="63"/>
      <c r="NYT28" s="63"/>
      <c r="NYU28" s="63"/>
      <c r="NYV28" s="63"/>
      <c r="NYW28" s="63"/>
      <c r="NYX28" s="63"/>
      <c r="NYY28" s="63"/>
      <c r="NYZ28" s="63"/>
      <c r="NZA28" s="63"/>
      <c r="NZB28" s="54"/>
      <c r="NZC28" s="54"/>
      <c r="NZD28" s="54"/>
      <c r="NZE28" s="57"/>
      <c r="NZF28" s="62"/>
      <c r="NZG28" s="63"/>
      <c r="NZH28" s="63"/>
      <c r="NZI28" s="63"/>
      <c r="NZJ28" s="63"/>
      <c r="NZK28" s="63"/>
      <c r="NZL28" s="63"/>
      <c r="NZM28" s="63"/>
      <c r="NZN28" s="63"/>
      <c r="NZO28" s="63"/>
      <c r="NZP28" s="63"/>
      <c r="NZQ28" s="63"/>
      <c r="NZR28" s="54"/>
      <c r="NZS28" s="54"/>
      <c r="NZT28" s="54"/>
      <c r="NZU28" s="57"/>
      <c r="NZV28" s="62"/>
      <c r="NZW28" s="63"/>
      <c r="NZX28" s="63"/>
      <c r="NZY28" s="63"/>
      <c r="NZZ28" s="63"/>
      <c r="OAA28" s="63"/>
      <c r="OAB28" s="63"/>
      <c r="OAC28" s="63"/>
      <c r="OAD28" s="63"/>
      <c r="OAE28" s="63"/>
      <c r="OAF28" s="63"/>
      <c r="OAG28" s="63"/>
      <c r="OAH28" s="54"/>
      <c r="OAI28" s="54"/>
      <c r="OAJ28" s="54"/>
      <c r="OAK28" s="57"/>
      <c r="OAL28" s="62"/>
      <c r="OAM28" s="63"/>
      <c r="OAN28" s="63"/>
      <c r="OAO28" s="63"/>
      <c r="OAP28" s="63"/>
      <c r="OAQ28" s="63"/>
      <c r="OAR28" s="63"/>
      <c r="OAS28" s="63"/>
      <c r="OAT28" s="63"/>
      <c r="OAU28" s="63"/>
      <c r="OAV28" s="63"/>
      <c r="OAW28" s="63"/>
      <c r="OAX28" s="54"/>
      <c r="OAY28" s="54"/>
      <c r="OAZ28" s="54"/>
      <c r="OBA28" s="57"/>
      <c r="OBB28" s="62"/>
      <c r="OBC28" s="63"/>
      <c r="OBD28" s="63"/>
      <c r="OBE28" s="63"/>
      <c r="OBF28" s="63"/>
      <c r="OBG28" s="63"/>
      <c r="OBH28" s="63"/>
      <c r="OBI28" s="63"/>
      <c r="OBJ28" s="63"/>
      <c r="OBK28" s="63"/>
      <c r="OBL28" s="63"/>
      <c r="OBM28" s="63"/>
      <c r="OBN28" s="54"/>
      <c r="OBO28" s="54"/>
      <c r="OBP28" s="54"/>
      <c r="OBQ28" s="57"/>
      <c r="OBR28" s="62"/>
      <c r="OBS28" s="63"/>
      <c r="OBT28" s="63"/>
      <c r="OBU28" s="63"/>
      <c r="OBV28" s="63"/>
      <c r="OBW28" s="63"/>
      <c r="OBX28" s="63"/>
      <c r="OBY28" s="63"/>
      <c r="OBZ28" s="63"/>
      <c r="OCA28" s="63"/>
      <c r="OCB28" s="63"/>
      <c r="OCC28" s="63"/>
      <c r="OCD28" s="54"/>
      <c r="OCE28" s="54"/>
      <c r="OCF28" s="54"/>
      <c r="OCG28" s="57"/>
      <c r="OCH28" s="62"/>
      <c r="OCI28" s="63"/>
      <c r="OCJ28" s="63"/>
      <c r="OCK28" s="63"/>
      <c r="OCL28" s="63"/>
      <c r="OCM28" s="63"/>
      <c r="OCN28" s="63"/>
      <c r="OCO28" s="63"/>
      <c r="OCP28" s="63"/>
      <c r="OCQ28" s="63"/>
      <c r="OCR28" s="63"/>
      <c r="OCS28" s="63"/>
      <c r="OCT28" s="54"/>
      <c r="OCU28" s="54"/>
      <c r="OCV28" s="54"/>
      <c r="OCW28" s="57"/>
      <c r="OCX28" s="62"/>
      <c r="OCY28" s="63"/>
      <c r="OCZ28" s="63"/>
      <c r="ODA28" s="63"/>
      <c r="ODB28" s="63"/>
      <c r="ODC28" s="63"/>
      <c r="ODD28" s="63"/>
      <c r="ODE28" s="63"/>
      <c r="ODF28" s="63"/>
      <c r="ODG28" s="63"/>
      <c r="ODH28" s="63"/>
      <c r="ODI28" s="63"/>
      <c r="ODJ28" s="54"/>
      <c r="ODK28" s="54"/>
      <c r="ODL28" s="54"/>
      <c r="ODM28" s="57"/>
      <c r="ODN28" s="62"/>
      <c r="ODO28" s="63"/>
      <c r="ODP28" s="63"/>
      <c r="ODQ28" s="63"/>
      <c r="ODR28" s="63"/>
      <c r="ODS28" s="63"/>
      <c r="ODT28" s="63"/>
      <c r="ODU28" s="63"/>
      <c r="ODV28" s="63"/>
      <c r="ODW28" s="63"/>
      <c r="ODX28" s="63"/>
      <c r="ODY28" s="63"/>
      <c r="ODZ28" s="54"/>
      <c r="OEA28" s="54"/>
      <c r="OEB28" s="54"/>
      <c r="OEC28" s="57"/>
      <c r="OED28" s="62"/>
      <c r="OEE28" s="63"/>
      <c r="OEF28" s="63"/>
      <c r="OEG28" s="63"/>
      <c r="OEH28" s="63"/>
      <c r="OEI28" s="63"/>
      <c r="OEJ28" s="63"/>
      <c r="OEK28" s="63"/>
      <c r="OEL28" s="63"/>
      <c r="OEM28" s="63"/>
      <c r="OEN28" s="63"/>
      <c r="OEO28" s="63"/>
      <c r="OEP28" s="54"/>
      <c r="OEQ28" s="54"/>
      <c r="OER28" s="54"/>
      <c r="OES28" s="57"/>
      <c r="OET28" s="62"/>
      <c r="OEU28" s="63"/>
      <c r="OEV28" s="63"/>
      <c r="OEW28" s="63"/>
      <c r="OEX28" s="63"/>
      <c r="OEY28" s="63"/>
      <c r="OEZ28" s="63"/>
      <c r="OFA28" s="63"/>
      <c r="OFB28" s="63"/>
      <c r="OFC28" s="63"/>
      <c r="OFD28" s="63"/>
      <c r="OFE28" s="63"/>
      <c r="OFF28" s="54"/>
      <c r="OFG28" s="54"/>
      <c r="OFH28" s="54"/>
      <c r="OFI28" s="57"/>
      <c r="OFJ28" s="62"/>
      <c r="OFK28" s="63"/>
      <c r="OFL28" s="63"/>
      <c r="OFM28" s="63"/>
      <c r="OFN28" s="63"/>
      <c r="OFO28" s="63"/>
      <c r="OFP28" s="63"/>
      <c r="OFQ28" s="63"/>
      <c r="OFR28" s="63"/>
      <c r="OFS28" s="63"/>
      <c r="OFT28" s="63"/>
      <c r="OFU28" s="63"/>
      <c r="OFV28" s="54"/>
      <c r="OFW28" s="54"/>
      <c r="OFX28" s="54"/>
      <c r="OFY28" s="57"/>
      <c r="OFZ28" s="62"/>
      <c r="OGA28" s="63"/>
      <c r="OGB28" s="63"/>
      <c r="OGC28" s="63"/>
      <c r="OGD28" s="63"/>
      <c r="OGE28" s="63"/>
      <c r="OGF28" s="63"/>
      <c r="OGG28" s="63"/>
      <c r="OGH28" s="63"/>
      <c r="OGI28" s="63"/>
      <c r="OGJ28" s="63"/>
      <c r="OGK28" s="63"/>
      <c r="OGL28" s="54"/>
      <c r="OGM28" s="54"/>
      <c r="OGN28" s="54"/>
      <c r="OGO28" s="57"/>
      <c r="OGP28" s="62"/>
      <c r="OGQ28" s="63"/>
      <c r="OGR28" s="63"/>
      <c r="OGS28" s="63"/>
      <c r="OGT28" s="63"/>
      <c r="OGU28" s="63"/>
      <c r="OGV28" s="63"/>
      <c r="OGW28" s="63"/>
      <c r="OGX28" s="63"/>
      <c r="OGY28" s="63"/>
      <c r="OGZ28" s="63"/>
      <c r="OHA28" s="63"/>
      <c r="OHB28" s="54"/>
      <c r="OHC28" s="54"/>
      <c r="OHD28" s="54"/>
      <c r="OHE28" s="57"/>
      <c r="OHF28" s="62"/>
      <c r="OHG28" s="63"/>
      <c r="OHH28" s="63"/>
      <c r="OHI28" s="63"/>
      <c r="OHJ28" s="63"/>
      <c r="OHK28" s="63"/>
      <c r="OHL28" s="63"/>
      <c r="OHM28" s="63"/>
      <c r="OHN28" s="63"/>
      <c r="OHO28" s="63"/>
      <c r="OHP28" s="63"/>
      <c r="OHQ28" s="63"/>
      <c r="OHR28" s="54"/>
      <c r="OHS28" s="54"/>
      <c r="OHT28" s="54"/>
      <c r="OHU28" s="57"/>
      <c r="OHV28" s="62"/>
      <c r="OHW28" s="63"/>
      <c r="OHX28" s="63"/>
      <c r="OHY28" s="63"/>
      <c r="OHZ28" s="63"/>
      <c r="OIA28" s="63"/>
      <c r="OIB28" s="63"/>
      <c r="OIC28" s="63"/>
      <c r="OID28" s="63"/>
      <c r="OIE28" s="63"/>
      <c r="OIF28" s="63"/>
      <c r="OIG28" s="63"/>
      <c r="OIH28" s="54"/>
      <c r="OII28" s="54"/>
      <c r="OIJ28" s="54"/>
      <c r="OIK28" s="57"/>
      <c r="OIL28" s="62"/>
      <c r="OIM28" s="63"/>
      <c r="OIN28" s="63"/>
      <c r="OIO28" s="63"/>
      <c r="OIP28" s="63"/>
      <c r="OIQ28" s="63"/>
      <c r="OIR28" s="63"/>
      <c r="OIS28" s="63"/>
      <c r="OIT28" s="63"/>
      <c r="OIU28" s="63"/>
      <c r="OIV28" s="63"/>
      <c r="OIW28" s="63"/>
      <c r="OIX28" s="54"/>
      <c r="OIY28" s="54"/>
      <c r="OIZ28" s="54"/>
      <c r="OJA28" s="57"/>
      <c r="OJB28" s="62"/>
      <c r="OJC28" s="63"/>
      <c r="OJD28" s="63"/>
      <c r="OJE28" s="63"/>
      <c r="OJF28" s="63"/>
      <c r="OJG28" s="63"/>
      <c r="OJH28" s="63"/>
      <c r="OJI28" s="63"/>
      <c r="OJJ28" s="63"/>
      <c r="OJK28" s="63"/>
      <c r="OJL28" s="63"/>
      <c r="OJM28" s="63"/>
      <c r="OJN28" s="54"/>
      <c r="OJO28" s="54"/>
      <c r="OJP28" s="54"/>
      <c r="OJQ28" s="57"/>
      <c r="OJR28" s="62"/>
      <c r="OJS28" s="63"/>
      <c r="OJT28" s="63"/>
      <c r="OJU28" s="63"/>
      <c r="OJV28" s="63"/>
      <c r="OJW28" s="63"/>
      <c r="OJX28" s="63"/>
      <c r="OJY28" s="63"/>
      <c r="OJZ28" s="63"/>
      <c r="OKA28" s="63"/>
      <c r="OKB28" s="63"/>
      <c r="OKC28" s="63"/>
      <c r="OKD28" s="54"/>
      <c r="OKE28" s="54"/>
      <c r="OKF28" s="54"/>
      <c r="OKG28" s="57"/>
      <c r="OKH28" s="62"/>
      <c r="OKI28" s="63"/>
      <c r="OKJ28" s="63"/>
      <c r="OKK28" s="63"/>
      <c r="OKL28" s="63"/>
      <c r="OKM28" s="63"/>
      <c r="OKN28" s="63"/>
      <c r="OKO28" s="63"/>
      <c r="OKP28" s="63"/>
      <c r="OKQ28" s="63"/>
      <c r="OKR28" s="63"/>
      <c r="OKS28" s="63"/>
      <c r="OKT28" s="54"/>
      <c r="OKU28" s="54"/>
      <c r="OKV28" s="54"/>
      <c r="OKW28" s="57"/>
      <c r="OKX28" s="62"/>
      <c r="OKY28" s="63"/>
      <c r="OKZ28" s="63"/>
      <c r="OLA28" s="63"/>
      <c r="OLB28" s="63"/>
      <c r="OLC28" s="63"/>
      <c r="OLD28" s="63"/>
      <c r="OLE28" s="63"/>
      <c r="OLF28" s="63"/>
      <c r="OLG28" s="63"/>
      <c r="OLH28" s="63"/>
      <c r="OLI28" s="63"/>
      <c r="OLJ28" s="54"/>
      <c r="OLK28" s="54"/>
      <c r="OLL28" s="54"/>
      <c r="OLM28" s="57"/>
      <c r="OLN28" s="62"/>
      <c r="OLO28" s="63"/>
      <c r="OLP28" s="63"/>
      <c r="OLQ28" s="63"/>
      <c r="OLR28" s="63"/>
      <c r="OLS28" s="63"/>
      <c r="OLT28" s="63"/>
      <c r="OLU28" s="63"/>
      <c r="OLV28" s="63"/>
      <c r="OLW28" s="63"/>
      <c r="OLX28" s="63"/>
      <c r="OLY28" s="63"/>
      <c r="OLZ28" s="54"/>
      <c r="OMA28" s="54"/>
      <c r="OMB28" s="54"/>
      <c r="OMC28" s="57"/>
      <c r="OMD28" s="62"/>
      <c r="OME28" s="63"/>
      <c r="OMF28" s="63"/>
      <c r="OMG28" s="63"/>
      <c r="OMH28" s="63"/>
      <c r="OMI28" s="63"/>
      <c r="OMJ28" s="63"/>
      <c r="OMK28" s="63"/>
      <c r="OML28" s="63"/>
      <c r="OMM28" s="63"/>
      <c r="OMN28" s="63"/>
      <c r="OMO28" s="63"/>
      <c r="OMP28" s="54"/>
      <c r="OMQ28" s="54"/>
      <c r="OMR28" s="54"/>
      <c r="OMS28" s="57"/>
      <c r="OMT28" s="62"/>
      <c r="OMU28" s="63"/>
      <c r="OMV28" s="63"/>
      <c r="OMW28" s="63"/>
      <c r="OMX28" s="63"/>
      <c r="OMY28" s="63"/>
      <c r="OMZ28" s="63"/>
      <c r="ONA28" s="63"/>
      <c r="ONB28" s="63"/>
      <c r="ONC28" s="63"/>
      <c r="OND28" s="63"/>
      <c r="ONE28" s="63"/>
      <c r="ONF28" s="54"/>
      <c r="ONG28" s="54"/>
      <c r="ONH28" s="54"/>
      <c r="ONI28" s="57"/>
      <c r="ONJ28" s="62"/>
      <c r="ONK28" s="63"/>
      <c r="ONL28" s="63"/>
      <c r="ONM28" s="63"/>
      <c r="ONN28" s="63"/>
      <c r="ONO28" s="63"/>
      <c r="ONP28" s="63"/>
      <c r="ONQ28" s="63"/>
      <c r="ONR28" s="63"/>
      <c r="ONS28" s="63"/>
      <c r="ONT28" s="63"/>
      <c r="ONU28" s="63"/>
      <c r="ONV28" s="54"/>
      <c r="ONW28" s="54"/>
      <c r="ONX28" s="54"/>
      <c r="ONY28" s="57"/>
      <c r="ONZ28" s="62"/>
      <c r="OOA28" s="63"/>
      <c r="OOB28" s="63"/>
      <c r="OOC28" s="63"/>
      <c r="OOD28" s="63"/>
      <c r="OOE28" s="63"/>
      <c r="OOF28" s="63"/>
      <c r="OOG28" s="63"/>
      <c r="OOH28" s="63"/>
      <c r="OOI28" s="63"/>
      <c r="OOJ28" s="63"/>
      <c r="OOK28" s="63"/>
      <c r="OOL28" s="54"/>
      <c r="OOM28" s="54"/>
      <c r="OON28" s="54"/>
      <c r="OOO28" s="57"/>
      <c r="OOP28" s="62"/>
      <c r="OOQ28" s="63"/>
      <c r="OOR28" s="63"/>
      <c r="OOS28" s="63"/>
      <c r="OOT28" s="63"/>
      <c r="OOU28" s="63"/>
      <c r="OOV28" s="63"/>
      <c r="OOW28" s="63"/>
      <c r="OOX28" s="63"/>
      <c r="OOY28" s="63"/>
      <c r="OOZ28" s="63"/>
      <c r="OPA28" s="63"/>
      <c r="OPB28" s="54"/>
      <c r="OPC28" s="54"/>
      <c r="OPD28" s="54"/>
      <c r="OPE28" s="57"/>
      <c r="OPF28" s="62"/>
      <c r="OPG28" s="63"/>
      <c r="OPH28" s="63"/>
      <c r="OPI28" s="63"/>
      <c r="OPJ28" s="63"/>
      <c r="OPK28" s="63"/>
      <c r="OPL28" s="63"/>
      <c r="OPM28" s="63"/>
      <c r="OPN28" s="63"/>
      <c r="OPO28" s="63"/>
      <c r="OPP28" s="63"/>
      <c r="OPQ28" s="63"/>
      <c r="OPR28" s="54"/>
      <c r="OPS28" s="54"/>
      <c r="OPT28" s="54"/>
      <c r="OPU28" s="57"/>
      <c r="OPV28" s="62"/>
      <c r="OPW28" s="63"/>
      <c r="OPX28" s="63"/>
      <c r="OPY28" s="63"/>
      <c r="OPZ28" s="63"/>
      <c r="OQA28" s="63"/>
      <c r="OQB28" s="63"/>
      <c r="OQC28" s="63"/>
      <c r="OQD28" s="63"/>
      <c r="OQE28" s="63"/>
      <c r="OQF28" s="63"/>
      <c r="OQG28" s="63"/>
      <c r="OQH28" s="54"/>
      <c r="OQI28" s="54"/>
      <c r="OQJ28" s="54"/>
      <c r="OQK28" s="57"/>
      <c r="OQL28" s="62"/>
      <c r="OQM28" s="63"/>
      <c r="OQN28" s="63"/>
      <c r="OQO28" s="63"/>
      <c r="OQP28" s="63"/>
      <c r="OQQ28" s="63"/>
      <c r="OQR28" s="63"/>
      <c r="OQS28" s="63"/>
      <c r="OQT28" s="63"/>
      <c r="OQU28" s="63"/>
      <c r="OQV28" s="63"/>
      <c r="OQW28" s="63"/>
      <c r="OQX28" s="54"/>
      <c r="OQY28" s="54"/>
      <c r="OQZ28" s="54"/>
      <c r="ORA28" s="57"/>
      <c r="ORB28" s="62"/>
      <c r="ORC28" s="63"/>
      <c r="ORD28" s="63"/>
      <c r="ORE28" s="63"/>
      <c r="ORF28" s="63"/>
      <c r="ORG28" s="63"/>
      <c r="ORH28" s="63"/>
      <c r="ORI28" s="63"/>
      <c r="ORJ28" s="63"/>
      <c r="ORK28" s="63"/>
      <c r="ORL28" s="63"/>
      <c r="ORM28" s="63"/>
      <c r="ORN28" s="54"/>
      <c r="ORO28" s="54"/>
      <c r="ORP28" s="54"/>
      <c r="ORQ28" s="57"/>
      <c r="ORR28" s="62"/>
      <c r="ORS28" s="63"/>
      <c r="ORT28" s="63"/>
      <c r="ORU28" s="63"/>
      <c r="ORV28" s="63"/>
      <c r="ORW28" s="63"/>
      <c r="ORX28" s="63"/>
      <c r="ORY28" s="63"/>
      <c r="ORZ28" s="63"/>
      <c r="OSA28" s="63"/>
      <c r="OSB28" s="63"/>
      <c r="OSC28" s="63"/>
      <c r="OSD28" s="54"/>
      <c r="OSE28" s="54"/>
      <c r="OSF28" s="54"/>
      <c r="OSG28" s="57"/>
      <c r="OSH28" s="62"/>
      <c r="OSI28" s="63"/>
      <c r="OSJ28" s="63"/>
      <c r="OSK28" s="63"/>
      <c r="OSL28" s="63"/>
      <c r="OSM28" s="63"/>
      <c r="OSN28" s="63"/>
      <c r="OSO28" s="63"/>
      <c r="OSP28" s="63"/>
      <c r="OSQ28" s="63"/>
      <c r="OSR28" s="63"/>
      <c r="OSS28" s="63"/>
      <c r="OST28" s="54"/>
      <c r="OSU28" s="54"/>
      <c r="OSV28" s="54"/>
      <c r="OSW28" s="57"/>
      <c r="OSX28" s="62"/>
      <c r="OSY28" s="63"/>
      <c r="OSZ28" s="63"/>
      <c r="OTA28" s="63"/>
      <c r="OTB28" s="63"/>
      <c r="OTC28" s="63"/>
      <c r="OTD28" s="63"/>
      <c r="OTE28" s="63"/>
      <c r="OTF28" s="63"/>
      <c r="OTG28" s="63"/>
      <c r="OTH28" s="63"/>
      <c r="OTI28" s="63"/>
      <c r="OTJ28" s="54"/>
      <c r="OTK28" s="54"/>
      <c r="OTL28" s="54"/>
      <c r="OTM28" s="57"/>
      <c r="OTN28" s="62"/>
      <c r="OTO28" s="63"/>
      <c r="OTP28" s="63"/>
      <c r="OTQ28" s="63"/>
      <c r="OTR28" s="63"/>
      <c r="OTS28" s="63"/>
      <c r="OTT28" s="63"/>
      <c r="OTU28" s="63"/>
      <c r="OTV28" s="63"/>
      <c r="OTW28" s="63"/>
      <c r="OTX28" s="63"/>
      <c r="OTY28" s="63"/>
      <c r="OTZ28" s="54"/>
      <c r="OUA28" s="54"/>
      <c r="OUB28" s="54"/>
      <c r="OUC28" s="57"/>
      <c r="OUD28" s="62"/>
      <c r="OUE28" s="63"/>
      <c r="OUF28" s="63"/>
      <c r="OUG28" s="63"/>
      <c r="OUH28" s="63"/>
      <c r="OUI28" s="63"/>
      <c r="OUJ28" s="63"/>
      <c r="OUK28" s="63"/>
      <c r="OUL28" s="63"/>
      <c r="OUM28" s="63"/>
      <c r="OUN28" s="63"/>
      <c r="OUO28" s="63"/>
      <c r="OUP28" s="54"/>
      <c r="OUQ28" s="54"/>
      <c r="OUR28" s="54"/>
      <c r="OUS28" s="57"/>
      <c r="OUT28" s="62"/>
      <c r="OUU28" s="63"/>
      <c r="OUV28" s="63"/>
      <c r="OUW28" s="63"/>
      <c r="OUX28" s="63"/>
      <c r="OUY28" s="63"/>
      <c r="OUZ28" s="63"/>
      <c r="OVA28" s="63"/>
      <c r="OVB28" s="63"/>
      <c r="OVC28" s="63"/>
      <c r="OVD28" s="63"/>
      <c r="OVE28" s="63"/>
      <c r="OVF28" s="54"/>
      <c r="OVG28" s="54"/>
      <c r="OVH28" s="54"/>
      <c r="OVI28" s="57"/>
      <c r="OVJ28" s="62"/>
      <c r="OVK28" s="63"/>
      <c r="OVL28" s="63"/>
      <c r="OVM28" s="63"/>
      <c r="OVN28" s="63"/>
      <c r="OVO28" s="63"/>
      <c r="OVP28" s="63"/>
      <c r="OVQ28" s="63"/>
      <c r="OVR28" s="63"/>
      <c r="OVS28" s="63"/>
      <c r="OVT28" s="63"/>
      <c r="OVU28" s="63"/>
      <c r="OVV28" s="54"/>
      <c r="OVW28" s="54"/>
      <c r="OVX28" s="54"/>
      <c r="OVY28" s="57"/>
      <c r="OVZ28" s="62"/>
      <c r="OWA28" s="63"/>
      <c r="OWB28" s="63"/>
      <c r="OWC28" s="63"/>
      <c r="OWD28" s="63"/>
      <c r="OWE28" s="63"/>
      <c r="OWF28" s="63"/>
      <c r="OWG28" s="63"/>
      <c r="OWH28" s="63"/>
      <c r="OWI28" s="63"/>
      <c r="OWJ28" s="63"/>
      <c r="OWK28" s="63"/>
      <c r="OWL28" s="54"/>
      <c r="OWM28" s="54"/>
      <c r="OWN28" s="54"/>
      <c r="OWO28" s="57"/>
      <c r="OWP28" s="62"/>
      <c r="OWQ28" s="63"/>
      <c r="OWR28" s="63"/>
      <c r="OWS28" s="63"/>
      <c r="OWT28" s="63"/>
      <c r="OWU28" s="63"/>
      <c r="OWV28" s="63"/>
      <c r="OWW28" s="63"/>
      <c r="OWX28" s="63"/>
      <c r="OWY28" s="63"/>
      <c r="OWZ28" s="63"/>
      <c r="OXA28" s="63"/>
      <c r="OXB28" s="54"/>
      <c r="OXC28" s="54"/>
      <c r="OXD28" s="54"/>
      <c r="OXE28" s="57"/>
      <c r="OXF28" s="62"/>
      <c r="OXG28" s="63"/>
      <c r="OXH28" s="63"/>
      <c r="OXI28" s="63"/>
      <c r="OXJ28" s="63"/>
      <c r="OXK28" s="63"/>
      <c r="OXL28" s="63"/>
      <c r="OXM28" s="63"/>
      <c r="OXN28" s="63"/>
      <c r="OXO28" s="63"/>
      <c r="OXP28" s="63"/>
      <c r="OXQ28" s="63"/>
      <c r="OXR28" s="54"/>
      <c r="OXS28" s="54"/>
      <c r="OXT28" s="54"/>
      <c r="OXU28" s="57"/>
      <c r="OXV28" s="62"/>
      <c r="OXW28" s="63"/>
      <c r="OXX28" s="63"/>
      <c r="OXY28" s="63"/>
      <c r="OXZ28" s="63"/>
      <c r="OYA28" s="63"/>
      <c r="OYB28" s="63"/>
      <c r="OYC28" s="63"/>
      <c r="OYD28" s="63"/>
      <c r="OYE28" s="63"/>
      <c r="OYF28" s="63"/>
      <c r="OYG28" s="63"/>
      <c r="OYH28" s="54"/>
      <c r="OYI28" s="54"/>
      <c r="OYJ28" s="54"/>
      <c r="OYK28" s="57"/>
      <c r="OYL28" s="62"/>
      <c r="OYM28" s="63"/>
      <c r="OYN28" s="63"/>
      <c r="OYO28" s="63"/>
      <c r="OYP28" s="63"/>
      <c r="OYQ28" s="63"/>
      <c r="OYR28" s="63"/>
      <c r="OYS28" s="63"/>
      <c r="OYT28" s="63"/>
      <c r="OYU28" s="63"/>
      <c r="OYV28" s="63"/>
      <c r="OYW28" s="63"/>
      <c r="OYX28" s="54"/>
      <c r="OYY28" s="54"/>
      <c r="OYZ28" s="54"/>
      <c r="OZA28" s="57"/>
      <c r="OZB28" s="62"/>
      <c r="OZC28" s="63"/>
      <c r="OZD28" s="63"/>
      <c r="OZE28" s="63"/>
      <c r="OZF28" s="63"/>
      <c r="OZG28" s="63"/>
      <c r="OZH28" s="63"/>
      <c r="OZI28" s="63"/>
      <c r="OZJ28" s="63"/>
      <c r="OZK28" s="63"/>
      <c r="OZL28" s="63"/>
      <c r="OZM28" s="63"/>
      <c r="OZN28" s="54"/>
      <c r="OZO28" s="54"/>
      <c r="OZP28" s="54"/>
      <c r="OZQ28" s="57"/>
      <c r="OZR28" s="62"/>
      <c r="OZS28" s="63"/>
      <c r="OZT28" s="63"/>
      <c r="OZU28" s="63"/>
      <c r="OZV28" s="63"/>
      <c r="OZW28" s="63"/>
      <c r="OZX28" s="63"/>
      <c r="OZY28" s="63"/>
      <c r="OZZ28" s="63"/>
      <c r="PAA28" s="63"/>
      <c r="PAB28" s="63"/>
      <c r="PAC28" s="63"/>
      <c r="PAD28" s="54"/>
      <c r="PAE28" s="54"/>
      <c r="PAF28" s="54"/>
      <c r="PAG28" s="57"/>
      <c r="PAH28" s="62"/>
      <c r="PAI28" s="63"/>
      <c r="PAJ28" s="63"/>
      <c r="PAK28" s="63"/>
      <c r="PAL28" s="63"/>
      <c r="PAM28" s="63"/>
      <c r="PAN28" s="63"/>
      <c r="PAO28" s="63"/>
      <c r="PAP28" s="63"/>
      <c r="PAQ28" s="63"/>
      <c r="PAR28" s="63"/>
      <c r="PAS28" s="63"/>
      <c r="PAT28" s="54"/>
      <c r="PAU28" s="54"/>
      <c r="PAV28" s="54"/>
      <c r="PAW28" s="57"/>
      <c r="PAX28" s="62"/>
      <c r="PAY28" s="63"/>
      <c r="PAZ28" s="63"/>
      <c r="PBA28" s="63"/>
      <c r="PBB28" s="63"/>
      <c r="PBC28" s="63"/>
      <c r="PBD28" s="63"/>
      <c r="PBE28" s="63"/>
      <c r="PBF28" s="63"/>
      <c r="PBG28" s="63"/>
      <c r="PBH28" s="63"/>
      <c r="PBI28" s="63"/>
      <c r="PBJ28" s="54"/>
      <c r="PBK28" s="54"/>
      <c r="PBL28" s="54"/>
      <c r="PBM28" s="57"/>
      <c r="PBN28" s="62"/>
      <c r="PBO28" s="63"/>
      <c r="PBP28" s="63"/>
      <c r="PBQ28" s="63"/>
      <c r="PBR28" s="63"/>
      <c r="PBS28" s="63"/>
      <c r="PBT28" s="63"/>
      <c r="PBU28" s="63"/>
      <c r="PBV28" s="63"/>
      <c r="PBW28" s="63"/>
      <c r="PBX28" s="63"/>
      <c r="PBY28" s="63"/>
      <c r="PBZ28" s="54"/>
      <c r="PCA28" s="54"/>
      <c r="PCB28" s="54"/>
      <c r="PCC28" s="57"/>
      <c r="PCD28" s="62"/>
      <c r="PCE28" s="63"/>
      <c r="PCF28" s="63"/>
      <c r="PCG28" s="63"/>
      <c r="PCH28" s="63"/>
      <c r="PCI28" s="63"/>
      <c r="PCJ28" s="63"/>
      <c r="PCK28" s="63"/>
      <c r="PCL28" s="63"/>
      <c r="PCM28" s="63"/>
      <c r="PCN28" s="63"/>
      <c r="PCO28" s="63"/>
      <c r="PCP28" s="54"/>
      <c r="PCQ28" s="54"/>
      <c r="PCR28" s="54"/>
      <c r="PCS28" s="57"/>
      <c r="PCT28" s="62"/>
      <c r="PCU28" s="63"/>
      <c r="PCV28" s="63"/>
      <c r="PCW28" s="63"/>
      <c r="PCX28" s="63"/>
      <c r="PCY28" s="63"/>
      <c r="PCZ28" s="63"/>
      <c r="PDA28" s="63"/>
      <c r="PDB28" s="63"/>
      <c r="PDC28" s="63"/>
      <c r="PDD28" s="63"/>
      <c r="PDE28" s="63"/>
      <c r="PDF28" s="54"/>
      <c r="PDG28" s="54"/>
      <c r="PDH28" s="54"/>
      <c r="PDI28" s="57"/>
      <c r="PDJ28" s="62"/>
      <c r="PDK28" s="63"/>
      <c r="PDL28" s="63"/>
      <c r="PDM28" s="63"/>
      <c r="PDN28" s="63"/>
      <c r="PDO28" s="63"/>
      <c r="PDP28" s="63"/>
      <c r="PDQ28" s="63"/>
      <c r="PDR28" s="63"/>
      <c r="PDS28" s="63"/>
      <c r="PDT28" s="63"/>
      <c r="PDU28" s="63"/>
      <c r="PDV28" s="54"/>
      <c r="PDW28" s="54"/>
      <c r="PDX28" s="54"/>
      <c r="PDY28" s="57"/>
      <c r="PDZ28" s="62"/>
      <c r="PEA28" s="63"/>
      <c r="PEB28" s="63"/>
      <c r="PEC28" s="63"/>
      <c r="PED28" s="63"/>
      <c r="PEE28" s="63"/>
      <c r="PEF28" s="63"/>
      <c r="PEG28" s="63"/>
      <c r="PEH28" s="63"/>
      <c r="PEI28" s="63"/>
      <c r="PEJ28" s="63"/>
      <c r="PEK28" s="63"/>
      <c r="PEL28" s="54"/>
      <c r="PEM28" s="54"/>
      <c r="PEN28" s="54"/>
      <c r="PEO28" s="57"/>
      <c r="PEP28" s="62"/>
      <c r="PEQ28" s="63"/>
      <c r="PER28" s="63"/>
      <c r="PES28" s="63"/>
      <c r="PET28" s="63"/>
      <c r="PEU28" s="63"/>
      <c r="PEV28" s="63"/>
      <c r="PEW28" s="63"/>
      <c r="PEX28" s="63"/>
      <c r="PEY28" s="63"/>
      <c r="PEZ28" s="63"/>
      <c r="PFA28" s="63"/>
      <c r="PFB28" s="54"/>
      <c r="PFC28" s="54"/>
      <c r="PFD28" s="54"/>
      <c r="PFE28" s="57"/>
      <c r="PFF28" s="62"/>
      <c r="PFG28" s="63"/>
      <c r="PFH28" s="63"/>
      <c r="PFI28" s="63"/>
      <c r="PFJ28" s="63"/>
      <c r="PFK28" s="63"/>
      <c r="PFL28" s="63"/>
      <c r="PFM28" s="63"/>
      <c r="PFN28" s="63"/>
      <c r="PFO28" s="63"/>
      <c r="PFP28" s="63"/>
      <c r="PFQ28" s="63"/>
      <c r="PFR28" s="54"/>
      <c r="PFS28" s="54"/>
      <c r="PFT28" s="54"/>
      <c r="PFU28" s="57"/>
      <c r="PFV28" s="62"/>
      <c r="PFW28" s="63"/>
      <c r="PFX28" s="63"/>
      <c r="PFY28" s="63"/>
      <c r="PFZ28" s="63"/>
      <c r="PGA28" s="63"/>
      <c r="PGB28" s="63"/>
      <c r="PGC28" s="63"/>
      <c r="PGD28" s="63"/>
      <c r="PGE28" s="63"/>
      <c r="PGF28" s="63"/>
      <c r="PGG28" s="63"/>
      <c r="PGH28" s="54"/>
      <c r="PGI28" s="54"/>
      <c r="PGJ28" s="54"/>
      <c r="PGK28" s="57"/>
      <c r="PGL28" s="62"/>
      <c r="PGM28" s="63"/>
      <c r="PGN28" s="63"/>
      <c r="PGO28" s="63"/>
      <c r="PGP28" s="63"/>
      <c r="PGQ28" s="63"/>
      <c r="PGR28" s="63"/>
      <c r="PGS28" s="63"/>
      <c r="PGT28" s="63"/>
      <c r="PGU28" s="63"/>
      <c r="PGV28" s="63"/>
      <c r="PGW28" s="63"/>
      <c r="PGX28" s="54"/>
      <c r="PGY28" s="54"/>
      <c r="PGZ28" s="54"/>
      <c r="PHA28" s="57"/>
      <c r="PHB28" s="62"/>
      <c r="PHC28" s="63"/>
      <c r="PHD28" s="63"/>
      <c r="PHE28" s="63"/>
      <c r="PHF28" s="63"/>
      <c r="PHG28" s="63"/>
      <c r="PHH28" s="63"/>
      <c r="PHI28" s="63"/>
      <c r="PHJ28" s="63"/>
      <c r="PHK28" s="63"/>
      <c r="PHL28" s="63"/>
      <c r="PHM28" s="63"/>
      <c r="PHN28" s="54"/>
      <c r="PHO28" s="54"/>
      <c r="PHP28" s="54"/>
      <c r="PHQ28" s="57"/>
      <c r="PHR28" s="62"/>
      <c r="PHS28" s="63"/>
      <c r="PHT28" s="63"/>
      <c r="PHU28" s="63"/>
      <c r="PHV28" s="63"/>
      <c r="PHW28" s="63"/>
      <c r="PHX28" s="63"/>
      <c r="PHY28" s="63"/>
      <c r="PHZ28" s="63"/>
      <c r="PIA28" s="63"/>
      <c r="PIB28" s="63"/>
      <c r="PIC28" s="63"/>
      <c r="PID28" s="54"/>
      <c r="PIE28" s="54"/>
      <c r="PIF28" s="54"/>
      <c r="PIG28" s="57"/>
      <c r="PIH28" s="62"/>
      <c r="PII28" s="63"/>
      <c r="PIJ28" s="63"/>
      <c r="PIK28" s="63"/>
      <c r="PIL28" s="63"/>
      <c r="PIM28" s="63"/>
      <c r="PIN28" s="63"/>
      <c r="PIO28" s="63"/>
      <c r="PIP28" s="63"/>
      <c r="PIQ28" s="63"/>
      <c r="PIR28" s="63"/>
      <c r="PIS28" s="63"/>
      <c r="PIT28" s="54"/>
      <c r="PIU28" s="54"/>
      <c r="PIV28" s="54"/>
      <c r="PIW28" s="57"/>
      <c r="PIX28" s="62"/>
      <c r="PIY28" s="63"/>
      <c r="PIZ28" s="63"/>
      <c r="PJA28" s="63"/>
      <c r="PJB28" s="63"/>
      <c r="PJC28" s="63"/>
      <c r="PJD28" s="63"/>
      <c r="PJE28" s="63"/>
      <c r="PJF28" s="63"/>
      <c r="PJG28" s="63"/>
      <c r="PJH28" s="63"/>
      <c r="PJI28" s="63"/>
      <c r="PJJ28" s="54"/>
      <c r="PJK28" s="54"/>
      <c r="PJL28" s="54"/>
      <c r="PJM28" s="57"/>
      <c r="PJN28" s="62"/>
      <c r="PJO28" s="63"/>
      <c r="PJP28" s="63"/>
      <c r="PJQ28" s="63"/>
      <c r="PJR28" s="63"/>
      <c r="PJS28" s="63"/>
      <c r="PJT28" s="63"/>
      <c r="PJU28" s="63"/>
      <c r="PJV28" s="63"/>
      <c r="PJW28" s="63"/>
      <c r="PJX28" s="63"/>
      <c r="PJY28" s="63"/>
      <c r="PJZ28" s="54"/>
      <c r="PKA28" s="54"/>
      <c r="PKB28" s="54"/>
      <c r="PKC28" s="57"/>
      <c r="PKD28" s="62"/>
      <c r="PKE28" s="63"/>
      <c r="PKF28" s="63"/>
      <c r="PKG28" s="63"/>
      <c r="PKH28" s="63"/>
      <c r="PKI28" s="63"/>
      <c r="PKJ28" s="63"/>
      <c r="PKK28" s="63"/>
      <c r="PKL28" s="63"/>
      <c r="PKM28" s="63"/>
      <c r="PKN28" s="63"/>
      <c r="PKO28" s="63"/>
      <c r="PKP28" s="54"/>
      <c r="PKQ28" s="54"/>
      <c r="PKR28" s="54"/>
      <c r="PKS28" s="57"/>
      <c r="PKT28" s="62"/>
      <c r="PKU28" s="63"/>
      <c r="PKV28" s="63"/>
      <c r="PKW28" s="63"/>
      <c r="PKX28" s="63"/>
      <c r="PKY28" s="63"/>
      <c r="PKZ28" s="63"/>
      <c r="PLA28" s="63"/>
      <c r="PLB28" s="63"/>
      <c r="PLC28" s="63"/>
      <c r="PLD28" s="63"/>
      <c r="PLE28" s="63"/>
      <c r="PLF28" s="54"/>
      <c r="PLG28" s="54"/>
      <c r="PLH28" s="54"/>
      <c r="PLI28" s="57"/>
      <c r="PLJ28" s="62"/>
      <c r="PLK28" s="63"/>
      <c r="PLL28" s="63"/>
      <c r="PLM28" s="63"/>
      <c r="PLN28" s="63"/>
      <c r="PLO28" s="63"/>
      <c r="PLP28" s="63"/>
      <c r="PLQ28" s="63"/>
      <c r="PLR28" s="63"/>
      <c r="PLS28" s="63"/>
      <c r="PLT28" s="63"/>
      <c r="PLU28" s="63"/>
      <c r="PLV28" s="54"/>
      <c r="PLW28" s="54"/>
      <c r="PLX28" s="54"/>
      <c r="PLY28" s="57"/>
      <c r="PLZ28" s="62"/>
      <c r="PMA28" s="63"/>
      <c r="PMB28" s="63"/>
      <c r="PMC28" s="63"/>
      <c r="PMD28" s="63"/>
      <c r="PME28" s="63"/>
      <c r="PMF28" s="63"/>
      <c r="PMG28" s="63"/>
      <c r="PMH28" s="63"/>
      <c r="PMI28" s="63"/>
      <c r="PMJ28" s="63"/>
      <c r="PMK28" s="63"/>
      <c r="PML28" s="54"/>
      <c r="PMM28" s="54"/>
      <c r="PMN28" s="54"/>
      <c r="PMO28" s="57"/>
      <c r="PMP28" s="62"/>
      <c r="PMQ28" s="63"/>
      <c r="PMR28" s="63"/>
      <c r="PMS28" s="63"/>
      <c r="PMT28" s="63"/>
      <c r="PMU28" s="63"/>
      <c r="PMV28" s="63"/>
      <c r="PMW28" s="63"/>
      <c r="PMX28" s="63"/>
      <c r="PMY28" s="63"/>
      <c r="PMZ28" s="63"/>
      <c r="PNA28" s="63"/>
      <c r="PNB28" s="54"/>
      <c r="PNC28" s="54"/>
      <c r="PND28" s="54"/>
      <c r="PNE28" s="57"/>
      <c r="PNF28" s="62"/>
      <c r="PNG28" s="63"/>
      <c r="PNH28" s="63"/>
      <c r="PNI28" s="63"/>
      <c r="PNJ28" s="63"/>
      <c r="PNK28" s="63"/>
      <c r="PNL28" s="63"/>
      <c r="PNM28" s="63"/>
      <c r="PNN28" s="63"/>
      <c r="PNO28" s="63"/>
      <c r="PNP28" s="63"/>
      <c r="PNQ28" s="63"/>
      <c r="PNR28" s="54"/>
      <c r="PNS28" s="54"/>
      <c r="PNT28" s="54"/>
      <c r="PNU28" s="57"/>
      <c r="PNV28" s="62"/>
      <c r="PNW28" s="63"/>
      <c r="PNX28" s="63"/>
      <c r="PNY28" s="63"/>
      <c r="PNZ28" s="63"/>
      <c r="POA28" s="63"/>
      <c r="POB28" s="63"/>
      <c r="POC28" s="63"/>
      <c r="POD28" s="63"/>
      <c r="POE28" s="63"/>
      <c r="POF28" s="63"/>
      <c r="POG28" s="63"/>
      <c r="POH28" s="54"/>
      <c r="POI28" s="54"/>
      <c r="POJ28" s="54"/>
      <c r="POK28" s="57"/>
      <c r="POL28" s="62"/>
      <c r="POM28" s="63"/>
      <c r="PON28" s="63"/>
      <c r="POO28" s="63"/>
      <c r="POP28" s="63"/>
      <c r="POQ28" s="63"/>
      <c r="POR28" s="63"/>
      <c r="POS28" s="63"/>
      <c r="POT28" s="63"/>
      <c r="POU28" s="63"/>
      <c r="POV28" s="63"/>
      <c r="POW28" s="63"/>
      <c r="POX28" s="54"/>
      <c r="POY28" s="54"/>
      <c r="POZ28" s="54"/>
      <c r="PPA28" s="57"/>
      <c r="PPB28" s="62"/>
      <c r="PPC28" s="63"/>
      <c r="PPD28" s="63"/>
      <c r="PPE28" s="63"/>
      <c r="PPF28" s="63"/>
      <c r="PPG28" s="63"/>
      <c r="PPH28" s="63"/>
      <c r="PPI28" s="63"/>
      <c r="PPJ28" s="63"/>
      <c r="PPK28" s="63"/>
      <c r="PPL28" s="63"/>
      <c r="PPM28" s="63"/>
      <c r="PPN28" s="54"/>
      <c r="PPO28" s="54"/>
      <c r="PPP28" s="54"/>
      <c r="PPQ28" s="57"/>
      <c r="PPR28" s="62"/>
      <c r="PPS28" s="63"/>
      <c r="PPT28" s="63"/>
      <c r="PPU28" s="63"/>
      <c r="PPV28" s="63"/>
      <c r="PPW28" s="63"/>
      <c r="PPX28" s="63"/>
      <c r="PPY28" s="63"/>
      <c r="PPZ28" s="63"/>
      <c r="PQA28" s="63"/>
      <c r="PQB28" s="63"/>
      <c r="PQC28" s="63"/>
      <c r="PQD28" s="54"/>
      <c r="PQE28" s="54"/>
      <c r="PQF28" s="54"/>
      <c r="PQG28" s="57"/>
      <c r="PQH28" s="62"/>
      <c r="PQI28" s="63"/>
      <c r="PQJ28" s="63"/>
      <c r="PQK28" s="63"/>
      <c r="PQL28" s="63"/>
      <c r="PQM28" s="63"/>
      <c r="PQN28" s="63"/>
      <c r="PQO28" s="63"/>
      <c r="PQP28" s="63"/>
      <c r="PQQ28" s="63"/>
      <c r="PQR28" s="63"/>
      <c r="PQS28" s="63"/>
      <c r="PQT28" s="54"/>
      <c r="PQU28" s="54"/>
      <c r="PQV28" s="54"/>
      <c r="PQW28" s="57"/>
      <c r="PQX28" s="62"/>
      <c r="PQY28" s="63"/>
      <c r="PQZ28" s="63"/>
      <c r="PRA28" s="63"/>
      <c r="PRB28" s="63"/>
      <c r="PRC28" s="63"/>
      <c r="PRD28" s="63"/>
      <c r="PRE28" s="63"/>
      <c r="PRF28" s="63"/>
      <c r="PRG28" s="63"/>
      <c r="PRH28" s="63"/>
      <c r="PRI28" s="63"/>
      <c r="PRJ28" s="54"/>
      <c r="PRK28" s="54"/>
      <c r="PRL28" s="54"/>
      <c r="PRM28" s="57"/>
      <c r="PRN28" s="62"/>
      <c r="PRO28" s="63"/>
      <c r="PRP28" s="63"/>
      <c r="PRQ28" s="63"/>
      <c r="PRR28" s="63"/>
      <c r="PRS28" s="63"/>
      <c r="PRT28" s="63"/>
      <c r="PRU28" s="63"/>
      <c r="PRV28" s="63"/>
      <c r="PRW28" s="63"/>
      <c r="PRX28" s="63"/>
      <c r="PRY28" s="63"/>
      <c r="PRZ28" s="54"/>
      <c r="PSA28" s="54"/>
      <c r="PSB28" s="54"/>
      <c r="PSC28" s="57"/>
      <c r="PSD28" s="62"/>
      <c r="PSE28" s="63"/>
      <c r="PSF28" s="63"/>
      <c r="PSG28" s="63"/>
      <c r="PSH28" s="63"/>
      <c r="PSI28" s="63"/>
      <c r="PSJ28" s="63"/>
      <c r="PSK28" s="63"/>
      <c r="PSL28" s="63"/>
      <c r="PSM28" s="63"/>
      <c r="PSN28" s="63"/>
      <c r="PSO28" s="63"/>
      <c r="PSP28" s="54"/>
      <c r="PSQ28" s="54"/>
      <c r="PSR28" s="54"/>
      <c r="PSS28" s="57"/>
      <c r="PST28" s="62"/>
      <c r="PSU28" s="63"/>
      <c r="PSV28" s="63"/>
      <c r="PSW28" s="63"/>
      <c r="PSX28" s="63"/>
      <c r="PSY28" s="63"/>
      <c r="PSZ28" s="63"/>
      <c r="PTA28" s="63"/>
      <c r="PTB28" s="63"/>
      <c r="PTC28" s="63"/>
      <c r="PTD28" s="63"/>
      <c r="PTE28" s="63"/>
      <c r="PTF28" s="54"/>
      <c r="PTG28" s="54"/>
      <c r="PTH28" s="54"/>
      <c r="PTI28" s="57"/>
      <c r="PTJ28" s="62"/>
      <c r="PTK28" s="63"/>
      <c r="PTL28" s="63"/>
      <c r="PTM28" s="63"/>
      <c r="PTN28" s="63"/>
      <c r="PTO28" s="63"/>
      <c r="PTP28" s="63"/>
      <c r="PTQ28" s="63"/>
      <c r="PTR28" s="63"/>
      <c r="PTS28" s="63"/>
      <c r="PTT28" s="63"/>
      <c r="PTU28" s="63"/>
      <c r="PTV28" s="54"/>
      <c r="PTW28" s="54"/>
      <c r="PTX28" s="54"/>
      <c r="PTY28" s="57"/>
      <c r="PTZ28" s="62"/>
      <c r="PUA28" s="63"/>
      <c r="PUB28" s="63"/>
      <c r="PUC28" s="63"/>
      <c r="PUD28" s="63"/>
      <c r="PUE28" s="63"/>
      <c r="PUF28" s="63"/>
      <c r="PUG28" s="63"/>
      <c r="PUH28" s="63"/>
      <c r="PUI28" s="63"/>
      <c r="PUJ28" s="63"/>
      <c r="PUK28" s="63"/>
      <c r="PUL28" s="54"/>
      <c r="PUM28" s="54"/>
      <c r="PUN28" s="54"/>
      <c r="PUO28" s="57"/>
      <c r="PUP28" s="62"/>
      <c r="PUQ28" s="63"/>
      <c r="PUR28" s="63"/>
      <c r="PUS28" s="63"/>
      <c r="PUT28" s="63"/>
      <c r="PUU28" s="63"/>
      <c r="PUV28" s="63"/>
      <c r="PUW28" s="63"/>
      <c r="PUX28" s="63"/>
      <c r="PUY28" s="63"/>
      <c r="PUZ28" s="63"/>
      <c r="PVA28" s="63"/>
      <c r="PVB28" s="54"/>
      <c r="PVC28" s="54"/>
      <c r="PVD28" s="54"/>
      <c r="PVE28" s="57"/>
      <c r="PVF28" s="62"/>
      <c r="PVG28" s="63"/>
      <c r="PVH28" s="63"/>
      <c r="PVI28" s="63"/>
      <c r="PVJ28" s="63"/>
      <c r="PVK28" s="63"/>
      <c r="PVL28" s="63"/>
      <c r="PVM28" s="63"/>
      <c r="PVN28" s="63"/>
      <c r="PVO28" s="63"/>
      <c r="PVP28" s="63"/>
      <c r="PVQ28" s="63"/>
      <c r="PVR28" s="54"/>
      <c r="PVS28" s="54"/>
      <c r="PVT28" s="54"/>
      <c r="PVU28" s="57"/>
      <c r="PVV28" s="62"/>
      <c r="PVW28" s="63"/>
      <c r="PVX28" s="63"/>
      <c r="PVY28" s="63"/>
      <c r="PVZ28" s="63"/>
      <c r="PWA28" s="63"/>
      <c r="PWB28" s="63"/>
      <c r="PWC28" s="63"/>
      <c r="PWD28" s="63"/>
      <c r="PWE28" s="63"/>
      <c r="PWF28" s="63"/>
      <c r="PWG28" s="63"/>
      <c r="PWH28" s="54"/>
      <c r="PWI28" s="54"/>
      <c r="PWJ28" s="54"/>
      <c r="PWK28" s="57"/>
      <c r="PWL28" s="62"/>
      <c r="PWM28" s="63"/>
      <c r="PWN28" s="63"/>
      <c r="PWO28" s="63"/>
      <c r="PWP28" s="63"/>
      <c r="PWQ28" s="63"/>
      <c r="PWR28" s="63"/>
      <c r="PWS28" s="63"/>
      <c r="PWT28" s="63"/>
      <c r="PWU28" s="63"/>
      <c r="PWV28" s="63"/>
      <c r="PWW28" s="63"/>
      <c r="PWX28" s="54"/>
      <c r="PWY28" s="54"/>
      <c r="PWZ28" s="54"/>
      <c r="PXA28" s="57"/>
      <c r="PXB28" s="62"/>
      <c r="PXC28" s="63"/>
      <c r="PXD28" s="63"/>
      <c r="PXE28" s="63"/>
      <c r="PXF28" s="63"/>
      <c r="PXG28" s="63"/>
      <c r="PXH28" s="63"/>
      <c r="PXI28" s="63"/>
      <c r="PXJ28" s="63"/>
      <c r="PXK28" s="63"/>
      <c r="PXL28" s="63"/>
      <c r="PXM28" s="63"/>
      <c r="PXN28" s="54"/>
      <c r="PXO28" s="54"/>
      <c r="PXP28" s="54"/>
      <c r="PXQ28" s="57"/>
      <c r="PXR28" s="62"/>
      <c r="PXS28" s="63"/>
      <c r="PXT28" s="63"/>
      <c r="PXU28" s="63"/>
      <c r="PXV28" s="63"/>
      <c r="PXW28" s="63"/>
      <c r="PXX28" s="63"/>
      <c r="PXY28" s="63"/>
      <c r="PXZ28" s="63"/>
      <c r="PYA28" s="63"/>
      <c r="PYB28" s="63"/>
      <c r="PYC28" s="63"/>
      <c r="PYD28" s="54"/>
      <c r="PYE28" s="54"/>
      <c r="PYF28" s="54"/>
      <c r="PYG28" s="57"/>
      <c r="PYH28" s="62"/>
      <c r="PYI28" s="63"/>
      <c r="PYJ28" s="63"/>
      <c r="PYK28" s="63"/>
      <c r="PYL28" s="63"/>
      <c r="PYM28" s="63"/>
      <c r="PYN28" s="63"/>
      <c r="PYO28" s="63"/>
      <c r="PYP28" s="63"/>
      <c r="PYQ28" s="63"/>
      <c r="PYR28" s="63"/>
      <c r="PYS28" s="63"/>
      <c r="PYT28" s="54"/>
      <c r="PYU28" s="54"/>
      <c r="PYV28" s="54"/>
      <c r="PYW28" s="57"/>
      <c r="PYX28" s="62"/>
      <c r="PYY28" s="63"/>
      <c r="PYZ28" s="63"/>
      <c r="PZA28" s="63"/>
      <c r="PZB28" s="63"/>
      <c r="PZC28" s="63"/>
      <c r="PZD28" s="63"/>
      <c r="PZE28" s="63"/>
      <c r="PZF28" s="63"/>
      <c r="PZG28" s="63"/>
      <c r="PZH28" s="63"/>
      <c r="PZI28" s="63"/>
      <c r="PZJ28" s="54"/>
      <c r="PZK28" s="54"/>
      <c r="PZL28" s="54"/>
      <c r="PZM28" s="57"/>
      <c r="PZN28" s="62"/>
      <c r="PZO28" s="63"/>
      <c r="PZP28" s="63"/>
      <c r="PZQ28" s="63"/>
      <c r="PZR28" s="63"/>
      <c r="PZS28" s="63"/>
      <c r="PZT28" s="63"/>
      <c r="PZU28" s="63"/>
      <c r="PZV28" s="63"/>
      <c r="PZW28" s="63"/>
      <c r="PZX28" s="63"/>
      <c r="PZY28" s="63"/>
      <c r="PZZ28" s="54"/>
      <c r="QAA28" s="54"/>
      <c r="QAB28" s="54"/>
      <c r="QAC28" s="57"/>
      <c r="QAD28" s="62"/>
      <c r="QAE28" s="63"/>
      <c r="QAF28" s="63"/>
      <c r="QAG28" s="63"/>
      <c r="QAH28" s="63"/>
      <c r="QAI28" s="63"/>
      <c r="QAJ28" s="63"/>
      <c r="QAK28" s="63"/>
      <c r="QAL28" s="63"/>
      <c r="QAM28" s="63"/>
      <c r="QAN28" s="63"/>
      <c r="QAO28" s="63"/>
      <c r="QAP28" s="54"/>
      <c r="QAQ28" s="54"/>
      <c r="QAR28" s="54"/>
      <c r="QAS28" s="57"/>
      <c r="QAT28" s="62"/>
      <c r="QAU28" s="63"/>
      <c r="QAV28" s="63"/>
      <c r="QAW28" s="63"/>
      <c r="QAX28" s="63"/>
      <c r="QAY28" s="63"/>
      <c r="QAZ28" s="63"/>
      <c r="QBA28" s="63"/>
      <c r="QBB28" s="63"/>
      <c r="QBC28" s="63"/>
      <c r="QBD28" s="63"/>
      <c r="QBE28" s="63"/>
      <c r="QBF28" s="54"/>
      <c r="QBG28" s="54"/>
      <c r="QBH28" s="54"/>
      <c r="QBI28" s="57"/>
      <c r="QBJ28" s="62"/>
      <c r="QBK28" s="63"/>
      <c r="QBL28" s="63"/>
      <c r="QBM28" s="63"/>
      <c r="QBN28" s="63"/>
      <c r="QBO28" s="63"/>
      <c r="QBP28" s="63"/>
      <c r="QBQ28" s="63"/>
      <c r="QBR28" s="63"/>
      <c r="QBS28" s="63"/>
      <c r="QBT28" s="63"/>
      <c r="QBU28" s="63"/>
      <c r="QBV28" s="54"/>
      <c r="QBW28" s="54"/>
      <c r="QBX28" s="54"/>
      <c r="QBY28" s="57"/>
      <c r="QBZ28" s="62"/>
      <c r="QCA28" s="63"/>
      <c r="QCB28" s="63"/>
      <c r="QCC28" s="63"/>
      <c r="QCD28" s="63"/>
      <c r="QCE28" s="63"/>
      <c r="QCF28" s="63"/>
      <c r="QCG28" s="63"/>
      <c r="QCH28" s="63"/>
      <c r="QCI28" s="63"/>
      <c r="QCJ28" s="63"/>
      <c r="QCK28" s="63"/>
      <c r="QCL28" s="54"/>
      <c r="QCM28" s="54"/>
      <c r="QCN28" s="54"/>
      <c r="QCO28" s="57"/>
      <c r="QCP28" s="62"/>
      <c r="QCQ28" s="63"/>
      <c r="QCR28" s="63"/>
      <c r="QCS28" s="63"/>
      <c r="QCT28" s="63"/>
      <c r="QCU28" s="63"/>
      <c r="QCV28" s="63"/>
      <c r="QCW28" s="63"/>
      <c r="QCX28" s="63"/>
      <c r="QCY28" s="63"/>
      <c r="QCZ28" s="63"/>
      <c r="QDA28" s="63"/>
      <c r="QDB28" s="54"/>
      <c r="QDC28" s="54"/>
      <c r="QDD28" s="54"/>
      <c r="QDE28" s="57"/>
      <c r="QDF28" s="62"/>
      <c r="QDG28" s="63"/>
      <c r="QDH28" s="63"/>
      <c r="QDI28" s="63"/>
      <c r="QDJ28" s="63"/>
      <c r="QDK28" s="63"/>
      <c r="QDL28" s="63"/>
      <c r="QDM28" s="63"/>
      <c r="QDN28" s="63"/>
      <c r="QDO28" s="63"/>
      <c r="QDP28" s="63"/>
      <c r="QDQ28" s="63"/>
      <c r="QDR28" s="54"/>
      <c r="QDS28" s="54"/>
      <c r="QDT28" s="54"/>
      <c r="QDU28" s="57"/>
      <c r="QDV28" s="62"/>
      <c r="QDW28" s="63"/>
      <c r="QDX28" s="63"/>
      <c r="QDY28" s="63"/>
      <c r="QDZ28" s="63"/>
      <c r="QEA28" s="63"/>
      <c r="QEB28" s="63"/>
      <c r="QEC28" s="63"/>
      <c r="QED28" s="63"/>
      <c r="QEE28" s="63"/>
      <c r="QEF28" s="63"/>
      <c r="QEG28" s="63"/>
      <c r="QEH28" s="54"/>
      <c r="QEI28" s="54"/>
      <c r="QEJ28" s="54"/>
      <c r="QEK28" s="57"/>
      <c r="QEL28" s="62"/>
      <c r="QEM28" s="63"/>
      <c r="QEN28" s="63"/>
      <c r="QEO28" s="63"/>
      <c r="QEP28" s="63"/>
      <c r="QEQ28" s="63"/>
      <c r="QER28" s="63"/>
      <c r="QES28" s="63"/>
      <c r="QET28" s="63"/>
      <c r="QEU28" s="63"/>
      <c r="QEV28" s="63"/>
      <c r="QEW28" s="63"/>
      <c r="QEX28" s="54"/>
      <c r="QEY28" s="54"/>
      <c r="QEZ28" s="54"/>
      <c r="QFA28" s="57"/>
      <c r="QFB28" s="62"/>
      <c r="QFC28" s="63"/>
      <c r="QFD28" s="63"/>
      <c r="QFE28" s="63"/>
      <c r="QFF28" s="63"/>
      <c r="QFG28" s="63"/>
      <c r="QFH28" s="63"/>
      <c r="QFI28" s="63"/>
      <c r="QFJ28" s="63"/>
      <c r="QFK28" s="63"/>
      <c r="QFL28" s="63"/>
      <c r="QFM28" s="63"/>
      <c r="QFN28" s="54"/>
      <c r="QFO28" s="54"/>
      <c r="QFP28" s="54"/>
      <c r="QFQ28" s="57"/>
      <c r="QFR28" s="62"/>
      <c r="QFS28" s="63"/>
      <c r="QFT28" s="63"/>
      <c r="QFU28" s="63"/>
      <c r="QFV28" s="63"/>
      <c r="QFW28" s="63"/>
      <c r="QFX28" s="63"/>
      <c r="QFY28" s="63"/>
      <c r="QFZ28" s="63"/>
      <c r="QGA28" s="63"/>
      <c r="QGB28" s="63"/>
      <c r="QGC28" s="63"/>
      <c r="QGD28" s="54"/>
      <c r="QGE28" s="54"/>
      <c r="QGF28" s="54"/>
      <c r="QGG28" s="57"/>
      <c r="QGH28" s="62"/>
      <c r="QGI28" s="63"/>
      <c r="QGJ28" s="63"/>
      <c r="QGK28" s="63"/>
      <c r="QGL28" s="63"/>
      <c r="QGM28" s="63"/>
      <c r="QGN28" s="63"/>
      <c r="QGO28" s="63"/>
      <c r="QGP28" s="63"/>
      <c r="QGQ28" s="63"/>
      <c r="QGR28" s="63"/>
      <c r="QGS28" s="63"/>
      <c r="QGT28" s="54"/>
      <c r="QGU28" s="54"/>
      <c r="QGV28" s="54"/>
      <c r="QGW28" s="57"/>
      <c r="QGX28" s="62"/>
      <c r="QGY28" s="63"/>
      <c r="QGZ28" s="63"/>
      <c r="QHA28" s="63"/>
      <c r="QHB28" s="63"/>
      <c r="QHC28" s="63"/>
      <c r="QHD28" s="63"/>
      <c r="QHE28" s="63"/>
      <c r="QHF28" s="63"/>
      <c r="QHG28" s="63"/>
      <c r="QHH28" s="63"/>
      <c r="QHI28" s="63"/>
      <c r="QHJ28" s="54"/>
      <c r="QHK28" s="54"/>
      <c r="QHL28" s="54"/>
      <c r="QHM28" s="57"/>
      <c r="QHN28" s="62"/>
      <c r="QHO28" s="63"/>
      <c r="QHP28" s="63"/>
      <c r="QHQ28" s="63"/>
      <c r="QHR28" s="63"/>
      <c r="QHS28" s="63"/>
      <c r="QHT28" s="63"/>
      <c r="QHU28" s="63"/>
      <c r="QHV28" s="63"/>
      <c r="QHW28" s="63"/>
      <c r="QHX28" s="63"/>
      <c r="QHY28" s="63"/>
      <c r="QHZ28" s="54"/>
      <c r="QIA28" s="54"/>
      <c r="QIB28" s="54"/>
      <c r="QIC28" s="57"/>
      <c r="QID28" s="62"/>
      <c r="QIE28" s="63"/>
      <c r="QIF28" s="63"/>
      <c r="QIG28" s="63"/>
      <c r="QIH28" s="63"/>
      <c r="QII28" s="63"/>
      <c r="QIJ28" s="63"/>
      <c r="QIK28" s="63"/>
      <c r="QIL28" s="63"/>
      <c r="QIM28" s="63"/>
      <c r="QIN28" s="63"/>
      <c r="QIO28" s="63"/>
      <c r="QIP28" s="54"/>
      <c r="QIQ28" s="54"/>
      <c r="QIR28" s="54"/>
      <c r="QIS28" s="57"/>
      <c r="QIT28" s="62"/>
      <c r="QIU28" s="63"/>
      <c r="QIV28" s="63"/>
      <c r="QIW28" s="63"/>
      <c r="QIX28" s="63"/>
      <c r="QIY28" s="63"/>
      <c r="QIZ28" s="63"/>
      <c r="QJA28" s="63"/>
      <c r="QJB28" s="63"/>
      <c r="QJC28" s="63"/>
      <c r="QJD28" s="63"/>
      <c r="QJE28" s="63"/>
      <c r="QJF28" s="54"/>
      <c r="QJG28" s="54"/>
      <c r="QJH28" s="54"/>
      <c r="QJI28" s="57"/>
      <c r="QJJ28" s="62"/>
      <c r="QJK28" s="63"/>
      <c r="QJL28" s="63"/>
      <c r="QJM28" s="63"/>
      <c r="QJN28" s="63"/>
      <c r="QJO28" s="63"/>
      <c r="QJP28" s="63"/>
      <c r="QJQ28" s="63"/>
      <c r="QJR28" s="63"/>
      <c r="QJS28" s="63"/>
      <c r="QJT28" s="63"/>
      <c r="QJU28" s="63"/>
      <c r="QJV28" s="54"/>
      <c r="QJW28" s="54"/>
      <c r="QJX28" s="54"/>
      <c r="QJY28" s="57"/>
      <c r="QJZ28" s="62"/>
      <c r="QKA28" s="63"/>
      <c r="QKB28" s="63"/>
      <c r="QKC28" s="63"/>
      <c r="QKD28" s="63"/>
      <c r="QKE28" s="63"/>
      <c r="QKF28" s="63"/>
      <c r="QKG28" s="63"/>
      <c r="QKH28" s="63"/>
      <c r="QKI28" s="63"/>
      <c r="QKJ28" s="63"/>
      <c r="QKK28" s="63"/>
      <c r="QKL28" s="54"/>
      <c r="QKM28" s="54"/>
      <c r="QKN28" s="54"/>
      <c r="QKO28" s="57"/>
      <c r="QKP28" s="62"/>
      <c r="QKQ28" s="63"/>
      <c r="QKR28" s="63"/>
      <c r="QKS28" s="63"/>
      <c r="QKT28" s="63"/>
      <c r="QKU28" s="63"/>
      <c r="QKV28" s="63"/>
      <c r="QKW28" s="63"/>
      <c r="QKX28" s="63"/>
      <c r="QKY28" s="63"/>
      <c r="QKZ28" s="63"/>
      <c r="QLA28" s="63"/>
      <c r="QLB28" s="54"/>
      <c r="QLC28" s="54"/>
      <c r="QLD28" s="54"/>
      <c r="QLE28" s="57"/>
      <c r="QLF28" s="62"/>
      <c r="QLG28" s="63"/>
      <c r="QLH28" s="63"/>
      <c r="QLI28" s="63"/>
      <c r="QLJ28" s="63"/>
      <c r="QLK28" s="63"/>
      <c r="QLL28" s="63"/>
      <c r="QLM28" s="63"/>
      <c r="QLN28" s="63"/>
      <c r="QLO28" s="63"/>
      <c r="QLP28" s="63"/>
      <c r="QLQ28" s="63"/>
      <c r="QLR28" s="54"/>
      <c r="QLS28" s="54"/>
      <c r="QLT28" s="54"/>
      <c r="QLU28" s="57"/>
      <c r="QLV28" s="62"/>
      <c r="QLW28" s="63"/>
      <c r="QLX28" s="63"/>
      <c r="QLY28" s="63"/>
      <c r="QLZ28" s="63"/>
      <c r="QMA28" s="63"/>
      <c r="QMB28" s="63"/>
      <c r="QMC28" s="63"/>
      <c r="QMD28" s="63"/>
      <c r="QME28" s="63"/>
      <c r="QMF28" s="63"/>
      <c r="QMG28" s="63"/>
      <c r="QMH28" s="54"/>
      <c r="QMI28" s="54"/>
      <c r="QMJ28" s="54"/>
      <c r="QMK28" s="57"/>
      <c r="QML28" s="62"/>
      <c r="QMM28" s="63"/>
      <c r="QMN28" s="63"/>
      <c r="QMO28" s="63"/>
      <c r="QMP28" s="63"/>
      <c r="QMQ28" s="63"/>
      <c r="QMR28" s="63"/>
      <c r="QMS28" s="63"/>
      <c r="QMT28" s="63"/>
      <c r="QMU28" s="63"/>
      <c r="QMV28" s="63"/>
      <c r="QMW28" s="63"/>
      <c r="QMX28" s="54"/>
      <c r="QMY28" s="54"/>
      <c r="QMZ28" s="54"/>
      <c r="QNA28" s="57"/>
      <c r="QNB28" s="62"/>
      <c r="QNC28" s="63"/>
      <c r="QND28" s="63"/>
      <c r="QNE28" s="63"/>
      <c r="QNF28" s="63"/>
      <c r="QNG28" s="63"/>
      <c r="QNH28" s="63"/>
      <c r="QNI28" s="63"/>
      <c r="QNJ28" s="63"/>
      <c r="QNK28" s="63"/>
      <c r="QNL28" s="63"/>
      <c r="QNM28" s="63"/>
      <c r="QNN28" s="54"/>
      <c r="QNO28" s="54"/>
      <c r="QNP28" s="54"/>
      <c r="QNQ28" s="57"/>
      <c r="QNR28" s="62"/>
      <c r="QNS28" s="63"/>
      <c r="QNT28" s="63"/>
      <c r="QNU28" s="63"/>
      <c r="QNV28" s="63"/>
      <c r="QNW28" s="63"/>
      <c r="QNX28" s="63"/>
      <c r="QNY28" s="63"/>
      <c r="QNZ28" s="63"/>
      <c r="QOA28" s="63"/>
      <c r="QOB28" s="63"/>
      <c r="QOC28" s="63"/>
      <c r="QOD28" s="54"/>
      <c r="QOE28" s="54"/>
      <c r="QOF28" s="54"/>
      <c r="QOG28" s="57"/>
      <c r="QOH28" s="62"/>
      <c r="QOI28" s="63"/>
      <c r="QOJ28" s="63"/>
      <c r="QOK28" s="63"/>
      <c r="QOL28" s="63"/>
      <c r="QOM28" s="63"/>
      <c r="QON28" s="63"/>
      <c r="QOO28" s="63"/>
      <c r="QOP28" s="63"/>
      <c r="QOQ28" s="63"/>
      <c r="QOR28" s="63"/>
      <c r="QOS28" s="63"/>
      <c r="QOT28" s="54"/>
      <c r="QOU28" s="54"/>
      <c r="QOV28" s="54"/>
      <c r="QOW28" s="57"/>
      <c r="QOX28" s="62"/>
      <c r="QOY28" s="63"/>
      <c r="QOZ28" s="63"/>
      <c r="QPA28" s="63"/>
      <c r="QPB28" s="63"/>
      <c r="QPC28" s="63"/>
      <c r="QPD28" s="63"/>
      <c r="QPE28" s="63"/>
      <c r="QPF28" s="63"/>
      <c r="QPG28" s="63"/>
      <c r="QPH28" s="63"/>
      <c r="QPI28" s="63"/>
      <c r="QPJ28" s="54"/>
      <c r="QPK28" s="54"/>
      <c r="QPL28" s="54"/>
      <c r="QPM28" s="57"/>
      <c r="QPN28" s="62"/>
      <c r="QPO28" s="63"/>
      <c r="QPP28" s="63"/>
      <c r="QPQ28" s="63"/>
      <c r="QPR28" s="63"/>
      <c r="QPS28" s="63"/>
      <c r="QPT28" s="63"/>
      <c r="QPU28" s="63"/>
      <c r="QPV28" s="63"/>
      <c r="QPW28" s="63"/>
      <c r="QPX28" s="63"/>
      <c r="QPY28" s="63"/>
      <c r="QPZ28" s="54"/>
      <c r="QQA28" s="54"/>
      <c r="QQB28" s="54"/>
      <c r="QQC28" s="57"/>
      <c r="QQD28" s="62"/>
      <c r="QQE28" s="63"/>
      <c r="QQF28" s="63"/>
      <c r="QQG28" s="63"/>
      <c r="QQH28" s="63"/>
      <c r="QQI28" s="63"/>
      <c r="QQJ28" s="63"/>
      <c r="QQK28" s="63"/>
      <c r="QQL28" s="63"/>
      <c r="QQM28" s="63"/>
      <c r="QQN28" s="63"/>
      <c r="QQO28" s="63"/>
      <c r="QQP28" s="54"/>
      <c r="QQQ28" s="54"/>
      <c r="QQR28" s="54"/>
      <c r="QQS28" s="57"/>
      <c r="QQT28" s="62"/>
      <c r="QQU28" s="63"/>
      <c r="QQV28" s="63"/>
      <c r="QQW28" s="63"/>
      <c r="QQX28" s="63"/>
      <c r="QQY28" s="63"/>
      <c r="QQZ28" s="63"/>
      <c r="QRA28" s="63"/>
      <c r="QRB28" s="63"/>
      <c r="QRC28" s="63"/>
      <c r="QRD28" s="63"/>
      <c r="QRE28" s="63"/>
      <c r="QRF28" s="54"/>
      <c r="QRG28" s="54"/>
      <c r="QRH28" s="54"/>
      <c r="QRI28" s="57"/>
      <c r="QRJ28" s="62"/>
      <c r="QRK28" s="63"/>
      <c r="QRL28" s="63"/>
      <c r="QRM28" s="63"/>
      <c r="QRN28" s="63"/>
      <c r="QRO28" s="63"/>
      <c r="QRP28" s="63"/>
      <c r="QRQ28" s="63"/>
      <c r="QRR28" s="63"/>
      <c r="QRS28" s="63"/>
      <c r="QRT28" s="63"/>
      <c r="QRU28" s="63"/>
      <c r="QRV28" s="54"/>
      <c r="QRW28" s="54"/>
      <c r="QRX28" s="54"/>
      <c r="QRY28" s="57"/>
      <c r="QRZ28" s="62"/>
      <c r="QSA28" s="63"/>
      <c r="QSB28" s="63"/>
      <c r="QSC28" s="63"/>
      <c r="QSD28" s="63"/>
      <c r="QSE28" s="63"/>
      <c r="QSF28" s="63"/>
      <c r="QSG28" s="63"/>
      <c r="QSH28" s="63"/>
      <c r="QSI28" s="63"/>
      <c r="QSJ28" s="63"/>
      <c r="QSK28" s="63"/>
      <c r="QSL28" s="54"/>
      <c r="QSM28" s="54"/>
      <c r="QSN28" s="54"/>
      <c r="QSO28" s="57"/>
      <c r="QSP28" s="62"/>
      <c r="QSQ28" s="63"/>
      <c r="QSR28" s="63"/>
      <c r="QSS28" s="63"/>
      <c r="QST28" s="63"/>
      <c r="QSU28" s="63"/>
      <c r="QSV28" s="63"/>
      <c r="QSW28" s="63"/>
      <c r="QSX28" s="63"/>
      <c r="QSY28" s="63"/>
      <c r="QSZ28" s="63"/>
      <c r="QTA28" s="63"/>
      <c r="QTB28" s="54"/>
      <c r="QTC28" s="54"/>
      <c r="QTD28" s="54"/>
      <c r="QTE28" s="57"/>
      <c r="QTF28" s="62"/>
      <c r="QTG28" s="63"/>
      <c r="QTH28" s="63"/>
      <c r="QTI28" s="63"/>
      <c r="QTJ28" s="63"/>
      <c r="QTK28" s="63"/>
      <c r="QTL28" s="63"/>
      <c r="QTM28" s="63"/>
      <c r="QTN28" s="63"/>
      <c r="QTO28" s="63"/>
      <c r="QTP28" s="63"/>
      <c r="QTQ28" s="63"/>
      <c r="QTR28" s="54"/>
      <c r="QTS28" s="54"/>
      <c r="QTT28" s="54"/>
      <c r="QTU28" s="57"/>
      <c r="QTV28" s="62"/>
      <c r="QTW28" s="63"/>
      <c r="QTX28" s="63"/>
      <c r="QTY28" s="63"/>
      <c r="QTZ28" s="63"/>
      <c r="QUA28" s="63"/>
      <c r="QUB28" s="63"/>
      <c r="QUC28" s="63"/>
      <c r="QUD28" s="63"/>
      <c r="QUE28" s="63"/>
      <c r="QUF28" s="63"/>
      <c r="QUG28" s="63"/>
      <c r="QUH28" s="54"/>
      <c r="QUI28" s="54"/>
      <c r="QUJ28" s="54"/>
      <c r="QUK28" s="57"/>
      <c r="QUL28" s="62"/>
      <c r="QUM28" s="63"/>
      <c r="QUN28" s="63"/>
      <c r="QUO28" s="63"/>
      <c r="QUP28" s="63"/>
      <c r="QUQ28" s="63"/>
      <c r="QUR28" s="63"/>
      <c r="QUS28" s="63"/>
      <c r="QUT28" s="63"/>
      <c r="QUU28" s="63"/>
      <c r="QUV28" s="63"/>
      <c r="QUW28" s="63"/>
      <c r="QUX28" s="54"/>
      <c r="QUY28" s="54"/>
      <c r="QUZ28" s="54"/>
      <c r="QVA28" s="57"/>
      <c r="QVB28" s="62"/>
      <c r="QVC28" s="63"/>
      <c r="QVD28" s="63"/>
      <c r="QVE28" s="63"/>
      <c r="QVF28" s="63"/>
      <c r="QVG28" s="63"/>
      <c r="QVH28" s="63"/>
      <c r="QVI28" s="63"/>
      <c r="QVJ28" s="63"/>
      <c r="QVK28" s="63"/>
      <c r="QVL28" s="63"/>
      <c r="QVM28" s="63"/>
      <c r="QVN28" s="54"/>
      <c r="QVO28" s="54"/>
      <c r="QVP28" s="54"/>
      <c r="QVQ28" s="57"/>
      <c r="QVR28" s="62"/>
      <c r="QVS28" s="63"/>
      <c r="QVT28" s="63"/>
      <c r="QVU28" s="63"/>
      <c r="QVV28" s="63"/>
      <c r="QVW28" s="63"/>
      <c r="QVX28" s="63"/>
      <c r="QVY28" s="63"/>
      <c r="QVZ28" s="63"/>
      <c r="QWA28" s="63"/>
      <c r="QWB28" s="63"/>
      <c r="QWC28" s="63"/>
      <c r="QWD28" s="54"/>
      <c r="QWE28" s="54"/>
      <c r="QWF28" s="54"/>
      <c r="QWG28" s="57"/>
      <c r="QWH28" s="62"/>
      <c r="QWI28" s="63"/>
      <c r="QWJ28" s="63"/>
      <c r="QWK28" s="63"/>
      <c r="QWL28" s="63"/>
      <c r="QWM28" s="63"/>
      <c r="QWN28" s="63"/>
      <c r="QWO28" s="63"/>
      <c r="QWP28" s="63"/>
      <c r="QWQ28" s="63"/>
      <c r="QWR28" s="63"/>
      <c r="QWS28" s="63"/>
      <c r="QWT28" s="54"/>
      <c r="QWU28" s="54"/>
      <c r="QWV28" s="54"/>
      <c r="QWW28" s="57"/>
      <c r="QWX28" s="62"/>
      <c r="QWY28" s="63"/>
      <c r="QWZ28" s="63"/>
      <c r="QXA28" s="63"/>
      <c r="QXB28" s="63"/>
      <c r="QXC28" s="63"/>
      <c r="QXD28" s="63"/>
      <c r="QXE28" s="63"/>
      <c r="QXF28" s="63"/>
      <c r="QXG28" s="63"/>
      <c r="QXH28" s="63"/>
      <c r="QXI28" s="63"/>
      <c r="QXJ28" s="54"/>
      <c r="QXK28" s="54"/>
      <c r="QXL28" s="54"/>
      <c r="QXM28" s="57"/>
      <c r="QXN28" s="62"/>
      <c r="QXO28" s="63"/>
      <c r="QXP28" s="63"/>
      <c r="QXQ28" s="63"/>
      <c r="QXR28" s="63"/>
      <c r="QXS28" s="63"/>
      <c r="QXT28" s="63"/>
      <c r="QXU28" s="63"/>
      <c r="QXV28" s="63"/>
      <c r="QXW28" s="63"/>
      <c r="QXX28" s="63"/>
      <c r="QXY28" s="63"/>
      <c r="QXZ28" s="54"/>
      <c r="QYA28" s="54"/>
      <c r="QYB28" s="54"/>
      <c r="QYC28" s="57"/>
      <c r="QYD28" s="62"/>
      <c r="QYE28" s="63"/>
      <c r="QYF28" s="63"/>
      <c r="QYG28" s="63"/>
      <c r="QYH28" s="63"/>
      <c r="QYI28" s="63"/>
      <c r="QYJ28" s="63"/>
      <c r="QYK28" s="63"/>
      <c r="QYL28" s="63"/>
      <c r="QYM28" s="63"/>
      <c r="QYN28" s="63"/>
      <c r="QYO28" s="63"/>
      <c r="QYP28" s="54"/>
      <c r="QYQ28" s="54"/>
      <c r="QYR28" s="54"/>
      <c r="QYS28" s="57"/>
      <c r="QYT28" s="62"/>
      <c r="QYU28" s="63"/>
      <c r="QYV28" s="63"/>
      <c r="QYW28" s="63"/>
      <c r="QYX28" s="63"/>
      <c r="QYY28" s="63"/>
      <c r="QYZ28" s="63"/>
      <c r="QZA28" s="63"/>
      <c r="QZB28" s="63"/>
      <c r="QZC28" s="63"/>
      <c r="QZD28" s="63"/>
      <c r="QZE28" s="63"/>
      <c r="QZF28" s="54"/>
      <c r="QZG28" s="54"/>
      <c r="QZH28" s="54"/>
      <c r="QZI28" s="57"/>
      <c r="QZJ28" s="62"/>
      <c r="QZK28" s="63"/>
      <c r="QZL28" s="63"/>
      <c r="QZM28" s="63"/>
      <c r="QZN28" s="63"/>
      <c r="QZO28" s="63"/>
      <c r="QZP28" s="63"/>
      <c r="QZQ28" s="63"/>
      <c r="QZR28" s="63"/>
      <c r="QZS28" s="63"/>
      <c r="QZT28" s="63"/>
      <c r="QZU28" s="63"/>
      <c r="QZV28" s="54"/>
      <c r="QZW28" s="54"/>
      <c r="QZX28" s="54"/>
      <c r="QZY28" s="57"/>
      <c r="QZZ28" s="62"/>
      <c r="RAA28" s="63"/>
      <c r="RAB28" s="63"/>
      <c r="RAC28" s="63"/>
      <c r="RAD28" s="63"/>
      <c r="RAE28" s="63"/>
      <c r="RAF28" s="63"/>
      <c r="RAG28" s="63"/>
      <c r="RAH28" s="63"/>
      <c r="RAI28" s="63"/>
      <c r="RAJ28" s="63"/>
      <c r="RAK28" s="63"/>
      <c r="RAL28" s="54"/>
      <c r="RAM28" s="54"/>
      <c r="RAN28" s="54"/>
      <c r="RAO28" s="57"/>
      <c r="RAP28" s="62"/>
      <c r="RAQ28" s="63"/>
      <c r="RAR28" s="63"/>
      <c r="RAS28" s="63"/>
      <c r="RAT28" s="63"/>
      <c r="RAU28" s="63"/>
      <c r="RAV28" s="63"/>
      <c r="RAW28" s="63"/>
      <c r="RAX28" s="63"/>
      <c r="RAY28" s="63"/>
      <c r="RAZ28" s="63"/>
      <c r="RBA28" s="63"/>
      <c r="RBB28" s="54"/>
      <c r="RBC28" s="54"/>
      <c r="RBD28" s="54"/>
      <c r="RBE28" s="57"/>
      <c r="RBF28" s="62"/>
      <c r="RBG28" s="63"/>
      <c r="RBH28" s="63"/>
      <c r="RBI28" s="63"/>
      <c r="RBJ28" s="63"/>
      <c r="RBK28" s="63"/>
      <c r="RBL28" s="63"/>
      <c r="RBM28" s="63"/>
      <c r="RBN28" s="63"/>
      <c r="RBO28" s="63"/>
      <c r="RBP28" s="63"/>
      <c r="RBQ28" s="63"/>
      <c r="RBR28" s="54"/>
      <c r="RBS28" s="54"/>
      <c r="RBT28" s="54"/>
      <c r="RBU28" s="57"/>
      <c r="RBV28" s="62"/>
      <c r="RBW28" s="63"/>
      <c r="RBX28" s="63"/>
      <c r="RBY28" s="63"/>
      <c r="RBZ28" s="63"/>
      <c r="RCA28" s="63"/>
      <c r="RCB28" s="63"/>
      <c r="RCC28" s="63"/>
      <c r="RCD28" s="63"/>
      <c r="RCE28" s="63"/>
      <c r="RCF28" s="63"/>
      <c r="RCG28" s="63"/>
      <c r="RCH28" s="54"/>
      <c r="RCI28" s="54"/>
      <c r="RCJ28" s="54"/>
      <c r="RCK28" s="57"/>
      <c r="RCL28" s="62"/>
      <c r="RCM28" s="63"/>
      <c r="RCN28" s="63"/>
      <c r="RCO28" s="63"/>
      <c r="RCP28" s="63"/>
      <c r="RCQ28" s="63"/>
      <c r="RCR28" s="63"/>
      <c r="RCS28" s="63"/>
      <c r="RCT28" s="63"/>
      <c r="RCU28" s="63"/>
      <c r="RCV28" s="63"/>
      <c r="RCW28" s="63"/>
      <c r="RCX28" s="54"/>
      <c r="RCY28" s="54"/>
      <c r="RCZ28" s="54"/>
      <c r="RDA28" s="57"/>
      <c r="RDB28" s="62"/>
      <c r="RDC28" s="63"/>
      <c r="RDD28" s="63"/>
      <c r="RDE28" s="63"/>
      <c r="RDF28" s="63"/>
      <c r="RDG28" s="63"/>
      <c r="RDH28" s="63"/>
      <c r="RDI28" s="63"/>
      <c r="RDJ28" s="63"/>
      <c r="RDK28" s="63"/>
      <c r="RDL28" s="63"/>
      <c r="RDM28" s="63"/>
      <c r="RDN28" s="54"/>
      <c r="RDO28" s="54"/>
      <c r="RDP28" s="54"/>
      <c r="RDQ28" s="57"/>
      <c r="RDR28" s="62"/>
      <c r="RDS28" s="63"/>
      <c r="RDT28" s="63"/>
      <c r="RDU28" s="63"/>
      <c r="RDV28" s="63"/>
      <c r="RDW28" s="63"/>
      <c r="RDX28" s="63"/>
      <c r="RDY28" s="63"/>
      <c r="RDZ28" s="63"/>
      <c r="REA28" s="63"/>
      <c r="REB28" s="63"/>
      <c r="REC28" s="63"/>
      <c r="RED28" s="54"/>
      <c r="REE28" s="54"/>
      <c r="REF28" s="54"/>
      <c r="REG28" s="57"/>
      <c r="REH28" s="62"/>
      <c r="REI28" s="63"/>
      <c r="REJ28" s="63"/>
      <c r="REK28" s="63"/>
      <c r="REL28" s="63"/>
      <c r="REM28" s="63"/>
      <c r="REN28" s="63"/>
      <c r="REO28" s="63"/>
      <c r="REP28" s="63"/>
      <c r="REQ28" s="63"/>
      <c r="RER28" s="63"/>
      <c r="RES28" s="63"/>
      <c r="RET28" s="54"/>
      <c r="REU28" s="54"/>
      <c r="REV28" s="54"/>
      <c r="REW28" s="57"/>
      <c r="REX28" s="62"/>
      <c r="REY28" s="63"/>
      <c r="REZ28" s="63"/>
      <c r="RFA28" s="63"/>
      <c r="RFB28" s="63"/>
      <c r="RFC28" s="63"/>
      <c r="RFD28" s="63"/>
      <c r="RFE28" s="63"/>
      <c r="RFF28" s="63"/>
      <c r="RFG28" s="63"/>
      <c r="RFH28" s="63"/>
      <c r="RFI28" s="63"/>
      <c r="RFJ28" s="54"/>
      <c r="RFK28" s="54"/>
      <c r="RFL28" s="54"/>
      <c r="RFM28" s="57"/>
      <c r="RFN28" s="62"/>
      <c r="RFO28" s="63"/>
      <c r="RFP28" s="63"/>
      <c r="RFQ28" s="63"/>
      <c r="RFR28" s="63"/>
      <c r="RFS28" s="63"/>
      <c r="RFT28" s="63"/>
      <c r="RFU28" s="63"/>
      <c r="RFV28" s="63"/>
      <c r="RFW28" s="63"/>
      <c r="RFX28" s="63"/>
      <c r="RFY28" s="63"/>
      <c r="RFZ28" s="54"/>
      <c r="RGA28" s="54"/>
      <c r="RGB28" s="54"/>
      <c r="RGC28" s="57"/>
      <c r="RGD28" s="62"/>
      <c r="RGE28" s="63"/>
      <c r="RGF28" s="63"/>
      <c r="RGG28" s="63"/>
      <c r="RGH28" s="63"/>
      <c r="RGI28" s="63"/>
      <c r="RGJ28" s="63"/>
      <c r="RGK28" s="63"/>
      <c r="RGL28" s="63"/>
      <c r="RGM28" s="63"/>
      <c r="RGN28" s="63"/>
      <c r="RGO28" s="63"/>
      <c r="RGP28" s="54"/>
      <c r="RGQ28" s="54"/>
      <c r="RGR28" s="54"/>
      <c r="RGS28" s="57"/>
      <c r="RGT28" s="62"/>
      <c r="RGU28" s="63"/>
      <c r="RGV28" s="63"/>
      <c r="RGW28" s="63"/>
      <c r="RGX28" s="63"/>
      <c r="RGY28" s="63"/>
      <c r="RGZ28" s="63"/>
      <c r="RHA28" s="63"/>
      <c r="RHB28" s="63"/>
      <c r="RHC28" s="63"/>
      <c r="RHD28" s="63"/>
      <c r="RHE28" s="63"/>
      <c r="RHF28" s="54"/>
      <c r="RHG28" s="54"/>
      <c r="RHH28" s="54"/>
      <c r="RHI28" s="57"/>
      <c r="RHJ28" s="62"/>
      <c r="RHK28" s="63"/>
      <c r="RHL28" s="63"/>
      <c r="RHM28" s="63"/>
      <c r="RHN28" s="63"/>
      <c r="RHO28" s="63"/>
      <c r="RHP28" s="63"/>
      <c r="RHQ28" s="63"/>
      <c r="RHR28" s="63"/>
      <c r="RHS28" s="63"/>
      <c r="RHT28" s="63"/>
      <c r="RHU28" s="63"/>
      <c r="RHV28" s="54"/>
      <c r="RHW28" s="54"/>
      <c r="RHX28" s="54"/>
      <c r="RHY28" s="57"/>
      <c r="RHZ28" s="62"/>
      <c r="RIA28" s="63"/>
      <c r="RIB28" s="63"/>
      <c r="RIC28" s="63"/>
      <c r="RID28" s="63"/>
      <c r="RIE28" s="63"/>
      <c r="RIF28" s="63"/>
      <c r="RIG28" s="63"/>
      <c r="RIH28" s="63"/>
      <c r="RII28" s="63"/>
      <c r="RIJ28" s="63"/>
      <c r="RIK28" s="63"/>
      <c r="RIL28" s="54"/>
      <c r="RIM28" s="54"/>
      <c r="RIN28" s="54"/>
      <c r="RIO28" s="57"/>
      <c r="RIP28" s="62"/>
      <c r="RIQ28" s="63"/>
      <c r="RIR28" s="63"/>
      <c r="RIS28" s="63"/>
      <c r="RIT28" s="63"/>
      <c r="RIU28" s="63"/>
      <c r="RIV28" s="63"/>
      <c r="RIW28" s="63"/>
      <c r="RIX28" s="63"/>
      <c r="RIY28" s="63"/>
      <c r="RIZ28" s="63"/>
      <c r="RJA28" s="63"/>
      <c r="RJB28" s="54"/>
      <c r="RJC28" s="54"/>
      <c r="RJD28" s="54"/>
      <c r="RJE28" s="57"/>
      <c r="RJF28" s="62"/>
      <c r="RJG28" s="63"/>
      <c r="RJH28" s="63"/>
      <c r="RJI28" s="63"/>
      <c r="RJJ28" s="63"/>
      <c r="RJK28" s="63"/>
      <c r="RJL28" s="63"/>
      <c r="RJM28" s="63"/>
      <c r="RJN28" s="63"/>
      <c r="RJO28" s="63"/>
      <c r="RJP28" s="63"/>
      <c r="RJQ28" s="63"/>
      <c r="RJR28" s="54"/>
      <c r="RJS28" s="54"/>
      <c r="RJT28" s="54"/>
      <c r="RJU28" s="57"/>
      <c r="RJV28" s="62"/>
      <c r="RJW28" s="63"/>
      <c r="RJX28" s="63"/>
      <c r="RJY28" s="63"/>
      <c r="RJZ28" s="63"/>
      <c r="RKA28" s="63"/>
      <c r="RKB28" s="63"/>
      <c r="RKC28" s="63"/>
      <c r="RKD28" s="63"/>
      <c r="RKE28" s="63"/>
      <c r="RKF28" s="63"/>
      <c r="RKG28" s="63"/>
      <c r="RKH28" s="54"/>
      <c r="RKI28" s="54"/>
      <c r="RKJ28" s="54"/>
      <c r="RKK28" s="57"/>
      <c r="RKL28" s="62"/>
      <c r="RKM28" s="63"/>
      <c r="RKN28" s="63"/>
      <c r="RKO28" s="63"/>
      <c r="RKP28" s="63"/>
      <c r="RKQ28" s="63"/>
      <c r="RKR28" s="63"/>
      <c r="RKS28" s="63"/>
      <c r="RKT28" s="63"/>
      <c r="RKU28" s="63"/>
      <c r="RKV28" s="63"/>
      <c r="RKW28" s="63"/>
      <c r="RKX28" s="54"/>
      <c r="RKY28" s="54"/>
      <c r="RKZ28" s="54"/>
      <c r="RLA28" s="57"/>
      <c r="RLB28" s="62"/>
      <c r="RLC28" s="63"/>
      <c r="RLD28" s="63"/>
      <c r="RLE28" s="63"/>
      <c r="RLF28" s="63"/>
      <c r="RLG28" s="63"/>
      <c r="RLH28" s="63"/>
      <c r="RLI28" s="63"/>
      <c r="RLJ28" s="63"/>
      <c r="RLK28" s="63"/>
      <c r="RLL28" s="63"/>
      <c r="RLM28" s="63"/>
      <c r="RLN28" s="54"/>
      <c r="RLO28" s="54"/>
      <c r="RLP28" s="54"/>
      <c r="RLQ28" s="57"/>
      <c r="RLR28" s="62"/>
      <c r="RLS28" s="63"/>
      <c r="RLT28" s="63"/>
      <c r="RLU28" s="63"/>
      <c r="RLV28" s="63"/>
      <c r="RLW28" s="63"/>
      <c r="RLX28" s="63"/>
      <c r="RLY28" s="63"/>
      <c r="RLZ28" s="63"/>
      <c r="RMA28" s="63"/>
      <c r="RMB28" s="63"/>
      <c r="RMC28" s="63"/>
      <c r="RMD28" s="54"/>
      <c r="RME28" s="54"/>
      <c r="RMF28" s="54"/>
      <c r="RMG28" s="57"/>
      <c r="RMH28" s="62"/>
      <c r="RMI28" s="63"/>
      <c r="RMJ28" s="63"/>
      <c r="RMK28" s="63"/>
      <c r="RML28" s="63"/>
      <c r="RMM28" s="63"/>
      <c r="RMN28" s="63"/>
      <c r="RMO28" s="63"/>
      <c r="RMP28" s="63"/>
      <c r="RMQ28" s="63"/>
      <c r="RMR28" s="63"/>
      <c r="RMS28" s="63"/>
      <c r="RMT28" s="54"/>
      <c r="RMU28" s="54"/>
      <c r="RMV28" s="54"/>
      <c r="RMW28" s="57"/>
      <c r="RMX28" s="62"/>
      <c r="RMY28" s="63"/>
      <c r="RMZ28" s="63"/>
      <c r="RNA28" s="63"/>
      <c r="RNB28" s="63"/>
      <c r="RNC28" s="63"/>
      <c r="RND28" s="63"/>
      <c r="RNE28" s="63"/>
      <c r="RNF28" s="63"/>
      <c r="RNG28" s="63"/>
      <c r="RNH28" s="63"/>
      <c r="RNI28" s="63"/>
      <c r="RNJ28" s="54"/>
      <c r="RNK28" s="54"/>
      <c r="RNL28" s="54"/>
      <c r="RNM28" s="57"/>
      <c r="RNN28" s="62"/>
      <c r="RNO28" s="63"/>
      <c r="RNP28" s="63"/>
      <c r="RNQ28" s="63"/>
      <c r="RNR28" s="63"/>
      <c r="RNS28" s="63"/>
      <c r="RNT28" s="63"/>
      <c r="RNU28" s="63"/>
      <c r="RNV28" s="63"/>
      <c r="RNW28" s="63"/>
      <c r="RNX28" s="63"/>
      <c r="RNY28" s="63"/>
      <c r="RNZ28" s="54"/>
      <c r="ROA28" s="54"/>
      <c r="ROB28" s="54"/>
      <c r="ROC28" s="57"/>
      <c r="ROD28" s="62"/>
      <c r="ROE28" s="63"/>
      <c r="ROF28" s="63"/>
      <c r="ROG28" s="63"/>
      <c r="ROH28" s="63"/>
      <c r="ROI28" s="63"/>
      <c r="ROJ28" s="63"/>
      <c r="ROK28" s="63"/>
      <c r="ROL28" s="63"/>
      <c r="ROM28" s="63"/>
      <c r="RON28" s="63"/>
      <c r="ROO28" s="63"/>
      <c r="ROP28" s="54"/>
      <c r="ROQ28" s="54"/>
      <c r="ROR28" s="54"/>
      <c r="ROS28" s="57"/>
      <c r="ROT28" s="62"/>
      <c r="ROU28" s="63"/>
      <c r="ROV28" s="63"/>
      <c r="ROW28" s="63"/>
      <c r="ROX28" s="63"/>
      <c r="ROY28" s="63"/>
      <c r="ROZ28" s="63"/>
      <c r="RPA28" s="63"/>
      <c r="RPB28" s="63"/>
      <c r="RPC28" s="63"/>
      <c r="RPD28" s="63"/>
      <c r="RPE28" s="63"/>
      <c r="RPF28" s="54"/>
      <c r="RPG28" s="54"/>
      <c r="RPH28" s="54"/>
      <c r="RPI28" s="57"/>
      <c r="RPJ28" s="62"/>
      <c r="RPK28" s="63"/>
      <c r="RPL28" s="63"/>
      <c r="RPM28" s="63"/>
      <c r="RPN28" s="63"/>
      <c r="RPO28" s="63"/>
      <c r="RPP28" s="63"/>
      <c r="RPQ28" s="63"/>
      <c r="RPR28" s="63"/>
      <c r="RPS28" s="63"/>
      <c r="RPT28" s="63"/>
      <c r="RPU28" s="63"/>
      <c r="RPV28" s="54"/>
      <c r="RPW28" s="54"/>
      <c r="RPX28" s="54"/>
      <c r="RPY28" s="57"/>
      <c r="RPZ28" s="62"/>
      <c r="RQA28" s="63"/>
      <c r="RQB28" s="63"/>
      <c r="RQC28" s="63"/>
      <c r="RQD28" s="63"/>
      <c r="RQE28" s="63"/>
      <c r="RQF28" s="63"/>
      <c r="RQG28" s="63"/>
      <c r="RQH28" s="63"/>
      <c r="RQI28" s="63"/>
      <c r="RQJ28" s="63"/>
      <c r="RQK28" s="63"/>
      <c r="RQL28" s="54"/>
      <c r="RQM28" s="54"/>
      <c r="RQN28" s="54"/>
      <c r="RQO28" s="57"/>
      <c r="RQP28" s="62"/>
      <c r="RQQ28" s="63"/>
      <c r="RQR28" s="63"/>
      <c r="RQS28" s="63"/>
      <c r="RQT28" s="63"/>
      <c r="RQU28" s="63"/>
      <c r="RQV28" s="63"/>
      <c r="RQW28" s="63"/>
      <c r="RQX28" s="63"/>
      <c r="RQY28" s="63"/>
      <c r="RQZ28" s="63"/>
      <c r="RRA28" s="63"/>
      <c r="RRB28" s="54"/>
      <c r="RRC28" s="54"/>
      <c r="RRD28" s="54"/>
      <c r="RRE28" s="57"/>
      <c r="RRF28" s="62"/>
      <c r="RRG28" s="63"/>
      <c r="RRH28" s="63"/>
      <c r="RRI28" s="63"/>
      <c r="RRJ28" s="63"/>
      <c r="RRK28" s="63"/>
      <c r="RRL28" s="63"/>
      <c r="RRM28" s="63"/>
      <c r="RRN28" s="63"/>
      <c r="RRO28" s="63"/>
      <c r="RRP28" s="63"/>
      <c r="RRQ28" s="63"/>
      <c r="RRR28" s="54"/>
      <c r="RRS28" s="54"/>
      <c r="RRT28" s="54"/>
      <c r="RRU28" s="57"/>
      <c r="RRV28" s="62"/>
      <c r="RRW28" s="63"/>
      <c r="RRX28" s="63"/>
      <c r="RRY28" s="63"/>
      <c r="RRZ28" s="63"/>
      <c r="RSA28" s="63"/>
      <c r="RSB28" s="63"/>
      <c r="RSC28" s="63"/>
      <c r="RSD28" s="63"/>
      <c r="RSE28" s="63"/>
      <c r="RSF28" s="63"/>
      <c r="RSG28" s="63"/>
      <c r="RSH28" s="54"/>
      <c r="RSI28" s="54"/>
      <c r="RSJ28" s="54"/>
      <c r="RSK28" s="57"/>
      <c r="RSL28" s="62"/>
      <c r="RSM28" s="63"/>
      <c r="RSN28" s="63"/>
      <c r="RSO28" s="63"/>
      <c r="RSP28" s="63"/>
      <c r="RSQ28" s="63"/>
      <c r="RSR28" s="63"/>
      <c r="RSS28" s="63"/>
      <c r="RST28" s="63"/>
      <c r="RSU28" s="63"/>
      <c r="RSV28" s="63"/>
      <c r="RSW28" s="63"/>
      <c r="RSX28" s="54"/>
      <c r="RSY28" s="54"/>
      <c r="RSZ28" s="54"/>
      <c r="RTA28" s="57"/>
      <c r="RTB28" s="62"/>
      <c r="RTC28" s="63"/>
      <c r="RTD28" s="63"/>
      <c r="RTE28" s="63"/>
      <c r="RTF28" s="63"/>
      <c r="RTG28" s="63"/>
      <c r="RTH28" s="63"/>
      <c r="RTI28" s="63"/>
      <c r="RTJ28" s="63"/>
      <c r="RTK28" s="63"/>
      <c r="RTL28" s="63"/>
      <c r="RTM28" s="63"/>
      <c r="RTN28" s="54"/>
      <c r="RTO28" s="54"/>
      <c r="RTP28" s="54"/>
      <c r="RTQ28" s="57"/>
      <c r="RTR28" s="62"/>
      <c r="RTS28" s="63"/>
      <c r="RTT28" s="63"/>
      <c r="RTU28" s="63"/>
      <c r="RTV28" s="63"/>
      <c r="RTW28" s="63"/>
      <c r="RTX28" s="63"/>
      <c r="RTY28" s="63"/>
      <c r="RTZ28" s="63"/>
      <c r="RUA28" s="63"/>
      <c r="RUB28" s="63"/>
      <c r="RUC28" s="63"/>
      <c r="RUD28" s="54"/>
      <c r="RUE28" s="54"/>
      <c r="RUF28" s="54"/>
      <c r="RUG28" s="57"/>
      <c r="RUH28" s="62"/>
      <c r="RUI28" s="63"/>
      <c r="RUJ28" s="63"/>
      <c r="RUK28" s="63"/>
      <c r="RUL28" s="63"/>
      <c r="RUM28" s="63"/>
      <c r="RUN28" s="63"/>
      <c r="RUO28" s="63"/>
      <c r="RUP28" s="63"/>
      <c r="RUQ28" s="63"/>
      <c r="RUR28" s="63"/>
      <c r="RUS28" s="63"/>
      <c r="RUT28" s="54"/>
      <c r="RUU28" s="54"/>
      <c r="RUV28" s="54"/>
      <c r="RUW28" s="57"/>
      <c r="RUX28" s="62"/>
      <c r="RUY28" s="63"/>
      <c r="RUZ28" s="63"/>
      <c r="RVA28" s="63"/>
      <c r="RVB28" s="63"/>
      <c r="RVC28" s="63"/>
      <c r="RVD28" s="63"/>
      <c r="RVE28" s="63"/>
      <c r="RVF28" s="63"/>
      <c r="RVG28" s="63"/>
      <c r="RVH28" s="63"/>
      <c r="RVI28" s="63"/>
      <c r="RVJ28" s="54"/>
      <c r="RVK28" s="54"/>
      <c r="RVL28" s="54"/>
      <c r="RVM28" s="57"/>
      <c r="RVN28" s="62"/>
      <c r="RVO28" s="63"/>
      <c r="RVP28" s="63"/>
      <c r="RVQ28" s="63"/>
      <c r="RVR28" s="63"/>
      <c r="RVS28" s="63"/>
      <c r="RVT28" s="63"/>
      <c r="RVU28" s="63"/>
      <c r="RVV28" s="63"/>
      <c r="RVW28" s="63"/>
      <c r="RVX28" s="63"/>
      <c r="RVY28" s="63"/>
      <c r="RVZ28" s="54"/>
      <c r="RWA28" s="54"/>
      <c r="RWB28" s="54"/>
      <c r="RWC28" s="57"/>
      <c r="RWD28" s="62"/>
      <c r="RWE28" s="63"/>
      <c r="RWF28" s="63"/>
      <c r="RWG28" s="63"/>
      <c r="RWH28" s="63"/>
      <c r="RWI28" s="63"/>
      <c r="RWJ28" s="63"/>
      <c r="RWK28" s="63"/>
      <c r="RWL28" s="63"/>
      <c r="RWM28" s="63"/>
      <c r="RWN28" s="63"/>
      <c r="RWO28" s="63"/>
      <c r="RWP28" s="54"/>
      <c r="RWQ28" s="54"/>
      <c r="RWR28" s="54"/>
      <c r="RWS28" s="57"/>
      <c r="RWT28" s="62"/>
      <c r="RWU28" s="63"/>
      <c r="RWV28" s="63"/>
      <c r="RWW28" s="63"/>
      <c r="RWX28" s="63"/>
      <c r="RWY28" s="63"/>
      <c r="RWZ28" s="63"/>
      <c r="RXA28" s="63"/>
      <c r="RXB28" s="63"/>
      <c r="RXC28" s="63"/>
      <c r="RXD28" s="63"/>
      <c r="RXE28" s="63"/>
      <c r="RXF28" s="54"/>
      <c r="RXG28" s="54"/>
      <c r="RXH28" s="54"/>
      <c r="RXI28" s="57"/>
      <c r="RXJ28" s="62"/>
      <c r="RXK28" s="63"/>
      <c r="RXL28" s="63"/>
      <c r="RXM28" s="63"/>
      <c r="RXN28" s="63"/>
      <c r="RXO28" s="63"/>
      <c r="RXP28" s="63"/>
      <c r="RXQ28" s="63"/>
      <c r="RXR28" s="63"/>
      <c r="RXS28" s="63"/>
      <c r="RXT28" s="63"/>
      <c r="RXU28" s="63"/>
      <c r="RXV28" s="54"/>
      <c r="RXW28" s="54"/>
      <c r="RXX28" s="54"/>
      <c r="RXY28" s="57"/>
      <c r="RXZ28" s="62"/>
      <c r="RYA28" s="63"/>
      <c r="RYB28" s="63"/>
      <c r="RYC28" s="63"/>
      <c r="RYD28" s="63"/>
      <c r="RYE28" s="63"/>
      <c r="RYF28" s="63"/>
      <c r="RYG28" s="63"/>
      <c r="RYH28" s="63"/>
      <c r="RYI28" s="63"/>
      <c r="RYJ28" s="63"/>
      <c r="RYK28" s="63"/>
      <c r="RYL28" s="54"/>
      <c r="RYM28" s="54"/>
      <c r="RYN28" s="54"/>
      <c r="RYO28" s="57"/>
      <c r="RYP28" s="62"/>
      <c r="RYQ28" s="63"/>
      <c r="RYR28" s="63"/>
      <c r="RYS28" s="63"/>
      <c r="RYT28" s="63"/>
      <c r="RYU28" s="63"/>
      <c r="RYV28" s="63"/>
      <c r="RYW28" s="63"/>
      <c r="RYX28" s="63"/>
      <c r="RYY28" s="63"/>
      <c r="RYZ28" s="63"/>
      <c r="RZA28" s="63"/>
      <c r="RZB28" s="54"/>
      <c r="RZC28" s="54"/>
      <c r="RZD28" s="54"/>
      <c r="RZE28" s="57"/>
      <c r="RZF28" s="62"/>
      <c r="RZG28" s="63"/>
      <c r="RZH28" s="63"/>
      <c r="RZI28" s="63"/>
      <c r="RZJ28" s="63"/>
      <c r="RZK28" s="63"/>
      <c r="RZL28" s="63"/>
      <c r="RZM28" s="63"/>
      <c r="RZN28" s="63"/>
      <c r="RZO28" s="63"/>
      <c r="RZP28" s="63"/>
      <c r="RZQ28" s="63"/>
      <c r="RZR28" s="54"/>
      <c r="RZS28" s="54"/>
      <c r="RZT28" s="54"/>
      <c r="RZU28" s="57"/>
      <c r="RZV28" s="62"/>
      <c r="RZW28" s="63"/>
      <c r="RZX28" s="63"/>
      <c r="RZY28" s="63"/>
      <c r="RZZ28" s="63"/>
      <c r="SAA28" s="63"/>
      <c r="SAB28" s="63"/>
      <c r="SAC28" s="63"/>
      <c r="SAD28" s="63"/>
      <c r="SAE28" s="63"/>
      <c r="SAF28" s="63"/>
      <c r="SAG28" s="63"/>
      <c r="SAH28" s="54"/>
      <c r="SAI28" s="54"/>
      <c r="SAJ28" s="54"/>
      <c r="SAK28" s="57"/>
      <c r="SAL28" s="62"/>
      <c r="SAM28" s="63"/>
      <c r="SAN28" s="63"/>
      <c r="SAO28" s="63"/>
      <c r="SAP28" s="63"/>
      <c r="SAQ28" s="63"/>
      <c r="SAR28" s="63"/>
      <c r="SAS28" s="63"/>
      <c r="SAT28" s="63"/>
      <c r="SAU28" s="63"/>
      <c r="SAV28" s="63"/>
      <c r="SAW28" s="63"/>
      <c r="SAX28" s="54"/>
      <c r="SAY28" s="54"/>
      <c r="SAZ28" s="54"/>
      <c r="SBA28" s="57"/>
      <c r="SBB28" s="62"/>
      <c r="SBC28" s="63"/>
      <c r="SBD28" s="63"/>
      <c r="SBE28" s="63"/>
      <c r="SBF28" s="63"/>
      <c r="SBG28" s="63"/>
      <c r="SBH28" s="63"/>
      <c r="SBI28" s="63"/>
      <c r="SBJ28" s="63"/>
      <c r="SBK28" s="63"/>
      <c r="SBL28" s="63"/>
      <c r="SBM28" s="63"/>
      <c r="SBN28" s="54"/>
      <c r="SBO28" s="54"/>
      <c r="SBP28" s="54"/>
      <c r="SBQ28" s="57"/>
      <c r="SBR28" s="62"/>
      <c r="SBS28" s="63"/>
      <c r="SBT28" s="63"/>
      <c r="SBU28" s="63"/>
      <c r="SBV28" s="63"/>
      <c r="SBW28" s="63"/>
      <c r="SBX28" s="63"/>
      <c r="SBY28" s="63"/>
      <c r="SBZ28" s="63"/>
      <c r="SCA28" s="63"/>
      <c r="SCB28" s="63"/>
      <c r="SCC28" s="63"/>
      <c r="SCD28" s="54"/>
      <c r="SCE28" s="54"/>
      <c r="SCF28" s="54"/>
      <c r="SCG28" s="57"/>
      <c r="SCH28" s="62"/>
      <c r="SCI28" s="63"/>
      <c r="SCJ28" s="63"/>
      <c r="SCK28" s="63"/>
      <c r="SCL28" s="63"/>
      <c r="SCM28" s="63"/>
      <c r="SCN28" s="63"/>
      <c r="SCO28" s="63"/>
      <c r="SCP28" s="63"/>
      <c r="SCQ28" s="63"/>
      <c r="SCR28" s="63"/>
      <c r="SCS28" s="63"/>
      <c r="SCT28" s="54"/>
      <c r="SCU28" s="54"/>
      <c r="SCV28" s="54"/>
      <c r="SCW28" s="57"/>
      <c r="SCX28" s="62"/>
      <c r="SCY28" s="63"/>
      <c r="SCZ28" s="63"/>
      <c r="SDA28" s="63"/>
      <c r="SDB28" s="63"/>
      <c r="SDC28" s="63"/>
      <c r="SDD28" s="63"/>
      <c r="SDE28" s="63"/>
      <c r="SDF28" s="63"/>
      <c r="SDG28" s="63"/>
      <c r="SDH28" s="63"/>
      <c r="SDI28" s="63"/>
      <c r="SDJ28" s="54"/>
      <c r="SDK28" s="54"/>
      <c r="SDL28" s="54"/>
      <c r="SDM28" s="57"/>
      <c r="SDN28" s="62"/>
      <c r="SDO28" s="63"/>
      <c r="SDP28" s="63"/>
      <c r="SDQ28" s="63"/>
      <c r="SDR28" s="63"/>
      <c r="SDS28" s="63"/>
      <c r="SDT28" s="63"/>
      <c r="SDU28" s="63"/>
      <c r="SDV28" s="63"/>
      <c r="SDW28" s="63"/>
      <c r="SDX28" s="63"/>
      <c r="SDY28" s="63"/>
      <c r="SDZ28" s="54"/>
      <c r="SEA28" s="54"/>
      <c r="SEB28" s="54"/>
      <c r="SEC28" s="57"/>
      <c r="SED28" s="62"/>
      <c r="SEE28" s="63"/>
      <c r="SEF28" s="63"/>
      <c r="SEG28" s="63"/>
      <c r="SEH28" s="63"/>
      <c r="SEI28" s="63"/>
      <c r="SEJ28" s="63"/>
      <c r="SEK28" s="63"/>
      <c r="SEL28" s="63"/>
      <c r="SEM28" s="63"/>
      <c r="SEN28" s="63"/>
      <c r="SEO28" s="63"/>
      <c r="SEP28" s="54"/>
      <c r="SEQ28" s="54"/>
      <c r="SER28" s="54"/>
      <c r="SES28" s="57"/>
      <c r="SET28" s="62"/>
      <c r="SEU28" s="63"/>
      <c r="SEV28" s="63"/>
      <c r="SEW28" s="63"/>
      <c r="SEX28" s="63"/>
      <c r="SEY28" s="63"/>
      <c r="SEZ28" s="63"/>
      <c r="SFA28" s="63"/>
      <c r="SFB28" s="63"/>
      <c r="SFC28" s="63"/>
      <c r="SFD28" s="63"/>
      <c r="SFE28" s="63"/>
      <c r="SFF28" s="54"/>
      <c r="SFG28" s="54"/>
      <c r="SFH28" s="54"/>
      <c r="SFI28" s="57"/>
      <c r="SFJ28" s="62"/>
      <c r="SFK28" s="63"/>
      <c r="SFL28" s="63"/>
      <c r="SFM28" s="63"/>
      <c r="SFN28" s="63"/>
      <c r="SFO28" s="63"/>
      <c r="SFP28" s="63"/>
      <c r="SFQ28" s="63"/>
      <c r="SFR28" s="63"/>
      <c r="SFS28" s="63"/>
      <c r="SFT28" s="63"/>
      <c r="SFU28" s="63"/>
      <c r="SFV28" s="54"/>
      <c r="SFW28" s="54"/>
      <c r="SFX28" s="54"/>
      <c r="SFY28" s="57"/>
      <c r="SFZ28" s="62"/>
      <c r="SGA28" s="63"/>
      <c r="SGB28" s="63"/>
      <c r="SGC28" s="63"/>
      <c r="SGD28" s="63"/>
      <c r="SGE28" s="63"/>
      <c r="SGF28" s="63"/>
      <c r="SGG28" s="63"/>
      <c r="SGH28" s="63"/>
      <c r="SGI28" s="63"/>
      <c r="SGJ28" s="63"/>
      <c r="SGK28" s="63"/>
      <c r="SGL28" s="54"/>
      <c r="SGM28" s="54"/>
      <c r="SGN28" s="54"/>
      <c r="SGO28" s="57"/>
      <c r="SGP28" s="62"/>
      <c r="SGQ28" s="63"/>
      <c r="SGR28" s="63"/>
      <c r="SGS28" s="63"/>
      <c r="SGT28" s="63"/>
      <c r="SGU28" s="63"/>
      <c r="SGV28" s="63"/>
      <c r="SGW28" s="63"/>
      <c r="SGX28" s="63"/>
      <c r="SGY28" s="63"/>
      <c r="SGZ28" s="63"/>
      <c r="SHA28" s="63"/>
      <c r="SHB28" s="54"/>
      <c r="SHC28" s="54"/>
      <c r="SHD28" s="54"/>
      <c r="SHE28" s="57"/>
      <c r="SHF28" s="62"/>
      <c r="SHG28" s="63"/>
      <c r="SHH28" s="63"/>
      <c r="SHI28" s="63"/>
      <c r="SHJ28" s="63"/>
      <c r="SHK28" s="63"/>
      <c r="SHL28" s="63"/>
      <c r="SHM28" s="63"/>
      <c r="SHN28" s="63"/>
      <c r="SHO28" s="63"/>
      <c r="SHP28" s="63"/>
      <c r="SHQ28" s="63"/>
      <c r="SHR28" s="54"/>
      <c r="SHS28" s="54"/>
      <c r="SHT28" s="54"/>
      <c r="SHU28" s="57"/>
      <c r="SHV28" s="62"/>
      <c r="SHW28" s="63"/>
      <c r="SHX28" s="63"/>
      <c r="SHY28" s="63"/>
      <c r="SHZ28" s="63"/>
      <c r="SIA28" s="63"/>
      <c r="SIB28" s="63"/>
      <c r="SIC28" s="63"/>
      <c r="SID28" s="63"/>
      <c r="SIE28" s="63"/>
      <c r="SIF28" s="63"/>
      <c r="SIG28" s="63"/>
      <c r="SIH28" s="54"/>
      <c r="SII28" s="54"/>
      <c r="SIJ28" s="54"/>
      <c r="SIK28" s="57"/>
      <c r="SIL28" s="62"/>
      <c r="SIM28" s="63"/>
      <c r="SIN28" s="63"/>
      <c r="SIO28" s="63"/>
      <c r="SIP28" s="63"/>
      <c r="SIQ28" s="63"/>
      <c r="SIR28" s="63"/>
      <c r="SIS28" s="63"/>
      <c r="SIT28" s="63"/>
      <c r="SIU28" s="63"/>
      <c r="SIV28" s="63"/>
      <c r="SIW28" s="63"/>
      <c r="SIX28" s="54"/>
      <c r="SIY28" s="54"/>
      <c r="SIZ28" s="54"/>
      <c r="SJA28" s="57"/>
      <c r="SJB28" s="62"/>
      <c r="SJC28" s="63"/>
      <c r="SJD28" s="63"/>
      <c r="SJE28" s="63"/>
      <c r="SJF28" s="63"/>
      <c r="SJG28" s="63"/>
      <c r="SJH28" s="63"/>
      <c r="SJI28" s="63"/>
      <c r="SJJ28" s="63"/>
      <c r="SJK28" s="63"/>
      <c r="SJL28" s="63"/>
      <c r="SJM28" s="63"/>
      <c r="SJN28" s="54"/>
      <c r="SJO28" s="54"/>
      <c r="SJP28" s="54"/>
      <c r="SJQ28" s="57"/>
      <c r="SJR28" s="62"/>
      <c r="SJS28" s="63"/>
      <c r="SJT28" s="63"/>
      <c r="SJU28" s="63"/>
      <c r="SJV28" s="63"/>
      <c r="SJW28" s="63"/>
      <c r="SJX28" s="63"/>
      <c r="SJY28" s="63"/>
      <c r="SJZ28" s="63"/>
      <c r="SKA28" s="63"/>
      <c r="SKB28" s="63"/>
      <c r="SKC28" s="63"/>
      <c r="SKD28" s="54"/>
      <c r="SKE28" s="54"/>
      <c r="SKF28" s="54"/>
      <c r="SKG28" s="57"/>
      <c r="SKH28" s="62"/>
      <c r="SKI28" s="63"/>
      <c r="SKJ28" s="63"/>
      <c r="SKK28" s="63"/>
      <c r="SKL28" s="63"/>
      <c r="SKM28" s="63"/>
      <c r="SKN28" s="63"/>
      <c r="SKO28" s="63"/>
      <c r="SKP28" s="63"/>
      <c r="SKQ28" s="63"/>
      <c r="SKR28" s="63"/>
      <c r="SKS28" s="63"/>
      <c r="SKT28" s="54"/>
      <c r="SKU28" s="54"/>
      <c r="SKV28" s="54"/>
      <c r="SKW28" s="57"/>
      <c r="SKX28" s="62"/>
      <c r="SKY28" s="63"/>
      <c r="SKZ28" s="63"/>
      <c r="SLA28" s="63"/>
      <c r="SLB28" s="63"/>
      <c r="SLC28" s="63"/>
      <c r="SLD28" s="63"/>
      <c r="SLE28" s="63"/>
      <c r="SLF28" s="63"/>
      <c r="SLG28" s="63"/>
      <c r="SLH28" s="63"/>
      <c r="SLI28" s="63"/>
      <c r="SLJ28" s="54"/>
      <c r="SLK28" s="54"/>
      <c r="SLL28" s="54"/>
      <c r="SLM28" s="57"/>
      <c r="SLN28" s="62"/>
      <c r="SLO28" s="63"/>
      <c r="SLP28" s="63"/>
      <c r="SLQ28" s="63"/>
      <c r="SLR28" s="63"/>
      <c r="SLS28" s="63"/>
      <c r="SLT28" s="63"/>
      <c r="SLU28" s="63"/>
      <c r="SLV28" s="63"/>
      <c r="SLW28" s="63"/>
      <c r="SLX28" s="63"/>
      <c r="SLY28" s="63"/>
      <c r="SLZ28" s="54"/>
      <c r="SMA28" s="54"/>
      <c r="SMB28" s="54"/>
      <c r="SMC28" s="57"/>
      <c r="SMD28" s="62"/>
      <c r="SME28" s="63"/>
      <c r="SMF28" s="63"/>
      <c r="SMG28" s="63"/>
      <c r="SMH28" s="63"/>
      <c r="SMI28" s="63"/>
      <c r="SMJ28" s="63"/>
      <c r="SMK28" s="63"/>
      <c r="SML28" s="63"/>
      <c r="SMM28" s="63"/>
      <c r="SMN28" s="63"/>
      <c r="SMO28" s="63"/>
      <c r="SMP28" s="54"/>
      <c r="SMQ28" s="54"/>
      <c r="SMR28" s="54"/>
      <c r="SMS28" s="57"/>
      <c r="SMT28" s="62"/>
      <c r="SMU28" s="63"/>
      <c r="SMV28" s="63"/>
      <c r="SMW28" s="63"/>
      <c r="SMX28" s="63"/>
      <c r="SMY28" s="63"/>
      <c r="SMZ28" s="63"/>
      <c r="SNA28" s="63"/>
      <c r="SNB28" s="63"/>
      <c r="SNC28" s="63"/>
      <c r="SND28" s="63"/>
      <c r="SNE28" s="63"/>
      <c r="SNF28" s="54"/>
      <c r="SNG28" s="54"/>
      <c r="SNH28" s="54"/>
      <c r="SNI28" s="57"/>
      <c r="SNJ28" s="62"/>
      <c r="SNK28" s="63"/>
      <c r="SNL28" s="63"/>
      <c r="SNM28" s="63"/>
      <c r="SNN28" s="63"/>
      <c r="SNO28" s="63"/>
      <c r="SNP28" s="63"/>
      <c r="SNQ28" s="63"/>
      <c r="SNR28" s="63"/>
      <c r="SNS28" s="63"/>
      <c r="SNT28" s="63"/>
      <c r="SNU28" s="63"/>
      <c r="SNV28" s="54"/>
      <c r="SNW28" s="54"/>
      <c r="SNX28" s="54"/>
      <c r="SNY28" s="57"/>
      <c r="SNZ28" s="62"/>
      <c r="SOA28" s="63"/>
      <c r="SOB28" s="63"/>
      <c r="SOC28" s="63"/>
      <c r="SOD28" s="63"/>
      <c r="SOE28" s="63"/>
      <c r="SOF28" s="63"/>
      <c r="SOG28" s="63"/>
      <c r="SOH28" s="63"/>
      <c r="SOI28" s="63"/>
      <c r="SOJ28" s="63"/>
      <c r="SOK28" s="63"/>
      <c r="SOL28" s="54"/>
      <c r="SOM28" s="54"/>
      <c r="SON28" s="54"/>
      <c r="SOO28" s="57"/>
      <c r="SOP28" s="62"/>
      <c r="SOQ28" s="63"/>
      <c r="SOR28" s="63"/>
      <c r="SOS28" s="63"/>
      <c r="SOT28" s="63"/>
      <c r="SOU28" s="63"/>
      <c r="SOV28" s="63"/>
      <c r="SOW28" s="63"/>
      <c r="SOX28" s="63"/>
      <c r="SOY28" s="63"/>
      <c r="SOZ28" s="63"/>
      <c r="SPA28" s="63"/>
      <c r="SPB28" s="54"/>
      <c r="SPC28" s="54"/>
      <c r="SPD28" s="54"/>
      <c r="SPE28" s="57"/>
      <c r="SPF28" s="62"/>
      <c r="SPG28" s="63"/>
      <c r="SPH28" s="63"/>
      <c r="SPI28" s="63"/>
      <c r="SPJ28" s="63"/>
      <c r="SPK28" s="63"/>
      <c r="SPL28" s="63"/>
      <c r="SPM28" s="63"/>
      <c r="SPN28" s="63"/>
      <c r="SPO28" s="63"/>
      <c r="SPP28" s="63"/>
      <c r="SPQ28" s="63"/>
      <c r="SPR28" s="54"/>
      <c r="SPS28" s="54"/>
      <c r="SPT28" s="54"/>
      <c r="SPU28" s="57"/>
      <c r="SPV28" s="62"/>
      <c r="SPW28" s="63"/>
      <c r="SPX28" s="63"/>
      <c r="SPY28" s="63"/>
      <c r="SPZ28" s="63"/>
      <c r="SQA28" s="63"/>
      <c r="SQB28" s="63"/>
      <c r="SQC28" s="63"/>
      <c r="SQD28" s="63"/>
      <c r="SQE28" s="63"/>
      <c r="SQF28" s="63"/>
      <c r="SQG28" s="63"/>
      <c r="SQH28" s="54"/>
      <c r="SQI28" s="54"/>
      <c r="SQJ28" s="54"/>
      <c r="SQK28" s="57"/>
      <c r="SQL28" s="62"/>
      <c r="SQM28" s="63"/>
      <c r="SQN28" s="63"/>
      <c r="SQO28" s="63"/>
      <c r="SQP28" s="63"/>
      <c r="SQQ28" s="63"/>
      <c r="SQR28" s="63"/>
      <c r="SQS28" s="63"/>
      <c r="SQT28" s="63"/>
      <c r="SQU28" s="63"/>
      <c r="SQV28" s="63"/>
      <c r="SQW28" s="63"/>
      <c r="SQX28" s="54"/>
      <c r="SQY28" s="54"/>
      <c r="SQZ28" s="54"/>
      <c r="SRA28" s="57"/>
      <c r="SRB28" s="62"/>
      <c r="SRC28" s="63"/>
      <c r="SRD28" s="63"/>
      <c r="SRE28" s="63"/>
      <c r="SRF28" s="63"/>
      <c r="SRG28" s="63"/>
      <c r="SRH28" s="63"/>
      <c r="SRI28" s="63"/>
      <c r="SRJ28" s="63"/>
      <c r="SRK28" s="63"/>
      <c r="SRL28" s="63"/>
      <c r="SRM28" s="63"/>
      <c r="SRN28" s="54"/>
      <c r="SRO28" s="54"/>
      <c r="SRP28" s="54"/>
      <c r="SRQ28" s="57"/>
      <c r="SRR28" s="62"/>
      <c r="SRS28" s="63"/>
      <c r="SRT28" s="63"/>
      <c r="SRU28" s="63"/>
      <c r="SRV28" s="63"/>
      <c r="SRW28" s="63"/>
      <c r="SRX28" s="63"/>
      <c r="SRY28" s="63"/>
      <c r="SRZ28" s="63"/>
      <c r="SSA28" s="63"/>
      <c r="SSB28" s="63"/>
      <c r="SSC28" s="63"/>
      <c r="SSD28" s="54"/>
      <c r="SSE28" s="54"/>
      <c r="SSF28" s="54"/>
      <c r="SSG28" s="57"/>
      <c r="SSH28" s="62"/>
      <c r="SSI28" s="63"/>
      <c r="SSJ28" s="63"/>
      <c r="SSK28" s="63"/>
      <c r="SSL28" s="63"/>
      <c r="SSM28" s="63"/>
      <c r="SSN28" s="63"/>
      <c r="SSO28" s="63"/>
      <c r="SSP28" s="63"/>
      <c r="SSQ28" s="63"/>
      <c r="SSR28" s="63"/>
      <c r="SSS28" s="63"/>
      <c r="SST28" s="54"/>
      <c r="SSU28" s="54"/>
      <c r="SSV28" s="54"/>
      <c r="SSW28" s="57"/>
      <c r="SSX28" s="62"/>
      <c r="SSY28" s="63"/>
      <c r="SSZ28" s="63"/>
      <c r="STA28" s="63"/>
      <c r="STB28" s="63"/>
      <c r="STC28" s="63"/>
      <c r="STD28" s="63"/>
      <c r="STE28" s="63"/>
      <c r="STF28" s="63"/>
      <c r="STG28" s="63"/>
      <c r="STH28" s="63"/>
      <c r="STI28" s="63"/>
      <c r="STJ28" s="54"/>
      <c r="STK28" s="54"/>
      <c r="STL28" s="54"/>
      <c r="STM28" s="57"/>
      <c r="STN28" s="62"/>
      <c r="STO28" s="63"/>
      <c r="STP28" s="63"/>
      <c r="STQ28" s="63"/>
      <c r="STR28" s="63"/>
      <c r="STS28" s="63"/>
      <c r="STT28" s="63"/>
      <c r="STU28" s="63"/>
      <c r="STV28" s="63"/>
      <c r="STW28" s="63"/>
      <c r="STX28" s="63"/>
      <c r="STY28" s="63"/>
      <c r="STZ28" s="54"/>
      <c r="SUA28" s="54"/>
      <c r="SUB28" s="54"/>
      <c r="SUC28" s="57"/>
      <c r="SUD28" s="62"/>
      <c r="SUE28" s="63"/>
      <c r="SUF28" s="63"/>
      <c r="SUG28" s="63"/>
      <c r="SUH28" s="63"/>
      <c r="SUI28" s="63"/>
      <c r="SUJ28" s="63"/>
      <c r="SUK28" s="63"/>
      <c r="SUL28" s="63"/>
      <c r="SUM28" s="63"/>
      <c r="SUN28" s="63"/>
      <c r="SUO28" s="63"/>
      <c r="SUP28" s="54"/>
      <c r="SUQ28" s="54"/>
      <c r="SUR28" s="54"/>
      <c r="SUS28" s="57"/>
      <c r="SUT28" s="62"/>
      <c r="SUU28" s="63"/>
      <c r="SUV28" s="63"/>
      <c r="SUW28" s="63"/>
      <c r="SUX28" s="63"/>
      <c r="SUY28" s="63"/>
      <c r="SUZ28" s="63"/>
      <c r="SVA28" s="63"/>
      <c r="SVB28" s="63"/>
      <c r="SVC28" s="63"/>
      <c r="SVD28" s="63"/>
      <c r="SVE28" s="63"/>
      <c r="SVF28" s="54"/>
      <c r="SVG28" s="54"/>
      <c r="SVH28" s="54"/>
      <c r="SVI28" s="57"/>
      <c r="SVJ28" s="62"/>
      <c r="SVK28" s="63"/>
      <c r="SVL28" s="63"/>
      <c r="SVM28" s="63"/>
      <c r="SVN28" s="63"/>
      <c r="SVO28" s="63"/>
      <c r="SVP28" s="63"/>
      <c r="SVQ28" s="63"/>
      <c r="SVR28" s="63"/>
      <c r="SVS28" s="63"/>
      <c r="SVT28" s="63"/>
      <c r="SVU28" s="63"/>
      <c r="SVV28" s="54"/>
      <c r="SVW28" s="54"/>
      <c r="SVX28" s="54"/>
      <c r="SVY28" s="57"/>
      <c r="SVZ28" s="62"/>
      <c r="SWA28" s="63"/>
      <c r="SWB28" s="63"/>
      <c r="SWC28" s="63"/>
      <c r="SWD28" s="63"/>
      <c r="SWE28" s="63"/>
      <c r="SWF28" s="63"/>
      <c r="SWG28" s="63"/>
      <c r="SWH28" s="63"/>
      <c r="SWI28" s="63"/>
      <c r="SWJ28" s="63"/>
      <c r="SWK28" s="63"/>
      <c r="SWL28" s="54"/>
      <c r="SWM28" s="54"/>
      <c r="SWN28" s="54"/>
      <c r="SWO28" s="57"/>
      <c r="SWP28" s="62"/>
      <c r="SWQ28" s="63"/>
      <c r="SWR28" s="63"/>
      <c r="SWS28" s="63"/>
      <c r="SWT28" s="63"/>
      <c r="SWU28" s="63"/>
      <c r="SWV28" s="63"/>
      <c r="SWW28" s="63"/>
      <c r="SWX28" s="63"/>
      <c r="SWY28" s="63"/>
      <c r="SWZ28" s="63"/>
      <c r="SXA28" s="63"/>
      <c r="SXB28" s="54"/>
      <c r="SXC28" s="54"/>
      <c r="SXD28" s="54"/>
      <c r="SXE28" s="57"/>
      <c r="SXF28" s="62"/>
      <c r="SXG28" s="63"/>
      <c r="SXH28" s="63"/>
      <c r="SXI28" s="63"/>
      <c r="SXJ28" s="63"/>
      <c r="SXK28" s="63"/>
      <c r="SXL28" s="63"/>
      <c r="SXM28" s="63"/>
      <c r="SXN28" s="63"/>
      <c r="SXO28" s="63"/>
      <c r="SXP28" s="63"/>
      <c r="SXQ28" s="63"/>
      <c r="SXR28" s="54"/>
      <c r="SXS28" s="54"/>
      <c r="SXT28" s="54"/>
      <c r="SXU28" s="57"/>
      <c r="SXV28" s="62"/>
      <c r="SXW28" s="63"/>
      <c r="SXX28" s="63"/>
      <c r="SXY28" s="63"/>
      <c r="SXZ28" s="63"/>
      <c r="SYA28" s="63"/>
      <c r="SYB28" s="63"/>
      <c r="SYC28" s="63"/>
      <c r="SYD28" s="63"/>
      <c r="SYE28" s="63"/>
      <c r="SYF28" s="63"/>
      <c r="SYG28" s="63"/>
      <c r="SYH28" s="54"/>
      <c r="SYI28" s="54"/>
      <c r="SYJ28" s="54"/>
      <c r="SYK28" s="57"/>
      <c r="SYL28" s="62"/>
      <c r="SYM28" s="63"/>
      <c r="SYN28" s="63"/>
      <c r="SYO28" s="63"/>
      <c r="SYP28" s="63"/>
      <c r="SYQ28" s="63"/>
      <c r="SYR28" s="63"/>
      <c r="SYS28" s="63"/>
      <c r="SYT28" s="63"/>
      <c r="SYU28" s="63"/>
      <c r="SYV28" s="63"/>
      <c r="SYW28" s="63"/>
      <c r="SYX28" s="54"/>
      <c r="SYY28" s="54"/>
      <c r="SYZ28" s="54"/>
      <c r="SZA28" s="57"/>
      <c r="SZB28" s="62"/>
      <c r="SZC28" s="63"/>
      <c r="SZD28" s="63"/>
      <c r="SZE28" s="63"/>
      <c r="SZF28" s="63"/>
      <c r="SZG28" s="63"/>
      <c r="SZH28" s="63"/>
      <c r="SZI28" s="63"/>
      <c r="SZJ28" s="63"/>
      <c r="SZK28" s="63"/>
      <c r="SZL28" s="63"/>
      <c r="SZM28" s="63"/>
      <c r="SZN28" s="54"/>
      <c r="SZO28" s="54"/>
      <c r="SZP28" s="54"/>
      <c r="SZQ28" s="57"/>
      <c r="SZR28" s="62"/>
      <c r="SZS28" s="63"/>
      <c r="SZT28" s="63"/>
      <c r="SZU28" s="63"/>
      <c r="SZV28" s="63"/>
      <c r="SZW28" s="63"/>
      <c r="SZX28" s="63"/>
      <c r="SZY28" s="63"/>
      <c r="SZZ28" s="63"/>
      <c r="TAA28" s="63"/>
      <c r="TAB28" s="63"/>
      <c r="TAC28" s="63"/>
      <c r="TAD28" s="54"/>
      <c r="TAE28" s="54"/>
      <c r="TAF28" s="54"/>
      <c r="TAG28" s="57"/>
      <c r="TAH28" s="62"/>
      <c r="TAI28" s="63"/>
      <c r="TAJ28" s="63"/>
      <c r="TAK28" s="63"/>
      <c r="TAL28" s="63"/>
      <c r="TAM28" s="63"/>
      <c r="TAN28" s="63"/>
      <c r="TAO28" s="63"/>
      <c r="TAP28" s="63"/>
      <c r="TAQ28" s="63"/>
      <c r="TAR28" s="63"/>
      <c r="TAS28" s="63"/>
      <c r="TAT28" s="54"/>
      <c r="TAU28" s="54"/>
      <c r="TAV28" s="54"/>
      <c r="TAW28" s="57"/>
      <c r="TAX28" s="62"/>
      <c r="TAY28" s="63"/>
      <c r="TAZ28" s="63"/>
      <c r="TBA28" s="63"/>
      <c r="TBB28" s="63"/>
      <c r="TBC28" s="63"/>
      <c r="TBD28" s="63"/>
      <c r="TBE28" s="63"/>
      <c r="TBF28" s="63"/>
      <c r="TBG28" s="63"/>
      <c r="TBH28" s="63"/>
      <c r="TBI28" s="63"/>
      <c r="TBJ28" s="54"/>
      <c r="TBK28" s="54"/>
      <c r="TBL28" s="54"/>
      <c r="TBM28" s="57"/>
      <c r="TBN28" s="62"/>
      <c r="TBO28" s="63"/>
      <c r="TBP28" s="63"/>
      <c r="TBQ28" s="63"/>
      <c r="TBR28" s="63"/>
      <c r="TBS28" s="63"/>
      <c r="TBT28" s="63"/>
      <c r="TBU28" s="63"/>
      <c r="TBV28" s="63"/>
      <c r="TBW28" s="63"/>
      <c r="TBX28" s="63"/>
      <c r="TBY28" s="63"/>
      <c r="TBZ28" s="54"/>
      <c r="TCA28" s="54"/>
      <c r="TCB28" s="54"/>
      <c r="TCC28" s="57"/>
      <c r="TCD28" s="62"/>
      <c r="TCE28" s="63"/>
      <c r="TCF28" s="63"/>
      <c r="TCG28" s="63"/>
      <c r="TCH28" s="63"/>
      <c r="TCI28" s="63"/>
      <c r="TCJ28" s="63"/>
      <c r="TCK28" s="63"/>
      <c r="TCL28" s="63"/>
      <c r="TCM28" s="63"/>
      <c r="TCN28" s="63"/>
      <c r="TCO28" s="63"/>
      <c r="TCP28" s="54"/>
      <c r="TCQ28" s="54"/>
      <c r="TCR28" s="54"/>
      <c r="TCS28" s="57"/>
      <c r="TCT28" s="62"/>
      <c r="TCU28" s="63"/>
      <c r="TCV28" s="63"/>
      <c r="TCW28" s="63"/>
      <c r="TCX28" s="63"/>
      <c r="TCY28" s="63"/>
      <c r="TCZ28" s="63"/>
      <c r="TDA28" s="63"/>
      <c r="TDB28" s="63"/>
      <c r="TDC28" s="63"/>
      <c r="TDD28" s="63"/>
      <c r="TDE28" s="63"/>
      <c r="TDF28" s="54"/>
      <c r="TDG28" s="54"/>
      <c r="TDH28" s="54"/>
      <c r="TDI28" s="57"/>
      <c r="TDJ28" s="62"/>
      <c r="TDK28" s="63"/>
      <c r="TDL28" s="63"/>
      <c r="TDM28" s="63"/>
      <c r="TDN28" s="63"/>
      <c r="TDO28" s="63"/>
      <c r="TDP28" s="63"/>
      <c r="TDQ28" s="63"/>
      <c r="TDR28" s="63"/>
      <c r="TDS28" s="63"/>
      <c r="TDT28" s="63"/>
      <c r="TDU28" s="63"/>
      <c r="TDV28" s="54"/>
      <c r="TDW28" s="54"/>
      <c r="TDX28" s="54"/>
      <c r="TDY28" s="57"/>
      <c r="TDZ28" s="62"/>
      <c r="TEA28" s="63"/>
      <c r="TEB28" s="63"/>
      <c r="TEC28" s="63"/>
      <c r="TED28" s="63"/>
      <c r="TEE28" s="63"/>
      <c r="TEF28" s="63"/>
      <c r="TEG28" s="63"/>
      <c r="TEH28" s="63"/>
      <c r="TEI28" s="63"/>
      <c r="TEJ28" s="63"/>
      <c r="TEK28" s="63"/>
      <c r="TEL28" s="54"/>
      <c r="TEM28" s="54"/>
      <c r="TEN28" s="54"/>
      <c r="TEO28" s="57"/>
      <c r="TEP28" s="62"/>
      <c r="TEQ28" s="63"/>
      <c r="TER28" s="63"/>
      <c r="TES28" s="63"/>
      <c r="TET28" s="63"/>
      <c r="TEU28" s="63"/>
      <c r="TEV28" s="63"/>
      <c r="TEW28" s="63"/>
      <c r="TEX28" s="63"/>
      <c r="TEY28" s="63"/>
      <c r="TEZ28" s="63"/>
      <c r="TFA28" s="63"/>
      <c r="TFB28" s="54"/>
      <c r="TFC28" s="54"/>
      <c r="TFD28" s="54"/>
      <c r="TFE28" s="57"/>
      <c r="TFF28" s="62"/>
      <c r="TFG28" s="63"/>
      <c r="TFH28" s="63"/>
      <c r="TFI28" s="63"/>
      <c r="TFJ28" s="63"/>
      <c r="TFK28" s="63"/>
      <c r="TFL28" s="63"/>
      <c r="TFM28" s="63"/>
      <c r="TFN28" s="63"/>
      <c r="TFO28" s="63"/>
      <c r="TFP28" s="63"/>
      <c r="TFQ28" s="63"/>
      <c r="TFR28" s="54"/>
      <c r="TFS28" s="54"/>
      <c r="TFT28" s="54"/>
      <c r="TFU28" s="57"/>
      <c r="TFV28" s="62"/>
      <c r="TFW28" s="63"/>
      <c r="TFX28" s="63"/>
      <c r="TFY28" s="63"/>
      <c r="TFZ28" s="63"/>
      <c r="TGA28" s="63"/>
      <c r="TGB28" s="63"/>
      <c r="TGC28" s="63"/>
      <c r="TGD28" s="63"/>
      <c r="TGE28" s="63"/>
      <c r="TGF28" s="63"/>
      <c r="TGG28" s="63"/>
      <c r="TGH28" s="54"/>
      <c r="TGI28" s="54"/>
      <c r="TGJ28" s="54"/>
      <c r="TGK28" s="57"/>
      <c r="TGL28" s="62"/>
      <c r="TGM28" s="63"/>
      <c r="TGN28" s="63"/>
      <c r="TGO28" s="63"/>
      <c r="TGP28" s="63"/>
      <c r="TGQ28" s="63"/>
      <c r="TGR28" s="63"/>
      <c r="TGS28" s="63"/>
      <c r="TGT28" s="63"/>
      <c r="TGU28" s="63"/>
      <c r="TGV28" s="63"/>
      <c r="TGW28" s="63"/>
      <c r="TGX28" s="54"/>
      <c r="TGY28" s="54"/>
      <c r="TGZ28" s="54"/>
      <c r="THA28" s="57"/>
      <c r="THB28" s="62"/>
      <c r="THC28" s="63"/>
      <c r="THD28" s="63"/>
      <c r="THE28" s="63"/>
      <c r="THF28" s="63"/>
      <c r="THG28" s="63"/>
      <c r="THH28" s="63"/>
      <c r="THI28" s="63"/>
      <c r="THJ28" s="63"/>
      <c r="THK28" s="63"/>
      <c r="THL28" s="63"/>
      <c r="THM28" s="63"/>
      <c r="THN28" s="54"/>
      <c r="THO28" s="54"/>
      <c r="THP28" s="54"/>
      <c r="THQ28" s="57"/>
      <c r="THR28" s="62"/>
      <c r="THS28" s="63"/>
      <c r="THT28" s="63"/>
      <c r="THU28" s="63"/>
      <c r="THV28" s="63"/>
      <c r="THW28" s="63"/>
      <c r="THX28" s="63"/>
      <c r="THY28" s="63"/>
      <c r="THZ28" s="63"/>
      <c r="TIA28" s="63"/>
      <c r="TIB28" s="63"/>
      <c r="TIC28" s="63"/>
      <c r="TID28" s="54"/>
      <c r="TIE28" s="54"/>
      <c r="TIF28" s="54"/>
      <c r="TIG28" s="57"/>
      <c r="TIH28" s="62"/>
      <c r="TII28" s="63"/>
      <c r="TIJ28" s="63"/>
      <c r="TIK28" s="63"/>
      <c r="TIL28" s="63"/>
      <c r="TIM28" s="63"/>
      <c r="TIN28" s="63"/>
      <c r="TIO28" s="63"/>
      <c r="TIP28" s="63"/>
      <c r="TIQ28" s="63"/>
      <c r="TIR28" s="63"/>
      <c r="TIS28" s="63"/>
      <c r="TIT28" s="54"/>
      <c r="TIU28" s="54"/>
      <c r="TIV28" s="54"/>
      <c r="TIW28" s="57"/>
      <c r="TIX28" s="62"/>
      <c r="TIY28" s="63"/>
      <c r="TIZ28" s="63"/>
      <c r="TJA28" s="63"/>
      <c r="TJB28" s="63"/>
      <c r="TJC28" s="63"/>
      <c r="TJD28" s="63"/>
      <c r="TJE28" s="63"/>
      <c r="TJF28" s="63"/>
      <c r="TJG28" s="63"/>
      <c r="TJH28" s="63"/>
      <c r="TJI28" s="63"/>
      <c r="TJJ28" s="54"/>
      <c r="TJK28" s="54"/>
      <c r="TJL28" s="54"/>
      <c r="TJM28" s="57"/>
      <c r="TJN28" s="62"/>
      <c r="TJO28" s="63"/>
      <c r="TJP28" s="63"/>
      <c r="TJQ28" s="63"/>
      <c r="TJR28" s="63"/>
      <c r="TJS28" s="63"/>
      <c r="TJT28" s="63"/>
      <c r="TJU28" s="63"/>
      <c r="TJV28" s="63"/>
      <c r="TJW28" s="63"/>
      <c r="TJX28" s="63"/>
      <c r="TJY28" s="63"/>
      <c r="TJZ28" s="54"/>
      <c r="TKA28" s="54"/>
      <c r="TKB28" s="54"/>
      <c r="TKC28" s="57"/>
      <c r="TKD28" s="62"/>
      <c r="TKE28" s="63"/>
      <c r="TKF28" s="63"/>
      <c r="TKG28" s="63"/>
      <c r="TKH28" s="63"/>
      <c r="TKI28" s="63"/>
      <c r="TKJ28" s="63"/>
      <c r="TKK28" s="63"/>
      <c r="TKL28" s="63"/>
      <c r="TKM28" s="63"/>
      <c r="TKN28" s="63"/>
      <c r="TKO28" s="63"/>
      <c r="TKP28" s="54"/>
      <c r="TKQ28" s="54"/>
      <c r="TKR28" s="54"/>
      <c r="TKS28" s="57"/>
      <c r="TKT28" s="62"/>
      <c r="TKU28" s="63"/>
      <c r="TKV28" s="63"/>
      <c r="TKW28" s="63"/>
      <c r="TKX28" s="63"/>
      <c r="TKY28" s="63"/>
      <c r="TKZ28" s="63"/>
      <c r="TLA28" s="63"/>
      <c r="TLB28" s="63"/>
      <c r="TLC28" s="63"/>
      <c r="TLD28" s="63"/>
      <c r="TLE28" s="63"/>
      <c r="TLF28" s="54"/>
      <c r="TLG28" s="54"/>
      <c r="TLH28" s="54"/>
      <c r="TLI28" s="57"/>
      <c r="TLJ28" s="62"/>
      <c r="TLK28" s="63"/>
      <c r="TLL28" s="63"/>
      <c r="TLM28" s="63"/>
      <c r="TLN28" s="63"/>
      <c r="TLO28" s="63"/>
      <c r="TLP28" s="63"/>
      <c r="TLQ28" s="63"/>
      <c r="TLR28" s="63"/>
      <c r="TLS28" s="63"/>
      <c r="TLT28" s="63"/>
      <c r="TLU28" s="63"/>
      <c r="TLV28" s="54"/>
      <c r="TLW28" s="54"/>
      <c r="TLX28" s="54"/>
      <c r="TLY28" s="57"/>
      <c r="TLZ28" s="62"/>
      <c r="TMA28" s="63"/>
      <c r="TMB28" s="63"/>
      <c r="TMC28" s="63"/>
      <c r="TMD28" s="63"/>
      <c r="TME28" s="63"/>
      <c r="TMF28" s="63"/>
      <c r="TMG28" s="63"/>
      <c r="TMH28" s="63"/>
      <c r="TMI28" s="63"/>
      <c r="TMJ28" s="63"/>
      <c r="TMK28" s="63"/>
      <c r="TML28" s="54"/>
      <c r="TMM28" s="54"/>
      <c r="TMN28" s="54"/>
      <c r="TMO28" s="57"/>
      <c r="TMP28" s="62"/>
      <c r="TMQ28" s="63"/>
      <c r="TMR28" s="63"/>
      <c r="TMS28" s="63"/>
      <c r="TMT28" s="63"/>
      <c r="TMU28" s="63"/>
      <c r="TMV28" s="63"/>
      <c r="TMW28" s="63"/>
      <c r="TMX28" s="63"/>
      <c r="TMY28" s="63"/>
      <c r="TMZ28" s="63"/>
      <c r="TNA28" s="63"/>
      <c r="TNB28" s="54"/>
      <c r="TNC28" s="54"/>
      <c r="TND28" s="54"/>
      <c r="TNE28" s="57"/>
      <c r="TNF28" s="62"/>
      <c r="TNG28" s="63"/>
      <c r="TNH28" s="63"/>
      <c r="TNI28" s="63"/>
      <c r="TNJ28" s="63"/>
      <c r="TNK28" s="63"/>
      <c r="TNL28" s="63"/>
      <c r="TNM28" s="63"/>
      <c r="TNN28" s="63"/>
      <c r="TNO28" s="63"/>
      <c r="TNP28" s="63"/>
      <c r="TNQ28" s="63"/>
      <c r="TNR28" s="54"/>
      <c r="TNS28" s="54"/>
      <c r="TNT28" s="54"/>
      <c r="TNU28" s="57"/>
      <c r="TNV28" s="62"/>
      <c r="TNW28" s="63"/>
      <c r="TNX28" s="63"/>
      <c r="TNY28" s="63"/>
      <c r="TNZ28" s="63"/>
      <c r="TOA28" s="63"/>
      <c r="TOB28" s="63"/>
      <c r="TOC28" s="63"/>
      <c r="TOD28" s="63"/>
      <c r="TOE28" s="63"/>
      <c r="TOF28" s="63"/>
      <c r="TOG28" s="63"/>
      <c r="TOH28" s="54"/>
      <c r="TOI28" s="54"/>
      <c r="TOJ28" s="54"/>
      <c r="TOK28" s="57"/>
      <c r="TOL28" s="62"/>
      <c r="TOM28" s="63"/>
      <c r="TON28" s="63"/>
      <c r="TOO28" s="63"/>
      <c r="TOP28" s="63"/>
      <c r="TOQ28" s="63"/>
      <c r="TOR28" s="63"/>
      <c r="TOS28" s="63"/>
      <c r="TOT28" s="63"/>
      <c r="TOU28" s="63"/>
      <c r="TOV28" s="63"/>
      <c r="TOW28" s="63"/>
      <c r="TOX28" s="54"/>
      <c r="TOY28" s="54"/>
      <c r="TOZ28" s="54"/>
      <c r="TPA28" s="57"/>
      <c r="TPB28" s="62"/>
      <c r="TPC28" s="63"/>
      <c r="TPD28" s="63"/>
      <c r="TPE28" s="63"/>
      <c r="TPF28" s="63"/>
      <c r="TPG28" s="63"/>
      <c r="TPH28" s="63"/>
      <c r="TPI28" s="63"/>
      <c r="TPJ28" s="63"/>
      <c r="TPK28" s="63"/>
      <c r="TPL28" s="63"/>
      <c r="TPM28" s="63"/>
      <c r="TPN28" s="54"/>
      <c r="TPO28" s="54"/>
      <c r="TPP28" s="54"/>
      <c r="TPQ28" s="57"/>
      <c r="TPR28" s="62"/>
      <c r="TPS28" s="63"/>
      <c r="TPT28" s="63"/>
      <c r="TPU28" s="63"/>
      <c r="TPV28" s="63"/>
      <c r="TPW28" s="63"/>
      <c r="TPX28" s="63"/>
      <c r="TPY28" s="63"/>
      <c r="TPZ28" s="63"/>
      <c r="TQA28" s="63"/>
      <c r="TQB28" s="63"/>
      <c r="TQC28" s="63"/>
      <c r="TQD28" s="54"/>
      <c r="TQE28" s="54"/>
      <c r="TQF28" s="54"/>
      <c r="TQG28" s="57"/>
      <c r="TQH28" s="62"/>
      <c r="TQI28" s="63"/>
      <c r="TQJ28" s="63"/>
      <c r="TQK28" s="63"/>
      <c r="TQL28" s="63"/>
      <c r="TQM28" s="63"/>
      <c r="TQN28" s="63"/>
      <c r="TQO28" s="63"/>
      <c r="TQP28" s="63"/>
      <c r="TQQ28" s="63"/>
      <c r="TQR28" s="63"/>
      <c r="TQS28" s="63"/>
      <c r="TQT28" s="54"/>
      <c r="TQU28" s="54"/>
      <c r="TQV28" s="54"/>
      <c r="TQW28" s="57"/>
      <c r="TQX28" s="62"/>
      <c r="TQY28" s="63"/>
      <c r="TQZ28" s="63"/>
      <c r="TRA28" s="63"/>
      <c r="TRB28" s="63"/>
      <c r="TRC28" s="63"/>
      <c r="TRD28" s="63"/>
      <c r="TRE28" s="63"/>
      <c r="TRF28" s="63"/>
      <c r="TRG28" s="63"/>
      <c r="TRH28" s="63"/>
      <c r="TRI28" s="63"/>
      <c r="TRJ28" s="54"/>
      <c r="TRK28" s="54"/>
      <c r="TRL28" s="54"/>
      <c r="TRM28" s="57"/>
      <c r="TRN28" s="62"/>
      <c r="TRO28" s="63"/>
      <c r="TRP28" s="63"/>
      <c r="TRQ28" s="63"/>
      <c r="TRR28" s="63"/>
      <c r="TRS28" s="63"/>
      <c r="TRT28" s="63"/>
      <c r="TRU28" s="63"/>
      <c r="TRV28" s="63"/>
      <c r="TRW28" s="63"/>
      <c r="TRX28" s="63"/>
      <c r="TRY28" s="63"/>
      <c r="TRZ28" s="54"/>
      <c r="TSA28" s="54"/>
      <c r="TSB28" s="54"/>
      <c r="TSC28" s="57"/>
      <c r="TSD28" s="62"/>
      <c r="TSE28" s="63"/>
      <c r="TSF28" s="63"/>
      <c r="TSG28" s="63"/>
      <c r="TSH28" s="63"/>
      <c r="TSI28" s="63"/>
      <c r="TSJ28" s="63"/>
      <c r="TSK28" s="63"/>
      <c r="TSL28" s="63"/>
      <c r="TSM28" s="63"/>
      <c r="TSN28" s="63"/>
      <c r="TSO28" s="63"/>
      <c r="TSP28" s="54"/>
      <c r="TSQ28" s="54"/>
      <c r="TSR28" s="54"/>
      <c r="TSS28" s="57"/>
      <c r="TST28" s="62"/>
      <c r="TSU28" s="63"/>
      <c r="TSV28" s="63"/>
      <c r="TSW28" s="63"/>
      <c r="TSX28" s="63"/>
      <c r="TSY28" s="63"/>
      <c r="TSZ28" s="63"/>
      <c r="TTA28" s="63"/>
      <c r="TTB28" s="63"/>
      <c r="TTC28" s="63"/>
      <c r="TTD28" s="63"/>
      <c r="TTE28" s="63"/>
      <c r="TTF28" s="54"/>
      <c r="TTG28" s="54"/>
      <c r="TTH28" s="54"/>
      <c r="TTI28" s="57"/>
      <c r="TTJ28" s="62"/>
      <c r="TTK28" s="63"/>
      <c r="TTL28" s="63"/>
      <c r="TTM28" s="63"/>
      <c r="TTN28" s="63"/>
      <c r="TTO28" s="63"/>
      <c r="TTP28" s="63"/>
      <c r="TTQ28" s="63"/>
      <c r="TTR28" s="63"/>
      <c r="TTS28" s="63"/>
      <c r="TTT28" s="63"/>
      <c r="TTU28" s="63"/>
      <c r="TTV28" s="54"/>
      <c r="TTW28" s="54"/>
      <c r="TTX28" s="54"/>
      <c r="TTY28" s="57"/>
      <c r="TTZ28" s="62"/>
      <c r="TUA28" s="63"/>
      <c r="TUB28" s="63"/>
      <c r="TUC28" s="63"/>
      <c r="TUD28" s="63"/>
      <c r="TUE28" s="63"/>
      <c r="TUF28" s="63"/>
      <c r="TUG28" s="63"/>
      <c r="TUH28" s="63"/>
      <c r="TUI28" s="63"/>
      <c r="TUJ28" s="63"/>
      <c r="TUK28" s="63"/>
      <c r="TUL28" s="54"/>
      <c r="TUM28" s="54"/>
      <c r="TUN28" s="54"/>
      <c r="TUO28" s="57"/>
      <c r="TUP28" s="62"/>
      <c r="TUQ28" s="63"/>
      <c r="TUR28" s="63"/>
      <c r="TUS28" s="63"/>
      <c r="TUT28" s="63"/>
      <c r="TUU28" s="63"/>
      <c r="TUV28" s="63"/>
      <c r="TUW28" s="63"/>
      <c r="TUX28" s="63"/>
      <c r="TUY28" s="63"/>
      <c r="TUZ28" s="63"/>
      <c r="TVA28" s="63"/>
      <c r="TVB28" s="54"/>
      <c r="TVC28" s="54"/>
      <c r="TVD28" s="54"/>
      <c r="TVE28" s="57"/>
      <c r="TVF28" s="62"/>
      <c r="TVG28" s="63"/>
      <c r="TVH28" s="63"/>
      <c r="TVI28" s="63"/>
      <c r="TVJ28" s="63"/>
      <c r="TVK28" s="63"/>
      <c r="TVL28" s="63"/>
      <c r="TVM28" s="63"/>
      <c r="TVN28" s="63"/>
      <c r="TVO28" s="63"/>
      <c r="TVP28" s="63"/>
      <c r="TVQ28" s="63"/>
      <c r="TVR28" s="54"/>
      <c r="TVS28" s="54"/>
      <c r="TVT28" s="54"/>
      <c r="TVU28" s="57"/>
      <c r="TVV28" s="62"/>
      <c r="TVW28" s="63"/>
      <c r="TVX28" s="63"/>
      <c r="TVY28" s="63"/>
      <c r="TVZ28" s="63"/>
      <c r="TWA28" s="63"/>
      <c r="TWB28" s="63"/>
      <c r="TWC28" s="63"/>
      <c r="TWD28" s="63"/>
      <c r="TWE28" s="63"/>
      <c r="TWF28" s="63"/>
      <c r="TWG28" s="63"/>
      <c r="TWH28" s="54"/>
      <c r="TWI28" s="54"/>
      <c r="TWJ28" s="54"/>
      <c r="TWK28" s="57"/>
      <c r="TWL28" s="62"/>
      <c r="TWM28" s="63"/>
      <c r="TWN28" s="63"/>
      <c r="TWO28" s="63"/>
      <c r="TWP28" s="63"/>
      <c r="TWQ28" s="63"/>
      <c r="TWR28" s="63"/>
      <c r="TWS28" s="63"/>
      <c r="TWT28" s="63"/>
      <c r="TWU28" s="63"/>
      <c r="TWV28" s="63"/>
      <c r="TWW28" s="63"/>
      <c r="TWX28" s="54"/>
      <c r="TWY28" s="54"/>
      <c r="TWZ28" s="54"/>
      <c r="TXA28" s="57"/>
      <c r="TXB28" s="62"/>
      <c r="TXC28" s="63"/>
      <c r="TXD28" s="63"/>
      <c r="TXE28" s="63"/>
      <c r="TXF28" s="63"/>
      <c r="TXG28" s="63"/>
      <c r="TXH28" s="63"/>
      <c r="TXI28" s="63"/>
      <c r="TXJ28" s="63"/>
      <c r="TXK28" s="63"/>
      <c r="TXL28" s="63"/>
      <c r="TXM28" s="63"/>
      <c r="TXN28" s="54"/>
      <c r="TXO28" s="54"/>
      <c r="TXP28" s="54"/>
      <c r="TXQ28" s="57"/>
      <c r="TXR28" s="62"/>
      <c r="TXS28" s="63"/>
      <c r="TXT28" s="63"/>
      <c r="TXU28" s="63"/>
      <c r="TXV28" s="63"/>
      <c r="TXW28" s="63"/>
      <c r="TXX28" s="63"/>
      <c r="TXY28" s="63"/>
      <c r="TXZ28" s="63"/>
      <c r="TYA28" s="63"/>
      <c r="TYB28" s="63"/>
      <c r="TYC28" s="63"/>
      <c r="TYD28" s="54"/>
      <c r="TYE28" s="54"/>
      <c r="TYF28" s="54"/>
      <c r="TYG28" s="57"/>
      <c r="TYH28" s="62"/>
      <c r="TYI28" s="63"/>
      <c r="TYJ28" s="63"/>
      <c r="TYK28" s="63"/>
      <c r="TYL28" s="63"/>
      <c r="TYM28" s="63"/>
      <c r="TYN28" s="63"/>
      <c r="TYO28" s="63"/>
      <c r="TYP28" s="63"/>
      <c r="TYQ28" s="63"/>
      <c r="TYR28" s="63"/>
      <c r="TYS28" s="63"/>
      <c r="TYT28" s="54"/>
      <c r="TYU28" s="54"/>
      <c r="TYV28" s="54"/>
      <c r="TYW28" s="57"/>
      <c r="TYX28" s="62"/>
      <c r="TYY28" s="63"/>
      <c r="TYZ28" s="63"/>
      <c r="TZA28" s="63"/>
      <c r="TZB28" s="63"/>
      <c r="TZC28" s="63"/>
      <c r="TZD28" s="63"/>
      <c r="TZE28" s="63"/>
      <c r="TZF28" s="63"/>
      <c r="TZG28" s="63"/>
      <c r="TZH28" s="63"/>
      <c r="TZI28" s="63"/>
      <c r="TZJ28" s="54"/>
      <c r="TZK28" s="54"/>
      <c r="TZL28" s="54"/>
      <c r="TZM28" s="57"/>
      <c r="TZN28" s="62"/>
      <c r="TZO28" s="63"/>
      <c r="TZP28" s="63"/>
      <c r="TZQ28" s="63"/>
      <c r="TZR28" s="63"/>
      <c r="TZS28" s="63"/>
      <c r="TZT28" s="63"/>
      <c r="TZU28" s="63"/>
      <c r="TZV28" s="63"/>
      <c r="TZW28" s="63"/>
      <c r="TZX28" s="63"/>
      <c r="TZY28" s="63"/>
      <c r="TZZ28" s="54"/>
      <c r="UAA28" s="54"/>
      <c r="UAB28" s="54"/>
      <c r="UAC28" s="57"/>
      <c r="UAD28" s="62"/>
      <c r="UAE28" s="63"/>
      <c r="UAF28" s="63"/>
      <c r="UAG28" s="63"/>
      <c r="UAH28" s="63"/>
      <c r="UAI28" s="63"/>
      <c r="UAJ28" s="63"/>
      <c r="UAK28" s="63"/>
      <c r="UAL28" s="63"/>
      <c r="UAM28" s="63"/>
      <c r="UAN28" s="63"/>
      <c r="UAO28" s="63"/>
      <c r="UAP28" s="54"/>
      <c r="UAQ28" s="54"/>
      <c r="UAR28" s="54"/>
      <c r="UAS28" s="57"/>
      <c r="UAT28" s="62"/>
      <c r="UAU28" s="63"/>
      <c r="UAV28" s="63"/>
      <c r="UAW28" s="63"/>
      <c r="UAX28" s="63"/>
      <c r="UAY28" s="63"/>
      <c r="UAZ28" s="63"/>
      <c r="UBA28" s="63"/>
      <c r="UBB28" s="63"/>
      <c r="UBC28" s="63"/>
      <c r="UBD28" s="63"/>
      <c r="UBE28" s="63"/>
      <c r="UBF28" s="54"/>
      <c r="UBG28" s="54"/>
      <c r="UBH28" s="54"/>
      <c r="UBI28" s="57"/>
      <c r="UBJ28" s="62"/>
      <c r="UBK28" s="63"/>
      <c r="UBL28" s="63"/>
      <c r="UBM28" s="63"/>
      <c r="UBN28" s="63"/>
      <c r="UBO28" s="63"/>
      <c r="UBP28" s="63"/>
      <c r="UBQ28" s="63"/>
      <c r="UBR28" s="63"/>
      <c r="UBS28" s="63"/>
      <c r="UBT28" s="63"/>
      <c r="UBU28" s="63"/>
      <c r="UBV28" s="54"/>
      <c r="UBW28" s="54"/>
      <c r="UBX28" s="54"/>
      <c r="UBY28" s="57"/>
      <c r="UBZ28" s="62"/>
      <c r="UCA28" s="63"/>
      <c r="UCB28" s="63"/>
      <c r="UCC28" s="63"/>
      <c r="UCD28" s="63"/>
      <c r="UCE28" s="63"/>
      <c r="UCF28" s="63"/>
      <c r="UCG28" s="63"/>
      <c r="UCH28" s="63"/>
      <c r="UCI28" s="63"/>
      <c r="UCJ28" s="63"/>
      <c r="UCK28" s="63"/>
      <c r="UCL28" s="54"/>
      <c r="UCM28" s="54"/>
      <c r="UCN28" s="54"/>
      <c r="UCO28" s="57"/>
      <c r="UCP28" s="62"/>
      <c r="UCQ28" s="63"/>
      <c r="UCR28" s="63"/>
      <c r="UCS28" s="63"/>
      <c r="UCT28" s="63"/>
      <c r="UCU28" s="63"/>
      <c r="UCV28" s="63"/>
      <c r="UCW28" s="63"/>
      <c r="UCX28" s="63"/>
      <c r="UCY28" s="63"/>
      <c r="UCZ28" s="63"/>
      <c r="UDA28" s="63"/>
      <c r="UDB28" s="54"/>
      <c r="UDC28" s="54"/>
      <c r="UDD28" s="54"/>
      <c r="UDE28" s="57"/>
      <c r="UDF28" s="62"/>
      <c r="UDG28" s="63"/>
      <c r="UDH28" s="63"/>
      <c r="UDI28" s="63"/>
      <c r="UDJ28" s="63"/>
      <c r="UDK28" s="63"/>
      <c r="UDL28" s="63"/>
      <c r="UDM28" s="63"/>
      <c r="UDN28" s="63"/>
      <c r="UDO28" s="63"/>
      <c r="UDP28" s="63"/>
      <c r="UDQ28" s="63"/>
      <c r="UDR28" s="54"/>
      <c r="UDS28" s="54"/>
      <c r="UDT28" s="54"/>
      <c r="UDU28" s="57"/>
      <c r="UDV28" s="62"/>
      <c r="UDW28" s="63"/>
      <c r="UDX28" s="63"/>
      <c r="UDY28" s="63"/>
      <c r="UDZ28" s="63"/>
      <c r="UEA28" s="63"/>
      <c r="UEB28" s="63"/>
      <c r="UEC28" s="63"/>
      <c r="UED28" s="63"/>
      <c r="UEE28" s="63"/>
      <c r="UEF28" s="63"/>
      <c r="UEG28" s="63"/>
      <c r="UEH28" s="54"/>
      <c r="UEI28" s="54"/>
      <c r="UEJ28" s="54"/>
      <c r="UEK28" s="57"/>
      <c r="UEL28" s="62"/>
      <c r="UEM28" s="63"/>
      <c r="UEN28" s="63"/>
      <c r="UEO28" s="63"/>
      <c r="UEP28" s="63"/>
      <c r="UEQ28" s="63"/>
      <c r="UER28" s="63"/>
      <c r="UES28" s="63"/>
      <c r="UET28" s="63"/>
      <c r="UEU28" s="63"/>
      <c r="UEV28" s="63"/>
      <c r="UEW28" s="63"/>
      <c r="UEX28" s="54"/>
      <c r="UEY28" s="54"/>
      <c r="UEZ28" s="54"/>
      <c r="UFA28" s="57"/>
      <c r="UFB28" s="62"/>
      <c r="UFC28" s="63"/>
      <c r="UFD28" s="63"/>
      <c r="UFE28" s="63"/>
      <c r="UFF28" s="63"/>
      <c r="UFG28" s="63"/>
      <c r="UFH28" s="63"/>
      <c r="UFI28" s="63"/>
      <c r="UFJ28" s="63"/>
      <c r="UFK28" s="63"/>
      <c r="UFL28" s="63"/>
      <c r="UFM28" s="63"/>
      <c r="UFN28" s="54"/>
      <c r="UFO28" s="54"/>
      <c r="UFP28" s="54"/>
      <c r="UFQ28" s="57"/>
      <c r="UFR28" s="62"/>
      <c r="UFS28" s="63"/>
      <c r="UFT28" s="63"/>
      <c r="UFU28" s="63"/>
      <c r="UFV28" s="63"/>
      <c r="UFW28" s="63"/>
      <c r="UFX28" s="63"/>
      <c r="UFY28" s="63"/>
      <c r="UFZ28" s="63"/>
      <c r="UGA28" s="63"/>
      <c r="UGB28" s="63"/>
      <c r="UGC28" s="63"/>
      <c r="UGD28" s="54"/>
      <c r="UGE28" s="54"/>
      <c r="UGF28" s="54"/>
      <c r="UGG28" s="57"/>
      <c r="UGH28" s="62"/>
      <c r="UGI28" s="63"/>
      <c r="UGJ28" s="63"/>
      <c r="UGK28" s="63"/>
      <c r="UGL28" s="63"/>
      <c r="UGM28" s="63"/>
      <c r="UGN28" s="63"/>
      <c r="UGO28" s="63"/>
      <c r="UGP28" s="63"/>
      <c r="UGQ28" s="63"/>
      <c r="UGR28" s="63"/>
      <c r="UGS28" s="63"/>
      <c r="UGT28" s="54"/>
      <c r="UGU28" s="54"/>
      <c r="UGV28" s="54"/>
      <c r="UGW28" s="57"/>
      <c r="UGX28" s="62"/>
      <c r="UGY28" s="63"/>
      <c r="UGZ28" s="63"/>
      <c r="UHA28" s="63"/>
      <c r="UHB28" s="63"/>
      <c r="UHC28" s="63"/>
      <c r="UHD28" s="63"/>
      <c r="UHE28" s="63"/>
      <c r="UHF28" s="63"/>
      <c r="UHG28" s="63"/>
      <c r="UHH28" s="63"/>
      <c r="UHI28" s="63"/>
      <c r="UHJ28" s="54"/>
      <c r="UHK28" s="54"/>
      <c r="UHL28" s="54"/>
      <c r="UHM28" s="57"/>
      <c r="UHN28" s="62"/>
      <c r="UHO28" s="63"/>
      <c r="UHP28" s="63"/>
      <c r="UHQ28" s="63"/>
      <c r="UHR28" s="63"/>
      <c r="UHS28" s="63"/>
      <c r="UHT28" s="63"/>
      <c r="UHU28" s="63"/>
      <c r="UHV28" s="63"/>
      <c r="UHW28" s="63"/>
      <c r="UHX28" s="63"/>
      <c r="UHY28" s="63"/>
      <c r="UHZ28" s="54"/>
      <c r="UIA28" s="54"/>
      <c r="UIB28" s="54"/>
      <c r="UIC28" s="57"/>
      <c r="UID28" s="62"/>
      <c r="UIE28" s="63"/>
      <c r="UIF28" s="63"/>
      <c r="UIG28" s="63"/>
      <c r="UIH28" s="63"/>
      <c r="UII28" s="63"/>
      <c r="UIJ28" s="63"/>
      <c r="UIK28" s="63"/>
      <c r="UIL28" s="63"/>
      <c r="UIM28" s="63"/>
      <c r="UIN28" s="63"/>
      <c r="UIO28" s="63"/>
      <c r="UIP28" s="54"/>
      <c r="UIQ28" s="54"/>
      <c r="UIR28" s="54"/>
      <c r="UIS28" s="57"/>
      <c r="UIT28" s="62"/>
      <c r="UIU28" s="63"/>
      <c r="UIV28" s="63"/>
      <c r="UIW28" s="63"/>
      <c r="UIX28" s="63"/>
      <c r="UIY28" s="63"/>
      <c r="UIZ28" s="63"/>
      <c r="UJA28" s="63"/>
      <c r="UJB28" s="63"/>
      <c r="UJC28" s="63"/>
      <c r="UJD28" s="63"/>
      <c r="UJE28" s="63"/>
      <c r="UJF28" s="54"/>
      <c r="UJG28" s="54"/>
      <c r="UJH28" s="54"/>
      <c r="UJI28" s="57"/>
      <c r="UJJ28" s="62"/>
      <c r="UJK28" s="63"/>
      <c r="UJL28" s="63"/>
      <c r="UJM28" s="63"/>
      <c r="UJN28" s="63"/>
      <c r="UJO28" s="63"/>
      <c r="UJP28" s="63"/>
      <c r="UJQ28" s="63"/>
      <c r="UJR28" s="63"/>
      <c r="UJS28" s="63"/>
      <c r="UJT28" s="63"/>
      <c r="UJU28" s="63"/>
      <c r="UJV28" s="54"/>
      <c r="UJW28" s="54"/>
      <c r="UJX28" s="54"/>
      <c r="UJY28" s="57"/>
      <c r="UJZ28" s="62"/>
      <c r="UKA28" s="63"/>
      <c r="UKB28" s="63"/>
      <c r="UKC28" s="63"/>
      <c r="UKD28" s="63"/>
      <c r="UKE28" s="63"/>
      <c r="UKF28" s="63"/>
      <c r="UKG28" s="63"/>
      <c r="UKH28" s="63"/>
      <c r="UKI28" s="63"/>
      <c r="UKJ28" s="63"/>
      <c r="UKK28" s="63"/>
      <c r="UKL28" s="54"/>
      <c r="UKM28" s="54"/>
      <c r="UKN28" s="54"/>
      <c r="UKO28" s="57"/>
      <c r="UKP28" s="62"/>
      <c r="UKQ28" s="63"/>
      <c r="UKR28" s="63"/>
      <c r="UKS28" s="63"/>
      <c r="UKT28" s="63"/>
      <c r="UKU28" s="63"/>
      <c r="UKV28" s="63"/>
      <c r="UKW28" s="63"/>
      <c r="UKX28" s="63"/>
      <c r="UKY28" s="63"/>
      <c r="UKZ28" s="63"/>
      <c r="ULA28" s="63"/>
      <c r="ULB28" s="54"/>
      <c r="ULC28" s="54"/>
      <c r="ULD28" s="54"/>
      <c r="ULE28" s="57"/>
      <c r="ULF28" s="62"/>
      <c r="ULG28" s="63"/>
      <c r="ULH28" s="63"/>
      <c r="ULI28" s="63"/>
      <c r="ULJ28" s="63"/>
      <c r="ULK28" s="63"/>
      <c r="ULL28" s="63"/>
      <c r="ULM28" s="63"/>
      <c r="ULN28" s="63"/>
      <c r="ULO28" s="63"/>
      <c r="ULP28" s="63"/>
      <c r="ULQ28" s="63"/>
      <c r="ULR28" s="54"/>
      <c r="ULS28" s="54"/>
      <c r="ULT28" s="54"/>
      <c r="ULU28" s="57"/>
      <c r="ULV28" s="62"/>
      <c r="ULW28" s="63"/>
      <c r="ULX28" s="63"/>
      <c r="ULY28" s="63"/>
      <c r="ULZ28" s="63"/>
      <c r="UMA28" s="63"/>
      <c r="UMB28" s="63"/>
      <c r="UMC28" s="63"/>
      <c r="UMD28" s="63"/>
      <c r="UME28" s="63"/>
      <c r="UMF28" s="63"/>
      <c r="UMG28" s="63"/>
      <c r="UMH28" s="54"/>
      <c r="UMI28" s="54"/>
      <c r="UMJ28" s="54"/>
      <c r="UMK28" s="57"/>
      <c r="UML28" s="62"/>
      <c r="UMM28" s="63"/>
      <c r="UMN28" s="63"/>
      <c r="UMO28" s="63"/>
      <c r="UMP28" s="63"/>
      <c r="UMQ28" s="63"/>
      <c r="UMR28" s="63"/>
      <c r="UMS28" s="63"/>
      <c r="UMT28" s="63"/>
      <c r="UMU28" s="63"/>
      <c r="UMV28" s="63"/>
      <c r="UMW28" s="63"/>
      <c r="UMX28" s="54"/>
      <c r="UMY28" s="54"/>
      <c r="UMZ28" s="54"/>
      <c r="UNA28" s="57"/>
      <c r="UNB28" s="62"/>
      <c r="UNC28" s="63"/>
      <c r="UND28" s="63"/>
      <c r="UNE28" s="63"/>
      <c r="UNF28" s="63"/>
      <c r="UNG28" s="63"/>
      <c r="UNH28" s="63"/>
      <c r="UNI28" s="63"/>
      <c r="UNJ28" s="63"/>
      <c r="UNK28" s="63"/>
      <c r="UNL28" s="63"/>
      <c r="UNM28" s="63"/>
      <c r="UNN28" s="54"/>
      <c r="UNO28" s="54"/>
      <c r="UNP28" s="54"/>
      <c r="UNQ28" s="57"/>
      <c r="UNR28" s="62"/>
      <c r="UNS28" s="63"/>
      <c r="UNT28" s="63"/>
      <c r="UNU28" s="63"/>
      <c r="UNV28" s="63"/>
      <c r="UNW28" s="63"/>
      <c r="UNX28" s="63"/>
      <c r="UNY28" s="63"/>
      <c r="UNZ28" s="63"/>
      <c r="UOA28" s="63"/>
      <c r="UOB28" s="63"/>
      <c r="UOC28" s="63"/>
      <c r="UOD28" s="54"/>
      <c r="UOE28" s="54"/>
      <c r="UOF28" s="54"/>
      <c r="UOG28" s="57"/>
      <c r="UOH28" s="62"/>
      <c r="UOI28" s="63"/>
      <c r="UOJ28" s="63"/>
      <c r="UOK28" s="63"/>
      <c r="UOL28" s="63"/>
      <c r="UOM28" s="63"/>
      <c r="UON28" s="63"/>
      <c r="UOO28" s="63"/>
      <c r="UOP28" s="63"/>
      <c r="UOQ28" s="63"/>
      <c r="UOR28" s="63"/>
      <c r="UOS28" s="63"/>
      <c r="UOT28" s="54"/>
      <c r="UOU28" s="54"/>
      <c r="UOV28" s="54"/>
      <c r="UOW28" s="57"/>
      <c r="UOX28" s="62"/>
      <c r="UOY28" s="63"/>
      <c r="UOZ28" s="63"/>
      <c r="UPA28" s="63"/>
      <c r="UPB28" s="63"/>
      <c r="UPC28" s="63"/>
      <c r="UPD28" s="63"/>
      <c r="UPE28" s="63"/>
      <c r="UPF28" s="63"/>
      <c r="UPG28" s="63"/>
      <c r="UPH28" s="63"/>
      <c r="UPI28" s="63"/>
      <c r="UPJ28" s="54"/>
      <c r="UPK28" s="54"/>
      <c r="UPL28" s="54"/>
      <c r="UPM28" s="57"/>
      <c r="UPN28" s="62"/>
      <c r="UPO28" s="63"/>
      <c r="UPP28" s="63"/>
      <c r="UPQ28" s="63"/>
      <c r="UPR28" s="63"/>
      <c r="UPS28" s="63"/>
      <c r="UPT28" s="63"/>
      <c r="UPU28" s="63"/>
      <c r="UPV28" s="63"/>
      <c r="UPW28" s="63"/>
      <c r="UPX28" s="63"/>
      <c r="UPY28" s="63"/>
      <c r="UPZ28" s="54"/>
      <c r="UQA28" s="54"/>
      <c r="UQB28" s="54"/>
      <c r="UQC28" s="57"/>
      <c r="UQD28" s="62"/>
      <c r="UQE28" s="63"/>
      <c r="UQF28" s="63"/>
      <c r="UQG28" s="63"/>
      <c r="UQH28" s="63"/>
      <c r="UQI28" s="63"/>
      <c r="UQJ28" s="63"/>
      <c r="UQK28" s="63"/>
      <c r="UQL28" s="63"/>
      <c r="UQM28" s="63"/>
      <c r="UQN28" s="63"/>
      <c r="UQO28" s="63"/>
      <c r="UQP28" s="54"/>
      <c r="UQQ28" s="54"/>
      <c r="UQR28" s="54"/>
      <c r="UQS28" s="57"/>
      <c r="UQT28" s="62"/>
      <c r="UQU28" s="63"/>
      <c r="UQV28" s="63"/>
      <c r="UQW28" s="63"/>
      <c r="UQX28" s="63"/>
      <c r="UQY28" s="63"/>
      <c r="UQZ28" s="63"/>
      <c r="URA28" s="63"/>
      <c r="URB28" s="63"/>
      <c r="URC28" s="63"/>
      <c r="URD28" s="63"/>
      <c r="URE28" s="63"/>
      <c r="URF28" s="54"/>
      <c r="URG28" s="54"/>
      <c r="URH28" s="54"/>
      <c r="URI28" s="57"/>
      <c r="URJ28" s="62"/>
      <c r="URK28" s="63"/>
      <c r="URL28" s="63"/>
      <c r="URM28" s="63"/>
      <c r="URN28" s="63"/>
      <c r="URO28" s="63"/>
      <c r="URP28" s="63"/>
      <c r="URQ28" s="63"/>
      <c r="URR28" s="63"/>
      <c r="URS28" s="63"/>
      <c r="URT28" s="63"/>
      <c r="URU28" s="63"/>
      <c r="URV28" s="54"/>
      <c r="URW28" s="54"/>
      <c r="URX28" s="54"/>
      <c r="URY28" s="57"/>
      <c r="URZ28" s="62"/>
      <c r="USA28" s="63"/>
      <c r="USB28" s="63"/>
      <c r="USC28" s="63"/>
      <c r="USD28" s="63"/>
      <c r="USE28" s="63"/>
      <c r="USF28" s="63"/>
      <c r="USG28" s="63"/>
      <c r="USH28" s="63"/>
      <c r="USI28" s="63"/>
      <c r="USJ28" s="63"/>
      <c r="USK28" s="63"/>
      <c r="USL28" s="54"/>
      <c r="USM28" s="54"/>
      <c r="USN28" s="54"/>
      <c r="USO28" s="57"/>
      <c r="USP28" s="62"/>
      <c r="USQ28" s="63"/>
      <c r="USR28" s="63"/>
      <c r="USS28" s="63"/>
      <c r="UST28" s="63"/>
      <c r="USU28" s="63"/>
      <c r="USV28" s="63"/>
      <c r="USW28" s="63"/>
      <c r="USX28" s="63"/>
      <c r="USY28" s="63"/>
      <c r="USZ28" s="63"/>
      <c r="UTA28" s="63"/>
      <c r="UTB28" s="54"/>
      <c r="UTC28" s="54"/>
      <c r="UTD28" s="54"/>
      <c r="UTE28" s="57"/>
      <c r="UTF28" s="62"/>
      <c r="UTG28" s="63"/>
      <c r="UTH28" s="63"/>
      <c r="UTI28" s="63"/>
      <c r="UTJ28" s="63"/>
      <c r="UTK28" s="63"/>
      <c r="UTL28" s="63"/>
      <c r="UTM28" s="63"/>
      <c r="UTN28" s="63"/>
      <c r="UTO28" s="63"/>
      <c r="UTP28" s="63"/>
      <c r="UTQ28" s="63"/>
      <c r="UTR28" s="54"/>
      <c r="UTS28" s="54"/>
      <c r="UTT28" s="54"/>
      <c r="UTU28" s="57"/>
      <c r="UTV28" s="62"/>
      <c r="UTW28" s="63"/>
      <c r="UTX28" s="63"/>
      <c r="UTY28" s="63"/>
      <c r="UTZ28" s="63"/>
      <c r="UUA28" s="63"/>
      <c r="UUB28" s="63"/>
      <c r="UUC28" s="63"/>
      <c r="UUD28" s="63"/>
      <c r="UUE28" s="63"/>
      <c r="UUF28" s="63"/>
      <c r="UUG28" s="63"/>
      <c r="UUH28" s="54"/>
      <c r="UUI28" s="54"/>
      <c r="UUJ28" s="54"/>
      <c r="UUK28" s="57"/>
      <c r="UUL28" s="62"/>
      <c r="UUM28" s="63"/>
      <c r="UUN28" s="63"/>
      <c r="UUO28" s="63"/>
      <c r="UUP28" s="63"/>
      <c r="UUQ28" s="63"/>
      <c r="UUR28" s="63"/>
      <c r="UUS28" s="63"/>
      <c r="UUT28" s="63"/>
      <c r="UUU28" s="63"/>
      <c r="UUV28" s="63"/>
      <c r="UUW28" s="63"/>
      <c r="UUX28" s="54"/>
      <c r="UUY28" s="54"/>
      <c r="UUZ28" s="54"/>
      <c r="UVA28" s="57"/>
      <c r="UVB28" s="62"/>
      <c r="UVC28" s="63"/>
      <c r="UVD28" s="63"/>
      <c r="UVE28" s="63"/>
      <c r="UVF28" s="63"/>
      <c r="UVG28" s="63"/>
      <c r="UVH28" s="63"/>
      <c r="UVI28" s="63"/>
      <c r="UVJ28" s="63"/>
      <c r="UVK28" s="63"/>
      <c r="UVL28" s="63"/>
      <c r="UVM28" s="63"/>
      <c r="UVN28" s="54"/>
      <c r="UVO28" s="54"/>
      <c r="UVP28" s="54"/>
      <c r="UVQ28" s="57"/>
      <c r="UVR28" s="62"/>
      <c r="UVS28" s="63"/>
      <c r="UVT28" s="63"/>
      <c r="UVU28" s="63"/>
      <c r="UVV28" s="63"/>
      <c r="UVW28" s="63"/>
      <c r="UVX28" s="63"/>
      <c r="UVY28" s="63"/>
      <c r="UVZ28" s="63"/>
      <c r="UWA28" s="63"/>
      <c r="UWB28" s="63"/>
      <c r="UWC28" s="63"/>
      <c r="UWD28" s="54"/>
      <c r="UWE28" s="54"/>
      <c r="UWF28" s="54"/>
      <c r="UWG28" s="57"/>
      <c r="UWH28" s="62"/>
      <c r="UWI28" s="63"/>
      <c r="UWJ28" s="63"/>
      <c r="UWK28" s="63"/>
      <c r="UWL28" s="63"/>
      <c r="UWM28" s="63"/>
      <c r="UWN28" s="63"/>
      <c r="UWO28" s="63"/>
      <c r="UWP28" s="63"/>
      <c r="UWQ28" s="63"/>
      <c r="UWR28" s="63"/>
      <c r="UWS28" s="63"/>
      <c r="UWT28" s="54"/>
      <c r="UWU28" s="54"/>
      <c r="UWV28" s="54"/>
      <c r="UWW28" s="57"/>
      <c r="UWX28" s="62"/>
      <c r="UWY28" s="63"/>
      <c r="UWZ28" s="63"/>
      <c r="UXA28" s="63"/>
      <c r="UXB28" s="63"/>
      <c r="UXC28" s="63"/>
      <c r="UXD28" s="63"/>
      <c r="UXE28" s="63"/>
      <c r="UXF28" s="63"/>
      <c r="UXG28" s="63"/>
      <c r="UXH28" s="63"/>
      <c r="UXI28" s="63"/>
      <c r="UXJ28" s="54"/>
      <c r="UXK28" s="54"/>
      <c r="UXL28" s="54"/>
      <c r="UXM28" s="57"/>
      <c r="UXN28" s="62"/>
      <c r="UXO28" s="63"/>
      <c r="UXP28" s="63"/>
      <c r="UXQ28" s="63"/>
      <c r="UXR28" s="63"/>
      <c r="UXS28" s="63"/>
      <c r="UXT28" s="63"/>
      <c r="UXU28" s="63"/>
      <c r="UXV28" s="63"/>
      <c r="UXW28" s="63"/>
      <c r="UXX28" s="63"/>
      <c r="UXY28" s="63"/>
      <c r="UXZ28" s="54"/>
      <c r="UYA28" s="54"/>
      <c r="UYB28" s="54"/>
      <c r="UYC28" s="57"/>
      <c r="UYD28" s="62"/>
      <c r="UYE28" s="63"/>
      <c r="UYF28" s="63"/>
      <c r="UYG28" s="63"/>
      <c r="UYH28" s="63"/>
      <c r="UYI28" s="63"/>
      <c r="UYJ28" s="63"/>
      <c r="UYK28" s="63"/>
      <c r="UYL28" s="63"/>
      <c r="UYM28" s="63"/>
      <c r="UYN28" s="63"/>
      <c r="UYO28" s="63"/>
      <c r="UYP28" s="54"/>
      <c r="UYQ28" s="54"/>
      <c r="UYR28" s="54"/>
      <c r="UYS28" s="57"/>
      <c r="UYT28" s="62"/>
      <c r="UYU28" s="63"/>
      <c r="UYV28" s="63"/>
      <c r="UYW28" s="63"/>
      <c r="UYX28" s="63"/>
      <c r="UYY28" s="63"/>
      <c r="UYZ28" s="63"/>
      <c r="UZA28" s="63"/>
      <c r="UZB28" s="63"/>
      <c r="UZC28" s="63"/>
      <c r="UZD28" s="63"/>
      <c r="UZE28" s="63"/>
      <c r="UZF28" s="54"/>
      <c r="UZG28" s="54"/>
      <c r="UZH28" s="54"/>
      <c r="UZI28" s="57"/>
      <c r="UZJ28" s="62"/>
      <c r="UZK28" s="63"/>
      <c r="UZL28" s="63"/>
      <c r="UZM28" s="63"/>
      <c r="UZN28" s="63"/>
      <c r="UZO28" s="63"/>
      <c r="UZP28" s="63"/>
      <c r="UZQ28" s="63"/>
      <c r="UZR28" s="63"/>
      <c r="UZS28" s="63"/>
      <c r="UZT28" s="63"/>
      <c r="UZU28" s="63"/>
      <c r="UZV28" s="54"/>
      <c r="UZW28" s="54"/>
      <c r="UZX28" s="54"/>
      <c r="UZY28" s="57"/>
      <c r="UZZ28" s="62"/>
      <c r="VAA28" s="63"/>
      <c r="VAB28" s="63"/>
      <c r="VAC28" s="63"/>
      <c r="VAD28" s="63"/>
      <c r="VAE28" s="63"/>
      <c r="VAF28" s="63"/>
      <c r="VAG28" s="63"/>
      <c r="VAH28" s="63"/>
      <c r="VAI28" s="63"/>
      <c r="VAJ28" s="63"/>
      <c r="VAK28" s="63"/>
      <c r="VAL28" s="54"/>
      <c r="VAM28" s="54"/>
      <c r="VAN28" s="54"/>
      <c r="VAO28" s="57"/>
      <c r="VAP28" s="62"/>
      <c r="VAQ28" s="63"/>
      <c r="VAR28" s="63"/>
      <c r="VAS28" s="63"/>
      <c r="VAT28" s="63"/>
      <c r="VAU28" s="63"/>
      <c r="VAV28" s="63"/>
      <c r="VAW28" s="63"/>
      <c r="VAX28" s="63"/>
      <c r="VAY28" s="63"/>
      <c r="VAZ28" s="63"/>
      <c r="VBA28" s="63"/>
      <c r="VBB28" s="54"/>
      <c r="VBC28" s="54"/>
      <c r="VBD28" s="54"/>
      <c r="VBE28" s="57"/>
      <c r="VBF28" s="62"/>
      <c r="VBG28" s="63"/>
      <c r="VBH28" s="63"/>
      <c r="VBI28" s="63"/>
      <c r="VBJ28" s="63"/>
      <c r="VBK28" s="63"/>
      <c r="VBL28" s="63"/>
      <c r="VBM28" s="63"/>
      <c r="VBN28" s="63"/>
      <c r="VBO28" s="63"/>
      <c r="VBP28" s="63"/>
      <c r="VBQ28" s="63"/>
      <c r="VBR28" s="54"/>
      <c r="VBS28" s="54"/>
      <c r="VBT28" s="54"/>
      <c r="VBU28" s="57"/>
      <c r="VBV28" s="62"/>
      <c r="VBW28" s="63"/>
      <c r="VBX28" s="63"/>
      <c r="VBY28" s="63"/>
      <c r="VBZ28" s="63"/>
      <c r="VCA28" s="63"/>
      <c r="VCB28" s="63"/>
      <c r="VCC28" s="63"/>
      <c r="VCD28" s="63"/>
      <c r="VCE28" s="63"/>
      <c r="VCF28" s="63"/>
      <c r="VCG28" s="63"/>
      <c r="VCH28" s="54"/>
      <c r="VCI28" s="54"/>
      <c r="VCJ28" s="54"/>
      <c r="VCK28" s="57"/>
      <c r="VCL28" s="62"/>
      <c r="VCM28" s="63"/>
      <c r="VCN28" s="63"/>
      <c r="VCO28" s="63"/>
      <c r="VCP28" s="63"/>
      <c r="VCQ28" s="63"/>
      <c r="VCR28" s="63"/>
      <c r="VCS28" s="63"/>
      <c r="VCT28" s="63"/>
      <c r="VCU28" s="63"/>
      <c r="VCV28" s="63"/>
      <c r="VCW28" s="63"/>
      <c r="VCX28" s="54"/>
      <c r="VCY28" s="54"/>
      <c r="VCZ28" s="54"/>
      <c r="VDA28" s="57"/>
      <c r="VDB28" s="62"/>
      <c r="VDC28" s="63"/>
      <c r="VDD28" s="63"/>
      <c r="VDE28" s="63"/>
      <c r="VDF28" s="63"/>
      <c r="VDG28" s="63"/>
      <c r="VDH28" s="63"/>
      <c r="VDI28" s="63"/>
      <c r="VDJ28" s="63"/>
      <c r="VDK28" s="63"/>
      <c r="VDL28" s="63"/>
      <c r="VDM28" s="63"/>
      <c r="VDN28" s="54"/>
      <c r="VDO28" s="54"/>
      <c r="VDP28" s="54"/>
      <c r="VDQ28" s="57"/>
      <c r="VDR28" s="62"/>
      <c r="VDS28" s="63"/>
      <c r="VDT28" s="63"/>
      <c r="VDU28" s="63"/>
      <c r="VDV28" s="63"/>
      <c r="VDW28" s="63"/>
      <c r="VDX28" s="63"/>
      <c r="VDY28" s="63"/>
      <c r="VDZ28" s="63"/>
      <c r="VEA28" s="63"/>
      <c r="VEB28" s="63"/>
      <c r="VEC28" s="63"/>
      <c r="VED28" s="54"/>
      <c r="VEE28" s="54"/>
      <c r="VEF28" s="54"/>
      <c r="VEG28" s="57"/>
      <c r="VEH28" s="62"/>
      <c r="VEI28" s="63"/>
      <c r="VEJ28" s="63"/>
      <c r="VEK28" s="63"/>
      <c r="VEL28" s="63"/>
      <c r="VEM28" s="63"/>
      <c r="VEN28" s="63"/>
      <c r="VEO28" s="63"/>
      <c r="VEP28" s="63"/>
      <c r="VEQ28" s="63"/>
      <c r="VER28" s="63"/>
      <c r="VES28" s="63"/>
      <c r="VET28" s="54"/>
      <c r="VEU28" s="54"/>
      <c r="VEV28" s="54"/>
      <c r="VEW28" s="57"/>
      <c r="VEX28" s="62"/>
      <c r="VEY28" s="63"/>
      <c r="VEZ28" s="63"/>
      <c r="VFA28" s="63"/>
      <c r="VFB28" s="63"/>
      <c r="VFC28" s="63"/>
      <c r="VFD28" s="63"/>
      <c r="VFE28" s="63"/>
      <c r="VFF28" s="63"/>
      <c r="VFG28" s="63"/>
      <c r="VFH28" s="63"/>
      <c r="VFI28" s="63"/>
      <c r="VFJ28" s="54"/>
      <c r="VFK28" s="54"/>
      <c r="VFL28" s="54"/>
      <c r="VFM28" s="57"/>
      <c r="VFN28" s="62"/>
      <c r="VFO28" s="63"/>
      <c r="VFP28" s="63"/>
      <c r="VFQ28" s="63"/>
      <c r="VFR28" s="63"/>
      <c r="VFS28" s="63"/>
      <c r="VFT28" s="63"/>
      <c r="VFU28" s="63"/>
      <c r="VFV28" s="63"/>
      <c r="VFW28" s="63"/>
      <c r="VFX28" s="63"/>
      <c r="VFY28" s="63"/>
      <c r="VFZ28" s="54"/>
      <c r="VGA28" s="54"/>
      <c r="VGB28" s="54"/>
      <c r="VGC28" s="57"/>
      <c r="VGD28" s="62"/>
      <c r="VGE28" s="63"/>
      <c r="VGF28" s="63"/>
      <c r="VGG28" s="63"/>
      <c r="VGH28" s="63"/>
      <c r="VGI28" s="63"/>
      <c r="VGJ28" s="63"/>
      <c r="VGK28" s="63"/>
      <c r="VGL28" s="63"/>
      <c r="VGM28" s="63"/>
      <c r="VGN28" s="63"/>
      <c r="VGO28" s="63"/>
      <c r="VGP28" s="54"/>
      <c r="VGQ28" s="54"/>
      <c r="VGR28" s="54"/>
      <c r="VGS28" s="57"/>
      <c r="VGT28" s="62"/>
      <c r="VGU28" s="63"/>
      <c r="VGV28" s="63"/>
      <c r="VGW28" s="63"/>
      <c r="VGX28" s="63"/>
      <c r="VGY28" s="63"/>
      <c r="VGZ28" s="63"/>
      <c r="VHA28" s="63"/>
      <c r="VHB28" s="63"/>
      <c r="VHC28" s="63"/>
      <c r="VHD28" s="63"/>
      <c r="VHE28" s="63"/>
      <c r="VHF28" s="54"/>
      <c r="VHG28" s="54"/>
      <c r="VHH28" s="54"/>
      <c r="VHI28" s="57"/>
      <c r="VHJ28" s="62"/>
      <c r="VHK28" s="63"/>
      <c r="VHL28" s="63"/>
      <c r="VHM28" s="63"/>
      <c r="VHN28" s="63"/>
      <c r="VHO28" s="63"/>
      <c r="VHP28" s="63"/>
      <c r="VHQ28" s="63"/>
      <c r="VHR28" s="63"/>
      <c r="VHS28" s="63"/>
      <c r="VHT28" s="63"/>
      <c r="VHU28" s="63"/>
      <c r="VHV28" s="54"/>
      <c r="VHW28" s="54"/>
      <c r="VHX28" s="54"/>
      <c r="VHY28" s="57"/>
      <c r="VHZ28" s="62"/>
      <c r="VIA28" s="63"/>
      <c r="VIB28" s="63"/>
      <c r="VIC28" s="63"/>
      <c r="VID28" s="63"/>
      <c r="VIE28" s="63"/>
      <c r="VIF28" s="63"/>
      <c r="VIG28" s="63"/>
      <c r="VIH28" s="63"/>
      <c r="VII28" s="63"/>
      <c r="VIJ28" s="63"/>
      <c r="VIK28" s="63"/>
      <c r="VIL28" s="54"/>
      <c r="VIM28" s="54"/>
      <c r="VIN28" s="54"/>
      <c r="VIO28" s="57"/>
      <c r="VIP28" s="62"/>
      <c r="VIQ28" s="63"/>
      <c r="VIR28" s="63"/>
      <c r="VIS28" s="63"/>
      <c r="VIT28" s="63"/>
      <c r="VIU28" s="63"/>
      <c r="VIV28" s="63"/>
      <c r="VIW28" s="63"/>
      <c r="VIX28" s="63"/>
      <c r="VIY28" s="63"/>
      <c r="VIZ28" s="63"/>
      <c r="VJA28" s="63"/>
      <c r="VJB28" s="54"/>
      <c r="VJC28" s="54"/>
      <c r="VJD28" s="54"/>
      <c r="VJE28" s="57"/>
      <c r="VJF28" s="62"/>
      <c r="VJG28" s="63"/>
      <c r="VJH28" s="63"/>
      <c r="VJI28" s="63"/>
      <c r="VJJ28" s="63"/>
      <c r="VJK28" s="63"/>
      <c r="VJL28" s="63"/>
      <c r="VJM28" s="63"/>
      <c r="VJN28" s="63"/>
      <c r="VJO28" s="63"/>
      <c r="VJP28" s="63"/>
      <c r="VJQ28" s="63"/>
      <c r="VJR28" s="54"/>
      <c r="VJS28" s="54"/>
      <c r="VJT28" s="54"/>
      <c r="VJU28" s="57"/>
      <c r="VJV28" s="62"/>
      <c r="VJW28" s="63"/>
      <c r="VJX28" s="63"/>
      <c r="VJY28" s="63"/>
      <c r="VJZ28" s="63"/>
      <c r="VKA28" s="63"/>
      <c r="VKB28" s="63"/>
      <c r="VKC28" s="63"/>
      <c r="VKD28" s="63"/>
      <c r="VKE28" s="63"/>
      <c r="VKF28" s="63"/>
      <c r="VKG28" s="63"/>
      <c r="VKH28" s="54"/>
      <c r="VKI28" s="54"/>
      <c r="VKJ28" s="54"/>
      <c r="VKK28" s="57"/>
      <c r="VKL28" s="62"/>
      <c r="VKM28" s="63"/>
      <c r="VKN28" s="63"/>
      <c r="VKO28" s="63"/>
      <c r="VKP28" s="63"/>
      <c r="VKQ28" s="63"/>
      <c r="VKR28" s="63"/>
      <c r="VKS28" s="63"/>
      <c r="VKT28" s="63"/>
      <c r="VKU28" s="63"/>
      <c r="VKV28" s="63"/>
      <c r="VKW28" s="63"/>
      <c r="VKX28" s="54"/>
      <c r="VKY28" s="54"/>
      <c r="VKZ28" s="54"/>
      <c r="VLA28" s="57"/>
      <c r="VLB28" s="62"/>
      <c r="VLC28" s="63"/>
      <c r="VLD28" s="63"/>
      <c r="VLE28" s="63"/>
      <c r="VLF28" s="63"/>
      <c r="VLG28" s="63"/>
      <c r="VLH28" s="63"/>
      <c r="VLI28" s="63"/>
      <c r="VLJ28" s="63"/>
      <c r="VLK28" s="63"/>
      <c r="VLL28" s="63"/>
      <c r="VLM28" s="63"/>
      <c r="VLN28" s="54"/>
      <c r="VLO28" s="54"/>
      <c r="VLP28" s="54"/>
      <c r="VLQ28" s="57"/>
      <c r="VLR28" s="62"/>
      <c r="VLS28" s="63"/>
      <c r="VLT28" s="63"/>
      <c r="VLU28" s="63"/>
      <c r="VLV28" s="63"/>
      <c r="VLW28" s="63"/>
      <c r="VLX28" s="63"/>
      <c r="VLY28" s="63"/>
      <c r="VLZ28" s="63"/>
      <c r="VMA28" s="63"/>
      <c r="VMB28" s="63"/>
      <c r="VMC28" s="63"/>
      <c r="VMD28" s="54"/>
      <c r="VME28" s="54"/>
      <c r="VMF28" s="54"/>
      <c r="VMG28" s="57"/>
      <c r="VMH28" s="62"/>
      <c r="VMI28" s="63"/>
      <c r="VMJ28" s="63"/>
      <c r="VMK28" s="63"/>
      <c r="VML28" s="63"/>
      <c r="VMM28" s="63"/>
      <c r="VMN28" s="63"/>
      <c r="VMO28" s="63"/>
      <c r="VMP28" s="63"/>
      <c r="VMQ28" s="63"/>
      <c r="VMR28" s="63"/>
      <c r="VMS28" s="63"/>
      <c r="VMT28" s="54"/>
      <c r="VMU28" s="54"/>
      <c r="VMV28" s="54"/>
      <c r="VMW28" s="57"/>
      <c r="VMX28" s="62"/>
      <c r="VMY28" s="63"/>
      <c r="VMZ28" s="63"/>
      <c r="VNA28" s="63"/>
      <c r="VNB28" s="63"/>
      <c r="VNC28" s="63"/>
      <c r="VND28" s="63"/>
      <c r="VNE28" s="63"/>
      <c r="VNF28" s="63"/>
      <c r="VNG28" s="63"/>
      <c r="VNH28" s="63"/>
      <c r="VNI28" s="63"/>
      <c r="VNJ28" s="54"/>
      <c r="VNK28" s="54"/>
      <c r="VNL28" s="54"/>
      <c r="VNM28" s="57"/>
      <c r="VNN28" s="62"/>
      <c r="VNO28" s="63"/>
      <c r="VNP28" s="63"/>
      <c r="VNQ28" s="63"/>
      <c r="VNR28" s="63"/>
      <c r="VNS28" s="63"/>
      <c r="VNT28" s="63"/>
      <c r="VNU28" s="63"/>
      <c r="VNV28" s="63"/>
      <c r="VNW28" s="63"/>
      <c r="VNX28" s="63"/>
      <c r="VNY28" s="63"/>
      <c r="VNZ28" s="54"/>
      <c r="VOA28" s="54"/>
      <c r="VOB28" s="54"/>
      <c r="VOC28" s="57"/>
      <c r="VOD28" s="62"/>
      <c r="VOE28" s="63"/>
      <c r="VOF28" s="63"/>
      <c r="VOG28" s="63"/>
      <c r="VOH28" s="63"/>
      <c r="VOI28" s="63"/>
      <c r="VOJ28" s="63"/>
      <c r="VOK28" s="63"/>
      <c r="VOL28" s="63"/>
      <c r="VOM28" s="63"/>
      <c r="VON28" s="63"/>
      <c r="VOO28" s="63"/>
      <c r="VOP28" s="54"/>
      <c r="VOQ28" s="54"/>
      <c r="VOR28" s="54"/>
      <c r="VOS28" s="57"/>
      <c r="VOT28" s="62"/>
      <c r="VOU28" s="63"/>
      <c r="VOV28" s="63"/>
      <c r="VOW28" s="63"/>
      <c r="VOX28" s="63"/>
      <c r="VOY28" s="63"/>
      <c r="VOZ28" s="63"/>
      <c r="VPA28" s="63"/>
      <c r="VPB28" s="63"/>
      <c r="VPC28" s="63"/>
      <c r="VPD28" s="63"/>
      <c r="VPE28" s="63"/>
      <c r="VPF28" s="54"/>
      <c r="VPG28" s="54"/>
      <c r="VPH28" s="54"/>
      <c r="VPI28" s="57"/>
      <c r="VPJ28" s="62"/>
      <c r="VPK28" s="63"/>
      <c r="VPL28" s="63"/>
      <c r="VPM28" s="63"/>
      <c r="VPN28" s="63"/>
      <c r="VPO28" s="63"/>
      <c r="VPP28" s="63"/>
      <c r="VPQ28" s="63"/>
      <c r="VPR28" s="63"/>
      <c r="VPS28" s="63"/>
      <c r="VPT28" s="63"/>
      <c r="VPU28" s="63"/>
      <c r="VPV28" s="54"/>
      <c r="VPW28" s="54"/>
      <c r="VPX28" s="54"/>
      <c r="VPY28" s="57"/>
      <c r="VPZ28" s="62"/>
      <c r="VQA28" s="63"/>
      <c r="VQB28" s="63"/>
      <c r="VQC28" s="63"/>
      <c r="VQD28" s="63"/>
      <c r="VQE28" s="63"/>
      <c r="VQF28" s="63"/>
      <c r="VQG28" s="63"/>
      <c r="VQH28" s="63"/>
      <c r="VQI28" s="63"/>
      <c r="VQJ28" s="63"/>
      <c r="VQK28" s="63"/>
      <c r="VQL28" s="54"/>
      <c r="VQM28" s="54"/>
      <c r="VQN28" s="54"/>
      <c r="VQO28" s="57"/>
      <c r="VQP28" s="62"/>
      <c r="VQQ28" s="63"/>
      <c r="VQR28" s="63"/>
      <c r="VQS28" s="63"/>
      <c r="VQT28" s="63"/>
      <c r="VQU28" s="63"/>
      <c r="VQV28" s="63"/>
      <c r="VQW28" s="63"/>
      <c r="VQX28" s="63"/>
      <c r="VQY28" s="63"/>
      <c r="VQZ28" s="63"/>
      <c r="VRA28" s="63"/>
      <c r="VRB28" s="54"/>
      <c r="VRC28" s="54"/>
      <c r="VRD28" s="54"/>
      <c r="VRE28" s="57"/>
      <c r="VRF28" s="62"/>
      <c r="VRG28" s="63"/>
      <c r="VRH28" s="63"/>
      <c r="VRI28" s="63"/>
      <c r="VRJ28" s="63"/>
      <c r="VRK28" s="63"/>
      <c r="VRL28" s="63"/>
      <c r="VRM28" s="63"/>
      <c r="VRN28" s="63"/>
      <c r="VRO28" s="63"/>
      <c r="VRP28" s="63"/>
      <c r="VRQ28" s="63"/>
      <c r="VRR28" s="54"/>
      <c r="VRS28" s="54"/>
      <c r="VRT28" s="54"/>
      <c r="VRU28" s="57"/>
      <c r="VRV28" s="62"/>
      <c r="VRW28" s="63"/>
      <c r="VRX28" s="63"/>
      <c r="VRY28" s="63"/>
      <c r="VRZ28" s="63"/>
      <c r="VSA28" s="63"/>
      <c r="VSB28" s="63"/>
      <c r="VSC28" s="63"/>
      <c r="VSD28" s="63"/>
      <c r="VSE28" s="63"/>
      <c r="VSF28" s="63"/>
      <c r="VSG28" s="63"/>
      <c r="VSH28" s="54"/>
      <c r="VSI28" s="54"/>
      <c r="VSJ28" s="54"/>
      <c r="VSK28" s="57"/>
      <c r="VSL28" s="62"/>
      <c r="VSM28" s="63"/>
      <c r="VSN28" s="63"/>
      <c r="VSO28" s="63"/>
      <c r="VSP28" s="63"/>
      <c r="VSQ28" s="63"/>
      <c r="VSR28" s="63"/>
      <c r="VSS28" s="63"/>
      <c r="VST28" s="63"/>
      <c r="VSU28" s="63"/>
      <c r="VSV28" s="63"/>
      <c r="VSW28" s="63"/>
      <c r="VSX28" s="54"/>
      <c r="VSY28" s="54"/>
      <c r="VSZ28" s="54"/>
      <c r="VTA28" s="57"/>
      <c r="VTB28" s="62"/>
      <c r="VTC28" s="63"/>
      <c r="VTD28" s="63"/>
      <c r="VTE28" s="63"/>
      <c r="VTF28" s="63"/>
      <c r="VTG28" s="63"/>
      <c r="VTH28" s="63"/>
      <c r="VTI28" s="63"/>
      <c r="VTJ28" s="63"/>
      <c r="VTK28" s="63"/>
      <c r="VTL28" s="63"/>
      <c r="VTM28" s="63"/>
      <c r="VTN28" s="54"/>
      <c r="VTO28" s="54"/>
      <c r="VTP28" s="54"/>
      <c r="VTQ28" s="57"/>
      <c r="VTR28" s="62"/>
      <c r="VTS28" s="63"/>
      <c r="VTT28" s="63"/>
      <c r="VTU28" s="63"/>
      <c r="VTV28" s="63"/>
      <c r="VTW28" s="63"/>
      <c r="VTX28" s="63"/>
      <c r="VTY28" s="63"/>
      <c r="VTZ28" s="63"/>
      <c r="VUA28" s="63"/>
      <c r="VUB28" s="63"/>
      <c r="VUC28" s="63"/>
      <c r="VUD28" s="54"/>
      <c r="VUE28" s="54"/>
      <c r="VUF28" s="54"/>
      <c r="VUG28" s="57"/>
      <c r="VUH28" s="62"/>
      <c r="VUI28" s="63"/>
      <c r="VUJ28" s="63"/>
      <c r="VUK28" s="63"/>
      <c r="VUL28" s="63"/>
      <c r="VUM28" s="63"/>
      <c r="VUN28" s="63"/>
      <c r="VUO28" s="63"/>
      <c r="VUP28" s="63"/>
      <c r="VUQ28" s="63"/>
      <c r="VUR28" s="63"/>
      <c r="VUS28" s="63"/>
      <c r="VUT28" s="54"/>
      <c r="VUU28" s="54"/>
      <c r="VUV28" s="54"/>
      <c r="VUW28" s="57"/>
      <c r="VUX28" s="62"/>
      <c r="VUY28" s="63"/>
      <c r="VUZ28" s="63"/>
      <c r="VVA28" s="63"/>
      <c r="VVB28" s="63"/>
      <c r="VVC28" s="63"/>
      <c r="VVD28" s="63"/>
      <c r="VVE28" s="63"/>
      <c r="VVF28" s="63"/>
      <c r="VVG28" s="63"/>
      <c r="VVH28" s="63"/>
      <c r="VVI28" s="63"/>
      <c r="VVJ28" s="54"/>
      <c r="VVK28" s="54"/>
      <c r="VVL28" s="54"/>
      <c r="VVM28" s="57"/>
      <c r="VVN28" s="62"/>
      <c r="VVO28" s="63"/>
      <c r="VVP28" s="63"/>
      <c r="VVQ28" s="63"/>
      <c r="VVR28" s="63"/>
      <c r="VVS28" s="63"/>
      <c r="VVT28" s="63"/>
      <c r="VVU28" s="63"/>
      <c r="VVV28" s="63"/>
      <c r="VVW28" s="63"/>
      <c r="VVX28" s="63"/>
      <c r="VVY28" s="63"/>
      <c r="VVZ28" s="54"/>
      <c r="VWA28" s="54"/>
      <c r="VWB28" s="54"/>
      <c r="VWC28" s="57"/>
      <c r="VWD28" s="62"/>
      <c r="VWE28" s="63"/>
      <c r="VWF28" s="63"/>
      <c r="VWG28" s="63"/>
      <c r="VWH28" s="63"/>
      <c r="VWI28" s="63"/>
      <c r="VWJ28" s="63"/>
      <c r="VWK28" s="63"/>
      <c r="VWL28" s="63"/>
      <c r="VWM28" s="63"/>
      <c r="VWN28" s="63"/>
      <c r="VWO28" s="63"/>
      <c r="VWP28" s="54"/>
      <c r="VWQ28" s="54"/>
      <c r="VWR28" s="54"/>
      <c r="VWS28" s="57"/>
      <c r="VWT28" s="62"/>
      <c r="VWU28" s="63"/>
      <c r="VWV28" s="63"/>
      <c r="VWW28" s="63"/>
      <c r="VWX28" s="63"/>
      <c r="VWY28" s="63"/>
      <c r="VWZ28" s="63"/>
      <c r="VXA28" s="63"/>
      <c r="VXB28" s="63"/>
      <c r="VXC28" s="63"/>
      <c r="VXD28" s="63"/>
      <c r="VXE28" s="63"/>
      <c r="VXF28" s="54"/>
      <c r="VXG28" s="54"/>
      <c r="VXH28" s="54"/>
      <c r="VXI28" s="57"/>
      <c r="VXJ28" s="62"/>
      <c r="VXK28" s="63"/>
      <c r="VXL28" s="63"/>
      <c r="VXM28" s="63"/>
      <c r="VXN28" s="63"/>
      <c r="VXO28" s="63"/>
      <c r="VXP28" s="63"/>
      <c r="VXQ28" s="63"/>
      <c r="VXR28" s="63"/>
      <c r="VXS28" s="63"/>
      <c r="VXT28" s="63"/>
      <c r="VXU28" s="63"/>
      <c r="VXV28" s="54"/>
      <c r="VXW28" s="54"/>
      <c r="VXX28" s="54"/>
      <c r="VXY28" s="57"/>
      <c r="VXZ28" s="62"/>
      <c r="VYA28" s="63"/>
      <c r="VYB28" s="63"/>
      <c r="VYC28" s="63"/>
      <c r="VYD28" s="63"/>
      <c r="VYE28" s="63"/>
      <c r="VYF28" s="63"/>
      <c r="VYG28" s="63"/>
      <c r="VYH28" s="63"/>
      <c r="VYI28" s="63"/>
      <c r="VYJ28" s="63"/>
      <c r="VYK28" s="63"/>
      <c r="VYL28" s="54"/>
      <c r="VYM28" s="54"/>
      <c r="VYN28" s="54"/>
      <c r="VYO28" s="57"/>
      <c r="VYP28" s="62"/>
      <c r="VYQ28" s="63"/>
      <c r="VYR28" s="63"/>
      <c r="VYS28" s="63"/>
      <c r="VYT28" s="63"/>
      <c r="VYU28" s="63"/>
      <c r="VYV28" s="63"/>
      <c r="VYW28" s="63"/>
      <c r="VYX28" s="63"/>
      <c r="VYY28" s="63"/>
      <c r="VYZ28" s="63"/>
      <c r="VZA28" s="63"/>
      <c r="VZB28" s="54"/>
      <c r="VZC28" s="54"/>
      <c r="VZD28" s="54"/>
      <c r="VZE28" s="57"/>
      <c r="VZF28" s="62"/>
      <c r="VZG28" s="63"/>
      <c r="VZH28" s="63"/>
      <c r="VZI28" s="63"/>
      <c r="VZJ28" s="63"/>
      <c r="VZK28" s="63"/>
      <c r="VZL28" s="63"/>
      <c r="VZM28" s="63"/>
      <c r="VZN28" s="63"/>
      <c r="VZO28" s="63"/>
      <c r="VZP28" s="63"/>
      <c r="VZQ28" s="63"/>
      <c r="VZR28" s="54"/>
      <c r="VZS28" s="54"/>
      <c r="VZT28" s="54"/>
      <c r="VZU28" s="57"/>
      <c r="VZV28" s="62"/>
      <c r="VZW28" s="63"/>
      <c r="VZX28" s="63"/>
      <c r="VZY28" s="63"/>
      <c r="VZZ28" s="63"/>
      <c r="WAA28" s="63"/>
      <c r="WAB28" s="63"/>
      <c r="WAC28" s="63"/>
      <c r="WAD28" s="63"/>
      <c r="WAE28" s="63"/>
      <c r="WAF28" s="63"/>
      <c r="WAG28" s="63"/>
      <c r="WAH28" s="54"/>
      <c r="WAI28" s="54"/>
      <c r="WAJ28" s="54"/>
      <c r="WAK28" s="57"/>
      <c r="WAL28" s="62"/>
      <c r="WAM28" s="63"/>
      <c r="WAN28" s="63"/>
      <c r="WAO28" s="63"/>
      <c r="WAP28" s="63"/>
      <c r="WAQ28" s="63"/>
      <c r="WAR28" s="63"/>
      <c r="WAS28" s="63"/>
      <c r="WAT28" s="63"/>
      <c r="WAU28" s="63"/>
      <c r="WAV28" s="63"/>
      <c r="WAW28" s="63"/>
      <c r="WAX28" s="54"/>
      <c r="WAY28" s="54"/>
      <c r="WAZ28" s="54"/>
      <c r="WBA28" s="57"/>
      <c r="WBB28" s="62"/>
      <c r="WBC28" s="63"/>
      <c r="WBD28" s="63"/>
      <c r="WBE28" s="63"/>
      <c r="WBF28" s="63"/>
      <c r="WBG28" s="63"/>
      <c r="WBH28" s="63"/>
      <c r="WBI28" s="63"/>
      <c r="WBJ28" s="63"/>
      <c r="WBK28" s="63"/>
      <c r="WBL28" s="63"/>
      <c r="WBM28" s="63"/>
      <c r="WBN28" s="54"/>
      <c r="WBO28" s="54"/>
      <c r="WBP28" s="54"/>
      <c r="WBQ28" s="57"/>
      <c r="WBR28" s="62"/>
      <c r="WBS28" s="63"/>
      <c r="WBT28" s="63"/>
      <c r="WBU28" s="63"/>
      <c r="WBV28" s="63"/>
      <c r="WBW28" s="63"/>
      <c r="WBX28" s="63"/>
      <c r="WBY28" s="63"/>
      <c r="WBZ28" s="63"/>
      <c r="WCA28" s="63"/>
      <c r="WCB28" s="63"/>
      <c r="WCC28" s="63"/>
      <c r="WCD28" s="54"/>
      <c r="WCE28" s="54"/>
      <c r="WCF28" s="54"/>
      <c r="WCG28" s="57"/>
      <c r="WCH28" s="62"/>
      <c r="WCI28" s="63"/>
      <c r="WCJ28" s="63"/>
      <c r="WCK28" s="63"/>
      <c r="WCL28" s="63"/>
      <c r="WCM28" s="63"/>
      <c r="WCN28" s="63"/>
      <c r="WCO28" s="63"/>
      <c r="WCP28" s="63"/>
      <c r="WCQ28" s="63"/>
      <c r="WCR28" s="63"/>
      <c r="WCS28" s="63"/>
      <c r="WCT28" s="54"/>
      <c r="WCU28" s="54"/>
      <c r="WCV28" s="54"/>
      <c r="WCW28" s="57"/>
      <c r="WCX28" s="62"/>
      <c r="WCY28" s="63"/>
      <c r="WCZ28" s="63"/>
      <c r="WDA28" s="63"/>
      <c r="WDB28" s="63"/>
      <c r="WDC28" s="63"/>
      <c r="WDD28" s="63"/>
      <c r="WDE28" s="63"/>
      <c r="WDF28" s="63"/>
      <c r="WDG28" s="63"/>
      <c r="WDH28" s="63"/>
      <c r="WDI28" s="63"/>
      <c r="WDJ28" s="54"/>
      <c r="WDK28" s="54"/>
      <c r="WDL28" s="54"/>
      <c r="WDM28" s="57"/>
      <c r="WDN28" s="62"/>
      <c r="WDO28" s="63"/>
      <c r="WDP28" s="63"/>
      <c r="WDQ28" s="63"/>
      <c r="WDR28" s="63"/>
      <c r="WDS28" s="63"/>
      <c r="WDT28" s="63"/>
      <c r="WDU28" s="63"/>
      <c r="WDV28" s="63"/>
      <c r="WDW28" s="63"/>
      <c r="WDX28" s="63"/>
      <c r="WDY28" s="63"/>
      <c r="WDZ28" s="54"/>
      <c r="WEA28" s="54"/>
      <c r="WEB28" s="54"/>
      <c r="WEC28" s="57"/>
      <c r="WED28" s="62"/>
      <c r="WEE28" s="63"/>
      <c r="WEF28" s="63"/>
      <c r="WEG28" s="63"/>
      <c r="WEH28" s="63"/>
      <c r="WEI28" s="63"/>
      <c r="WEJ28" s="63"/>
      <c r="WEK28" s="63"/>
      <c r="WEL28" s="63"/>
      <c r="WEM28" s="63"/>
      <c r="WEN28" s="63"/>
      <c r="WEO28" s="63"/>
      <c r="WEP28" s="54"/>
      <c r="WEQ28" s="54"/>
      <c r="WER28" s="54"/>
      <c r="WES28" s="57"/>
      <c r="WET28" s="62"/>
      <c r="WEU28" s="63"/>
      <c r="WEV28" s="63"/>
      <c r="WEW28" s="63"/>
      <c r="WEX28" s="63"/>
      <c r="WEY28" s="63"/>
      <c r="WEZ28" s="63"/>
      <c r="WFA28" s="63"/>
      <c r="WFB28" s="63"/>
      <c r="WFC28" s="63"/>
      <c r="WFD28" s="63"/>
      <c r="WFE28" s="63"/>
      <c r="WFF28" s="54"/>
      <c r="WFG28" s="54"/>
      <c r="WFH28" s="54"/>
      <c r="WFI28" s="57"/>
      <c r="WFJ28" s="62"/>
      <c r="WFK28" s="63"/>
      <c r="WFL28" s="63"/>
      <c r="WFM28" s="63"/>
      <c r="WFN28" s="63"/>
      <c r="WFO28" s="63"/>
      <c r="WFP28" s="63"/>
      <c r="WFQ28" s="63"/>
      <c r="WFR28" s="63"/>
      <c r="WFS28" s="63"/>
      <c r="WFT28" s="63"/>
      <c r="WFU28" s="63"/>
      <c r="WFV28" s="54"/>
      <c r="WFW28" s="54"/>
      <c r="WFX28" s="54"/>
      <c r="WFY28" s="57"/>
      <c r="WFZ28" s="62"/>
      <c r="WGA28" s="63"/>
      <c r="WGB28" s="63"/>
      <c r="WGC28" s="63"/>
      <c r="WGD28" s="63"/>
      <c r="WGE28" s="63"/>
      <c r="WGF28" s="63"/>
      <c r="WGG28" s="63"/>
      <c r="WGH28" s="63"/>
      <c r="WGI28" s="63"/>
      <c r="WGJ28" s="63"/>
      <c r="WGK28" s="63"/>
      <c r="WGL28" s="54"/>
      <c r="WGM28" s="54"/>
      <c r="WGN28" s="54"/>
      <c r="WGO28" s="57"/>
      <c r="WGP28" s="62"/>
      <c r="WGQ28" s="63"/>
      <c r="WGR28" s="63"/>
      <c r="WGS28" s="63"/>
      <c r="WGT28" s="63"/>
      <c r="WGU28" s="63"/>
      <c r="WGV28" s="63"/>
      <c r="WGW28" s="63"/>
      <c r="WGX28" s="63"/>
      <c r="WGY28" s="63"/>
      <c r="WGZ28" s="63"/>
      <c r="WHA28" s="63"/>
      <c r="WHB28" s="54"/>
      <c r="WHC28" s="54"/>
      <c r="WHD28" s="54"/>
      <c r="WHE28" s="57"/>
      <c r="WHF28" s="62"/>
      <c r="WHG28" s="63"/>
      <c r="WHH28" s="63"/>
      <c r="WHI28" s="63"/>
      <c r="WHJ28" s="63"/>
      <c r="WHK28" s="63"/>
      <c r="WHL28" s="63"/>
      <c r="WHM28" s="63"/>
      <c r="WHN28" s="63"/>
      <c r="WHO28" s="63"/>
      <c r="WHP28" s="63"/>
      <c r="WHQ28" s="63"/>
      <c r="WHR28" s="54"/>
      <c r="WHS28" s="54"/>
      <c r="WHT28" s="54"/>
      <c r="WHU28" s="57"/>
      <c r="WHV28" s="62"/>
      <c r="WHW28" s="63"/>
      <c r="WHX28" s="63"/>
      <c r="WHY28" s="63"/>
      <c r="WHZ28" s="63"/>
      <c r="WIA28" s="63"/>
      <c r="WIB28" s="63"/>
      <c r="WIC28" s="63"/>
      <c r="WID28" s="63"/>
      <c r="WIE28" s="63"/>
      <c r="WIF28" s="63"/>
      <c r="WIG28" s="63"/>
      <c r="WIH28" s="54"/>
      <c r="WII28" s="54"/>
      <c r="WIJ28" s="54"/>
      <c r="WIK28" s="57"/>
      <c r="WIL28" s="62"/>
      <c r="WIM28" s="63"/>
      <c r="WIN28" s="63"/>
      <c r="WIO28" s="63"/>
      <c r="WIP28" s="63"/>
      <c r="WIQ28" s="63"/>
      <c r="WIR28" s="63"/>
      <c r="WIS28" s="63"/>
      <c r="WIT28" s="63"/>
      <c r="WIU28" s="63"/>
      <c r="WIV28" s="63"/>
      <c r="WIW28" s="63"/>
      <c r="WIX28" s="54"/>
      <c r="WIY28" s="54"/>
      <c r="WIZ28" s="54"/>
      <c r="WJA28" s="57"/>
      <c r="WJB28" s="62"/>
      <c r="WJC28" s="63"/>
      <c r="WJD28" s="63"/>
      <c r="WJE28" s="63"/>
      <c r="WJF28" s="63"/>
      <c r="WJG28" s="63"/>
      <c r="WJH28" s="63"/>
      <c r="WJI28" s="63"/>
      <c r="WJJ28" s="63"/>
      <c r="WJK28" s="63"/>
      <c r="WJL28" s="63"/>
      <c r="WJM28" s="63"/>
      <c r="WJN28" s="54"/>
      <c r="WJO28" s="54"/>
      <c r="WJP28" s="54"/>
      <c r="WJQ28" s="57"/>
      <c r="WJR28" s="62"/>
      <c r="WJS28" s="63"/>
      <c r="WJT28" s="63"/>
      <c r="WJU28" s="63"/>
      <c r="WJV28" s="63"/>
      <c r="WJW28" s="63"/>
      <c r="WJX28" s="63"/>
      <c r="WJY28" s="63"/>
      <c r="WJZ28" s="63"/>
      <c r="WKA28" s="63"/>
      <c r="WKB28" s="63"/>
      <c r="WKC28" s="63"/>
      <c r="WKD28" s="54"/>
      <c r="WKE28" s="54"/>
      <c r="WKF28" s="54"/>
      <c r="WKG28" s="57"/>
      <c r="WKH28" s="62"/>
      <c r="WKI28" s="63"/>
      <c r="WKJ28" s="63"/>
      <c r="WKK28" s="63"/>
      <c r="WKL28" s="63"/>
      <c r="WKM28" s="63"/>
      <c r="WKN28" s="63"/>
      <c r="WKO28" s="63"/>
      <c r="WKP28" s="63"/>
      <c r="WKQ28" s="63"/>
      <c r="WKR28" s="63"/>
      <c r="WKS28" s="63"/>
      <c r="WKT28" s="54"/>
      <c r="WKU28" s="54"/>
      <c r="WKV28" s="54"/>
      <c r="WKW28" s="57"/>
      <c r="WKX28" s="62"/>
      <c r="WKY28" s="63"/>
      <c r="WKZ28" s="63"/>
      <c r="WLA28" s="63"/>
      <c r="WLB28" s="63"/>
      <c r="WLC28" s="63"/>
      <c r="WLD28" s="63"/>
      <c r="WLE28" s="63"/>
      <c r="WLF28" s="63"/>
      <c r="WLG28" s="63"/>
      <c r="WLH28" s="63"/>
      <c r="WLI28" s="63"/>
      <c r="WLJ28" s="54"/>
      <c r="WLK28" s="54"/>
      <c r="WLL28" s="54"/>
      <c r="WLM28" s="57"/>
      <c r="WLN28" s="62"/>
      <c r="WLO28" s="63"/>
      <c r="WLP28" s="63"/>
      <c r="WLQ28" s="63"/>
      <c r="WLR28" s="63"/>
      <c r="WLS28" s="63"/>
      <c r="WLT28" s="63"/>
      <c r="WLU28" s="63"/>
      <c r="WLV28" s="63"/>
      <c r="WLW28" s="63"/>
      <c r="WLX28" s="63"/>
      <c r="WLY28" s="63"/>
      <c r="WLZ28" s="54"/>
      <c r="WMA28" s="54"/>
      <c r="WMB28" s="54"/>
      <c r="WMC28" s="57"/>
      <c r="WMD28" s="62"/>
      <c r="WME28" s="63"/>
      <c r="WMF28" s="63"/>
      <c r="WMG28" s="63"/>
      <c r="WMH28" s="63"/>
      <c r="WMI28" s="63"/>
      <c r="WMJ28" s="63"/>
      <c r="WMK28" s="63"/>
      <c r="WML28" s="63"/>
      <c r="WMM28" s="63"/>
      <c r="WMN28" s="63"/>
      <c r="WMO28" s="63"/>
      <c r="WMP28" s="54"/>
      <c r="WMQ28" s="54"/>
      <c r="WMR28" s="54"/>
      <c r="WMS28" s="57"/>
      <c r="WMT28" s="62"/>
      <c r="WMU28" s="63"/>
      <c r="WMV28" s="63"/>
      <c r="WMW28" s="63"/>
      <c r="WMX28" s="63"/>
      <c r="WMY28" s="63"/>
      <c r="WMZ28" s="63"/>
      <c r="WNA28" s="63"/>
      <c r="WNB28" s="63"/>
      <c r="WNC28" s="63"/>
      <c r="WND28" s="63"/>
      <c r="WNE28" s="63"/>
      <c r="WNF28" s="54"/>
      <c r="WNG28" s="54"/>
      <c r="WNH28" s="54"/>
      <c r="WNI28" s="57"/>
      <c r="WNJ28" s="62"/>
      <c r="WNK28" s="63"/>
      <c r="WNL28" s="63"/>
      <c r="WNM28" s="63"/>
      <c r="WNN28" s="63"/>
      <c r="WNO28" s="63"/>
      <c r="WNP28" s="63"/>
      <c r="WNQ28" s="63"/>
      <c r="WNR28" s="63"/>
      <c r="WNS28" s="63"/>
      <c r="WNT28" s="63"/>
      <c r="WNU28" s="63"/>
      <c r="WNV28" s="54"/>
      <c r="WNW28" s="54"/>
      <c r="WNX28" s="54"/>
      <c r="WNY28" s="57"/>
      <c r="WNZ28" s="62"/>
      <c r="WOA28" s="63"/>
      <c r="WOB28" s="63"/>
      <c r="WOC28" s="63"/>
      <c r="WOD28" s="63"/>
      <c r="WOE28" s="63"/>
      <c r="WOF28" s="63"/>
      <c r="WOG28" s="63"/>
      <c r="WOH28" s="63"/>
      <c r="WOI28" s="63"/>
      <c r="WOJ28" s="63"/>
      <c r="WOK28" s="63"/>
      <c r="WOL28" s="54"/>
      <c r="WOM28" s="54"/>
      <c r="WON28" s="54"/>
      <c r="WOO28" s="57"/>
      <c r="WOP28" s="62"/>
      <c r="WOQ28" s="63"/>
      <c r="WOR28" s="63"/>
      <c r="WOS28" s="63"/>
      <c r="WOT28" s="63"/>
      <c r="WOU28" s="63"/>
      <c r="WOV28" s="63"/>
      <c r="WOW28" s="63"/>
      <c r="WOX28" s="63"/>
      <c r="WOY28" s="63"/>
      <c r="WOZ28" s="63"/>
      <c r="WPA28" s="63"/>
      <c r="WPB28" s="54"/>
      <c r="WPC28" s="54"/>
      <c r="WPD28" s="54"/>
      <c r="WPE28" s="57"/>
      <c r="WPF28" s="62"/>
      <c r="WPG28" s="63"/>
      <c r="WPH28" s="63"/>
      <c r="WPI28" s="63"/>
      <c r="WPJ28" s="63"/>
      <c r="WPK28" s="63"/>
      <c r="WPL28" s="63"/>
      <c r="WPM28" s="63"/>
      <c r="WPN28" s="63"/>
      <c r="WPO28" s="63"/>
      <c r="WPP28" s="63"/>
      <c r="WPQ28" s="63"/>
      <c r="WPR28" s="54"/>
      <c r="WPS28" s="54"/>
      <c r="WPT28" s="54"/>
      <c r="WPU28" s="57"/>
      <c r="WPV28" s="62"/>
      <c r="WPW28" s="63"/>
      <c r="WPX28" s="63"/>
      <c r="WPY28" s="63"/>
      <c r="WPZ28" s="63"/>
      <c r="WQA28" s="63"/>
      <c r="WQB28" s="63"/>
      <c r="WQC28" s="63"/>
      <c r="WQD28" s="63"/>
      <c r="WQE28" s="63"/>
      <c r="WQF28" s="63"/>
      <c r="WQG28" s="63"/>
      <c r="WQH28" s="54"/>
      <c r="WQI28" s="54"/>
      <c r="WQJ28" s="54"/>
      <c r="WQK28" s="57"/>
      <c r="WQL28" s="62"/>
      <c r="WQM28" s="63"/>
      <c r="WQN28" s="63"/>
      <c r="WQO28" s="63"/>
      <c r="WQP28" s="63"/>
      <c r="WQQ28" s="63"/>
      <c r="WQR28" s="63"/>
      <c r="WQS28" s="63"/>
      <c r="WQT28" s="63"/>
      <c r="WQU28" s="63"/>
      <c r="WQV28" s="63"/>
      <c r="WQW28" s="63"/>
      <c r="WQX28" s="54"/>
      <c r="WQY28" s="54"/>
      <c r="WQZ28" s="54"/>
      <c r="WRA28" s="57"/>
      <c r="WRB28" s="62"/>
      <c r="WRC28" s="63"/>
      <c r="WRD28" s="63"/>
      <c r="WRE28" s="63"/>
      <c r="WRF28" s="63"/>
      <c r="WRG28" s="63"/>
      <c r="WRH28" s="63"/>
      <c r="WRI28" s="63"/>
      <c r="WRJ28" s="63"/>
      <c r="WRK28" s="63"/>
      <c r="WRL28" s="63"/>
      <c r="WRM28" s="63"/>
      <c r="WRN28" s="54"/>
      <c r="WRO28" s="54"/>
      <c r="WRP28" s="54"/>
      <c r="WRQ28" s="57"/>
      <c r="WRR28" s="62"/>
      <c r="WRS28" s="63"/>
      <c r="WRT28" s="63"/>
      <c r="WRU28" s="63"/>
      <c r="WRV28" s="63"/>
      <c r="WRW28" s="63"/>
      <c r="WRX28" s="63"/>
      <c r="WRY28" s="63"/>
      <c r="WRZ28" s="63"/>
      <c r="WSA28" s="63"/>
      <c r="WSB28" s="63"/>
      <c r="WSC28" s="63"/>
      <c r="WSD28" s="54"/>
      <c r="WSE28" s="54"/>
      <c r="WSF28" s="54"/>
      <c r="WSG28" s="57"/>
      <c r="WSH28" s="62"/>
      <c r="WSI28" s="63"/>
      <c r="WSJ28" s="63"/>
      <c r="WSK28" s="63"/>
      <c r="WSL28" s="63"/>
      <c r="WSM28" s="63"/>
      <c r="WSN28" s="63"/>
      <c r="WSO28" s="63"/>
      <c r="WSP28" s="63"/>
      <c r="WSQ28" s="63"/>
      <c r="WSR28" s="63"/>
      <c r="WSS28" s="63"/>
      <c r="WST28" s="54"/>
      <c r="WSU28" s="54"/>
      <c r="WSV28" s="54"/>
      <c r="WSW28" s="57"/>
      <c r="WSX28" s="62"/>
      <c r="WSY28" s="63"/>
      <c r="WSZ28" s="63"/>
      <c r="WTA28" s="63"/>
      <c r="WTB28" s="63"/>
      <c r="WTC28" s="63"/>
      <c r="WTD28" s="63"/>
      <c r="WTE28" s="63"/>
      <c r="WTF28" s="63"/>
      <c r="WTG28" s="63"/>
      <c r="WTH28" s="63"/>
      <c r="WTI28" s="63"/>
      <c r="WTJ28" s="54"/>
      <c r="WTK28" s="54"/>
      <c r="WTL28" s="54"/>
      <c r="WTM28" s="57"/>
      <c r="WTN28" s="62"/>
      <c r="WTO28" s="63"/>
      <c r="WTP28" s="63"/>
      <c r="WTQ28" s="63"/>
      <c r="WTR28" s="63"/>
      <c r="WTS28" s="63"/>
      <c r="WTT28" s="63"/>
      <c r="WTU28" s="63"/>
      <c r="WTV28" s="63"/>
      <c r="WTW28" s="63"/>
      <c r="WTX28" s="63"/>
      <c r="WTY28" s="63"/>
      <c r="WTZ28" s="54"/>
      <c r="WUA28" s="54"/>
      <c r="WUB28" s="54"/>
      <c r="WUC28" s="57"/>
      <c r="WUD28" s="62"/>
      <c r="WUE28" s="63"/>
      <c r="WUF28" s="63"/>
      <c r="WUG28" s="63"/>
      <c r="WUH28" s="63"/>
      <c r="WUI28" s="63"/>
      <c r="WUJ28" s="63"/>
      <c r="WUK28" s="63"/>
      <c r="WUL28" s="63"/>
      <c r="WUM28" s="63"/>
      <c r="WUN28" s="63"/>
      <c r="WUO28" s="63"/>
      <c r="WUP28" s="54"/>
      <c r="WUQ28" s="54"/>
      <c r="WUR28" s="54"/>
      <c r="WUS28" s="57"/>
      <c r="WUT28" s="62"/>
      <c r="WUU28" s="63"/>
      <c r="WUV28" s="63"/>
      <c r="WUW28" s="63"/>
      <c r="WUX28" s="63"/>
      <c r="WUY28" s="63"/>
      <c r="WUZ28" s="63"/>
      <c r="WVA28" s="63"/>
      <c r="WVB28" s="63"/>
      <c r="WVC28" s="63"/>
      <c r="WVD28" s="63"/>
      <c r="WVE28" s="63"/>
      <c r="WVF28" s="54"/>
      <c r="WVG28" s="54"/>
      <c r="WVH28" s="54"/>
      <c r="WVI28" s="57"/>
      <c r="WVJ28" s="62"/>
      <c r="WVK28" s="63"/>
      <c r="WVL28" s="63"/>
      <c r="WVM28" s="63"/>
      <c r="WVN28" s="63"/>
      <c r="WVO28" s="63"/>
      <c r="WVP28" s="63"/>
      <c r="WVQ28" s="63"/>
      <c r="WVR28" s="63"/>
      <c r="WVS28" s="63"/>
      <c r="WVT28" s="63"/>
      <c r="WVU28" s="63"/>
      <c r="WVV28" s="54"/>
      <c r="WVW28" s="54"/>
      <c r="WVX28" s="54"/>
      <c r="WVY28" s="57"/>
      <c r="WVZ28" s="62"/>
      <c r="WWA28" s="63"/>
      <c r="WWB28" s="63"/>
      <c r="WWC28" s="63"/>
      <c r="WWD28" s="63"/>
      <c r="WWE28" s="63"/>
      <c r="WWF28" s="63"/>
      <c r="WWG28" s="63"/>
      <c r="WWH28" s="63"/>
      <c r="WWI28" s="63"/>
      <c r="WWJ28" s="63"/>
      <c r="WWK28" s="63"/>
      <c r="WWL28" s="54"/>
      <c r="WWM28" s="54"/>
      <c r="WWN28" s="54"/>
      <c r="WWO28" s="57"/>
      <c r="WWP28" s="62"/>
      <c r="WWQ28" s="63"/>
      <c r="WWR28" s="63"/>
      <c r="WWS28" s="63"/>
      <c r="WWT28" s="63"/>
      <c r="WWU28" s="63"/>
      <c r="WWV28" s="63"/>
      <c r="WWW28" s="63"/>
      <c r="WWX28" s="63"/>
      <c r="WWY28" s="63"/>
      <c r="WWZ28" s="63"/>
      <c r="WXA28" s="63"/>
      <c r="WXB28" s="54"/>
      <c r="WXC28" s="54"/>
      <c r="WXD28" s="54"/>
      <c r="WXE28" s="57"/>
      <c r="WXF28" s="62"/>
      <c r="WXG28" s="63"/>
      <c r="WXH28" s="63"/>
      <c r="WXI28" s="63"/>
      <c r="WXJ28" s="63"/>
      <c r="WXK28" s="63"/>
      <c r="WXL28" s="63"/>
      <c r="WXM28" s="63"/>
      <c r="WXN28" s="63"/>
      <c r="WXO28" s="63"/>
      <c r="WXP28" s="63"/>
      <c r="WXQ28" s="63"/>
      <c r="WXR28" s="54"/>
      <c r="WXS28" s="54"/>
      <c r="WXT28" s="54"/>
      <c r="WXU28" s="57"/>
      <c r="WXV28" s="62"/>
      <c r="WXW28" s="63"/>
      <c r="WXX28" s="63"/>
      <c r="WXY28" s="63"/>
      <c r="WXZ28" s="63"/>
      <c r="WYA28" s="63"/>
      <c r="WYB28" s="63"/>
      <c r="WYC28" s="63"/>
      <c r="WYD28" s="63"/>
      <c r="WYE28" s="63"/>
      <c r="WYF28" s="63"/>
      <c r="WYG28" s="63"/>
      <c r="WYH28" s="54"/>
      <c r="WYI28" s="54"/>
      <c r="WYJ28" s="54"/>
      <c r="WYK28" s="57"/>
      <c r="WYL28" s="62"/>
      <c r="WYM28" s="63"/>
      <c r="WYN28" s="63"/>
      <c r="WYO28" s="63"/>
      <c r="WYP28" s="63"/>
      <c r="WYQ28" s="63"/>
      <c r="WYR28" s="63"/>
      <c r="WYS28" s="63"/>
      <c r="WYT28" s="63"/>
      <c r="WYU28" s="63"/>
      <c r="WYV28" s="63"/>
      <c r="WYW28" s="63"/>
      <c r="WYX28" s="54"/>
      <c r="WYY28" s="54"/>
      <c r="WYZ28" s="54"/>
      <c r="WZA28" s="57"/>
      <c r="WZB28" s="62"/>
      <c r="WZC28" s="63"/>
      <c r="WZD28" s="63"/>
      <c r="WZE28" s="63"/>
      <c r="WZF28" s="63"/>
      <c r="WZG28" s="63"/>
      <c r="WZH28" s="63"/>
      <c r="WZI28" s="63"/>
      <c r="WZJ28" s="63"/>
      <c r="WZK28" s="63"/>
      <c r="WZL28" s="63"/>
      <c r="WZM28" s="63"/>
      <c r="WZN28" s="54"/>
      <c r="WZO28" s="54"/>
      <c r="WZP28" s="54"/>
      <c r="WZQ28" s="57"/>
      <c r="WZR28" s="62"/>
      <c r="WZS28" s="63"/>
      <c r="WZT28" s="63"/>
      <c r="WZU28" s="63"/>
      <c r="WZV28" s="63"/>
      <c r="WZW28" s="63"/>
      <c r="WZX28" s="63"/>
      <c r="WZY28" s="63"/>
      <c r="WZZ28" s="63"/>
      <c r="XAA28" s="63"/>
      <c r="XAB28" s="63"/>
      <c r="XAC28" s="63"/>
      <c r="XAD28" s="54"/>
      <c r="XAE28" s="54"/>
      <c r="XAF28" s="54"/>
      <c r="XAG28" s="57"/>
      <c r="XAH28" s="62"/>
      <c r="XAI28" s="63"/>
      <c r="XAJ28" s="63"/>
      <c r="XAK28" s="63"/>
      <c r="XAL28" s="63"/>
      <c r="XAM28" s="63"/>
      <c r="XAN28" s="63"/>
      <c r="XAO28" s="63"/>
      <c r="XAP28" s="63"/>
      <c r="XAQ28" s="63"/>
      <c r="XAR28" s="63"/>
      <c r="XAS28" s="63"/>
      <c r="XAT28" s="54"/>
      <c r="XAU28" s="54"/>
      <c r="XAV28" s="54"/>
      <c r="XAW28" s="57"/>
      <c r="XAX28" s="62"/>
      <c r="XAY28" s="63"/>
      <c r="XAZ28" s="63"/>
      <c r="XBA28" s="63"/>
      <c r="XBB28" s="63"/>
      <c r="XBC28" s="63"/>
      <c r="XBD28" s="63"/>
      <c r="XBE28" s="63"/>
      <c r="XBF28" s="63"/>
      <c r="XBG28" s="63"/>
      <c r="XBH28" s="63"/>
      <c r="XBI28" s="63"/>
      <c r="XBJ28" s="54"/>
      <c r="XBK28" s="54"/>
      <c r="XBL28" s="54"/>
      <c r="XBM28" s="57"/>
      <c r="XBN28" s="62"/>
      <c r="XBO28" s="63"/>
      <c r="XBP28" s="63"/>
      <c r="XBQ28" s="63"/>
      <c r="XBR28" s="63"/>
      <c r="XBS28" s="63"/>
      <c r="XBT28" s="63"/>
      <c r="XBU28" s="63"/>
      <c r="XBV28" s="63"/>
      <c r="XBW28" s="63"/>
      <c r="XBX28" s="63"/>
      <c r="XBY28" s="63"/>
      <c r="XBZ28" s="54"/>
      <c r="XCA28" s="54"/>
      <c r="XCB28" s="54"/>
      <c r="XCC28" s="57"/>
      <c r="XCD28" s="62"/>
      <c r="XCE28" s="63"/>
      <c r="XCF28" s="63"/>
      <c r="XCG28" s="63"/>
      <c r="XCH28" s="63"/>
      <c r="XCI28" s="63"/>
      <c r="XCJ28" s="63"/>
      <c r="XCK28" s="63"/>
      <c r="XCL28" s="63"/>
      <c r="XCM28" s="63"/>
      <c r="XCN28" s="63"/>
      <c r="XCO28" s="63"/>
      <c r="XCP28" s="54"/>
      <c r="XCQ28" s="54"/>
      <c r="XCR28" s="54"/>
      <c r="XCS28" s="57"/>
      <c r="XCT28" s="62"/>
      <c r="XCU28" s="63"/>
      <c r="XCV28" s="63"/>
      <c r="XCW28" s="63"/>
      <c r="XCX28" s="63"/>
      <c r="XCY28" s="63"/>
      <c r="XCZ28" s="63"/>
      <c r="XDA28" s="63"/>
      <c r="XDB28" s="63"/>
      <c r="XDC28" s="63"/>
      <c r="XDD28" s="63"/>
      <c r="XDE28" s="63"/>
      <c r="XDF28" s="54"/>
      <c r="XDG28" s="54"/>
      <c r="XDH28" s="54"/>
      <c r="XDI28" s="57"/>
      <c r="XDJ28" s="62"/>
      <c r="XDK28" s="63"/>
      <c r="XDL28" s="63"/>
      <c r="XDM28" s="63"/>
      <c r="XDN28" s="63"/>
      <c r="XDO28" s="63"/>
      <c r="XDP28" s="63"/>
      <c r="XDQ28" s="63"/>
      <c r="XDR28" s="63"/>
      <c r="XDS28" s="63"/>
      <c r="XDT28" s="63"/>
      <c r="XDU28" s="63"/>
      <c r="XDV28" s="54"/>
      <c r="XDW28" s="54"/>
      <c r="XDX28" s="54"/>
      <c r="XDY28" s="57"/>
      <c r="XDZ28" s="62"/>
      <c r="XEA28" s="63"/>
      <c r="XEB28" s="63"/>
      <c r="XEC28" s="63"/>
      <c r="XED28" s="63"/>
      <c r="XEE28" s="63"/>
      <c r="XEF28" s="63"/>
      <c r="XEG28" s="63"/>
      <c r="XEH28" s="63"/>
      <c r="XEI28" s="63"/>
      <c r="XEJ28" s="63"/>
      <c r="XEK28" s="63"/>
      <c r="XEL28" s="54"/>
      <c r="XEM28" s="54"/>
      <c r="XEN28" s="54"/>
      <c r="XEO28" s="57"/>
      <c r="XEP28" s="62"/>
      <c r="XEQ28" s="63"/>
      <c r="XER28" s="63"/>
      <c r="XES28" s="63"/>
      <c r="XET28" s="63"/>
      <c r="XEU28" s="63"/>
      <c r="XEV28" s="63"/>
      <c r="XEW28" s="63"/>
      <c r="XEX28" s="63"/>
      <c r="XEY28" s="63"/>
      <c r="XEZ28" s="63"/>
      <c r="XFA28" s="63"/>
      <c r="XFB28" s="54"/>
      <c r="XFC28" s="54"/>
      <c r="XFD28" s="54"/>
    </row>
    <row r="29" spans="1:16384" s="41" customFormat="1" ht="222" hidden="1" customHeight="1">
      <c r="A29" s="69" t="s">
        <v>1792</v>
      </c>
      <c r="B29" s="70" t="s">
        <v>1793</v>
      </c>
      <c r="C29" s="70" t="s">
        <v>1794</v>
      </c>
      <c r="D29" s="70" t="s">
        <v>1795</v>
      </c>
      <c r="E29" s="70" t="s">
        <v>1750</v>
      </c>
      <c r="F29" s="70" t="s">
        <v>1796</v>
      </c>
      <c r="G29" s="48" t="s">
        <v>36</v>
      </c>
      <c r="H29" s="48" t="s">
        <v>11</v>
      </c>
      <c r="I29" s="48"/>
      <c r="J29" s="48" t="s">
        <v>0</v>
      </c>
      <c r="K29" s="48" t="s">
        <v>4</v>
      </c>
      <c r="L29" s="48"/>
      <c r="M29" s="46" t="s">
        <v>1797</v>
      </c>
    </row>
    <row r="30" spans="1:16384" s="41" customFormat="1" ht="222" hidden="1" customHeight="1">
      <c r="A30" s="69" t="s">
        <v>1798</v>
      </c>
      <c r="B30" s="70" t="s">
        <v>1799</v>
      </c>
      <c r="C30" s="70" t="s">
        <v>1794</v>
      </c>
      <c r="D30" s="70" t="s">
        <v>1795</v>
      </c>
      <c r="E30" s="70" t="s">
        <v>1754</v>
      </c>
      <c r="F30" s="70" t="s">
        <v>1796</v>
      </c>
      <c r="G30" s="48" t="s">
        <v>36</v>
      </c>
      <c r="H30" s="48" t="s">
        <v>11</v>
      </c>
      <c r="I30" s="48"/>
      <c r="J30" s="48" t="s">
        <v>0</v>
      </c>
      <c r="K30" s="48" t="s">
        <v>4</v>
      </c>
      <c r="L30" s="48"/>
      <c r="M30" s="46"/>
    </row>
    <row r="31" spans="1:16384" s="41" customFormat="1" ht="222" customHeight="1">
      <c r="A31" s="69" t="s">
        <v>1800</v>
      </c>
      <c r="B31" s="70" t="s">
        <v>1801</v>
      </c>
      <c r="C31" s="70" t="s">
        <v>1794</v>
      </c>
      <c r="D31" s="70" t="s">
        <v>1795</v>
      </c>
      <c r="E31" s="70" t="s">
        <v>1758</v>
      </c>
      <c r="F31" s="70" t="s">
        <v>1796</v>
      </c>
      <c r="G31" s="48" t="s">
        <v>36</v>
      </c>
      <c r="H31" s="48" t="s">
        <v>11</v>
      </c>
      <c r="I31" s="48"/>
      <c r="J31" s="48" t="s">
        <v>0</v>
      </c>
      <c r="K31" s="48" t="s">
        <v>4</v>
      </c>
      <c r="L31" s="48"/>
      <c r="M31" s="46"/>
    </row>
    <row r="32" spans="1:16384" s="41" customFormat="1" ht="222" hidden="1" customHeight="1">
      <c r="A32" s="69" t="s">
        <v>1802</v>
      </c>
      <c r="B32" s="70" t="s">
        <v>1803</v>
      </c>
      <c r="C32" s="70" t="s">
        <v>1794</v>
      </c>
      <c r="D32" s="70" t="s">
        <v>1795</v>
      </c>
      <c r="E32" s="70" t="s">
        <v>1762</v>
      </c>
      <c r="F32" s="70" t="s">
        <v>1796</v>
      </c>
      <c r="G32" s="48" t="s">
        <v>36</v>
      </c>
      <c r="H32" s="48" t="s">
        <v>11</v>
      </c>
      <c r="I32" s="48"/>
      <c r="J32" s="48" t="s">
        <v>0</v>
      </c>
      <c r="K32" s="48" t="s">
        <v>4</v>
      </c>
      <c r="L32" s="48"/>
      <c r="M32" s="46"/>
    </row>
    <row r="33" spans="1:13" ht="222" hidden="1" customHeight="1">
      <c r="A33" s="69" t="s">
        <v>1804</v>
      </c>
      <c r="B33" s="70" t="s">
        <v>1805</v>
      </c>
      <c r="C33" s="70" t="s">
        <v>1794</v>
      </c>
      <c r="D33" s="70" t="s">
        <v>1795</v>
      </c>
      <c r="E33" s="70" t="s">
        <v>1754</v>
      </c>
      <c r="F33" s="70" t="s">
        <v>1796</v>
      </c>
      <c r="G33" s="48" t="s">
        <v>36</v>
      </c>
      <c r="H33" s="48" t="s">
        <v>11</v>
      </c>
      <c r="I33" s="48"/>
      <c r="J33" s="48" t="s">
        <v>0</v>
      </c>
      <c r="K33" s="48" t="s">
        <v>4</v>
      </c>
      <c r="L33" s="48"/>
      <c r="M33" s="46"/>
    </row>
    <row r="34" spans="1:13" ht="222" hidden="1" customHeight="1">
      <c r="A34" s="69" t="s">
        <v>1806</v>
      </c>
      <c r="B34" s="70" t="s">
        <v>1807</v>
      </c>
      <c r="C34" s="70" t="s">
        <v>1794</v>
      </c>
      <c r="D34" s="70" t="s">
        <v>1795</v>
      </c>
      <c r="E34" s="70" t="s">
        <v>1758</v>
      </c>
      <c r="F34" s="70" t="s">
        <v>1796</v>
      </c>
      <c r="G34" s="48" t="s">
        <v>36</v>
      </c>
      <c r="H34" s="48" t="s">
        <v>11</v>
      </c>
      <c r="I34" s="48"/>
      <c r="J34" s="48"/>
      <c r="K34" s="48" t="s">
        <v>4</v>
      </c>
      <c r="L34" s="48"/>
      <c r="M34" s="46"/>
    </row>
    <row r="35" spans="1:13" ht="15.75"/>
    <row r="36" spans="1:13" ht="15.75"/>
    <row r="37" spans="1:13" ht="15.75"/>
  </sheetData>
  <autoFilter ref="A12:M34" xr:uid="{CDDC7BB5-37C0-4450-8EDC-F2A018DAE6C6}">
    <filterColumn colId="9">
      <filters>
        <filter val="Fail"/>
      </filters>
    </filterColumn>
  </autoFilter>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28EE0-0AA4-4E03-8C2C-C4828939B08D}">
  <dimension ref="A1:R439"/>
  <sheetViews>
    <sheetView workbookViewId="0">
      <pane ySplit="11" topLeftCell="A206" activePane="bottomLeft" state="frozen"/>
      <selection pane="bottomLeft" activeCell="B203" sqref="B203"/>
    </sheetView>
  </sheetViews>
  <sheetFormatPr defaultRowHeight="12.75" customHeight="1" outlineLevelRow="1"/>
  <cols>
    <col min="1" max="1" width="28" customWidth="1"/>
    <col min="2" max="4" width="36.28515625" customWidth="1"/>
    <col min="5" max="5" width="38" customWidth="1"/>
    <col min="6" max="6" width="48.28515625" customWidth="1"/>
    <col min="7" max="7" width="14.42578125" customWidth="1"/>
    <col min="8" max="8" width="16.28515625" customWidth="1"/>
    <col min="9" max="9" width="18" customWidth="1"/>
    <col min="10" max="10" width="16" customWidth="1"/>
    <col min="11" max="11" width="13" customWidth="1"/>
    <col min="12" max="18" width="9.140625" style="2" customWidth="1"/>
  </cols>
  <sheetData>
    <row r="1" spans="1:11" ht="12.75" customHeight="1">
      <c r="A1" s="113" t="s">
        <v>10</v>
      </c>
      <c r="B1" s="115"/>
      <c r="C1" s="115"/>
      <c r="D1" s="115"/>
      <c r="E1" s="115"/>
      <c r="F1" s="115"/>
      <c r="G1" s="115"/>
      <c r="H1" s="115"/>
      <c r="I1" s="115"/>
      <c r="J1" s="115"/>
      <c r="K1" s="115"/>
    </row>
    <row r="2" spans="1:11" ht="12.75" customHeight="1">
      <c r="A2" s="3"/>
      <c r="B2" s="3" t="s">
        <v>11</v>
      </c>
      <c r="C2" s="3" t="s">
        <v>12</v>
      </c>
      <c r="D2" s="3" t="s">
        <v>13</v>
      </c>
      <c r="E2" s="6" t="s">
        <v>14</v>
      </c>
      <c r="J2" s="2"/>
      <c r="K2" s="2"/>
    </row>
    <row r="3" spans="1:11" ht="12.75" customHeight="1">
      <c r="A3" s="3" t="s">
        <v>0</v>
      </c>
      <c r="B3" s="3">
        <f t="shared" ref="B3:B6" si="0">COUNTIFS($J$13:$J$439,A3,$H$13:$H$439,$B$2)</f>
        <v>0</v>
      </c>
      <c r="C3" s="3">
        <f t="shared" ref="C3:C6" si="1">COUNTIFS($J$13:$J$439,A3,$H$13:$H$439,$C$2)</f>
        <v>0</v>
      </c>
      <c r="D3" s="3">
        <f t="shared" ref="D3:D6" si="2">COUNTIFS($J$13:$J$439,A3,$H$13:$H$439,$D$2)</f>
        <v>0</v>
      </c>
      <c r="E3" s="6">
        <f t="shared" ref="E3:E8" si="3">SUM(B3:D3)</f>
        <v>0</v>
      </c>
      <c r="G3" s="7"/>
      <c r="J3" s="2"/>
      <c r="K3" s="2"/>
    </row>
    <row r="4" spans="1:11" ht="12.75" customHeight="1">
      <c r="A4" s="3" t="s">
        <v>1</v>
      </c>
      <c r="B4" s="3">
        <f t="shared" si="0"/>
        <v>0</v>
      </c>
      <c r="C4" s="3">
        <f t="shared" si="1"/>
        <v>0</v>
      </c>
      <c r="D4" s="3">
        <f t="shared" si="2"/>
        <v>0</v>
      </c>
      <c r="E4" s="6">
        <f t="shared" si="3"/>
        <v>0</v>
      </c>
      <c r="J4" s="2"/>
      <c r="K4" s="2"/>
    </row>
    <row r="5" spans="1:11" ht="12.75" customHeight="1">
      <c r="A5" s="3" t="s">
        <v>2</v>
      </c>
      <c r="B5" s="3">
        <f t="shared" si="0"/>
        <v>0</v>
      </c>
      <c r="C5" s="3">
        <f t="shared" si="1"/>
        <v>0</v>
      </c>
      <c r="D5" s="3">
        <f t="shared" si="2"/>
        <v>0</v>
      </c>
      <c r="E5" s="6">
        <f t="shared" si="3"/>
        <v>0</v>
      </c>
      <c r="J5" s="2"/>
      <c r="K5" s="2"/>
    </row>
    <row r="6" spans="1:11" ht="12.75" customHeight="1">
      <c r="A6" s="3" t="s">
        <v>3</v>
      </c>
      <c r="B6" s="3">
        <f t="shared" si="0"/>
        <v>0</v>
      </c>
      <c r="C6" s="3">
        <f t="shared" si="1"/>
        <v>0</v>
      </c>
      <c r="D6" s="3">
        <f t="shared" si="2"/>
        <v>0</v>
      </c>
      <c r="E6" s="6">
        <f t="shared" si="3"/>
        <v>0</v>
      </c>
      <c r="J6" s="2"/>
      <c r="K6" s="2"/>
    </row>
    <row r="7" spans="1:11" ht="12.75" customHeight="1">
      <c r="A7" s="3" t="s">
        <v>4</v>
      </c>
      <c r="B7" s="3">
        <f>COUNTIFS($J$13:$J$439,A7,$H$13:$H$439,$B$2)</f>
        <v>356</v>
      </c>
      <c r="C7" s="3">
        <f>COUNTIFS($J$13:$J$439,A7,$H$13:$H$439,$C$2)</f>
        <v>20</v>
      </c>
      <c r="D7" s="3">
        <f>COUNTIFS($J$13:$J$439,A7,$H$13:$H$439,$D$2)</f>
        <v>2</v>
      </c>
      <c r="E7" s="6">
        <f t="shared" si="3"/>
        <v>378</v>
      </c>
      <c r="J7" s="2"/>
      <c r="K7" s="2"/>
    </row>
    <row r="8" spans="1:11" ht="12.75" customHeight="1">
      <c r="A8" s="3" t="s">
        <v>5</v>
      </c>
      <c r="B8" s="3">
        <f>COUNTIFS($J$13:$J$439,A8,$H$13:$H$439,$B$2)</f>
        <v>0</v>
      </c>
      <c r="C8" s="3">
        <f>COUNTIFS($J$13:$J$439,A8,$H$13:$H$439,$C$2)</f>
        <v>0</v>
      </c>
      <c r="D8" s="3">
        <f>COUNTIFS($J$13:$J$439,A8,$H$13:$H$439,$D$2)</f>
        <v>0</v>
      </c>
      <c r="E8" s="6">
        <f t="shared" si="3"/>
        <v>0</v>
      </c>
      <c r="J8" s="2"/>
      <c r="K8" s="2"/>
    </row>
    <row r="9" spans="1:11" ht="12.75" customHeight="1">
      <c r="A9" s="4"/>
      <c r="B9" s="4"/>
      <c r="C9" s="4"/>
      <c r="D9" s="4"/>
      <c r="E9" s="5">
        <f>SUM(E3:E7)</f>
        <v>378</v>
      </c>
      <c r="J9" s="2"/>
      <c r="K9" s="2"/>
    </row>
    <row r="10" spans="1:11" ht="12.75" customHeight="1">
      <c r="A10" s="4"/>
      <c r="B10" s="4"/>
      <c r="C10" s="4"/>
      <c r="D10" s="4"/>
      <c r="E10" s="5"/>
    </row>
    <row r="11" spans="1:11" ht="12.75" customHeight="1">
      <c r="A11" s="1" t="s">
        <v>17</v>
      </c>
      <c r="B11" s="1" t="s">
        <v>18</v>
      </c>
      <c r="C11" s="1" t="s">
        <v>19</v>
      </c>
      <c r="D11" s="1" t="s">
        <v>20</v>
      </c>
      <c r="E11" s="1" t="s">
        <v>21</v>
      </c>
      <c r="F11" s="1" t="s">
        <v>22</v>
      </c>
      <c r="G11" s="1" t="s">
        <v>23</v>
      </c>
      <c r="H11" s="1" t="s">
        <v>24</v>
      </c>
      <c r="I11" s="1" t="s">
        <v>25</v>
      </c>
      <c r="J11" s="1" t="s">
        <v>26</v>
      </c>
      <c r="K11" s="1" t="s">
        <v>27</v>
      </c>
    </row>
    <row r="12" spans="1:11" ht="15.95" customHeight="1">
      <c r="A12" s="112" t="s">
        <v>1808</v>
      </c>
      <c r="B12" s="116"/>
      <c r="C12" s="116"/>
      <c r="D12" s="116"/>
      <c r="E12" s="116"/>
      <c r="F12" s="116"/>
      <c r="G12" s="116"/>
      <c r="H12" s="116"/>
      <c r="I12" s="116"/>
      <c r="J12" s="116"/>
      <c r="K12" s="117"/>
    </row>
    <row r="13" spans="1:11" ht="15.95" customHeight="1">
      <c r="A13" s="111" t="s">
        <v>1809</v>
      </c>
      <c r="B13" s="116"/>
      <c r="C13" s="116"/>
      <c r="D13" s="116"/>
      <c r="E13" s="116"/>
      <c r="F13" s="116"/>
      <c r="G13" s="116"/>
      <c r="H13" s="116"/>
      <c r="I13" s="116"/>
      <c r="J13" s="116"/>
      <c r="K13" s="117"/>
    </row>
    <row r="14" spans="1:11" ht="80.099999999999994" customHeight="1" outlineLevel="1">
      <c r="A14" s="8" t="s">
        <v>1810</v>
      </c>
      <c r="B14" s="9" t="s">
        <v>1811</v>
      </c>
      <c r="C14" s="9" t="s">
        <v>1812</v>
      </c>
      <c r="D14" s="9" t="s">
        <v>1813</v>
      </c>
      <c r="E14" s="9" t="s">
        <v>1814</v>
      </c>
      <c r="F14" s="71" t="s">
        <v>1815</v>
      </c>
      <c r="G14" s="8" t="s">
        <v>36</v>
      </c>
      <c r="H14" s="10" t="s">
        <v>11</v>
      </c>
      <c r="I14" s="8" t="s">
        <v>37</v>
      </c>
      <c r="J14" s="8" t="s">
        <v>4</v>
      </c>
      <c r="K14" s="8" t="s">
        <v>4</v>
      </c>
    </row>
    <row r="15" spans="1:11" ht="80.099999999999994" customHeight="1">
      <c r="A15" s="8" t="s">
        <v>1816</v>
      </c>
      <c r="B15" s="9" t="s">
        <v>1817</v>
      </c>
      <c r="C15" s="9" t="s">
        <v>1818</v>
      </c>
      <c r="D15" s="9" t="s">
        <v>1819</v>
      </c>
      <c r="E15" s="9" t="s">
        <v>1820</v>
      </c>
      <c r="F15" s="9" t="s">
        <v>1821</v>
      </c>
      <c r="G15" s="8" t="s">
        <v>36</v>
      </c>
      <c r="H15" s="10" t="s">
        <v>11</v>
      </c>
      <c r="I15" s="8" t="s">
        <v>37</v>
      </c>
      <c r="J15" s="8" t="s">
        <v>4</v>
      </c>
      <c r="K15" s="8" t="s">
        <v>4</v>
      </c>
    </row>
    <row r="16" spans="1:11" ht="80.099999999999994" customHeight="1">
      <c r="A16" s="8" t="s">
        <v>1822</v>
      </c>
      <c r="B16" s="9" t="s">
        <v>1823</v>
      </c>
      <c r="C16" s="9" t="s">
        <v>1824</v>
      </c>
      <c r="D16" s="9" t="s">
        <v>1825</v>
      </c>
      <c r="E16" s="9" t="s">
        <v>1826</v>
      </c>
      <c r="F16" s="9" t="s">
        <v>1821</v>
      </c>
      <c r="G16" s="8" t="s">
        <v>36</v>
      </c>
      <c r="H16" s="10" t="s">
        <v>11</v>
      </c>
      <c r="I16" s="8" t="s">
        <v>37</v>
      </c>
      <c r="J16" s="8" t="s">
        <v>4</v>
      </c>
      <c r="K16" s="8" t="s">
        <v>4</v>
      </c>
    </row>
    <row r="17" spans="1:11" ht="15.95" customHeight="1">
      <c r="A17" s="112" t="s">
        <v>1827</v>
      </c>
      <c r="B17" s="116"/>
      <c r="C17" s="116"/>
      <c r="D17" s="116"/>
      <c r="E17" s="116"/>
      <c r="F17" s="116"/>
      <c r="G17" s="116"/>
      <c r="H17" s="116"/>
      <c r="I17" s="116"/>
      <c r="J17" s="116"/>
      <c r="K17" s="117"/>
    </row>
    <row r="18" spans="1:11" ht="15.95" customHeight="1">
      <c r="A18" s="111" t="s">
        <v>1828</v>
      </c>
      <c r="B18" s="116"/>
      <c r="C18" s="116"/>
      <c r="D18" s="116"/>
      <c r="E18" s="116"/>
      <c r="F18" s="116"/>
      <c r="G18" s="116"/>
      <c r="H18" s="116"/>
      <c r="I18" s="116"/>
      <c r="J18" s="116"/>
      <c r="K18" s="117"/>
    </row>
    <row r="19" spans="1:11" ht="80.099999999999994" customHeight="1">
      <c r="A19" s="8" t="s">
        <v>30</v>
      </c>
      <c r="B19" s="9" t="s">
        <v>1829</v>
      </c>
      <c r="C19" s="9" t="s">
        <v>32</v>
      </c>
      <c r="D19" s="9" t="s">
        <v>1830</v>
      </c>
      <c r="E19" s="9" t="s">
        <v>1831</v>
      </c>
      <c r="F19" s="9" t="s">
        <v>1832</v>
      </c>
      <c r="G19" s="8" t="s">
        <v>36</v>
      </c>
      <c r="H19" s="10" t="s">
        <v>11</v>
      </c>
      <c r="I19" s="8" t="s">
        <v>37</v>
      </c>
      <c r="J19" s="8" t="s">
        <v>4</v>
      </c>
      <c r="K19" s="8" t="s">
        <v>4</v>
      </c>
    </row>
    <row r="20" spans="1:11" ht="80.099999999999994" customHeight="1">
      <c r="A20" s="8" t="s">
        <v>38</v>
      </c>
      <c r="B20" s="9" t="s">
        <v>1833</v>
      </c>
      <c r="C20" s="9" t="s">
        <v>32</v>
      </c>
      <c r="D20" s="9" t="s">
        <v>40</v>
      </c>
      <c r="E20" s="9" t="s">
        <v>1834</v>
      </c>
      <c r="F20" s="9" t="s">
        <v>1835</v>
      </c>
      <c r="G20" s="8" t="s">
        <v>36</v>
      </c>
      <c r="H20" s="10" t="s">
        <v>11</v>
      </c>
      <c r="I20" s="8" t="s">
        <v>37</v>
      </c>
      <c r="J20" s="8" t="s">
        <v>4</v>
      </c>
      <c r="K20" s="8" t="s">
        <v>4</v>
      </c>
    </row>
    <row r="21" spans="1:11" ht="80.099999999999994" customHeight="1">
      <c r="A21" s="8" t="s">
        <v>43</v>
      </c>
      <c r="B21" s="9" t="s">
        <v>1836</v>
      </c>
      <c r="C21" s="9" t="s">
        <v>32</v>
      </c>
      <c r="D21" s="9" t="s">
        <v>45</v>
      </c>
      <c r="E21" s="9" t="s">
        <v>1837</v>
      </c>
      <c r="F21" s="9" t="s">
        <v>1838</v>
      </c>
      <c r="G21" s="8" t="s">
        <v>36</v>
      </c>
      <c r="H21" s="72" t="s">
        <v>12</v>
      </c>
      <c r="I21" s="8" t="s">
        <v>37</v>
      </c>
      <c r="J21" s="8" t="s">
        <v>4</v>
      </c>
      <c r="K21" s="8" t="s">
        <v>4</v>
      </c>
    </row>
    <row r="22" spans="1:11" ht="80.099999999999994" customHeight="1">
      <c r="A22" s="8" t="s">
        <v>1839</v>
      </c>
      <c r="B22" s="9" t="s">
        <v>1840</v>
      </c>
      <c r="C22" s="9" t="s">
        <v>32</v>
      </c>
      <c r="D22" s="9" t="s">
        <v>1841</v>
      </c>
      <c r="E22" s="9" t="s">
        <v>1842</v>
      </c>
      <c r="F22" s="9" t="s">
        <v>1843</v>
      </c>
      <c r="G22" s="8" t="s">
        <v>36</v>
      </c>
      <c r="H22" s="72" t="s">
        <v>12</v>
      </c>
      <c r="I22" s="8" t="s">
        <v>37</v>
      </c>
      <c r="J22" s="8" t="s">
        <v>4</v>
      </c>
      <c r="K22" s="8" t="s">
        <v>4</v>
      </c>
    </row>
    <row r="23" spans="1:11" ht="15.95" customHeight="1">
      <c r="A23" s="112" t="s">
        <v>1844</v>
      </c>
      <c r="B23" s="116"/>
      <c r="C23" s="116"/>
      <c r="D23" s="116"/>
      <c r="E23" s="116"/>
      <c r="F23" s="116"/>
      <c r="G23" s="116"/>
      <c r="H23" s="116"/>
      <c r="I23" s="116"/>
      <c r="J23" s="116"/>
      <c r="K23" s="117"/>
    </row>
    <row r="24" spans="1:11" ht="15.95" customHeight="1">
      <c r="A24" s="111" t="s">
        <v>1845</v>
      </c>
      <c r="B24" s="116"/>
      <c r="C24" s="116"/>
      <c r="D24" s="116"/>
      <c r="E24" s="116"/>
      <c r="F24" s="116"/>
      <c r="G24" s="116"/>
      <c r="H24" s="116"/>
      <c r="I24" s="116"/>
      <c r="J24" s="116"/>
      <c r="K24" s="117"/>
    </row>
    <row r="25" spans="1:11" ht="80.099999999999994" customHeight="1">
      <c r="A25" s="8" t="s">
        <v>50</v>
      </c>
      <c r="B25" s="9" t="s">
        <v>1846</v>
      </c>
      <c r="C25" s="9" t="s">
        <v>52</v>
      </c>
      <c r="D25" s="9" t="s">
        <v>53</v>
      </c>
      <c r="E25" s="9" t="s">
        <v>1847</v>
      </c>
      <c r="F25" s="9" t="s">
        <v>1848</v>
      </c>
      <c r="G25" s="8" t="s">
        <v>36</v>
      </c>
      <c r="H25" s="10" t="s">
        <v>11</v>
      </c>
      <c r="I25" s="8" t="s">
        <v>37</v>
      </c>
      <c r="J25" s="8" t="s">
        <v>4</v>
      </c>
      <c r="K25" s="8" t="s">
        <v>4</v>
      </c>
    </row>
    <row r="26" spans="1:11" ht="80.099999999999994" customHeight="1">
      <c r="A26" s="8" t="s">
        <v>55</v>
      </c>
      <c r="B26" s="9" t="s">
        <v>56</v>
      </c>
      <c r="C26" s="9" t="s">
        <v>57</v>
      </c>
      <c r="D26" s="9" t="s">
        <v>58</v>
      </c>
      <c r="E26" s="9" t="s">
        <v>1849</v>
      </c>
      <c r="F26" s="9" t="s">
        <v>1850</v>
      </c>
      <c r="G26" s="8" t="s">
        <v>36</v>
      </c>
      <c r="H26" s="10" t="s">
        <v>11</v>
      </c>
      <c r="I26" s="8" t="s">
        <v>37</v>
      </c>
      <c r="J26" s="8" t="s">
        <v>4</v>
      </c>
      <c r="K26" s="8" t="s">
        <v>4</v>
      </c>
    </row>
    <row r="27" spans="1:11" ht="80.099999999999994" customHeight="1">
      <c r="A27" s="8" t="s">
        <v>61</v>
      </c>
      <c r="B27" s="9" t="s">
        <v>62</v>
      </c>
      <c r="C27" s="9" t="s">
        <v>57</v>
      </c>
      <c r="D27" s="9" t="s">
        <v>63</v>
      </c>
      <c r="E27" s="9" t="s">
        <v>1851</v>
      </c>
      <c r="F27" s="9" t="s">
        <v>1852</v>
      </c>
      <c r="G27" s="8" t="s">
        <v>36</v>
      </c>
      <c r="H27" s="10" t="s">
        <v>11</v>
      </c>
      <c r="I27" s="8" t="s">
        <v>37</v>
      </c>
      <c r="J27" s="8" t="s">
        <v>4</v>
      </c>
      <c r="K27" s="8" t="s">
        <v>4</v>
      </c>
    </row>
    <row r="28" spans="1:11" ht="80.099999999999994" customHeight="1">
      <c r="A28" s="8" t="s">
        <v>66</v>
      </c>
      <c r="B28" s="9" t="s">
        <v>67</v>
      </c>
      <c r="C28" s="9" t="s">
        <v>57</v>
      </c>
      <c r="D28" s="9" t="s">
        <v>68</v>
      </c>
      <c r="E28" s="9" t="s">
        <v>1853</v>
      </c>
      <c r="F28" s="9" t="s">
        <v>1852</v>
      </c>
      <c r="G28" s="8" t="s">
        <v>36</v>
      </c>
      <c r="H28" s="10" t="s">
        <v>11</v>
      </c>
      <c r="I28" s="8" t="s">
        <v>37</v>
      </c>
      <c r="J28" s="8" t="s">
        <v>4</v>
      </c>
      <c r="K28" s="8" t="s">
        <v>4</v>
      </c>
    </row>
    <row r="29" spans="1:11" ht="80.099999999999994" customHeight="1">
      <c r="A29" s="8" t="s">
        <v>71</v>
      </c>
      <c r="B29" s="9" t="s">
        <v>72</v>
      </c>
      <c r="C29" s="9" t="s">
        <v>57</v>
      </c>
      <c r="D29" s="9" t="s">
        <v>73</v>
      </c>
      <c r="E29" s="9" t="s">
        <v>1854</v>
      </c>
      <c r="F29" s="9" t="s">
        <v>1852</v>
      </c>
      <c r="G29" s="8" t="s">
        <v>36</v>
      </c>
      <c r="H29" s="10" t="s">
        <v>11</v>
      </c>
      <c r="I29" s="8" t="s">
        <v>37</v>
      </c>
      <c r="J29" s="8" t="s">
        <v>4</v>
      </c>
      <c r="K29" s="8" t="s">
        <v>4</v>
      </c>
    </row>
    <row r="30" spans="1:11" ht="80.099999999999994" customHeight="1">
      <c r="A30" s="8" t="s">
        <v>76</v>
      </c>
      <c r="B30" s="9" t="s">
        <v>77</v>
      </c>
      <c r="C30" s="9" t="s">
        <v>57</v>
      </c>
      <c r="D30" s="9" t="s">
        <v>78</v>
      </c>
      <c r="E30" s="9" t="s">
        <v>1855</v>
      </c>
      <c r="F30" s="9" t="s">
        <v>1852</v>
      </c>
      <c r="G30" s="8" t="s">
        <v>36</v>
      </c>
      <c r="H30" s="10" t="s">
        <v>11</v>
      </c>
      <c r="I30" s="8" t="s">
        <v>37</v>
      </c>
      <c r="J30" s="8" t="s">
        <v>4</v>
      </c>
      <c r="K30" s="8" t="s">
        <v>4</v>
      </c>
    </row>
    <row r="31" spans="1:11" ht="80.099999999999994" customHeight="1">
      <c r="A31" s="8" t="s">
        <v>81</v>
      </c>
      <c r="B31" s="9" t="s">
        <v>82</v>
      </c>
      <c r="C31" s="9" t="s">
        <v>57</v>
      </c>
      <c r="D31" s="9" t="s">
        <v>83</v>
      </c>
      <c r="E31" s="9" t="s">
        <v>1856</v>
      </c>
      <c r="F31" s="9" t="s">
        <v>1852</v>
      </c>
      <c r="G31" s="8" t="s">
        <v>36</v>
      </c>
      <c r="H31" s="10" t="s">
        <v>11</v>
      </c>
      <c r="I31" s="8" t="s">
        <v>37</v>
      </c>
      <c r="J31" s="8" t="s">
        <v>4</v>
      </c>
      <c r="K31" s="8" t="s">
        <v>4</v>
      </c>
    </row>
    <row r="32" spans="1:11" ht="80.099999999999994" customHeight="1">
      <c r="A32" s="8" t="s">
        <v>86</v>
      </c>
      <c r="B32" s="9" t="s">
        <v>87</v>
      </c>
      <c r="C32" s="9" t="s">
        <v>88</v>
      </c>
      <c r="D32" s="9" t="s">
        <v>89</v>
      </c>
      <c r="E32" s="9" t="s">
        <v>1857</v>
      </c>
      <c r="F32" s="9" t="s">
        <v>1858</v>
      </c>
      <c r="G32" s="8" t="s">
        <v>36</v>
      </c>
      <c r="H32" s="72" t="s">
        <v>12</v>
      </c>
      <c r="I32" s="8" t="s">
        <v>37</v>
      </c>
      <c r="J32" s="8" t="s">
        <v>4</v>
      </c>
      <c r="K32" s="8" t="s">
        <v>4</v>
      </c>
    </row>
    <row r="33" spans="1:11" ht="80.099999999999994" customHeight="1">
      <c r="A33" s="8" t="s">
        <v>91</v>
      </c>
      <c r="B33" s="9" t="s">
        <v>92</v>
      </c>
      <c r="C33" s="9" t="s">
        <v>93</v>
      </c>
      <c r="D33" s="9" t="s">
        <v>1859</v>
      </c>
      <c r="E33" s="9" t="s">
        <v>1860</v>
      </c>
      <c r="F33" s="9" t="s">
        <v>1861</v>
      </c>
      <c r="G33" s="8" t="s">
        <v>36</v>
      </c>
      <c r="H33" s="10" t="s">
        <v>11</v>
      </c>
      <c r="I33" s="8" t="s">
        <v>37</v>
      </c>
      <c r="J33" s="8" t="s">
        <v>4</v>
      </c>
      <c r="K33" s="8" t="s">
        <v>4</v>
      </c>
    </row>
    <row r="34" spans="1:11" ht="80.099999999999994" customHeight="1">
      <c r="A34" s="8" t="s">
        <v>97</v>
      </c>
      <c r="B34" s="9" t="s">
        <v>98</v>
      </c>
      <c r="C34" s="9" t="s">
        <v>57</v>
      </c>
      <c r="D34" s="9" t="s">
        <v>99</v>
      </c>
      <c r="E34" s="9" t="s">
        <v>1862</v>
      </c>
      <c r="F34" s="9" t="s">
        <v>1863</v>
      </c>
      <c r="G34" s="8" t="s">
        <v>36</v>
      </c>
      <c r="H34" s="72" t="s">
        <v>12</v>
      </c>
      <c r="I34" s="8" t="s">
        <v>37</v>
      </c>
      <c r="J34" s="8" t="s">
        <v>4</v>
      </c>
      <c r="K34" s="8" t="s">
        <v>4</v>
      </c>
    </row>
    <row r="35" spans="1:11" ht="80.099999999999994" customHeight="1">
      <c r="A35" s="8" t="s">
        <v>101</v>
      </c>
      <c r="B35" s="9" t="s">
        <v>102</v>
      </c>
      <c r="C35" s="9" t="s">
        <v>57</v>
      </c>
      <c r="D35" s="9" t="s">
        <v>103</v>
      </c>
      <c r="E35" s="9" t="s">
        <v>1864</v>
      </c>
      <c r="F35" s="9" t="s">
        <v>1865</v>
      </c>
      <c r="G35" s="8" t="s">
        <v>36</v>
      </c>
      <c r="H35" s="72" t="s">
        <v>12</v>
      </c>
      <c r="I35" s="8" t="s">
        <v>37</v>
      </c>
      <c r="J35" s="8" t="s">
        <v>4</v>
      </c>
      <c r="K35" s="8" t="s">
        <v>4</v>
      </c>
    </row>
    <row r="36" spans="1:11" ht="80.099999999999994" customHeight="1">
      <c r="A36" s="8" t="s">
        <v>106</v>
      </c>
      <c r="B36" s="9" t="s">
        <v>107</v>
      </c>
      <c r="C36" s="9" t="s">
        <v>57</v>
      </c>
      <c r="D36" s="9" t="s">
        <v>108</v>
      </c>
      <c r="E36" s="9" t="s">
        <v>1866</v>
      </c>
      <c r="F36" s="9" t="s">
        <v>1867</v>
      </c>
      <c r="G36" s="8" t="s">
        <v>36</v>
      </c>
      <c r="H36" s="72" t="s">
        <v>12</v>
      </c>
      <c r="I36" s="8" t="s">
        <v>37</v>
      </c>
      <c r="J36" s="8" t="s">
        <v>4</v>
      </c>
      <c r="K36" s="8" t="s">
        <v>4</v>
      </c>
    </row>
    <row r="37" spans="1:11" ht="80.099999999999994" customHeight="1">
      <c r="A37" s="8" t="s">
        <v>110</v>
      </c>
      <c r="B37" s="9" t="s">
        <v>111</v>
      </c>
      <c r="C37" s="9" t="s">
        <v>57</v>
      </c>
      <c r="D37" s="9" t="s">
        <v>112</v>
      </c>
      <c r="E37" s="9" t="s">
        <v>1868</v>
      </c>
      <c r="F37" s="9" t="s">
        <v>1869</v>
      </c>
      <c r="G37" s="8" t="s">
        <v>36</v>
      </c>
      <c r="H37" s="72" t="s">
        <v>12</v>
      </c>
      <c r="I37" s="8" t="s">
        <v>37</v>
      </c>
      <c r="J37" s="8" t="s">
        <v>4</v>
      </c>
      <c r="K37" s="8" t="s">
        <v>4</v>
      </c>
    </row>
    <row r="38" spans="1:11" ht="15.95" customHeight="1">
      <c r="A38" s="112" t="s">
        <v>1870</v>
      </c>
      <c r="B38" s="116"/>
      <c r="C38" s="116"/>
      <c r="D38" s="116"/>
      <c r="E38" s="116"/>
      <c r="F38" s="116"/>
      <c r="G38" s="116"/>
      <c r="H38" s="116"/>
      <c r="I38" s="116"/>
      <c r="J38" s="116"/>
      <c r="K38" s="117"/>
    </row>
    <row r="39" spans="1:11" ht="15.95" customHeight="1">
      <c r="A39" s="111" t="s">
        <v>1871</v>
      </c>
      <c r="B39" s="116"/>
      <c r="C39" s="116"/>
      <c r="D39" s="116"/>
      <c r="E39" s="116"/>
      <c r="F39" s="116"/>
      <c r="G39" s="116"/>
      <c r="H39" s="116"/>
      <c r="I39" s="116"/>
      <c r="J39" s="116"/>
      <c r="K39" s="117"/>
    </row>
    <row r="40" spans="1:11" ht="80.099999999999994" customHeight="1">
      <c r="A40" s="8" t="s">
        <v>116</v>
      </c>
      <c r="B40" s="9" t="s">
        <v>117</v>
      </c>
      <c r="C40" s="9" t="s">
        <v>118</v>
      </c>
      <c r="D40" s="9" t="s">
        <v>119</v>
      </c>
      <c r="E40" s="9" t="s">
        <v>1872</v>
      </c>
      <c r="F40" s="9" t="s">
        <v>1873</v>
      </c>
      <c r="G40" s="8" t="s">
        <v>36</v>
      </c>
      <c r="H40" s="10" t="s">
        <v>11</v>
      </c>
      <c r="I40" s="8" t="s">
        <v>37</v>
      </c>
      <c r="J40" s="8" t="s">
        <v>4</v>
      </c>
      <c r="K40" s="8" t="s">
        <v>4</v>
      </c>
    </row>
    <row r="41" spans="1:11" ht="80.099999999999994" customHeight="1">
      <c r="A41" s="8" t="s">
        <v>122</v>
      </c>
      <c r="B41" s="9" t="s">
        <v>123</v>
      </c>
      <c r="C41" s="9" t="s">
        <v>124</v>
      </c>
      <c r="D41" s="9" t="s">
        <v>125</v>
      </c>
      <c r="E41" s="9" t="s">
        <v>1874</v>
      </c>
      <c r="F41" s="9" t="s">
        <v>1875</v>
      </c>
      <c r="G41" s="8" t="s">
        <v>36</v>
      </c>
      <c r="H41" s="10" t="s">
        <v>11</v>
      </c>
      <c r="I41" s="8" t="s">
        <v>37</v>
      </c>
      <c r="J41" s="8" t="s">
        <v>4</v>
      </c>
      <c r="K41" s="8" t="s">
        <v>4</v>
      </c>
    </row>
    <row r="42" spans="1:11" ht="80.099999999999994" customHeight="1">
      <c r="A42" s="8" t="s">
        <v>128</v>
      </c>
      <c r="B42" s="9" t="s">
        <v>129</v>
      </c>
      <c r="C42" s="9" t="s">
        <v>130</v>
      </c>
      <c r="D42" s="9" t="s">
        <v>1876</v>
      </c>
      <c r="E42" s="9" t="s">
        <v>1877</v>
      </c>
      <c r="F42" s="9" t="s">
        <v>1878</v>
      </c>
      <c r="G42" s="8" t="s">
        <v>36</v>
      </c>
      <c r="H42" s="10" t="s">
        <v>11</v>
      </c>
      <c r="I42" s="8" t="s">
        <v>37</v>
      </c>
      <c r="J42" s="8" t="s">
        <v>4</v>
      </c>
      <c r="K42" s="8" t="s">
        <v>4</v>
      </c>
    </row>
    <row r="43" spans="1:11" ht="80.099999999999994" customHeight="1">
      <c r="A43" s="8" t="s">
        <v>134</v>
      </c>
      <c r="B43" s="9" t="s">
        <v>135</v>
      </c>
      <c r="C43" s="9" t="s">
        <v>57</v>
      </c>
      <c r="D43" s="9" t="s">
        <v>136</v>
      </c>
      <c r="E43" s="9" t="s">
        <v>1879</v>
      </c>
      <c r="F43" s="9" t="s">
        <v>1880</v>
      </c>
      <c r="G43" s="8" t="s">
        <v>36</v>
      </c>
      <c r="H43" s="10" t="s">
        <v>11</v>
      </c>
      <c r="I43" s="8" t="s">
        <v>37</v>
      </c>
      <c r="J43" s="8" t="s">
        <v>4</v>
      </c>
      <c r="K43" s="8" t="s">
        <v>4</v>
      </c>
    </row>
    <row r="44" spans="1:11" ht="80.099999999999994" customHeight="1">
      <c r="A44" s="8" t="s">
        <v>139</v>
      </c>
      <c r="B44" s="9" t="s">
        <v>140</v>
      </c>
      <c r="C44" s="9" t="s">
        <v>57</v>
      </c>
      <c r="D44" s="9" t="s">
        <v>141</v>
      </c>
      <c r="E44" s="9" t="s">
        <v>1881</v>
      </c>
      <c r="F44" s="9" t="s">
        <v>1882</v>
      </c>
      <c r="G44" s="8" t="s">
        <v>36</v>
      </c>
      <c r="H44" s="10" t="s">
        <v>11</v>
      </c>
      <c r="I44" s="8" t="s">
        <v>37</v>
      </c>
      <c r="J44" s="8" t="s">
        <v>4</v>
      </c>
      <c r="K44" s="8" t="s">
        <v>4</v>
      </c>
    </row>
    <row r="45" spans="1:11" ht="80.099999999999994" customHeight="1">
      <c r="A45" s="8" t="s">
        <v>144</v>
      </c>
      <c r="B45" s="9" t="s">
        <v>145</v>
      </c>
      <c r="C45" s="9" t="s">
        <v>146</v>
      </c>
      <c r="D45" s="9" t="s">
        <v>147</v>
      </c>
      <c r="E45" s="9" t="s">
        <v>1883</v>
      </c>
      <c r="F45" s="9" t="s">
        <v>1884</v>
      </c>
      <c r="G45" s="8" t="s">
        <v>36</v>
      </c>
      <c r="H45" s="72" t="s">
        <v>12</v>
      </c>
      <c r="I45" s="8" t="s">
        <v>37</v>
      </c>
      <c r="J45" s="8" t="s">
        <v>4</v>
      </c>
      <c r="K45" s="8" t="s">
        <v>4</v>
      </c>
    </row>
    <row r="46" spans="1:11" ht="80.099999999999994" customHeight="1">
      <c r="A46" s="8" t="s">
        <v>150</v>
      </c>
      <c r="B46" s="9" t="s">
        <v>151</v>
      </c>
      <c r="C46" s="9" t="s">
        <v>152</v>
      </c>
      <c r="D46" s="9" t="s">
        <v>153</v>
      </c>
      <c r="E46" s="9" t="s">
        <v>1885</v>
      </c>
      <c r="F46" s="9" t="s">
        <v>1886</v>
      </c>
      <c r="G46" s="8" t="s">
        <v>36</v>
      </c>
      <c r="H46" s="10" t="s">
        <v>11</v>
      </c>
      <c r="I46" s="8" t="s">
        <v>37</v>
      </c>
      <c r="J46" s="8" t="s">
        <v>4</v>
      </c>
      <c r="K46" s="8" t="s">
        <v>4</v>
      </c>
    </row>
    <row r="47" spans="1:11" ht="15.95" customHeight="1">
      <c r="A47" s="112" t="s">
        <v>1887</v>
      </c>
      <c r="B47" s="116"/>
      <c r="C47" s="116"/>
      <c r="D47" s="116"/>
      <c r="E47" s="116"/>
      <c r="F47" s="116"/>
      <c r="G47" s="116"/>
      <c r="H47" s="116"/>
      <c r="I47" s="116"/>
      <c r="J47" s="116"/>
      <c r="K47" s="117"/>
    </row>
    <row r="48" spans="1:11" ht="15.95" customHeight="1">
      <c r="A48" s="111" t="s">
        <v>1888</v>
      </c>
      <c r="B48" s="116"/>
      <c r="C48" s="116"/>
      <c r="D48" s="116"/>
      <c r="E48" s="116"/>
      <c r="F48" s="116"/>
      <c r="G48" s="116"/>
      <c r="H48" s="116"/>
      <c r="I48" s="116"/>
      <c r="J48" s="116"/>
      <c r="K48" s="117"/>
    </row>
    <row r="49" spans="1:11" ht="80.099999999999994" customHeight="1">
      <c r="A49" s="8" t="s">
        <v>159</v>
      </c>
      <c r="B49" s="9" t="s">
        <v>160</v>
      </c>
      <c r="C49" s="9" t="s">
        <v>161</v>
      </c>
      <c r="D49" s="9" t="s">
        <v>162</v>
      </c>
      <c r="E49" s="9" t="s">
        <v>1889</v>
      </c>
      <c r="F49" s="9" t="s">
        <v>1890</v>
      </c>
      <c r="G49" s="8" t="s">
        <v>36</v>
      </c>
      <c r="H49" s="10" t="s">
        <v>11</v>
      </c>
      <c r="I49" s="8" t="s">
        <v>37</v>
      </c>
      <c r="J49" s="8" t="s">
        <v>4</v>
      </c>
      <c r="K49" s="8" t="s">
        <v>4</v>
      </c>
    </row>
    <row r="50" spans="1:11" ht="80.099999999999994" customHeight="1">
      <c r="A50" s="8" t="s">
        <v>165</v>
      </c>
      <c r="B50" s="9" t="s">
        <v>166</v>
      </c>
      <c r="C50" s="9" t="s">
        <v>161</v>
      </c>
      <c r="D50" s="9" t="s">
        <v>167</v>
      </c>
      <c r="E50" s="9" t="s">
        <v>1891</v>
      </c>
      <c r="F50" s="9" t="s">
        <v>1892</v>
      </c>
      <c r="G50" s="8" t="s">
        <v>36</v>
      </c>
      <c r="H50" s="10" t="s">
        <v>11</v>
      </c>
      <c r="I50" s="8" t="s">
        <v>37</v>
      </c>
      <c r="J50" s="8" t="s">
        <v>4</v>
      </c>
      <c r="K50" s="8" t="s">
        <v>4</v>
      </c>
    </row>
    <row r="51" spans="1:11" ht="80.099999999999994" customHeight="1">
      <c r="A51" s="8" t="s">
        <v>169</v>
      </c>
      <c r="B51" s="9" t="s">
        <v>170</v>
      </c>
      <c r="C51" s="9" t="s">
        <v>171</v>
      </c>
      <c r="D51" s="9" t="s">
        <v>172</v>
      </c>
      <c r="E51" s="9" t="s">
        <v>1893</v>
      </c>
      <c r="F51" s="9" t="s">
        <v>1894</v>
      </c>
      <c r="G51" s="8" t="s">
        <v>36</v>
      </c>
      <c r="H51" s="10" t="s">
        <v>11</v>
      </c>
      <c r="I51" s="8" t="s">
        <v>37</v>
      </c>
      <c r="J51" s="8" t="s">
        <v>4</v>
      </c>
      <c r="K51" s="8" t="s">
        <v>4</v>
      </c>
    </row>
    <row r="52" spans="1:11" ht="80.099999999999994" customHeight="1">
      <c r="A52" s="8" t="s">
        <v>175</v>
      </c>
      <c r="B52" s="9" t="s">
        <v>176</v>
      </c>
      <c r="C52" s="9" t="s">
        <v>177</v>
      </c>
      <c r="D52" s="9" t="s">
        <v>178</v>
      </c>
      <c r="E52" s="9" t="s">
        <v>1895</v>
      </c>
      <c r="F52" s="9" t="s">
        <v>1896</v>
      </c>
      <c r="G52" s="8" t="s">
        <v>36</v>
      </c>
      <c r="H52" s="10" t="s">
        <v>11</v>
      </c>
      <c r="I52" s="8" t="s">
        <v>37</v>
      </c>
      <c r="J52" s="8" t="s">
        <v>4</v>
      </c>
      <c r="K52" s="8" t="s">
        <v>4</v>
      </c>
    </row>
    <row r="53" spans="1:11" ht="80.099999999999994" customHeight="1">
      <c r="A53" s="8" t="s">
        <v>180</v>
      </c>
      <c r="B53" s="9" t="s">
        <v>181</v>
      </c>
      <c r="C53" s="9" t="s">
        <v>57</v>
      </c>
      <c r="D53" s="9" t="s">
        <v>182</v>
      </c>
      <c r="E53" s="9" t="s">
        <v>1897</v>
      </c>
      <c r="F53" s="9" t="s">
        <v>1898</v>
      </c>
      <c r="G53" s="8" t="s">
        <v>36</v>
      </c>
      <c r="H53" s="10" t="s">
        <v>11</v>
      </c>
      <c r="I53" s="8" t="s">
        <v>37</v>
      </c>
      <c r="J53" s="8" t="s">
        <v>4</v>
      </c>
      <c r="K53" s="8" t="s">
        <v>4</v>
      </c>
    </row>
    <row r="54" spans="1:11" ht="80.099999999999994" customHeight="1">
      <c r="A54" s="8" t="s">
        <v>185</v>
      </c>
      <c r="B54" s="9" t="s">
        <v>186</v>
      </c>
      <c r="C54" s="9" t="s">
        <v>57</v>
      </c>
      <c r="D54" s="9" t="s">
        <v>187</v>
      </c>
      <c r="E54" s="9" t="s">
        <v>1899</v>
      </c>
      <c r="F54" s="9" t="s">
        <v>1900</v>
      </c>
      <c r="G54" s="8" t="s">
        <v>36</v>
      </c>
      <c r="H54" s="72" t="s">
        <v>12</v>
      </c>
      <c r="I54" s="8" t="s">
        <v>37</v>
      </c>
      <c r="J54" s="8" t="s">
        <v>4</v>
      </c>
      <c r="K54" s="8" t="s">
        <v>4</v>
      </c>
    </row>
    <row r="55" spans="1:11" ht="15.95" customHeight="1">
      <c r="A55" s="112" t="s">
        <v>1901</v>
      </c>
      <c r="B55" s="116"/>
      <c r="C55" s="116"/>
      <c r="D55" s="116"/>
      <c r="E55" s="116"/>
      <c r="F55" s="116"/>
      <c r="G55" s="116"/>
      <c r="H55" s="116"/>
      <c r="I55" s="116"/>
      <c r="J55" s="116"/>
      <c r="K55" s="117"/>
    </row>
    <row r="56" spans="1:11" ht="15.95" customHeight="1">
      <c r="A56" s="111" t="s">
        <v>1902</v>
      </c>
      <c r="B56" s="116"/>
      <c r="C56" s="116"/>
      <c r="D56" s="116"/>
      <c r="E56" s="116"/>
      <c r="F56" s="116"/>
      <c r="G56" s="116"/>
      <c r="H56" s="116"/>
      <c r="I56" s="116"/>
      <c r="J56" s="116"/>
      <c r="K56" s="117"/>
    </row>
    <row r="57" spans="1:11" ht="80.099999999999994" customHeight="1">
      <c r="A57" s="8" t="s">
        <v>195</v>
      </c>
      <c r="B57" s="9" t="s">
        <v>196</v>
      </c>
      <c r="C57" s="9" t="s">
        <v>197</v>
      </c>
      <c r="D57" s="9" t="s">
        <v>198</v>
      </c>
      <c r="E57" s="9" t="s">
        <v>1903</v>
      </c>
      <c r="F57" s="9" t="s">
        <v>1892</v>
      </c>
      <c r="G57" s="8" t="s">
        <v>36</v>
      </c>
      <c r="H57" s="10" t="s">
        <v>11</v>
      </c>
      <c r="I57" s="8" t="s">
        <v>37</v>
      </c>
      <c r="J57" s="8" t="s">
        <v>4</v>
      </c>
      <c r="K57" s="8" t="s">
        <v>4</v>
      </c>
    </row>
    <row r="58" spans="1:11" ht="80.099999999999994" customHeight="1">
      <c r="A58" s="8" t="s">
        <v>201</v>
      </c>
      <c r="B58" s="9" t="s">
        <v>202</v>
      </c>
      <c r="C58" s="9" t="s">
        <v>203</v>
      </c>
      <c r="D58" s="9" t="s">
        <v>204</v>
      </c>
      <c r="E58" s="9" t="s">
        <v>1904</v>
      </c>
      <c r="F58" s="9" t="s">
        <v>1894</v>
      </c>
      <c r="G58" s="8" t="s">
        <v>36</v>
      </c>
      <c r="H58" s="10" t="s">
        <v>11</v>
      </c>
      <c r="I58" s="8" t="s">
        <v>37</v>
      </c>
      <c r="J58" s="8" t="s">
        <v>4</v>
      </c>
      <c r="K58" s="8" t="s">
        <v>4</v>
      </c>
    </row>
    <row r="59" spans="1:11" ht="80.099999999999994" customHeight="1">
      <c r="A59" s="8" t="s">
        <v>207</v>
      </c>
      <c r="B59" s="9" t="s">
        <v>208</v>
      </c>
      <c r="C59" s="9" t="s">
        <v>209</v>
      </c>
      <c r="D59" s="9" t="s">
        <v>210</v>
      </c>
      <c r="E59" s="9" t="s">
        <v>1905</v>
      </c>
      <c r="F59" s="9" t="s">
        <v>1896</v>
      </c>
      <c r="G59" s="8" t="s">
        <v>36</v>
      </c>
      <c r="H59" s="10" t="s">
        <v>11</v>
      </c>
      <c r="I59" s="8" t="s">
        <v>37</v>
      </c>
      <c r="J59" s="8" t="s">
        <v>4</v>
      </c>
      <c r="K59" s="8" t="s">
        <v>4</v>
      </c>
    </row>
    <row r="60" spans="1:11" ht="80.099999999999994" customHeight="1">
      <c r="A60" s="8" t="s">
        <v>213</v>
      </c>
      <c r="B60" s="9" t="s">
        <v>214</v>
      </c>
      <c r="C60" s="9" t="s">
        <v>57</v>
      </c>
      <c r="D60" s="9" t="s">
        <v>215</v>
      </c>
      <c r="E60" s="9" t="s">
        <v>1906</v>
      </c>
      <c r="F60" s="9" t="s">
        <v>1907</v>
      </c>
      <c r="G60" s="8" t="s">
        <v>36</v>
      </c>
      <c r="H60" s="10" t="s">
        <v>11</v>
      </c>
      <c r="I60" s="8" t="s">
        <v>37</v>
      </c>
      <c r="J60" s="8" t="s">
        <v>4</v>
      </c>
      <c r="K60" s="8" t="s">
        <v>4</v>
      </c>
    </row>
    <row r="61" spans="1:11" ht="80.099999999999994" customHeight="1">
      <c r="A61" s="8" t="s">
        <v>218</v>
      </c>
      <c r="B61" s="9" t="s">
        <v>219</v>
      </c>
      <c r="C61" s="9" t="s">
        <v>57</v>
      </c>
      <c r="D61" s="9" t="s">
        <v>220</v>
      </c>
      <c r="E61" s="9" t="s">
        <v>1908</v>
      </c>
      <c r="F61" s="9" t="s">
        <v>1909</v>
      </c>
      <c r="G61" s="8" t="s">
        <v>36</v>
      </c>
      <c r="H61" s="72" t="s">
        <v>12</v>
      </c>
      <c r="I61" s="8" t="s">
        <v>37</v>
      </c>
      <c r="J61" s="8" t="s">
        <v>4</v>
      </c>
      <c r="K61" s="8" t="s">
        <v>4</v>
      </c>
    </row>
    <row r="62" spans="1:11" ht="15.95" customHeight="1">
      <c r="A62" s="112" t="s">
        <v>1910</v>
      </c>
      <c r="B62" s="116"/>
      <c r="C62" s="116"/>
      <c r="D62" s="116"/>
      <c r="E62" s="116"/>
      <c r="F62" s="116"/>
      <c r="G62" s="116"/>
      <c r="H62" s="116"/>
      <c r="I62" s="116"/>
      <c r="J62" s="116"/>
      <c r="K62" s="117"/>
    </row>
    <row r="63" spans="1:11" ht="15.95" customHeight="1">
      <c r="A63" s="111" t="s">
        <v>1911</v>
      </c>
      <c r="B63" s="116"/>
      <c r="C63" s="116"/>
      <c r="D63" s="116"/>
      <c r="E63" s="116"/>
      <c r="F63" s="116"/>
      <c r="G63" s="116"/>
      <c r="H63" s="116"/>
      <c r="I63" s="116"/>
      <c r="J63" s="116"/>
      <c r="K63" s="117"/>
    </row>
    <row r="64" spans="1:11" ht="80.099999999999994" customHeight="1">
      <c r="A64" s="8" t="s">
        <v>225</v>
      </c>
      <c r="B64" s="9" t="s">
        <v>226</v>
      </c>
      <c r="C64" s="9" t="s">
        <v>227</v>
      </c>
      <c r="D64" s="9" t="s">
        <v>228</v>
      </c>
      <c r="E64" s="9" t="s">
        <v>1912</v>
      </c>
      <c r="F64" s="9" t="s">
        <v>1892</v>
      </c>
      <c r="G64" s="8" t="s">
        <v>36</v>
      </c>
      <c r="H64" s="10" t="s">
        <v>11</v>
      </c>
      <c r="I64" s="8" t="s">
        <v>37</v>
      </c>
      <c r="J64" s="8" t="s">
        <v>4</v>
      </c>
      <c r="K64" s="8" t="s">
        <v>4</v>
      </c>
    </row>
    <row r="65" spans="1:11" ht="80.099999999999994" customHeight="1">
      <c r="A65" s="8" t="s">
        <v>230</v>
      </c>
      <c r="B65" s="9" t="s">
        <v>231</v>
      </c>
      <c r="C65" s="9" t="s">
        <v>232</v>
      </c>
      <c r="D65" s="9" t="s">
        <v>233</v>
      </c>
      <c r="E65" s="9" t="s">
        <v>1913</v>
      </c>
      <c r="F65" s="9" t="s">
        <v>1894</v>
      </c>
      <c r="G65" s="8" t="s">
        <v>36</v>
      </c>
      <c r="H65" s="10" t="s">
        <v>11</v>
      </c>
      <c r="I65" s="8" t="s">
        <v>37</v>
      </c>
      <c r="J65" s="8" t="s">
        <v>4</v>
      </c>
      <c r="K65" s="8" t="s">
        <v>4</v>
      </c>
    </row>
    <row r="66" spans="1:11" ht="80.099999999999994" customHeight="1">
      <c r="A66" s="8" t="s">
        <v>235</v>
      </c>
      <c r="B66" s="9" t="s">
        <v>236</v>
      </c>
      <c r="C66" s="9" t="s">
        <v>237</v>
      </c>
      <c r="D66" s="9" t="s">
        <v>238</v>
      </c>
      <c r="E66" s="9" t="s">
        <v>1914</v>
      </c>
      <c r="F66" s="9" t="s">
        <v>1896</v>
      </c>
      <c r="G66" s="8" t="s">
        <v>36</v>
      </c>
      <c r="H66" s="10" t="s">
        <v>11</v>
      </c>
      <c r="I66" s="8" t="s">
        <v>37</v>
      </c>
      <c r="J66" s="8" t="s">
        <v>4</v>
      </c>
      <c r="K66" s="8" t="s">
        <v>4</v>
      </c>
    </row>
    <row r="67" spans="1:11" ht="80.099999999999994" customHeight="1">
      <c r="A67" s="8" t="s">
        <v>240</v>
      </c>
      <c r="B67" s="9" t="s">
        <v>241</v>
      </c>
      <c r="C67" s="9" t="s">
        <v>57</v>
      </c>
      <c r="D67" s="9" t="s">
        <v>242</v>
      </c>
      <c r="E67" s="9" t="s">
        <v>1915</v>
      </c>
      <c r="F67" s="9" t="s">
        <v>1916</v>
      </c>
      <c r="G67" s="8" t="s">
        <v>36</v>
      </c>
      <c r="H67" s="10" t="s">
        <v>11</v>
      </c>
      <c r="I67" s="8" t="s">
        <v>37</v>
      </c>
      <c r="J67" s="8" t="s">
        <v>4</v>
      </c>
      <c r="K67" s="8" t="s">
        <v>4</v>
      </c>
    </row>
    <row r="68" spans="1:11" ht="15.95" customHeight="1">
      <c r="A68" s="112" t="s">
        <v>1917</v>
      </c>
      <c r="B68" s="116"/>
      <c r="C68" s="116"/>
      <c r="D68" s="116"/>
      <c r="E68" s="116"/>
      <c r="F68" s="116"/>
      <c r="G68" s="116"/>
      <c r="H68" s="116"/>
      <c r="I68" s="116"/>
      <c r="J68" s="116"/>
      <c r="K68" s="117"/>
    </row>
    <row r="69" spans="1:11" ht="15.95" customHeight="1">
      <c r="A69" s="111" t="s">
        <v>1918</v>
      </c>
      <c r="B69" s="116"/>
      <c r="C69" s="116"/>
      <c r="D69" s="116"/>
      <c r="E69" s="116"/>
      <c r="F69" s="116"/>
      <c r="G69" s="116"/>
      <c r="H69" s="116"/>
      <c r="I69" s="116"/>
      <c r="J69" s="116"/>
      <c r="K69" s="117"/>
    </row>
    <row r="70" spans="1:11" ht="80.099999999999994" customHeight="1">
      <c r="A70" s="8" t="s">
        <v>247</v>
      </c>
      <c r="B70" s="9" t="s">
        <v>248</v>
      </c>
      <c r="C70" s="9" t="s">
        <v>249</v>
      </c>
      <c r="D70" s="9" t="s">
        <v>250</v>
      </c>
      <c r="E70" s="9" t="s">
        <v>1919</v>
      </c>
      <c r="F70" s="9" t="s">
        <v>1892</v>
      </c>
      <c r="G70" s="8" t="s">
        <v>36</v>
      </c>
      <c r="H70" s="10" t="s">
        <v>11</v>
      </c>
      <c r="I70" s="8" t="s">
        <v>37</v>
      </c>
      <c r="J70" s="8" t="s">
        <v>4</v>
      </c>
      <c r="K70" s="8" t="s">
        <v>4</v>
      </c>
    </row>
    <row r="71" spans="1:11" ht="80.099999999999994" customHeight="1">
      <c r="A71" s="8" t="s">
        <v>253</v>
      </c>
      <c r="B71" s="9" t="s">
        <v>254</v>
      </c>
      <c r="C71" s="9" t="s">
        <v>255</v>
      </c>
      <c r="D71" s="9" t="s">
        <v>256</v>
      </c>
      <c r="E71" s="9" t="s">
        <v>1920</v>
      </c>
      <c r="F71" s="9" t="s">
        <v>1921</v>
      </c>
      <c r="G71" s="8" t="s">
        <v>36</v>
      </c>
      <c r="H71" s="10" t="s">
        <v>11</v>
      </c>
      <c r="I71" s="8" t="s">
        <v>37</v>
      </c>
      <c r="J71" s="8" t="s">
        <v>4</v>
      </c>
      <c r="K71" s="8" t="s">
        <v>4</v>
      </c>
    </row>
    <row r="72" spans="1:11" ht="80.099999999999994" customHeight="1">
      <c r="A72" s="8" t="s">
        <v>259</v>
      </c>
      <c r="B72" s="9" t="s">
        <v>260</v>
      </c>
      <c r="C72" s="9" t="s">
        <v>261</v>
      </c>
      <c r="D72" s="9" t="s">
        <v>262</v>
      </c>
      <c r="E72" s="9" t="s">
        <v>1922</v>
      </c>
      <c r="F72" s="9" t="s">
        <v>1896</v>
      </c>
      <c r="G72" s="8" t="s">
        <v>36</v>
      </c>
      <c r="H72" s="10" t="s">
        <v>11</v>
      </c>
      <c r="I72" s="8" t="s">
        <v>37</v>
      </c>
      <c r="J72" s="8" t="s">
        <v>4</v>
      </c>
      <c r="K72" s="8" t="s">
        <v>4</v>
      </c>
    </row>
    <row r="73" spans="1:11" ht="80.099999999999994" customHeight="1">
      <c r="A73" s="8" t="s">
        <v>265</v>
      </c>
      <c r="B73" s="9" t="s">
        <v>266</v>
      </c>
      <c r="C73" s="9" t="s">
        <v>57</v>
      </c>
      <c r="D73" s="9" t="s">
        <v>1923</v>
      </c>
      <c r="E73" s="9" t="s">
        <v>1924</v>
      </c>
      <c r="F73" s="9" t="s">
        <v>1925</v>
      </c>
      <c r="G73" s="8" t="s">
        <v>36</v>
      </c>
      <c r="H73" s="10" t="s">
        <v>11</v>
      </c>
      <c r="I73" s="8" t="s">
        <v>37</v>
      </c>
      <c r="J73" s="8" t="s">
        <v>4</v>
      </c>
      <c r="K73" s="8" t="s">
        <v>4</v>
      </c>
    </row>
    <row r="74" spans="1:11" ht="15.95" customHeight="1">
      <c r="A74" s="112" t="s">
        <v>1926</v>
      </c>
      <c r="B74" s="116"/>
      <c r="C74" s="116"/>
      <c r="D74" s="116"/>
      <c r="E74" s="116"/>
      <c r="F74" s="116"/>
      <c r="G74" s="116"/>
      <c r="H74" s="116"/>
      <c r="I74" s="116"/>
      <c r="J74" s="116"/>
      <c r="K74" s="117"/>
    </row>
    <row r="75" spans="1:11" ht="15.95" customHeight="1">
      <c r="A75" s="111" t="s">
        <v>1927</v>
      </c>
      <c r="B75" s="116"/>
      <c r="C75" s="116"/>
      <c r="D75" s="116"/>
      <c r="E75" s="116"/>
      <c r="F75" s="116"/>
      <c r="G75" s="116"/>
      <c r="H75" s="116"/>
      <c r="I75" s="116"/>
      <c r="J75" s="116"/>
      <c r="K75" s="117"/>
    </row>
    <row r="76" spans="1:11" ht="80.099999999999994" customHeight="1">
      <c r="A76" s="8" t="s">
        <v>272</v>
      </c>
      <c r="B76" s="9" t="s">
        <v>273</v>
      </c>
      <c r="C76" s="9" t="s">
        <v>274</v>
      </c>
      <c r="D76" s="9" t="s">
        <v>1928</v>
      </c>
      <c r="E76" s="9" t="s">
        <v>1929</v>
      </c>
      <c r="F76" s="9" t="s">
        <v>1930</v>
      </c>
      <c r="G76" s="8" t="s">
        <v>36</v>
      </c>
      <c r="H76" s="10" t="s">
        <v>11</v>
      </c>
      <c r="I76" s="8" t="s">
        <v>37</v>
      </c>
      <c r="J76" s="8" t="s">
        <v>4</v>
      </c>
      <c r="K76" s="8" t="s">
        <v>4</v>
      </c>
    </row>
    <row r="77" spans="1:11" ht="80.099999999999994" customHeight="1">
      <c r="A77" s="8" t="s">
        <v>278</v>
      </c>
      <c r="B77" s="9" t="s">
        <v>279</v>
      </c>
      <c r="C77" s="9" t="s">
        <v>280</v>
      </c>
      <c r="D77" s="9" t="s">
        <v>281</v>
      </c>
      <c r="E77" s="9" t="s">
        <v>1931</v>
      </c>
      <c r="F77" s="9" t="s">
        <v>1932</v>
      </c>
      <c r="G77" s="8" t="s">
        <v>36</v>
      </c>
      <c r="H77" s="10" t="s">
        <v>11</v>
      </c>
      <c r="I77" s="8" t="s">
        <v>37</v>
      </c>
      <c r="J77" s="8" t="s">
        <v>4</v>
      </c>
      <c r="K77" s="8" t="s">
        <v>4</v>
      </c>
    </row>
    <row r="78" spans="1:11" ht="80.099999999999994" customHeight="1">
      <c r="A78" s="8" t="s">
        <v>284</v>
      </c>
      <c r="B78" s="9" t="s">
        <v>1933</v>
      </c>
      <c r="C78" s="9" t="s">
        <v>286</v>
      </c>
      <c r="D78" s="9" t="s">
        <v>1934</v>
      </c>
      <c r="E78" s="9" t="s">
        <v>1935</v>
      </c>
      <c r="F78" s="9" t="s">
        <v>1936</v>
      </c>
      <c r="G78" s="8" t="s">
        <v>36</v>
      </c>
      <c r="H78" s="10" t="s">
        <v>11</v>
      </c>
      <c r="I78" s="8" t="s">
        <v>37</v>
      </c>
      <c r="J78" s="8" t="s">
        <v>4</v>
      </c>
      <c r="K78" s="8" t="s">
        <v>4</v>
      </c>
    </row>
    <row r="79" spans="1:11" ht="80.099999999999994" customHeight="1">
      <c r="A79" s="8" t="s">
        <v>289</v>
      </c>
      <c r="B79" s="9" t="s">
        <v>290</v>
      </c>
      <c r="C79" s="9" t="s">
        <v>291</v>
      </c>
      <c r="D79" s="9" t="s">
        <v>292</v>
      </c>
      <c r="E79" s="9" t="s">
        <v>1937</v>
      </c>
      <c r="F79" s="9" t="s">
        <v>1938</v>
      </c>
      <c r="G79" s="8" t="s">
        <v>36</v>
      </c>
      <c r="H79" s="10" t="s">
        <v>11</v>
      </c>
      <c r="I79" s="8" t="s">
        <v>37</v>
      </c>
      <c r="J79" s="8" t="s">
        <v>4</v>
      </c>
      <c r="K79" s="8" t="s">
        <v>4</v>
      </c>
    </row>
    <row r="80" spans="1:11" ht="80.099999999999994" customHeight="1">
      <c r="A80" s="8" t="s">
        <v>295</v>
      </c>
      <c r="B80" s="9" t="s">
        <v>296</v>
      </c>
      <c r="C80" s="9" t="s">
        <v>297</v>
      </c>
      <c r="D80" s="9" t="s">
        <v>298</v>
      </c>
      <c r="E80" s="9" t="s">
        <v>1939</v>
      </c>
      <c r="F80" s="9" t="s">
        <v>1940</v>
      </c>
      <c r="G80" s="8" t="s">
        <v>36</v>
      </c>
      <c r="H80" s="10" t="s">
        <v>11</v>
      </c>
      <c r="I80" s="8" t="s">
        <v>37</v>
      </c>
      <c r="J80" s="8" t="s">
        <v>4</v>
      </c>
      <c r="K80" s="8" t="s">
        <v>4</v>
      </c>
    </row>
    <row r="81" spans="1:11" ht="80.099999999999994" customHeight="1">
      <c r="A81" s="8" t="s">
        <v>301</v>
      </c>
      <c r="B81" s="9" t="s">
        <v>1941</v>
      </c>
      <c r="C81" s="9" t="s">
        <v>57</v>
      </c>
      <c r="D81" s="9" t="s">
        <v>303</v>
      </c>
      <c r="E81" s="9" t="s">
        <v>1942</v>
      </c>
      <c r="F81" s="9" t="s">
        <v>1943</v>
      </c>
      <c r="G81" s="8" t="s">
        <v>36</v>
      </c>
      <c r="H81" s="10" t="s">
        <v>11</v>
      </c>
      <c r="I81" s="8" t="s">
        <v>37</v>
      </c>
      <c r="J81" s="8" t="s">
        <v>4</v>
      </c>
      <c r="K81" s="8" t="s">
        <v>4</v>
      </c>
    </row>
    <row r="82" spans="1:11" ht="80.099999999999994" customHeight="1">
      <c r="A82" s="8" t="s">
        <v>306</v>
      </c>
      <c r="B82" s="9" t="s">
        <v>307</v>
      </c>
      <c r="C82" s="9" t="s">
        <v>57</v>
      </c>
      <c r="D82" s="9" t="s">
        <v>308</v>
      </c>
      <c r="E82" s="9" t="s">
        <v>1944</v>
      </c>
      <c r="F82" s="9" t="s">
        <v>1945</v>
      </c>
      <c r="G82" s="8" t="s">
        <v>36</v>
      </c>
      <c r="H82" s="10" t="s">
        <v>11</v>
      </c>
      <c r="I82" s="8" t="s">
        <v>37</v>
      </c>
      <c r="J82" s="8" t="s">
        <v>4</v>
      </c>
      <c r="K82" s="8" t="s">
        <v>4</v>
      </c>
    </row>
    <row r="83" spans="1:11" ht="80.099999999999994" customHeight="1">
      <c r="A83" s="8" t="s">
        <v>311</v>
      </c>
      <c r="B83" s="9" t="s">
        <v>312</v>
      </c>
      <c r="C83" s="9" t="s">
        <v>313</v>
      </c>
      <c r="D83" s="9" t="s">
        <v>314</v>
      </c>
      <c r="E83" s="9" t="s">
        <v>1946</v>
      </c>
      <c r="F83" s="9" t="s">
        <v>1947</v>
      </c>
      <c r="G83" s="8" t="s">
        <v>36</v>
      </c>
      <c r="H83" s="72" t="s">
        <v>12</v>
      </c>
      <c r="I83" s="8" t="s">
        <v>37</v>
      </c>
      <c r="J83" s="8" t="s">
        <v>4</v>
      </c>
      <c r="K83" s="8" t="s">
        <v>4</v>
      </c>
    </row>
    <row r="84" spans="1:11" ht="80.099999999999994" customHeight="1">
      <c r="A84" s="8" t="s">
        <v>317</v>
      </c>
      <c r="B84" s="9" t="s">
        <v>318</v>
      </c>
      <c r="C84" s="9" t="s">
        <v>57</v>
      </c>
      <c r="D84" s="9" t="s">
        <v>319</v>
      </c>
      <c r="E84" s="9" t="s">
        <v>1948</v>
      </c>
      <c r="F84" s="9" t="s">
        <v>1949</v>
      </c>
      <c r="G84" s="8" t="s">
        <v>36</v>
      </c>
      <c r="H84" s="72" t="s">
        <v>12</v>
      </c>
      <c r="I84" s="8" t="s">
        <v>37</v>
      </c>
      <c r="J84" s="8" t="s">
        <v>4</v>
      </c>
      <c r="K84" s="8" t="s">
        <v>4</v>
      </c>
    </row>
    <row r="85" spans="1:11" ht="80.099999999999994" customHeight="1">
      <c r="A85" s="8" t="s">
        <v>322</v>
      </c>
      <c r="B85" s="9" t="s">
        <v>323</v>
      </c>
      <c r="C85" s="9" t="s">
        <v>324</v>
      </c>
      <c r="D85" s="9" t="s">
        <v>325</v>
      </c>
      <c r="E85" s="9" t="s">
        <v>1950</v>
      </c>
      <c r="F85" s="9" t="s">
        <v>1951</v>
      </c>
      <c r="G85" s="8" t="s">
        <v>36</v>
      </c>
      <c r="H85" s="72" t="s">
        <v>12</v>
      </c>
      <c r="I85" s="8" t="s">
        <v>37</v>
      </c>
      <c r="J85" s="8" t="s">
        <v>4</v>
      </c>
      <c r="K85" s="8" t="s">
        <v>4</v>
      </c>
    </row>
    <row r="86" spans="1:11" ht="15.95" customHeight="1">
      <c r="A86" s="112" t="s">
        <v>1952</v>
      </c>
      <c r="B86" s="116"/>
      <c r="C86" s="116"/>
      <c r="D86" s="116"/>
      <c r="E86" s="116"/>
      <c r="F86" s="116"/>
      <c r="G86" s="116"/>
      <c r="H86" s="116"/>
      <c r="I86" s="116"/>
      <c r="J86" s="116"/>
      <c r="K86" s="117"/>
    </row>
    <row r="87" spans="1:11" ht="15.95" customHeight="1">
      <c r="A87" s="111" t="s">
        <v>1953</v>
      </c>
      <c r="B87" s="116"/>
      <c r="C87" s="116"/>
      <c r="D87" s="116"/>
      <c r="E87" s="116"/>
      <c r="F87" s="116"/>
      <c r="G87" s="116"/>
      <c r="H87" s="116"/>
      <c r="I87" s="116"/>
      <c r="J87" s="116"/>
      <c r="K87" s="117"/>
    </row>
    <row r="88" spans="1:11" ht="80.099999999999994" customHeight="1">
      <c r="A88" s="8" t="s">
        <v>330</v>
      </c>
      <c r="B88" s="9" t="s">
        <v>331</v>
      </c>
      <c r="C88" s="9" t="s">
        <v>332</v>
      </c>
      <c r="D88" s="9" t="s">
        <v>333</v>
      </c>
      <c r="E88" s="9" t="s">
        <v>1954</v>
      </c>
      <c r="F88" s="9" t="s">
        <v>1955</v>
      </c>
      <c r="G88" s="8" t="s">
        <v>36</v>
      </c>
      <c r="H88" s="10" t="s">
        <v>11</v>
      </c>
      <c r="I88" s="8" t="s">
        <v>37</v>
      </c>
      <c r="J88" s="8" t="s">
        <v>4</v>
      </c>
      <c r="K88" s="8" t="s">
        <v>4</v>
      </c>
    </row>
    <row r="89" spans="1:11" ht="80.099999999999994" customHeight="1">
      <c r="A89" s="8" t="s">
        <v>336</v>
      </c>
      <c r="B89" s="9" t="s">
        <v>337</v>
      </c>
      <c r="C89" s="9" t="s">
        <v>338</v>
      </c>
      <c r="D89" s="9" t="s">
        <v>1956</v>
      </c>
      <c r="E89" s="9" t="s">
        <v>1957</v>
      </c>
      <c r="F89" s="9" t="s">
        <v>1958</v>
      </c>
      <c r="G89" s="8" t="s">
        <v>36</v>
      </c>
      <c r="H89" s="10" t="s">
        <v>11</v>
      </c>
      <c r="I89" s="8" t="s">
        <v>37</v>
      </c>
      <c r="J89" s="8" t="s">
        <v>4</v>
      </c>
      <c r="K89" s="8" t="s">
        <v>4</v>
      </c>
    </row>
    <row r="90" spans="1:11" ht="80.099999999999994" customHeight="1">
      <c r="A90" s="8" t="s">
        <v>342</v>
      </c>
      <c r="B90" s="9" t="s">
        <v>343</v>
      </c>
      <c r="C90" s="9" t="s">
        <v>344</v>
      </c>
      <c r="D90" s="9" t="s">
        <v>345</v>
      </c>
      <c r="E90" s="9" t="s">
        <v>1959</v>
      </c>
      <c r="F90" s="9" t="s">
        <v>1960</v>
      </c>
      <c r="G90" s="8" t="s">
        <v>36</v>
      </c>
      <c r="H90" s="10" t="s">
        <v>11</v>
      </c>
      <c r="I90" s="8" t="s">
        <v>37</v>
      </c>
      <c r="J90" s="8" t="s">
        <v>4</v>
      </c>
      <c r="K90" s="8" t="s">
        <v>4</v>
      </c>
    </row>
    <row r="91" spans="1:11" ht="80.099999999999994" customHeight="1">
      <c r="A91" s="8" t="s">
        <v>348</v>
      </c>
      <c r="B91" s="9" t="s">
        <v>349</v>
      </c>
      <c r="C91" s="9" t="s">
        <v>350</v>
      </c>
      <c r="D91" s="9" t="s">
        <v>351</v>
      </c>
      <c r="E91" s="9" t="s">
        <v>1961</v>
      </c>
      <c r="F91" s="9" t="s">
        <v>1962</v>
      </c>
      <c r="G91" s="8" t="s">
        <v>36</v>
      </c>
      <c r="H91" s="10" t="s">
        <v>11</v>
      </c>
      <c r="I91" s="8" t="s">
        <v>37</v>
      </c>
      <c r="J91" s="8" t="s">
        <v>4</v>
      </c>
      <c r="K91" s="8" t="s">
        <v>4</v>
      </c>
    </row>
    <row r="92" spans="1:11" ht="80.099999999999994" customHeight="1">
      <c r="A92" s="8" t="s">
        <v>355</v>
      </c>
      <c r="B92" s="9" t="s">
        <v>356</v>
      </c>
      <c r="C92" s="9" t="s">
        <v>357</v>
      </c>
      <c r="D92" s="9" t="s">
        <v>358</v>
      </c>
      <c r="E92" s="9" t="s">
        <v>1963</v>
      </c>
      <c r="F92" s="9" t="s">
        <v>1964</v>
      </c>
      <c r="G92" s="8" t="s">
        <v>36</v>
      </c>
      <c r="H92" s="72" t="s">
        <v>12</v>
      </c>
      <c r="I92" s="8" t="s">
        <v>37</v>
      </c>
      <c r="J92" s="8" t="s">
        <v>4</v>
      </c>
      <c r="K92" s="8" t="s">
        <v>4</v>
      </c>
    </row>
    <row r="93" spans="1:11" ht="80.099999999999994" customHeight="1">
      <c r="A93" s="8" t="s">
        <v>361</v>
      </c>
      <c r="B93" s="9" t="s">
        <v>362</v>
      </c>
      <c r="C93" s="9" t="s">
        <v>363</v>
      </c>
      <c r="D93" s="9" t="s">
        <v>364</v>
      </c>
      <c r="E93" s="9" t="s">
        <v>1965</v>
      </c>
      <c r="F93" s="9" t="s">
        <v>1966</v>
      </c>
      <c r="G93" s="8" t="s">
        <v>36</v>
      </c>
      <c r="H93" s="10" t="s">
        <v>11</v>
      </c>
      <c r="I93" s="8" t="s">
        <v>37</v>
      </c>
      <c r="J93" s="8" t="s">
        <v>4</v>
      </c>
      <c r="K93" s="8" t="s">
        <v>4</v>
      </c>
    </row>
    <row r="94" spans="1:11" ht="15.95" customHeight="1">
      <c r="A94" s="112" t="s">
        <v>1967</v>
      </c>
      <c r="B94" s="116"/>
      <c r="C94" s="116"/>
      <c r="D94" s="116"/>
      <c r="E94" s="116"/>
      <c r="F94" s="116"/>
      <c r="G94" s="116"/>
      <c r="H94" s="116"/>
      <c r="I94" s="116"/>
      <c r="J94" s="116"/>
      <c r="K94" s="117"/>
    </row>
    <row r="95" spans="1:11" ht="15.95" customHeight="1">
      <c r="A95" s="111" t="s">
        <v>1968</v>
      </c>
      <c r="B95" s="116"/>
      <c r="C95" s="116"/>
      <c r="D95" s="116"/>
      <c r="E95" s="116"/>
      <c r="F95" s="116"/>
      <c r="G95" s="116"/>
      <c r="H95" s="116"/>
      <c r="I95" s="116"/>
      <c r="J95" s="116"/>
      <c r="K95" s="117"/>
    </row>
    <row r="96" spans="1:11" ht="80.099999999999994" customHeight="1">
      <c r="A96" s="8" t="s">
        <v>369</v>
      </c>
      <c r="B96" s="9" t="s">
        <v>370</v>
      </c>
      <c r="C96" s="9" t="s">
        <v>371</v>
      </c>
      <c r="D96" s="9" t="s">
        <v>372</v>
      </c>
      <c r="E96" s="9" t="s">
        <v>1969</v>
      </c>
      <c r="F96" s="9" t="s">
        <v>1970</v>
      </c>
      <c r="G96" s="8" t="s">
        <v>36</v>
      </c>
      <c r="H96" s="10" t="s">
        <v>11</v>
      </c>
      <c r="I96" s="8" t="s">
        <v>37</v>
      </c>
      <c r="J96" s="8" t="s">
        <v>4</v>
      </c>
      <c r="K96" s="8" t="s">
        <v>4</v>
      </c>
    </row>
    <row r="97" spans="1:11" ht="80.099999999999994" customHeight="1">
      <c r="A97" s="8" t="s">
        <v>375</v>
      </c>
      <c r="B97" s="9" t="s">
        <v>376</v>
      </c>
      <c r="C97" s="9" t="s">
        <v>377</v>
      </c>
      <c r="D97" s="9" t="s">
        <v>378</v>
      </c>
      <c r="E97" s="9" t="s">
        <v>1971</v>
      </c>
      <c r="F97" s="9" t="s">
        <v>1972</v>
      </c>
      <c r="G97" s="8" t="s">
        <v>36</v>
      </c>
      <c r="H97" s="72" t="s">
        <v>12</v>
      </c>
      <c r="I97" s="8" t="s">
        <v>37</v>
      </c>
      <c r="J97" s="8" t="s">
        <v>4</v>
      </c>
      <c r="K97" s="8" t="s">
        <v>4</v>
      </c>
    </row>
    <row r="98" spans="1:11" ht="80.099999999999994" customHeight="1">
      <c r="A98" s="8" t="s">
        <v>381</v>
      </c>
      <c r="B98" s="9" t="s">
        <v>382</v>
      </c>
      <c r="C98" s="9" t="s">
        <v>383</v>
      </c>
      <c r="D98" s="9" t="s">
        <v>384</v>
      </c>
      <c r="E98" s="9" t="s">
        <v>1973</v>
      </c>
      <c r="F98" s="9" t="s">
        <v>1821</v>
      </c>
      <c r="G98" s="8" t="s">
        <v>36</v>
      </c>
      <c r="H98" s="10" t="s">
        <v>11</v>
      </c>
      <c r="I98" s="8" t="s">
        <v>37</v>
      </c>
      <c r="J98" s="8" t="s">
        <v>4</v>
      </c>
      <c r="K98" s="8" t="s">
        <v>4</v>
      </c>
    </row>
    <row r="99" spans="1:11" ht="80.099999999999994" customHeight="1">
      <c r="A99" s="8" t="s">
        <v>387</v>
      </c>
      <c r="B99" s="9" t="s">
        <v>388</v>
      </c>
      <c r="C99" s="9" t="s">
        <v>32</v>
      </c>
      <c r="D99" s="9" t="s">
        <v>389</v>
      </c>
      <c r="E99" s="9" t="s">
        <v>1974</v>
      </c>
      <c r="F99" s="9" t="s">
        <v>1835</v>
      </c>
      <c r="G99" s="8" t="s">
        <v>36</v>
      </c>
      <c r="H99" s="10" t="s">
        <v>11</v>
      </c>
      <c r="I99" s="8" t="s">
        <v>37</v>
      </c>
      <c r="J99" s="8" t="s">
        <v>4</v>
      </c>
      <c r="K99" s="8" t="s">
        <v>4</v>
      </c>
    </row>
    <row r="100" spans="1:11" ht="80.099999999999994" customHeight="1">
      <c r="A100" s="8" t="s">
        <v>392</v>
      </c>
      <c r="B100" s="9" t="s">
        <v>393</v>
      </c>
      <c r="C100" s="9" t="s">
        <v>394</v>
      </c>
      <c r="D100" s="9" t="s">
        <v>395</v>
      </c>
      <c r="E100" s="9" t="s">
        <v>1975</v>
      </c>
      <c r="F100" s="9" t="s">
        <v>1976</v>
      </c>
      <c r="G100" s="8" t="s">
        <v>36</v>
      </c>
      <c r="H100" s="72" t="s">
        <v>12</v>
      </c>
      <c r="I100" s="8" t="s">
        <v>37</v>
      </c>
      <c r="J100" s="8" t="s">
        <v>4</v>
      </c>
      <c r="K100" s="8" t="s">
        <v>4</v>
      </c>
    </row>
    <row r="101" spans="1:11" ht="15.95" customHeight="1">
      <c r="A101" s="112" t="s">
        <v>1977</v>
      </c>
      <c r="B101" s="116"/>
      <c r="C101" s="116"/>
      <c r="D101" s="116"/>
      <c r="E101" s="116"/>
      <c r="F101" s="116"/>
      <c r="G101" s="116"/>
      <c r="H101" s="116"/>
      <c r="I101" s="116"/>
      <c r="J101" s="116"/>
      <c r="K101" s="117"/>
    </row>
    <row r="102" spans="1:11" ht="15.95" customHeight="1">
      <c r="A102" s="111" t="s">
        <v>1978</v>
      </c>
      <c r="B102" s="116"/>
      <c r="C102" s="116"/>
      <c r="D102" s="116"/>
      <c r="E102" s="116"/>
      <c r="F102" s="116"/>
      <c r="G102" s="116"/>
      <c r="H102" s="116"/>
      <c r="I102" s="116"/>
      <c r="J102" s="116"/>
      <c r="K102" s="117"/>
    </row>
    <row r="103" spans="1:11" ht="80.099999999999994" customHeight="1">
      <c r="A103" s="8" t="s">
        <v>400</v>
      </c>
      <c r="B103" s="9" t="s">
        <v>1979</v>
      </c>
      <c r="C103" s="9" t="s">
        <v>1980</v>
      </c>
      <c r="D103" s="9" t="s">
        <v>1981</v>
      </c>
      <c r="E103" s="9" t="s">
        <v>1982</v>
      </c>
      <c r="F103" s="9" t="s">
        <v>1983</v>
      </c>
      <c r="G103" s="8" t="s">
        <v>36</v>
      </c>
      <c r="H103" s="10" t="s">
        <v>11</v>
      </c>
      <c r="I103" s="8" t="s">
        <v>37</v>
      </c>
      <c r="J103" s="8" t="s">
        <v>4</v>
      </c>
      <c r="K103" s="8" t="s">
        <v>4</v>
      </c>
    </row>
    <row r="104" spans="1:11" ht="80.099999999999994" customHeight="1">
      <c r="A104" s="8" t="s">
        <v>405</v>
      </c>
      <c r="B104" s="9" t="s">
        <v>1984</v>
      </c>
      <c r="C104" s="9" t="s">
        <v>57</v>
      </c>
      <c r="D104" s="9" t="s">
        <v>1985</v>
      </c>
      <c r="E104" s="9" t="s">
        <v>1986</v>
      </c>
      <c r="F104" s="9" t="s">
        <v>1987</v>
      </c>
      <c r="G104" s="8" t="s">
        <v>36</v>
      </c>
      <c r="H104" s="10" t="s">
        <v>11</v>
      </c>
      <c r="I104" s="8" t="s">
        <v>37</v>
      </c>
      <c r="J104" s="8" t="s">
        <v>4</v>
      </c>
      <c r="K104" s="8" t="s">
        <v>4</v>
      </c>
    </row>
    <row r="105" spans="1:11" ht="80.099999999999994" customHeight="1">
      <c r="A105" s="8" t="s">
        <v>410</v>
      </c>
      <c r="B105" s="9" t="s">
        <v>401</v>
      </c>
      <c r="C105" s="9" t="s">
        <v>57</v>
      </c>
      <c r="D105" s="9" t="s">
        <v>402</v>
      </c>
      <c r="E105" s="9" t="s">
        <v>1988</v>
      </c>
      <c r="F105" s="9" t="s">
        <v>1989</v>
      </c>
      <c r="G105" s="8" t="s">
        <v>36</v>
      </c>
      <c r="H105" s="72" t="s">
        <v>12</v>
      </c>
      <c r="I105" s="8" t="s">
        <v>37</v>
      </c>
      <c r="J105" s="8" t="s">
        <v>4</v>
      </c>
      <c r="K105" s="8" t="s">
        <v>4</v>
      </c>
    </row>
    <row r="106" spans="1:11" ht="80.099999999999994" customHeight="1">
      <c r="A106" s="8" t="s">
        <v>415</v>
      </c>
      <c r="B106" s="9" t="s">
        <v>406</v>
      </c>
      <c r="C106" s="9" t="s">
        <v>57</v>
      </c>
      <c r="D106" s="9" t="s">
        <v>407</v>
      </c>
      <c r="E106" s="9" t="s">
        <v>1990</v>
      </c>
      <c r="F106" s="9" t="s">
        <v>1991</v>
      </c>
      <c r="G106" s="8" t="s">
        <v>36</v>
      </c>
      <c r="H106" s="72" t="s">
        <v>12</v>
      </c>
      <c r="I106" s="8" t="s">
        <v>37</v>
      </c>
      <c r="J106" s="8" t="s">
        <v>4</v>
      </c>
      <c r="K106" s="8" t="s">
        <v>4</v>
      </c>
    </row>
    <row r="107" spans="1:11" ht="80.099999999999994" customHeight="1">
      <c r="A107" s="8" t="s">
        <v>419</v>
      </c>
      <c r="B107" s="9" t="s">
        <v>411</v>
      </c>
      <c r="C107" s="9" t="s">
        <v>57</v>
      </c>
      <c r="D107" s="9" t="s">
        <v>412</v>
      </c>
      <c r="E107" s="9" t="s">
        <v>1992</v>
      </c>
      <c r="F107" s="9" t="s">
        <v>1993</v>
      </c>
      <c r="G107" s="8" t="s">
        <v>36</v>
      </c>
      <c r="H107" s="73" t="s">
        <v>13</v>
      </c>
      <c r="I107" s="8" t="s">
        <v>37</v>
      </c>
      <c r="J107" s="8" t="s">
        <v>4</v>
      </c>
      <c r="K107" s="8" t="s">
        <v>4</v>
      </c>
    </row>
    <row r="108" spans="1:11" ht="80.099999999999994" customHeight="1">
      <c r="A108" s="8" t="s">
        <v>425</v>
      </c>
      <c r="B108" s="9" t="s">
        <v>416</v>
      </c>
      <c r="C108" s="9" t="s">
        <v>57</v>
      </c>
      <c r="D108" s="9" t="s">
        <v>417</v>
      </c>
      <c r="E108" s="9" t="s">
        <v>1994</v>
      </c>
      <c r="F108" s="9" t="s">
        <v>1995</v>
      </c>
      <c r="G108" s="8" t="s">
        <v>36</v>
      </c>
      <c r="H108" s="73" t="s">
        <v>13</v>
      </c>
      <c r="I108" s="8" t="s">
        <v>37</v>
      </c>
      <c r="J108" s="8" t="s">
        <v>4</v>
      </c>
      <c r="K108" s="8" t="s">
        <v>4</v>
      </c>
    </row>
    <row r="109" spans="1:11" ht="80.099999999999994" customHeight="1">
      <c r="A109" s="8" t="s">
        <v>431</v>
      </c>
      <c r="B109" s="9" t="s">
        <v>420</v>
      </c>
      <c r="C109" s="9" t="s">
        <v>421</v>
      </c>
      <c r="D109" s="9" t="s">
        <v>422</v>
      </c>
      <c r="E109" s="9" t="s">
        <v>1996</v>
      </c>
      <c r="F109" s="9" t="s">
        <v>1997</v>
      </c>
      <c r="G109" s="8" t="s">
        <v>36</v>
      </c>
      <c r="H109" s="10" t="s">
        <v>11</v>
      </c>
      <c r="I109" s="8" t="s">
        <v>37</v>
      </c>
      <c r="J109" s="8" t="s">
        <v>4</v>
      </c>
      <c r="K109" s="8" t="s">
        <v>4</v>
      </c>
    </row>
    <row r="110" spans="1:11" ht="80.099999999999994" customHeight="1">
      <c r="A110" s="8" t="s">
        <v>436</v>
      </c>
      <c r="B110" s="9" t="s">
        <v>426</v>
      </c>
      <c r="C110" s="9" t="s">
        <v>427</v>
      </c>
      <c r="D110" s="9" t="s">
        <v>428</v>
      </c>
      <c r="E110" s="9" t="s">
        <v>1998</v>
      </c>
      <c r="F110" s="9" t="s">
        <v>1999</v>
      </c>
      <c r="G110" s="8" t="s">
        <v>36</v>
      </c>
      <c r="H110" s="72" t="s">
        <v>12</v>
      </c>
      <c r="I110" s="8" t="s">
        <v>37</v>
      </c>
      <c r="J110" s="8" t="s">
        <v>4</v>
      </c>
      <c r="K110" s="8" t="s">
        <v>4</v>
      </c>
    </row>
    <row r="111" spans="1:11" ht="80.099999999999994" customHeight="1">
      <c r="A111" s="8" t="s">
        <v>2000</v>
      </c>
      <c r="B111" s="9" t="s">
        <v>432</v>
      </c>
      <c r="C111" s="9" t="s">
        <v>57</v>
      </c>
      <c r="D111" s="9" t="s">
        <v>433</v>
      </c>
      <c r="E111" s="9" t="s">
        <v>2001</v>
      </c>
      <c r="F111" s="9" t="s">
        <v>2002</v>
      </c>
      <c r="G111" s="8" t="s">
        <v>36</v>
      </c>
      <c r="H111" s="72" t="s">
        <v>12</v>
      </c>
      <c r="I111" s="8" t="s">
        <v>37</v>
      </c>
      <c r="J111" s="8" t="s">
        <v>4</v>
      </c>
      <c r="K111" s="8" t="s">
        <v>4</v>
      </c>
    </row>
    <row r="112" spans="1:11" ht="80.099999999999994" customHeight="1">
      <c r="A112" s="8" t="s">
        <v>2003</v>
      </c>
      <c r="B112" s="9" t="s">
        <v>437</v>
      </c>
      <c r="C112" s="9" t="s">
        <v>438</v>
      </c>
      <c r="D112" s="9" t="s">
        <v>2004</v>
      </c>
      <c r="E112" s="9" t="s">
        <v>2005</v>
      </c>
      <c r="F112" s="9" t="s">
        <v>2006</v>
      </c>
      <c r="G112" s="8" t="s">
        <v>36</v>
      </c>
      <c r="H112" s="10" t="s">
        <v>11</v>
      </c>
      <c r="I112" s="8" t="s">
        <v>37</v>
      </c>
      <c r="J112" s="8" t="s">
        <v>4</v>
      </c>
      <c r="K112" s="8" t="s">
        <v>4</v>
      </c>
    </row>
    <row r="113" spans="1:11" ht="15.95" customHeight="1">
      <c r="A113" s="112" t="s">
        <v>2007</v>
      </c>
      <c r="B113" s="118"/>
      <c r="C113" s="118"/>
      <c r="D113" s="118"/>
      <c r="E113" s="118"/>
      <c r="F113" s="118"/>
      <c r="G113" s="118"/>
      <c r="H113" s="118"/>
      <c r="I113" s="118"/>
      <c r="J113" s="118"/>
      <c r="K113" s="118"/>
    </row>
    <row r="114" spans="1:11" ht="15.95" customHeight="1">
      <c r="A114" s="111" t="s">
        <v>2008</v>
      </c>
      <c r="B114" s="118"/>
      <c r="C114" s="118"/>
      <c r="D114" s="118"/>
      <c r="E114" s="118"/>
      <c r="F114" s="118"/>
      <c r="G114" s="118"/>
      <c r="H114" s="118"/>
      <c r="I114" s="118"/>
      <c r="J114" s="118"/>
      <c r="K114" s="118"/>
    </row>
    <row r="115" spans="1:11" ht="80.099999999999994" customHeight="1">
      <c r="A115" s="8" t="s">
        <v>444</v>
      </c>
      <c r="B115" s="9" t="s">
        <v>2009</v>
      </c>
      <c r="C115" s="9" t="s">
        <v>2010</v>
      </c>
      <c r="D115" s="9" t="s">
        <v>2011</v>
      </c>
      <c r="E115" s="9" t="s">
        <v>2012</v>
      </c>
      <c r="F115" s="9" t="s">
        <v>2013</v>
      </c>
      <c r="G115" s="8" t="s">
        <v>36</v>
      </c>
      <c r="H115" s="10" t="s">
        <v>11</v>
      </c>
      <c r="I115" s="8" t="s">
        <v>37</v>
      </c>
      <c r="J115" s="8" t="s">
        <v>4</v>
      </c>
      <c r="K115" s="8" t="s">
        <v>4</v>
      </c>
    </row>
    <row r="116" spans="1:11" ht="80.099999999999994" customHeight="1">
      <c r="A116" s="8" t="s">
        <v>451</v>
      </c>
      <c r="B116" s="9" t="s">
        <v>2014</v>
      </c>
      <c r="C116" s="9" t="s">
        <v>2015</v>
      </c>
      <c r="D116" s="9" t="s">
        <v>2016</v>
      </c>
      <c r="E116" s="9" t="s">
        <v>2017</v>
      </c>
      <c r="F116" s="9" t="s">
        <v>2018</v>
      </c>
      <c r="G116" s="8" t="s">
        <v>36</v>
      </c>
      <c r="H116" s="10" t="s">
        <v>11</v>
      </c>
      <c r="I116" s="8" t="s">
        <v>37</v>
      </c>
      <c r="J116" s="8" t="s">
        <v>4</v>
      </c>
      <c r="K116" s="8" t="s">
        <v>4</v>
      </c>
    </row>
    <row r="117" spans="1:11" ht="80.099999999999994" customHeight="1">
      <c r="A117" s="8" t="s">
        <v>456</v>
      </c>
      <c r="B117" s="9" t="s">
        <v>2019</v>
      </c>
      <c r="C117" s="9" t="s">
        <v>2020</v>
      </c>
      <c r="D117" s="9" t="s">
        <v>2021</v>
      </c>
      <c r="E117" s="9" t="s">
        <v>2022</v>
      </c>
      <c r="F117" s="9" t="s">
        <v>2018</v>
      </c>
      <c r="G117" s="8" t="s">
        <v>36</v>
      </c>
      <c r="H117" s="10" t="s">
        <v>11</v>
      </c>
      <c r="I117" s="8" t="s">
        <v>37</v>
      </c>
      <c r="J117" s="8" t="s">
        <v>4</v>
      </c>
      <c r="K117" s="8" t="s">
        <v>4</v>
      </c>
    </row>
    <row r="118" spans="1:11" ht="80.099999999999994" customHeight="1">
      <c r="A118" s="8" t="s">
        <v>2023</v>
      </c>
      <c r="B118" s="9" t="s">
        <v>2024</v>
      </c>
      <c r="C118" s="9" t="s">
        <v>2025</v>
      </c>
      <c r="D118" s="9" t="s">
        <v>2026</v>
      </c>
      <c r="E118" s="9" t="s">
        <v>2027</v>
      </c>
      <c r="F118" s="9" t="s">
        <v>2018</v>
      </c>
      <c r="G118" s="8" t="s">
        <v>36</v>
      </c>
      <c r="H118" s="10" t="s">
        <v>11</v>
      </c>
      <c r="I118" s="8" t="s">
        <v>37</v>
      </c>
      <c r="J118" s="8" t="s">
        <v>4</v>
      </c>
      <c r="K118" s="8" t="s">
        <v>4</v>
      </c>
    </row>
    <row r="119" spans="1:11" ht="80.099999999999994" customHeight="1">
      <c r="A119" s="8" t="s">
        <v>2028</v>
      </c>
      <c r="B119" s="9" t="s">
        <v>2029</v>
      </c>
      <c r="C119" s="9" t="s">
        <v>2030</v>
      </c>
      <c r="D119" s="9" t="s">
        <v>2031</v>
      </c>
      <c r="E119" s="9" t="s">
        <v>2032</v>
      </c>
      <c r="F119" s="9" t="s">
        <v>2018</v>
      </c>
      <c r="G119" s="8" t="s">
        <v>36</v>
      </c>
      <c r="H119" s="10" t="s">
        <v>11</v>
      </c>
      <c r="I119" s="8" t="s">
        <v>37</v>
      </c>
      <c r="J119" s="8" t="s">
        <v>4</v>
      </c>
      <c r="K119" s="8" t="s">
        <v>4</v>
      </c>
    </row>
    <row r="120" spans="1:11" ht="80.099999999999994" customHeight="1">
      <c r="A120" s="8" t="s">
        <v>2033</v>
      </c>
      <c r="B120" s="9" t="s">
        <v>2034</v>
      </c>
      <c r="C120" s="9" t="s">
        <v>2035</v>
      </c>
      <c r="D120" s="9" t="s">
        <v>2036</v>
      </c>
      <c r="E120" s="9" t="s">
        <v>2037</v>
      </c>
      <c r="F120" s="9" t="s">
        <v>2018</v>
      </c>
      <c r="G120" s="8" t="s">
        <v>36</v>
      </c>
      <c r="H120" s="10" t="s">
        <v>11</v>
      </c>
      <c r="I120" s="8" t="s">
        <v>37</v>
      </c>
      <c r="J120" s="8" t="s">
        <v>4</v>
      </c>
      <c r="K120" s="8" t="s">
        <v>4</v>
      </c>
    </row>
    <row r="121" spans="1:11" ht="80.099999999999994" customHeight="1">
      <c r="A121" s="8" t="s">
        <v>2038</v>
      </c>
      <c r="B121" s="9" t="s">
        <v>2039</v>
      </c>
      <c r="C121" s="9" t="s">
        <v>2040</v>
      </c>
      <c r="D121" s="9" t="s">
        <v>2041</v>
      </c>
      <c r="E121" s="9" t="s">
        <v>2042</v>
      </c>
      <c r="F121" s="9" t="s">
        <v>2018</v>
      </c>
      <c r="G121" s="8" t="s">
        <v>36</v>
      </c>
      <c r="H121" s="10" t="s">
        <v>11</v>
      </c>
      <c r="I121" s="8" t="s">
        <v>37</v>
      </c>
      <c r="J121" s="8" t="s">
        <v>4</v>
      </c>
      <c r="K121" s="8" t="s">
        <v>4</v>
      </c>
    </row>
    <row r="122" spans="1:11" ht="80.099999999999994" customHeight="1">
      <c r="A122" s="8" t="s">
        <v>2043</v>
      </c>
      <c r="B122" s="9" t="s">
        <v>2044</v>
      </c>
      <c r="C122" s="9" t="s">
        <v>2045</v>
      </c>
      <c r="D122" s="9" t="s">
        <v>2046</v>
      </c>
      <c r="E122" s="9" t="s">
        <v>2047</v>
      </c>
      <c r="F122" s="9" t="s">
        <v>2018</v>
      </c>
      <c r="G122" s="8" t="s">
        <v>36</v>
      </c>
      <c r="H122" s="10" t="s">
        <v>11</v>
      </c>
      <c r="I122" s="8" t="s">
        <v>37</v>
      </c>
      <c r="J122" s="8" t="s">
        <v>4</v>
      </c>
      <c r="K122" s="8" t="s">
        <v>4</v>
      </c>
    </row>
    <row r="123" spans="1:11" ht="15.95" customHeight="1">
      <c r="A123" s="111" t="s">
        <v>2048</v>
      </c>
      <c r="B123" s="118"/>
      <c r="C123" s="118"/>
      <c r="D123" s="118"/>
      <c r="E123" s="118"/>
      <c r="F123" s="118"/>
      <c r="G123" s="118"/>
      <c r="H123" s="118"/>
      <c r="I123" s="118"/>
      <c r="J123" s="118"/>
      <c r="K123" s="118"/>
    </row>
    <row r="124" spans="1:11" ht="80.099999999999994" customHeight="1">
      <c r="A124" s="8" t="s">
        <v>462</v>
      </c>
      <c r="B124" s="9" t="s">
        <v>2049</v>
      </c>
      <c r="C124" s="9" t="s">
        <v>2050</v>
      </c>
      <c r="D124" s="9" t="s">
        <v>2051</v>
      </c>
      <c r="E124" s="9" t="s">
        <v>2052</v>
      </c>
      <c r="F124" s="9" t="s">
        <v>2013</v>
      </c>
      <c r="G124" s="8" t="s">
        <v>36</v>
      </c>
      <c r="H124" s="10" t="s">
        <v>11</v>
      </c>
      <c r="I124" s="8" t="s">
        <v>37</v>
      </c>
      <c r="J124" s="8" t="s">
        <v>4</v>
      </c>
      <c r="K124" s="8" t="s">
        <v>4</v>
      </c>
    </row>
    <row r="125" spans="1:11" ht="80.099999999999994" customHeight="1">
      <c r="A125" s="8" t="s">
        <v>2053</v>
      </c>
      <c r="B125" s="9" t="s">
        <v>2054</v>
      </c>
      <c r="C125" s="9" t="s">
        <v>2055</v>
      </c>
      <c r="D125" s="9" t="s">
        <v>2056</v>
      </c>
      <c r="E125" s="9" t="s">
        <v>2057</v>
      </c>
      <c r="F125" s="9" t="s">
        <v>2018</v>
      </c>
      <c r="G125" s="8" t="s">
        <v>36</v>
      </c>
      <c r="H125" s="10" t="s">
        <v>11</v>
      </c>
      <c r="I125" s="8" t="s">
        <v>37</v>
      </c>
      <c r="J125" s="8" t="s">
        <v>4</v>
      </c>
      <c r="K125" s="8" t="s">
        <v>4</v>
      </c>
    </row>
    <row r="126" spans="1:11" ht="80.099999999999994" customHeight="1">
      <c r="A126" s="8" t="s">
        <v>2058</v>
      </c>
      <c r="B126" s="9" t="s">
        <v>2059</v>
      </c>
      <c r="C126" s="9" t="s">
        <v>2060</v>
      </c>
      <c r="D126" s="9" t="s">
        <v>2061</v>
      </c>
      <c r="E126" s="9" t="s">
        <v>2062</v>
      </c>
      <c r="F126" s="9" t="s">
        <v>2018</v>
      </c>
      <c r="G126" s="8" t="s">
        <v>36</v>
      </c>
      <c r="H126" s="10" t="s">
        <v>11</v>
      </c>
      <c r="I126" s="8" t="s">
        <v>37</v>
      </c>
      <c r="J126" s="8" t="s">
        <v>4</v>
      </c>
      <c r="K126" s="8" t="s">
        <v>4</v>
      </c>
    </row>
    <row r="127" spans="1:11" ht="80.099999999999994" customHeight="1">
      <c r="A127" s="8" t="s">
        <v>2063</v>
      </c>
      <c r="B127" s="9" t="s">
        <v>2064</v>
      </c>
      <c r="C127" s="9" t="s">
        <v>2065</v>
      </c>
      <c r="D127" s="9" t="s">
        <v>2066</v>
      </c>
      <c r="E127" s="9" t="s">
        <v>2067</v>
      </c>
      <c r="F127" s="9" t="s">
        <v>2018</v>
      </c>
      <c r="G127" s="8" t="s">
        <v>36</v>
      </c>
      <c r="H127" s="10" t="s">
        <v>11</v>
      </c>
      <c r="I127" s="8" t="s">
        <v>37</v>
      </c>
      <c r="J127" s="8" t="s">
        <v>4</v>
      </c>
      <c r="K127" s="8" t="s">
        <v>4</v>
      </c>
    </row>
    <row r="128" spans="1:11" ht="15.95" customHeight="1">
      <c r="A128" s="111" t="s">
        <v>2068</v>
      </c>
      <c r="B128" s="118"/>
      <c r="C128" s="118"/>
      <c r="D128" s="118"/>
      <c r="E128" s="118"/>
      <c r="F128" s="118"/>
      <c r="G128" s="118"/>
      <c r="H128" s="118"/>
      <c r="I128" s="118"/>
      <c r="J128" s="118"/>
      <c r="K128" s="118"/>
    </row>
    <row r="129" spans="1:11" ht="80.099999999999994" customHeight="1">
      <c r="A129" s="8" t="s">
        <v>468</v>
      </c>
      <c r="B129" s="9" t="s">
        <v>2069</v>
      </c>
      <c r="C129" s="9" t="s">
        <v>2070</v>
      </c>
      <c r="D129" s="9" t="s">
        <v>2071</v>
      </c>
      <c r="E129" s="9" t="s">
        <v>2072</v>
      </c>
      <c r="F129" s="9" t="s">
        <v>2013</v>
      </c>
      <c r="G129" s="8" t="s">
        <v>36</v>
      </c>
      <c r="H129" s="10" t="s">
        <v>11</v>
      </c>
      <c r="I129" s="8" t="s">
        <v>37</v>
      </c>
      <c r="J129" s="8" t="s">
        <v>4</v>
      </c>
      <c r="K129" s="8" t="s">
        <v>4</v>
      </c>
    </row>
    <row r="130" spans="1:11" ht="80.099999999999994" customHeight="1">
      <c r="A130" s="8" t="s">
        <v>473</v>
      </c>
      <c r="B130" s="9" t="s">
        <v>2073</v>
      </c>
      <c r="C130" s="9" t="s">
        <v>2074</v>
      </c>
      <c r="D130" s="9" t="s">
        <v>2075</v>
      </c>
      <c r="E130" s="9" t="s">
        <v>2076</v>
      </c>
      <c r="F130" s="9" t="s">
        <v>2018</v>
      </c>
      <c r="G130" s="8" t="s">
        <v>36</v>
      </c>
      <c r="H130" s="10" t="s">
        <v>11</v>
      </c>
      <c r="I130" s="8" t="s">
        <v>37</v>
      </c>
      <c r="J130" s="8" t="s">
        <v>4</v>
      </c>
      <c r="K130" s="8" t="s">
        <v>4</v>
      </c>
    </row>
    <row r="131" spans="1:11" ht="80.099999999999994" customHeight="1">
      <c r="A131" s="8" t="s">
        <v>2077</v>
      </c>
      <c r="B131" s="9" t="s">
        <v>2078</v>
      </c>
      <c r="C131" s="9" t="s">
        <v>2079</v>
      </c>
      <c r="D131" s="9" t="s">
        <v>2080</v>
      </c>
      <c r="E131" s="9" t="s">
        <v>2081</v>
      </c>
      <c r="F131" s="9" t="s">
        <v>2018</v>
      </c>
      <c r="G131" s="8" t="s">
        <v>36</v>
      </c>
      <c r="H131" s="10" t="s">
        <v>11</v>
      </c>
      <c r="I131" s="8" t="s">
        <v>37</v>
      </c>
      <c r="J131" s="8" t="s">
        <v>4</v>
      </c>
      <c r="K131" s="8" t="s">
        <v>4</v>
      </c>
    </row>
    <row r="132" spans="1:11" ht="80.099999999999994" customHeight="1">
      <c r="A132" s="8" t="s">
        <v>2082</v>
      </c>
      <c r="B132" s="9" t="s">
        <v>2083</v>
      </c>
      <c r="C132" s="9" t="s">
        <v>2084</v>
      </c>
      <c r="D132" s="9" t="s">
        <v>2085</v>
      </c>
      <c r="E132" s="9" t="s">
        <v>2086</v>
      </c>
      <c r="F132" s="9" t="s">
        <v>2018</v>
      </c>
      <c r="G132" s="8" t="s">
        <v>36</v>
      </c>
      <c r="H132" s="10" t="s">
        <v>11</v>
      </c>
      <c r="I132" s="8" t="s">
        <v>37</v>
      </c>
      <c r="J132" s="8" t="s">
        <v>4</v>
      </c>
      <c r="K132" s="8" t="s">
        <v>4</v>
      </c>
    </row>
    <row r="133" spans="1:11" ht="80.099999999999994" customHeight="1">
      <c r="A133" s="8" t="s">
        <v>2087</v>
      </c>
      <c r="B133" s="9" t="s">
        <v>2088</v>
      </c>
      <c r="C133" s="9" t="s">
        <v>2089</v>
      </c>
      <c r="D133" s="9" t="s">
        <v>2090</v>
      </c>
      <c r="E133" s="9" t="s">
        <v>2091</v>
      </c>
      <c r="F133" s="9" t="s">
        <v>2018</v>
      </c>
      <c r="G133" s="8" t="s">
        <v>36</v>
      </c>
      <c r="H133" s="10" t="s">
        <v>11</v>
      </c>
      <c r="I133" s="8" t="s">
        <v>37</v>
      </c>
      <c r="J133" s="8" t="s">
        <v>4</v>
      </c>
      <c r="K133" s="8" t="s">
        <v>4</v>
      </c>
    </row>
    <row r="134" spans="1:11" ht="80.099999999999994" customHeight="1">
      <c r="A134" s="8" t="s">
        <v>2092</v>
      </c>
      <c r="B134" s="9" t="s">
        <v>2093</v>
      </c>
      <c r="C134" s="9" t="s">
        <v>2094</v>
      </c>
      <c r="D134" s="9" t="s">
        <v>2095</v>
      </c>
      <c r="E134" s="9" t="s">
        <v>2096</v>
      </c>
      <c r="F134" s="9" t="s">
        <v>2018</v>
      </c>
      <c r="G134" s="8" t="s">
        <v>36</v>
      </c>
      <c r="H134" s="10" t="s">
        <v>11</v>
      </c>
      <c r="I134" s="8" t="s">
        <v>37</v>
      </c>
      <c r="J134" s="8" t="s">
        <v>4</v>
      </c>
      <c r="K134" s="8" t="s">
        <v>4</v>
      </c>
    </row>
    <row r="135" spans="1:11" ht="15.95" customHeight="1">
      <c r="A135" s="111" t="s">
        <v>2097</v>
      </c>
      <c r="B135" s="118"/>
      <c r="C135" s="118"/>
      <c r="D135" s="118"/>
      <c r="E135" s="118"/>
      <c r="F135" s="118"/>
      <c r="G135" s="118"/>
      <c r="H135" s="118"/>
      <c r="I135" s="118"/>
      <c r="J135" s="118"/>
      <c r="K135" s="118"/>
    </row>
    <row r="136" spans="1:11" ht="80.099999999999994" customHeight="1">
      <c r="A136" s="8" t="s">
        <v>479</v>
      </c>
      <c r="B136" s="9" t="s">
        <v>2098</v>
      </c>
      <c r="C136" s="9" t="s">
        <v>2099</v>
      </c>
      <c r="D136" s="9" t="s">
        <v>2100</v>
      </c>
      <c r="E136" s="9" t="s">
        <v>2101</v>
      </c>
      <c r="F136" s="9" t="s">
        <v>2013</v>
      </c>
      <c r="G136" s="8" t="s">
        <v>36</v>
      </c>
      <c r="H136" s="10" t="s">
        <v>11</v>
      </c>
      <c r="I136" s="8" t="s">
        <v>37</v>
      </c>
      <c r="J136" s="8" t="s">
        <v>4</v>
      </c>
      <c r="K136" s="8" t="s">
        <v>4</v>
      </c>
    </row>
    <row r="137" spans="1:11" ht="80.099999999999994" customHeight="1">
      <c r="A137" s="8" t="s">
        <v>484</v>
      </c>
      <c r="B137" s="9" t="s">
        <v>2102</v>
      </c>
      <c r="C137" s="9" t="s">
        <v>2103</v>
      </c>
      <c r="D137" s="9" t="s">
        <v>2104</v>
      </c>
      <c r="E137" s="9" t="s">
        <v>2105</v>
      </c>
      <c r="F137" s="9" t="s">
        <v>2018</v>
      </c>
      <c r="G137" s="8" t="s">
        <v>36</v>
      </c>
      <c r="H137" s="10" t="s">
        <v>11</v>
      </c>
      <c r="I137" s="8" t="s">
        <v>37</v>
      </c>
      <c r="J137" s="8" t="s">
        <v>4</v>
      </c>
      <c r="K137" s="8" t="s">
        <v>4</v>
      </c>
    </row>
    <row r="138" spans="1:11" ht="80.099999999999994" customHeight="1">
      <c r="A138" s="8" t="s">
        <v>489</v>
      </c>
      <c r="B138" s="9" t="s">
        <v>2106</v>
      </c>
      <c r="C138" s="9" t="s">
        <v>2107</v>
      </c>
      <c r="D138" s="9" t="s">
        <v>2108</v>
      </c>
      <c r="E138" s="9" t="s">
        <v>2109</v>
      </c>
      <c r="F138" s="9" t="s">
        <v>2018</v>
      </c>
      <c r="G138" s="8" t="s">
        <v>36</v>
      </c>
      <c r="H138" s="10" t="s">
        <v>11</v>
      </c>
      <c r="I138" s="8" t="s">
        <v>37</v>
      </c>
      <c r="J138" s="8" t="s">
        <v>4</v>
      </c>
      <c r="K138" s="8" t="s">
        <v>4</v>
      </c>
    </row>
    <row r="139" spans="1:11" ht="80.099999999999994" customHeight="1">
      <c r="A139" s="8" t="s">
        <v>2110</v>
      </c>
      <c r="B139" s="9" t="s">
        <v>2111</v>
      </c>
      <c r="C139" s="9" t="s">
        <v>2112</v>
      </c>
      <c r="D139" s="9" t="s">
        <v>2113</v>
      </c>
      <c r="E139" s="9" t="s">
        <v>2114</v>
      </c>
      <c r="F139" s="9" t="s">
        <v>2018</v>
      </c>
      <c r="G139" s="8" t="s">
        <v>36</v>
      </c>
      <c r="H139" s="10" t="s">
        <v>11</v>
      </c>
      <c r="I139" s="8" t="s">
        <v>37</v>
      </c>
      <c r="J139" s="8" t="s">
        <v>4</v>
      </c>
      <c r="K139" s="8" t="s">
        <v>4</v>
      </c>
    </row>
    <row r="140" spans="1:11" ht="80.099999999999994" customHeight="1">
      <c r="A140" s="8" t="s">
        <v>2115</v>
      </c>
      <c r="B140" s="9" t="s">
        <v>2116</v>
      </c>
      <c r="C140" s="9" t="s">
        <v>2117</v>
      </c>
      <c r="D140" s="9" t="s">
        <v>2118</v>
      </c>
      <c r="E140" s="9" t="s">
        <v>2119</v>
      </c>
      <c r="F140" s="9" t="s">
        <v>2018</v>
      </c>
      <c r="G140" s="8" t="s">
        <v>36</v>
      </c>
      <c r="H140" s="10" t="s">
        <v>11</v>
      </c>
      <c r="I140" s="8" t="s">
        <v>37</v>
      </c>
      <c r="J140" s="8" t="s">
        <v>4</v>
      </c>
      <c r="K140" s="8" t="s">
        <v>4</v>
      </c>
    </row>
    <row r="141" spans="1:11" ht="80.099999999999994" customHeight="1">
      <c r="A141" s="8" t="s">
        <v>2120</v>
      </c>
      <c r="B141" s="9" t="s">
        <v>2121</v>
      </c>
      <c r="C141" s="9" t="s">
        <v>2122</v>
      </c>
      <c r="D141" s="9" t="s">
        <v>2123</v>
      </c>
      <c r="E141" s="9" t="s">
        <v>2124</v>
      </c>
      <c r="F141" s="9" t="s">
        <v>2018</v>
      </c>
      <c r="G141" s="8" t="s">
        <v>36</v>
      </c>
      <c r="H141" s="10" t="s">
        <v>11</v>
      </c>
      <c r="I141" s="8" t="s">
        <v>37</v>
      </c>
      <c r="J141" s="8" t="s">
        <v>4</v>
      </c>
      <c r="K141" s="8" t="s">
        <v>4</v>
      </c>
    </row>
    <row r="142" spans="1:11" ht="80.099999999999994" customHeight="1">
      <c r="A142" s="8" t="s">
        <v>2125</v>
      </c>
      <c r="B142" s="9" t="s">
        <v>2126</v>
      </c>
      <c r="C142" s="9" t="s">
        <v>2127</v>
      </c>
      <c r="D142" s="9" t="s">
        <v>2128</v>
      </c>
      <c r="E142" s="9" t="s">
        <v>2129</v>
      </c>
      <c r="F142" s="9" t="s">
        <v>2018</v>
      </c>
      <c r="G142" s="8" t="s">
        <v>36</v>
      </c>
      <c r="H142" s="10" t="s">
        <v>11</v>
      </c>
      <c r="I142" s="8" t="s">
        <v>37</v>
      </c>
      <c r="J142" s="8" t="s">
        <v>4</v>
      </c>
      <c r="K142" s="8" t="s">
        <v>4</v>
      </c>
    </row>
    <row r="143" spans="1:11" ht="80.099999999999994" customHeight="1">
      <c r="A143" s="8" t="s">
        <v>2130</v>
      </c>
      <c r="B143" s="9" t="s">
        <v>2131</v>
      </c>
      <c r="C143" s="9" t="s">
        <v>2132</v>
      </c>
      <c r="D143" s="9" t="s">
        <v>2133</v>
      </c>
      <c r="E143" s="9" t="s">
        <v>2134</v>
      </c>
      <c r="F143" s="9" t="s">
        <v>2018</v>
      </c>
      <c r="G143" s="8" t="s">
        <v>36</v>
      </c>
      <c r="H143" s="10" t="s">
        <v>11</v>
      </c>
      <c r="I143" s="8" t="s">
        <v>37</v>
      </c>
      <c r="J143" s="8" t="s">
        <v>4</v>
      </c>
      <c r="K143" s="8" t="s">
        <v>4</v>
      </c>
    </row>
    <row r="144" spans="1:11" ht="15.95" customHeight="1">
      <c r="A144" s="111" t="s">
        <v>2135</v>
      </c>
      <c r="B144" s="118"/>
      <c r="C144" s="118"/>
      <c r="D144" s="118"/>
      <c r="E144" s="118"/>
      <c r="F144" s="118"/>
      <c r="G144" s="118"/>
      <c r="H144" s="118"/>
      <c r="I144" s="118"/>
      <c r="J144" s="118"/>
      <c r="K144" s="118"/>
    </row>
    <row r="145" spans="1:11" ht="80.099999999999994" customHeight="1">
      <c r="A145" s="8" t="s">
        <v>495</v>
      </c>
      <c r="B145" s="9" t="s">
        <v>2136</v>
      </c>
      <c r="C145" s="9" t="s">
        <v>2137</v>
      </c>
      <c r="D145" s="9" t="s">
        <v>2138</v>
      </c>
      <c r="E145" s="9" t="s">
        <v>2139</v>
      </c>
      <c r="F145" s="9" t="s">
        <v>2013</v>
      </c>
      <c r="G145" s="8" t="s">
        <v>36</v>
      </c>
      <c r="H145" s="10" t="s">
        <v>11</v>
      </c>
      <c r="I145" s="8" t="s">
        <v>37</v>
      </c>
      <c r="J145" s="8" t="s">
        <v>4</v>
      </c>
      <c r="K145" s="8" t="s">
        <v>4</v>
      </c>
    </row>
    <row r="146" spans="1:11" ht="80.099999999999994" customHeight="1">
      <c r="A146" s="8" t="s">
        <v>500</v>
      </c>
      <c r="B146" s="9" t="s">
        <v>2140</v>
      </c>
      <c r="C146" s="9" t="s">
        <v>2141</v>
      </c>
      <c r="D146" s="9" t="s">
        <v>2142</v>
      </c>
      <c r="E146" s="9" t="s">
        <v>2143</v>
      </c>
      <c r="F146" s="9" t="s">
        <v>2018</v>
      </c>
      <c r="G146" s="8" t="s">
        <v>36</v>
      </c>
      <c r="H146" s="10" t="s">
        <v>11</v>
      </c>
      <c r="I146" s="8" t="s">
        <v>37</v>
      </c>
      <c r="J146" s="8" t="s">
        <v>4</v>
      </c>
      <c r="K146" s="8" t="s">
        <v>4</v>
      </c>
    </row>
    <row r="147" spans="1:11" ht="80.099999999999994" customHeight="1">
      <c r="A147" s="8" t="s">
        <v>505</v>
      </c>
      <c r="B147" s="9" t="s">
        <v>2144</v>
      </c>
      <c r="C147" s="9" t="s">
        <v>2145</v>
      </c>
      <c r="D147" s="9" t="s">
        <v>2146</v>
      </c>
      <c r="E147" s="9" t="s">
        <v>2147</v>
      </c>
      <c r="F147" s="9" t="s">
        <v>2018</v>
      </c>
      <c r="G147" s="8" t="s">
        <v>36</v>
      </c>
      <c r="H147" s="10" t="s">
        <v>11</v>
      </c>
      <c r="I147" s="8" t="s">
        <v>37</v>
      </c>
      <c r="J147" s="8" t="s">
        <v>4</v>
      </c>
      <c r="K147" s="8" t="s">
        <v>4</v>
      </c>
    </row>
    <row r="148" spans="1:11" ht="80.099999999999994" customHeight="1">
      <c r="A148" s="8" t="s">
        <v>2148</v>
      </c>
      <c r="B148" s="9" t="s">
        <v>2149</v>
      </c>
      <c r="C148" s="9" t="s">
        <v>2150</v>
      </c>
      <c r="D148" s="9" t="s">
        <v>2151</v>
      </c>
      <c r="E148" s="9" t="s">
        <v>2152</v>
      </c>
      <c r="F148" s="9" t="s">
        <v>2018</v>
      </c>
      <c r="G148" s="8" t="s">
        <v>36</v>
      </c>
      <c r="H148" s="10" t="s">
        <v>11</v>
      </c>
      <c r="I148" s="8" t="s">
        <v>37</v>
      </c>
      <c r="J148" s="8" t="s">
        <v>4</v>
      </c>
      <c r="K148" s="8" t="s">
        <v>4</v>
      </c>
    </row>
    <row r="149" spans="1:11" ht="80.099999999999994" customHeight="1">
      <c r="A149" s="8" t="s">
        <v>2153</v>
      </c>
      <c r="B149" s="9" t="s">
        <v>2154</v>
      </c>
      <c r="C149" s="9" t="s">
        <v>2155</v>
      </c>
      <c r="D149" s="9" t="s">
        <v>2156</v>
      </c>
      <c r="E149" s="9" t="s">
        <v>2157</v>
      </c>
      <c r="F149" s="9" t="s">
        <v>2018</v>
      </c>
      <c r="G149" s="8" t="s">
        <v>36</v>
      </c>
      <c r="H149" s="10" t="s">
        <v>11</v>
      </c>
      <c r="I149" s="8" t="s">
        <v>37</v>
      </c>
      <c r="J149" s="8" t="s">
        <v>4</v>
      </c>
      <c r="K149" s="8" t="s">
        <v>4</v>
      </c>
    </row>
    <row r="150" spans="1:11" ht="80.099999999999994" customHeight="1">
      <c r="A150" s="8" t="s">
        <v>2158</v>
      </c>
      <c r="B150" s="9" t="s">
        <v>2159</v>
      </c>
      <c r="C150" s="9" t="s">
        <v>2160</v>
      </c>
      <c r="D150" s="9" t="s">
        <v>2161</v>
      </c>
      <c r="E150" s="9" t="s">
        <v>2162</v>
      </c>
      <c r="F150" s="9" t="s">
        <v>2018</v>
      </c>
      <c r="G150" s="8" t="s">
        <v>36</v>
      </c>
      <c r="H150" s="10" t="s">
        <v>11</v>
      </c>
      <c r="I150" s="8" t="s">
        <v>37</v>
      </c>
      <c r="J150" s="8" t="s">
        <v>4</v>
      </c>
      <c r="K150" s="8" t="s">
        <v>4</v>
      </c>
    </row>
    <row r="151" spans="1:11" ht="80.099999999999994" customHeight="1">
      <c r="A151" s="8" t="s">
        <v>2163</v>
      </c>
      <c r="B151" s="9" t="s">
        <v>2164</v>
      </c>
      <c r="C151" s="9" t="s">
        <v>2165</v>
      </c>
      <c r="D151" s="9" t="s">
        <v>2166</v>
      </c>
      <c r="E151" s="9" t="s">
        <v>2167</v>
      </c>
      <c r="F151" s="9" t="s">
        <v>2018</v>
      </c>
      <c r="G151" s="8" t="s">
        <v>36</v>
      </c>
      <c r="H151" s="10" t="s">
        <v>11</v>
      </c>
      <c r="I151" s="8" t="s">
        <v>37</v>
      </c>
      <c r="J151" s="8" t="s">
        <v>4</v>
      </c>
      <c r="K151" s="8" t="s">
        <v>4</v>
      </c>
    </row>
    <row r="152" spans="1:11" ht="80.099999999999994" customHeight="1">
      <c r="A152" s="8" t="s">
        <v>2168</v>
      </c>
      <c r="B152" s="9" t="s">
        <v>2169</v>
      </c>
      <c r="C152" s="9" t="s">
        <v>2170</v>
      </c>
      <c r="D152" s="9" t="s">
        <v>2171</v>
      </c>
      <c r="E152" s="9" t="s">
        <v>2172</v>
      </c>
      <c r="F152" s="9" t="s">
        <v>2018</v>
      </c>
      <c r="G152" s="8" t="s">
        <v>36</v>
      </c>
      <c r="H152" s="10" t="s">
        <v>11</v>
      </c>
      <c r="I152" s="8" t="s">
        <v>37</v>
      </c>
      <c r="J152" s="8" t="s">
        <v>4</v>
      </c>
      <c r="K152" s="8" t="s">
        <v>4</v>
      </c>
    </row>
    <row r="153" spans="1:11" ht="15.95" customHeight="1">
      <c r="A153" s="111" t="s">
        <v>2173</v>
      </c>
      <c r="B153" s="118"/>
      <c r="C153" s="118"/>
      <c r="D153" s="118"/>
      <c r="E153" s="118"/>
      <c r="F153" s="118"/>
      <c r="G153" s="118"/>
      <c r="H153" s="118"/>
      <c r="I153" s="118"/>
      <c r="J153" s="118"/>
      <c r="K153" s="118"/>
    </row>
    <row r="154" spans="1:11" ht="80.099999999999994" customHeight="1">
      <c r="A154" s="8" t="s">
        <v>511</v>
      </c>
      <c r="B154" s="9" t="s">
        <v>2174</v>
      </c>
      <c r="C154" s="9" t="s">
        <v>2175</v>
      </c>
      <c r="D154" s="9" t="s">
        <v>2176</v>
      </c>
      <c r="E154" s="9" t="s">
        <v>2177</v>
      </c>
      <c r="F154" s="9" t="s">
        <v>2013</v>
      </c>
      <c r="G154" s="8" t="s">
        <v>36</v>
      </c>
      <c r="H154" s="10" t="s">
        <v>11</v>
      </c>
      <c r="I154" s="8" t="s">
        <v>37</v>
      </c>
      <c r="J154" s="8" t="s">
        <v>4</v>
      </c>
      <c r="K154" s="8" t="s">
        <v>4</v>
      </c>
    </row>
    <row r="155" spans="1:11" ht="80.099999999999994" customHeight="1">
      <c r="A155" s="8" t="s">
        <v>516</v>
      </c>
      <c r="B155" s="9" t="s">
        <v>2178</v>
      </c>
      <c r="C155" s="9" t="s">
        <v>2179</v>
      </c>
      <c r="D155" s="9" t="s">
        <v>2180</v>
      </c>
      <c r="E155" s="9" t="s">
        <v>2181</v>
      </c>
      <c r="F155" s="9" t="s">
        <v>2018</v>
      </c>
      <c r="G155" s="8" t="s">
        <v>36</v>
      </c>
      <c r="H155" s="10" t="s">
        <v>11</v>
      </c>
      <c r="I155" s="8" t="s">
        <v>37</v>
      </c>
      <c r="J155" s="8" t="s">
        <v>4</v>
      </c>
      <c r="K155" s="8" t="s">
        <v>4</v>
      </c>
    </row>
    <row r="156" spans="1:11" ht="80.099999999999994" customHeight="1">
      <c r="A156" s="8" t="s">
        <v>2182</v>
      </c>
      <c r="B156" s="9" t="s">
        <v>2183</v>
      </c>
      <c r="C156" s="9" t="s">
        <v>2184</v>
      </c>
      <c r="D156" s="9" t="s">
        <v>2185</v>
      </c>
      <c r="E156" s="9" t="s">
        <v>2186</v>
      </c>
      <c r="F156" s="9" t="s">
        <v>2018</v>
      </c>
      <c r="G156" s="8" t="s">
        <v>36</v>
      </c>
      <c r="H156" s="10" t="s">
        <v>11</v>
      </c>
      <c r="I156" s="8" t="s">
        <v>37</v>
      </c>
      <c r="J156" s="8" t="s">
        <v>4</v>
      </c>
      <c r="K156" s="8" t="s">
        <v>4</v>
      </c>
    </row>
    <row r="157" spans="1:11" ht="80.099999999999994" customHeight="1">
      <c r="A157" s="8" t="s">
        <v>2187</v>
      </c>
      <c r="B157" s="9" t="s">
        <v>2188</v>
      </c>
      <c r="C157" s="9" t="s">
        <v>2189</v>
      </c>
      <c r="D157" s="9" t="s">
        <v>2190</v>
      </c>
      <c r="E157" s="9" t="s">
        <v>2191</v>
      </c>
      <c r="F157" s="9" t="s">
        <v>2018</v>
      </c>
      <c r="G157" s="8" t="s">
        <v>36</v>
      </c>
      <c r="H157" s="10" t="s">
        <v>11</v>
      </c>
      <c r="I157" s="8" t="s">
        <v>37</v>
      </c>
      <c r="J157" s="8" t="s">
        <v>4</v>
      </c>
      <c r="K157" s="8" t="s">
        <v>4</v>
      </c>
    </row>
    <row r="158" spans="1:11" ht="80.099999999999994" customHeight="1">
      <c r="A158" s="8" t="s">
        <v>2192</v>
      </c>
      <c r="B158" s="9" t="s">
        <v>2193</v>
      </c>
      <c r="C158" s="9" t="s">
        <v>2194</v>
      </c>
      <c r="D158" s="9" t="s">
        <v>2195</v>
      </c>
      <c r="E158" s="9" t="s">
        <v>2196</v>
      </c>
      <c r="F158" s="9" t="s">
        <v>2018</v>
      </c>
      <c r="G158" s="8" t="s">
        <v>36</v>
      </c>
      <c r="H158" s="10" t="s">
        <v>11</v>
      </c>
      <c r="I158" s="8" t="s">
        <v>37</v>
      </c>
      <c r="J158" s="8" t="s">
        <v>4</v>
      </c>
      <c r="K158" s="8" t="s">
        <v>4</v>
      </c>
    </row>
    <row r="159" spans="1:11" ht="80.099999999999994" customHeight="1">
      <c r="A159" s="8" t="s">
        <v>2197</v>
      </c>
      <c r="B159" s="9" t="s">
        <v>2198</v>
      </c>
      <c r="C159" s="9" t="s">
        <v>2199</v>
      </c>
      <c r="D159" s="9" t="s">
        <v>2200</v>
      </c>
      <c r="E159" s="9" t="s">
        <v>2201</v>
      </c>
      <c r="F159" s="9" t="s">
        <v>2018</v>
      </c>
      <c r="G159" s="8" t="s">
        <v>36</v>
      </c>
      <c r="H159" s="10" t="s">
        <v>11</v>
      </c>
      <c r="I159" s="8" t="s">
        <v>37</v>
      </c>
      <c r="J159" s="8" t="s">
        <v>4</v>
      </c>
      <c r="K159" s="8" t="s">
        <v>4</v>
      </c>
    </row>
    <row r="160" spans="1:11" ht="15.95" customHeight="1">
      <c r="A160" s="111" t="s">
        <v>2202</v>
      </c>
      <c r="B160" s="118"/>
      <c r="C160" s="118"/>
      <c r="D160" s="118"/>
      <c r="E160" s="118"/>
      <c r="F160" s="118"/>
      <c r="G160" s="118"/>
      <c r="H160" s="118"/>
      <c r="I160" s="118"/>
      <c r="J160" s="118"/>
      <c r="K160" s="118"/>
    </row>
    <row r="161" spans="1:11" ht="80.099999999999994" customHeight="1">
      <c r="A161" s="8" t="s">
        <v>522</v>
      </c>
      <c r="B161" s="9" t="s">
        <v>2203</v>
      </c>
      <c r="C161" s="9" t="s">
        <v>2204</v>
      </c>
      <c r="D161" s="9" t="s">
        <v>2205</v>
      </c>
      <c r="E161" s="9" t="s">
        <v>2206</v>
      </c>
      <c r="F161" s="9" t="s">
        <v>2013</v>
      </c>
      <c r="G161" s="8" t="s">
        <v>36</v>
      </c>
      <c r="H161" s="10" t="s">
        <v>11</v>
      </c>
      <c r="I161" s="8" t="s">
        <v>37</v>
      </c>
      <c r="J161" s="8" t="s">
        <v>4</v>
      </c>
      <c r="K161" s="8" t="s">
        <v>4</v>
      </c>
    </row>
    <row r="162" spans="1:11" ht="80.099999999999994" customHeight="1">
      <c r="A162" s="8" t="s">
        <v>527</v>
      </c>
      <c r="B162" s="9" t="s">
        <v>2207</v>
      </c>
      <c r="C162" s="9" t="s">
        <v>2208</v>
      </c>
      <c r="D162" s="9" t="s">
        <v>2209</v>
      </c>
      <c r="E162" s="9" t="s">
        <v>2210</v>
      </c>
      <c r="F162" s="9" t="s">
        <v>2018</v>
      </c>
      <c r="G162" s="8" t="s">
        <v>36</v>
      </c>
      <c r="H162" s="10" t="s">
        <v>11</v>
      </c>
      <c r="I162" s="8" t="s">
        <v>37</v>
      </c>
      <c r="J162" s="8" t="s">
        <v>4</v>
      </c>
      <c r="K162" s="8" t="s">
        <v>4</v>
      </c>
    </row>
    <row r="163" spans="1:11" ht="80.099999999999994" customHeight="1">
      <c r="A163" s="8" t="s">
        <v>2211</v>
      </c>
      <c r="B163" s="9" t="s">
        <v>2212</v>
      </c>
      <c r="C163" s="9" t="s">
        <v>2213</v>
      </c>
      <c r="D163" s="9" t="s">
        <v>2214</v>
      </c>
      <c r="E163" s="9" t="s">
        <v>2215</v>
      </c>
      <c r="F163" s="9" t="s">
        <v>2018</v>
      </c>
      <c r="G163" s="8" t="s">
        <v>36</v>
      </c>
      <c r="H163" s="10" t="s">
        <v>11</v>
      </c>
      <c r="I163" s="8" t="s">
        <v>37</v>
      </c>
      <c r="J163" s="8" t="s">
        <v>4</v>
      </c>
      <c r="K163" s="8" t="s">
        <v>4</v>
      </c>
    </row>
    <row r="164" spans="1:11" ht="80.099999999999994" customHeight="1">
      <c r="A164" s="8" t="s">
        <v>2216</v>
      </c>
      <c r="B164" s="9" t="s">
        <v>2217</v>
      </c>
      <c r="C164" s="9" t="s">
        <v>2218</v>
      </c>
      <c r="D164" s="9" t="s">
        <v>2219</v>
      </c>
      <c r="E164" s="9" t="s">
        <v>2220</v>
      </c>
      <c r="F164" s="9" t="s">
        <v>2018</v>
      </c>
      <c r="G164" s="8" t="s">
        <v>36</v>
      </c>
      <c r="H164" s="10" t="s">
        <v>11</v>
      </c>
      <c r="I164" s="8" t="s">
        <v>37</v>
      </c>
      <c r="J164" s="8" t="s">
        <v>4</v>
      </c>
      <c r="K164" s="8" t="s">
        <v>4</v>
      </c>
    </row>
    <row r="165" spans="1:11" ht="80.099999999999994" customHeight="1">
      <c r="A165" s="8" t="s">
        <v>2221</v>
      </c>
      <c r="B165" s="9" t="s">
        <v>2222</v>
      </c>
      <c r="C165" s="9" t="s">
        <v>2223</v>
      </c>
      <c r="D165" s="9" t="s">
        <v>2224</v>
      </c>
      <c r="E165" s="9" t="s">
        <v>2225</v>
      </c>
      <c r="F165" s="9" t="s">
        <v>2018</v>
      </c>
      <c r="G165" s="8" t="s">
        <v>36</v>
      </c>
      <c r="H165" s="10" t="s">
        <v>11</v>
      </c>
      <c r="I165" s="8" t="s">
        <v>37</v>
      </c>
      <c r="J165" s="8" t="s">
        <v>4</v>
      </c>
      <c r="K165" s="8" t="s">
        <v>4</v>
      </c>
    </row>
    <row r="166" spans="1:11" ht="80.099999999999994" customHeight="1">
      <c r="A166" s="8" t="s">
        <v>2226</v>
      </c>
      <c r="B166" s="9" t="s">
        <v>2227</v>
      </c>
      <c r="C166" s="9" t="s">
        <v>2228</v>
      </c>
      <c r="D166" s="9" t="s">
        <v>2229</v>
      </c>
      <c r="E166" s="9" t="s">
        <v>2230</v>
      </c>
      <c r="F166" s="9" t="s">
        <v>2018</v>
      </c>
      <c r="G166" s="8" t="s">
        <v>36</v>
      </c>
      <c r="H166" s="10" t="s">
        <v>11</v>
      </c>
      <c r="I166" s="8" t="s">
        <v>37</v>
      </c>
      <c r="J166" s="8" t="s">
        <v>4</v>
      </c>
      <c r="K166" s="8" t="s">
        <v>4</v>
      </c>
    </row>
    <row r="167" spans="1:11" ht="15.95" customHeight="1">
      <c r="A167" s="111" t="s">
        <v>2231</v>
      </c>
      <c r="B167" s="118"/>
      <c r="C167" s="118"/>
      <c r="D167" s="118"/>
      <c r="E167" s="118"/>
      <c r="F167" s="118"/>
      <c r="G167" s="118"/>
      <c r="H167" s="118"/>
      <c r="I167" s="118"/>
      <c r="J167" s="118"/>
      <c r="K167" s="118"/>
    </row>
    <row r="168" spans="1:11" ht="80.099999999999994" customHeight="1">
      <c r="A168" s="8" t="s">
        <v>533</v>
      </c>
      <c r="B168" s="9" t="s">
        <v>2232</v>
      </c>
      <c r="C168" s="9" t="s">
        <v>2233</v>
      </c>
      <c r="D168" s="9" t="s">
        <v>2234</v>
      </c>
      <c r="E168" s="9" t="s">
        <v>2235</v>
      </c>
      <c r="F168" s="9" t="s">
        <v>2013</v>
      </c>
      <c r="G168" s="8" t="s">
        <v>36</v>
      </c>
      <c r="H168" s="10" t="s">
        <v>11</v>
      </c>
      <c r="I168" s="8" t="s">
        <v>37</v>
      </c>
      <c r="J168" s="8" t="s">
        <v>4</v>
      </c>
      <c r="K168" s="8" t="s">
        <v>4</v>
      </c>
    </row>
    <row r="169" spans="1:11" ht="80.099999999999994" customHeight="1">
      <c r="A169" s="8" t="s">
        <v>538</v>
      </c>
      <c r="B169" s="9" t="s">
        <v>2236</v>
      </c>
      <c r="C169" s="9" t="s">
        <v>2237</v>
      </c>
      <c r="D169" s="9" t="s">
        <v>2238</v>
      </c>
      <c r="E169" s="9" t="s">
        <v>2239</v>
      </c>
      <c r="F169" s="9" t="s">
        <v>2018</v>
      </c>
      <c r="G169" s="8" t="s">
        <v>36</v>
      </c>
      <c r="H169" s="10" t="s">
        <v>11</v>
      </c>
      <c r="I169" s="8" t="s">
        <v>37</v>
      </c>
      <c r="J169" s="8" t="s">
        <v>4</v>
      </c>
      <c r="K169" s="8" t="s">
        <v>4</v>
      </c>
    </row>
    <row r="170" spans="1:11" ht="80.099999999999994" customHeight="1">
      <c r="A170" s="8" t="s">
        <v>543</v>
      </c>
      <c r="B170" s="9" t="s">
        <v>2240</v>
      </c>
      <c r="C170" s="9" t="s">
        <v>2241</v>
      </c>
      <c r="D170" s="9" t="s">
        <v>2242</v>
      </c>
      <c r="E170" s="9" t="s">
        <v>2243</v>
      </c>
      <c r="F170" s="9" t="s">
        <v>2018</v>
      </c>
      <c r="G170" s="8" t="s">
        <v>36</v>
      </c>
      <c r="H170" s="10" t="s">
        <v>11</v>
      </c>
      <c r="I170" s="8" t="s">
        <v>37</v>
      </c>
      <c r="J170" s="8" t="s">
        <v>4</v>
      </c>
      <c r="K170" s="8" t="s">
        <v>4</v>
      </c>
    </row>
    <row r="171" spans="1:11" ht="80.099999999999994" customHeight="1">
      <c r="A171" s="8" t="s">
        <v>548</v>
      </c>
      <c r="B171" s="9" t="s">
        <v>2244</v>
      </c>
      <c r="C171" s="9" t="s">
        <v>2245</v>
      </c>
      <c r="D171" s="9" t="s">
        <v>2246</v>
      </c>
      <c r="E171" s="9" t="s">
        <v>2247</v>
      </c>
      <c r="F171" s="9" t="s">
        <v>2018</v>
      </c>
      <c r="G171" s="8" t="s">
        <v>36</v>
      </c>
      <c r="H171" s="10" t="s">
        <v>11</v>
      </c>
      <c r="I171" s="8" t="s">
        <v>37</v>
      </c>
      <c r="J171" s="8" t="s">
        <v>4</v>
      </c>
      <c r="K171" s="8" t="s">
        <v>4</v>
      </c>
    </row>
    <row r="172" spans="1:11" ht="80.099999999999994" customHeight="1">
      <c r="A172" s="8" t="s">
        <v>553</v>
      </c>
      <c r="B172" s="9" t="s">
        <v>2248</v>
      </c>
      <c r="C172" s="9" t="s">
        <v>2249</v>
      </c>
      <c r="D172" s="9" t="s">
        <v>2250</v>
      </c>
      <c r="E172" s="9" t="s">
        <v>2251</v>
      </c>
      <c r="F172" s="9" t="s">
        <v>2018</v>
      </c>
      <c r="G172" s="8" t="s">
        <v>36</v>
      </c>
      <c r="H172" s="10" t="s">
        <v>11</v>
      </c>
      <c r="I172" s="8" t="s">
        <v>37</v>
      </c>
      <c r="J172" s="8" t="s">
        <v>4</v>
      </c>
      <c r="K172" s="8" t="s">
        <v>4</v>
      </c>
    </row>
    <row r="173" spans="1:11" ht="80.099999999999994" customHeight="1">
      <c r="A173" s="8" t="s">
        <v>558</v>
      </c>
      <c r="B173" s="9" t="s">
        <v>2252</v>
      </c>
      <c r="C173" s="9" t="s">
        <v>2253</v>
      </c>
      <c r="D173" s="9" t="s">
        <v>2254</v>
      </c>
      <c r="E173" s="9" t="s">
        <v>2255</v>
      </c>
      <c r="F173" s="9" t="s">
        <v>2018</v>
      </c>
      <c r="G173" s="8" t="s">
        <v>36</v>
      </c>
      <c r="H173" s="10" t="s">
        <v>11</v>
      </c>
      <c r="I173" s="8" t="s">
        <v>37</v>
      </c>
      <c r="J173" s="8" t="s">
        <v>4</v>
      </c>
      <c r="K173" s="8" t="s">
        <v>4</v>
      </c>
    </row>
    <row r="174" spans="1:11" ht="80.099999999999994" customHeight="1">
      <c r="A174" s="8" t="s">
        <v>563</v>
      </c>
      <c r="B174" s="9" t="s">
        <v>2256</v>
      </c>
      <c r="C174" s="9" t="s">
        <v>2257</v>
      </c>
      <c r="D174" s="9" t="s">
        <v>2258</v>
      </c>
      <c r="E174" s="9" t="s">
        <v>2259</v>
      </c>
      <c r="F174" s="9" t="s">
        <v>2018</v>
      </c>
      <c r="G174" s="8" t="s">
        <v>36</v>
      </c>
      <c r="H174" s="10" t="s">
        <v>11</v>
      </c>
      <c r="I174" s="8" t="s">
        <v>37</v>
      </c>
      <c r="J174" s="8" t="s">
        <v>4</v>
      </c>
      <c r="K174" s="8" t="s">
        <v>4</v>
      </c>
    </row>
    <row r="175" spans="1:11" ht="80.099999999999994" customHeight="1">
      <c r="A175" s="8" t="s">
        <v>568</v>
      </c>
      <c r="B175" s="9" t="s">
        <v>2260</v>
      </c>
      <c r="C175" s="9" t="s">
        <v>2261</v>
      </c>
      <c r="D175" s="9" t="s">
        <v>2262</v>
      </c>
      <c r="E175" s="9" t="s">
        <v>2263</v>
      </c>
      <c r="F175" s="9" t="s">
        <v>2018</v>
      </c>
      <c r="G175" s="8" t="s">
        <v>36</v>
      </c>
      <c r="H175" s="10" t="s">
        <v>11</v>
      </c>
      <c r="I175" s="8" t="s">
        <v>37</v>
      </c>
      <c r="J175" s="8" t="s">
        <v>4</v>
      </c>
      <c r="K175" s="8" t="s">
        <v>4</v>
      </c>
    </row>
    <row r="176" spans="1:11" ht="80.099999999999994" customHeight="1">
      <c r="A176" s="8" t="s">
        <v>573</v>
      </c>
      <c r="B176" s="9" t="s">
        <v>2264</v>
      </c>
      <c r="C176" s="9" t="s">
        <v>2265</v>
      </c>
      <c r="D176" s="9" t="s">
        <v>2266</v>
      </c>
      <c r="E176" s="9" t="s">
        <v>2267</v>
      </c>
      <c r="F176" s="9" t="s">
        <v>2018</v>
      </c>
      <c r="G176" s="8" t="s">
        <v>36</v>
      </c>
      <c r="H176" s="10" t="s">
        <v>11</v>
      </c>
      <c r="I176" s="8" t="s">
        <v>37</v>
      </c>
      <c r="J176" s="8" t="s">
        <v>4</v>
      </c>
      <c r="K176" s="8" t="s">
        <v>4</v>
      </c>
    </row>
    <row r="177" spans="1:11" ht="80.099999999999994" customHeight="1">
      <c r="A177" s="8" t="s">
        <v>578</v>
      </c>
      <c r="B177" s="9" t="s">
        <v>2268</v>
      </c>
      <c r="C177" s="9" t="s">
        <v>2269</v>
      </c>
      <c r="D177" s="9" t="s">
        <v>2270</v>
      </c>
      <c r="E177" s="9" t="s">
        <v>2271</v>
      </c>
      <c r="F177" s="9" t="s">
        <v>2018</v>
      </c>
      <c r="G177" s="8" t="s">
        <v>36</v>
      </c>
      <c r="H177" s="10" t="s">
        <v>11</v>
      </c>
      <c r="I177" s="8" t="s">
        <v>37</v>
      </c>
      <c r="J177" s="8" t="s">
        <v>4</v>
      </c>
      <c r="K177" s="8" t="s">
        <v>4</v>
      </c>
    </row>
    <row r="178" spans="1:11" ht="80.099999999999994" customHeight="1">
      <c r="A178" s="8" t="s">
        <v>583</v>
      </c>
      <c r="B178" s="9" t="s">
        <v>2272</v>
      </c>
      <c r="C178" s="9" t="s">
        <v>2273</v>
      </c>
      <c r="D178" s="9" t="s">
        <v>2274</v>
      </c>
      <c r="E178" s="9" t="s">
        <v>2275</v>
      </c>
      <c r="F178" s="9" t="s">
        <v>2018</v>
      </c>
      <c r="G178" s="8" t="s">
        <v>36</v>
      </c>
      <c r="H178" s="10" t="s">
        <v>11</v>
      </c>
      <c r="I178" s="8" t="s">
        <v>37</v>
      </c>
      <c r="J178" s="8" t="s">
        <v>4</v>
      </c>
      <c r="K178" s="8" t="s">
        <v>4</v>
      </c>
    </row>
    <row r="179" spans="1:11" ht="80.099999999999994" customHeight="1">
      <c r="A179" s="8" t="s">
        <v>588</v>
      </c>
      <c r="B179" s="9" t="s">
        <v>2276</v>
      </c>
      <c r="C179" s="9" t="s">
        <v>2277</v>
      </c>
      <c r="D179" s="9" t="s">
        <v>2278</v>
      </c>
      <c r="E179" s="9" t="s">
        <v>2279</v>
      </c>
      <c r="F179" s="9" t="s">
        <v>2018</v>
      </c>
      <c r="G179" s="8" t="s">
        <v>36</v>
      </c>
      <c r="H179" s="10" t="s">
        <v>11</v>
      </c>
      <c r="I179" s="8" t="s">
        <v>37</v>
      </c>
      <c r="J179" s="8" t="s">
        <v>4</v>
      </c>
      <c r="K179" s="8" t="s">
        <v>4</v>
      </c>
    </row>
    <row r="180" spans="1:11" ht="80.099999999999994" customHeight="1">
      <c r="A180" s="8" t="s">
        <v>2280</v>
      </c>
      <c r="B180" s="9" t="s">
        <v>2281</v>
      </c>
      <c r="C180" s="9" t="s">
        <v>2282</v>
      </c>
      <c r="D180" s="9" t="s">
        <v>2283</v>
      </c>
      <c r="E180" s="9" t="s">
        <v>2284</v>
      </c>
      <c r="F180" s="9" t="s">
        <v>2018</v>
      </c>
      <c r="G180" s="8" t="s">
        <v>36</v>
      </c>
      <c r="H180" s="10" t="s">
        <v>11</v>
      </c>
      <c r="I180" s="8" t="s">
        <v>37</v>
      </c>
      <c r="J180" s="8" t="s">
        <v>4</v>
      </c>
      <c r="K180" s="8" t="s">
        <v>4</v>
      </c>
    </row>
    <row r="181" spans="1:11" ht="80.099999999999994" customHeight="1">
      <c r="A181" s="8" t="s">
        <v>2285</v>
      </c>
      <c r="B181" s="9" t="s">
        <v>2286</v>
      </c>
      <c r="C181" s="9" t="s">
        <v>2287</v>
      </c>
      <c r="D181" s="9" t="s">
        <v>2288</v>
      </c>
      <c r="E181" s="9" t="s">
        <v>2289</v>
      </c>
      <c r="F181" s="9" t="s">
        <v>2018</v>
      </c>
      <c r="G181" s="8" t="s">
        <v>36</v>
      </c>
      <c r="H181" s="10" t="s">
        <v>11</v>
      </c>
      <c r="I181" s="8" t="s">
        <v>37</v>
      </c>
      <c r="J181" s="8" t="s">
        <v>4</v>
      </c>
      <c r="K181" s="8" t="s">
        <v>4</v>
      </c>
    </row>
    <row r="182" spans="1:11" ht="80.099999999999994" customHeight="1">
      <c r="A182" s="8" t="s">
        <v>2290</v>
      </c>
      <c r="B182" s="9" t="s">
        <v>2291</v>
      </c>
      <c r="C182" s="9" t="s">
        <v>2292</v>
      </c>
      <c r="D182" s="9" t="s">
        <v>2293</v>
      </c>
      <c r="E182" s="9" t="s">
        <v>2294</v>
      </c>
      <c r="F182" s="9" t="s">
        <v>2018</v>
      </c>
      <c r="G182" s="8" t="s">
        <v>36</v>
      </c>
      <c r="H182" s="10" t="s">
        <v>11</v>
      </c>
      <c r="I182" s="8" t="s">
        <v>37</v>
      </c>
      <c r="J182" s="8" t="s">
        <v>4</v>
      </c>
      <c r="K182" s="8" t="s">
        <v>4</v>
      </c>
    </row>
    <row r="183" spans="1:11" ht="80.099999999999994" customHeight="1">
      <c r="A183" s="8" t="s">
        <v>2295</v>
      </c>
      <c r="B183" s="9" t="s">
        <v>2296</v>
      </c>
      <c r="C183" s="9" t="s">
        <v>2297</v>
      </c>
      <c r="D183" s="9" t="s">
        <v>2298</v>
      </c>
      <c r="E183" s="9" t="s">
        <v>2299</v>
      </c>
      <c r="F183" s="9" t="s">
        <v>2018</v>
      </c>
      <c r="G183" s="8" t="s">
        <v>36</v>
      </c>
      <c r="H183" s="10" t="s">
        <v>11</v>
      </c>
      <c r="I183" s="8" t="s">
        <v>37</v>
      </c>
      <c r="J183" s="8" t="s">
        <v>4</v>
      </c>
      <c r="K183" s="8" t="s">
        <v>4</v>
      </c>
    </row>
    <row r="184" spans="1:11" ht="80.099999999999994" customHeight="1">
      <c r="A184" s="8" t="s">
        <v>2300</v>
      </c>
      <c r="B184" s="9" t="s">
        <v>2301</v>
      </c>
      <c r="C184" s="9" t="s">
        <v>2302</v>
      </c>
      <c r="D184" s="9" t="s">
        <v>2303</v>
      </c>
      <c r="E184" s="9" t="s">
        <v>2304</v>
      </c>
      <c r="F184" s="9" t="s">
        <v>2018</v>
      </c>
      <c r="G184" s="8" t="s">
        <v>36</v>
      </c>
      <c r="H184" s="10" t="s">
        <v>11</v>
      </c>
      <c r="I184" s="8" t="s">
        <v>37</v>
      </c>
      <c r="J184" s="8" t="s">
        <v>4</v>
      </c>
      <c r="K184" s="8" t="s">
        <v>4</v>
      </c>
    </row>
    <row r="185" spans="1:11" ht="80.099999999999994" customHeight="1">
      <c r="A185" s="8" t="s">
        <v>2305</v>
      </c>
      <c r="B185" s="9" t="s">
        <v>2306</v>
      </c>
      <c r="C185" s="9" t="s">
        <v>2307</v>
      </c>
      <c r="D185" s="9" t="s">
        <v>2308</v>
      </c>
      <c r="E185" s="9" t="s">
        <v>2309</v>
      </c>
      <c r="F185" s="9" t="s">
        <v>2018</v>
      </c>
      <c r="G185" s="8" t="s">
        <v>36</v>
      </c>
      <c r="H185" s="10" t="s">
        <v>11</v>
      </c>
      <c r="I185" s="8" t="s">
        <v>37</v>
      </c>
      <c r="J185" s="8" t="s">
        <v>4</v>
      </c>
      <c r="K185" s="8" t="s">
        <v>4</v>
      </c>
    </row>
    <row r="186" spans="1:11" ht="80.099999999999994" customHeight="1">
      <c r="A186" s="8" t="s">
        <v>2310</v>
      </c>
      <c r="B186" s="9" t="s">
        <v>2311</v>
      </c>
      <c r="C186" s="9" t="s">
        <v>2312</v>
      </c>
      <c r="D186" s="9" t="s">
        <v>2313</v>
      </c>
      <c r="E186" s="9" t="s">
        <v>2314</v>
      </c>
      <c r="F186" s="9" t="s">
        <v>2018</v>
      </c>
      <c r="G186" s="8" t="s">
        <v>36</v>
      </c>
      <c r="H186" s="10" t="s">
        <v>11</v>
      </c>
      <c r="I186" s="8" t="s">
        <v>37</v>
      </c>
      <c r="J186" s="8" t="s">
        <v>4</v>
      </c>
      <c r="K186" s="8" t="s">
        <v>4</v>
      </c>
    </row>
    <row r="187" spans="1:11" ht="80.099999999999994" customHeight="1">
      <c r="A187" s="8" t="s">
        <v>2315</v>
      </c>
      <c r="B187" s="9" t="s">
        <v>2316</v>
      </c>
      <c r="C187" s="9" t="s">
        <v>2317</v>
      </c>
      <c r="D187" s="9" t="s">
        <v>2318</v>
      </c>
      <c r="E187" s="9" t="s">
        <v>2319</v>
      </c>
      <c r="F187" s="9" t="s">
        <v>2018</v>
      </c>
      <c r="G187" s="8" t="s">
        <v>36</v>
      </c>
      <c r="H187" s="10" t="s">
        <v>11</v>
      </c>
      <c r="I187" s="8" t="s">
        <v>37</v>
      </c>
      <c r="J187" s="8" t="s">
        <v>4</v>
      </c>
      <c r="K187" s="8" t="s">
        <v>4</v>
      </c>
    </row>
    <row r="188" spans="1:11" ht="80.099999999999994" customHeight="1">
      <c r="A188" s="8" t="s">
        <v>2320</v>
      </c>
      <c r="B188" s="9" t="s">
        <v>2321</v>
      </c>
      <c r="C188" s="9" t="s">
        <v>2322</v>
      </c>
      <c r="D188" s="9" t="s">
        <v>2323</v>
      </c>
      <c r="E188" s="9" t="s">
        <v>2324</v>
      </c>
      <c r="F188" s="9" t="s">
        <v>2018</v>
      </c>
      <c r="G188" s="8" t="s">
        <v>36</v>
      </c>
      <c r="H188" s="10" t="s">
        <v>11</v>
      </c>
      <c r="I188" s="8" t="s">
        <v>37</v>
      </c>
      <c r="J188" s="8" t="s">
        <v>4</v>
      </c>
      <c r="K188" s="8" t="s">
        <v>4</v>
      </c>
    </row>
    <row r="189" spans="1:11" ht="80.099999999999994" customHeight="1">
      <c r="A189" s="8" t="s">
        <v>2325</v>
      </c>
      <c r="B189" s="9" t="s">
        <v>2326</v>
      </c>
      <c r="C189" s="9" t="s">
        <v>2327</v>
      </c>
      <c r="D189" s="9" t="s">
        <v>2328</v>
      </c>
      <c r="E189" s="9" t="s">
        <v>2329</v>
      </c>
      <c r="F189" s="9" t="s">
        <v>2018</v>
      </c>
      <c r="G189" s="8" t="s">
        <v>36</v>
      </c>
      <c r="H189" s="10" t="s">
        <v>11</v>
      </c>
      <c r="I189" s="8" t="s">
        <v>37</v>
      </c>
      <c r="J189" s="8" t="s">
        <v>4</v>
      </c>
      <c r="K189" s="8" t="s">
        <v>4</v>
      </c>
    </row>
    <row r="190" spans="1:11" ht="80.099999999999994" customHeight="1">
      <c r="A190" s="8" t="s">
        <v>2330</v>
      </c>
      <c r="B190" s="9" t="s">
        <v>2331</v>
      </c>
      <c r="C190" s="9" t="s">
        <v>2332</v>
      </c>
      <c r="D190" s="9" t="s">
        <v>2333</v>
      </c>
      <c r="E190" s="9" t="s">
        <v>2334</v>
      </c>
      <c r="F190" s="9" t="s">
        <v>2018</v>
      </c>
      <c r="G190" s="8" t="s">
        <v>36</v>
      </c>
      <c r="H190" s="10" t="s">
        <v>11</v>
      </c>
      <c r="I190" s="8" t="s">
        <v>37</v>
      </c>
      <c r="J190" s="8" t="s">
        <v>4</v>
      </c>
      <c r="K190" s="8" t="s">
        <v>4</v>
      </c>
    </row>
    <row r="191" spans="1:11" ht="80.099999999999994" customHeight="1">
      <c r="A191" s="8" t="s">
        <v>2335</v>
      </c>
      <c r="B191" s="9" t="s">
        <v>2336</v>
      </c>
      <c r="C191" s="9" t="s">
        <v>2337</v>
      </c>
      <c r="D191" s="9" t="s">
        <v>2338</v>
      </c>
      <c r="E191" s="9" t="s">
        <v>2339</v>
      </c>
      <c r="F191" s="9" t="s">
        <v>2018</v>
      </c>
      <c r="G191" s="8" t="s">
        <v>36</v>
      </c>
      <c r="H191" s="10" t="s">
        <v>11</v>
      </c>
      <c r="I191" s="8" t="s">
        <v>37</v>
      </c>
      <c r="J191" s="8" t="s">
        <v>4</v>
      </c>
      <c r="K191" s="8" t="s">
        <v>4</v>
      </c>
    </row>
    <row r="192" spans="1:11" ht="80.099999999999994" customHeight="1">
      <c r="A192" s="8" t="s">
        <v>2340</v>
      </c>
      <c r="B192" s="9" t="s">
        <v>2341</v>
      </c>
      <c r="C192" s="9" t="s">
        <v>2342</v>
      </c>
      <c r="D192" s="9" t="s">
        <v>2343</v>
      </c>
      <c r="E192" s="9" t="s">
        <v>2344</v>
      </c>
      <c r="F192" s="9" t="s">
        <v>2018</v>
      </c>
      <c r="G192" s="8" t="s">
        <v>36</v>
      </c>
      <c r="H192" s="10" t="s">
        <v>11</v>
      </c>
      <c r="I192" s="8" t="s">
        <v>37</v>
      </c>
      <c r="J192" s="8" t="s">
        <v>4</v>
      </c>
      <c r="K192" s="8" t="s">
        <v>4</v>
      </c>
    </row>
    <row r="193" spans="1:11" ht="80.099999999999994" customHeight="1">
      <c r="A193" s="8" t="s">
        <v>2345</v>
      </c>
      <c r="B193" s="9" t="s">
        <v>2346</v>
      </c>
      <c r="C193" s="9" t="s">
        <v>2347</v>
      </c>
      <c r="D193" s="9" t="s">
        <v>2348</v>
      </c>
      <c r="E193" s="9" t="s">
        <v>2349</v>
      </c>
      <c r="F193" s="9" t="s">
        <v>2018</v>
      </c>
      <c r="G193" s="8" t="s">
        <v>36</v>
      </c>
      <c r="H193" s="10" t="s">
        <v>11</v>
      </c>
      <c r="I193" s="8" t="s">
        <v>37</v>
      </c>
      <c r="J193" s="8" t="s">
        <v>4</v>
      </c>
      <c r="K193" s="8" t="s">
        <v>4</v>
      </c>
    </row>
    <row r="194" spans="1:11" ht="15.95" customHeight="1">
      <c r="A194" s="111" t="s">
        <v>2350</v>
      </c>
      <c r="B194" s="118"/>
      <c r="C194" s="118"/>
      <c r="D194" s="118"/>
      <c r="E194" s="118"/>
      <c r="F194" s="118"/>
      <c r="G194" s="118"/>
      <c r="H194" s="118"/>
      <c r="I194" s="118"/>
      <c r="J194" s="118"/>
      <c r="K194" s="118"/>
    </row>
    <row r="195" spans="1:11" ht="80.099999999999994" customHeight="1">
      <c r="A195" s="8" t="s">
        <v>594</v>
      </c>
      <c r="B195" s="9" t="s">
        <v>2351</v>
      </c>
      <c r="C195" s="9" t="s">
        <v>2352</v>
      </c>
      <c r="D195" s="9" t="s">
        <v>2353</v>
      </c>
      <c r="E195" s="9" t="s">
        <v>2354</v>
      </c>
      <c r="F195" s="9" t="s">
        <v>2013</v>
      </c>
      <c r="G195" s="8" t="s">
        <v>36</v>
      </c>
      <c r="H195" s="10" t="s">
        <v>11</v>
      </c>
      <c r="I195" s="8" t="s">
        <v>37</v>
      </c>
      <c r="J195" s="8" t="s">
        <v>4</v>
      </c>
      <c r="K195" s="8" t="s">
        <v>4</v>
      </c>
    </row>
    <row r="196" spans="1:11" ht="80.099999999999994" customHeight="1">
      <c r="A196" s="8" t="s">
        <v>599</v>
      </c>
      <c r="B196" s="9" t="s">
        <v>2355</v>
      </c>
      <c r="C196" s="9" t="s">
        <v>2356</v>
      </c>
      <c r="D196" s="9" t="s">
        <v>2357</v>
      </c>
      <c r="E196" s="9" t="s">
        <v>2358</v>
      </c>
      <c r="F196" s="9" t="s">
        <v>2018</v>
      </c>
      <c r="G196" s="8" t="s">
        <v>36</v>
      </c>
      <c r="H196" s="10" t="s">
        <v>11</v>
      </c>
      <c r="I196" s="8" t="s">
        <v>37</v>
      </c>
      <c r="J196" s="8" t="s">
        <v>4</v>
      </c>
      <c r="K196" s="8" t="s">
        <v>4</v>
      </c>
    </row>
    <row r="197" spans="1:11" ht="80.099999999999994" customHeight="1">
      <c r="A197" s="8" t="s">
        <v>2359</v>
      </c>
      <c r="B197" s="9" t="s">
        <v>2360</v>
      </c>
      <c r="C197" s="9" t="s">
        <v>2361</v>
      </c>
      <c r="D197" s="9" t="s">
        <v>2362</v>
      </c>
      <c r="E197" s="9" t="s">
        <v>2363</v>
      </c>
      <c r="F197" s="9" t="s">
        <v>2018</v>
      </c>
      <c r="G197" s="8" t="s">
        <v>36</v>
      </c>
      <c r="H197" s="10" t="s">
        <v>11</v>
      </c>
      <c r="I197" s="8" t="s">
        <v>37</v>
      </c>
      <c r="J197" s="8" t="s">
        <v>4</v>
      </c>
      <c r="K197" s="8" t="s">
        <v>4</v>
      </c>
    </row>
    <row r="198" spans="1:11" ht="80.099999999999994" customHeight="1">
      <c r="A198" s="8" t="s">
        <v>2364</v>
      </c>
      <c r="B198" s="9" t="s">
        <v>2365</v>
      </c>
      <c r="C198" s="9" t="s">
        <v>2366</v>
      </c>
      <c r="D198" s="9" t="s">
        <v>2367</v>
      </c>
      <c r="E198" s="9" t="s">
        <v>2368</v>
      </c>
      <c r="F198" s="9" t="s">
        <v>2018</v>
      </c>
      <c r="G198" s="8" t="s">
        <v>36</v>
      </c>
      <c r="H198" s="10" t="s">
        <v>11</v>
      </c>
      <c r="I198" s="8" t="s">
        <v>37</v>
      </c>
      <c r="J198" s="8" t="s">
        <v>4</v>
      </c>
      <c r="K198" s="8" t="s">
        <v>4</v>
      </c>
    </row>
    <row r="199" spans="1:11" ht="80.099999999999994" customHeight="1">
      <c r="A199" s="8" t="s">
        <v>2369</v>
      </c>
      <c r="B199" s="9" t="s">
        <v>2370</v>
      </c>
      <c r="C199" s="9" t="s">
        <v>2371</v>
      </c>
      <c r="D199" s="9" t="s">
        <v>2372</v>
      </c>
      <c r="E199" s="9" t="s">
        <v>2373</v>
      </c>
      <c r="F199" s="9" t="s">
        <v>2018</v>
      </c>
      <c r="G199" s="8" t="s">
        <v>36</v>
      </c>
      <c r="H199" s="10" t="s">
        <v>11</v>
      </c>
      <c r="I199" s="8" t="s">
        <v>37</v>
      </c>
      <c r="J199" s="8" t="s">
        <v>4</v>
      </c>
      <c r="K199" s="8" t="s">
        <v>4</v>
      </c>
    </row>
    <row r="200" spans="1:11" ht="80.099999999999994" customHeight="1">
      <c r="A200" s="8" t="s">
        <v>2374</v>
      </c>
      <c r="B200" s="9" t="s">
        <v>2375</v>
      </c>
      <c r="C200" s="9" t="s">
        <v>2376</v>
      </c>
      <c r="D200" s="9" t="s">
        <v>2377</v>
      </c>
      <c r="E200" s="9" t="s">
        <v>2378</v>
      </c>
      <c r="F200" s="9" t="s">
        <v>2018</v>
      </c>
      <c r="G200" s="8" t="s">
        <v>36</v>
      </c>
      <c r="H200" s="10" t="s">
        <v>11</v>
      </c>
      <c r="I200" s="8" t="s">
        <v>37</v>
      </c>
      <c r="J200" s="8" t="s">
        <v>4</v>
      </c>
      <c r="K200" s="8" t="s">
        <v>4</v>
      </c>
    </row>
    <row r="201" spans="1:11" ht="15.95" customHeight="1">
      <c r="A201" s="111" t="s">
        <v>2379</v>
      </c>
      <c r="B201" s="118"/>
      <c r="C201" s="118"/>
      <c r="D201" s="118"/>
      <c r="E201" s="118"/>
      <c r="F201" s="118"/>
      <c r="G201" s="118"/>
      <c r="H201" s="118"/>
      <c r="I201" s="118"/>
      <c r="J201" s="118"/>
      <c r="K201" s="118"/>
    </row>
    <row r="202" spans="1:11" ht="80.099999999999994" customHeight="1">
      <c r="A202" s="8" t="s">
        <v>605</v>
      </c>
      <c r="B202" s="9" t="s">
        <v>2380</v>
      </c>
      <c r="C202" s="9" t="s">
        <v>2381</v>
      </c>
      <c r="D202" s="9" t="s">
        <v>2382</v>
      </c>
      <c r="E202" s="9" t="s">
        <v>2383</v>
      </c>
      <c r="F202" s="9" t="s">
        <v>2013</v>
      </c>
      <c r="G202" s="8" t="s">
        <v>36</v>
      </c>
      <c r="H202" s="10" t="s">
        <v>11</v>
      </c>
      <c r="I202" s="8" t="s">
        <v>37</v>
      </c>
      <c r="J202" s="8" t="s">
        <v>4</v>
      </c>
      <c r="K202" s="8" t="s">
        <v>4</v>
      </c>
    </row>
    <row r="203" spans="1:11" ht="80.099999999999994" customHeight="1">
      <c r="A203" s="8" t="s">
        <v>610</v>
      </c>
      <c r="B203" s="9" t="s">
        <v>2384</v>
      </c>
      <c r="C203" s="9" t="s">
        <v>2385</v>
      </c>
      <c r="D203" s="9" t="s">
        <v>2386</v>
      </c>
      <c r="E203" s="9" t="s">
        <v>2387</v>
      </c>
      <c r="F203" s="9" t="s">
        <v>2018</v>
      </c>
      <c r="G203" s="8" t="s">
        <v>36</v>
      </c>
      <c r="H203" s="10" t="s">
        <v>11</v>
      </c>
      <c r="I203" s="8" t="s">
        <v>37</v>
      </c>
      <c r="J203" s="8" t="s">
        <v>4</v>
      </c>
      <c r="K203" s="8" t="s">
        <v>4</v>
      </c>
    </row>
    <row r="204" spans="1:11" ht="80.099999999999994" customHeight="1">
      <c r="A204" s="8" t="s">
        <v>615</v>
      </c>
      <c r="B204" s="9" t="s">
        <v>2388</v>
      </c>
      <c r="C204" s="9" t="s">
        <v>2389</v>
      </c>
      <c r="D204" s="9" t="s">
        <v>2390</v>
      </c>
      <c r="E204" s="9" t="s">
        <v>2391</v>
      </c>
      <c r="F204" s="9" t="s">
        <v>2018</v>
      </c>
      <c r="G204" s="8" t="s">
        <v>36</v>
      </c>
      <c r="H204" s="10" t="s">
        <v>11</v>
      </c>
      <c r="I204" s="8" t="s">
        <v>37</v>
      </c>
      <c r="J204" s="8" t="s">
        <v>4</v>
      </c>
      <c r="K204" s="8" t="s">
        <v>4</v>
      </c>
    </row>
    <row r="205" spans="1:11" ht="80.099999999999994" customHeight="1">
      <c r="A205" s="8" t="s">
        <v>620</v>
      </c>
      <c r="B205" s="9" t="s">
        <v>2392</v>
      </c>
      <c r="C205" s="9" t="s">
        <v>2393</v>
      </c>
      <c r="D205" s="9" t="s">
        <v>2394</v>
      </c>
      <c r="E205" s="9" t="s">
        <v>2395</v>
      </c>
      <c r="F205" s="9" t="s">
        <v>2018</v>
      </c>
      <c r="G205" s="8" t="s">
        <v>36</v>
      </c>
      <c r="H205" s="10" t="s">
        <v>11</v>
      </c>
      <c r="I205" s="8" t="s">
        <v>37</v>
      </c>
      <c r="J205" s="8" t="s">
        <v>4</v>
      </c>
      <c r="K205" s="8" t="s">
        <v>4</v>
      </c>
    </row>
    <row r="206" spans="1:11" ht="80.099999999999994" customHeight="1">
      <c r="A206" s="8" t="s">
        <v>625</v>
      </c>
      <c r="B206" s="9" t="s">
        <v>2396</v>
      </c>
      <c r="C206" s="9" t="s">
        <v>2397</v>
      </c>
      <c r="D206" s="9" t="s">
        <v>2398</v>
      </c>
      <c r="E206" s="9" t="s">
        <v>2399</v>
      </c>
      <c r="F206" s="9" t="s">
        <v>2018</v>
      </c>
      <c r="G206" s="8" t="s">
        <v>36</v>
      </c>
      <c r="H206" s="10" t="s">
        <v>11</v>
      </c>
      <c r="I206" s="8" t="s">
        <v>37</v>
      </c>
      <c r="J206" s="8" t="s">
        <v>4</v>
      </c>
      <c r="K206" s="8" t="s">
        <v>4</v>
      </c>
    </row>
    <row r="207" spans="1:11" ht="80.099999999999994" customHeight="1">
      <c r="A207" s="8" t="s">
        <v>630</v>
      </c>
      <c r="B207" s="9" t="s">
        <v>2400</v>
      </c>
      <c r="C207" s="9" t="s">
        <v>2401</v>
      </c>
      <c r="D207" s="9" t="s">
        <v>2402</v>
      </c>
      <c r="E207" s="9" t="s">
        <v>2403</v>
      </c>
      <c r="F207" s="9" t="s">
        <v>2018</v>
      </c>
      <c r="G207" s="8" t="s">
        <v>36</v>
      </c>
      <c r="H207" s="10" t="s">
        <v>11</v>
      </c>
      <c r="I207" s="8" t="s">
        <v>37</v>
      </c>
      <c r="J207" s="8" t="s">
        <v>4</v>
      </c>
      <c r="K207" s="8" t="s">
        <v>4</v>
      </c>
    </row>
    <row r="208" spans="1:11" ht="80.099999999999994" customHeight="1">
      <c r="A208" s="8" t="s">
        <v>635</v>
      </c>
      <c r="B208" s="9" t="s">
        <v>2404</v>
      </c>
      <c r="C208" s="9" t="s">
        <v>2405</v>
      </c>
      <c r="D208" s="9" t="s">
        <v>2406</v>
      </c>
      <c r="E208" s="9" t="s">
        <v>2407</v>
      </c>
      <c r="F208" s="9" t="s">
        <v>2018</v>
      </c>
      <c r="G208" s="8" t="s">
        <v>36</v>
      </c>
      <c r="H208" s="10" t="s">
        <v>11</v>
      </c>
      <c r="I208" s="8" t="s">
        <v>37</v>
      </c>
      <c r="J208" s="8" t="s">
        <v>4</v>
      </c>
      <c r="K208" s="8" t="s">
        <v>4</v>
      </c>
    </row>
    <row r="209" spans="1:11" ht="80.099999999999994" customHeight="1">
      <c r="A209" s="8" t="s">
        <v>640</v>
      </c>
      <c r="B209" s="9" t="s">
        <v>2408</v>
      </c>
      <c r="C209" s="9" t="s">
        <v>2409</v>
      </c>
      <c r="D209" s="9" t="s">
        <v>2410</v>
      </c>
      <c r="E209" s="9" t="s">
        <v>2411</v>
      </c>
      <c r="F209" s="9" t="s">
        <v>2018</v>
      </c>
      <c r="G209" s="8" t="s">
        <v>36</v>
      </c>
      <c r="H209" s="10" t="s">
        <v>11</v>
      </c>
      <c r="I209" s="8" t="s">
        <v>37</v>
      </c>
      <c r="J209" s="8" t="s">
        <v>4</v>
      </c>
      <c r="K209" s="8" t="s">
        <v>4</v>
      </c>
    </row>
    <row r="210" spans="1:11" ht="80.099999999999994" customHeight="1">
      <c r="A210" s="8" t="s">
        <v>2412</v>
      </c>
      <c r="B210" s="9" t="s">
        <v>2413</v>
      </c>
      <c r="C210" s="9" t="s">
        <v>2414</v>
      </c>
      <c r="D210" s="9" t="s">
        <v>2415</v>
      </c>
      <c r="E210" s="9" t="s">
        <v>2416</v>
      </c>
      <c r="F210" s="9" t="s">
        <v>2018</v>
      </c>
      <c r="G210" s="8" t="s">
        <v>36</v>
      </c>
      <c r="H210" s="10" t="s">
        <v>11</v>
      </c>
      <c r="I210" s="8" t="s">
        <v>37</v>
      </c>
      <c r="J210" s="8" t="s">
        <v>4</v>
      </c>
      <c r="K210" s="8" t="s">
        <v>4</v>
      </c>
    </row>
    <row r="211" spans="1:11" ht="80.099999999999994" customHeight="1">
      <c r="A211" s="8" t="s">
        <v>2417</v>
      </c>
      <c r="B211" s="9" t="s">
        <v>2418</v>
      </c>
      <c r="C211" s="9" t="s">
        <v>2419</v>
      </c>
      <c r="D211" s="9" t="s">
        <v>2420</v>
      </c>
      <c r="E211" s="9" t="s">
        <v>2421</v>
      </c>
      <c r="F211" s="9" t="s">
        <v>2018</v>
      </c>
      <c r="G211" s="8" t="s">
        <v>36</v>
      </c>
      <c r="H211" s="10" t="s">
        <v>11</v>
      </c>
      <c r="I211" s="8" t="s">
        <v>37</v>
      </c>
      <c r="J211" s="8" t="s">
        <v>4</v>
      </c>
      <c r="K211" s="8" t="s">
        <v>4</v>
      </c>
    </row>
    <row r="212" spans="1:11" ht="80.099999999999994" customHeight="1">
      <c r="A212" s="8" t="s">
        <v>2422</v>
      </c>
      <c r="B212" s="9" t="s">
        <v>2423</v>
      </c>
      <c r="C212" s="9" t="s">
        <v>2424</v>
      </c>
      <c r="D212" s="9" t="s">
        <v>2425</v>
      </c>
      <c r="E212" s="9" t="s">
        <v>2426</v>
      </c>
      <c r="F212" s="9" t="s">
        <v>2018</v>
      </c>
      <c r="G212" s="8" t="s">
        <v>36</v>
      </c>
      <c r="H212" s="10" t="s">
        <v>11</v>
      </c>
      <c r="I212" s="8" t="s">
        <v>37</v>
      </c>
      <c r="J212" s="8" t="s">
        <v>4</v>
      </c>
      <c r="K212" s="8" t="s">
        <v>4</v>
      </c>
    </row>
    <row r="213" spans="1:11" ht="80.099999999999994" customHeight="1">
      <c r="A213" s="8" t="s">
        <v>2427</v>
      </c>
      <c r="B213" s="9" t="s">
        <v>2428</v>
      </c>
      <c r="C213" s="9" t="s">
        <v>2429</v>
      </c>
      <c r="D213" s="9" t="s">
        <v>2430</v>
      </c>
      <c r="E213" s="9" t="s">
        <v>2431</v>
      </c>
      <c r="F213" s="9" t="s">
        <v>2018</v>
      </c>
      <c r="G213" s="8" t="s">
        <v>36</v>
      </c>
      <c r="H213" s="10" t="s">
        <v>11</v>
      </c>
      <c r="I213" s="8" t="s">
        <v>37</v>
      </c>
      <c r="J213" s="8" t="s">
        <v>4</v>
      </c>
      <c r="K213" s="8" t="s">
        <v>4</v>
      </c>
    </row>
    <row r="214" spans="1:11" ht="80.099999999999994" customHeight="1">
      <c r="A214" s="8" t="s">
        <v>2432</v>
      </c>
      <c r="B214" s="9" t="s">
        <v>2433</v>
      </c>
      <c r="C214" s="9" t="s">
        <v>2434</v>
      </c>
      <c r="D214" s="9" t="s">
        <v>2435</v>
      </c>
      <c r="E214" s="9" t="s">
        <v>2436</v>
      </c>
      <c r="F214" s="9" t="s">
        <v>2018</v>
      </c>
      <c r="G214" s="8" t="s">
        <v>36</v>
      </c>
      <c r="H214" s="10" t="s">
        <v>11</v>
      </c>
      <c r="I214" s="8" t="s">
        <v>37</v>
      </c>
      <c r="J214" s="8" t="s">
        <v>4</v>
      </c>
      <c r="K214" s="8" t="s">
        <v>4</v>
      </c>
    </row>
    <row r="215" spans="1:11" ht="80.099999999999994" customHeight="1">
      <c r="A215" s="8" t="s">
        <v>2437</v>
      </c>
      <c r="B215" s="9" t="s">
        <v>2438</v>
      </c>
      <c r="C215" s="9" t="s">
        <v>2439</v>
      </c>
      <c r="D215" s="9" t="s">
        <v>2440</v>
      </c>
      <c r="E215" s="9" t="s">
        <v>2441</v>
      </c>
      <c r="F215" s="9" t="s">
        <v>2018</v>
      </c>
      <c r="G215" s="8" t="s">
        <v>36</v>
      </c>
      <c r="H215" s="10" t="s">
        <v>11</v>
      </c>
      <c r="I215" s="8" t="s">
        <v>37</v>
      </c>
      <c r="J215" s="8" t="s">
        <v>4</v>
      </c>
      <c r="K215" s="8" t="s">
        <v>4</v>
      </c>
    </row>
    <row r="216" spans="1:11" ht="80.099999999999994" customHeight="1">
      <c r="A216" s="8" t="s">
        <v>2442</v>
      </c>
      <c r="B216" s="9" t="s">
        <v>2443</v>
      </c>
      <c r="C216" s="9" t="s">
        <v>2444</v>
      </c>
      <c r="D216" s="9" t="s">
        <v>2445</v>
      </c>
      <c r="E216" s="9" t="s">
        <v>2446</v>
      </c>
      <c r="F216" s="9" t="s">
        <v>2018</v>
      </c>
      <c r="G216" s="8" t="s">
        <v>36</v>
      </c>
      <c r="H216" s="10" t="s">
        <v>11</v>
      </c>
      <c r="I216" s="8" t="s">
        <v>37</v>
      </c>
      <c r="J216" s="8" t="s">
        <v>4</v>
      </c>
      <c r="K216" s="8" t="s">
        <v>4</v>
      </c>
    </row>
    <row r="217" spans="1:11" ht="80.099999999999994" customHeight="1">
      <c r="A217" s="8" t="s">
        <v>2447</v>
      </c>
      <c r="B217" s="9" t="s">
        <v>2448</v>
      </c>
      <c r="C217" s="9" t="s">
        <v>2449</v>
      </c>
      <c r="D217" s="9" t="s">
        <v>2450</v>
      </c>
      <c r="E217" s="9" t="s">
        <v>2451</v>
      </c>
      <c r="F217" s="9" t="s">
        <v>2018</v>
      </c>
      <c r="G217" s="8" t="s">
        <v>36</v>
      </c>
      <c r="H217" s="10" t="s">
        <v>11</v>
      </c>
      <c r="I217" s="8" t="s">
        <v>37</v>
      </c>
      <c r="J217" s="8" t="s">
        <v>4</v>
      </c>
      <c r="K217" s="8" t="s">
        <v>4</v>
      </c>
    </row>
    <row r="218" spans="1:11" ht="80.099999999999994" customHeight="1">
      <c r="A218" s="8" t="s">
        <v>2452</v>
      </c>
      <c r="B218" s="9" t="s">
        <v>2453</v>
      </c>
      <c r="C218" s="9" t="s">
        <v>2454</v>
      </c>
      <c r="D218" s="9" t="s">
        <v>2455</v>
      </c>
      <c r="E218" s="9" t="s">
        <v>2456</v>
      </c>
      <c r="F218" s="9" t="s">
        <v>2018</v>
      </c>
      <c r="G218" s="8" t="s">
        <v>36</v>
      </c>
      <c r="H218" s="10" t="s">
        <v>11</v>
      </c>
      <c r="I218" s="8" t="s">
        <v>37</v>
      </c>
      <c r="J218" s="8" t="s">
        <v>4</v>
      </c>
      <c r="K218" s="8" t="s">
        <v>4</v>
      </c>
    </row>
    <row r="219" spans="1:11" ht="80.099999999999994" customHeight="1">
      <c r="A219" s="8" t="s">
        <v>2457</v>
      </c>
      <c r="B219" s="9" t="s">
        <v>2458</v>
      </c>
      <c r="C219" s="9" t="s">
        <v>2459</v>
      </c>
      <c r="D219" s="9" t="s">
        <v>2460</v>
      </c>
      <c r="E219" s="9" t="s">
        <v>2461</v>
      </c>
      <c r="F219" s="9" t="s">
        <v>2018</v>
      </c>
      <c r="G219" s="8" t="s">
        <v>36</v>
      </c>
      <c r="H219" s="10" t="s">
        <v>11</v>
      </c>
      <c r="I219" s="8" t="s">
        <v>37</v>
      </c>
      <c r="J219" s="8" t="s">
        <v>4</v>
      </c>
      <c r="K219" s="8" t="s">
        <v>4</v>
      </c>
    </row>
    <row r="220" spans="1:11" ht="15.95" customHeight="1">
      <c r="A220" s="111" t="s">
        <v>2462</v>
      </c>
      <c r="B220" s="118"/>
      <c r="C220" s="118"/>
      <c r="D220" s="118"/>
      <c r="E220" s="118"/>
      <c r="F220" s="118"/>
      <c r="G220" s="118"/>
      <c r="H220" s="118"/>
      <c r="I220" s="118"/>
      <c r="J220" s="118"/>
      <c r="K220" s="118"/>
    </row>
    <row r="221" spans="1:11" ht="80.099999999999994" customHeight="1">
      <c r="A221" s="8" t="s">
        <v>646</v>
      </c>
      <c r="B221" s="9" t="s">
        <v>2463</v>
      </c>
      <c r="C221" s="9" t="s">
        <v>2464</v>
      </c>
      <c r="D221" s="9" t="s">
        <v>2465</v>
      </c>
      <c r="E221" s="9" t="s">
        <v>2466</v>
      </c>
      <c r="F221" s="9" t="s">
        <v>2013</v>
      </c>
      <c r="G221" s="8" t="s">
        <v>36</v>
      </c>
      <c r="H221" s="10" t="s">
        <v>11</v>
      </c>
      <c r="I221" s="8" t="s">
        <v>37</v>
      </c>
      <c r="J221" s="8" t="s">
        <v>4</v>
      </c>
      <c r="K221" s="8" t="s">
        <v>4</v>
      </c>
    </row>
    <row r="222" spans="1:11" ht="80.099999999999994" customHeight="1">
      <c r="A222" s="8" t="s">
        <v>651</v>
      </c>
      <c r="B222" s="9" t="s">
        <v>2467</v>
      </c>
      <c r="C222" s="9" t="s">
        <v>2468</v>
      </c>
      <c r="D222" s="9" t="s">
        <v>2469</v>
      </c>
      <c r="E222" s="9" t="s">
        <v>2470</v>
      </c>
      <c r="F222" s="9" t="s">
        <v>2018</v>
      </c>
      <c r="G222" s="8" t="s">
        <v>36</v>
      </c>
      <c r="H222" s="10" t="s">
        <v>11</v>
      </c>
      <c r="I222" s="8" t="s">
        <v>37</v>
      </c>
      <c r="J222" s="8" t="s">
        <v>4</v>
      </c>
      <c r="K222" s="8" t="s">
        <v>4</v>
      </c>
    </row>
    <row r="223" spans="1:11" ht="80.099999999999994" customHeight="1">
      <c r="A223" s="8" t="s">
        <v>656</v>
      </c>
      <c r="B223" s="9" t="s">
        <v>2471</v>
      </c>
      <c r="C223" s="9" t="s">
        <v>2472</v>
      </c>
      <c r="D223" s="9" t="s">
        <v>2473</v>
      </c>
      <c r="E223" s="9" t="s">
        <v>2474</v>
      </c>
      <c r="F223" s="9" t="s">
        <v>2018</v>
      </c>
      <c r="G223" s="8" t="s">
        <v>36</v>
      </c>
      <c r="H223" s="10" t="s">
        <v>11</v>
      </c>
      <c r="I223" s="8" t="s">
        <v>37</v>
      </c>
      <c r="J223" s="8" t="s">
        <v>4</v>
      </c>
      <c r="K223" s="8" t="s">
        <v>4</v>
      </c>
    </row>
    <row r="224" spans="1:11" ht="80.099999999999994" customHeight="1">
      <c r="A224" s="8" t="s">
        <v>661</v>
      </c>
      <c r="B224" s="9" t="s">
        <v>2475</v>
      </c>
      <c r="C224" s="9" t="s">
        <v>2476</v>
      </c>
      <c r="D224" s="9" t="s">
        <v>2477</v>
      </c>
      <c r="E224" s="9" t="s">
        <v>2478</v>
      </c>
      <c r="F224" s="9" t="s">
        <v>2018</v>
      </c>
      <c r="G224" s="8" t="s">
        <v>36</v>
      </c>
      <c r="H224" s="10" t="s">
        <v>11</v>
      </c>
      <c r="I224" s="8" t="s">
        <v>37</v>
      </c>
      <c r="J224" s="8" t="s">
        <v>4</v>
      </c>
      <c r="K224" s="8" t="s">
        <v>4</v>
      </c>
    </row>
    <row r="225" spans="1:11" ht="80.099999999999994" customHeight="1">
      <c r="A225" s="8" t="s">
        <v>666</v>
      </c>
      <c r="B225" s="9" t="s">
        <v>2479</v>
      </c>
      <c r="C225" s="9" t="s">
        <v>2480</v>
      </c>
      <c r="D225" s="9" t="s">
        <v>2481</v>
      </c>
      <c r="E225" s="9" t="s">
        <v>2482</v>
      </c>
      <c r="F225" s="9" t="s">
        <v>2018</v>
      </c>
      <c r="G225" s="8" t="s">
        <v>36</v>
      </c>
      <c r="H225" s="10" t="s">
        <v>11</v>
      </c>
      <c r="I225" s="8" t="s">
        <v>37</v>
      </c>
      <c r="J225" s="8" t="s">
        <v>4</v>
      </c>
      <c r="K225" s="8" t="s">
        <v>4</v>
      </c>
    </row>
    <row r="226" spans="1:11" ht="80.099999999999994" customHeight="1">
      <c r="A226" s="8" t="s">
        <v>671</v>
      </c>
      <c r="B226" s="9" t="s">
        <v>2483</v>
      </c>
      <c r="C226" s="9" t="s">
        <v>2484</v>
      </c>
      <c r="D226" s="9" t="s">
        <v>2485</v>
      </c>
      <c r="E226" s="9" t="s">
        <v>2486</v>
      </c>
      <c r="F226" s="9" t="s">
        <v>2018</v>
      </c>
      <c r="G226" s="8" t="s">
        <v>36</v>
      </c>
      <c r="H226" s="10" t="s">
        <v>11</v>
      </c>
      <c r="I226" s="8" t="s">
        <v>37</v>
      </c>
      <c r="J226" s="8" t="s">
        <v>4</v>
      </c>
      <c r="K226" s="8" t="s">
        <v>4</v>
      </c>
    </row>
    <row r="227" spans="1:11" ht="80.099999999999994" customHeight="1">
      <c r="A227" s="8" t="s">
        <v>676</v>
      </c>
      <c r="B227" s="9" t="s">
        <v>2487</v>
      </c>
      <c r="C227" s="9" t="s">
        <v>2488</v>
      </c>
      <c r="D227" s="9" t="s">
        <v>2489</v>
      </c>
      <c r="E227" s="9" t="s">
        <v>2490</v>
      </c>
      <c r="F227" s="9" t="s">
        <v>2018</v>
      </c>
      <c r="G227" s="8" t="s">
        <v>36</v>
      </c>
      <c r="H227" s="10" t="s">
        <v>11</v>
      </c>
      <c r="I227" s="8" t="s">
        <v>37</v>
      </c>
      <c r="J227" s="8" t="s">
        <v>4</v>
      </c>
      <c r="K227" s="8" t="s">
        <v>4</v>
      </c>
    </row>
    <row r="228" spans="1:11" ht="80.099999999999994" customHeight="1">
      <c r="A228" s="8" t="s">
        <v>681</v>
      </c>
      <c r="B228" s="9" t="s">
        <v>2491</v>
      </c>
      <c r="C228" s="9" t="s">
        <v>2492</v>
      </c>
      <c r="D228" s="9" t="s">
        <v>2493</v>
      </c>
      <c r="E228" s="9" t="s">
        <v>2494</v>
      </c>
      <c r="F228" s="9" t="s">
        <v>2018</v>
      </c>
      <c r="G228" s="8" t="s">
        <v>36</v>
      </c>
      <c r="H228" s="10" t="s">
        <v>11</v>
      </c>
      <c r="I228" s="8" t="s">
        <v>37</v>
      </c>
      <c r="J228" s="8" t="s">
        <v>4</v>
      </c>
      <c r="K228" s="8" t="s">
        <v>4</v>
      </c>
    </row>
    <row r="229" spans="1:11" ht="80.099999999999994" customHeight="1">
      <c r="A229" s="8" t="s">
        <v>686</v>
      </c>
      <c r="B229" s="9" t="s">
        <v>2495</v>
      </c>
      <c r="C229" s="9" t="s">
        <v>2496</v>
      </c>
      <c r="D229" s="9" t="s">
        <v>2497</v>
      </c>
      <c r="E229" s="9" t="s">
        <v>2498</v>
      </c>
      <c r="F229" s="9" t="s">
        <v>2018</v>
      </c>
      <c r="G229" s="8" t="s">
        <v>36</v>
      </c>
      <c r="H229" s="10" t="s">
        <v>11</v>
      </c>
      <c r="I229" s="8" t="s">
        <v>37</v>
      </c>
      <c r="J229" s="8" t="s">
        <v>4</v>
      </c>
      <c r="K229" s="8" t="s">
        <v>4</v>
      </c>
    </row>
    <row r="230" spans="1:11" ht="80.099999999999994" customHeight="1">
      <c r="A230" s="8" t="s">
        <v>691</v>
      </c>
      <c r="B230" s="9" t="s">
        <v>2499</v>
      </c>
      <c r="C230" s="9" t="s">
        <v>2500</v>
      </c>
      <c r="D230" s="9" t="s">
        <v>2501</v>
      </c>
      <c r="E230" s="9" t="s">
        <v>2502</v>
      </c>
      <c r="F230" s="9" t="s">
        <v>2018</v>
      </c>
      <c r="G230" s="8" t="s">
        <v>36</v>
      </c>
      <c r="H230" s="10" t="s">
        <v>11</v>
      </c>
      <c r="I230" s="8" t="s">
        <v>37</v>
      </c>
      <c r="J230" s="8" t="s">
        <v>4</v>
      </c>
      <c r="K230" s="8" t="s">
        <v>4</v>
      </c>
    </row>
    <row r="231" spans="1:11" ht="80.099999999999994" customHeight="1">
      <c r="A231" s="8" t="s">
        <v>696</v>
      </c>
      <c r="B231" s="9" t="s">
        <v>2503</v>
      </c>
      <c r="C231" s="9" t="s">
        <v>2504</v>
      </c>
      <c r="D231" s="9" t="s">
        <v>2505</v>
      </c>
      <c r="E231" s="9" t="s">
        <v>2506</v>
      </c>
      <c r="F231" s="9" t="s">
        <v>2018</v>
      </c>
      <c r="G231" s="8" t="s">
        <v>36</v>
      </c>
      <c r="H231" s="10" t="s">
        <v>11</v>
      </c>
      <c r="I231" s="8" t="s">
        <v>37</v>
      </c>
      <c r="J231" s="8" t="s">
        <v>4</v>
      </c>
      <c r="K231" s="8" t="s">
        <v>4</v>
      </c>
    </row>
    <row r="232" spans="1:11" ht="80.099999999999994" customHeight="1">
      <c r="A232" s="8" t="s">
        <v>701</v>
      </c>
      <c r="B232" s="9" t="s">
        <v>2507</v>
      </c>
      <c r="C232" s="9" t="s">
        <v>2508</v>
      </c>
      <c r="D232" s="9" t="s">
        <v>2509</v>
      </c>
      <c r="E232" s="9" t="s">
        <v>2510</v>
      </c>
      <c r="F232" s="9" t="s">
        <v>2018</v>
      </c>
      <c r="G232" s="8" t="s">
        <v>36</v>
      </c>
      <c r="H232" s="10" t="s">
        <v>11</v>
      </c>
      <c r="I232" s="8" t="s">
        <v>37</v>
      </c>
      <c r="J232" s="8" t="s">
        <v>4</v>
      </c>
      <c r="K232" s="8" t="s">
        <v>4</v>
      </c>
    </row>
    <row r="233" spans="1:11" ht="80.099999999999994" customHeight="1">
      <c r="A233" s="8" t="s">
        <v>706</v>
      </c>
      <c r="B233" s="9" t="s">
        <v>2511</v>
      </c>
      <c r="C233" s="9" t="s">
        <v>2512</v>
      </c>
      <c r="D233" s="9" t="s">
        <v>2513</v>
      </c>
      <c r="E233" s="9" t="s">
        <v>2514</v>
      </c>
      <c r="F233" s="9" t="s">
        <v>2018</v>
      </c>
      <c r="G233" s="8" t="s">
        <v>36</v>
      </c>
      <c r="H233" s="10" t="s">
        <v>11</v>
      </c>
      <c r="I233" s="8" t="s">
        <v>37</v>
      </c>
      <c r="J233" s="8" t="s">
        <v>4</v>
      </c>
      <c r="K233" s="8" t="s">
        <v>4</v>
      </c>
    </row>
    <row r="234" spans="1:11" ht="80.099999999999994" customHeight="1">
      <c r="A234" s="8" t="s">
        <v>2515</v>
      </c>
      <c r="B234" s="9" t="s">
        <v>2516</v>
      </c>
      <c r="C234" s="9" t="s">
        <v>2517</v>
      </c>
      <c r="D234" s="9" t="s">
        <v>2518</v>
      </c>
      <c r="E234" s="9" t="s">
        <v>2519</v>
      </c>
      <c r="F234" s="9" t="s">
        <v>2018</v>
      </c>
      <c r="G234" s="8" t="s">
        <v>36</v>
      </c>
      <c r="H234" s="10" t="s">
        <v>11</v>
      </c>
      <c r="I234" s="8" t="s">
        <v>37</v>
      </c>
      <c r="J234" s="8" t="s">
        <v>4</v>
      </c>
      <c r="K234" s="8" t="s">
        <v>4</v>
      </c>
    </row>
    <row r="235" spans="1:11" ht="80.099999999999994" customHeight="1">
      <c r="A235" s="8" t="s">
        <v>2520</v>
      </c>
      <c r="B235" s="9" t="s">
        <v>2521</v>
      </c>
      <c r="C235" s="9" t="s">
        <v>2522</v>
      </c>
      <c r="D235" s="9" t="s">
        <v>2523</v>
      </c>
      <c r="E235" s="9" t="s">
        <v>2524</v>
      </c>
      <c r="F235" s="9" t="s">
        <v>2018</v>
      </c>
      <c r="G235" s="8" t="s">
        <v>36</v>
      </c>
      <c r="H235" s="10" t="s">
        <v>11</v>
      </c>
      <c r="I235" s="8" t="s">
        <v>37</v>
      </c>
      <c r="J235" s="8" t="s">
        <v>4</v>
      </c>
      <c r="K235" s="8" t="s">
        <v>4</v>
      </c>
    </row>
    <row r="236" spans="1:11" ht="80.099999999999994" customHeight="1">
      <c r="A236" s="8" t="s">
        <v>2525</v>
      </c>
      <c r="B236" s="9" t="s">
        <v>2526</v>
      </c>
      <c r="C236" s="9" t="s">
        <v>2527</v>
      </c>
      <c r="D236" s="9" t="s">
        <v>2528</v>
      </c>
      <c r="E236" s="9" t="s">
        <v>2529</v>
      </c>
      <c r="F236" s="9" t="s">
        <v>2018</v>
      </c>
      <c r="G236" s="8" t="s">
        <v>36</v>
      </c>
      <c r="H236" s="10" t="s">
        <v>11</v>
      </c>
      <c r="I236" s="8" t="s">
        <v>37</v>
      </c>
      <c r="J236" s="8" t="s">
        <v>4</v>
      </c>
      <c r="K236" s="8" t="s">
        <v>4</v>
      </c>
    </row>
    <row r="237" spans="1:11" ht="80.099999999999994" customHeight="1">
      <c r="A237" s="8" t="s">
        <v>2530</v>
      </c>
      <c r="B237" s="9" t="s">
        <v>2531</v>
      </c>
      <c r="C237" s="9" t="s">
        <v>2532</v>
      </c>
      <c r="D237" s="9" t="s">
        <v>2533</v>
      </c>
      <c r="E237" s="9" t="s">
        <v>2534</v>
      </c>
      <c r="F237" s="9" t="s">
        <v>2018</v>
      </c>
      <c r="G237" s="8" t="s">
        <v>36</v>
      </c>
      <c r="H237" s="10" t="s">
        <v>11</v>
      </c>
      <c r="I237" s="8" t="s">
        <v>37</v>
      </c>
      <c r="J237" s="8" t="s">
        <v>4</v>
      </c>
      <c r="K237" s="8" t="s">
        <v>4</v>
      </c>
    </row>
    <row r="238" spans="1:11" ht="80.099999999999994" customHeight="1">
      <c r="A238" s="8" t="s">
        <v>2535</v>
      </c>
      <c r="B238" s="9" t="s">
        <v>2536</v>
      </c>
      <c r="C238" s="9" t="s">
        <v>2537</v>
      </c>
      <c r="D238" s="9" t="s">
        <v>2538</v>
      </c>
      <c r="E238" s="9" t="s">
        <v>2539</v>
      </c>
      <c r="F238" s="9" t="s">
        <v>2018</v>
      </c>
      <c r="G238" s="8" t="s">
        <v>36</v>
      </c>
      <c r="H238" s="10" t="s">
        <v>11</v>
      </c>
      <c r="I238" s="8" t="s">
        <v>37</v>
      </c>
      <c r="J238" s="8" t="s">
        <v>4</v>
      </c>
      <c r="K238" s="8" t="s">
        <v>4</v>
      </c>
    </row>
    <row r="239" spans="1:11" ht="80.099999999999994" customHeight="1">
      <c r="A239" s="8" t="s">
        <v>2540</v>
      </c>
      <c r="B239" s="9" t="s">
        <v>2541</v>
      </c>
      <c r="C239" s="9" t="s">
        <v>2542</v>
      </c>
      <c r="D239" s="9" t="s">
        <v>2543</v>
      </c>
      <c r="E239" s="9" t="s">
        <v>2544</v>
      </c>
      <c r="F239" s="9" t="s">
        <v>2018</v>
      </c>
      <c r="G239" s="8" t="s">
        <v>36</v>
      </c>
      <c r="H239" s="10" t="s">
        <v>11</v>
      </c>
      <c r="I239" s="8" t="s">
        <v>37</v>
      </c>
      <c r="J239" s="8" t="s">
        <v>4</v>
      </c>
      <c r="K239" s="8" t="s">
        <v>4</v>
      </c>
    </row>
    <row r="240" spans="1:11" ht="80.099999999999994" customHeight="1">
      <c r="A240" s="8" t="s">
        <v>2545</v>
      </c>
      <c r="B240" s="9" t="s">
        <v>2546</v>
      </c>
      <c r="C240" s="9" t="s">
        <v>2547</v>
      </c>
      <c r="D240" s="9" t="s">
        <v>2548</v>
      </c>
      <c r="E240" s="9" t="s">
        <v>2549</v>
      </c>
      <c r="F240" s="9" t="s">
        <v>2018</v>
      </c>
      <c r="G240" s="8" t="s">
        <v>36</v>
      </c>
      <c r="H240" s="10" t="s">
        <v>11</v>
      </c>
      <c r="I240" s="8" t="s">
        <v>37</v>
      </c>
      <c r="J240" s="8" t="s">
        <v>4</v>
      </c>
      <c r="K240" s="8" t="s">
        <v>4</v>
      </c>
    </row>
    <row r="241" spans="1:11" ht="80.099999999999994" customHeight="1">
      <c r="A241" s="8" t="s">
        <v>2550</v>
      </c>
      <c r="B241" s="9" t="s">
        <v>2551</v>
      </c>
      <c r="C241" s="9" t="s">
        <v>2552</v>
      </c>
      <c r="D241" s="9" t="s">
        <v>2553</v>
      </c>
      <c r="E241" s="9" t="s">
        <v>2554</v>
      </c>
      <c r="F241" s="9" t="s">
        <v>2018</v>
      </c>
      <c r="G241" s="8" t="s">
        <v>36</v>
      </c>
      <c r="H241" s="10" t="s">
        <v>11</v>
      </c>
      <c r="I241" s="8" t="s">
        <v>37</v>
      </c>
      <c r="J241" s="8" t="s">
        <v>4</v>
      </c>
      <c r="K241" s="8" t="s">
        <v>4</v>
      </c>
    </row>
    <row r="242" spans="1:11" ht="80.099999999999994" customHeight="1">
      <c r="A242" s="8" t="s">
        <v>2555</v>
      </c>
      <c r="B242" s="9" t="s">
        <v>2556</v>
      </c>
      <c r="C242" s="9" t="s">
        <v>2557</v>
      </c>
      <c r="D242" s="9" t="s">
        <v>2558</v>
      </c>
      <c r="E242" s="9" t="s">
        <v>2559</v>
      </c>
      <c r="F242" s="9" t="s">
        <v>2018</v>
      </c>
      <c r="G242" s="8" t="s">
        <v>36</v>
      </c>
      <c r="H242" s="10" t="s">
        <v>11</v>
      </c>
      <c r="I242" s="8" t="s">
        <v>37</v>
      </c>
      <c r="J242" s="8" t="s">
        <v>4</v>
      </c>
      <c r="K242" s="8" t="s">
        <v>4</v>
      </c>
    </row>
    <row r="243" spans="1:11" ht="80.099999999999994" customHeight="1">
      <c r="A243" s="8" t="s">
        <v>2560</v>
      </c>
      <c r="B243" s="9" t="s">
        <v>2561</v>
      </c>
      <c r="C243" s="9" t="s">
        <v>2562</v>
      </c>
      <c r="D243" s="9" t="s">
        <v>2563</v>
      </c>
      <c r="E243" s="9" t="s">
        <v>2564</v>
      </c>
      <c r="F243" s="9" t="s">
        <v>2018</v>
      </c>
      <c r="G243" s="8" t="s">
        <v>36</v>
      </c>
      <c r="H243" s="10" t="s">
        <v>11</v>
      </c>
      <c r="I243" s="8" t="s">
        <v>37</v>
      </c>
      <c r="J243" s="8" t="s">
        <v>4</v>
      </c>
      <c r="K243" s="8" t="s">
        <v>4</v>
      </c>
    </row>
    <row r="244" spans="1:11" ht="80.099999999999994" customHeight="1">
      <c r="A244" s="8" t="s">
        <v>2565</v>
      </c>
      <c r="B244" s="9" t="s">
        <v>2566</v>
      </c>
      <c r="C244" s="9" t="s">
        <v>2567</v>
      </c>
      <c r="D244" s="9" t="s">
        <v>2568</v>
      </c>
      <c r="E244" s="9" t="s">
        <v>2569</v>
      </c>
      <c r="F244" s="9" t="s">
        <v>2018</v>
      </c>
      <c r="G244" s="8" t="s">
        <v>36</v>
      </c>
      <c r="H244" s="10" t="s">
        <v>11</v>
      </c>
      <c r="I244" s="8" t="s">
        <v>37</v>
      </c>
      <c r="J244" s="8" t="s">
        <v>4</v>
      </c>
      <c r="K244" s="8" t="s">
        <v>4</v>
      </c>
    </row>
    <row r="245" spans="1:11" ht="80.099999999999994" customHeight="1">
      <c r="A245" s="8" t="s">
        <v>2570</v>
      </c>
      <c r="B245" s="9" t="s">
        <v>2571</v>
      </c>
      <c r="C245" s="9" t="s">
        <v>2572</v>
      </c>
      <c r="D245" s="9" t="s">
        <v>2573</v>
      </c>
      <c r="E245" s="9" t="s">
        <v>2574</v>
      </c>
      <c r="F245" s="9" t="s">
        <v>2018</v>
      </c>
      <c r="G245" s="8" t="s">
        <v>36</v>
      </c>
      <c r="H245" s="10" t="s">
        <v>11</v>
      </c>
      <c r="I245" s="8" t="s">
        <v>37</v>
      </c>
      <c r="J245" s="8" t="s">
        <v>4</v>
      </c>
      <c r="K245" s="8" t="s">
        <v>4</v>
      </c>
    </row>
    <row r="246" spans="1:11" ht="80.099999999999994" customHeight="1">
      <c r="A246" s="8" t="s">
        <v>2575</v>
      </c>
      <c r="B246" s="9" t="s">
        <v>2576</v>
      </c>
      <c r="C246" s="9" t="s">
        <v>2577</v>
      </c>
      <c r="D246" s="9" t="s">
        <v>2578</v>
      </c>
      <c r="E246" s="9" t="s">
        <v>2579</v>
      </c>
      <c r="F246" s="9" t="s">
        <v>2018</v>
      </c>
      <c r="G246" s="8" t="s">
        <v>36</v>
      </c>
      <c r="H246" s="10" t="s">
        <v>11</v>
      </c>
      <c r="I246" s="8" t="s">
        <v>37</v>
      </c>
      <c r="J246" s="8" t="s">
        <v>4</v>
      </c>
      <c r="K246" s="8" t="s">
        <v>4</v>
      </c>
    </row>
    <row r="247" spans="1:11" ht="80.099999999999994" customHeight="1">
      <c r="A247" s="8" t="s">
        <v>2580</v>
      </c>
      <c r="B247" s="9" t="s">
        <v>2581</v>
      </c>
      <c r="C247" s="9" t="s">
        <v>2582</v>
      </c>
      <c r="D247" s="9" t="s">
        <v>2583</v>
      </c>
      <c r="E247" s="9" t="s">
        <v>2584</v>
      </c>
      <c r="F247" s="9" t="s">
        <v>2018</v>
      </c>
      <c r="G247" s="8" t="s">
        <v>36</v>
      </c>
      <c r="H247" s="10" t="s">
        <v>11</v>
      </c>
      <c r="I247" s="8" t="s">
        <v>37</v>
      </c>
      <c r="J247" s="8" t="s">
        <v>4</v>
      </c>
      <c r="K247" s="8" t="s">
        <v>4</v>
      </c>
    </row>
    <row r="248" spans="1:11" ht="80.099999999999994" customHeight="1">
      <c r="A248" s="8" t="s">
        <v>2585</v>
      </c>
      <c r="B248" s="9" t="s">
        <v>2586</v>
      </c>
      <c r="C248" s="9" t="s">
        <v>2587</v>
      </c>
      <c r="D248" s="9" t="s">
        <v>2588</v>
      </c>
      <c r="E248" s="9" t="s">
        <v>2589</v>
      </c>
      <c r="F248" s="9" t="s">
        <v>2018</v>
      </c>
      <c r="G248" s="8" t="s">
        <v>36</v>
      </c>
      <c r="H248" s="10" t="s">
        <v>11</v>
      </c>
      <c r="I248" s="8" t="s">
        <v>37</v>
      </c>
      <c r="J248" s="8" t="s">
        <v>4</v>
      </c>
      <c r="K248" s="8" t="s">
        <v>4</v>
      </c>
    </row>
    <row r="249" spans="1:11" ht="15.95" customHeight="1">
      <c r="A249" s="111" t="s">
        <v>2590</v>
      </c>
      <c r="B249" s="118"/>
      <c r="C249" s="118"/>
      <c r="D249" s="118"/>
      <c r="E249" s="118"/>
      <c r="F249" s="118"/>
      <c r="G249" s="118"/>
      <c r="H249" s="118"/>
      <c r="I249" s="118"/>
      <c r="J249" s="118"/>
      <c r="K249" s="118"/>
    </row>
    <row r="250" spans="1:11" ht="80.099999999999994" customHeight="1">
      <c r="A250" s="8" t="s">
        <v>712</v>
      </c>
      <c r="B250" s="9" t="s">
        <v>2591</v>
      </c>
      <c r="C250" s="9" t="s">
        <v>2592</v>
      </c>
      <c r="D250" s="9" t="s">
        <v>2593</v>
      </c>
      <c r="E250" s="9" t="s">
        <v>2594</v>
      </c>
      <c r="F250" s="9" t="s">
        <v>2013</v>
      </c>
      <c r="G250" s="8" t="s">
        <v>36</v>
      </c>
      <c r="H250" s="10" t="s">
        <v>11</v>
      </c>
      <c r="I250" s="8" t="s">
        <v>37</v>
      </c>
      <c r="J250" s="8" t="s">
        <v>4</v>
      </c>
      <c r="K250" s="8" t="s">
        <v>4</v>
      </c>
    </row>
    <row r="251" spans="1:11" ht="80.099999999999994" customHeight="1">
      <c r="A251" s="8" t="s">
        <v>717</v>
      </c>
      <c r="B251" s="9" t="s">
        <v>2595</v>
      </c>
      <c r="C251" s="9" t="s">
        <v>2596</v>
      </c>
      <c r="D251" s="9" t="s">
        <v>2597</v>
      </c>
      <c r="E251" s="9" t="s">
        <v>2598</v>
      </c>
      <c r="F251" s="9" t="s">
        <v>2018</v>
      </c>
      <c r="G251" s="8" t="s">
        <v>36</v>
      </c>
      <c r="H251" s="10" t="s">
        <v>11</v>
      </c>
      <c r="I251" s="8" t="s">
        <v>37</v>
      </c>
      <c r="J251" s="8" t="s">
        <v>4</v>
      </c>
      <c r="K251" s="8" t="s">
        <v>4</v>
      </c>
    </row>
    <row r="252" spans="1:11" ht="80.099999999999994" customHeight="1">
      <c r="A252" s="8" t="s">
        <v>722</v>
      </c>
      <c r="B252" s="9" t="s">
        <v>2599</v>
      </c>
      <c r="C252" s="9" t="s">
        <v>2600</v>
      </c>
      <c r="D252" s="9" t="s">
        <v>2601</v>
      </c>
      <c r="E252" s="9" t="s">
        <v>2602</v>
      </c>
      <c r="F252" s="9" t="s">
        <v>2018</v>
      </c>
      <c r="G252" s="8" t="s">
        <v>36</v>
      </c>
      <c r="H252" s="10" t="s">
        <v>11</v>
      </c>
      <c r="I252" s="8" t="s">
        <v>37</v>
      </c>
      <c r="J252" s="8" t="s">
        <v>4</v>
      </c>
      <c r="K252" s="8" t="s">
        <v>4</v>
      </c>
    </row>
    <row r="253" spans="1:11" ht="80.099999999999994" customHeight="1">
      <c r="A253" s="8" t="s">
        <v>2603</v>
      </c>
      <c r="B253" s="9" t="s">
        <v>2604</v>
      </c>
      <c r="C253" s="9" t="s">
        <v>2605</v>
      </c>
      <c r="D253" s="9" t="s">
        <v>2606</v>
      </c>
      <c r="E253" s="9" t="s">
        <v>2607</v>
      </c>
      <c r="F253" s="9" t="s">
        <v>2018</v>
      </c>
      <c r="G253" s="8" t="s">
        <v>36</v>
      </c>
      <c r="H253" s="10" t="s">
        <v>11</v>
      </c>
      <c r="I253" s="8" t="s">
        <v>37</v>
      </c>
      <c r="J253" s="8" t="s">
        <v>4</v>
      </c>
      <c r="K253" s="8" t="s">
        <v>4</v>
      </c>
    </row>
    <row r="254" spans="1:11" ht="80.099999999999994" customHeight="1">
      <c r="A254" s="8" t="s">
        <v>2608</v>
      </c>
      <c r="B254" s="9" t="s">
        <v>2609</v>
      </c>
      <c r="C254" s="9" t="s">
        <v>2610</v>
      </c>
      <c r="D254" s="9" t="s">
        <v>2611</v>
      </c>
      <c r="E254" s="9" t="s">
        <v>2612</v>
      </c>
      <c r="F254" s="9" t="s">
        <v>2018</v>
      </c>
      <c r="G254" s="8" t="s">
        <v>36</v>
      </c>
      <c r="H254" s="10" t="s">
        <v>11</v>
      </c>
      <c r="I254" s="8" t="s">
        <v>37</v>
      </c>
      <c r="J254" s="8" t="s">
        <v>4</v>
      </c>
      <c r="K254" s="8" t="s">
        <v>4</v>
      </c>
    </row>
    <row r="255" spans="1:11" ht="80.099999999999994" customHeight="1">
      <c r="A255" s="8" t="s">
        <v>2613</v>
      </c>
      <c r="B255" s="9" t="s">
        <v>2614</v>
      </c>
      <c r="C255" s="9" t="s">
        <v>2615</v>
      </c>
      <c r="D255" s="9" t="s">
        <v>2616</v>
      </c>
      <c r="E255" s="9" t="s">
        <v>2617</v>
      </c>
      <c r="F255" s="9" t="s">
        <v>2018</v>
      </c>
      <c r="G255" s="8" t="s">
        <v>36</v>
      </c>
      <c r="H255" s="10" t="s">
        <v>11</v>
      </c>
      <c r="I255" s="8" t="s">
        <v>37</v>
      </c>
      <c r="J255" s="8" t="s">
        <v>4</v>
      </c>
      <c r="K255" s="8" t="s">
        <v>4</v>
      </c>
    </row>
    <row r="256" spans="1:11" ht="80.099999999999994" customHeight="1">
      <c r="A256" s="8" t="s">
        <v>2618</v>
      </c>
      <c r="B256" s="9" t="s">
        <v>2619</v>
      </c>
      <c r="C256" s="9" t="s">
        <v>2620</v>
      </c>
      <c r="D256" s="9" t="s">
        <v>2621</v>
      </c>
      <c r="E256" s="9" t="s">
        <v>2622</v>
      </c>
      <c r="F256" s="9" t="s">
        <v>2018</v>
      </c>
      <c r="G256" s="8" t="s">
        <v>36</v>
      </c>
      <c r="H256" s="10" t="s">
        <v>11</v>
      </c>
      <c r="I256" s="8" t="s">
        <v>37</v>
      </c>
      <c r="J256" s="8" t="s">
        <v>4</v>
      </c>
      <c r="K256" s="8" t="s">
        <v>4</v>
      </c>
    </row>
    <row r="257" spans="1:11" ht="80.099999999999994" customHeight="1">
      <c r="A257" s="8" t="s">
        <v>2623</v>
      </c>
      <c r="B257" s="9" t="s">
        <v>2624</v>
      </c>
      <c r="C257" s="9" t="s">
        <v>2625</v>
      </c>
      <c r="D257" s="9" t="s">
        <v>2626</v>
      </c>
      <c r="E257" s="9" t="s">
        <v>2627</v>
      </c>
      <c r="F257" s="9" t="s">
        <v>2018</v>
      </c>
      <c r="G257" s="8" t="s">
        <v>36</v>
      </c>
      <c r="H257" s="10" t="s">
        <v>11</v>
      </c>
      <c r="I257" s="8" t="s">
        <v>37</v>
      </c>
      <c r="J257" s="8" t="s">
        <v>4</v>
      </c>
      <c r="K257" s="8" t="s">
        <v>4</v>
      </c>
    </row>
    <row r="258" spans="1:11" ht="15.95" customHeight="1">
      <c r="A258" s="111" t="s">
        <v>2628</v>
      </c>
      <c r="B258" s="118"/>
      <c r="C258" s="118"/>
      <c r="D258" s="118"/>
      <c r="E258" s="118"/>
      <c r="F258" s="118"/>
      <c r="G258" s="118"/>
      <c r="H258" s="118"/>
      <c r="I258" s="118"/>
      <c r="J258" s="118"/>
      <c r="K258" s="118"/>
    </row>
    <row r="259" spans="1:11" ht="80.099999999999994" customHeight="1">
      <c r="A259" s="8" t="s">
        <v>728</v>
      </c>
      <c r="B259" s="9" t="s">
        <v>2629</v>
      </c>
      <c r="C259" s="9" t="s">
        <v>2630</v>
      </c>
      <c r="D259" s="9" t="s">
        <v>2631</v>
      </c>
      <c r="E259" s="9" t="s">
        <v>2632</v>
      </c>
      <c r="F259" s="9" t="s">
        <v>2013</v>
      </c>
      <c r="G259" s="8" t="s">
        <v>36</v>
      </c>
      <c r="H259" s="10" t="s">
        <v>11</v>
      </c>
      <c r="I259" s="8" t="s">
        <v>37</v>
      </c>
      <c r="J259" s="8" t="s">
        <v>4</v>
      </c>
      <c r="K259" s="8" t="s">
        <v>4</v>
      </c>
    </row>
    <row r="260" spans="1:11" ht="80.099999999999994" customHeight="1">
      <c r="A260" s="8" t="s">
        <v>733</v>
      </c>
      <c r="B260" s="9" t="s">
        <v>2633</v>
      </c>
      <c r="C260" s="9" t="s">
        <v>2634</v>
      </c>
      <c r="D260" s="9" t="s">
        <v>2635</v>
      </c>
      <c r="E260" s="9" t="s">
        <v>2636</v>
      </c>
      <c r="F260" s="9" t="s">
        <v>2018</v>
      </c>
      <c r="G260" s="8" t="s">
        <v>36</v>
      </c>
      <c r="H260" s="10" t="s">
        <v>11</v>
      </c>
      <c r="I260" s="8" t="s">
        <v>37</v>
      </c>
      <c r="J260" s="8" t="s">
        <v>4</v>
      </c>
      <c r="K260" s="8" t="s">
        <v>4</v>
      </c>
    </row>
    <row r="261" spans="1:11" ht="80.099999999999994" customHeight="1">
      <c r="A261" s="8" t="s">
        <v>738</v>
      </c>
      <c r="B261" s="9" t="s">
        <v>2637</v>
      </c>
      <c r="C261" s="9" t="s">
        <v>2638</v>
      </c>
      <c r="D261" s="9" t="s">
        <v>2639</v>
      </c>
      <c r="E261" s="9" t="s">
        <v>2640</v>
      </c>
      <c r="F261" s="9" t="s">
        <v>2018</v>
      </c>
      <c r="G261" s="8" t="s">
        <v>36</v>
      </c>
      <c r="H261" s="10" t="s">
        <v>11</v>
      </c>
      <c r="I261" s="8" t="s">
        <v>37</v>
      </c>
      <c r="J261" s="8" t="s">
        <v>4</v>
      </c>
      <c r="K261" s="8" t="s">
        <v>4</v>
      </c>
    </row>
    <row r="262" spans="1:11" ht="80.099999999999994" customHeight="1">
      <c r="A262" s="8" t="s">
        <v>743</v>
      </c>
      <c r="B262" s="9" t="s">
        <v>2641</v>
      </c>
      <c r="C262" s="9" t="s">
        <v>2642</v>
      </c>
      <c r="D262" s="9" t="s">
        <v>2643</v>
      </c>
      <c r="E262" s="9" t="s">
        <v>2644</v>
      </c>
      <c r="F262" s="9" t="s">
        <v>2018</v>
      </c>
      <c r="G262" s="8" t="s">
        <v>36</v>
      </c>
      <c r="H262" s="10" t="s">
        <v>11</v>
      </c>
      <c r="I262" s="8" t="s">
        <v>37</v>
      </c>
      <c r="J262" s="8" t="s">
        <v>4</v>
      </c>
      <c r="K262" s="8" t="s">
        <v>4</v>
      </c>
    </row>
    <row r="263" spans="1:11" ht="80.099999999999994" customHeight="1">
      <c r="A263" s="8" t="s">
        <v>748</v>
      </c>
      <c r="B263" s="9" t="s">
        <v>2645</v>
      </c>
      <c r="C263" s="9" t="s">
        <v>2646</v>
      </c>
      <c r="D263" s="9" t="s">
        <v>2647</v>
      </c>
      <c r="E263" s="9" t="s">
        <v>2648</v>
      </c>
      <c r="F263" s="9" t="s">
        <v>2018</v>
      </c>
      <c r="G263" s="8" t="s">
        <v>36</v>
      </c>
      <c r="H263" s="10" t="s">
        <v>11</v>
      </c>
      <c r="I263" s="8" t="s">
        <v>37</v>
      </c>
      <c r="J263" s="8" t="s">
        <v>4</v>
      </c>
      <c r="K263" s="8" t="s">
        <v>4</v>
      </c>
    </row>
    <row r="264" spans="1:11" ht="80.099999999999994" customHeight="1">
      <c r="A264" s="8" t="s">
        <v>753</v>
      </c>
      <c r="B264" s="9" t="s">
        <v>2649</v>
      </c>
      <c r="C264" s="9" t="s">
        <v>2650</v>
      </c>
      <c r="D264" s="9" t="s">
        <v>2651</v>
      </c>
      <c r="E264" s="9" t="s">
        <v>2652</v>
      </c>
      <c r="F264" s="9" t="s">
        <v>2018</v>
      </c>
      <c r="G264" s="8" t="s">
        <v>36</v>
      </c>
      <c r="H264" s="10" t="s">
        <v>11</v>
      </c>
      <c r="I264" s="8" t="s">
        <v>37</v>
      </c>
      <c r="J264" s="8" t="s">
        <v>4</v>
      </c>
      <c r="K264" s="8" t="s">
        <v>4</v>
      </c>
    </row>
    <row r="265" spans="1:11" ht="80.099999999999994" customHeight="1">
      <c r="A265" s="8" t="s">
        <v>758</v>
      </c>
      <c r="B265" s="9" t="s">
        <v>2653</v>
      </c>
      <c r="C265" s="9" t="s">
        <v>2654</v>
      </c>
      <c r="D265" s="9" t="s">
        <v>2655</v>
      </c>
      <c r="E265" s="9" t="s">
        <v>2656</v>
      </c>
      <c r="F265" s="9" t="s">
        <v>2018</v>
      </c>
      <c r="G265" s="8" t="s">
        <v>36</v>
      </c>
      <c r="H265" s="10" t="s">
        <v>11</v>
      </c>
      <c r="I265" s="8" t="s">
        <v>37</v>
      </c>
      <c r="J265" s="8" t="s">
        <v>4</v>
      </c>
      <c r="K265" s="8" t="s">
        <v>4</v>
      </c>
    </row>
    <row r="266" spans="1:11" ht="80.099999999999994" customHeight="1">
      <c r="A266" s="8" t="s">
        <v>763</v>
      </c>
      <c r="B266" s="9" t="s">
        <v>2657</v>
      </c>
      <c r="C266" s="9" t="s">
        <v>2658</v>
      </c>
      <c r="D266" s="9" t="s">
        <v>2659</v>
      </c>
      <c r="E266" s="9" t="s">
        <v>2660</v>
      </c>
      <c r="F266" s="9" t="s">
        <v>2018</v>
      </c>
      <c r="G266" s="8" t="s">
        <v>36</v>
      </c>
      <c r="H266" s="10" t="s">
        <v>11</v>
      </c>
      <c r="I266" s="8" t="s">
        <v>37</v>
      </c>
      <c r="J266" s="8" t="s">
        <v>4</v>
      </c>
      <c r="K266" s="8" t="s">
        <v>4</v>
      </c>
    </row>
    <row r="267" spans="1:11" ht="80.099999999999994" customHeight="1">
      <c r="A267" s="8" t="s">
        <v>768</v>
      </c>
      <c r="B267" s="9" t="s">
        <v>2661</v>
      </c>
      <c r="C267" s="9" t="s">
        <v>2662</v>
      </c>
      <c r="D267" s="9" t="s">
        <v>2663</v>
      </c>
      <c r="E267" s="9" t="s">
        <v>2664</v>
      </c>
      <c r="F267" s="9" t="s">
        <v>2018</v>
      </c>
      <c r="G267" s="8" t="s">
        <v>36</v>
      </c>
      <c r="H267" s="10" t="s">
        <v>11</v>
      </c>
      <c r="I267" s="8" t="s">
        <v>37</v>
      </c>
      <c r="J267" s="8" t="s">
        <v>4</v>
      </c>
      <c r="K267" s="8" t="s">
        <v>4</v>
      </c>
    </row>
    <row r="268" spans="1:11" ht="80.099999999999994" customHeight="1">
      <c r="A268" s="8" t="s">
        <v>773</v>
      </c>
      <c r="B268" s="9" t="s">
        <v>2665</v>
      </c>
      <c r="C268" s="9" t="s">
        <v>2666</v>
      </c>
      <c r="D268" s="9" t="s">
        <v>2667</v>
      </c>
      <c r="E268" s="9" t="s">
        <v>2668</v>
      </c>
      <c r="F268" s="9" t="s">
        <v>2018</v>
      </c>
      <c r="G268" s="8" t="s">
        <v>36</v>
      </c>
      <c r="H268" s="10" t="s">
        <v>11</v>
      </c>
      <c r="I268" s="8" t="s">
        <v>37</v>
      </c>
      <c r="J268" s="8" t="s">
        <v>4</v>
      </c>
      <c r="K268" s="8" t="s">
        <v>4</v>
      </c>
    </row>
    <row r="269" spans="1:11" ht="80.099999999999994" customHeight="1">
      <c r="A269" s="8" t="s">
        <v>778</v>
      </c>
      <c r="B269" s="9" t="s">
        <v>2669</v>
      </c>
      <c r="C269" s="9" t="s">
        <v>2670</v>
      </c>
      <c r="D269" s="9" t="s">
        <v>2671</v>
      </c>
      <c r="E269" s="9" t="s">
        <v>2672</v>
      </c>
      <c r="F269" s="9" t="s">
        <v>2018</v>
      </c>
      <c r="G269" s="8" t="s">
        <v>36</v>
      </c>
      <c r="H269" s="10" t="s">
        <v>11</v>
      </c>
      <c r="I269" s="8" t="s">
        <v>37</v>
      </c>
      <c r="J269" s="8" t="s">
        <v>4</v>
      </c>
      <c r="K269" s="8" t="s">
        <v>4</v>
      </c>
    </row>
    <row r="270" spans="1:11" ht="80.099999999999994" customHeight="1">
      <c r="A270" s="8" t="s">
        <v>783</v>
      </c>
      <c r="B270" s="9" t="s">
        <v>2673</v>
      </c>
      <c r="C270" s="9" t="s">
        <v>2674</v>
      </c>
      <c r="D270" s="9" t="s">
        <v>2675</v>
      </c>
      <c r="E270" s="9" t="s">
        <v>2676</v>
      </c>
      <c r="F270" s="9" t="s">
        <v>2018</v>
      </c>
      <c r="G270" s="8" t="s">
        <v>36</v>
      </c>
      <c r="H270" s="10" t="s">
        <v>11</v>
      </c>
      <c r="I270" s="8" t="s">
        <v>37</v>
      </c>
      <c r="J270" s="8" t="s">
        <v>4</v>
      </c>
      <c r="K270" s="8" t="s">
        <v>4</v>
      </c>
    </row>
    <row r="271" spans="1:11" ht="80.099999999999994" customHeight="1">
      <c r="A271" s="8" t="s">
        <v>788</v>
      </c>
      <c r="B271" s="9" t="s">
        <v>2677</v>
      </c>
      <c r="C271" s="9" t="s">
        <v>2678</v>
      </c>
      <c r="D271" s="9" t="s">
        <v>2679</v>
      </c>
      <c r="E271" s="9" t="s">
        <v>2680</v>
      </c>
      <c r="F271" s="9" t="s">
        <v>2018</v>
      </c>
      <c r="G271" s="8" t="s">
        <v>36</v>
      </c>
      <c r="H271" s="10" t="s">
        <v>11</v>
      </c>
      <c r="I271" s="8" t="s">
        <v>37</v>
      </c>
      <c r="J271" s="8" t="s">
        <v>4</v>
      </c>
      <c r="K271" s="8" t="s">
        <v>4</v>
      </c>
    </row>
    <row r="272" spans="1:11" ht="80.099999999999994" customHeight="1">
      <c r="A272" s="8" t="s">
        <v>2681</v>
      </c>
      <c r="B272" s="9" t="s">
        <v>2682</v>
      </c>
      <c r="C272" s="9" t="s">
        <v>2683</v>
      </c>
      <c r="D272" s="9" t="s">
        <v>2684</v>
      </c>
      <c r="E272" s="9" t="s">
        <v>2685</v>
      </c>
      <c r="F272" s="9" t="s">
        <v>2018</v>
      </c>
      <c r="G272" s="8" t="s">
        <v>36</v>
      </c>
      <c r="H272" s="10" t="s">
        <v>11</v>
      </c>
      <c r="I272" s="8" t="s">
        <v>37</v>
      </c>
      <c r="J272" s="8" t="s">
        <v>4</v>
      </c>
      <c r="K272" s="8" t="s">
        <v>4</v>
      </c>
    </row>
    <row r="273" spans="1:11" ht="80.099999999999994" customHeight="1">
      <c r="A273" s="8" t="s">
        <v>2686</v>
      </c>
      <c r="B273" s="9" t="s">
        <v>2687</v>
      </c>
      <c r="C273" s="9" t="s">
        <v>2688</v>
      </c>
      <c r="D273" s="9" t="s">
        <v>2689</v>
      </c>
      <c r="E273" s="9" t="s">
        <v>2690</v>
      </c>
      <c r="F273" s="9" t="s">
        <v>2018</v>
      </c>
      <c r="G273" s="8" t="s">
        <v>36</v>
      </c>
      <c r="H273" s="10" t="s">
        <v>11</v>
      </c>
      <c r="I273" s="8" t="s">
        <v>37</v>
      </c>
      <c r="J273" s="8" t="s">
        <v>4</v>
      </c>
      <c r="K273" s="8" t="s">
        <v>4</v>
      </c>
    </row>
    <row r="274" spans="1:11" ht="80.099999999999994" customHeight="1">
      <c r="A274" s="8" t="s">
        <v>2691</v>
      </c>
      <c r="B274" s="9" t="s">
        <v>2692</v>
      </c>
      <c r="C274" s="9" t="s">
        <v>2693</v>
      </c>
      <c r="D274" s="9" t="s">
        <v>2694</v>
      </c>
      <c r="E274" s="9" t="s">
        <v>2695</v>
      </c>
      <c r="F274" s="9" t="s">
        <v>2018</v>
      </c>
      <c r="G274" s="8" t="s">
        <v>36</v>
      </c>
      <c r="H274" s="10" t="s">
        <v>11</v>
      </c>
      <c r="I274" s="8" t="s">
        <v>37</v>
      </c>
      <c r="J274" s="8" t="s">
        <v>4</v>
      </c>
      <c r="K274" s="8" t="s">
        <v>4</v>
      </c>
    </row>
    <row r="275" spans="1:11" ht="80.099999999999994" customHeight="1">
      <c r="A275" s="8" t="s">
        <v>2696</v>
      </c>
      <c r="B275" s="9" t="s">
        <v>2697</v>
      </c>
      <c r="C275" s="9" t="s">
        <v>2698</v>
      </c>
      <c r="D275" s="9" t="s">
        <v>2699</v>
      </c>
      <c r="E275" s="9" t="s">
        <v>2700</v>
      </c>
      <c r="F275" s="9" t="s">
        <v>2018</v>
      </c>
      <c r="G275" s="8" t="s">
        <v>36</v>
      </c>
      <c r="H275" s="10" t="s">
        <v>11</v>
      </c>
      <c r="I275" s="8" t="s">
        <v>37</v>
      </c>
      <c r="J275" s="8" t="s">
        <v>4</v>
      </c>
      <c r="K275" s="8" t="s">
        <v>4</v>
      </c>
    </row>
    <row r="276" spans="1:11" ht="80.099999999999994" customHeight="1">
      <c r="A276" s="8" t="s">
        <v>2701</v>
      </c>
      <c r="B276" s="9" t="s">
        <v>2702</v>
      </c>
      <c r="C276" s="9" t="s">
        <v>2703</v>
      </c>
      <c r="D276" s="9" t="s">
        <v>2704</v>
      </c>
      <c r="E276" s="9" t="s">
        <v>2705</v>
      </c>
      <c r="F276" s="9" t="s">
        <v>2018</v>
      </c>
      <c r="G276" s="8" t="s">
        <v>36</v>
      </c>
      <c r="H276" s="10" t="s">
        <v>11</v>
      </c>
      <c r="I276" s="8" t="s">
        <v>37</v>
      </c>
      <c r="J276" s="8" t="s">
        <v>4</v>
      </c>
      <c r="K276" s="8" t="s">
        <v>4</v>
      </c>
    </row>
    <row r="277" spans="1:11" ht="80.099999999999994" customHeight="1">
      <c r="A277" s="8" t="s">
        <v>2706</v>
      </c>
      <c r="B277" s="9" t="s">
        <v>2707</v>
      </c>
      <c r="C277" s="9" t="s">
        <v>2708</v>
      </c>
      <c r="D277" s="9" t="s">
        <v>2709</v>
      </c>
      <c r="E277" s="9" t="s">
        <v>2710</v>
      </c>
      <c r="F277" s="9" t="s">
        <v>2018</v>
      </c>
      <c r="G277" s="8" t="s">
        <v>36</v>
      </c>
      <c r="H277" s="10" t="s">
        <v>11</v>
      </c>
      <c r="I277" s="8" t="s">
        <v>37</v>
      </c>
      <c r="J277" s="8" t="s">
        <v>4</v>
      </c>
      <c r="K277" s="8" t="s">
        <v>4</v>
      </c>
    </row>
    <row r="278" spans="1:11" ht="80.099999999999994" customHeight="1">
      <c r="A278" s="8" t="s">
        <v>2711</v>
      </c>
      <c r="B278" s="9" t="s">
        <v>2712</v>
      </c>
      <c r="C278" s="9" t="s">
        <v>2713</v>
      </c>
      <c r="D278" s="9" t="s">
        <v>2714</v>
      </c>
      <c r="E278" s="9" t="s">
        <v>2715</v>
      </c>
      <c r="F278" s="9" t="s">
        <v>2018</v>
      </c>
      <c r="G278" s="8" t="s">
        <v>36</v>
      </c>
      <c r="H278" s="10" t="s">
        <v>11</v>
      </c>
      <c r="I278" s="8" t="s">
        <v>37</v>
      </c>
      <c r="J278" s="8" t="s">
        <v>4</v>
      </c>
      <c r="K278" s="8" t="s">
        <v>4</v>
      </c>
    </row>
    <row r="279" spans="1:11" ht="80.099999999999994" customHeight="1">
      <c r="A279" s="8" t="s">
        <v>2716</v>
      </c>
      <c r="B279" s="9" t="s">
        <v>2717</v>
      </c>
      <c r="C279" s="9" t="s">
        <v>2718</v>
      </c>
      <c r="D279" s="9" t="s">
        <v>2719</v>
      </c>
      <c r="E279" s="9" t="s">
        <v>2720</v>
      </c>
      <c r="F279" s="9" t="s">
        <v>2018</v>
      </c>
      <c r="G279" s="8" t="s">
        <v>36</v>
      </c>
      <c r="H279" s="10" t="s">
        <v>11</v>
      </c>
      <c r="I279" s="8" t="s">
        <v>37</v>
      </c>
      <c r="J279" s="8" t="s">
        <v>4</v>
      </c>
      <c r="K279" s="8" t="s">
        <v>4</v>
      </c>
    </row>
    <row r="280" spans="1:11" ht="80.099999999999994" customHeight="1">
      <c r="A280" s="8" t="s">
        <v>2721</v>
      </c>
      <c r="B280" s="9" t="s">
        <v>2722</v>
      </c>
      <c r="C280" s="9" t="s">
        <v>2723</v>
      </c>
      <c r="D280" s="9" t="s">
        <v>2724</v>
      </c>
      <c r="E280" s="9" t="s">
        <v>2725</v>
      </c>
      <c r="F280" s="9" t="s">
        <v>2018</v>
      </c>
      <c r="G280" s="8" t="s">
        <v>36</v>
      </c>
      <c r="H280" s="10" t="s">
        <v>11</v>
      </c>
      <c r="I280" s="8" t="s">
        <v>37</v>
      </c>
      <c r="J280" s="8" t="s">
        <v>4</v>
      </c>
      <c r="K280" s="8" t="s">
        <v>4</v>
      </c>
    </row>
    <row r="281" spans="1:11" ht="80.099999999999994" customHeight="1">
      <c r="A281" s="8" t="s">
        <v>2726</v>
      </c>
      <c r="B281" s="9" t="s">
        <v>2727</v>
      </c>
      <c r="C281" s="9" t="s">
        <v>2728</v>
      </c>
      <c r="D281" s="9" t="s">
        <v>2729</v>
      </c>
      <c r="E281" s="9" t="s">
        <v>2730</v>
      </c>
      <c r="F281" s="9" t="s">
        <v>2018</v>
      </c>
      <c r="G281" s="8" t="s">
        <v>36</v>
      </c>
      <c r="H281" s="10" t="s">
        <v>11</v>
      </c>
      <c r="I281" s="8" t="s">
        <v>37</v>
      </c>
      <c r="J281" s="8" t="s">
        <v>4</v>
      </c>
      <c r="K281" s="8" t="s">
        <v>4</v>
      </c>
    </row>
    <row r="282" spans="1:11" ht="80.099999999999994" customHeight="1">
      <c r="A282" s="8" t="s">
        <v>2731</v>
      </c>
      <c r="B282" s="9" t="s">
        <v>2732</v>
      </c>
      <c r="C282" s="9" t="s">
        <v>2733</v>
      </c>
      <c r="D282" s="9" t="s">
        <v>2734</v>
      </c>
      <c r="E282" s="9" t="s">
        <v>2735</v>
      </c>
      <c r="F282" s="9" t="s">
        <v>2018</v>
      </c>
      <c r="G282" s="8" t="s">
        <v>36</v>
      </c>
      <c r="H282" s="10" t="s">
        <v>11</v>
      </c>
      <c r="I282" s="8" t="s">
        <v>37</v>
      </c>
      <c r="J282" s="8" t="s">
        <v>4</v>
      </c>
      <c r="K282" s="8" t="s">
        <v>4</v>
      </c>
    </row>
    <row r="283" spans="1:11" ht="80.099999999999994" customHeight="1">
      <c r="A283" s="8" t="s">
        <v>2736</v>
      </c>
      <c r="B283" s="9" t="s">
        <v>2737</v>
      </c>
      <c r="C283" s="9" t="s">
        <v>2738</v>
      </c>
      <c r="D283" s="9" t="s">
        <v>2739</v>
      </c>
      <c r="E283" s="9" t="s">
        <v>2740</v>
      </c>
      <c r="F283" s="9" t="s">
        <v>2018</v>
      </c>
      <c r="G283" s="8" t="s">
        <v>36</v>
      </c>
      <c r="H283" s="10" t="s">
        <v>11</v>
      </c>
      <c r="I283" s="8" t="s">
        <v>37</v>
      </c>
      <c r="J283" s="8" t="s">
        <v>4</v>
      </c>
      <c r="K283" s="8" t="s">
        <v>4</v>
      </c>
    </row>
    <row r="284" spans="1:11" ht="80.099999999999994" customHeight="1">
      <c r="A284" s="8" t="s">
        <v>2741</v>
      </c>
      <c r="B284" s="9" t="s">
        <v>2742</v>
      </c>
      <c r="C284" s="9" t="s">
        <v>2743</v>
      </c>
      <c r="D284" s="9" t="s">
        <v>2744</v>
      </c>
      <c r="E284" s="9" t="s">
        <v>2745</v>
      </c>
      <c r="F284" s="9" t="s">
        <v>2018</v>
      </c>
      <c r="G284" s="8" t="s">
        <v>36</v>
      </c>
      <c r="H284" s="10" t="s">
        <v>11</v>
      </c>
      <c r="I284" s="8" t="s">
        <v>37</v>
      </c>
      <c r="J284" s="8" t="s">
        <v>4</v>
      </c>
      <c r="K284" s="8" t="s">
        <v>4</v>
      </c>
    </row>
    <row r="285" spans="1:11" ht="80.099999999999994" customHeight="1">
      <c r="A285" s="8" t="s">
        <v>2746</v>
      </c>
      <c r="B285" s="9" t="s">
        <v>2747</v>
      </c>
      <c r="C285" s="9" t="s">
        <v>2748</v>
      </c>
      <c r="D285" s="9" t="s">
        <v>2749</v>
      </c>
      <c r="E285" s="9" t="s">
        <v>2750</v>
      </c>
      <c r="F285" s="9" t="s">
        <v>2018</v>
      </c>
      <c r="G285" s="8" t="s">
        <v>36</v>
      </c>
      <c r="H285" s="10" t="s">
        <v>11</v>
      </c>
      <c r="I285" s="8" t="s">
        <v>37</v>
      </c>
      <c r="J285" s="8" t="s">
        <v>4</v>
      </c>
      <c r="K285" s="8" t="s">
        <v>4</v>
      </c>
    </row>
    <row r="286" spans="1:11" ht="80.099999999999994" customHeight="1">
      <c r="A286" s="8" t="s">
        <v>2751</v>
      </c>
      <c r="B286" s="9" t="s">
        <v>2752</v>
      </c>
      <c r="C286" s="9" t="s">
        <v>2753</v>
      </c>
      <c r="D286" s="9" t="s">
        <v>2754</v>
      </c>
      <c r="E286" s="9" t="s">
        <v>2755</v>
      </c>
      <c r="F286" s="9" t="s">
        <v>2018</v>
      </c>
      <c r="G286" s="8" t="s">
        <v>36</v>
      </c>
      <c r="H286" s="10" t="s">
        <v>11</v>
      </c>
      <c r="I286" s="8" t="s">
        <v>37</v>
      </c>
      <c r="J286" s="8" t="s">
        <v>4</v>
      </c>
      <c r="K286" s="8" t="s">
        <v>4</v>
      </c>
    </row>
    <row r="287" spans="1:11" ht="15.95" customHeight="1">
      <c r="A287" s="111" t="s">
        <v>2756</v>
      </c>
      <c r="B287" s="118"/>
      <c r="C287" s="118"/>
      <c r="D287" s="118"/>
      <c r="E287" s="118"/>
      <c r="F287" s="118"/>
      <c r="G287" s="118"/>
      <c r="H287" s="118"/>
      <c r="I287" s="118"/>
      <c r="J287" s="118"/>
      <c r="K287" s="118"/>
    </row>
    <row r="288" spans="1:11" ht="80.099999999999994" customHeight="1">
      <c r="A288" s="8" t="s">
        <v>794</v>
      </c>
      <c r="B288" s="9" t="s">
        <v>2757</v>
      </c>
      <c r="C288" s="9" t="s">
        <v>2758</v>
      </c>
      <c r="D288" s="9" t="s">
        <v>2759</v>
      </c>
      <c r="E288" s="9" t="s">
        <v>2760</v>
      </c>
      <c r="F288" s="9" t="s">
        <v>2013</v>
      </c>
      <c r="G288" s="8" t="s">
        <v>36</v>
      </c>
      <c r="H288" s="10" t="s">
        <v>11</v>
      </c>
      <c r="I288" s="8" t="s">
        <v>37</v>
      </c>
      <c r="J288" s="8" t="s">
        <v>4</v>
      </c>
      <c r="K288" s="8" t="s">
        <v>4</v>
      </c>
    </row>
    <row r="289" spans="1:11" ht="80.099999999999994" customHeight="1">
      <c r="A289" s="8" t="s">
        <v>799</v>
      </c>
      <c r="B289" s="9" t="s">
        <v>2761</v>
      </c>
      <c r="C289" s="9" t="s">
        <v>2762</v>
      </c>
      <c r="D289" s="9" t="s">
        <v>2763</v>
      </c>
      <c r="E289" s="9" t="s">
        <v>2764</v>
      </c>
      <c r="F289" s="9" t="s">
        <v>2018</v>
      </c>
      <c r="G289" s="8" t="s">
        <v>36</v>
      </c>
      <c r="H289" s="10" t="s">
        <v>11</v>
      </c>
      <c r="I289" s="8" t="s">
        <v>37</v>
      </c>
      <c r="J289" s="8" t="s">
        <v>4</v>
      </c>
      <c r="K289" s="8" t="s">
        <v>4</v>
      </c>
    </row>
    <row r="290" spans="1:11" ht="80.099999999999994" customHeight="1">
      <c r="A290" s="8" t="s">
        <v>804</v>
      </c>
      <c r="B290" s="9" t="s">
        <v>2765</v>
      </c>
      <c r="C290" s="9" t="s">
        <v>2766</v>
      </c>
      <c r="D290" s="9" t="s">
        <v>2767</v>
      </c>
      <c r="E290" s="9" t="s">
        <v>2768</v>
      </c>
      <c r="F290" s="9" t="s">
        <v>2018</v>
      </c>
      <c r="G290" s="8" t="s">
        <v>36</v>
      </c>
      <c r="H290" s="10" t="s">
        <v>11</v>
      </c>
      <c r="I290" s="8" t="s">
        <v>37</v>
      </c>
      <c r="J290" s="8" t="s">
        <v>4</v>
      </c>
      <c r="K290" s="8" t="s">
        <v>4</v>
      </c>
    </row>
    <row r="291" spans="1:11" ht="80.099999999999994" customHeight="1">
      <c r="A291" s="8" t="s">
        <v>809</v>
      </c>
      <c r="B291" s="9" t="s">
        <v>2769</v>
      </c>
      <c r="C291" s="9" t="s">
        <v>2770</v>
      </c>
      <c r="D291" s="9" t="s">
        <v>2771</v>
      </c>
      <c r="E291" s="9" t="s">
        <v>2772</v>
      </c>
      <c r="F291" s="9" t="s">
        <v>2018</v>
      </c>
      <c r="G291" s="8" t="s">
        <v>36</v>
      </c>
      <c r="H291" s="10" t="s">
        <v>11</v>
      </c>
      <c r="I291" s="8" t="s">
        <v>37</v>
      </c>
      <c r="J291" s="8" t="s">
        <v>4</v>
      </c>
      <c r="K291" s="8" t="s">
        <v>4</v>
      </c>
    </row>
    <row r="292" spans="1:11" ht="80.099999999999994" customHeight="1">
      <c r="A292" s="8" t="s">
        <v>814</v>
      </c>
      <c r="B292" s="9" t="s">
        <v>2773</v>
      </c>
      <c r="C292" s="9" t="s">
        <v>2774</v>
      </c>
      <c r="D292" s="9" t="s">
        <v>2775</v>
      </c>
      <c r="E292" s="9" t="s">
        <v>2776</v>
      </c>
      <c r="F292" s="9" t="s">
        <v>2018</v>
      </c>
      <c r="G292" s="8" t="s">
        <v>36</v>
      </c>
      <c r="H292" s="10" t="s">
        <v>11</v>
      </c>
      <c r="I292" s="8" t="s">
        <v>37</v>
      </c>
      <c r="J292" s="8" t="s">
        <v>4</v>
      </c>
      <c r="K292" s="8" t="s">
        <v>4</v>
      </c>
    </row>
    <row r="293" spans="1:11" ht="80.099999999999994" customHeight="1">
      <c r="A293" s="8" t="s">
        <v>2777</v>
      </c>
      <c r="B293" s="9" t="s">
        <v>2778</v>
      </c>
      <c r="C293" s="9" t="s">
        <v>2779</v>
      </c>
      <c r="D293" s="9" t="s">
        <v>2780</v>
      </c>
      <c r="E293" s="9" t="s">
        <v>2781</v>
      </c>
      <c r="F293" s="9" t="s">
        <v>2018</v>
      </c>
      <c r="G293" s="8" t="s">
        <v>36</v>
      </c>
      <c r="H293" s="10" t="s">
        <v>11</v>
      </c>
      <c r="I293" s="8" t="s">
        <v>37</v>
      </c>
      <c r="J293" s="8" t="s">
        <v>4</v>
      </c>
      <c r="K293" s="8" t="s">
        <v>4</v>
      </c>
    </row>
    <row r="294" spans="1:11" ht="80.099999999999994" customHeight="1">
      <c r="A294" s="8" t="s">
        <v>2782</v>
      </c>
      <c r="B294" s="9" t="s">
        <v>2783</v>
      </c>
      <c r="C294" s="9" t="s">
        <v>2784</v>
      </c>
      <c r="D294" s="9" t="s">
        <v>2785</v>
      </c>
      <c r="E294" s="9" t="s">
        <v>2786</v>
      </c>
      <c r="F294" s="9" t="s">
        <v>2018</v>
      </c>
      <c r="G294" s="8" t="s">
        <v>36</v>
      </c>
      <c r="H294" s="10" t="s">
        <v>11</v>
      </c>
      <c r="I294" s="8" t="s">
        <v>37</v>
      </c>
      <c r="J294" s="8" t="s">
        <v>4</v>
      </c>
      <c r="K294" s="8" t="s">
        <v>4</v>
      </c>
    </row>
    <row r="295" spans="1:11" ht="80.099999999999994" customHeight="1">
      <c r="A295" s="8" t="s">
        <v>2787</v>
      </c>
      <c r="B295" s="9" t="s">
        <v>2788</v>
      </c>
      <c r="C295" s="9" t="s">
        <v>2789</v>
      </c>
      <c r="D295" s="9" t="s">
        <v>2790</v>
      </c>
      <c r="E295" s="9" t="s">
        <v>2791</v>
      </c>
      <c r="F295" s="9" t="s">
        <v>2018</v>
      </c>
      <c r="G295" s="8" t="s">
        <v>36</v>
      </c>
      <c r="H295" s="10" t="s">
        <v>11</v>
      </c>
      <c r="I295" s="8" t="s">
        <v>37</v>
      </c>
      <c r="J295" s="8" t="s">
        <v>4</v>
      </c>
      <c r="K295" s="8" t="s">
        <v>4</v>
      </c>
    </row>
    <row r="296" spans="1:11" ht="80.099999999999994" customHeight="1">
      <c r="A296" s="8" t="s">
        <v>2792</v>
      </c>
      <c r="B296" s="9" t="s">
        <v>2793</v>
      </c>
      <c r="C296" s="9" t="s">
        <v>2794</v>
      </c>
      <c r="D296" s="9" t="s">
        <v>2795</v>
      </c>
      <c r="E296" s="9" t="s">
        <v>2796</v>
      </c>
      <c r="F296" s="9" t="s">
        <v>2018</v>
      </c>
      <c r="G296" s="8" t="s">
        <v>36</v>
      </c>
      <c r="H296" s="10" t="s">
        <v>11</v>
      </c>
      <c r="I296" s="8" t="s">
        <v>37</v>
      </c>
      <c r="J296" s="8" t="s">
        <v>4</v>
      </c>
      <c r="K296" s="8" t="s">
        <v>4</v>
      </c>
    </row>
    <row r="297" spans="1:11" ht="80.099999999999994" customHeight="1">
      <c r="A297" s="8" t="s">
        <v>2797</v>
      </c>
      <c r="B297" s="9" t="s">
        <v>2798</v>
      </c>
      <c r="C297" s="9" t="s">
        <v>2799</v>
      </c>
      <c r="D297" s="9" t="s">
        <v>2800</v>
      </c>
      <c r="E297" s="9" t="s">
        <v>2801</v>
      </c>
      <c r="F297" s="9" t="s">
        <v>2018</v>
      </c>
      <c r="G297" s="8" t="s">
        <v>36</v>
      </c>
      <c r="H297" s="10" t="s">
        <v>11</v>
      </c>
      <c r="I297" s="8" t="s">
        <v>37</v>
      </c>
      <c r="J297" s="8" t="s">
        <v>4</v>
      </c>
      <c r="K297" s="8" t="s">
        <v>4</v>
      </c>
    </row>
    <row r="298" spans="1:11" ht="80.099999999999994" customHeight="1">
      <c r="A298" s="8" t="s">
        <v>2802</v>
      </c>
      <c r="B298" s="9" t="s">
        <v>2803</v>
      </c>
      <c r="C298" s="9" t="s">
        <v>2804</v>
      </c>
      <c r="D298" s="9" t="s">
        <v>2805</v>
      </c>
      <c r="E298" s="9" t="s">
        <v>2806</v>
      </c>
      <c r="F298" s="9" t="s">
        <v>2018</v>
      </c>
      <c r="G298" s="8" t="s">
        <v>36</v>
      </c>
      <c r="H298" s="10" t="s">
        <v>11</v>
      </c>
      <c r="I298" s="8" t="s">
        <v>37</v>
      </c>
      <c r="J298" s="8" t="s">
        <v>4</v>
      </c>
      <c r="K298" s="8" t="s">
        <v>4</v>
      </c>
    </row>
    <row r="299" spans="1:11" ht="80.099999999999994" customHeight="1">
      <c r="A299" s="8" t="s">
        <v>2807</v>
      </c>
      <c r="B299" s="9" t="s">
        <v>2808</v>
      </c>
      <c r="C299" s="9" t="s">
        <v>2809</v>
      </c>
      <c r="D299" s="9" t="s">
        <v>2810</v>
      </c>
      <c r="E299" s="9" t="s">
        <v>2811</v>
      </c>
      <c r="F299" s="9" t="s">
        <v>2018</v>
      </c>
      <c r="G299" s="8" t="s">
        <v>36</v>
      </c>
      <c r="H299" s="10" t="s">
        <v>11</v>
      </c>
      <c r="I299" s="8" t="s">
        <v>37</v>
      </c>
      <c r="J299" s="8" t="s">
        <v>4</v>
      </c>
      <c r="K299" s="8" t="s">
        <v>4</v>
      </c>
    </row>
    <row r="300" spans="1:11" ht="15.95" customHeight="1">
      <c r="A300" s="111" t="s">
        <v>2812</v>
      </c>
      <c r="B300" s="118"/>
      <c r="C300" s="118"/>
      <c r="D300" s="118"/>
      <c r="E300" s="118"/>
      <c r="F300" s="118"/>
      <c r="G300" s="118"/>
      <c r="H300" s="118"/>
      <c r="I300" s="118"/>
      <c r="J300" s="118"/>
      <c r="K300" s="118"/>
    </row>
    <row r="301" spans="1:11" ht="80.099999999999994" customHeight="1">
      <c r="A301" s="8" t="s">
        <v>820</v>
      </c>
      <c r="B301" s="9" t="s">
        <v>2813</v>
      </c>
      <c r="C301" s="9" t="s">
        <v>2814</v>
      </c>
      <c r="D301" s="9" t="s">
        <v>2815</v>
      </c>
      <c r="E301" s="9" t="s">
        <v>2816</v>
      </c>
      <c r="F301" s="9" t="s">
        <v>2013</v>
      </c>
      <c r="G301" s="8" t="s">
        <v>36</v>
      </c>
      <c r="H301" s="10" t="s">
        <v>11</v>
      </c>
      <c r="I301" s="8" t="s">
        <v>37</v>
      </c>
      <c r="J301" s="8" t="s">
        <v>4</v>
      </c>
      <c r="K301" s="8" t="s">
        <v>4</v>
      </c>
    </row>
    <row r="302" spans="1:11" ht="80.099999999999994" customHeight="1">
      <c r="A302" s="8" t="s">
        <v>825</v>
      </c>
      <c r="B302" s="9" t="s">
        <v>2817</v>
      </c>
      <c r="C302" s="9" t="s">
        <v>2818</v>
      </c>
      <c r="D302" s="9" t="s">
        <v>2819</v>
      </c>
      <c r="E302" s="9" t="s">
        <v>2820</v>
      </c>
      <c r="F302" s="9" t="s">
        <v>2018</v>
      </c>
      <c r="G302" s="8" t="s">
        <v>36</v>
      </c>
      <c r="H302" s="10" t="s">
        <v>11</v>
      </c>
      <c r="I302" s="8" t="s">
        <v>37</v>
      </c>
      <c r="J302" s="8" t="s">
        <v>4</v>
      </c>
      <c r="K302" s="8" t="s">
        <v>4</v>
      </c>
    </row>
    <row r="303" spans="1:11" ht="80.099999999999994" customHeight="1">
      <c r="A303" s="8" t="s">
        <v>830</v>
      </c>
      <c r="B303" s="9" t="s">
        <v>2821</v>
      </c>
      <c r="C303" s="9" t="s">
        <v>2822</v>
      </c>
      <c r="D303" s="9" t="s">
        <v>2823</v>
      </c>
      <c r="E303" s="9" t="s">
        <v>2824</v>
      </c>
      <c r="F303" s="9" t="s">
        <v>2018</v>
      </c>
      <c r="G303" s="8" t="s">
        <v>36</v>
      </c>
      <c r="H303" s="10" t="s">
        <v>11</v>
      </c>
      <c r="I303" s="8" t="s">
        <v>37</v>
      </c>
      <c r="J303" s="8" t="s">
        <v>4</v>
      </c>
      <c r="K303" s="8" t="s">
        <v>4</v>
      </c>
    </row>
    <row r="304" spans="1:11" ht="80.099999999999994" customHeight="1">
      <c r="A304" s="8" t="s">
        <v>835</v>
      </c>
      <c r="B304" s="9" t="s">
        <v>2825</v>
      </c>
      <c r="C304" s="9" t="s">
        <v>2826</v>
      </c>
      <c r="D304" s="9" t="s">
        <v>2827</v>
      </c>
      <c r="E304" s="9" t="s">
        <v>2828</v>
      </c>
      <c r="F304" s="9" t="s">
        <v>2018</v>
      </c>
      <c r="G304" s="8" t="s">
        <v>36</v>
      </c>
      <c r="H304" s="10" t="s">
        <v>11</v>
      </c>
      <c r="I304" s="8" t="s">
        <v>37</v>
      </c>
      <c r="J304" s="8" t="s">
        <v>4</v>
      </c>
      <c r="K304" s="8" t="s">
        <v>4</v>
      </c>
    </row>
    <row r="305" spans="1:11" ht="80.099999999999994" customHeight="1">
      <c r="A305" s="8" t="s">
        <v>840</v>
      </c>
      <c r="B305" s="9" t="s">
        <v>2829</v>
      </c>
      <c r="C305" s="9" t="s">
        <v>2830</v>
      </c>
      <c r="D305" s="9" t="s">
        <v>2831</v>
      </c>
      <c r="E305" s="9" t="s">
        <v>2832</v>
      </c>
      <c r="F305" s="9" t="s">
        <v>2018</v>
      </c>
      <c r="G305" s="8" t="s">
        <v>36</v>
      </c>
      <c r="H305" s="10" t="s">
        <v>11</v>
      </c>
      <c r="I305" s="8" t="s">
        <v>37</v>
      </c>
      <c r="J305" s="8" t="s">
        <v>4</v>
      </c>
      <c r="K305" s="8" t="s">
        <v>4</v>
      </c>
    </row>
    <row r="306" spans="1:11" ht="80.099999999999994" customHeight="1">
      <c r="A306" s="8" t="s">
        <v>845</v>
      </c>
      <c r="B306" s="9" t="s">
        <v>2833</v>
      </c>
      <c r="C306" s="9" t="s">
        <v>2834</v>
      </c>
      <c r="D306" s="9" t="s">
        <v>2835</v>
      </c>
      <c r="E306" s="9" t="s">
        <v>2836</v>
      </c>
      <c r="F306" s="9" t="s">
        <v>2018</v>
      </c>
      <c r="G306" s="8" t="s">
        <v>36</v>
      </c>
      <c r="H306" s="10" t="s">
        <v>11</v>
      </c>
      <c r="I306" s="8" t="s">
        <v>37</v>
      </c>
      <c r="J306" s="8" t="s">
        <v>4</v>
      </c>
      <c r="K306" s="8" t="s">
        <v>4</v>
      </c>
    </row>
    <row r="307" spans="1:11" ht="80.099999999999994" customHeight="1">
      <c r="A307" s="8" t="s">
        <v>850</v>
      </c>
      <c r="B307" s="9" t="s">
        <v>2837</v>
      </c>
      <c r="C307" s="9" t="s">
        <v>2838</v>
      </c>
      <c r="D307" s="9" t="s">
        <v>2839</v>
      </c>
      <c r="E307" s="9" t="s">
        <v>2840</v>
      </c>
      <c r="F307" s="9" t="s">
        <v>2018</v>
      </c>
      <c r="G307" s="8" t="s">
        <v>36</v>
      </c>
      <c r="H307" s="10" t="s">
        <v>11</v>
      </c>
      <c r="I307" s="8" t="s">
        <v>37</v>
      </c>
      <c r="J307" s="8" t="s">
        <v>4</v>
      </c>
      <c r="K307" s="8" t="s">
        <v>4</v>
      </c>
    </row>
    <row r="308" spans="1:11" ht="80.099999999999994" customHeight="1">
      <c r="A308" s="8" t="s">
        <v>2841</v>
      </c>
      <c r="B308" s="9" t="s">
        <v>2842</v>
      </c>
      <c r="C308" s="9" t="s">
        <v>2843</v>
      </c>
      <c r="D308" s="9" t="s">
        <v>2844</v>
      </c>
      <c r="E308" s="9" t="s">
        <v>2845</v>
      </c>
      <c r="F308" s="9" t="s">
        <v>2018</v>
      </c>
      <c r="G308" s="8" t="s">
        <v>36</v>
      </c>
      <c r="H308" s="10" t="s">
        <v>11</v>
      </c>
      <c r="I308" s="8" t="s">
        <v>37</v>
      </c>
      <c r="J308" s="8" t="s">
        <v>4</v>
      </c>
      <c r="K308" s="8" t="s">
        <v>4</v>
      </c>
    </row>
    <row r="309" spans="1:11" ht="80.099999999999994" customHeight="1">
      <c r="A309" s="8" t="s">
        <v>2846</v>
      </c>
      <c r="B309" s="9" t="s">
        <v>2847</v>
      </c>
      <c r="C309" s="9" t="s">
        <v>2848</v>
      </c>
      <c r="D309" s="9" t="s">
        <v>2849</v>
      </c>
      <c r="E309" s="9" t="s">
        <v>2850</v>
      </c>
      <c r="F309" s="9" t="s">
        <v>2018</v>
      </c>
      <c r="G309" s="8" t="s">
        <v>36</v>
      </c>
      <c r="H309" s="10" t="s">
        <v>11</v>
      </c>
      <c r="I309" s="8" t="s">
        <v>37</v>
      </c>
      <c r="J309" s="8" t="s">
        <v>4</v>
      </c>
      <c r="K309" s="8" t="s">
        <v>4</v>
      </c>
    </row>
    <row r="310" spans="1:11" ht="80.099999999999994" customHeight="1">
      <c r="A310" s="8" t="s">
        <v>2851</v>
      </c>
      <c r="B310" s="9" t="s">
        <v>2852</v>
      </c>
      <c r="C310" s="9" t="s">
        <v>2853</v>
      </c>
      <c r="D310" s="9" t="s">
        <v>2854</v>
      </c>
      <c r="E310" s="9" t="s">
        <v>2855</v>
      </c>
      <c r="F310" s="9" t="s">
        <v>2018</v>
      </c>
      <c r="G310" s="8" t="s">
        <v>36</v>
      </c>
      <c r="H310" s="10" t="s">
        <v>11</v>
      </c>
      <c r="I310" s="8" t="s">
        <v>37</v>
      </c>
      <c r="J310" s="8" t="s">
        <v>4</v>
      </c>
      <c r="K310" s="8" t="s">
        <v>4</v>
      </c>
    </row>
    <row r="311" spans="1:11" ht="80.099999999999994" customHeight="1">
      <c r="A311" s="8" t="s">
        <v>2856</v>
      </c>
      <c r="B311" s="9" t="s">
        <v>2857</v>
      </c>
      <c r="C311" s="9" t="s">
        <v>2858</v>
      </c>
      <c r="D311" s="9" t="s">
        <v>2859</v>
      </c>
      <c r="E311" s="9" t="s">
        <v>2860</v>
      </c>
      <c r="F311" s="9" t="s">
        <v>2018</v>
      </c>
      <c r="G311" s="8" t="s">
        <v>36</v>
      </c>
      <c r="H311" s="10" t="s">
        <v>11</v>
      </c>
      <c r="I311" s="8" t="s">
        <v>37</v>
      </c>
      <c r="J311" s="8" t="s">
        <v>4</v>
      </c>
      <c r="K311" s="8" t="s">
        <v>4</v>
      </c>
    </row>
    <row r="312" spans="1:11" ht="80.099999999999994" customHeight="1">
      <c r="A312" s="8" t="s">
        <v>2861</v>
      </c>
      <c r="B312" s="9" t="s">
        <v>2862</v>
      </c>
      <c r="C312" s="9" t="s">
        <v>2863</v>
      </c>
      <c r="D312" s="9" t="s">
        <v>2864</v>
      </c>
      <c r="E312" s="9" t="s">
        <v>2865</v>
      </c>
      <c r="F312" s="9" t="s">
        <v>2018</v>
      </c>
      <c r="G312" s="8" t="s">
        <v>36</v>
      </c>
      <c r="H312" s="10" t="s">
        <v>11</v>
      </c>
      <c r="I312" s="8" t="s">
        <v>37</v>
      </c>
      <c r="J312" s="8" t="s">
        <v>4</v>
      </c>
      <c r="K312" s="8" t="s">
        <v>4</v>
      </c>
    </row>
    <row r="313" spans="1:11" ht="80.099999999999994" customHeight="1">
      <c r="A313" s="8" t="s">
        <v>2866</v>
      </c>
      <c r="B313" s="9" t="s">
        <v>2867</v>
      </c>
      <c r="C313" s="9" t="s">
        <v>2868</v>
      </c>
      <c r="D313" s="9" t="s">
        <v>2869</v>
      </c>
      <c r="E313" s="9" t="s">
        <v>2870</v>
      </c>
      <c r="F313" s="9" t="s">
        <v>2018</v>
      </c>
      <c r="G313" s="8" t="s">
        <v>36</v>
      </c>
      <c r="H313" s="10" t="s">
        <v>11</v>
      </c>
      <c r="I313" s="8" t="s">
        <v>37</v>
      </c>
      <c r="J313" s="8" t="s">
        <v>4</v>
      </c>
      <c r="K313" s="8" t="s">
        <v>4</v>
      </c>
    </row>
    <row r="314" spans="1:11" ht="80.099999999999994" customHeight="1">
      <c r="A314" s="8" t="s">
        <v>2871</v>
      </c>
      <c r="B314" s="9" t="s">
        <v>2872</v>
      </c>
      <c r="C314" s="9" t="s">
        <v>2873</v>
      </c>
      <c r="D314" s="9" t="s">
        <v>2874</v>
      </c>
      <c r="E314" s="9" t="s">
        <v>2875</v>
      </c>
      <c r="F314" s="9" t="s">
        <v>2018</v>
      </c>
      <c r="G314" s="8" t="s">
        <v>36</v>
      </c>
      <c r="H314" s="10" t="s">
        <v>11</v>
      </c>
      <c r="I314" s="8" t="s">
        <v>37</v>
      </c>
      <c r="J314" s="8" t="s">
        <v>4</v>
      </c>
      <c r="K314" s="8" t="s">
        <v>4</v>
      </c>
    </row>
    <row r="315" spans="1:11" ht="80.099999999999994" customHeight="1">
      <c r="A315" s="8" t="s">
        <v>2876</v>
      </c>
      <c r="B315" s="9" t="s">
        <v>2877</v>
      </c>
      <c r="C315" s="9" t="s">
        <v>2878</v>
      </c>
      <c r="D315" s="9" t="s">
        <v>2879</v>
      </c>
      <c r="E315" s="9" t="s">
        <v>2880</v>
      </c>
      <c r="F315" s="9" t="s">
        <v>2018</v>
      </c>
      <c r="G315" s="8" t="s">
        <v>36</v>
      </c>
      <c r="H315" s="10" t="s">
        <v>11</v>
      </c>
      <c r="I315" s="8" t="s">
        <v>37</v>
      </c>
      <c r="J315" s="8" t="s">
        <v>4</v>
      </c>
      <c r="K315" s="8" t="s">
        <v>4</v>
      </c>
    </row>
    <row r="316" spans="1:11" ht="80.099999999999994" customHeight="1">
      <c r="A316" s="8" t="s">
        <v>2881</v>
      </c>
      <c r="B316" s="9" t="s">
        <v>2882</v>
      </c>
      <c r="C316" s="9" t="s">
        <v>2883</v>
      </c>
      <c r="D316" s="9" t="s">
        <v>2884</v>
      </c>
      <c r="E316" s="9" t="s">
        <v>2885</v>
      </c>
      <c r="F316" s="9" t="s">
        <v>2018</v>
      </c>
      <c r="G316" s="8" t="s">
        <v>36</v>
      </c>
      <c r="H316" s="10" t="s">
        <v>11</v>
      </c>
      <c r="I316" s="8" t="s">
        <v>37</v>
      </c>
      <c r="J316" s="8" t="s">
        <v>4</v>
      </c>
      <c r="K316" s="8" t="s">
        <v>4</v>
      </c>
    </row>
    <row r="317" spans="1:11" ht="15.95" customHeight="1">
      <c r="A317" s="111" t="s">
        <v>2886</v>
      </c>
      <c r="B317" s="118"/>
      <c r="C317" s="118"/>
      <c r="D317" s="118"/>
      <c r="E317" s="118"/>
      <c r="F317" s="118"/>
      <c r="G317" s="118"/>
      <c r="H317" s="118"/>
      <c r="I317" s="118"/>
      <c r="J317" s="118"/>
      <c r="K317" s="118"/>
    </row>
    <row r="318" spans="1:11" ht="80.099999999999994" customHeight="1">
      <c r="A318" s="8" t="s">
        <v>856</v>
      </c>
      <c r="B318" s="9" t="s">
        <v>2887</v>
      </c>
      <c r="C318" s="9" t="s">
        <v>2888</v>
      </c>
      <c r="D318" s="9" t="s">
        <v>2889</v>
      </c>
      <c r="E318" s="9" t="s">
        <v>2890</v>
      </c>
      <c r="F318" s="9" t="s">
        <v>2013</v>
      </c>
      <c r="G318" s="8" t="s">
        <v>36</v>
      </c>
      <c r="H318" s="10" t="s">
        <v>11</v>
      </c>
      <c r="I318" s="8" t="s">
        <v>37</v>
      </c>
      <c r="J318" s="8" t="s">
        <v>4</v>
      </c>
      <c r="K318" s="8" t="s">
        <v>4</v>
      </c>
    </row>
    <row r="319" spans="1:11" ht="80.099999999999994" customHeight="1">
      <c r="A319" s="8" t="s">
        <v>861</v>
      </c>
      <c r="B319" s="9" t="s">
        <v>2891</v>
      </c>
      <c r="C319" s="9" t="s">
        <v>2892</v>
      </c>
      <c r="D319" s="9" t="s">
        <v>2893</v>
      </c>
      <c r="E319" s="9" t="s">
        <v>2894</v>
      </c>
      <c r="F319" s="9" t="s">
        <v>2018</v>
      </c>
      <c r="G319" s="8" t="s">
        <v>36</v>
      </c>
      <c r="H319" s="10" t="s">
        <v>11</v>
      </c>
      <c r="I319" s="8" t="s">
        <v>37</v>
      </c>
      <c r="J319" s="8" t="s">
        <v>4</v>
      </c>
      <c r="K319" s="8" t="s">
        <v>4</v>
      </c>
    </row>
    <row r="320" spans="1:11" ht="80.099999999999994" customHeight="1">
      <c r="A320" s="8" t="s">
        <v>2895</v>
      </c>
      <c r="B320" s="9" t="s">
        <v>2896</v>
      </c>
      <c r="C320" s="9" t="s">
        <v>2897</v>
      </c>
      <c r="D320" s="9" t="s">
        <v>2898</v>
      </c>
      <c r="E320" s="9" t="s">
        <v>2899</v>
      </c>
      <c r="F320" s="9" t="s">
        <v>2018</v>
      </c>
      <c r="G320" s="8" t="s">
        <v>36</v>
      </c>
      <c r="H320" s="10" t="s">
        <v>11</v>
      </c>
      <c r="I320" s="8" t="s">
        <v>37</v>
      </c>
      <c r="J320" s="8" t="s">
        <v>4</v>
      </c>
      <c r="K320" s="8" t="s">
        <v>4</v>
      </c>
    </row>
    <row r="321" spans="1:11" ht="80.099999999999994" customHeight="1">
      <c r="A321" s="8" t="s">
        <v>2900</v>
      </c>
      <c r="B321" s="9" t="s">
        <v>2901</v>
      </c>
      <c r="C321" s="9" t="s">
        <v>2902</v>
      </c>
      <c r="D321" s="9" t="s">
        <v>2903</v>
      </c>
      <c r="E321" s="9" t="s">
        <v>2904</v>
      </c>
      <c r="F321" s="9" t="s">
        <v>2018</v>
      </c>
      <c r="G321" s="8" t="s">
        <v>36</v>
      </c>
      <c r="H321" s="10" t="s">
        <v>11</v>
      </c>
      <c r="I321" s="8" t="s">
        <v>37</v>
      </c>
      <c r="J321" s="8" t="s">
        <v>4</v>
      </c>
      <c r="K321" s="8" t="s">
        <v>4</v>
      </c>
    </row>
    <row r="322" spans="1:11" ht="80.099999999999994" customHeight="1">
      <c r="A322" s="8" t="s">
        <v>2905</v>
      </c>
      <c r="B322" s="9" t="s">
        <v>2906</v>
      </c>
      <c r="C322" s="9" t="s">
        <v>2907</v>
      </c>
      <c r="D322" s="9" t="s">
        <v>2908</v>
      </c>
      <c r="E322" s="9" t="s">
        <v>2909</v>
      </c>
      <c r="F322" s="9" t="s">
        <v>2018</v>
      </c>
      <c r="G322" s="8" t="s">
        <v>36</v>
      </c>
      <c r="H322" s="10" t="s">
        <v>11</v>
      </c>
      <c r="I322" s="8" t="s">
        <v>37</v>
      </c>
      <c r="J322" s="8" t="s">
        <v>4</v>
      </c>
      <c r="K322" s="8" t="s">
        <v>4</v>
      </c>
    </row>
    <row r="323" spans="1:11" ht="80.099999999999994" customHeight="1">
      <c r="A323" s="8" t="s">
        <v>2910</v>
      </c>
      <c r="B323" s="9" t="s">
        <v>2911</v>
      </c>
      <c r="C323" s="9" t="s">
        <v>2912</v>
      </c>
      <c r="D323" s="9" t="s">
        <v>2913</v>
      </c>
      <c r="E323" s="9" t="s">
        <v>2914</v>
      </c>
      <c r="F323" s="9" t="s">
        <v>2018</v>
      </c>
      <c r="G323" s="8" t="s">
        <v>36</v>
      </c>
      <c r="H323" s="10" t="s">
        <v>11</v>
      </c>
      <c r="I323" s="8" t="s">
        <v>37</v>
      </c>
      <c r="J323" s="8" t="s">
        <v>4</v>
      </c>
      <c r="K323" s="8" t="s">
        <v>4</v>
      </c>
    </row>
    <row r="324" spans="1:11" ht="15.95" customHeight="1">
      <c r="A324" s="111" t="s">
        <v>2915</v>
      </c>
      <c r="B324" s="118"/>
      <c r="C324" s="118"/>
      <c r="D324" s="118"/>
      <c r="E324" s="118"/>
      <c r="F324" s="118"/>
      <c r="G324" s="118"/>
      <c r="H324" s="118"/>
      <c r="I324" s="118"/>
      <c r="J324" s="118"/>
      <c r="K324" s="118"/>
    </row>
    <row r="325" spans="1:11" ht="80.099999999999994" customHeight="1">
      <c r="A325" s="8" t="s">
        <v>867</v>
      </c>
      <c r="B325" s="9" t="s">
        <v>2916</v>
      </c>
      <c r="C325" s="9" t="s">
        <v>2917</v>
      </c>
      <c r="D325" s="9" t="s">
        <v>2918</v>
      </c>
      <c r="E325" s="9" t="s">
        <v>2919</v>
      </c>
      <c r="F325" s="9" t="s">
        <v>2013</v>
      </c>
      <c r="G325" s="8" t="s">
        <v>36</v>
      </c>
      <c r="H325" s="10" t="s">
        <v>11</v>
      </c>
      <c r="I325" s="8" t="s">
        <v>37</v>
      </c>
      <c r="J325" s="8" t="s">
        <v>4</v>
      </c>
      <c r="K325" s="8" t="s">
        <v>4</v>
      </c>
    </row>
    <row r="326" spans="1:11" ht="80.099999999999994" customHeight="1">
      <c r="A326" s="8" t="s">
        <v>872</v>
      </c>
      <c r="B326" s="9" t="s">
        <v>2920</v>
      </c>
      <c r="C326" s="9" t="s">
        <v>2921</v>
      </c>
      <c r="D326" s="9" t="s">
        <v>2922</v>
      </c>
      <c r="E326" s="9" t="s">
        <v>2923</v>
      </c>
      <c r="F326" s="9" t="s">
        <v>2018</v>
      </c>
      <c r="G326" s="8" t="s">
        <v>36</v>
      </c>
      <c r="H326" s="10" t="s">
        <v>11</v>
      </c>
      <c r="I326" s="8" t="s">
        <v>37</v>
      </c>
      <c r="J326" s="8" t="s">
        <v>4</v>
      </c>
      <c r="K326" s="8" t="s">
        <v>4</v>
      </c>
    </row>
    <row r="327" spans="1:11" ht="80.099999999999994" customHeight="1">
      <c r="A327" s="8" t="s">
        <v>877</v>
      </c>
      <c r="B327" s="9" t="s">
        <v>2924</v>
      </c>
      <c r="C327" s="9" t="s">
        <v>2925</v>
      </c>
      <c r="D327" s="9" t="s">
        <v>2926</v>
      </c>
      <c r="E327" s="9" t="s">
        <v>2927</v>
      </c>
      <c r="F327" s="9" t="s">
        <v>2018</v>
      </c>
      <c r="G327" s="8" t="s">
        <v>36</v>
      </c>
      <c r="H327" s="10" t="s">
        <v>11</v>
      </c>
      <c r="I327" s="8" t="s">
        <v>37</v>
      </c>
      <c r="J327" s="8" t="s">
        <v>4</v>
      </c>
      <c r="K327" s="8" t="s">
        <v>4</v>
      </c>
    </row>
    <row r="328" spans="1:11" ht="80.099999999999994" customHeight="1">
      <c r="A328" s="8" t="s">
        <v>882</v>
      </c>
      <c r="B328" s="9" t="s">
        <v>2928</v>
      </c>
      <c r="C328" s="9" t="s">
        <v>2929</v>
      </c>
      <c r="D328" s="9" t="s">
        <v>2930</v>
      </c>
      <c r="E328" s="9" t="s">
        <v>2931</v>
      </c>
      <c r="F328" s="9" t="s">
        <v>2018</v>
      </c>
      <c r="G328" s="8" t="s">
        <v>36</v>
      </c>
      <c r="H328" s="10" t="s">
        <v>11</v>
      </c>
      <c r="I328" s="8" t="s">
        <v>37</v>
      </c>
      <c r="J328" s="8" t="s">
        <v>4</v>
      </c>
      <c r="K328" s="8" t="s">
        <v>4</v>
      </c>
    </row>
    <row r="329" spans="1:11" ht="80.099999999999994" customHeight="1">
      <c r="A329" s="8" t="s">
        <v>887</v>
      </c>
      <c r="B329" s="9" t="s">
        <v>2932</v>
      </c>
      <c r="C329" s="9" t="s">
        <v>2933</v>
      </c>
      <c r="D329" s="9" t="s">
        <v>2934</v>
      </c>
      <c r="E329" s="9" t="s">
        <v>2935</v>
      </c>
      <c r="F329" s="9" t="s">
        <v>2018</v>
      </c>
      <c r="G329" s="8" t="s">
        <v>36</v>
      </c>
      <c r="H329" s="10" t="s">
        <v>11</v>
      </c>
      <c r="I329" s="8" t="s">
        <v>37</v>
      </c>
      <c r="J329" s="8" t="s">
        <v>4</v>
      </c>
      <c r="K329" s="8" t="s">
        <v>4</v>
      </c>
    </row>
    <row r="330" spans="1:11" ht="80.099999999999994" customHeight="1">
      <c r="A330" s="8" t="s">
        <v>892</v>
      </c>
      <c r="B330" s="9" t="s">
        <v>2936</v>
      </c>
      <c r="C330" s="9" t="s">
        <v>2937</v>
      </c>
      <c r="D330" s="9" t="s">
        <v>2938</v>
      </c>
      <c r="E330" s="9" t="s">
        <v>2939</v>
      </c>
      <c r="F330" s="9" t="s">
        <v>2018</v>
      </c>
      <c r="G330" s="8" t="s">
        <v>36</v>
      </c>
      <c r="H330" s="10" t="s">
        <v>11</v>
      </c>
      <c r="I330" s="8" t="s">
        <v>37</v>
      </c>
      <c r="J330" s="8" t="s">
        <v>4</v>
      </c>
      <c r="K330" s="8" t="s">
        <v>4</v>
      </c>
    </row>
    <row r="331" spans="1:11" ht="80.099999999999994" customHeight="1">
      <c r="A331" s="8" t="s">
        <v>897</v>
      </c>
      <c r="B331" s="9" t="s">
        <v>2940</v>
      </c>
      <c r="C331" s="9" t="s">
        <v>2941</v>
      </c>
      <c r="D331" s="9" t="s">
        <v>2942</v>
      </c>
      <c r="E331" s="9" t="s">
        <v>2943</v>
      </c>
      <c r="F331" s="9" t="s">
        <v>2018</v>
      </c>
      <c r="G331" s="8" t="s">
        <v>36</v>
      </c>
      <c r="H331" s="10" t="s">
        <v>11</v>
      </c>
      <c r="I331" s="8" t="s">
        <v>37</v>
      </c>
      <c r="J331" s="8" t="s">
        <v>4</v>
      </c>
      <c r="K331" s="8" t="s">
        <v>4</v>
      </c>
    </row>
    <row r="332" spans="1:11" ht="80.099999999999994" customHeight="1">
      <c r="A332" s="8" t="s">
        <v>902</v>
      </c>
      <c r="B332" s="9" t="s">
        <v>2944</v>
      </c>
      <c r="C332" s="9" t="s">
        <v>2945</v>
      </c>
      <c r="D332" s="9" t="s">
        <v>2946</v>
      </c>
      <c r="E332" s="9" t="s">
        <v>2947</v>
      </c>
      <c r="F332" s="9" t="s">
        <v>2018</v>
      </c>
      <c r="G332" s="8" t="s">
        <v>36</v>
      </c>
      <c r="H332" s="10" t="s">
        <v>11</v>
      </c>
      <c r="I332" s="8" t="s">
        <v>37</v>
      </c>
      <c r="J332" s="8" t="s">
        <v>4</v>
      </c>
      <c r="K332" s="8" t="s">
        <v>4</v>
      </c>
    </row>
    <row r="333" spans="1:11" ht="80.099999999999994" customHeight="1">
      <c r="A333" s="8" t="s">
        <v>907</v>
      </c>
      <c r="B333" s="9" t="s">
        <v>2948</v>
      </c>
      <c r="C333" s="9" t="s">
        <v>2949</v>
      </c>
      <c r="D333" s="9" t="s">
        <v>2950</v>
      </c>
      <c r="E333" s="9" t="s">
        <v>2951</v>
      </c>
      <c r="F333" s="9" t="s">
        <v>2018</v>
      </c>
      <c r="G333" s="8" t="s">
        <v>36</v>
      </c>
      <c r="H333" s="10" t="s">
        <v>11</v>
      </c>
      <c r="I333" s="8" t="s">
        <v>37</v>
      </c>
      <c r="J333" s="8" t="s">
        <v>4</v>
      </c>
      <c r="K333" s="8" t="s">
        <v>4</v>
      </c>
    </row>
    <row r="334" spans="1:11" ht="80.099999999999994" customHeight="1">
      <c r="A334" s="8" t="s">
        <v>912</v>
      </c>
      <c r="B334" s="9" t="s">
        <v>2952</v>
      </c>
      <c r="C334" s="9" t="s">
        <v>2953</v>
      </c>
      <c r="D334" s="9" t="s">
        <v>2954</v>
      </c>
      <c r="E334" s="9" t="s">
        <v>2955</v>
      </c>
      <c r="F334" s="9" t="s">
        <v>2018</v>
      </c>
      <c r="G334" s="8" t="s">
        <v>36</v>
      </c>
      <c r="H334" s="10" t="s">
        <v>11</v>
      </c>
      <c r="I334" s="8" t="s">
        <v>37</v>
      </c>
      <c r="J334" s="8" t="s">
        <v>4</v>
      </c>
      <c r="K334" s="8" t="s">
        <v>4</v>
      </c>
    </row>
    <row r="335" spans="1:11" ht="80.099999999999994" customHeight="1">
      <c r="A335" s="8" t="s">
        <v>917</v>
      </c>
      <c r="B335" s="9" t="s">
        <v>2956</v>
      </c>
      <c r="C335" s="9" t="s">
        <v>2957</v>
      </c>
      <c r="D335" s="9" t="s">
        <v>2958</v>
      </c>
      <c r="E335" s="9" t="s">
        <v>2959</v>
      </c>
      <c r="F335" s="9" t="s">
        <v>2018</v>
      </c>
      <c r="G335" s="8" t="s">
        <v>36</v>
      </c>
      <c r="H335" s="10" t="s">
        <v>11</v>
      </c>
      <c r="I335" s="8" t="s">
        <v>37</v>
      </c>
      <c r="J335" s="8" t="s">
        <v>4</v>
      </c>
      <c r="K335" s="8" t="s">
        <v>4</v>
      </c>
    </row>
    <row r="336" spans="1:11" ht="80.099999999999994" customHeight="1">
      <c r="A336" s="8" t="s">
        <v>922</v>
      </c>
      <c r="B336" s="9" t="s">
        <v>2960</v>
      </c>
      <c r="C336" s="9" t="s">
        <v>2961</v>
      </c>
      <c r="D336" s="9" t="s">
        <v>2962</v>
      </c>
      <c r="E336" s="9" t="s">
        <v>2963</v>
      </c>
      <c r="F336" s="9" t="s">
        <v>2018</v>
      </c>
      <c r="G336" s="8" t="s">
        <v>36</v>
      </c>
      <c r="H336" s="10" t="s">
        <v>11</v>
      </c>
      <c r="I336" s="8" t="s">
        <v>37</v>
      </c>
      <c r="J336" s="8" t="s">
        <v>4</v>
      </c>
      <c r="K336" s="8" t="s">
        <v>4</v>
      </c>
    </row>
    <row r="337" spans="1:11" ht="80.099999999999994" customHeight="1">
      <c r="A337" s="8" t="s">
        <v>927</v>
      </c>
      <c r="B337" s="9" t="s">
        <v>2964</v>
      </c>
      <c r="C337" s="9" t="s">
        <v>2965</v>
      </c>
      <c r="D337" s="9" t="s">
        <v>2966</v>
      </c>
      <c r="E337" s="9" t="s">
        <v>2967</v>
      </c>
      <c r="F337" s="9" t="s">
        <v>2018</v>
      </c>
      <c r="G337" s="8" t="s">
        <v>36</v>
      </c>
      <c r="H337" s="10" t="s">
        <v>11</v>
      </c>
      <c r="I337" s="8" t="s">
        <v>37</v>
      </c>
      <c r="J337" s="8" t="s">
        <v>4</v>
      </c>
      <c r="K337" s="8" t="s">
        <v>4</v>
      </c>
    </row>
    <row r="338" spans="1:11" ht="80.099999999999994" customHeight="1">
      <c r="A338" s="8" t="s">
        <v>932</v>
      </c>
      <c r="B338" s="9" t="s">
        <v>2968</v>
      </c>
      <c r="C338" s="9" t="s">
        <v>2969</v>
      </c>
      <c r="D338" s="9" t="s">
        <v>2970</v>
      </c>
      <c r="E338" s="9" t="s">
        <v>2971</v>
      </c>
      <c r="F338" s="9" t="s">
        <v>2018</v>
      </c>
      <c r="G338" s="8" t="s">
        <v>36</v>
      </c>
      <c r="H338" s="10" t="s">
        <v>11</v>
      </c>
      <c r="I338" s="8" t="s">
        <v>37</v>
      </c>
      <c r="J338" s="8" t="s">
        <v>4</v>
      </c>
      <c r="K338" s="8" t="s">
        <v>4</v>
      </c>
    </row>
    <row r="339" spans="1:11" ht="80.099999999999994" customHeight="1">
      <c r="A339" s="8" t="s">
        <v>2972</v>
      </c>
      <c r="B339" s="9" t="s">
        <v>2973</v>
      </c>
      <c r="C339" s="9" t="s">
        <v>2974</v>
      </c>
      <c r="D339" s="9" t="s">
        <v>2975</v>
      </c>
      <c r="E339" s="9" t="s">
        <v>2976</v>
      </c>
      <c r="F339" s="9" t="s">
        <v>2018</v>
      </c>
      <c r="G339" s="8" t="s">
        <v>36</v>
      </c>
      <c r="H339" s="10" t="s">
        <v>11</v>
      </c>
      <c r="I339" s="8" t="s">
        <v>37</v>
      </c>
      <c r="J339" s="8" t="s">
        <v>4</v>
      </c>
      <c r="K339" s="8" t="s">
        <v>4</v>
      </c>
    </row>
    <row r="340" spans="1:11" ht="80.099999999999994" customHeight="1">
      <c r="A340" s="8" t="s">
        <v>2977</v>
      </c>
      <c r="B340" s="9" t="s">
        <v>2978</v>
      </c>
      <c r="C340" s="9" t="s">
        <v>2979</v>
      </c>
      <c r="D340" s="9" t="s">
        <v>2980</v>
      </c>
      <c r="E340" s="9" t="s">
        <v>2981</v>
      </c>
      <c r="F340" s="9" t="s">
        <v>2018</v>
      </c>
      <c r="G340" s="8" t="s">
        <v>36</v>
      </c>
      <c r="H340" s="10" t="s">
        <v>11</v>
      </c>
      <c r="I340" s="8" t="s">
        <v>37</v>
      </c>
      <c r="J340" s="8" t="s">
        <v>4</v>
      </c>
      <c r="K340" s="8" t="s">
        <v>4</v>
      </c>
    </row>
    <row r="341" spans="1:11" ht="80.099999999999994" customHeight="1">
      <c r="A341" s="8" t="s">
        <v>2982</v>
      </c>
      <c r="B341" s="9" t="s">
        <v>2983</v>
      </c>
      <c r="C341" s="9" t="s">
        <v>2984</v>
      </c>
      <c r="D341" s="9" t="s">
        <v>2985</v>
      </c>
      <c r="E341" s="9" t="s">
        <v>2986</v>
      </c>
      <c r="F341" s="9" t="s">
        <v>2018</v>
      </c>
      <c r="G341" s="8" t="s">
        <v>36</v>
      </c>
      <c r="H341" s="10" t="s">
        <v>11</v>
      </c>
      <c r="I341" s="8" t="s">
        <v>37</v>
      </c>
      <c r="J341" s="8" t="s">
        <v>4</v>
      </c>
      <c r="K341" s="8" t="s">
        <v>4</v>
      </c>
    </row>
    <row r="342" spans="1:11" ht="80.099999999999994" customHeight="1">
      <c r="A342" s="8" t="s">
        <v>2987</v>
      </c>
      <c r="B342" s="9" t="s">
        <v>2988</v>
      </c>
      <c r="C342" s="9" t="s">
        <v>2989</v>
      </c>
      <c r="D342" s="9" t="s">
        <v>2990</v>
      </c>
      <c r="E342" s="9" t="s">
        <v>2991</v>
      </c>
      <c r="F342" s="9" t="s">
        <v>2018</v>
      </c>
      <c r="G342" s="8" t="s">
        <v>36</v>
      </c>
      <c r="H342" s="10" t="s">
        <v>11</v>
      </c>
      <c r="I342" s="8" t="s">
        <v>37</v>
      </c>
      <c r="J342" s="8" t="s">
        <v>4</v>
      </c>
      <c r="K342" s="8" t="s">
        <v>4</v>
      </c>
    </row>
    <row r="343" spans="1:11" ht="80.099999999999994" customHeight="1">
      <c r="A343" s="8" t="s">
        <v>2992</v>
      </c>
      <c r="B343" s="9" t="s">
        <v>2993</v>
      </c>
      <c r="C343" s="9" t="s">
        <v>2994</v>
      </c>
      <c r="D343" s="9" t="s">
        <v>2995</v>
      </c>
      <c r="E343" s="9" t="s">
        <v>2996</v>
      </c>
      <c r="F343" s="9" t="s">
        <v>2018</v>
      </c>
      <c r="G343" s="8" t="s">
        <v>36</v>
      </c>
      <c r="H343" s="10" t="s">
        <v>11</v>
      </c>
      <c r="I343" s="8" t="s">
        <v>37</v>
      </c>
      <c r="J343" s="8" t="s">
        <v>4</v>
      </c>
      <c r="K343" s="8" t="s">
        <v>4</v>
      </c>
    </row>
    <row r="344" spans="1:11" ht="80.099999999999994" customHeight="1">
      <c r="A344" s="8" t="s">
        <v>2997</v>
      </c>
      <c r="B344" s="9" t="s">
        <v>2998</v>
      </c>
      <c r="C344" s="9" t="s">
        <v>2999</v>
      </c>
      <c r="D344" s="9" t="s">
        <v>3000</v>
      </c>
      <c r="E344" s="9" t="s">
        <v>3001</v>
      </c>
      <c r="F344" s="9" t="s">
        <v>2018</v>
      </c>
      <c r="G344" s="8" t="s">
        <v>36</v>
      </c>
      <c r="H344" s="10" t="s">
        <v>11</v>
      </c>
      <c r="I344" s="8" t="s">
        <v>37</v>
      </c>
      <c r="J344" s="8" t="s">
        <v>4</v>
      </c>
      <c r="K344" s="8" t="s">
        <v>4</v>
      </c>
    </row>
    <row r="345" spans="1:11" ht="80.099999999999994" customHeight="1">
      <c r="A345" s="8" t="s">
        <v>3002</v>
      </c>
      <c r="B345" s="9" t="s">
        <v>3003</v>
      </c>
      <c r="C345" s="9" t="s">
        <v>3004</v>
      </c>
      <c r="D345" s="9" t="s">
        <v>3005</v>
      </c>
      <c r="E345" s="9" t="s">
        <v>3006</v>
      </c>
      <c r="F345" s="9" t="s">
        <v>2018</v>
      </c>
      <c r="G345" s="8" t="s">
        <v>36</v>
      </c>
      <c r="H345" s="10" t="s">
        <v>11</v>
      </c>
      <c r="I345" s="8" t="s">
        <v>37</v>
      </c>
      <c r="J345" s="8" t="s">
        <v>4</v>
      </c>
      <c r="K345" s="8" t="s">
        <v>4</v>
      </c>
    </row>
    <row r="346" spans="1:11" ht="80.099999999999994" customHeight="1">
      <c r="A346" s="8" t="s">
        <v>3007</v>
      </c>
      <c r="B346" s="9" t="s">
        <v>3008</v>
      </c>
      <c r="C346" s="9" t="s">
        <v>3009</v>
      </c>
      <c r="D346" s="9" t="s">
        <v>3010</v>
      </c>
      <c r="E346" s="9" t="s">
        <v>3011</v>
      </c>
      <c r="F346" s="9" t="s">
        <v>2018</v>
      </c>
      <c r="G346" s="8" t="s">
        <v>36</v>
      </c>
      <c r="H346" s="10" t="s">
        <v>11</v>
      </c>
      <c r="I346" s="8" t="s">
        <v>37</v>
      </c>
      <c r="J346" s="8" t="s">
        <v>4</v>
      </c>
      <c r="K346" s="8" t="s">
        <v>4</v>
      </c>
    </row>
    <row r="347" spans="1:11" ht="80.099999999999994" customHeight="1">
      <c r="A347" s="8" t="s">
        <v>3012</v>
      </c>
      <c r="B347" s="9" t="s">
        <v>3013</v>
      </c>
      <c r="C347" s="9" t="s">
        <v>3014</v>
      </c>
      <c r="D347" s="9" t="s">
        <v>3015</v>
      </c>
      <c r="E347" s="9" t="s">
        <v>3016</v>
      </c>
      <c r="F347" s="9" t="s">
        <v>2018</v>
      </c>
      <c r="G347" s="8" t="s">
        <v>36</v>
      </c>
      <c r="H347" s="10" t="s">
        <v>11</v>
      </c>
      <c r="I347" s="8" t="s">
        <v>37</v>
      </c>
      <c r="J347" s="8" t="s">
        <v>4</v>
      </c>
      <c r="K347" s="8" t="s">
        <v>4</v>
      </c>
    </row>
    <row r="348" spans="1:11" ht="80.099999999999994" customHeight="1">
      <c r="A348" s="8" t="s">
        <v>3017</v>
      </c>
      <c r="B348" s="9" t="s">
        <v>3018</v>
      </c>
      <c r="C348" s="9" t="s">
        <v>3019</v>
      </c>
      <c r="D348" s="9" t="s">
        <v>3020</v>
      </c>
      <c r="E348" s="9" t="s">
        <v>3021</v>
      </c>
      <c r="F348" s="9" t="s">
        <v>2018</v>
      </c>
      <c r="G348" s="8" t="s">
        <v>36</v>
      </c>
      <c r="H348" s="10" t="s">
        <v>11</v>
      </c>
      <c r="I348" s="8" t="s">
        <v>37</v>
      </c>
      <c r="J348" s="8" t="s">
        <v>4</v>
      </c>
      <c r="K348" s="8" t="s">
        <v>4</v>
      </c>
    </row>
    <row r="349" spans="1:11" ht="80.099999999999994" customHeight="1">
      <c r="A349" s="8" t="s">
        <v>3022</v>
      </c>
      <c r="B349" s="9" t="s">
        <v>3023</v>
      </c>
      <c r="C349" s="9" t="s">
        <v>3024</v>
      </c>
      <c r="D349" s="9" t="s">
        <v>3025</v>
      </c>
      <c r="E349" s="9" t="s">
        <v>3026</v>
      </c>
      <c r="F349" s="9" t="s">
        <v>2018</v>
      </c>
      <c r="G349" s="8" t="s">
        <v>36</v>
      </c>
      <c r="H349" s="10" t="s">
        <v>11</v>
      </c>
      <c r="I349" s="8" t="s">
        <v>37</v>
      </c>
      <c r="J349" s="8" t="s">
        <v>4</v>
      </c>
      <c r="K349" s="8" t="s">
        <v>4</v>
      </c>
    </row>
    <row r="350" spans="1:11" ht="80.099999999999994" customHeight="1">
      <c r="A350" s="8" t="s">
        <v>3027</v>
      </c>
      <c r="B350" s="9" t="s">
        <v>3028</v>
      </c>
      <c r="C350" s="9" t="s">
        <v>3029</v>
      </c>
      <c r="D350" s="9" t="s">
        <v>3030</v>
      </c>
      <c r="E350" s="9" t="s">
        <v>3031</v>
      </c>
      <c r="F350" s="9" t="s">
        <v>2018</v>
      </c>
      <c r="G350" s="8" t="s">
        <v>36</v>
      </c>
      <c r="H350" s="10" t="s">
        <v>11</v>
      </c>
      <c r="I350" s="8" t="s">
        <v>37</v>
      </c>
      <c r="J350" s="8" t="s">
        <v>4</v>
      </c>
      <c r="K350" s="8" t="s">
        <v>4</v>
      </c>
    </row>
    <row r="351" spans="1:11" ht="80.099999999999994" customHeight="1">
      <c r="A351" s="8" t="s">
        <v>3032</v>
      </c>
      <c r="B351" s="9" t="s">
        <v>3033</v>
      </c>
      <c r="C351" s="9" t="s">
        <v>3034</v>
      </c>
      <c r="D351" s="9" t="s">
        <v>3035</v>
      </c>
      <c r="E351" s="9" t="s">
        <v>3036</v>
      </c>
      <c r="F351" s="9" t="s">
        <v>2018</v>
      </c>
      <c r="G351" s="8" t="s">
        <v>36</v>
      </c>
      <c r="H351" s="10" t="s">
        <v>11</v>
      </c>
      <c r="I351" s="8" t="s">
        <v>37</v>
      </c>
      <c r="J351" s="8" t="s">
        <v>4</v>
      </c>
      <c r="K351" s="8" t="s">
        <v>4</v>
      </c>
    </row>
    <row r="352" spans="1:11" ht="80.099999999999994" customHeight="1">
      <c r="A352" s="8" t="s">
        <v>3037</v>
      </c>
      <c r="B352" s="9" t="s">
        <v>3038</v>
      </c>
      <c r="C352" s="9" t="s">
        <v>3039</v>
      </c>
      <c r="D352" s="9" t="s">
        <v>3040</v>
      </c>
      <c r="E352" s="9" t="s">
        <v>3041</v>
      </c>
      <c r="F352" s="9" t="s">
        <v>2018</v>
      </c>
      <c r="G352" s="8" t="s">
        <v>36</v>
      </c>
      <c r="H352" s="10" t="s">
        <v>11</v>
      </c>
      <c r="I352" s="8" t="s">
        <v>37</v>
      </c>
      <c r="J352" s="8" t="s">
        <v>4</v>
      </c>
      <c r="K352" s="8" t="s">
        <v>4</v>
      </c>
    </row>
    <row r="353" spans="1:11" ht="80.099999999999994" customHeight="1">
      <c r="A353" s="8" t="s">
        <v>3042</v>
      </c>
      <c r="B353" s="9" t="s">
        <v>3043</v>
      </c>
      <c r="C353" s="9" t="s">
        <v>3044</v>
      </c>
      <c r="D353" s="9" t="s">
        <v>3045</v>
      </c>
      <c r="E353" s="9" t="s">
        <v>3046</v>
      </c>
      <c r="F353" s="9" t="s">
        <v>2018</v>
      </c>
      <c r="G353" s="8" t="s">
        <v>36</v>
      </c>
      <c r="H353" s="10" t="s">
        <v>11</v>
      </c>
      <c r="I353" s="8" t="s">
        <v>37</v>
      </c>
      <c r="J353" s="8" t="s">
        <v>4</v>
      </c>
      <c r="K353" s="8" t="s">
        <v>4</v>
      </c>
    </row>
    <row r="354" spans="1:11" ht="80.099999999999994" customHeight="1">
      <c r="A354" s="8" t="s">
        <v>3047</v>
      </c>
      <c r="B354" s="9" t="s">
        <v>3048</v>
      </c>
      <c r="C354" s="9" t="s">
        <v>3049</v>
      </c>
      <c r="D354" s="9" t="s">
        <v>3050</v>
      </c>
      <c r="E354" s="9" t="s">
        <v>3051</v>
      </c>
      <c r="F354" s="9" t="s">
        <v>2018</v>
      </c>
      <c r="G354" s="8" t="s">
        <v>36</v>
      </c>
      <c r="H354" s="10" t="s">
        <v>11</v>
      </c>
      <c r="I354" s="8" t="s">
        <v>37</v>
      </c>
      <c r="J354" s="8" t="s">
        <v>4</v>
      </c>
      <c r="K354" s="8" t="s">
        <v>4</v>
      </c>
    </row>
    <row r="355" spans="1:11" ht="15.95" customHeight="1">
      <c r="A355" s="111" t="s">
        <v>3052</v>
      </c>
      <c r="B355" s="118"/>
      <c r="C355" s="118"/>
      <c r="D355" s="118"/>
      <c r="E355" s="118"/>
      <c r="F355" s="118"/>
      <c r="G355" s="118"/>
      <c r="H355" s="118"/>
      <c r="I355" s="118"/>
      <c r="J355" s="118"/>
      <c r="K355" s="118"/>
    </row>
    <row r="356" spans="1:11" ht="80.099999999999994" customHeight="1">
      <c r="A356" s="8" t="s">
        <v>938</v>
      </c>
      <c r="B356" s="9" t="s">
        <v>3053</v>
      </c>
      <c r="C356" s="9" t="s">
        <v>3054</v>
      </c>
      <c r="D356" s="9" t="s">
        <v>3055</v>
      </c>
      <c r="E356" s="9" t="s">
        <v>3056</v>
      </c>
      <c r="F356" s="9" t="s">
        <v>2013</v>
      </c>
      <c r="G356" s="8" t="s">
        <v>36</v>
      </c>
      <c r="H356" s="10" t="s">
        <v>11</v>
      </c>
      <c r="I356" s="8" t="s">
        <v>37</v>
      </c>
      <c r="J356" s="8" t="s">
        <v>4</v>
      </c>
      <c r="K356" s="8" t="s">
        <v>4</v>
      </c>
    </row>
    <row r="357" spans="1:11" ht="80.099999999999994" customHeight="1">
      <c r="A357" s="8" t="s">
        <v>943</v>
      </c>
      <c r="B357" s="9" t="s">
        <v>3057</v>
      </c>
      <c r="C357" s="9" t="s">
        <v>3058</v>
      </c>
      <c r="D357" s="9" t="s">
        <v>3059</v>
      </c>
      <c r="E357" s="9" t="s">
        <v>3060</v>
      </c>
      <c r="F357" s="9" t="s">
        <v>2018</v>
      </c>
      <c r="G357" s="8" t="s">
        <v>36</v>
      </c>
      <c r="H357" s="10" t="s">
        <v>11</v>
      </c>
      <c r="I357" s="8" t="s">
        <v>37</v>
      </c>
      <c r="J357" s="8" t="s">
        <v>4</v>
      </c>
      <c r="K357" s="8" t="s">
        <v>4</v>
      </c>
    </row>
    <row r="358" spans="1:11" ht="80.099999999999994" customHeight="1">
      <c r="A358" s="8" t="s">
        <v>948</v>
      </c>
      <c r="B358" s="9" t="s">
        <v>3061</v>
      </c>
      <c r="C358" s="9" t="s">
        <v>3062</v>
      </c>
      <c r="D358" s="9" t="s">
        <v>3063</v>
      </c>
      <c r="E358" s="9" t="s">
        <v>3064</v>
      </c>
      <c r="F358" s="9" t="s">
        <v>2018</v>
      </c>
      <c r="G358" s="8" t="s">
        <v>36</v>
      </c>
      <c r="H358" s="10" t="s">
        <v>11</v>
      </c>
      <c r="I358" s="8" t="s">
        <v>37</v>
      </c>
      <c r="J358" s="8" t="s">
        <v>4</v>
      </c>
      <c r="K358" s="8" t="s">
        <v>4</v>
      </c>
    </row>
    <row r="359" spans="1:11" ht="80.099999999999994" customHeight="1">
      <c r="A359" s="8" t="s">
        <v>953</v>
      </c>
      <c r="B359" s="9" t="s">
        <v>3065</v>
      </c>
      <c r="C359" s="9" t="s">
        <v>3066</v>
      </c>
      <c r="D359" s="9" t="s">
        <v>3067</v>
      </c>
      <c r="E359" s="9" t="s">
        <v>3068</v>
      </c>
      <c r="F359" s="9" t="s">
        <v>2018</v>
      </c>
      <c r="G359" s="8" t="s">
        <v>36</v>
      </c>
      <c r="H359" s="10" t="s">
        <v>11</v>
      </c>
      <c r="I359" s="8" t="s">
        <v>37</v>
      </c>
      <c r="J359" s="8" t="s">
        <v>4</v>
      </c>
      <c r="K359" s="8" t="s">
        <v>4</v>
      </c>
    </row>
    <row r="360" spans="1:11" ht="80.099999999999994" customHeight="1">
      <c r="A360" s="8" t="s">
        <v>958</v>
      </c>
      <c r="B360" s="9" t="s">
        <v>3069</v>
      </c>
      <c r="C360" s="9" t="s">
        <v>3070</v>
      </c>
      <c r="D360" s="9" t="s">
        <v>3071</v>
      </c>
      <c r="E360" s="9" t="s">
        <v>3072</v>
      </c>
      <c r="F360" s="9" t="s">
        <v>2018</v>
      </c>
      <c r="G360" s="8" t="s">
        <v>36</v>
      </c>
      <c r="H360" s="10" t="s">
        <v>11</v>
      </c>
      <c r="I360" s="8" t="s">
        <v>37</v>
      </c>
      <c r="J360" s="8" t="s">
        <v>4</v>
      </c>
      <c r="K360" s="8" t="s">
        <v>4</v>
      </c>
    </row>
    <row r="361" spans="1:11" ht="80.099999999999994" customHeight="1">
      <c r="A361" s="8" t="s">
        <v>963</v>
      </c>
      <c r="B361" s="9" t="s">
        <v>3073</v>
      </c>
      <c r="C361" s="9" t="s">
        <v>3074</v>
      </c>
      <c r="D361" s="9" t="s">
        <v>3075</v>
      </c>
      <c r="E361" s="9" t="s">
        <v>3076</v>
      </c>
      <c r="F361" s="9" t="s">
        <v>2018</v>
      </c>
      <c r="G361" s="8" t="s">
        <v>36</v>
      </c>
      <c r="H361" s="10" t="s">
        <v>11</v>
      </c>
      <c r="I361" s="8" t="s">
        <v>37</v>
      </c>
      <c r="J361" s="8" t="s">
        <v>4</v>
      </c>
      <c r="K361" s="8" t="s">
        <v>4</v>
      </c>
    </row>
    <row r="362" spans="1:11" ht="80.099999999999994" customHeight="1">
      <c r="A362" s="8" t="s">
        <v>968</v>
      </c>
      <c r="B362" s="9" t="s">
        <v>3077</v>
      </c>
      <c r="C362" s="9" t="s">
        <v>3078</v>
      </c>
      <c r="D362" s="9" t="s">
        <v>3079</v>
      </c>
      <c r="E362" s="9" t="s">
        <v>3080</v>
      </c>
      <c r="F362" s="9" t="s">
        <v>2018</v>
      </c>
      <c r="G362" s="8" t="s">
        <v>36</v>
      </c>
      <c r="H362" s="10" t="s">
        <v>11</v>
      </c>
      <c r="I362" s="8" t="s">
        <v>37</v>
      </c>
      <c r="J362" s="8" t="s">
        <v>4</v>
      </c>
      <c r="K362" s="8" t="s">
        <v>4</v>
      </c>
    </row>
    <row r="363" spans="1:11" ht="80.099999999999994" customHeight="1">
      <c r="A363" s="8" t="s">
        <v>973</v>
      </c>
      <c r="B363" s="9" t="s">
        <v>3081</v>
      </c>
      <c r="C363" s="9" t="s">
        <v>3082</v>
      </c>
      <c r="D363" s="9" t="s">
        <v>3083</v>
      </c>
      <c r="E363" s="9" t="s">
        <v>3084</v>
      </c>
      <c r="F363" s="9" t="s">
        <v>2018</v>
      </c>
      <c r="G363" s="8" t="s">
        <v>36</v>
      </c>
      <c r="H363" s="10" t="s">
        <v>11</v>
      </c>
      <c r="I363" s="8" t="s">
        <v>37</v>
      </c>
      <c r="J363" s="8" t="s">
        <v>4</v>
      </c>
      <c r="K363" s="8" t="s">
        <v>4</v>
      </c>
    </row>
    <row r="364" spans="1:11" ht="80.099999999999994" customHeight="1">
      <c r="A364" s="8" t="s">
        <v>978</v>
      </c>
      <c r="B364" s="9" t="s">
        <v>3085</v>
      </c>
      <c r="C364" s="9" t="s">
        <v>3086</v>
      </c>
      <c r="D364" s="9" t="s">
        <v>3087</v>
      </c>
      <c r="E364" s="9" t="s">
        <v>3088</v>
      </c>
      <c r="F364" s="9" t="s">
        <v>2018</v>
      </c>
      <c r="G364" s="8" t="s">
        <v>36</v>
      </c>
      <c r="H364" s="10" t="s">
        <v>11</v>
      </c>
      <c r="I364" s="8" t="s">
        <v>37</v>
      </c>
      <c r="J364" s="8" t="s">
        <v>4</v>
      </c>
      <c r="K364" s="8" t="s">
        <v>4</v>
      </c>
    </row>
    <row r="365" spans="1:11" ht="80.099999999999994" customHeight="1">
      <c r="A365" s="8" t="s">
        <v>3089</v>
      </c>
      <c r="B365" s="9" t="s">
        <v>3090</v>
      </c>
      <c r="C365" s="9" t="s">
        <v>3091</v>
      </c>
      <c r="D365" s="9" t="s">
        <v>3092</v>
      </c>
      <c r="E365" s="9" t="s">
        <v>3093</v>
      </c>
      <c r="F365" s="9" t="s">
        <v>2018</v>
      </c>
      <c r="G365" s="8" t="s">
        <v>36</v>
      </c>
      <c r="H365" s="10" t="s">
        <v>11</v>
      </c>
      <c r="I365" s="8" t="s">
        <v>37</v>
      </c>
      <c r="J365" s="8" t="s">
        <v>4</v>
      </c>
      <c r="K365" s="8" t="s">
        <v>4</v>
      </c>
    </row>
    <row r="366" spans="1:11" ht="80.099999999999994" customHeight="1">
      <c r="A366" s="8" t="s">
        <v>3094</v>
      </c>
      <c r="B366" s="9" t="s">
        <v>3095</v>
      </c>
      <c r="C366" s="9" t="s">
        <v>3096</v>
      </c>
      <c r="D366" s="9" t="s">
        <v>3097</v>
      </c>
      <c r="E366" s="9" t="s">
        <v>3098</v>
      </c>
      <c r="F366" s="9" t="s">
        <v>2018</v>
      </c>
      <c r="G366" s="8" t="s">
        <v>36</v>
      </c>
      <c r="H366" s="10" t="s">
        <v>11</v>
      </c>
      <c r="I366" s="8" t="s">
        <v>37</v>
      </c>
      <c r="J366" s="8" t="s">
        <v>4</v>
      </c>
      <c r="K366" s="8" t="s">
        <v>4</v>
      </c>
    </row>
    <row r="367" spans="1:11" ht="80.099999999999994" customHeight="1">
      <c r="A367" s="8" t="s">
        <v>3099</v>
      </c>
      <c r="B367" s="9" t="s">
        <v>3100</v>
      </c>
      <c r="C367" s="9" t="s">
        <v>3101</v>
      </c>
      <c r="D367" s="9" t="s">
        <v>3102</v>
      </c>
      <c r="E367" s="9" t="s">
        <v>3103</v>
      </c>
      <c r="F367" s="9" t="s">
        <v>2018</v>
      </c>
      <c r="G367" s="8" t="s">
        <v>36</v>
      </c>
      <c r="H367" s="10" t="s">
        <v>11</v>
      </c>
      <c r="I367" s="8" t="s">
        <v>37</v>
      </c>
      <c r="J367" s="8" t="s">
        <v>4</v>
      </c>
      <c r="K367" s="8" t="s">
        <v>4</v>
      </c>
    </row>
    <row r="368" spans="1:11" ht="80.099999999999994" customHeight="1">
      <c r="A368" s="8" t="s">
        <v>3104</v>
      </c>
      <c r="B368" s="9" t="s">
        <v>3105</v>
      </c>
      <c r="C368" s="9" t="s">
        <v>3106</v>
      </c>
      <c r="D368" s="9" t="s">
        <v>3107</v>
      </c>
      <c r="E368" s="9" t="s">
        <v>3108</v>
      </c>
      <c r="F368" s="9" t="s">
        <v>2018</v>
      </c>
      <c r="G368" s="8" t="s">
        <v>36</v>
      </c>
      <c r="H368" s="10" t="s">
        <v>11</v>
      </c>
      <c r="I368" s="8" t="s">
        <v>37</v>
      </c>
      <c r="J368" s="8" t="s">
        <v>4</v>
      </c>
      <c r="K368" s="8" t="s">
        <v>4</v>
      </c>
    </row>
    <row r="369" spans="1:11" ht="80.099999999999994" customHeight="1">
      <c r="A369" s="8" t="s">
        <v>3109</v>
      </c>
      <c r="B369" s="9" t="s">
        <v>3110</v>
      </c>
      <c r="C369" s="9" t="s">
        <v>3111</v>
      </c>
      <c r="D369" s="9" t="s">
        <v>3112</v>
      </c>
      <c r="E369" s="9" t="s">
        <v>3113</v>
      </c>
      <c r="F369" s="9" t="s">
        <v>2018</v>
      </c>
      <c r="G369" s="8" t="s">
        <v>36</v>
      </c>
      <c r="H369" s="10" t="s">
        <v>11</v>
      </c>
      <c r="I369" s="8" t="s">
        <v>37</v>
      </c>
      <c r="J369" s="8" t="s">
        <v>4</v>
      </c>
      <c r="K369" s="8" t="s">
        <v>4</v>
      </c>
    </row>
    <row r="370" spans="1:11" ht="80.099999999999994" customHeight="1">
      <c r="A370" s="8" t="s">
        <v>3114</v>
      </c>
      <c r="B370" s="9" t="s">
        <v>3115</v>
      </c>
      <c r="C370" s="9" t="s">
        <v>3116</v>
      </c>
      <c r="D370" s="9" t="s">
        <v>3117</v>
      </c>
      <c r="E370" s="9" t="s">
        <v>3118</v>
      </c>
      <c r="F370" s="9" t="s">
        <v>2018</v>
      </c>
      <c r="G370" s="8" t="s">
        <v>36</v>
      </c>
      <c r="H370" s="10" t="s">
        <v>11</v>
      </c>
      <c r="I370" s="8" t="s">
        <v>37</v>
      </c>
      <c r="J370" s="8" t="s">
        <v>4</v>
      </c>
      <c r="K370" s="8" t="s">
        <v>4</v>
      </c>
    </row>
    <row r="371" spans="1:11" ht="80.099999999999994" customHeight="1">
      <c r="A371" s="8" t="s">
        <v>3119</v>
      </c>
      <c r="B371" s="9" t="s">
        <v>3120</v>
      </c>
      <c r="C371" s="9" t="s">
        <v>3121</v>
      </c>
      <c r="D371" s="9" t="s">
        <v>3122</v>
      </c>
      <c r="E371" s="9" t="s">
        <v>3123</v>
      </c>
      <c r="F371" s="9" t="s">
        <v>2018</v>
      </c>
      <c r="G371" s="8" t="s">
        <v>36</v>
      </c>
      <c r="H371" s="10" t="s">
        <v>11</v>
      </c>
      <c r="I371" s="8" t="s">
        <v>37</v>
      </c>
      <c r="J371" s="8" t="s">
        <v>4</v>
      </c>
      <c r="K371" s="8" t="s">
        <v>4</v>
      </c>
    </row>
    <row r="372" spans="1:11" ht="80.099999999999994" customHeight="1">
      <c r="A372" s="8" t="s">
        <v>3124</v>
      </c>
      <c r="B372" s="9" t="s">
        <v>3125</v>
      </c>
      <c r="C372" s="9" t="s">
        <v>3126</v>
      </c>
      <c r="D372" s="9" t="s">
        <v>3127</v>
      </c>
      <c r="E372" s="9" t="s">
        <v>3128</v>
      </c>
      <c r="F372" s="9" t="s">
        <v>2018</v>
      </c>
      <c r="G372" s="8" t="s">
        <v>36</v>
      </c>
      <c r="H372" s="10" t="s">
        <v>11</v>
      </c>
      <c r="I372" s="8" t="s">
        <v>37</v>
      </c>
      <c r="J372" s="8" t="s">
        <v>4</v>
      </c>
      <c r="K372" s="8" t="s">
        <v>4</v>
      </c>
    </row>
    <row r="373" spans="1:11" ht="80.099999999999994" customHeight="1">
      <c r="A373" s="8" t="s">
        <v>3129</v>
      </c>
      <c r="B373" s="9" t="s">
        <v>3130</v>
      </c>
      <c r="C373" s="9" t="s">
        <v>3131</v>
      </c>
      <c r="D373" s="9" t="s">
        <v>3132</v>
      </c>
      <c r="E373" s="9" t="s">
        <v>3133</v>
      </c>
      <c r="F373" s="9" t="s">
        <v>2018</v>
      </c>
      <c r="G373" s="8" t="s">
        <v>36</v>
      </c>
      <c r="H373" s="10" t="s">
        <v>11</v>
      </c>
      <c r="I373" s="8" t="s">
        <v>37</v>
      </c>
      <c r="J373" s="8" t="s">
        <v>4</v>
      </c>
      <c r="K373" s="8" t="s">
        <v>4</v>
      </c>
    </row>
    <row r="374" spans="1:11" ht="80.099999999999994" customHeight="1">
      <c r="A374" s="8" t="s">
        <v>3134</v>
      </c>
      <c r="B374" s="9" t="s">
        <v>3135</v>
      </c>
      <c r="C374" s="9" t="s">
        <v>3136</v>
      </c>
      <c r="D374" s="9" t="s">
        <v>3137</v>
      </c>
      <c r="E374" s="9" t="s">
        <v>3138</v>
      </c>
      <c r="F374" s="9" t="s">
        <v>2018</v>
      </c>
      <c r="G374" s="8" t="s">
        <v>36</v>
      </c>
      <c r="H374" s="10" t="s">
        <v>11</v>
      </c>
      <c r="I374" s="8" t="s">
        <v>37</v>
      </c>
      <c r="J374" s="8" t="s">
        <v>4</v>
      </c>
      <c r="K374" s="8" t="s">
        <v>4</v>
      </c>
    </row>
    <row r="375" spans="1:11" ht="80.099999999999994" customHeight="1">
      <c r="A375" s="8" t="s">
        <v>3139</v>
      </c>
      <c r="B375" s="9" t="s">
        <v>3140</v>
      </c>
      <c r="C375" s="9" t="s">
        <v>3141</v>
      </c>
      <c r="D375" s="9" t="s">
        <v>3142</v>
      </c>
      <c r="E375" s="9" t="s">
        <v>3143</v>
      </c>
      <c r="F375" s="9" t="s">
        <v>2018</v>
      </c>
      <c r="G375" s="8" t="s">
        <v>36</v>
      </c>
      <c r="H375" s="10" t="s">
        <v>11</v>
      </c>
      <c r="I375" s="8" t="s">
        <v>37</v>
      </c>
      <c r="J375" s="8" t="s">
        <v>4</v>
      </c>
      <c r="K375" s="8" t="s">
        <v>4</v>
      </c>
    </row>
    <row r="376" spans="1:11" ht="15.95" customHeight="1">
      <c r="A376" s="111" t="s">
        <v>3144</v>
      </c>
      <c r="B376" s="118"/>
      <c r="C376" s="118"/>
      <c r="D376" s="118"/>
      <c r="E376" s="118"/>
      <c r="F376" s="118"/>
      <c r="G376" s="118"/>
      <c r="H376" s="118"/>
      <c r="I376" s="118"/>
      <c r="J376" s="118"/>
      <c r="K376" s="118"/>
    </row>
    <row r="377" spans="1:11" ht="80.099999999999994" customHeight="1">
      <c r="A377" s="8" t="s">
        <v>984</v>
      </c>
      <c r="B377" s="9" t="s">
        <v>3145</v>
      </c>
      <c r="C377" s="9" t="s">
        <v>3146</v>
      </c>
      <c r="D377" s="9" t="s">
        <v>3147</v>
      </c>
      <c r="E377" s="9" t="s">
        <v>3148</v>
      </c>
      <c r="F377" s="9" t="s">
        <v>2013</v>
      </c>
      <c r="G377" s="8" t="s">
        <v>36</v>
      </c>
      <c r="H377" s="10" t="s">
        <v>11</v>
      </c>
      <c r="I377" s="8" t="s">
        <v>37</v>
      </c>
      <c r="J377" s="8" t="s">
        <v>4</v>
      </c>
      <c r="K377" s="8" t="s">
        <v>4</v>
      </c>
    </row>
    <row r="378" spans="1:11" ht="80.099999999999994" customHeight="1">
      <c r="A378" s="8" t="s">
        <v>989</v>
      </c>
      <c r="B378" s="9" t="s">
        <v>3149</v>
      </c>
      <c r="C378" s="9" t="s">
        <v>3150</v>
      </c>
      <c r="D378" s="9" t="s">
        <v>3151</v>
      </c>
      <c r="E378" s="9" t="s">
        <v>3152</v>
      </c>
      <c r="F378" s="9" t="s">
        <v>2018</v>
      </c>
      <c r="G378" s="8" t="s">
        <v>36</v>
      </c>
      <c r="H378" s="10" t="s">
        <v>11</v>
      </c>
      <c r="I378" s="8" t="s">
        <v>37</v>
      </c>
      <c r="J378" s="8" t="s">
        <v>4</v>
      </c>
      <c r="K378" s="8" t="s">
        <v>4</v>
      </c>
    </row>
    <row r="379" spans="1:11" ht="80.099999999999994" customHeight="1">
      <c r="A379" s="8" t="s">
        <v>3153</v>
      </c>
      <c r="B379" s="9" t="s">
        <v>3154</v>
      </c>
      <c r="C379" s="9" t="s">
        <v>3155</v>
      </c>
      <c r="D379" s="9" t="s">
        <v>3156</v>
      </c>
      <c r="E379" s="9" t="s">
        <v>3157</v>
      </c>
      <c r="F379" s="9" t="s">
        <v>2018</v>
      </c>
      <c r="G379" s="8" t="s">
        <v>36</v>
      </c>
      <c r="H379" s="10" t="s">
        <v>11</v>
      </c>
      <c r="I379" s="8" t="s">
        <v>37</v>
      </c>
      <c r="J379" s="8" t="s">
        <v>4</v>
      </c>
      <c r="K379" s="8" t="s">
        <v>4</v>
      </c>
    </row>
    <row r="380" spans="1:11" ht="80.099999999999994" customHeight="1">
      <c r="A380" s="8" t="s">
        <v>3158</v>
      </c>
      <c r="B380" s="9" t="s">
        <v>3159</v>
      </c>
      <c r="C380" s="9" t="s">
        <v>3160</v>
      </c>
      <c r="D380" s="9" t="s">
        <v>3161</v>
      </c>
      <c r="E380" s="9" t="s">
        <v>3162</v>
      </c>
      <c r="F380" s="9" t="s">
        <v>2018</v>
      </c>
      <c r="G380" s="8" t="s">
        <v>36</v>
      </c>
      <c r="H380" s="10" t="s">
        <v>11</v>
      </c>
      <c r="I380" s="8" t="s">
        <v>37</v>
      </c>
      <c r="J380" s="8" t="s">
        <v>4</v>
      </c>
      <c r="K380" s="8" t="s">
        <v>4</v>
      </c>
    </row>
    <row r="381" spans="1:11" ht="80.099999999999994" customHeight="1">
      <c r="A381" s="8" t="s">
        <v>3163</v>
      </c>
      <c r="B381" s="9" t="s">
        <v>3164</v>
      </c>
      <c r="C381" s="9" t="s">
        <v>3165</v>
      </c>
      <c r="D381" s="9" t="s">
        <v>3166</v>
      </c>
      <c r="E381" s="9" t="s">
        <v>3167</v>
      </c>
      <c r="F381" s="9" t="s">
        <v>2018</v>
      </c>
      <c r="G381" s="8" t="s">
        <v>36</v>
      </c>
      <c r="H381" s="10" t="s">
        <v>11</v>
      </c>
      <c r="I381" s="8" t="s">
        <v>37</v>
      </c>
      <c r="J381" s="8" t="s">
        <v>4</v>
      </c>
      <c r="K381" s="8" t="s">
        <v>4</v>
      </c>
    </row>
    <row r="382" spans="1:11" ht="80.099999999999994" customHeight="1">
      <c r="A382" s="8" t="s">
        <v>3168</v>
      </c>
      <c r="B382" s="9" t="s">
        <v>3169</v>
      </c>
      <c r="C382" s="9" t="s">
        <v>3170</v>
      </c>
      <c r="D382" s="9" t="s">
        <v>3171</v>
      </c>
      <c r="E382" s="9" t="s">
        <v>3172</v>
      </c>
      <c r="F382" s="9" t="s">
        <v>2018</v>
      </c>
      <c r="G382" s="8" t="s">
        <v>36</v>
      </c>
      <c r="H382" s="10" t="s">
        <v>11</v>
      </c>
      <c r="I382" s="8" t="s">
        <v>37</v>
      </c>
      <c r="J382" s="8" t="s">
        <v>4</v>
      </c>
      <c r="K382" s="8" t="s">
        <v>4</v>
      </c>
    </row>
    <row r="383" spans="1:11" ht="15.95" customHeight="1">
      <c r="A383" s="111" t="s">
        <v>3173</v>
      </c>
      <c r="B383" s="118"/>
      <c r="C383" s="118"/>
      <c r="D383" s="118"/>
      <c r="E383" s="118"/>
      <c r="F383" s="118"/>
      <c r="G383" s="118"/>
      <c r="H383" s="118"/>
      <c r="I383" s="118"/>
      <c r="J383" s="118"/>
      <c r="K383" s="118"/>
    </row>
    <row r="384" spans="1:11" ht="80.099999999999994" customHeight="1">
      <c r="A384" s="8" t="s">
        <v>995</v>
      </c>
      <c r="B384" s="9" t="s">
        <v>3174</v>
      </c>
      <c r="C384" s="9" t="s">
        <v>3175</v>
      </c>
      <c r="D384" s="9" t="s">
        <v>3176</v>
      </c>
      <c r="E384" s="9" t="s">
        <v>3177</v>
      </c>
      <c r="F384" s="9" t="s">
        <v>2013</v>
      </c>
      <c r="G384" s="8" t="s">
        <v>36</v>
      </c>
      <c r="H384" s="10" t="s">
        <v>11</v>
      </c>
      <c r="I384" s="8" t="s">
        <v>37</v>
      </c>
      <c r="J384" s="8" t="s">
        <v>4</v>
      </c>
      <c r="K384" s="8" t="s">
        <v>4</v>
      </c>
    </row>
    <row r="385" spans="1:11" ht="80.099999999999994" customHeight="1">
      <c r="A385" s="8" t="s">
        <v>1000</v>
      </c>
      <c r="B385" s="9" t="s">
        <v>3178</v>
      </c>
      <c r="C385" s="9" t="s">
        <v>3179</v>
      </c>
      <c r="D385" s="9" t="s">
        <v>3180</v>
      </c>
      <c r="E385" s="9" t="s">
        <v>3181</v>
      </c>
      <c r="F385" s="9" t="s">
        <v>2018</v>
      </c>
      <c r="G385" s="8" t="s">
        <v>36</v>
      </c>
      <c r="H385" s="10" t="s">
        <v>11</v>
      </c>
      <c r="I385" s="8" t="s">
        <v>37</v>
      </c>
      <c r="J385" s="8" t="s">
        <v>4</v>
      </c>
      <c r="K385" s="8" t="s">
        <v>4</v>
      </c>
    </row>
    <row r="386" spans="1:11" ht="80.099999999999994" customHeight="1">
      <c r="A386" s="8" t="s">
        <v>3182</v>
      </c>
      <c r="B386" s="9" t="s">
        <v>3183</v>
      </c>
      <c r="C386" s="9" t="s">
        <v>3184</v>
      </c>
      <c r="D386" s="9" t="s">
        <v>3185</v>
      </c>
      <c r="E386" s="9" t="s">
        <v>3186</v>
      </c>
      <c r="F386" s="9" t="s">
        <v>2018</v>
      </c>
      <c r="G386" s="8" t="s">
        <v>36</v>
      </c>
      <c r="H386" s="10" t="s">
        <v>11</v>
      </c>
      <c r="I386" s="8" t="s">
        <v>37</v>
      </c>
      <c r="J386" s="8" t="s">
        <v>4</v>
      </c>
      <c r="K386" s="8" t="s">
        <v>4</v>
      </c>
    </row>
    <row r="387" spans="1:11" ht="80.099999999999994" customHeight="1">
      <c r="A387" s="8" t="s">
        <v>3187</v>
      </c>
      <c r="B387" s="9" t="s">
        <v>3188</v>
      </c>
      <c r="C387" s="9" t="s">
        <v>3189</v>
      </c>
      <c r="D387" s="9" t="s">
        <v>3190</v>
      </c>
      <c r="E387" s="9" t="s">
        <v>3191</v>
      </c>
      <c r="F387" s="9" t="s">
        <v>2018</v>
      </c>
      <c r="G387" s="8" t="s">
        <v>36</v>
      </c>
      <c r="H387" s="10" t="s">
        <v>11</v>
      </c>
      <c r="I387" s="8" t="s">
        <v>37</v>
      </c>
      <c r="J387" s="8" t="s">
        <v>4</v>
      </c>
      <c r="K387" s="8" t="s">
        <v>4</v>
      </c>
    </row>
    <row r="388" spans="1:11" ht="80.099999999999994" customHeight="1">
      <c r="A388" s="8" t="s">
        <v>3192</v>
      </c>
      <c r="B388" s="9" t="s">
        <v>3193</v>
      </c>
      <c r="C388" s="9" t="s">
        <v>3194</v>
      </c>
      <c r="D388" s="9" t="s">
        <v>3195</v>
      </c>
      <c r="E388" s="9" t="s">
        <v>3196</v>
      </c>
      <c r="F388" s="9" t="s">
        <v>2018</v>
      </c>
      <c r="G388" s="8" t="s">
        <v>36</v>
      </c>
      <c r="H388" s="10" t="s">
        <v>11</v>
      </c>
      <c r="I388" s="8" t="s">
        <v>37</v>
      </c>
      <c r="J388" s="8" t="s">
        <v>4</v>
      </c>
      <c r="K388" s="8" t="s">
        <v>4</v>
      </c>
    </row>
    <row r="389" spans="1:11" ht="80.099999999999994" customHeight="1">
      <c r="A389" s="8" t="s">
        <v>3197</v>
      </c>
      <c r="B389" s="9" t="s">
        <v>3198</v>
      </c>
      <c r="C389" s="9" t="s">
        <v>3199</v>
      </c>
      <c r="D389" s="9" t="s">
        <v>3200</v>
      </c>
      <c r="E389" s="9" t="s">
        <v>3201</v>
      </c>
      <c r="F389" s="9" t="s">
        <v>2018</v>
      </c>
      <c r="G389" s="8" t="s">
        <v>36</v>
      </c>
      <c r="H389" s="10" t="s">
        <v>11</v>
      </c>
      <c r="I389" s="8" t="s">
        <v>37</v>
      </c>
      <c r="J389" s="8" t="s">
        <v>4</v>
      </c>
      <c r="K389" s="8" t="s">
        <v>4</v>
      </c>
    </row>
    <row r="390" spans="1:11" ht="15.95" customHeight="1">
      <c r="A390" s="110" t="s">
        <v>3202</v>
      </c>
      <c r="B390" s="118"/>
      <c r="C390" s="118"/>
      <c r="D390" s="118"/>
      <c r="E390" s="118"/>
      <c r="F390" s="118"/>
      <c r="G390" s="118"/>
      <c r="H390" s="118"/>
      <c r="I390" s="118"/>
      <c r="J390" s="118"/>
      <c r="K390" s="118"/>
    </row>
    <row r="391" spans="1:11" ht="85.9" customHeight="1">
      <c r="A391" s="11" t="s">
        <v>1006</v>
      </c>
      <c r="B391" s="12" t="s">
        <v>3203</v>
      </c>
      <c r="C391" s="12" t="s">
        <v>3204</v>
      </c>
      <c r="D391" s="12" t="s">
        <v>3205</v>
      </c>
      <c r="E391" s="12" t="s">
        <v>3206</v>
      </c>
      <c r="F391" s="12" t="s">
        <v>2013</v>
      </c>
      <c r="G391" s="8" t="s">
        <v>36</v>
      </c>
      <c r="H391" s="10" t="s">
        <v>11</v>
      </c>
      <c r="I391" s="8" t="s">
        <v>37</v>
      </c>
      <c r="J391" s="8" t="s">
        <v>4</v>
      </c>
      <c r="K391" s="8" t="s">
        <v>4</v>
      </c>
    </row>
    <row r="392" spans="1:11" ht="85.9" customHeight="1">
      <c r="A392" s="11" t="s">
        <v>1011</v>
      </c>
      <c r="B392" s="12" t="s">
        <v>3207</v>
      </c>
      <c r="C392" s="12" t="s">
        <v>3208</v>
      </c>
      <c r="D392" s="12" t="s">
        <v>3209</v>
      </c>
      <c r="E392" s="12" t="s">
        <v>3210</v>
      </c>
      <c r="F392" s="12" t="s">
        <v>2018</v>
      </c>
      <c r="G392" s="8" t="s">
        <v>36</v>
      </c>
      <c r="H392" s="10" t="s">
        <v>11</v>
      </c>
      <c r="I392" s="8" t="s">
        <v>37</v>
      </c>
      <c r="J392" s="8" t="s">
        <v>4</v>
      </c>
      <c r="K392" s="8" t="s">
        <v>4</v>
      </c>
    </row>
    <row r="393" spans="1:11" ht="85.9" customHeight="1">
      <c r="A393" s="11" t="s">
        <v>3211</v>
      </c>
      <c r="B393" s="12" t="s">
        <v>3212</v>
      </c>
      <c r="C393" s="12" t="s">
        <v>3213</v>
      </c>
      <c r="D393" s="12" t="s">
        <v>3214</v>
      </c>
      <c r="E393" s="12" t="s">
        <v>3215</v>
      </c>
      <c r="F393" s="12" t="s">
        <v>2018</v>
      </c>
      <c r="G393" s="8" t="s">
        <v>36</v>
      </c>
      <c r="H393" s="10" t="s">
        <v>11</v>
      </c>
      <c r="I393" s="8" t="s">
        <v>37</v>
      </c>
      <c r="J393" s="8" t="s">
        <v>4</v>
      </c>
      <c r="K393" s="8" t="s">
        <v>4</v>
      </c>
    </row>
    <row r="394" spans="1:11" ht="85.9" customHeight="1">
      <c r="A394" s="11" t="s">
        <v>3216</v>
      </c>
      <c r="B394" s="12" t="s">
        <v>3217</v>
      </c>
      <c r="C394" s="12" t="s">
        <v>3218</v>
      </c>
      <c r="D394" s="12" t="s">
        <v>3219</v>
      </c>
      <c r="E394" s="12" t="s">
        <v>3220</v>
      </c>
      <c r="F394" s="12" t="s">
        <v>2018</v>
      </c>
      <c r="G394" s="8" t="s">
        <v>36</v>
      </c>
      <c r="H394" s="10" t="s">
        <v>11</v>
      </c>
      <c r="I394" s="8" t="s">
        <v>37</v>
      </c>
      <c r="J394" s="8" t="s">
        <v>4</v>
      </c>
      <c r="K394" s="8" t="s">
        <v>4</v>
      </c>
    </row>
    <row r="395" spans="1:11" ht="85.9" customHeight="1">
      <c r="A395" s="11" t="s">
        <v>1016</v>
      </c>
      <c r="B395" s="12" t="s">
        <v>3221</v>
      </c>
      <c r="C395" s="12" t="s">
        <v>3222</v>
      </c>
      <c r="D395" s="12" t="s">
        <v>3223</v>
      </c>
      <c r="E395" s="12" t="s">
        <v>3224</v>
      </c>
      <c r="F395" s="12" t="s">
        <v>2018</v>
      </c>
      <c r="G395" s="8" t="s">
        <v>36</v>
      </c>
      <c r="H395" s="10" t="s">
        <v>11</v>
      </c>
      <c r="I395" s="8" t="s">
        <v>37</v>
      </c>
      <c r="J395" s="8" t="s">
        <v>4</v>
      </c>
      <c r="K395" s="8" t="s">
        <v>4</v>
      </c>
    </row>
    <row r="396" spans="1:11" ht="85.9" customHeight="1">
      <c r="A396" s="11" t="s">
        <v>1021</v>
      </c>
      <c r="B396" s="12" t="s">
        <v>3225</v>
      </c>
      <c r="C396" s="12" t="s">
        <v>3226</v>
      </c>
      <c r="D396" s="12" t="s">
        <v>3227</v>
      </c>
      <c r="E396" s="12" t="s">
        <v>3228</v>
      </c>
      <c r="F396" s="12" t="s">
        <v>2018</v>
      </c>
      <c r="G396" s="8" t="s">
        <v>36</v>
      </c>
      <c r="H396" s="10" t="s">
        <v>11</v>
      </c>
      <c r="I396" s="8" t="s">
        <v>37</v>
      </c>
      <c r="J396" s="8" t="s">
        <v>4</v>
      </c>
      <c r="K396" s="8" t="s">
        <v>4</v>
      </c>
    </row>
    <row r="397" spans="1:11" ht="85.9" customHeight="1">
      <c r="A397" s="11" t="s">
        <v>1026</v>
      </c>
      <c r="B397" s="12" t="s">
        <v>3229</v>
      </c>
      <c r="C397" s="12" t="s">
        <v>3230</v>
      </c>
      <c r="D397" s="12" t="s">
        <v>3231</v>
      </c>
      <c r="E397" s="12" t="s">
        <v>3232</v>
      </c>
      <c r="F397" s="12" t="s">
        <v>2018</v>
      </c>
      <c r="G397" s="8" t="s">
        <v>36</v>
      </c>
      <c r="H397" s="10" t="s">
        <v>11</v>
      </c>
      <c r="I397" s="8" t="s">
        <v>37</v>
      </c>
      <c r="J397" s="8" t="s">
        <v>4</v>
      </c>
      <c r="K397" s="8" t="s">
        <v>4</v>
      </c>
    </row>
    <row r="398" spans="1:11" ht="85.9" customHeight="1">
      <c r="A398" s="11" t="s">
        <v>1031</v>
      </c>
      <c r="B398" s="12" t="s">
        <v>3233</v>
      </c>
      <c r="C398" s="12" t="s">
        <v>3234</v>
      </c>
      <c r="D398" s="12" t="s">
        <v>3235</v>
      </c>
      <c r="E398" s="12" t="s">
        <v>3236</v>
      </c>
      <c r="F398" s="12" t="s">
        <v>2018</v>
      </c>
      <c r="G398" s="8" t="s">
        <v>36</v>
      </c>
      <c r="H398" s="10" t="s">
        <v>11</v>
      </c>
      <c r="I398" s="8" t="s">
        <v>37</v>
      </c>
      <c r="J398" s="8" t="s">
        <v>4</v>
      </c>
      <c r="K398" s="8" t="s">
        <v>4</v>
      </c>
    </row>
    <row r="399" spans="1:11" ht="75.95" customHeight="1">
      <c r="A399" s="11" t="s">
        <v>1036</v>
      </c>
      <c r="B399" s="12" t="s">
        <v>3237</v>
      </c>
      <c r="C399" s="12" t="s">
        <v>3238</v>
      </c>
      <c r="D399" s="12" t="s">
        <v>3239</v>
      </c>
      <c r="E399" s="12" t="s">
        <v>3240</v>
      </c>
      <c r="F399" s="12" t="s">
        <v>2018</v>
      </c>
      <c r="G399" s="8" t="s">
        <v>36</v>
      </c>
      <c r="H399" s="10" t="s">
        <v>11</v>
      </c>
      <c r="I399" s="8" t="s">
        <v>37</v>
      </c>
      <c r="J399" s="8" t="s">
        <v>4</v>
      </c>
      <c r="K399" s="8" t="s">
        <v>4</v>
      </c>
    </row>
    <row r="400" spans="1:11" ht="75.95" customHeight="1">
      <c r="A400" s="11" t="s">
        <v>1041</v>
      </c>
      <c r="B400" s="12" t="s">
        <v>3241</v>
      </c>
      <c r="C400" s="12" t="s">
        <v>3242</v>
      </c>
      <c r="D400" s="12" t="s">
        <v>3243</v>
      </c>
      <c r="E400" s="12" t="s">
        <v>3244</v>
      </c>
      <c r="F400" s="12" t="s">
        <v>2018</v>
      </c>
      <c r="G400" s="8" t="s">
        <v>36</v>
      </c>
      <c r="H400" s="10" t="s">
        <v>11</v>
      </c>
      <c r="I400" s="8" t="s">
        <v>37</v>
      </c>
      <c r="J400" s="8" t="s">
        <v>4</v>
      </c>
      <c r="K400" s="8" t="s">
        <v>4</v>
      </c>
    </row>
    <row r="401" spans="1:11" ht="15.95" customHeight="1">
      <c r="A401" s="110" t="s">
        <v>3245</v>
      </c>
      <c r="B401" s="118"/>
      <c r="C401" s="118"/>
      <c r="D401" s="118"/>
      <c r="E401" s="118"/>
      <c r="F401" s="118"/>
      <c r="G401" s="118"/>
      <c r="H401" s="118"/>
      <c r="I401" s="118"/>
      <c r="J401" s="118"/>
      <c r="K401" s="118"/>
    </row>
    <row r="402" spans="1:11" ht="85.9" customHeight="1">
      <c r="A402" s="11" t="s">
        <v>1047</v>
      </c>
      <c r="B402" s="12" t="s">
        <v>3246</v>
      </c>
      <c r="C402" s="12" t="s">
        <v>3247</v>
      </c>
      <c r="D402" s="12" t="s">
        <v>3248</v>
      </c>
      <c r="E402" s="12" t="s">
        <v>3249</v>
      </c>
      <c r="F402" s="12" t="s">
        <v>2013</v>
      </c>
      <c r="G402" s="8" t="s">
        <v>36</v>
      </c>
      <c r="H402" s="10" t="s">
        <v>11</v>
      </c>
      <c r="I402" s="8" t="s">
        <v>37</v>
      </c>
      <c r="J402" s="8" t="s">
        <v>4</v>
      </c>
      <c r="K402" s="8" t="s">
        <v>4</v>
      </c>
    </row>
    <row r="403" spans="1:11" ht="85.9" customHeight="1">
      <c r="A403" s="11" t="s">
        <v>1052</v>
      </c>
      <c r="B403" s="12" t="s">
        <v>3250</v>
      </c>
      <c r="C403" s="12" t="s">
        <v>3251</v>
      </c>
      <c r="D403" s="12" t="s">
        <v>3252</v>
      </c>
      <c r="E403" s="12" t="s">
        <v>3253</v>
      </c>
      <c r="F403" s="12" t="s">
        <v>2018</v>
      </c>
      <c r="G403" s="8" t="s">
        <v>36</v>
      </c>
      <c r="H403" s="10" t="s">
        <v>11</v>
      </c>
      <c r="I403" s="8" t="s">
        <v>37</v>
      </c>
      <c r="J403" s="8" t="s">
        <v>4</v>
      </c>
      <c r="K403" s="8" t="s">
        <v>4</v>
      </c>
    </row>
    <row r="404" spans="1:11" ht="85.9" customHeight="1">
      <c r="A404" s="11" t="s">
        <v>1057</v>
      </c>
      <c r="B404" s="12" t="s">
        <v>3254</v>
      </c>
      <c r="C404" s="12" t="s">
        <v>3255</v>
      </c>
      <c r="D404" s="12" t="s">
        <v>3256</v>
      </c>
      <c r="E404" s="12" t="s">
        <v>3257</v>
      </c>
      <c r="F404" s="12" t="s">
        <v>2018</v>
      </c>
      <c r="G404" s="8" t="s">
        <v>36</v>
      </c>
      <c r="H404" s="10" t="s">
        <v>11</v>
      </c>
      <c r="I404" s="8" t="s">
        <v>37</v>
      </c>
      <c r="J404" s="8" t="s">
        <v>4</v>
      </c>
      <c r="K404" s="8" t="s">
        <v>4</v>
      </c>
    </row>
    <row r="405" spans="1:11" ht="85.9" customHeight="1">
      <c r="A405" s="11" t="s">
        <v>1062</v>
      </c>
      <c r="B405" s="12" t="s">
        <v>3258</v>
      </c>
      <c r="C405" s="12" t="s">
        <v>3259</v>
      </c>
      <c r="D405" s="12" t="s">
        <v>3260</v>
      </c>
      <c r="E405" s="12" t="s">
        <v>3261</v>
      </c>
      <c r="F405" s="12" t="s">
        <v>2018</v>
      </c>
      <c r="G405" s="8" t="s">
        <v>36</v>
      </c>
      <c r="H405" s="10" t="s">
        <v>11</v>
      </c>
      <c r="I405" s="8" t="s">
        <v>37</v>
      </c>
      <c r="J405" s="8" t="s">
        <v>4</v>
      </c>
      <c r="K405" s="8" t="s">
        <v>4</v>
      </c>
    </row>
    <row r="406" spans="1:11" ht="85.9" customHeight="1">
      <c r="A406" s="11" t="s">
        <v>3262</v>
      </c>
      <c r="B406" s="12" t="s">
        <v>3263</v>
      </c>
      <c r="C406" s="12" t="s">
        <v>3264</v>
      </c>
      <c r="D406" s="12" t="s">
        <v>3265</v>
      </c>
      <c r="E406" s="12" t="s">
        <v>3266</v>
      </c>
      <c r="F406" s="12" t="s">
        <v>2018</v>
      </c>
      <c r="G406" s="8" t="s">
        <v>36</v>
      </c>
      <c r="H406" s="10" t="s">
        <v>11</v>
      </c>
      <c r="I406" s="8" t="s">
        <v>37</v>
      </c>
      <c r="J406" s="8" t="s">
        <v>4</v>
      </c>
      <c r="K406" s="8" t="s">
        <v>4</v>
      </c>
    </row>
    <row r="407" spans="1:11" ht="85.9" customHeight="1">
      <c r="A407" s="11" t="s">
        <v>3267</v>
      </c>
      <c r="B407" s="12" t="s">
        <v>3268</v>
      </c>
      <c r="C407" s="12" t="s">
        <v>3269</v>
      </c>
      <c r="D407" s="12" t="s">
        <v>3270</v>
      </c>
      <c r="E407" s="12" t="s">
        <v>3271</v>
      </c>
      <c r="F407" s="12" t="s">
        <v>2018</v>
      </c>
      <c r="G407" s="8" t="s">
        <v>36</v>
      </c>
      <c r="H407" s="10" t="s">
        <v>11</v>
      </c>
      <c r="I407" s="8" t="s">
        <v>37</v>
      </c>
      <c r="J407" s="8" t="s">
        <v>4</v>
      </c>
      <c r="K407" s="8" t="s">
        <v>4</v>
      </c>
    </row>
    <row r="408" spans="1:11" ht="15.95" customHeight="1">
      <c r="A408" s="110" t="s">
        <v>3272</v>
      </c>
      <c r="B408" s="118"/>
      <c r="C408" s="118"/>
      <c r="D408" s="118"/>
      <c r="E408" s="118"/>
      <c r="F408" s="118"/>
      <c r="G408" s="118"/>
      <c r="H408" s="118"/>
      <c r="I408" s="118"/>
      <c r="J408" s="118"/>
      <c r="K408" s="118"/>
    </row>
    <row r="409" spans="1:11" ht="85.9" customHeight="1">
      <c r="A409" s="11" t="s">
        <v>1068</v>
      </c>
      <c r="B409" s="12" t="s">
        <v>3273</v>
      </c>
      <c r="C409" s="12" t="s">
        <v>3274</v>
      </c>
      <c r="D409" s="12" t="s">
        <v>3275</v>
      </c>
      <c r="E409" s="12" t="s">
        <v>3276</v>
      </c>
      <c r="F409" s="12" t="s">
        <v>2013</v>
      </c>
      <c r="G409" s="8" t="s">
        <v>36</v>
      </c>
      <c r="H409" s="10" t="s">
        <v>11</v>
      </c>
      <c r="I409" s="8" t="s">
        <v>37</v>
      </c>
      <c r="J409" s="8" t="s">
        <v>4</v>
      </c>
      <c r="K409" s="8" t="s">
        <v>4</v>
      </c>
    </row>
    <row r="410" spans="1:11" ht="85.9" customHeight="1">
      <c r="A410" s="11" t="s">
        <v>1073</v>
      </c>
      <c r="B410" s="12" t="s">
        <v>3277</v>
      </c>
      <c r="C410" s="12" t="s">
        <v>3278</v>
      </c>
      <c r="D410" s="12" t="s">
        <v>3279</v>
      </c>
      <c r="E410" s="12" t="s">
        <v>3280</v>
      </c>
      <c r="F410" s="12" t="s">
        <v>2018</v>
      </c>
      <c r="G410" s="8" t="s">
        <v>36</v>
      </c>
      <c r="H410" s="10" t="s">
        <v>11</v>
      </c>
      <c r="I410" s="8" t="s">
        <v>37</v>
      </c>
      <c r="J410" s="8" t="s">
        <v>4</v>
      </c>
      <c r="K410" s="8" t="s">
        <v>4</v>
      </c>
    </row>
    <row r="411" spans="1:11" ht="85.9" customHeight="1">
      <c r="A411" s="11" t="s">
        <v>1078</v>
      </c>
      <c r="B411" s="12" t="s">
        <v>3281</v>
      </c>
      <c r="C411" s="12" t="s">
        <v>3282</v>
      </c>
      <c r="D411" s="12" t="s">
        <v>3283</v>
      </c>
      <c r="E411" s="12" t="s">
        <v>3284</v>
      </c>
      <c r="F411" s="12" t="s">
        <v>2018</v>
      </c>
      <c r="G411" s="8" t="s">
        <v>36</v>
      </c>
      <c r="H411" s="10" t="s">
        <v>11</v>
      </c>
      <c r="I411" s="8" t="s">
        <v>37</v>
      </c>
      <c r="J411" s="8" t="s">
        <v>4</v>
      </c>
      <c r="K411" s="8" t="s">
        <v>4</v>
      </c>
    </row>
    <row r="412" spans="1:11" ht="85.9" customHeight="1">
      <c r="A412" s="11" t="s">
        <v>1083</v>
      </c>
      <c r="B412" s="12" t="s">
        <v>3285</v>
      </c>
      <c r="C412" s="12" t="s">
        <v>3286</v>
      </c>
      <c r="D412" s="12" t="s">
        <v>3287</v>
      </c>
      <c r="E412" s="12" t="s">
        <v>3288</v>
      </c>
      <c r="F412" s="12" t="s">
        <v>2018</v>
      </c>
      <c r="G412" s="8" t="s">
        <v>36</v>
      </c>
      <c r="H412" s="10" t="s">
        <v>11</v>
      </c>
      <c r="I412" s="8" t="s">
        <v>37</v>
      </c>
      <c r="J412" s="8" t="s">
        <v>4</v>
      </c>
      <c r="K412" s="8" t="s">
        <v>4</v>
      </c>
    </row>
    <row r="413" spans="1:11" ht="85.9" customHeight="1">
      <c r="A413" s="11" t="s">
        <v>1088</v>
      </c>
      <c r="B413" s="12" t="s">
        <v>3289</v>
      </c>
      <c r="C413" s="12" t="s">
        <v>3290</v>
      </c>
      <c r="D413" s="12" t="s">
        <v>3291</v>
      </c>
      <c r="E413" s="12" t="s">
        <v>3292</v>
      </c>
      <c r="F413" s="12" t="s">
        <v>2018</v>
      </c>
      <c r="G413" s="8" t="s">
        <v>36</v>
      </c>
      <c r="H413" s="10" t="s">
        <v>11</v>
      </c>
      <c r="I413" s="8" t="s">
        <v>37</v>
      </c>
      <c r="J413" s="8" t="s">
        <v>4</v>
      </c>
      <c r="K413" s="8" t="s">
        <v>4</v>
      </c>
    </row>
    <row r="414" spans="1:11" ht="85.9" customHeight="1">
      <c r="A414" s="11" t="s">
        <v>1093</v>
      </c>
      <c r="B414" s="12" t="s">
        <v>3293</v>
      </c>
      <c r="C414" s="12" t="s">
        <v>3294</v>
      </c>
      <c r="D414" s="12" t="s">
        <v>3295</v>
      </c>
      <c r="E414" s="12" t="s">
        <v>3296</v>
      </c>
      <c r="F414" s="12" t="s">
        <v>2018</v>
      </c>
      <c r="G414" s="8" t="s">
        <v>36</v>
      </c>
      <c r="H414" s="10" t="s">
        <v>11</v>
      </c>
      <c r="I414" s="8" t="s">
        <v>37</v>
      </c>
      <c r="J414" s="8" t="s">
        <v>4</v>
      </c>
      <c r="K414" s="8" t="s">
        <v>4</v>
      </c>
    </row>
    <row r="415" spans="1:11" ht="85.9" customHeight="1">
      <c r="A415" s="11" t="s">
        <v>1098</v>
      </c>
      <c r="B415" s="12" t="s">
        <v>3297</v>
      </c>
      <c r="C415" s="12" t="s">
        <v>3298</v>
      </c>
      <c r="D415" s="12" t="s">
        <v>3299</v>
      </c>
      <c r="E415" s="12" t="s">
        <v>3300</v>
      </c>
      <c r="F415" s="12" t="s">
        <v>2018</v>
      </c>
      <c r="G415" s="8" t="s">
        <v>36</v>
      </c>
      <c r="H415" s="10" t="s">
        <v>11</v>
      </c>
      <c r="I415" s="8" t="s">
        <v>37</v>
      </c>
      <c r="J415" s="8" t="s">
        <v>4</v>
      </c>
      <c r="K415" s="8" t="s">
        <v>4</v>
      </c>
    </row>
    <row r="416" spans="1:11" ht="85.9" customHeight="1">
      <c r="A416" s="11" t="s">
        <v>1103</v>
      </c>
      <c r="B416" s="12" t="s">
        <v>3301</v>
      </c>
      <c r="C416" s="12" t="s">
        <v>3302</v>
      </c>
      <c r="D416" s="12" t="s">
        <v>3303</v>
      </c>
      <c r="E416" s="12" t="s">
        <v>3304</v>
      </c>
      <c r="F416" s="12" t="s">
        <v>2018</v>
      </c>
      <c r="G416" s="8" t="s">
        <v>36</v>
      </c>
      <c r="H416" s="10" t="s">
        <v>11</v>
      </c>
      <c r="I416" s="8" t="s">
        <v>37</v>
      </c>
      <c r="J416" s="8" t="s">
        <v>4</v>
      </c>
      <c r="K416" s="8" t="s">
        <v>4</v>
      </c>
    </row>
    <row r="417" spans="1:11" ht="85.9" customHeight="1">
      <c r="A417" s="11" t="s">
        <v>1108</v>
      </c>
      <c r="B417" s="12" t="s">
        <v>3305</v>
      </c>
      <c r="C417" s="12" t="s">
        <v>3306</v>
      </c>
      <c r="D417" s="12" t="s">
        <v>3307</v>
      </c>
      <c r="E417" s="12" t="s">
        <v>3308</v>
      </c>
      <c r="F417" s="12" t="s">
        <v>2018</v>
      </c>
      <c r="G417" s="8" t="s">
        <v>36</v>
      </c>
      <c r="H417" s="10" t="s">
        <v>11</v>
      </c>
      <c r="I417" s="8" t="s">
        <v>37</v>
      </c>
      <c r="J417" s="8" t="s">
        <v>4</v>
      </c>
      <c r="K417" s="8" t="s">
        <v>4</v>
      </c>
    </row>
    <row r="418" spans="1:11" ht="85.9" customHeight="1">
      <c r="A418" s="11" t="s">
        <v>1113</v>
      </c>
      <c r="B418" s="12" t="s">
        <v>3309</v>
      </c>
      <c r="C418" s="12" t="s">
        <v>3310</v>
      </c>
      <c r="D418" s="12" t="s">
        <v>3311</v>
      </c>
      <c r="E418" s="12" t="s">
        <v>3312</v>
      </c>
      <c r="F418" s="12" t="s">
        <v>2018</v>
      </c>
      <c r="G418" s="8" t="s">
        <v>36</v>
      </c>
      <c r="H418" s="10" t="s">
        <v>11</v>
      </c>
      <c r="I418" s="8" t="s">
        <v>37</v>
      </c>
      <c r="J418" s="8" t="s">
        <v>4</v>
      </c>
      <c r="K418" s="8" t="s">
        <v>4</v>
      </c>
    </row>
    <row r="419" spans="1:11" ht="85.9" customHeight="1">
      <c r="A419" s="11" t="s">
        <v>1118</v>
      </c>
      <c r="B419" s="12" t="s">
        <v>3313</v>
      </c>
      <c r="C419" s="12" t="s">
        <v>3314</v>
      </c>
      <c r="D419" s="12" t="s">
        <v>3315</v>
      </c>
      <c r="E419" s="12" t="s">
        <v>3316</v>
      </c>
      <c r="F419" s="12" t="s">
        <v>2018</v>
      </c>
      <c r="G419" s="8" t="s">
        <v>36</v>
      </c>
      <c r="H419" s="10" t="s">
        <v>11</v>
      </c>
      <c r="I419" s="8" t="s">
        <v>37</v>
      </c>
      <c r="J419" s="8" t="s">
        <v>4</v>
      </c>
      <c r="K419" s="8" t="s">
        <v>4</v>
      </c>
    </row>
    <row r="420" spans="1:11" ht="85.9" customHeight="1">
      <c r="A420" s="11" t="s">
        <v>3317</v>
      </c>
      <c r="B420" s="12" t="s">
        <v>3318</v>
      </c>
      <c r="C420" s="12" t="s">
        <v>3319</v>
      </c>
      <c r="D420" s="12" t="s">
        <v>3320</v>
      </c>
      <c r="E420" s="12" t="s">
        <v>3321</v>
      </c>
      <c r="F420" s="12" t="s">
        <v>2018</v>
      </c>
      <c r="G420" s="8" t="s">
        <v>36</v>
      </c>
      <c r="H420" s="10" t="s">
        <v>11</v>
      </c>
      <c r="I420" s="8" t="s">
        <v>37</v>
      </c>
      <c r="J420" s="8" t="s">
        <v>4</v>
      </c>
      <c r="K420" s="8" t="s">
        <v>4</v>
      </c>
    </row>
    <row r="421" spans="1:11" ht="85.9" customHeight="1">
      <c r="A421" s="11" t="s">
        <v>3322</v>
      </c>
      <c r="B421" s="12" t="s">
        <v>3323</v>
      </c>
      <c r="C421" s="12" t="s">
        <v>3324</v>
      </c>
      <c r="D421" s="12" t="s">
        <v>3325</v>
      </c>
      <c r="E421" s="12" t="s">
        <v>3326</v>
      </c>
      <c r="F421" s="12" t="s">
        <v>2018</v>
      </c>
      <c r="G421" s="8" t="s">
        <v>36</v>
      </c>
      <c r="H421" s="10" t="s">
        <v>11</v>
      </c>
      <c r="I421" s="8" t="s">
        <v>37</v>
      </c>
      <c r="J421" s="8" t="s">
        <v>4</v>
      </c>
      <c r="K421" s="8" t="s">
        <v>4</v>
      </c>
    </row>
    <row r="422" spans="1:11" ht="15.95" customHeight="1">
      <c r="A422" s="110" t="s">
        <v>3327</v>
      </c>
      <c r="B422" s="118"/>
      <c r="C422" s="118"/>
      <c r="D422" s="118"/>
      <c r="E422" s="118"/>
      <c r="F422" s="118"/>
      <c r="G422" s="118"/>
      <c r="H422" s="118"/>
      <c r="I422" s="118"/>
      <c r="J422" s="118"/>
      <c r="K422" s="118"/>
    </row>
    <row r="423" spans="1:11" ht="85.9" customHeight="1">
      <c r="A423" s="11" t="s">
        <v>1124</v>
      </c>
      <c r="B423" s="12" t="s">
        <v>3328</v>
      </c>
      <c r="C423" s="12" t="s">
        <v>3329</v>
      </c>
      <c r="D423" s="12" t="s">
        <v>3330</v>
      </c>
      <c r="E423" s="12" t="s">
        <v>3331</v>
      </c>
      <c r="F423" s="12" t="s">
        <v>2013</v>
      </c>
      <c r="G423" s="8" t="s">
        <v>36</v>
      </c>
      <c r="H423" s="10" t="s">
        <v>11</v>
      </c>
      <c r="I423" s="8" t="s">
        <v>37</v>
      </c>
      <c r="J423" s="8" t="s">
        <v>4</v>
      </c>
      <c r="K423" s="8" t="s">
        <v>4</v>
      </c>
    </row>
    <row r="424" spans="1:11" ht="85.9" customHeight="1">
      <c r="A424" s="11" t="s">
        <v>1129</v>
      </c>
      <c r="B424" s="12" t="s">
        <v>3332</v>
      </c>
      <c r="C424" s="12" t="s">
        <v>3333</v>
      </c>
      <c r="D424" s="12" t="s">
        <v>3334</v>
      </c>
      <c r="E424" s="12" t="s">
        <v>3335</v>
      </c>
      <c r="F424" s="12" t="s">
        <v>2018</v>
      </c>
      <c r="G424" s="8" t="s">
        <v>36</v>
      </c>
      <c r="H424" s="10" t="s">
        <v>11</v>
      </c>
      <c r="I424" s="8" t="s">
        <v>37</v>
      </c>
      <c r="J424" s="8" t="s">
        <v>4</v>
      </c>
      <c r="K424" s="8" t="s">
        <v>4</v>
      </c>
    </row>
    <row r="425" spans="1:11" ht="85.9" customHeight="1">
      <c r="A425" s="11" t="s">
        <v>1134</v>
      </c>
      <c r="B425" s="12" t="s">
        <v>3336</v>
      </c>
      <c r="C425" s="12" t="s">
        <v>3337</v>
      </c>
      <c r="D425" s="12" t="s">
        <v>3338</v>
      </c>
      <c r="E425" s="12" t="s">
        <v>3339</v>
      </c>
      <c r="F425" s="12" t="s">
        <v>2018</v>
      </c>
      <c r="G425" s="8" t="s">
        <v>36</v>
      </c>
      <c r="H425" s="10" t="s">
        <v>11</v>
      </c>
      <c r="I425" s="8" t="s">
        <v>37</v>
      </c>
      <c r="J425" s="8" t="s">
        <v>4</v>
      </c>
      <c r="K425" s="8" t="s">
        <v>4</v>
      </c>
    </row>
    <row r="426" spans="1:11" ht="85.9" customHeight="1">
      <c r="A426" s="11" t="s">
        <v>1139</v>
      </c>
      <c r="B426" s="12" t="s">
        <v>3340</v>
      </c>
      <c r="C426" s="12" t="s">
        <v>3341</v>
      </c>
      <c r="D426" s="12" t="s">
        <v>3342</v>
      </c>
      <c r="E426" s="12" t="s">
        <v>3343</v>
      </c>
      <c r="F426" s="12" t="s">
        <v>2018</v>
      </c>
      <c r="G426" s="8" t="s">
        <v>36</v>
      </c>
      <c r="H426" s="10" t="s">
        <v>11</v>
      </c>
      <c r="I426" s="8" t="s">
        <v>37</v>
      </c>
      <c r="J426" s="8" t="s">
        <v>4</v>
      </c>
      <c r="K426" s="8" t="s">
        <v>4</v>
      </c>
    </row>
    <row r="427" spans="1:11" ht="85.9" customHeight="1">
      <c r="A427" s="11" t="s">
        <v>1144</v>
      </c>
      <c r="B427" s="12" t="s">
        <v>3344</v>
      </c>
      <c r="C427" s="12" t="s">
        <v>3345</v>
      </c>
      <c r="D427" s="12" t="s">
        <v>3346</v>
      </c>
      <c r="E427" s="12" t="s">
        <v>3347</v>
      </c>
      <c r="F427" s="12" t="s">
        <v>2018</v>
      </c>
      <c r="G427" s="8" t="s">
        <v>36</v>
      </c>
      <c r="H427" s="10" t="s">
        <v>11</v>
      </c>
      <c r="I427" s="8" t="s">
        <v>37</v>
      </c>
      <c r="J427" s="8" t="s">
        <v>4</v>
      </c>
      <c r="K427" s="8" t="s">
        <v>4</v>
      </c>
    </row>
    <row r="428" spans="1:11" ht="85.9" customHeight="1">
      <c r="A428" s="11" t="s">
        <v>1149</v>
      </c>
      <c r="B428" s="12" t="s">
        <v>3348</v>
      </c>
      <c r="C428" s="12" t="s">
        <v>3349</v>
      </c>
      <c r="D428" s="12" t="s">
        <v>3350</v>
      </c>
      <c r="E428" s="12" t="s">
        <v>3351</v>
      </c>
      <c r="F428" s="12" t="s">
        <v>2018</v>
      </c>
      <c r="G428" s="8" t="s">
        <v>36</v>
      </c>
      <c r="H428" s="10" t="s">
        <v>11</v>
      </c>
      <c r="I428" s="8" t="s">
        <v>37</v>
      </c>
      <c r="J428" s="8" t="s">
        <v>4</v>
      </c>
      <c r="K428" s="8" t="s">
        <v>4</v>
      </c>
    </row>
    <row r="429" spans="1:11" ht="85.9" customHeight="1">
      <c r="A429" s="11" t="s">
        <v>3352</v>
      </c>
      <c r="B429" s="12" t="s">
        <v>3353</v>
      </c>
      <c r="C429" s="12" t="s">
        <v>3354</v>
      </c>
      <c r="D429" s="12" t="s">
        <v>3355</v>
      </c>
      <c r="E429" s="12" t="s">
        <v>3356</v>
      </c>
      <c r="F429" s="12" t="s">
        <v>2018</v>
      </c>
      <c r="G429" s="8" t="s">
        <v>36</v>
      </c>
      <c r="H429" s="10" t="s">
        <v>11</v>
      </c>
      <c r="I429" s="8" t="s">
        <v>37</v>
      </c>
      <c r="J429" s="8" t="s">
        <v>4</v>
      </c>
      <c r="K429" s="8" t="s">
        <v>4</v>
      </c>
    </row>
    <row r="430" spans="1:11" ht="85.9" customHeight="1">
      <c r="A430" s="11" t="s">
        <v>3357</v>
      </c>
      <c r="B430" s="12" t="s">
        <v>3358</v>
      </c>
      <c r="C430" s="12" t="s">
        <v>3359</v>
      </c>
      <c r="D430" s="12" t="s">
        <v>3360</v>
      </c>
      <c r="E430" s="12" t="s">
        <v>3361</v>
      </c>
      <c r="F430" s="12" t="s">
        <v>2018</v>
      </c>
      <c r="G430" s="8" t="s">
        <v>36</v>
      </c>
      <c r="H430" s="10" t="s">
        <v>11</v>
      </c>
      <c r="I430" s="8" t="s">
        <v>37</v>
      </c>
      <c r="J430" s="8" t="s">
        <v>4</v>
      </c>
      <c r="K430" s="8" t="s">
        <v>4</v>
      </c>
    </row>
    <row r="431" spans="1:11" ht="15.95" customHeight="1">
      <c r="A431" s="110" t="s">
        <v>3362</v>
      </c>
      <c r="B431" s="118"/>
      <c r="C431" s="118"/>
      <c r="D431" s="118"/>
      <c r="E431" s="118"/>
      <c r="F431" s="118"/>
      <c r="G431" s="118"/>
      <c r="H431" s="118"/>
      <c r="I431" s="118"/>
      <c r="J431" s="118"/>
      <c r="K431" s="118"/>
    </row>
    <row r="432" spans="1:11" ht="85.9" customHeight="1">
      <c r="A432" s="11" t="s">
        <v>1155</v>
      </c>
      <c r="B432" s="12" t="s">
        <v>3363</v>
      </c>
      <c r="C432" s="12" t="s">
        <v>3364</v>
      </c>
      <c r="D432" s="12" t="s">
        <v>3365</v>
      </c>
      <c r="E432" s="12" t="s">
        <v>3366</v>
      </c>
      <c r="F432" s="12" t="s">
        <v>2013</v>
      </c>
      <c r="G432" s="8" t="s">
        <v>36</v>
      </c>
      <c r="H432" s="10" t="s">
        <v>11</v>
      </c>
      <c r="I432" s="8" t="s">
        <v>37</v>
      </c>
      <c r="J432" s="8" t="s">
        <v>4</v>
      </c>
      <c r="K432" s="8" t="s">
        <v>4</v>
      </c>
    </row>
    <row r="433" spans="1:11" ht="85.9" customHeight="1">
      <c r="A433" s="11" t="s">
        <v>1160</v>
      </c>
      <c r="B433" s="12" t="s">
        <v>3367</v>
      </c>
      <c r="C433" s="12" t="s">
        <v>3368</v>
      </c>
      <c r="D433" s="12" t="s">
        <v>3369</v>
      </c>
      <c r="E433" s="12" t="s">
        <v>3370</v>
      </c>
      <c r="F433" s="12" t="s">
        <v>2018</v>
      </c>
      <c r="G433" s="8" t="s">
        <v>36</v>
      </c>
      <c r="H433" s="10" t="s">
        <v>11</v>
      </c>
      <c r="I433" s="8" t="s">
        <v>37</v>
      </c>
      <c r="J433" s="8" t="s">
        <v>4</v>
      </c>
      <c r="K433" s="8" t="s">
        <v>4</v>
      </c>
    </row>
    <row r="434" spans="1:11" ht="85.9" customHeight="1">
      <c r="A434" s="11" t="s">
        <v>1165</v>
      </c>
      <c r="B434" s="12" t="s">
        <v>3371</v>
      </c>
      <c r="C434" s="12" t="s">
        <v>3372</v>
      </c>
      <c r="D434" s="12" t="s">
        <v>3373</v>
      </c>
      <c r="E434" s="12" t="s">
        <v>3374</v>
      </c>
      <c r="F434" s="12" t="s">
        <v>2018</v>
      </c>
      <c r="G434" s="8" t="s">
        <v>36</v>
      </c>
      <c r="H434" s="10" t="s">
        <v>11</v>
      </c>
      <c r="I434" s="8" t="s">
        <v>37</v>
      </c>
      <c r="J434" s="8" t="s">
        <v>4</v>
      </c>
      <c r="K434" s="8" t="s">
        <v>4</v>
      </c>
    </row>
    <row r="435" spans="1:11" ht="85.9" customHeight="1">
      <c r="A435" s="11" t="s">
        <v>1170</v>
      </c>
      <c r="B435" s="12" t="s">
        <v>3375</v>
      </c>
      <c r="C435" s="12" t="s">
        <v>3376</v>
      </c>
      <c r="D435" s="12" t="s">
        <v>3377</v>
      </c>
      <c r="E435" s="12" t="s">
        <v>3378</v>
      </c>
      <c r="F435" s="12" t="s">
        <v>2018</v>
      </c>
      <c r="G435" s="8" t="s">
        <v>36</v>
      </c>
      <c r="H435" s="10" t="s">
        <v>11</v>
      </c>
      <c r="I435" s="8" t="s">
        <v>37</v>
      </c>
      <c r="J435" s="8" t="s">
        <v>4</v>
      </c>
      <c r="K435" s="8" t="s">
        <v>4</v>
      </c>
    </row>
    <row r="436" spans="1:11" ht="85.9" customHeight="1">
      <c r="A436" s="11" t="s">
        <v>1175</v>
      </c>
      <c r="B436" s="12" t="s">
        <v>3379</v>
      </c>
      <c r="C436" s="12" t="s">
        <v>3380</v>
      </c>
      <c r="D436" s="12" t="s">
        <v>3381</v>
      </c>
      <c r="E436" s="12" t="s">
        <v>3382</v>
      </c>
      <c r="F436" s="12" t="s">
        <v>2018</v>
      </c>
      <c r="G436" s="8" t="s">
        <v>36</v>
      </c>
      <c r="H436" s="10" t="s">
        <v>11</v>
      </c>
      <c r="I436" s="8" t="s">
        <v>37</v>
      </c>
      <c r="J436" s="8" t="s">
        <v>4</v>
      </c>
      <c r="K436" s="8" t="s">
        <v>4</v>
      </c>
    </row>
    <row r="437" spans="1:11" ht="85.9" customHeight="1">
      <c r="A437" s="11" t="s">
        <v>1180</v>
      </c>
      <c r="B437" s="12" t="s">
        <v>3383</v>
      </c>
      <c r="C437" s="12" t="s">
        <v>3384</v>
      </c>
      <c r="D437" s="12" t="s">
        <v>3385</v>
      </c>
      <c r="E437" s="12" t="s">
        <v>3386</v>
      </c>
      <c r="F437" s="12" t="s">
        <v>2018</v>
      </c>
      <c r="G437" s="8" t="s">
        <v>36</v>
      </c>
      <c r="H437" s="10" t="s">
        <v>11</v>
      </c>
      <c r="I437" s="8" t="s">
        <v>37</v>
      </c>
      <c r="J437" s="8" t="s">
        <v>4</v>
      </c>
      <c r="K437" s="8" t="s">
        <v>4</v>
      </c>
    </row>
    <row r="438" spans="1:11" ht="85.9" customHeight="1">
      <c r="A438" s="11" t="s">
        <v>3387</v>
      </c>
      <c r="B438" s="12" t="s">
        <v>3388</v>
      </c>
      <c r="C438" s="12" t="s">
        <v>3389</v>
      </c>
      <c r="D438" s="12" t="s">
        <v>3390</v>
      </c>
      <c r="E438" s="12" t="s">
        <v>3391</v>
      </c>
      <c r="F438" s="12" t="s">
        <v>2018</v>
      </c>
      <c r="G438" s="8" t="s">
        <v>36</v>
      </c>
      <c r="H438" s="10" t="s">
        <v>11</v>
      </c>
      <c r="I438" s="8" t="s">
        <v>37</v>
      </c>
      <c r="J438" s="8" t="s">
        <v>4</v>
      </c>
      <c r="K438" s="8" t="s">
        <v>4</v>
      </c>
    </row>
    <row r="439" spans="1:11" ht="85.9" customHeight="1">
      <c r="A439" s="11" t="s">
        <v>3392</v>
      </c>
      <c r="B439" s="12" t="s">
        <v>3393</v>
      </c>
      <c r="C439" s="12" t="s">
        <v>3394</v>
      </c>
      <c r="D439" s="12" t="s">
        <v>3395</v>
      </c>
      <c r="E439" s="12" t="s">
        <v>3396</v>
      </c>
      <c r="F439" s="12" t="s">
        <v>2018</v>
      </c>
      <c r="G439" s="8" t="s">
        <v>36</v>
      </c>
      <c r="H439" s="10" t="s">
        <v>11</v>
      </c>
      <c r="I439" s="8" t="s">
        <v>37</v>
      </c>
      <c r="J439" s="8" t="s">
        <v>4</v>
      </c>
      <c r="K439" s="8" t="s">
        <v>4</v>
      </c>
    </row>
  </sheetData>
  <autoFilter ref="A11:K11" xr:uid="{00000000-0009-0000-0000-000000000000}"/>
  <mergeCells count="51">
    <mergeCell ref="A23:K23"/>
    <mergeCell ref="A1:K1"/>
    <mergeCell ref="A12:K12"/>
    <mergeCell ref="A13:K13"/>
    <mergeCell ref="A17:K17"/>
    <mergeCell ref="A18:K18"/>
    <mergeCell ref="A74:K74"/>
    <mergeCell ref="A24:K24"/>
    <mergeCell ref="A38:K38"/>
    <mergeCell ref="A39:K39"/>
    <mergeCell ref="A47:K47"/>
    <mergeCell ref="A48:K48"/>
    <mergeCell ref="A55:K55"/>
    <mergeCell ref="A56:K56"/>
    <mergeCell ref="A62:K62"/>
    <mergeCell ref="A63:K63"/>
    <mergeCell ref="A68:K68"/>
    <mergeCell ref="A69:K69"/>
    <mergeCell ref="A135:K135"/>
    <mergeCell ref="A75:K75"/>
    <mergeCell ref="A86:K86"/>
    <mergeCell ref="A87:K87"/>
    <mergeCell ref="A94:K94"/>
    <mergeCell ref="A95:K95"/>
    <mergeCell ref="A101:K101"/>
    <mergeCell ref="A102:K102"/>
    <mergeCell ref="A113:K113"/>
    <mergeCell ref="A114:K114"/>
    <mergeCell ref="A123:K123"/>
    <mergeCell ref="A128:K128"/>
    <mergeCell ref="A317:K317"/>
    <mergeCell ref="A144:K144"/>
    <mergeCell ref="A153:K153"/>
    <mergeCell ref="A160:K160"/>
    <mergeCell ref="A167:K167"/>
    <mergeCell ref="A194:K194"/>
    <mergeCell ref="A201:K201"/>
    <mergeCell ref="A220:K220"/>
    <mergeCell ref="A249:K249"/>
    <mergeCell ref="A258:K258"/>
    <mergeCell ref="A287:K287"/>
    <mergeCell ref="A300:K300"/>
    <mergeCell ref="A408:K408"/>
    <mergeCell ref="A422:K422"/>
    <mergeCell ref="A431:K431"/>
    <mergeCell ref="A324:K324"/>
    <mergeCell ref="A355:K355"/>
    <mergeCell ref="A376:K376"/>
    <mergeCell ref="A383:K383"/>
    <mergeCell ref="A390:K390"/>
    <mergeCell ref="A401:K401"/>
  </mergeCells>
  <dataValidations count="1">
    <dataValidation type="list" allowBlank="1" showInputMessage="1" showErrorMessage="1" sqref="J14:K14" xr:uid="{1351543C-98E2-4B74-949C-36BF1DB66270}">
      <formula1>"Not-start, Pass, Fail, Pending, Cancel"</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2026-07-21T10:02:48Z</dcterms:created>
  <dcterms:modified xsi:type="dcterms:W3CDTF">2026-09-01T05:52:30Z</dcterms:modified>
  <cp:category/>
  <cp:contentStatus/>
</cp:coreProperties>
</file>