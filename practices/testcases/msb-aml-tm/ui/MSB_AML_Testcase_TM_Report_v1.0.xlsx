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1600" windowHeight="9570" tabRatio="602" firstSheet="3" activeTab="0" autoFilterDateGrouping="1"/>
  </bookViews>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 Report" sheetId="3" state="visible" r:id="rId3"/>
    <sheet xmlns:r="http://schemas.openxmlformats.org/officeDocument/2006/relationships" name="Report" sheetId="4" state="visible" r:id="rId4"/>
    <sheet xmlns:r="http://schemas.openxmlformats.org/officeDocument/2006/relationships" name="Report_TM_01" sheetId="5" state="visible" r:id="rId5"/>
    <sheet xmlns:r="http://schemas.openxmlformats.org/officeDocument/2006/relationships" name="Report_TM_02" sheetId="6" state="visible" r:id="rId6"/>
    <sheet xmlns:r="http://schemas.openxmlformats.org/officeDocument/2006/relationships" name="Report_TM_03" sheetId="7" state="visible" r:id="rId7"/>
    <sheet xmlns:r="http://schemas.openxmlformats.org/officeDocument/2006/relationships" name="Report_TM_04" sheetId="8" state="visible" r:id="rId8"/>
  </sheets>
  <definedNames>
    <definedName name="_xlnm._FilterDatabase" localSheetId="4" hidden="1">'Report_TM_01'!$A$25:$N$80</definedName>
    <definedName name="_xlnm._FilterDatabase" localSheetId="5" hidden="1">'Report_TM_02'!$A$25:$N$73</definedName>
    <definedName name="_xlnm._FilterDatabase" localSheetId="6" hidden="1">'Report_TM_03'!$A$25:$N$81</definedName>
    <definedName name="_xlnm._FilterDatabase" localSheetId="7" hidden="1">'Report_TM_04'!$A$25:$N$76</definedName>
  </definedNames>
  <calcPr calcId="191028" fullCalcOnLoad="1" iterateDelta="0.0001"/>
</workbook>
</file>

<file path=xl/styles.xml><?xml version="1.0" encoding="utf-8"?>
<styleSheet xmlns="http://schemas.openxmlformats.org/spreadsheetml/2006/main">
  <numFmts count="6">
    <numFmt numFmtId="164" formatCode="[$-409]dd\-mmm\-yy;@"/>
    <numFmt numFmtId="165" formatCode="[$-409]0"/>
    <numFmt numFmtId="166" formatCode="0.0"/>
    <numFmt numFmtId="167" formatCode="[$-409]d\-mmm\-yy;@"/>
    <numFmt numFmtId="168" formatCode="d\-mmm\-yy;@"/>
    <numFmt numFmtId="169" formatCode="0.0%"/>
  </numFmts>
  <fonts count="44">
    <font>
      <name val="Calibri"/>
      <charset val="1"/>
      <family val="2"/>
      <color theme="1"/>
      <sz val="11"/>
    </font>
    <font>
      <name val="Calibri"/>
      <charset val="1"/>
      <family val="2"/>
      <color rgb="FF000000"/>
      <sz val="11"/>
    </font>
    <font>
      <name val="明朝"/>
      <charset val="128"/>
      <family val="1"/>
      <sz val="11"/>
    </font>
    <font>
      <name val="Tahoma"/>
      <charset val="1"/>
      <family val="2"/>
      <sz val="11"/>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sz val="10"/>
    </font>
    <font>
      <name val="Arial"/>
      <charset val="1"/>
      <family val="2"/>
      <b val="1"/>
      <color rgb="FF1F497D"/>
      <sz val="14"/>
    </font>
    <font>
      <name val="Arial"/>
      <charset val="1"/>
      <family val="2"/>
      <b val="1"/>
      <color rgb="FF0000FF"/>
      <sz val="10"/>
    </font>
    <font>
      <name val="Arial"/>
      <charset val="1"/>
      <family val="2"/>
      <b val="1"/>
      <color rgb="FFFFFFFF"/>
      <sz val="10"/>
    </font>
    <font>
      <name val="Arial"/>
      <charset val="1"/>
      <family val="2"/>
      <color rgb="FFFF0000"/>
      <sz val="10"/>
    </font>
    <font>
      <name val="Calibri"/>
      <charset val="1"/>
      <family val="2"/>
      <color theme="10"/>
      <sz val="11"/>
      <u val="single"/>
    </font>
    <font>
      <name val="Arial"/>
      <family val="2"/>
      <sz val="10"/>
    </font>
    <font>
      <name val="Times New Roman"/>
      <charset val="1"/>
      <family val="1"/>
      <b val="1"/>
      <color rgb="FFFFFFFF"/>
      <sz val="11"/>
    </font>
    <font>
      <name val="Times New Roman"/>
      <charset val="1"/>
      <family val="1"/>
      <sz val="11"/>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Arial"/>
      <charset val="1"/>
      <family val="2"/>
      <b val="1"/>
      <color rgb="FF000000"/>
      <sz val="8"/>
    </font>
    <font>
      <name val="Arial"/>
      <charset val="1"/>
      <family val="2"/>
      <i val="1"/>
      <color rgb="FF000000"/>
      <sz val="10"/>
    </font>
    <font>
      <name val="Arial"/>
      <charset val="1"/>
      <family val="2"/>
      <color rgb="FF000000"/>
      <sz val="10"/>
    </font>
    <font>
      <name val="Arial"/>
      <charset val="1"/>
      <family val="2"/>
      <b val="1"/>
      <color rgb="FF000000"/>
      <sz val="10"/>
    </font>
    <font>
      <name val="Times New Roman"/>
      <charset val="1"/>
      <family val="1"/>
      <b val="1"/>
      <color rgb="FF000000"/>
      <sz val="11"/>
    </font>
    <font>
      <name val="Times New Roman"/>
      <charset val="1"/>
      <family val="1"/>
      <color rgb="FF000000"/>
      <sz val="11"/>
    </font>
    <font>
      <name val="Times New Roman"/>
      <charset val="1"/>
      <family val="1"/>
      <b val="1"/>
      <sz val="11"/>
    </font>
    <font>
      <name val="Calibri"/>
      <charset val="1"/>
      <family val="2"/>
      <sz val="11"/>
    </font>
    <font>
      <name val="Times New Roman"/>
      <family val="1"/>
      <sz val="11"/>
    </font>
    <font>
      <name val="Calibri"/>
      <charset val="1"/>
      <family val="2"/>
      <b val="1"/>
      <color theme="1"/>
      <sz val="11"/>
    </font>
    <font>
      <name val="Calibri"/>
      <family val="2"/>
      <b val="1"/>
      <color rgb="FF000000"/>
      <sz val="9"/>
    </font>
    <font>
      <name val="Calibri"/>
      <family val="2"/>
      <b val="1"/>
      <color rgb="FFFF0000"/>
      <sz val="11"/>
    </font>
    <font>
      <name val="Times New Roman"/>
      <b val="1"/>
      <sz val="11"/>
    </font>
  </fonts>
  <fills count="18">
    <fill>
      <patternFill/>
    </fill>
    <fill>
      <patternFill patternType="gray125"/>
    </fill>
    <fill>
      <patternFill patternType="solid">
        <fgColor rgb="FFFFFFFF"/>
        <bgColor rgb="FFE2EFDA"/>
      </patternFill>
    </fill>
    <fill>
      <patternFill patternType="solid">
        <fgColor rgb="FFCCFFCC"/>
        <bgColor rgb="FFCCFFFF"/>
      </patternFill>
    </fill>
    <fill>
      <patternFill patternType="solid">
        <fgColor rgb="FF2E75B6"/>
        <bgColor rgb="FF4472C4"/>
      </patternFill>
    </fill>
    <fill>
      <patternFill patternType="solid">
        <fgColor rgb="FFF8CBAD"/>
        <bgColor rgb="FFE2EFDA"/>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2F5597"/>
        <bgColor rgb="FF1F497D"/>
      </patternFill>
    </fill>
    <fill>
      <patternFill patternType="solid">
        <fgColor rgb="FF7030A0"/>
        <bgColor rgb="FF993366"/>
      </patternFill>
    </fill>
    <fill>
      <patternFill patternType="solid">
        <fgColor rgb="FFE2EFDA"/>
        <bgColor rgb="FFCCFFCC"/>
      </patternFill>
    </fill>
    <fill>
      <patternFill patternType="solid">
        <fgColor rgb="FFFFFF00"/>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theme="5" tint="0.3999755851924192"/>
        <bgColor indexed="64"/>
      </patternFill>
    </fill>
    <fill>
      <patternFill patternType="solid">
        <fgColor theme="6" tint="0.3999755851924192"/>
        <bgColor indexed="64"/>
      </patternFill>
    </fill>
    <fill>
      <patternFill patternType="solid">
        <fgColor rgb="FFF2F8EE"/>
      </patternFill>
    </fill>
  </fills>
  <borders count="60">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8497B0"/>
      </left>
      <right style="thin">
        <color rgb="FF8497B0"/>
      </right>
      <top style="medium">
        <color rgb="FF8497B0"/>
      </top>
      <bottom style="thin">
        <color rgb="FF8497B0"/>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thin">
        <color rgb="FF548DD4"/>
      </top>
      <bottom/>
      <diagonal/>
    </border>
    <border>
      <left/>
      <right style="medium">
        <color rgb="FF548DD4"/>
      </right>
      <top style="thin">
        <color rgb="FF548DD4"/>
      </top>
      <bottom/>
      <diagonal/>
    </border>
    <border>
      <left/>
      <right style="medium">
        <color rgb="FF548DD4"/>
      </right>
      <top style="thin">
        <color rgb="FF548DD4"/>
      </top>
      <bottom style="thin">
        <color rgb="FF548DD4"/>
      </bottom>
      <diagonal/>
    </border>
    <border>
      <left/>
      <right/>
      <top style="medium">
        <color rgb="FF8497B0"/>
      </top>
      <bottom/>
      <diagonal/>
    </border>
    <border>
      <left/>
      <right style="thin">
        <color rgb="FF8497B0"/>
      </right>
      <top style="medium">
        <color rgb="FF8497B0"/>
      </top>
      <bottom/>
      <diagonal/>
    </border>
    <border>
      <left/>
      <right/>
      <top style="medium">
        <color rgb="FF8497B0"/>
      </top>
      <bottom style="thin">
        <color rgb="FF8497B0"/>
      </bottom>
      <diagonal/>
    </border>
    <border>
      <left/>
      <right style="thin">
        <color rgb="FF548DD4"/>
      </right>
      <top style="thin">
        <color rgb="FF548DD4"/>
      </top>
      <bottom/>
      <diagonal/>
    </border>
    <border>
      <left/>
      <right style="thin">
        <color rgb="FF548DD4"/>
      </right>
      <top style="thin">
        <color rgb="FF548DD4"/>
      </top>
      <bottom style="thin">
        <color rgb="FF548DD4"/>
      </bottom>
      <diagonal/>
    </border>
    <border>
      <left/>
      <right style="medium">
        <color rgb="FF8497B0"/>
      </right>
      <top style="medium">
        <color rgb="FF8497B0"/>
      </top>
      <bottom/>
      <diagonal/>
    </border>
    <border>
      <left/>
      <right style="medium">
        <color rgb="FF8497B0"/>
      </right>
      <top style="medium">
        <color rgb="FF8497B0"/>
      </top>
      <bottom style="thin">
        <color rgb="FF8497B0"/>
      </bottom>
      <diagonal/>
    </border>
    <border>
      <left/>
      <right/>
      <top style="thin">
        <color rgb="FF8497B0"/>
      </top>
      <bottom/>
      <diagonal/>
    </border>
    <border>
      <left/>
      <right style="thin">
        <color rgb="FF8497B0"/>
      </right>
      <top style="thin">
        <color rgb="FF8497B0"/>
      </top>
      <bottom style="thin">
        <color rgb="FF8497B0"/>
      </bottom>
      <diagonal/>
    </border>
    <border>
      <left/>
      <right style="medium">
        <color rgb="FF8497B0"/>
      </right>
      <top style="thin">
        <color rgb="FF8497B0"/>
      </top>
      <bottom/>
      <diagonal/>
    </border>
    <border>
      <left/>
      <right style="thin">
        <color rgb="FF8497B0"/>
      </right>
      <top style="thin">
        <color rgb="FF8497B0"/>
      </top>
      <bottom style="thin">
        <color rgb="FF548DD4"/>
      </bottom>
      <diagonal/>
    </border>
  </borders>
  <cellStyleXfs count="4">
    <xf numFmtId="0" fontId="0" fillId="0" borderId="0"/>
    <xf numFmtId="164" fontId="1" fillId="0" borderId="0"/>
    <xf numFmtId="164" fontId="1" fillId="0" borderId="0"/>
    <xf numFmtId="164" fontId="2" fillId="0" borderId="0"/>
  </cellStyleXfs>
  <cellXfs count="179">
    <xf numFmtId="0" fontId="0" fillId="0" borderId="0" pivotButton="0" quotePrefix="0" xfId="0"/>
    <xf numFmtId="164" fontId="16" fillId="2" borderId="9" applyAlignment="1" pivotButton="0" quotePrefix="0" xfId="0">
      <alignment horizontal="center" vertical="center" wrapText="1"/>
    </xf>
    <xf numFmtId="164" fontId="19" fillId="4" borderId="8" applyAlignment="1" pivotButton="0" quotePrefix="0" xfId="0">
      <alignment horizontal="center" vertical="center" wrapText="1"/>
    </xf>
    <xf numFmtId="164" fontId="11" fillId="3" borderId="0" applyAlignment="1" pivotButton="0" quotePrefix="0" xfId="0">
      <alignment horizontal="left" vertical="center" wrapText="1"/>
    </xf>
    <xf numFmtId="164" fontId="3" fillId="2" borderId="0" applyAlignment="1" pivotButton="0" quotePrefix="0" xfId="0">
      <alignment vertical="center"/>
    </xf>
    <xf numFmtId="164" fontId="4" fillId="2" borderId="0" pivotButton="0" quotePrefix="0" xfId="0"/>
    <xf numFmtId="164" fontId="6" fillId="3" borderId="3" applyAlignment="1" pivotButton="0" quotePrefix="0" xfId="0">
      <alignment shrinkToFit="1"/>
    </xf>
    <xf numFmtId="164" fontId="6" fillId="3" borderId="0" applyAlignment="1" pivotButton="0" quotePrefix="0" xfId="0">
      <alignment shrinkToFit="1"/>
    </xf>
    <xf numFmtId="164" fontId="6" fillId="3" borderId="4" applyAlignment="1" pivotButton="0" quotePrefix="0" xfId="0">
      <alignment shrinkToFit="1"/>
    </xf>
    <xf numFmtId="164" fontId="8" fillId="3" borderId="3" applyAlignment="1" pivotButton="0" quotePrefix="0" xfId="0">
      <alignment horizontal="center" vertical="center" wrapText="1"/>
    </xf>
    <xf numFmtId="164" fontId="8" fillId="3" borderId="0" applyAlignment="1" pivotButton="0" quotePrefix="0" xfId="0">
      <alignment horizontal="center" vertical="center" wrapText="1"/>
    </xf>
    <xf numFmtId="164" fontId="8" fillId="3" borderId="4" applyAlignment="1" pivotButton="0" quotePrefix="0" xfId="0">
      <alignment horizontal="center" vertical="center" wrapText="1"/>
    </xf>
    <xf numFmtId="164" fontId="10" fillId="3" borderId="4" applyAlignment="1" pivotButton="0" quotePrefix="0" xfId="0">
      <alignment horizontal="center"/>
    </xf>
    <xf numFmtId="164" fontId="10" fillId="3" borderId="3" applyAlignment="1" pivotButton="0" quotePrefix="0" xfId="0">
      <alignment horizontal="left"/>
    </xf>
    <xf numFmtId="164" fontId="12" fillId="0" borderId="0" applyAlignment="1" pivotButton="0" quotePrefix="0" xfId="0">
      <alignment horizontal="left" vertical="center" wrapText="1"/>
    </xf>
    <xf numFmtId="164" fontId="11" fillId="3" borderId="0" applyAlignment="1" pivotButton="0" quotePrefix="0" xfId="0">
      <alignment horizontal="left"/>
    </xf>
    <xf numFmtId="164" fontId="10" fillId="3" borderId="0" applyAlignment="1" pivotButton="0" quotePrefix="0" xfId="0">
      <alignment horizontal="left"/>
    </xf>
    <xf numFmtId="164" fontId="10" fillId="3" borderId="4" applyAlignment="1" pivotButton="0" quotePrefix="0" xfId="0">
      <alignment horizontal="left"/>
    </xf>
    <xf numFmtId="164" fontId="10" fillId="3" borderId="3" applyAlignment="1" pivotButton="0" quotePrefix="0" xfId="0">
      <alignment horizontal="left" vertical="center" wrapText="1"/>
    </xf>
    <xf numFmtId="164" fontId="13" fillId="3" borderId="0" applyAlignment="1" pivotButton="0" quotePrefix="0" xfId="0">
      <alignment horizontal="left" vertical="center" wrapText="1"/>
    </xf>
    <xf numFmtId="164" fontId="14" fillId="3" borderId="0" applyAlignment="1" pivotButton="0" quotePrefix="0" xfId="0">
      <alignment horizontal="left" vertical="center" wrapText="1"/>
    </xf>
    <xf numFmtId="164" fontId="14" fillId="3" borderId="4" applyAlignment="1" pivotButton="0" quotePrefix="0" xfId="0">
      <alignment horizontal="left" vertical="center" wrapText="1"/>
    </xf>
    <xf numFmtId="49" fontId="12" fillId="0" borderId="0" applyAlignment="1" pivotButton="0" quotePrefix="0" xfId="0">
      <alignment horizontal="left" vertical="center" wrapText="1"/>
    </xf>
    <xf numFmtId="164" fontId="15" fillId="3" borderId="3" pivotButton="0" quotePrefix="0" xfId="0"/>
    <xf numFmtId="164" fontId="15" fillId="3" borderId="0" pivotButton="0" quotePrefix="0" xfId="0"/>
    <xf numFmtId="164" fontId="15" fillId="3" borderId="0" applyAlignment="1" pivotButton="0" quotePrefix="0" xfId="0">
      <alignment vertical="center"/>
    </xf>
    <xf numFmtId="164" fontId="15" fillId="3" borderId="4" applyAlignment="1" pivotButton="0" quotePrefix="0" xfId="0">
      <alignment vertical="center"/>
    </xf>
    <xf numFmtId="164" fontId="15" fillId="3" borderId="3" applyAlignment="1" pivotButton="0" quotePrefix="0" xfId="0">
      <alignment vertical="center"/>
    </xf>
    <xf numFmtId="164" fontId="15" fillId="3" borderId="5" applyAlignment="1" pivotButton="0" quotePrefix="0" xfId="0">
      <alignment vertical="center"/>
    </xf>
    <xf numFmtId="164" fontId="15" fillId="3" borderId="6" applyAlignment="1" pivotButton="0" quotePrefix="0" xfId="0">
      <alignment vertical="center"/>
    </xf>
    <xf numFmtId="164" fontId="15" fillId="3" borderId="7" applyAlignment="1" pivotButton="0" quotePrefix="0" xfId="0">
      <alignment vertical="center"/>
    </xf>
    <xf numFmtId="164" fontId="16" fillId="2" borderId="0" pivotButton="0" quotePrefix="0" xfId="0"/>
    <xf numFmtId="164" fontId="17" fillId="2" borderId="0" applyAlignment="1" pivotButton="0" quotePrefix="0" xfId="0">
      <alignment vertical="center"/>
    </xf>
    <xf numFmtId="164" fontId="18" fillId="2" borderId="0" pivotButton="0" quotePrefix="0" xfId="0"/>
    <xf numFmtId="164" fontId="20" fillId="2" borderId="0" pivotButton="0" quotePrefix="0" xfId="0"/>
    <xf numFmtId="165" fontId="16" fillId="2" borderId="9" applyAlignment="1" pivotButton="0" quotePrefix="0" xfId="0">
      <alignment horizontal="center" vertical="center" wrapText="1"/>
    </xf>
    <xf numFmtId="164" fontId="21" fillId="2" borderId="10" applyAlignment="1" pivotButton="0" quotePrefix="0" xfId="0">
      <alignment vertical="top" wrapText="1"/>
    </xf>
    <xf numFmtId="14" fontId="16" fillId="2" borderId="9" applyAlignment="1" pivotButton="0" quotePrefix="0" xfId="0">
      <alignment horizontal="center" vertical="center" wrapText="1"/>
    </xf>
    <xf numFmtId="166" fontId="16" fillId="2" borderId="9" applyAlignment="1" pivotButton="0" quotePrefix="0" xfId="0">
      <alignment horizontal="center" vertical="center" wrapText="1"/>
    </xf>
    <xf numFmtId="167" fontId="25" fillId="2" borderId="0" applyAlignment="1" pivotButton="0" quotePrefix="0" xfId="0">
      <alignment vertical="center"/>
    </xf>
    <xf numFmtId="0" fontId="4" fillId="2" borderId="0" applyAlignment="1" pivotButton="0" quotePrefix="0" xfId="0">
      <alignment vertical="center"/>
    </xf>
    <xf numFmtId="164" fontId="27" fillId="5" borderId="12" applyAlignment="1" pivotButton="0" quotePrefix="0" xfId="0">
      <alignment horizontal="left" vertical="center" wrapText="1"/>
    </xf>
    <xf numFmtId="164" fontId="27" fillId="5" borderId="15" applyAlignment="1" pivotButton="0" quotePrefix="0" xfId="0">
      <alignment vertical="center" wrapText="1"/>
    </xf>
    <xf numFmtId="164" fontId="30" fillId="6" borderId="25" applyAlignment="1" pivotButton="0" quotePrefix="0" xfId="0">
      <alignment horizontal="center" vertical="center" wrapText="1"/>
    </xf>
    <xf numFmtId="164" fontId="30" fillId="6" borderId="26" applyAlignment="1" pivotButton="0" quotePrefix="0" xfId="0">
      <alignment horizontal="center" vertical="center" wrapText="1"/>
    </xf>
    <xf numFmtId="0" fontId="31" fillId="7" borderId="15" applyAlignment="1" pivotButton="0" quotePrefix="0" xfId="0">
      <alignment horizontal="left" vertical="center"/>
    </xf>
    <xf numFmtId="0" fontId="31" fillId="7" borderId="15" applyAlignment="1" pivotButton="0" quotePrefix="0" xfId="0">
      <alignment vertical="center"/>
    </xf>
    <xf numFmtId="164" fontId="27" fillId="5" borderId="30" applyAlignment="1" pivotButton="0" quotePrefix="0" xfId="0">
      <alignment horizontal="left" vertical="center" wrapText="1"/>
    </xf>
    <xf numFmtId="0" fontId="31" fillId="7" borderId="16" applyAlignment="1" pivotButton="0" quotePrefix="0" xfId="0">
      <alignment horizontal="center" vertical="center"/>
    </xf>
    <xf numFmtId="0" fontId="31" fillId="7" borderId="16" applyAlignment="1" pivotButton="0" quotePrefix="0" xfId="0">
      <alignment horizontal="center" vertical="center" wrapText="1"/>
    </xf>
    <xf numFmtId="0" fontId="31" fillId="7" borderId="20" applyAlignment="1" pivotButton="0" quotePrefix="0" xfId="0">
      <alignment horizontal="center" vertical="center" wrapText="1"/>
    </xf>
    <xf numFmtId="0" fontId="31" fillId="7" borderId="17" applyAlignment="1" pivotButton="0" quotePrefix="0" xfId="0">
      <alignment horizontal="center" vertical="center" wrapText="1"/>
    </xf>
    <xf numFmtId="164" fontId="27" fillId="5" borderId="31" applyAlignment="1" pivotButton="0" quotePrefix="0" xfId="0">
      <alignment horizontal="left" vertical="center" wrapText="1"/>
    </xf>
    <xf numFmtId="1" fontId="32" fillId="8" borderId="32" applyAlignment="1" pivotButton="0" quotePrefix="0" xfId="0">
      <alignment horizontal="center" vertical="center"/>
    </xf>
    <xf numFmtId="0" fontId="33" fillId="7" borderId="15" applyAlignment="1" pivotButton="0" quotePrefix="0" xfId="0">
      <alignment horizontal="right" vertical="center"/>
    </xf>
    <xf numFmtId="1" fontId="32" fillId="2" borderId="16" applyAlignment="1" pivotButton="0" quotePrefix="0" xfId="0">
      <alignment horizontal="center" vertical="center"/>
    </xf>
    <xf numFmtId="0" fontId="33" fillId="7" borderId="33" applyAlignment="1" pivotButton="0" quotePrefix="0" xfId="0">
      <alignment horizontal="right" vertical="center"/>
    </xf>
    <xf numFmtId="0" fontId="34" fillId="7" borderId="33" applyAlignment="1" pivotButton="0" quotePrefix="0" xfId="0">
      <alignment horizontal="left" vertical="center"/>
    </xf>
    <xf numFmtId="0" fontId="32" fillId="2" borderId="20" applyAlignment="1" pivotButton="0" quotePrefix="0" xfId="0">
      <alignment horizontal="center" vertical="center"/>
    </xf>
    <xf numFmtId="0" fontId="32" fillId="2" borderId="21" applyAlignment="1" pivotButton="0" quotePrefix="0" xfId="0">
      <alignment horizontal="center" vertical="center"/>
    </xf>
    <xf numFmtId="0" fontId="32" fillId="2" borderId="21" applyAlignment="1" pivotButton="0" quotePrefix="0" xfId="0">
      <alignment horizontal="center" vertical="center" wrapText="1"/>
    </xf>
    <xf numFmtId="0" fontId="32" fillId="2" borderId="16" applyAlignment="1" pivotButton="0" quotePrefix="0" xfId="0">
      <alignment horizontal="center" vertical="center"/>
    </xf>
    <xf numFmtId="0" fontId="32" fillId="2" borderId="16" applyAlignment="1" pivotButton="0" quotePrefix="0" xfId="0">
      <alignment horizontal="center" vertical="center" wrapText="1"/>
    </xf>
    <xf numFmtId="0" fontId="32" fillId="2" borderId="18" applyAlignment="1" pivotButton="0" quotePrefix="0" xfId="0">
      <alignment horizontal="center" vertical="center" wrapText="1"/>
    </xf>
    <xf numFmtId="0" fontId="33" fillId="7" borderId="30" applyAlignment="1" pivotButton="0" quotePrefix="0" xfId="0">
      <alignment horizontal="right" vertical="center"/>
    </xf>
    <xf numFmtId="0" fontId="32" fillId="2" borderId="32" applyAlignment="1" pivotButton="0" quotePrefix="0" xfId="0">
      <alignment horizontal="center" vertical="center"/>
    </xf>
    <xf numFmtId="0" fontId="32" fillId="2" borderId="32" applyAlignment="1" pivotButton="0" quotePrefix="0" xfId="0">
      <alignment horizontal="center" vertical="center" wrapText="1"/>
    </xf>
    <xf numFmtId="0" fontId="32" fillId="2" borderId="22" applyAlignment="1" pivotButton="0" quotePrefix="0" xfId="0">
      <alignment horizontal="center" vertical="center"/>
    </xf>
    <xf numFmtId="0" fontId="35" fillId="0" borderId="34" applyAlignment="1" pivotButton="0" quotePrefix="0" xfId="0">
      <alignment horizontal="left" vertical="center" wrapText="1"/>
    </xf>
    <xf numFmtId="0" fontId="23" fillId="9" borderId="34" applyAlignment="1" pivotButton="0" quotePrefix="0" xfId="0">
      <alignment horizontal="center" vertical="center" wrapText="1"/>
    </xf>
    <xf numFmtId="0" fontId="36" fillId="3" borderId="34" applyAlignment="1" pivotButton="0" quotePrefix="0" xfId="0">
      <alignment horizontal="center" vertical="center" wrapText="1"/>
    </xf>
    <xf numFmtId="0" fontId="36" fillId="0" borderId="34" applyAlignment="1" pivotButton="0" quotePrefix="0" xfId="0">
      <alignment horizontal="center" vertical="center" wrapText="1"/>
    </xf>
    <xf numFmtId="0" fontId="23" fillId="10" borderId="34" applyAlignment="1" pivotButton="0" quotePrefix="0" xfId="0">
      <alignment horizontal="center" vertical="center" wrapText="1"/>
    </xf>
    <xf numFmtId="0" fontId="35" fillId="11" borderId="34" applyAlignment="1" pivotButton="0" quotePrefix="0" xfId="0">
      <alignment horizontal="left" vertical="center" wrapText="1"/>
    </xf>
    <xf numFmtId="0" fontId="35" fillId="11" borderId="34" applyAlignment="1" pivotButton="0" quotePrefix="0" xfId="0">
      <alignment horizontal="center" vertical="center" wrapText="1"/>
    </xf>
    <xf numFmtId="0" fontId="36" fillId="0" borderId="34" applyAlignment="1" pivotButton="0" quotePrefix="0" xfId="0">
      <alignment horizontal="center" vertical="top" wrapText="1"/>
    </xf>
    <xf numFmtId="0" fontId="24" fillId="0" borderId="34" applyAlignment="1" pivotButton="0" quotePrefix="0" xfId="0">
      <alignment horizontal="left" vertical="top" wrapText="1"/>
    </xf>
    <xf numFmtId="0" fontId="24" fillId="0" borderId="34" applyAlignment="1" pivotButton="0" quotePrefix="0" xfId="0">
      <alignment horizontal="center" vertical="top" wrapText="1"/>
    </xf>
    <xf numFmtId="0" fontId="24" fillId="0" borderId="35" applyAlignment="1" pivotButton="0" quotePrefix="0" xfId="0">
      <alignment horizontal="left" vertical="top" wrapText="1"/>
    </xf>
    <xf numFmtId="0" fontId="24" fillId="0" borderId="36" applyAlignment="1" pivotButton="0" quotePrefix="0" xfId="0">
      <alignment horizontal="left" vertical="top" wrapText="1"/>
    </xf>
    <xf numFmtId="0" fontId="24" fillId="0" borderId="37" applyAlignment="1" pivotButton="0" quotePrefix="0" xfId="0">
      <alignment horizontal="left" vertical="top" wrapText="1"/>
    </xf>
    <xf numFmtId="0" fontId="35" fillId="11" borderId="38" applyAlignment="1" pivotButton="0" quotePrefix="0" xfId="0">
      <alignment horizontal="center" vertical="center" wrapText="1"/>
    </xf>
    <xf numFmtId="0" fontId="36" fillId="0" borderId="35" applyAlignment="1" pivotButton="0" quotePrefix="0" xfId="0">
      <alignment horizontal="center" vertical="top" wrapText="1"/>
    </xf>
    <xf numFmtId="0" fontId="24" fillId="0" borderId="39" applyAlignment="1" pivotButton="0" quotePrefix="0" xfId="0">
      <alignment horizontal="left" vertical="top" wrapText="1"/>
    </xf>
    <xf numFmtId="0" fontId="24" fillId="0" borderId="40" applyAlignment="1" pivotButton="0" quotePrefix="0" xfId="0">
      <alignment horizontal="left" vertical="top" wrapText="1"/>
    </xf>
    <xf numFmtId="0" fontId="24" fillId="0" borderId="35" applyAlignment="1" pivotButton="0" quotePrefix="0" xfId="0">
      <alignment horizontal="center" vertical="top" wrapText="1"/>
    </xf>
    <xf numFmtId="0" fontId="36" fillId="0" borderId="38" applyAlignment="1" pivotButton="0" quotePrefix="0" xfId="0">
      <alignment horizontal="center" vertical="top" wrapText="1"/>
    </xf>
    <xf numFmtId="0" fontId="24" fillId="0" borderId="38" applyAlignment="1" pivotButton="0" quotePrefix="0" xfId="0">
      <alignment horizontal="left" vertical="top" wrapText="1"/>
    </xf>
    <xf numFmtId="0" fontId="24" fillId="0" borderId="41" applyAlignment="1" pivotButton="0" quotePrefix="0" xfId="0">
      <alignment horizontal="left" vertical="top" wrapText="1"/>
    </xf>
    <xf numFmtId="0" fontId="24" fillId="0" borderId="42" applyAlignment="1" pivotButton="0" quotePrefix="0" xfId="0">
      <alignment horizontal="left" vertical="top" wrapText="1"/>
    </xf>
    <xf numFmtId="0" fontId="24" fillId="0" borderId="38" applyAlignment="1" pivotButton="0" quotePrefix="0" xfId="0">
      <alignment horizontal="center" vertical="top" wrapText="1"/>
    </xf>
    <xf numFmtId="0" fontId="37" fillId="0" borderId="34" applyAlignment="1" pivotButton="0" quotePrefix="0" xfId="0">
      <alignment horizontal="left" vertical="center" wrapText="1"/>
    </xf>
    <xf numFmtId="0" fontId="38" fillId="0" borderId="0" pivotButton="0" quotePrefix="0" xfId="0"/>
    <xf numFmtId="0" fontId="37" fillId="9" borderId="34" applyAlignment="1" pivotButton="0" quotePrefix="0" xfId="0">
      <alignment horizontal="center" vertical="center" wrapText="1"/>
    </xf>
    <xf numFmtId="0" fontId="37" fillId="10" borderId="34" applyAlignment="1" pivotButton="0" quotePrefix="0" xfId="0">
      <alignment horizontal="center" vertical="center" wrapText="1"/>
    </xf>
    <xf numFmtId="0" fontId="37" fillId="11" borderId="34" applyAlignment="1" pivotButton="0" quotePrefix="0" xfId="0">
      <alignment horizontal="left" vertical="center" wrapText="1"/>
    </xf>
    <xf numFmtId="0" fontId="37" fillId="11" borderId="34" applyAlignment="1" pivotButton="0" quotePrefix="0" xfId="0">
      <alignment horizontal="center" vertical="center" wrapText="1"/>
    </xf>
    <xf numFmtId="0" fontId="39" fillId="0" borderId="34" applyAlignment="1" pivotButton="0" quotePrefix="0" xfId="0">
      <alignment horizontal="left" vertical="top" wrapText="1"/>
    </xf>
    <xf numFmtId="0" fontId="37" fillId="0" borderId="0" applyAlignment="1" pivotButton="0" quotePrefix="0" xfId="0">
      <alignment horizontal="left" vertical="center" wrapText="1"/>
    </xf>
    <xf numFmtId="0" fontId="24" fillId="0" borderId="0" applyAlignment="1" pivotButton="0" quotePrefix="0" xfId="0">
      <alignment horizontal="center" vertical="center" wrapText="1"/>
    </xf>
    <xf numFmtId="0" fontId="38" fillId="12" borderId="0" pivotButton="0" quotePrefix="0" xfId="0"/>
    <xf numFmtId="1" fontId="32" fillId="2" borderId="43" applyAlignment="1" pivotButton="0" quotePrefix="0" xfId="0">
      <alignment horizontal="center" vertical="center"/>
    </xf>
    <xf numFmtId="167" fontId="16" fillId="2" borderId="0" applyAlignment="1" pivotButton="0" quotePrefix="0" xfId="0">
      <alignment horizontal="center" vertical="center"/>
    </xf>
    <xf numFmtId="168" fontId="16" fillId="2" borderId="0" applyAlignment="1" pivotButton="0" quotePrefix="0" xfId="0">
      <alignment horizontal="center" vertical="center"/>
    </xf>
    <xf numFmtId="0" fontId="26" fillId="2" borderId="0" applyAlignment="1" pivotButton="0" quotePrefix="0" xfId="0">
      <alignment horizontal="center" vertical="center"/>
    </xf>
    <xf numFmtId="0" fontId="4" fillId="2" borderId="0" applyAlignment="1" pivotButton="0" quotePrefix="0" xfId="0">
      <alignment horizontal="center" vertical="center"/>
    </xf>
    <xf numFmtId="164" fontId="27" fillId="5" borderId="13" applyAlignment="1" pivotButton="0" quotePrefix="0" xfId="0">
      <alignment horizontal="center" vertical="center" wrapText="1"/>
    </xf>
    <xf numFmtId="164" fontId="27" fillId="5" borderId="16" applyAlignment="1" pivotButton="0" quotePrefix="0" xfId="0">
      <alignment horizontal="center" vertical="center" wrapText="1"/>
    </xf>
    <xf numFmtId="164" fontId="29" fillId="2" borderId="18" applyAlignment="1" pivotButton="0" quotePrefix="0" xfId="0">
      <alignment horizontal="center" vertical="center" wrapText="1"/>
    </xf>
    <xf numFmtId="164" fontId="29" fillId="2" borderId="19" applyAlignment="1" pivotButton="0" quotePrefix="0" xfId="0">
      <alignment horizontal="center" vertical="center" wrapText="1"/>
    </xf>
    <xf numFmtId="167" fontId="28" fillId="2" borderId="20" applyAlignment="1" pivotButton="0" quotePrefix="0" xfId="0">
      <alignment horizontal="center" vertical="center" wrapText="1"/>
    </xf>
    <xf numFmtId="167" fontId="28" fillId="2" borderId="21" applyAlignment="1" pivotButton="0" quotePrefix="0" xfId="0">
      <alignment horizontal="center" vertical="center" wrapText="1"/>
    </xf>
    <xf numFmtId="167" fontId="28" fillId="2" borderId="22" applyAlignment="1" pivotButton="0" quotePrefix="0" xfId="0">
      <alignment horizontal="center" vertical="center" wrapText="1"/>
    </xf>
    <xf numFmtId="0" fontId="28" fillId="2" borderId="27" applyAlignment="1" pivotButton="0" quotePrefix="0" xfId="0">
      <alignment horizontal="center" vertical="center"/>
    </xf>
    <xf numFmtId="0" fontId="28" fillId="2" borderId="28" applyAlignment="1" pivotButton="0" quotePrefix="0" xfId="0">
      <alignment horizontal="center" vertical="center"/>
    </xf>
    <xf numFmtId="0" fontId="28" fillId="2" borderId="29" applyAlignment="1" pivotButton="0" quotePrefix="0" xfId="0">
      <alignment horizontal="center" vertical="center"/>
    </xf>
    <xf numFmtId="167" fontId="28" fillId="2" borderId="20" applyAlignment="1" pivotButton="0" quotePrefix="0" xfId="0">
      <alignment horizontal="center" vertical="center"/>
    </xf>
    <xf numFmtId="167" fontId="28" fillId="2" borderId="21" applyAlignment="1" pivotButton="0" quotePrefix="0" xfId="0">
      <alignment horizontal="center" vertical="center"/>
    </xf>
    <xf numFmtId="167" fontId="28" fillId="2" borderId="22" applyAlignment="1" pivotButton="0" quotePrefix="0" xfId="0">
      <alignment horizontal="center" vertical="center"/>
    </xf>
    <xf numFmtId="1" fontId="32" fillId="8" borderId="17" applyAlignment="1" pivotButton="0" quotePrefix="0" xfId="0">
      <alignment horizontal="center" vertical="center"/>
    </xf>
    <xf numFmtId="1" fontId="32" fillId="2" borderId="17" applyAlignment="1" pivotButton="0" quotePrefix="0" xfId="0">
      <alignment horizontal="center" vertical="center"/>
    </xf>
    <xf numFmtId="10" fontId="32" fillId="2" borderId="17" applyAlignment="1" pivotButton="0" quotePrefix="0" xfId="0">
      <alignment horizontal="center" vertical="center"/>
    </xf>
    <xf numFmtId="0" fontId="34" fillId="0" borderId="20" applyAlignment="1" pivotButton="0" quotePrefix="0" xfId="0">
      <alignment horizontal="center" vertical="center"/>
    </xf>
    <xf numFmtId="0" fontId="34" fillId="0" borderId="21" applyAlignment="1" pivotButton="0" quotePrefix="0" xfId="0">
      <alignment horizontal="center" vertical="center"/>
    </xf>
    <xf numFmtId="0" fontId="34" fillId="0" borderId="22" applyAlignment="1" pivotButton="0" quotePrefix="0" xfId="0">
      <alignment horizontal="center" vertical="center"/>
    </xf>
    <xf numFmtId="0" fontId="0" fillId="0" borderId="0" applyAlignment="1" pivotButton="0" quotePrefix="0" xfId="0">
      <alignment horizontal="center"/>
    </xf>
    <xf numFmtId="0" fontId="34" fillId="13" borderId="43" applyAlignment="1" pivotButton="0" quotePrefix="0" xfId="0">
      <alignment horizontal="right" vertical="center"/>
    </xf>
    <xf numFmtId="0" fontId="40" fillId="13" borderId="43" applyAlignment="1" pivotButton="0" quotePrefix="0" xfId="0">
      <alignment horizontal="right"/>
    </xf>
    <xf numFmtId="0" fontId="40" fillId="14" borderId="43" applyAlignment="1" pivotButton="0" quotePrefix="0" xfId="0">
      <alignment horizontal="right"/>
    </xf>
    <xf numFmtId="1" fontId="40" fillId="14" borderId="43" applyAlignment="1" pivotButton="0" quotePrefix="0" xfId="0">
      <alignment horizontal="center"/>
    </xf>
    <xf numFmtId="10" fontId="40" fillId="14" borderId="43" applyAlignment="1" pivotButton="0" quotePrefix="0" xfId="0">
      <alignment horizontal="center"/>
    </xf>
    <xf numFmtId="0" fontId="41" fillId="14" borderId="43" applyAlignment="1" pivotButton="0" quotePrefix="0" xfId="0">
      <alignment horizontal="center" vertical="center" wrapText="1"/>
    </xf>
    <xf numFmtId="1" fontId="0" fillId="0" borderId="0" pivotButton="0" quotePrefix="0" xfId="0"/>
    <xf numFmtId="0" fontId="37" fillId="15" borderId="34" applyAlignment="1" pivotButton="0" quotePrefix="0" xfId="0">
      <alignment horizontal="center" vertical="center" wrapText="1"/>
    </xf>
    <xf numFmtId="0" fontId="23" fillId="15" borderId="34" applyAlignment="1" pivotButton="0" quotePrefix="0" xfId="0">
      <alignment horizontal="center" vertical="center" wrapText="1"/>
    </xf>
    <xf numFmtId="0" fontId="42" fillId="16" borderId="0" applyAlignment="1" pivotButton="0" quotePrefix="0" xfId="0">
      <alignment horizontal="center" vertical="center" wrapText="1"/>
    </xf>
    <xf numFmtId="0" fontId="37" fillId="9" borderId="43" applyAlignment="1" pivotButton="0" quotePrefix="0" xfId="0">
      <alignment horizontal="center" vertical="center" wrapText="1"/>
    </xf>
    <xf numFmtId="0" fontId="24" fillId="3" borderId="43" applyAlignment="1" pivotButton="0" quotePrefix="0" xfId="0">
      <alignment horizontal="center" vertical="center" wrapText="1"/>
    </xf>
    <xf numFmtId="0" fontId="42" fillId="16" borderId="43" applyAlignment="1" pivotButton="0" quotePrefix="0" xfId="0">
      <alignment horizontal="center" vertical="center" wrapText="1"/>
    </xf>
    <xf numFmtId="0" fontId="24" fillId="0" borderId="43" applyAlignment="1" pivotButton="0" quotePrefix="0" xfId="0">
      <alignment horizontal="center" vertical="center" wrapText="1"/>
    </xf>
    <xf numFmtId="164" fontId="11" fillId="3" borderId="0" applyAlignment="1" pivotButton="0" quotePrefix="0" xfId="0">
      <alignment horizontal="left" vertical="center"/>
    </xf>
    <xf numFmtId="164" fontId="10" fillId="3" borderId="3" applyAlignment="1" pivotButton="0" quotePrefix="0" xfId="0">
      <alignment horizontal="center"/>
    </xf>
    <xf numFmtId="164" fontId="11" fillId="3" borderId="0" applyAlignment="1" pivotButton="0" quotePrefix="0" xfId="0">
      <alignment horizontal="left" vertical="center" wrapText="1"/>
    </xf>
    <xf numFmtId="164" fontId="5" fillId="3" borderId="1" applyAlignment="1" pivotButton="0" quotePrefix="0" xfId="0">
      <alignment horizontal="center"/>
    </xf>
    <xf numFmtId="164" fontId="5" fillId="3" borderId="2" applyAlignment="1" pivotButton="0" quotePrefix="0" xfId="0">
      <alignment horizontal="center"/>
    </xf>
    <xf numFmtId="164" fontId="7" fillId="3" borderId="2" applyAlignment="1" pivotButton="0" quotePrefix="0" xfId="0">
      <alignment horizontal="center" vertical="center" wrapText="1"/>
    </xf>
    <xf numFmtId="164" fontId="9" fillId="3" borderId="0" applyAlignment="1" pivotButton="0" quotePrefix="0" xfId="0">
      <alignment horizontal="center" vertical="center" wrapText="1"/>
    </xf>
    <xf numFmtId="164" fontId="10" fillId="3" borderId="2" applyAlignment="1" pivotButton="0" quotePrefix="0" xfId="0">
      <alignment horizontal="center" vertical="center" wrapText="1"/>
    </xf>
    <xf numFmtId="164" fontId="19" fillId="4" borderId="8" applyAlignment="1" pivotButton="0" quotePrefix="0" xfId="0">
      <alignment horizontal="center" vertical="center" wrapText="1"/>
    </xf>
    <xf numFmtId="164" fontId="16" fillId="2" borderId="9" applyAlignment="1" pivotButton="0" quotePrefix="0" xfId="0">
      <alignment horizontal="center" vertical="center" wrapText="1"/>
    </xf>
    <xf numFmtId="164" fontId="16" fillId="0" borderId="11" applyAlignment="1" pivotButton="0" quotePrefix="0" xfId="0">
      <alignment horizontal="left" vertical="center" wrapText="1"/>
    </xf>
    <xf numFmtId="164" fontId="29" fillId="2" borderId="16" applyAlignment="1" pivotButton="0" quotePrefix="0" xfId="0">
      <alignment horizontal="center" vertical="center" wrapText="1"/>
    </xf>
    <xf numFmtId="167" fontId="28" fillId="2" borderId="17" applyAlignment="1" pivotButton="0" quotePrefix="0" xfId="0">
      <alignment horizontal="center" vertical="center" wrapText="1"/>
    </xf>
    <xf numFmtId="167" fontId="29" fillId="2" borderId="23" applyAlignment="1" pivotButton="0" quotePrefix="0" xfId="0">
      <alignment horizontal="center" vertical="center" wrapText="1"/>
    </xf>
    <xf numFmtId="164" fontId="30" fillId="6" borderId="24" applyAlignment="1" pivotButton="0" quotePrefix="0" xfId="0">
      <alignment horizontal="left" vertical="center" wrapText="1"/>
    </xf>
    <xf numFmtId="164" fontId="28" fillId="2" borderId="8" applyAlignment="1" pivotButton="0" quotePrefix="0" xfId="0">
      <alignment horizontal="center" vertical="center" wrapText="1"/>
    </xf>
    <xf numFmtId="164" fontId="28" fillId="2" borderId="14" applyAlignment="1" pivotButton="0" quotePrefix="0" xfId="0">
      <alignment horizontal="center" vertical="center" wrapText="1"/>
    </xf>
    <xf numFmtId="164" fontId="28" fillId="2" borderId="16" applyAlignment="1" pivotButton="0" quotePrefix="0" xfId="0">
      <alignment horizontal="center" vertical="center" wrapText="1"/>
    </xf>
    <xf numFmtId="164" fontId="29" fillId="2" borderId="17" applyAlignment="1" pivotButton="0" quotePrefix="0" xfId="0">
      <alignment horizontal="center" vertical="center" wrapText="1"/>
    </xf>
    <xf numFmtId="0" fontId="0" fillId="0" borderId="44" pivotButton="0" quotePrefix="0" xfId="0"/>
    <xf numFmtId="0" fontId="0" fillId="0" borderId="45" pivotButton="0" quotePrefix="0" xfId="0"/>
    <xf numFmtId="0" fontId="0" fillId="0" borderId="4" pivotButton="0" quotePrefix="0" xfId="0"/>
    <xf numFmtId="0" fontId="0" fillId="0" borderId="3" pivotButton="0" quotePrefix="0" xfId="0"/>
    <xf numFmtId="0" fontId="0" fillId="0" borderId="25" pivotButton="0" quotePrefix="0" xfId="0"/>
    <xf numFmtId="0" fontId="0" fillId="0" borderId="48" pivotButton="0" quotePrefix="0" xfId="0"/>
    <xf numFmtId="0" fontId="0" fillId="0" borderId="51" pivotButton="0" quotePrefix="0" xfId="0"/>
    <xf numFmtId="0" fontId="0" fillId="0" borderId="13" pivotButton="0" quotePrefix="0" xfId="0"/>
    <xf numFmtId="0" fontId="0" fillId="0" borderId="53" pivotButton="0" quotePrefix="0" xfId="0"/>
    <xf numFmtId="0" fontId="0" fillId="0" borderId="55" pivotButton="0" quotePrefix="0" xfId="0"/>
    <xf numFmtId="0" fontId="0" fillId="0" borderId="57" pivotButton="0" quotePrefix="0" xfId="0"/>
    <xf numFmtId="0" fontId="0" fillId="0" borderId="21" pivotButton="0" quotePrefix="0" xfId="0"/>
    <xf numFmtId="0" fontId="0" fillId="0" borderId="22" pivotButton="0" quotePrefix="0" xfId="0"/>
    <xf numFmtId="0" fontId="0" fillId="0" borderId="59" pivotButton="0" quotePrefix="0" xfId="0"/>
    <xf numFmtId="169" fontId="40" fillId="14" borderId="43" applyAlignment="1" pivotButton="0" quotePrefix="0" xfId="0">
      <alignment horizontal="center"/>
    </xf>
    <xf numFmtId="0" fontId="43" fillId="0" borderId="0" applyAlignment="1" pivotButton="0" quotePrefix="0" xfId="0">
      <alignment horizontal="left" vertical="center" wrapText="1"/>
    </xf>
    <xf numFmtId="0" fontId="37" fillId="11" borderId="34" applyAlignment="1" pivotButton="0" quotePrefix="0" xfId="0">
      <alignment horizontal="left" vertical="center"/>
    </xf>
    <xf numFmtId="0" fontId="37" fillId="17" borderId="34" applyAlignment="1" pivotButton="0" quotePrefix="0" xfId="0">
      <alignment horizontal="left" vertical="center"/>
    </xf>
    <xf numFmtId="0" fontId="37" fillId="17" borderId="34" applyAlignment="1" pivotButton="0" quotePrefix="0" xfId="0">
      <alignment horizontal="left" vertical="center" wrapText="1"/>
    </xf>
    <xf numFmtId="0" fontId="24" fillId="0" borderId="34" applyAlignment="1" pivotButton="0" quotePrefix="1" xfId="0">
      <alignment horizontal="center" vertical="top" wrapText="1"/>
    </xf>
  </cellXfs>
  <cellStyles count="4">
    <cellStyle name="Bình thường" xfId="0" builtinId="0"/>
    <cellStyle name="Normal 2" xfId="1"/>
    <cellStyle name="Normal 6" xfId="2"/>
    <cellStyle name="標準_打刻ﾃﾞｰﾀ収集" xfId="3"/>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75B6"/>
      <rgbColor rgb="FFB4C7E7"/>
      <rgbColor rgb="FF8497B0"/>
      <rgbColor rgb="FF548DD4"/>
      <rgbColor rgb="FF7030A0"/>
      <rgbColor rgb="FFE2EFDA"/>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A7D6E3"/>
      <rgbColor rgb="FFFF99CC"/>
      <rgbColor rgb="FFCC99FF"/>
      <rgbColor rgb="FFF8CBAD"/>
      <rgbColor rgb="FF4472C4"/>
      <rgbColor rgb="FF33CCCC"/>
      <rgbColor rgb="FF99CC00"/>
      <rgbColor rgb="FFFFCC00"/>
      <rgbColor rgb="FFFF9900"/>
      <rgbColor rgb="FFFF6600"/>
      <rgbColor rgb="FF44546A"/>
      <rgbColor rgb="FF999999"/>
      <rgbColor rgb="FF1F497D"/>
      <rgbColor rgb="FF339966"/>
      <rgbColor rgb="FF003300"/>
      <rgbColor rgb="FF333300"/>
      <rgbColor rgb="FF993300"/>
      <rgbColor rgb="FF993366"/>
      <rgbColor rgb="FF333399"/>
      <rgbColor rgb="FF2F559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Unknown Author</author>
  </authors>
  <commentList>
    <comment ref="B9" authorId="0" shapeId="0">
      <text>
        <t>PC:
A: Add
M: Modify
D: Delete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over'!A1" TargetMode="External" Id="rId1"/><Relationship Type="http://schemas.openxmlformats.org/officeDocument/2006/relationships/hyperlink" Target="#'Records'!A1" TargetMode="External" Id="rId2"/><Relationship Type="http://schemas.openxmlformats.org/officeDocument/2006/relationships/hyperlink" Target="#'Test Report'!A1" TargetMode="External" Id="rId3"/><Relationship Type="http://schemas.openxmlformats.org/officeDocument/2006/relationships/hyperlink" Target="#'Report'!A1" TargetMode="External" Id="rId4"/><Relationship Type="http://schemas.openxmlformats.org/officeDocument/2006/relationships/hyperlink" Target="#'Report_TM_01'!A1" TargetMode="External" Id="rId5"/><Relationship Type="http://schemas.openxmlformats.org/officeDocument/2006/relationships/hyperlink" Target="#'Report_TM_02'!A1" TargetMode="External" Id="rId6"/><Relationship Type="http://schemas.openxmlformats.org/officeDocument/2006/relationships/hyperlink" Target="#'Report_TM_03'!A1" TargetMode="External" Id="rId7"/><Relationship Type="http://schemas.openxmlformats.org/officeDocument/2006/relationships/hyperlink" Target="#'Report_TM_04'!A1" TargetMode="External" Id="rId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9"/>
  <sheetViews>
    <sheetView zoomScaleNormal="100" workbookViewId="0">
      <selection activeCell="E16" sqref="E16"/>
    </sheetView>
  </sheetViews>
  <sheetFormatPr baseColWidth="8" defaultColWidth="9.140625" defaultRowHeight="14.25"/>
  <cols>
    <col width="9.140625" customWidth="1" style="4" min="1" max="1"/>
    <col width="5.7109375" customWidth="1" style="4" min="2" max="2"/>
    <col width="9.140625" customWidth="1" style="4" min="3" max="4"/>
    <col width="45.42578125" customWidth="1" style="4" min="5" max="5"/>
    <col width="9.140625" customWidth="1" style="4" min="6" max="6"/>
    <col width="16.5703125" customWidth="1" style="4" min="7" max="7"/>
    <col width="31.7109375" customWidth="1" style="4" min="8" max="8"/>
    <col width="9.140625" customWidth="1" style="4" min="9" max="1024"/>
  </cols>
  <sheetData>
    <row r="1" ht="15" customHeight="1">
      <c r="A1" s="5" t="n"/>
      <c r="B1" s="5" t="n"/>
      <c r="C1" s="5" t="n"/>
      <c r="D1" s="5" t="n"/>
      <c r="E1" s="5" t="n"/>
      <c r="F1" s="5" t="n"/>
      <c r="G1" s="5" t="n"/>
      <c r="H1" s="5" t="n"/>
      <c r="I1" s="5" t="n"/>
      <c r="J1" s="5" t="n"/>
    </row>
    <row r="2" ht="13.5" customFormat="1" customHeight="1" s="4">
      <c r="A2" s="5" t="n"/>
      <c r="B2" s="143" t="n"/>
      <c r="C2" s="159" t="n"/>
      <c r="D2" s="159" t="n"/>
      <c r="E2" s="159" t="n"/>
      <c r="F2" s="159" t="n"/>
      <c r="G2" s="159" t="n"/>
      <c r="H2" s="159" t="n"/>
      <c r="I2" s="159" t="n"/>
      <c r="J2" s="160" t="n"/>
    </row>
    <row r="3" ht="13.5" customFormat="1" customHeight="1" s="4">
      <c r="A3" s="5" t="n"/>
      <c r="B3" s="144" t="n"/>
      <c r="J3" s="161" t="n"/>
    </row>
    <row r="4" ht="13.5" customFormat="1" customHeight="1" s="4">
      <c r="A4" s="5" t="n"/>
      <c r="B4" s="6" t="n"/>
      <c r="C4" s="7" t="n"/>
      <c r="D4" s="7" t="n"/>
      <c r="E4" s="7" t="n"/>
      <c r="F4" s="7" t="n"/>
      <c r="G4" s="7" t="n"/>
      <c r="H4" s="7" t="n"/>
      <c r="I4" s="7" t="n"/>
      <c r="J4" s="8" t="n"/>
    </row>
    <row r="5" ht="13.5" customFormat="1" customHeight="1" s="4">
      <c r="A5" s="5" t="n"/>
      <c r="B5" s="6" t="n"/>
      <c r="C5" s="7" t="n"/>
      <c r="D5" s="7" t="n"/>
      <c r="E5" s="7" t="n"/>
      <c r="F5" s="7" t="n"/>
      <c r="G5" s="7" t="n"/>
      <c r="H5" s="7" t="n"/>
      <c r="I5" s="7" t="n"/>
      <c r="J5" s="8" t="n"/>
    </row>
    <row r="6" ht="13.5" customFormat="1" customHeight="1" s="4">
      <c r="A6" s="5" t="n"/>
      <c r="B6" s="145" t="n"/>
      <c r="J6" s="161" t="n"/>
    </row>
    <row r="7" ht="13.5" customFormat="1" customHeight="1" s="4">
      <c r="A7" s="5" t="n"/>
      <c r="B7" s="162" t="n"/>
      <c r="J7" s="161" t="n"/>
    </row>
    <row r="8" ht="31.5" customFormat="1" customHeight="1" s="4">
      <c r="A8" s="5" t="n"/>
      <c r="B8" s="9" t="n"/>
      <c r="C8" s="10" t="n"/>
      <c r="D8" s="10" t="n"/>
      <c r="E8" s="146" t="inlineStr">
        <is>
          <t>Test Report</t>
        </is>
      </c>
      <c r="I8" s="10" t="n"/>
      <c r="J8" s="11" t="n"/>
    </row>
    <row r="9" ht="13.5" customFormat="1" customHeight="1" s="4">
      <c r="A9" s="5" t="n"/>
      <c r="B9" s="147" t="n"/>
      <c r="J9" s="161" t="n"/>
    </row>
    <row r="10" ht="13.5" customFormat="1" customHeight="1" s="4">
      <c r="A10" s="5" t="n"/>
      <c r="B10" s="141" t="n"/>
      <c r="J10" s="12" t="n"/>
    </row>
    <row r="11" ht="26.25" customFormat="1" customHeight="1" s="4">
      <c r="A11" s="5" t="n"/>
      <c r="B11" s="13" t="n"/>
      <c r="C11" s="140" t="inlineStr">
        <is>
          <t>Project Name:</t>
        </is>
      </c>
      <c r="E11" s="14" t="inlineStr">
        <is>
          <t>DỰ ÁN TRIỂN KHAI BẢN QUYỀN PHẦN MỀM HỆ THỐNG AML MỚI</t>
        </is>
      </c>
      <c r="F11" s="15" t="n"/>
      <c r="G11" s="142" t="inlineStr">
        <is>
          <t>Reviewer:</t>
        </is>
      </c>
      <c r="H11" s="14" t="n"/>
      <c r="I11" s="16" t="n"/>
      <c r="J11" s="17" t="n"/>
    </row>
    <row r="12" ht="13.5" customFormat="1" customHeight="1" s="4">
      <c r="A12" s="5" t="n"/>
      <c r="B12" s="18" t="inlineStr">
        <is>
          <t xml:space="preserve"> </t>
        </is>
      </c>
      <c r="C12" s="142" t="inlineStr">
        <is>
          <t>Document Code:</t>
        </is>
      </c>
      <c r="E12" s="14" t="inlineStr">
        <is>
          <t>MSB_AML_Testcase_TM_Report</t>
        </is>
      </c>
      <c r="F12" s="19" t="n"/>
      <c r="G12" s="142" t="inlineStr">
        <is>
          <t>Position:</t>
        </is>
      </c>
      <c r="H12" s="14" t="n"/>
      <c r="I12" s="20" t="n"/>
      <c r="J12" s="21" t="n"/>
    </row>
    <row r="13" ht="13.5" customFormat="1" customHeight="1" s="4">
      <c r="A13" s="5" t="n"/>
      <c r="B13" s="13" t="n"/>
      <c r="C13" s="140" t="inlineStr">
        <is>
          <t>Originator:</t>
        </is>
      </c>
      <c r="E13" s="14" t="n"/>
      <c r="F13" s="15" t="n"/>
      <c r="G13" s="142" t="inlineStr">
        <is>
          <t>Reviewed Date:</t>
        </is>
      </c>
      <c r="H13" s="14" t="n"/>
      <c r="I13" s="16" t="n"/>
      <c r="J13" s="17" t="n"/>
    </row>
    <row r="14" ht="13.5" customFormat="1" customHeight="1" s="4">
      <c r="A14" s="5" t="n"/>
      <c r="B14" s="13" t="n"/>
      <c r="C14" s="140" t="inlineStr">
        <is>
          <t>Position:</t>
        </is>
      </c>
      <c r="E14" s="14" t="n"/>
      <c r="F14" s="15" t="n"/>
      <c r="G14" s="142" t="inlineStr">
        <is>
          <t>Approver:</t>
        </is>
      </c>
      <c r="H14" s="14" t="n"/>
      <c r="I14" s="16" t="n"/>
      <c r="J14" s="17" t="n"/>
    </row>
    <row r="15" ht="13.5" customFormat="1" customHeight="1" s="4">
      <c r="A15" s="5" t="n"/>
      <c r="B15" s="13" t="n"/>
      <c r="C15" s="140" t="inlineStr">
        <is>
          <t>Created Date:</t>
        </is>
      </c>
      <c r="E15" s="14" t="n">
        <v>46300</v>
      </c>
      <c r="F15" s="15" t="n"/>
      <c r="G15" s="142" t="inlineStr">
        <is>
          <t>Position:</t>
        </is>
      </c>
      <c r="H15" s="14" t="n"/>
      <c r="I15" s="16" t="n"/>
      <c r="J15" s="17" t="n"/>
    </row>
    <row r="16" ht="13.5" customFormat="1" customHeight="1" s="4">
      <c r="A16" s="5" t="n"/>
      <c r="B16" s="13" t="n"/>
      <c r="C16" s="140" t="inlineStr">
        <is>
          <t>Version:</t>
        </is>
      </c>
      <c r="E16" s="22" t="inlineStr">
        <is>
          <t>1.0</t>
        </is>
      </c>
      <c r="F16" s="15" t="n"/>
      <c r="G16" s="142" t="inlineStr">
        <is>
          <t>Approved Date:</t>
        </is>
      </c>
      <c r="H16" s="14" t="n"/>
      <c r="I16" s="16" t="n"/>
      <c r="J16" s="17" t="n"/>
    </row>
    <row r="17" ht="13.5" customFormat="1" customHeight="1" s="4">
      <c r="A17" s="5" t="n"/>
      <c r="B17" s="23" t="n"/>
      <c r="C17" s="24" t="n"/>
      <c r="D17" s="24" t="n"/>
      <c r="E17" s="25" t="n"/>
      <c r="F17" s="25" t="n"/>
      <c r="G17" s="25" t="n"/>
      <c r="H17" s="25" t="n"/>
      <c r="I17" s="25" t="n"/>
      <c r="J17" s="26" t="n"/>
    </row>
    <row r="18" ht="13.5" customFormat="1" customHeight="1" s="4">
      <c r="B18" s="27" t="n"/>
      <c r="C18" s="25" t="n"/>
      <c r="D18" s="25" t="n"/>
      <c r="E18" s="25" t="n"/>
      <c r="F18" s="25" t="n"/>
      <c r="G18" s="25" t="n"/>
      <c r="H18" s="25" t="n"/>
      <c r="I18" s="25" t="n"/>
      <c r="J18" s="26" t="n"/>
    </row>
    <row r="19" ht="15" customHeight="1">
      <c r="B19" s="28" t="n"/>
      <c r="C19" s="29" t="n"/>
      <c r="D19" s="29" t="n"/>
      <c r="E19" s="29" t="n"/>
      <c r="F19" s="29" t="n"/>
      <c r="G19" s="29" t="n"/>
      <c r="H19" s="29" t="n"/>
      <c r="I19" s="29" t="n"/>
      <c r="J19" s="30" t="n"/>
    </row>
  </sheetData>
  <mergeCells count="12">
    <mergeCell ref="C12:D12"/>
    <mergeCell ref="B3:J3"/>
    <mergeCell ref="C16:D16"/>
    <mergeCell ref="E8:H8"/>
    <mergeCell ref="C15:D15"/>
    <mergeCell ref="C11:D11"/>
    <mergeCell ref="B6:J7"/>
    <mergeCell ref="B10:I10"/>
    <mergeCell ref="B9:J9"/>
    <mergeCell ref="C14:D14"/>
    <mergeCell ref="C13:D13"/>
    <mergeCell ref="B2:J2"/>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17"/>
  <sheetViews>
    <sheetView zoomScaleNormal="100" workbookViewId="0">
      <selection activeCell="K16" sqref="K16"/>
    </sheetView>
  </sheetViews>
  <sheetFormatPr baseColWidth="8" defaultColWidth="9.140625" defaultRowHeight="14.25"/>
  <cols>
    <col width="21.42578125" customWidth="1" style="31" min="1" max="1"/>
    <col width="22.5703125" customWidth="1" style="31" min="2" max="2"/>
    <col width="14.140625" customWidth="1" style="31" min="3" max="3"/>
    <col width="11.5703125" customWidth="1" style="31" min="4" max="4"/>
    <col width="10.5703125" customWidth="1" style="31" min="5" max="5"/>
    <col width="12.7109375" customWidth="1" style="31" min="6" max="6"/>
    <col width="14" customWidth="1" style="31" min="7" max="7"/>
    <col width="9.140625" customWidth="1" style="31" min="8" max="1024"/>
  </cols>
  <sheetData>
    <row r="1" ht="17.25" customHeight="1">
      <c r="A1" s="32" t="inlineStr">
        <is>
          <t>TABLE OF CONTENT</t>
        </is>
      </c>
      <c r="B1" s="33" t="n"/>
    </row>
    <row r="2" ht="15" customHeight="1"/>
    <row r="3" ht="14.25" customHeight="1">
      <c r="A3" s="148" t="inlineStr">
        <is>
          <t>No</t>
        </is>
      </c>
      <c r="B3" s="148" t="inlineStr">
        <is>
          <t>Items</t>
        </is>
      </c>
      <c r="C3" s="148" t="inlineStr">
        <is>
          <t>Content</t>
        </is>
      </c>
      <c r="H3" s="34" t="inlineStr">
        <is>
          <t>Note</t>
        </is>
      </c>
    </row>
    <row r="4" ht="14.25" customHeight="1">
      <c r="A4" s="35" t="n">
        <v>1</v>
      </c>
      <c r="B4" s="36" t="inlineStr">
        <is>
          <t>Cover</t>
        </is>
      </c>
      <c r="C4" s="150" t="inlineStr">
        <is>
          <t>Cover</t>
        </is>
      </c>
      <c r="D4" s="163" t="n"/>
      <c r="E4" s="163" t="n"/>
      <c r="F4" s="163" t="n"/>
      <c r="G4" s="164" t="n"/>
      <c r="H4" s="34" t="n"/>
    </row>
    <row r="5" ht="14.25" customHeight="1">
      <c r="A5" s="35" t="n">
        <v>2</v>
      </c>
      <c r="B5" s="36" t="inlineStr">
        <is>
          <t>Records</t>
        </is>
      </c>
      <c r="C5" s="150" t="inlineStr">
        <is>
          <t>Record of changes</t>
        </is>
      </c>
      <c r="D5" s="163" t="n"/>
      <c r="E5" s="163" t="n"/>
      <c r="F5" s="163" t="n"/>
      <c r="G5" s="164" t="n"/>
      <c r="H5" s="34" t="n"/>
    </row>
    <row r="6" ht="14.25" customHeight="1">
      <c r="A6" s="35" t="n">
        <v>3</v>
      </c>
      <c r="B6" s="36" t="inlineStr">
        <is>
          <t>Test Report</t>
        </is>
      </c>
      <c r="C6" s="150" t="inlineStr">
        <is>
          <t>Tổng hợp kết quả thực thi test</t>
        </is>
      </c>
      <c r="D6" s="163" t="n"/>
      <c r="E6" s="163" t="n"/>
      <c r="F6" s="163" t="n"/>
      <c r="G6" s="164" t="n"/>
      <c r="H6" s="34" t="n"/>
    </row>
    <row r="7" ht="14.25" customHeight="1">
      <c r="A7" s="35" t="n">
        <v>4</v>
      </c>
      <c r="B7" s="36" t="inlineStr">
        <is>
          <t>Report</t>
        </is>
      </c>
      <c r="C7" s="150" t="inlineStr">
        <is>
          <t>Tổng hợp kết quả theo báo cáo</t>
        </is>
      </c>
      <c r="D7" s="163" t="n"/>
      <c r="E7" s="163" t="n"/>
      <c r="F7" s="163" t="n"/>
      <c r="G7" s="164" t="n"/>
      <c r="H7" s="34" t="n"/>
    </row>
    <row r="8" ht="15" customHeight="1">
      <c r="A8" s="35" t="n">
        <v>5</v>
      </c>
      <c r="B8" s="36" t="inlineStr">
        <is>
          <t>Report_TM_01</t>
        </is>
      </c>
      <c r="C8" s="150" t="inlineStr">
        <is>
          <t>Test case Báo cáo thống kê số lượng báo cáo giao dịch đáng ngờ đã tạo</t>
        </is>
      </c>
      <c r="D8" s="163" t="n"/>
      <c r="E8" s="163" t="n"/>
      <c r="F8" s="163" t="n"/>
      <c r="G8" s="164" t="n"/>
      <c r="H8" s="34" t="n"/>
    </row>
    <row r="9" ht="14.25" customHeight="1">
      <c r="A9" s="35" t="n">
        <v>6</v>
      </c>
      <c r="B9" s="36" t="inlineStr">
        <is>
          <t>Report_TM_02</t>
        </is>
      </c>
      <c r="C9" s="150" t="inlineStr">
        <is>
          <t>Test case Báo cáo đánh giá hiệu quả của kịch bản quét sàng lọc giao dịch của khách hàng</t>
        </is>
      </c>
      <c r="D9" s="163" t="n"/>
      <c r="E9" s="163" t="n"/>
      <c r="F9" s="163" t="n"/>
      <c r="G9" s="164" t="n"/>
      <c r="H9" s="34" t="n"/>
    </row>
    <row r="10" ht="14.25" customHeight="1">
      <c r="A10" s="35" t="n">
        <v>7</v>
      </c>
      <c r="B10" s="36" t="inlineStr">
        <is>
          <t>Report_TM_03</t>
        </is>
      </c>
      <c r="C10" s="150" t="inlineStr">
        <is>
          <t>Test case Báo cáo các cảnh báo chưa được xử lý</t>
        </is>
      </c>
      <c r="D10" s="163" t="n"/>
      <c r="E10" s="163" t="n"/>
      <c r="F10" s="163" t="n"/>
      <c r="G10" s="164" t="n"/>
      <c r="H10" s="34" t="n"/>
    </row>
    <row r="11" ht="14.25" customHeight="1">
      <c r="A11" s="35" t="n">
        <v>8</v>
      </c>
      <c r="B11" s="36" t="inlineStr">
        <is>
          <t>Report_TM_04</t>
        </is>
      </c>
      <c r="C11" s="150" t="inlineStr">
        <is>
          <t>Test case Báo cáo khách hàng phát sinh cảnh báo theo từng kịch bản</t>
        </is>
      </c>
      <c r="D11" s="163" t="n"/>
      <c r="E11" s="163" t="n"/>
      <c r="F11" s="163" t="n"/>
      <c r="G11" s="164" t="n"/>
      <c r="H11" s="34" t="n"/>
    </row>
    <row r="12" ht="14.25" customHeight="1">
      <c r="A12" s="35" t="n"/>
      <c r="B12" s="36" t="n"/>
      <c r="C12" s="150" t="n"/>
      <c r="D12" s="163" t="n"/>
      <c r="E12" s="163" t="n"/>
      <c r="F12" s="163" t="n"/>
      <c r="G12" s="164" t="n"/>
      <c r="H12" s="34" t="n"/>
    </row>
    <row r="13" ht="14.25" customHeight="1">
      <c r="A13" s="35" t="n"/>
      <c r="B13" s="36" t="n"/>
      <c r="C13" s="150" t="n"/>
      <c r="D13" s="163" t="n"/>
      <c r="E13" s="163" t="n"/>
      <c r="F13" s="163" t="n"/>
      <c r="G13" s="164" t="n"/>
      <c r="H13" s="34" t="n"/>
    </row>
    <row r="15" ht="14.25" customHeight="1">
      <c r="A15" s="148" t="inlineStr">
        <is>
          <t>Effective Date</t>
        </is>
      </c>
      <c r="B15" s="148" t="inlineStr">
        <is>
          <t>A, M, D</t>
        </is>
      </c>
      <c r="C15" s="148" t="inlineStr">
        <is>
          <t>Change Description</t>
        </is>
      </c>
      <c r="D15" s="165" t="n"/>
      <c r="E15" s="166" t="n"/>
      <c r="F15" s="148" t="inlineStr">
        <is>
          <t>New Version</t>
        </is>
      </c>
      <c r="G15" s="148" t="inlineStr">
        <is>
          <t>Author</t>
        </is>
      </c>
    </row>
    <row r="16" ht="14.25" customHeight="1">
      <c r="A16" s="37" t="n">
        <v>46300</v>
      </c>
      <c r="B16" s="149" t="inlineStr">
        <is>
          <t>A</t>
        </is>
      </c>
      <c r="C16" s="149" t="inlineStr">
        <is>
          <t>Create new TC – 4 báo cáo TM theo Phụ lục 4 v1.4</t>
        </is>
      </c>
      <c r="D16" s="163" t="n"/>
      <c r="E16" s="167" t="n"/>
      <c r="F16" s="38" t="n">
        <v>1</v>
      </c>
      <c r="G16" s="149" t="n"/>
    </row>
    <row r="17" ht="68.25" customHeight="1">
      <c r="A17" s="37" t="n"/>
      <c r="B17" s="149" t="n"/>
      <c r="C17" s="149" t="n"/>
      <c r="D17" s="163" t="n"/>
      <c r="E17" s="167" t="n"/>
      <c r="F17" s="38" t="n"/>
      <c r="G17" s="149" t="n"/>
    </row>
  </sheetData>
  <mergeCells count="13">
    <mergeCell ref="C16:E16"/>
    <mergeCell ref="C4:G4"/>
    <mergeCell ref="C7:G7"/>
    <mergeCell ref="C12:G12"/>
    <mergeCell ref="C6:G6"/>
    <mergeCell ref="C10:G10"/>
    <mergeCell ref="C15:E15"/>
    <mergeCell ref="C11:G11"/>
    <mergeCell ref="C5:G5"/>
    <mergeCell ref="C17:E17"/>
    <mergeCell ref="C13:G13"/>
    <mergeCell ref="C8:G8"/>
    <mergeCell ref="C9:G9"/>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42"/>
  <sheetViews>
    <sheetView topLeftCell="A4" zoomScaleNormal="100" workbookViewId="0">
      <selection activeCell="D48" sqref="D48"/>
    </sheetView>
  </sheetViews>
  <sheetFormatPr baseColWidth="8" defaultColWidth="8.7109375" defaultRowHeight="14.25"/>
  <cols>
    <col width="24.140625" customWidth="1" min="1" max="1"/>
    <col width="12.140625" customWidth="1" style="125" min="2" max="7"/>
    <col width="8.5703125" customWidth="1" min="8" max="8"/>
  </cols>
  <sheetData>
    <row r="1" ht="14.25" customHeight="1">
      <c r="A1" s="39" t="n"/>
      <c r="B1" s="102" t="n"/>
      <c r="C1" s="102" t="n"/>
      <c r="D1" s="102" t="n"/>
      <c r="E1" s="102" t="n"/>
      <c r="F1" s="102" t="n"/>
      <c r="G1" s="103" t="n"/>
    </row>
    <row r="2" ht="27.75" customHeight="1">
      <c r="A2" s="40" t="n"/>
      <c r="B2" s="104" t="inlineStr">
        <is>
          <t>SYSTEM TEST REPORT</t>
        </is>
      </c>
      <c r="C2" s="105" t="n"/>
      <c r="D2" s="105" t="n"/>
      <c r="E2" s="105" t="n"/>
      <c r="F2" s="105" t="n"/>
      <c r="G2" s="105" t="n"/>
    </row>
    <row r="3" ht="14.25" customHeight="1">
      <c r="A3" s="40" t="n"/>
      <c r="B3" s="105" t="n"/>
      <c r="C3" s="105" t="n"/>
      <c r="D3" s="105" t="n"/>
      <c r="E3" s="105" t="n"/>
      <c r="F3" s="105" t="n"/>
      <c r="G3" s="105" t="n"/>
    </row>
    <row r="4" ht="15" customHeight="1">
      <c r="A4" s="40" t="n"/>
      <c r="B4" s="105" t="n"/>
      <c r="C4" s="105" t="n"/>
      <c r="D4" s="105" t="n"/>
      <c r="E4" s="105" t="n"/>
      <c r="F4" s="105" t="n"/>
      <c r="G4" s="105" t="n"/>
    </row>
    <row r="5" ht="24" customHeight="1">
      <c r="A5" s="41" t="inlineStr">
        <is>
          <t>Project</t>
        </is>
      </c>
      <c r="B5" s="155" t="inlineStr">
        <is>
          <t>DỰ ÁN TRIỂN KHAI BẢN QUYỀN PHẦN MỀM HỆ THỐNG AML MỚI</t>
        </is>
      </c>
      <c r="C5" s="166" t="n"/>
      <c r="D5" s="106" t="inlineStr">
        <is>
          <t>Project manager</t>
        </is>
      </c>
      <c r="E5" s="156" t="n"/>
      <c r="F5" s="165" t="n"/>
      <c r="G5" s="168" t="n"/>
    </row>
    <row r="6" ht="14.25" customHeight="1">
      <c r="A6" s="42" t="inlineStr">
        <is>
          <t>Application</t>
        </is>
      </c>
      <c r="B6" s="157" t="n"/>
      <c r="C6" s="169" t="n"/>
      <c r="D6" s="107" t="inlineStr">
        <is>
          <t>Approved Date</t>
        </is>
      </c>
      <c r="E6" s="152" t="n"/>
      <c r="F6" s="170" t="n"/>
      <c r="G6" s="171" t="n"/>
    </row>
    <row r="7" ht="14.25" customHeight="1">
      <c r="A7" s="42" t="inlineStr">
        <is>
          <t>Consolidated By</t>
        </is>
      </c>
      <c r="B7" s="151" t="n"/>
      <c r="C7" s="169" t="n"/>
      <c r="D7" s="107" t="inlineStr">
        <is>
          <t>Reviewed By</t>
        </is>
      </c>
      <c r="E7" s="158" t="n"/>
      <c r="F7" s="170" t="n"/>
      <c r="G7" s="171" t="n"/>
    </row>
    <row r="8" ht="14.25" customHeight="1">
      <c r="A8" s="42" t="inlineStr">
        <is>
          <t>Build Versions</t>
        </is>
      </c>
      <c r="B8" s="151" t="n"/>
      <c r="C8" s="169" t="n"/>
      <c r="D8" s="107" t="inlineStr">
        <is>
          <t>Reviewed date</t>
        </is>
      </c>
      <c r="E8" s="152" t="n"/>
      <c r="F8" s="170" t="n"/>
      <c r="G8" s="171" t="n"/>
    </row>
    <row r="9" ht="14.25" customHeight="1">
      <c r="A9" s="42" t="inlineStr">
        <is>
          <t>Test Environment</t>
        </is>
      </c>
      <c r="B9" s="108" t="inlineStr">
        <is>
          <t>SIT</t>
        </is>
      </c>
      <c r="C9" s="109" t="n"/>
      <c r="D9" s="107" t="n"/>
      <c r="E9" s="110" t="n"/>
      <c r="F9" s="111" t="n"/>
      <c r="G9" s="112" t="n"/>
    </row>
    <row r="10" ht="14.25" customHeight="1">
      <c r="A10" s="42" t="inlineStr">
        <is>
          <t>Last Updated Date</t>
        </is>
      </c>
      <c r="B10" s="153" t="n"/>
      <c r="C10" s="172" t="n"/>
      <c r="D10" s="107" t="n"/>
      <c r="E10" s="152" t="n"/>
      <c r="F10" s="170" t="n"/>
      <c r="G10" s="171" t="n"/>
    </row>
    <row r="11" ht="14.25" customHeight="1">
      <c r="A11" s="154" t="inlineStr">
        <is>
          <t>Test Execution Summary</t>
        </is>
      </c>
      <c r="B11" s="163" t="n"/>
      <c r="C11" s="43" t="n"/>
      <c r="D11" s="43" t="n"/>
      <c r="E11" s="43" t="n"/>
      <c r="F11" s="43" t="n"/>
      <c r="G11" s="44" t="n"/>
    </row>
    <row r="12" ht="14.25" customHeight="1">
      <c r="A12" s="45" t="inlineStr">
        <is>
          <t>Reported by</t>
        </is>
      </c>
      <c r="B12" s="113" t="n"/>
      <c r="C12" s="114" t="n"/>
      <c r="D12" s="114" t="n"/>
      <c r="E12" s="114" t="n"/>
      <c r="F12" s="114" t="n"/>
      <c r="G12" s="115" t="n"/>
    </row>
    <row r="13" ht="14.25" customHeight="1">
      <c r="A13" s="46" t="inlineStr">
        <is>
          <t>Date</t>
        </is>
      </c>
      <c r="B13" s="116" t="n"/>
      <c r="C13" s="117" t="n"/>
      <c r="D13" s="117" t="n"/>
      <c r="E13" s="117" t="n"/>
      <c r="F13" s="117" t="n"/>
      <c r="G13" s="118" t="n"/>
    </row>
    <row r="14" ht="14.25" customHeight="1">
      <c r="A14" s="47" t="inlineStr">
        <is>
          <t>Test Results</t>
        </is>
      </c>
      <c r="B14" s="48" t="inlineStr">
        <is>
          <t>Passed</t>
        </is>
      </c>
      <c r="C14" s="49" t="inlineStr">
        <is>
          <t>Failed</t>
        </is>
      </c>
      <c r="D14" s="49" t="inlineStr">
        <is>
          <t>Accepted</t>
        </is>
      </c>
      <c r="E14" s="49" t="inlineStr">
        <is>
          <t>N/A</t>
        </is>
      </c>
      <c r="F14" s="50" t="inlineStr">
        <is>
          <t>Untested</t>
        </is>
      </c>
      <c r="G14" s="51" t="inlineStr">
        <is>
          <t>Total</t>
        </is>
      </c>
    </row>
    <row r="15" ht="14.25" customHeight="1">
      <c r="A15" s="52" t="inlineStr">
        <is>
          <t>Tổng cộng</t>
        </is>
      </c>
      <c r="B15" s="53">
        <f>SUM(B16:B19)</f>
        <v/>
      </c>
      <c r="C15" s="53">
        <f>SUM(C16:C19)</f>
        <v/>
      </c>
      <c r="D15" s="53">
        <f>SUM(D16:D19)</f>
        <v/>
      </c>
      <c r="E15" s="53">
        <f>SUM(E16:E19)</f>
        <v/>
      </c>
      <c r="F15" s="53">
        <f>SUM(F16:F19)</f>
        <v/>
      </c>
      <c r="G15" s="119">
        <f>SUM(B15:F15)</f>
        <v/>
      </c>
    </row>
    <row r="16" ht="14.25" customHeight="1">
      <c r="A16" s="54" t="inlineStr">
        <is>
          <t>Report_TM_01</t>
        </is>
      </c>
      <c r="B16" s="55">
        <f>COUNTIF(Report_TM_01!J:J,"Passed")</f>
        <v/>
      </c>
      <c r="C16" s="55">
        <f>COUNTIF(Report_TM_01!J:J,"Failed")</f>
        <v/>
      </c>
      <c r="D16" s="55">
        <f>COUNTIF(Report_TM_01!J:J,"Accepted")</f>
        <v/>
      </c>
      <c r="E16" s="55">
        <f>COUNTIF(Report_TM_01!J:J,"N/A")</f>
        <v/>
      </c>
      <c r="F16" s="55">
        <f>COUNTIF(Report_TM_01!J:J,"Untested")</f>
        <v/>
      </c>
      <c r="G16" s="120">
        <f>SUM(B16:F16)</f>
        <v/>
      </c>
    </row>
    <row r="17" ht="14.25" customHeight="1">
      <c r="A17" s="56" t="inlineStr">
        <is>
          <t>Report_TM_02</t>
        </is>
      </c>
      <c r="B17" s="55">
        <f>COUNTIF(Report_TM_02!J:J,"Passed")</f>
        <v/>
      </c>
      <c r="C17" s="55">
        <f>COUNTIF(Report_TM_02!J:J,"Failed")</f>
        <v/>
      </c>
      <c r="D17" s="55">
        <f>COUNTIF(Report_TM_02!J:J,"Accepted")</f>
        <v/>
      </c>
      <c r="E17" s="55">
        <f>COUNTIF(Report_TM_02!J:J,"N/A")</f>
        <v/>
      </c>
      <c r="F17" s="55">
        <f>COUNTIF(Report_TM_02!J:J,"Untested")</f>
        <v/>
      </c>
      <c r="G17" s="120">
        <f>SUM(B17:F17)</f>
        <v/>
      </c>
    </row>
    <row r="18" ht="14.25" customHeight="1">
      <c r="A18" s="56" t="inlineStr">
        <is>
          <t>Report_TM_03</t>
        </is>
      </c>
      <c r="B18" s="55">
        <f>COUNTIF(Report_TM_03!J:J,"Passed")</f>
        <v/>
      </c>
      <c r="C18" s="55">
        <f>COUNTIF(Report_TM_03!J:J,"Failed")</f>
        <v/>
      </c>
      <c r="D18" s="55">
        <f>COUNTIF(Report_TM_03!J:J,"Accepted")</f>
        <v/>
      </c>
      <c r="E18" s="55">
        <f>COUNTIF(Report_TM_03!J:J,"N/A")</f>
        <v/>
      </c>
      <c r="F18" s="55">
        <f>COUNTIF(Report_TM_03!J:J,"Untested")</f>
        <v/>
      </c>
      <c r="G18" s="120">
        <f>SUM(B18:F18)</f>
        <v/>
      </c>
    </row>
    <row r="19" ht="14.25" customHeight="1">
      <c r="A19" s="56" t="inlineStr">
        <is>
          <t>Report_TM_04</t>
        </is>
      </c>
      <c r="B19" s="55">
        <f>COUNTIF(Report_TM_04!J:J,"Passed")</f>
        <v/>
      </c>
      <c r="C19" s="55">
        <f>COUNTIF(Report_TM_04!J:J,"Failed")</f>
        <v/>
      </c>
      <c r="D19" s="55">
        <f>COUNTIF(Report_TM_04!J:J,"Accepted")</f>
        <v/>
      </c>
      <c r="E19" s="55">
        <f>COUNTIF(Report_TM_04!J:J,"N/A")</f>
        <v/>
      </c>
      <c r="F19" s="55">
        <f>COUNTIF(Report_TM_04!J:J,"Untested")</f>
        <v/>
      </c>
      <c r="G19" s="120">
        <f>SUM(B19:F19)</f>
        <v/>
      </c>
    </row>
    <row r="20" ht="14.25" customHeight="1">
      <c r="A20" s="54" t="n"/>
      <c r="B20" s="55" t="n"/>
      <c r="C20" s="55" t="n"/>
      <c r="D20" s="55" t="n"/>
      <c r="E20" s="55" t="n"/>
      <c r="F20" s="55" t="n"/>
      <c r="G20" s="120" t="n"/>
    </row>
    <row r="21" ht="14.25" customHeight="1">
      <c r="A21" s="54" t="n"/>
      <c r="B21" s="55" t="n"/>
      <c r="C21" s="55" t="n"/>
      <c r="D21" s="55" t="n"/>
      <c r="E21" s="55" t="n"/>
      <c r="F21" s="55" t="n"/>
      <c r="G21" s="120" t="n"/>
    </row>
    <row r="22" ht="14.25" customHeight="1">
      <c r="A22" s="54" t="n"/>
      <c r="B22" s="55" t="n"/>
      <c r="C22" s="55" t="n"/>
      <c r="D22" s="55" t="n"/>
      <c r="E22" s="55" t="n"/>
      <c r="F22" s="55" t="n"/>
      <c r="G22" s="120" t="n"/>
    </row>
    <row r="23" ht="14.25" customHeight="1">
      <c r="A23" s="54" t="n"/>
      <c r="B23" s="55" t="n"/>
      <c r="C23" s="55" t="n"/>
      <c r="D23" s="55" t="n"/>
      <c r="E23" s="55" t="n"/>
      <c r="F23" s="55" t="n"/>
      <c r="G23" s="120" t="n"/>
    </row>
    <row r="24" ht="14.25" customHeight="1">
      <c r="A24" s="54" t="n"/>
      <c r="B24" s="55" t="n"/>
      <c r="C24" s="55" t="n"/>
      <c r="D24" s="55" t="n"/>
      <c r="E24" s="55" t="n"/>
      <c r="F24" s="55" t="n"/>
      <c r="G24" s="120" t="n"/>
    </row>
    <row r="25" ht="14.25" customHeight="1">
      <c r="A25" s="57" t="inlineStr">
        <is>
          <t>Test coverage</t>
        </is>
      </c>
      <c r="B25" s="58" t="n"/>
      <c r="C25" s="59" t="n"/>
      <c r="D25" s="59" t="n"/>
      <c r="E25" s="60" t="n"/>
      <c r="F25" s="60" t="n"/>
      <c r="G25" s="67" t="n"/>
    </row>
    <row r="26" ht="14.25" customHeight="1">
      <c r="A26" s="54" t="inlineStr">
        <is>
          <t>Test coverage</t>
        </is>
      </c>
      <c r="B26" s="61" t="n"/>
      <c r="C26" s="61" t="n"/>
      <c r="D26" s="61" t="n"/>
      <c r="E26" s="62" t="n"/>
      <c r="F26" s="63" t="n"/>
      <c r="G26" s="121">
        <f>IFERROR(SUM(B15,C15,E15)/G15,0)</f>
        <v/>
      </c>
    </row>
    <row r="27" ht="14.25" customHeight="1">
      <c r="A27" s="64" t="inlineStr">
        <is>
          <t>Test successful coverage</t>
        </is>
      </c>
      <c r="B27" s="65" t="n"/>
      <c r="C27" s="65" t="n"/>
      <c r="D27" s="65" t="n"/>
      <c r="E27" s="66" t="n"/>
      <c r="F27" s="63" t="n"/>
      <c r="G27" s="121">
        <f>IFERROR(SUM(B15,E15)/G15,0)</f>
        <v/>
      </c>
    </row>
    <row r="28" ht="14.25" customHeight="1">
      <c r="A28" s="57" t="inlineStr">
        <is>
          <t>Issues</t>
        </is>
      </c>
      <c r="B28" s="58" t="inlineStr">
        <is>
          <t xml:space="preserve"> </t>
        </is>
      </c>
      <c r="C28" s="59" t="n"/>
      <c r="D28" s="59" t="n"/>
      <c r="E28" s="60" t="n"/>
      <c r="F28" s="60" t="n"/>
      <c r="G28" s="67" t="n"/>
    </row>
    <row r="29" ht="14.25" customHeight="1">
      <c r="A29" s="64" t="inlineStr">
        <is>
          <t>1. Block testing issue</t>
        </is>
      </c>
      <c r="B29" s="122" t="n"/>
      <c r="C29" s="123" t="n"/>
      <c r="D29" s="123" t="n"/>
      <c r="E29" s="123" t="n"/>
      <c r="F29" s="123" t="n"/>
      <c r="G29" s="124" t="n"/>
    </row>
    <row r="30" ht="14.25" customHeight="1">
      <c r="A30" s="64" t="inlineStr">
        <is>
          <t>2. Critical defects</t>
        </is>
      </c>
      <c r="B30" s="122" t="n"/>
      <c r="C30" s="123" t="n"/>
      <c r="D30" s="123" t="n"/>
      <c r="E30" s="123" t="n"/>
      <c r="F30" s="123" t="n"/>
      <c r="G30" s="124" t="n"/>
    </row>
    <row r="35">
      <c r="A35" s="127" t="inlineStr">
        <is>
          <t>BÁO CÁO</t>
        </is>
      </c>
      <c r="B35" s="131" t="inlineStr">
        <is>
          <t>Pass</t>
        </is>
      </c>
      <c r="C35" s="131" t="inlineStr">
        <is>
          <t>Fail</t>
        </is>
      </c>
      <c r="D35" s="131" t="inlineStr">
        <is>
          <t>Pending</t>
        </is>
      </c>
      <c r="E35" s="131" t="inlineStr">
        <is>
          <t>Cancel</t>
        </is>
      </c>
      <c r="F35" s="131" t="inlineStr">
        <is>
          <t>Untested</t>
        </is>
      </c>
      <c r="G35" s="131" t="inlineStr">
        <is>
          <t>Next</t>
        </is>
      </c>
      <c r="H35" t="inlineStr">
        <is>
          <t>TỔNG</t>
        </is>
      </c>
    </row>
    <row r="36">
      <c r="A36" s="126" t="inlineStr">
        <is>
          <t>Report_TM_01</t>
        </is>
      </c>
      <c r="B36" s="101">
        <f>COUNTIF(Report_TM_01!$K:$K,'Test Report'!B$35)</f>
        <v/>
      </c>
      <c r="C36" s="101">
        <f>COUNTIF(Report_TM_01!$K:$K,'Test Report'!C$35)</f>
        <v/>
      </c>
      <c r="D36" s="101">
        <f>COUNTIF(Report_TM_01!$K:$K,'Test Report'!D$35)</f>
        <v/>
      </c>
      <c r="E36" s="101">
        <f>COUNTIF(Report_TM_01!$K:$K,'Test Report'!E$35)</f>
        <v/>
      </c>
      <c r="F36" s="101">
        <f>COUNTIF(Report_TM_01!$K:$K,'Test Report'!F$35)</f>
        <v/>
      </c>
      <c r="G36" s="101">
        <f>COUNTIF(Report_TM_01!$K:$K,'Test Report'!G$35)</f>
        <v/>
      </c>
      <c r="H36" s="132">
        <f>SUM(B36:G36)</f>
        <v/>
      </c>
    </row>
    <row r="37">
      <c r="A37" s="126" t="inlineStr">
        <is>
          <t>Report_TM_02</t>
        </is>
      </c>
      <c r="B37" s="101">
        <f>COUNTIF(Report_TM_02!$K:$K,'Test Report'!B$35)</f>
        <v/>
      </c>
      <c r="C37" s="101">
        <f>COUNTIF(Report_TM_02!$K:$K,'Test Report'!C$35)</f>
        <v/>
      </c>
      <c r="D37" s="101">
        <f>COUNTIF(Report_TM_02!$K:$K,'Test Report'!D$35)</f>
        <v/>
      </c>
      <c r="E37" s="101">
        <f>COUNTIF(Report_TM_02!$K:$K,'Test Report'!E$35)</f>
        <v/>
      </c>
      <c r="F37" s="101">
        <f>COUNTIF(Report_TM_02!$K:$K,'Test Report'!F$35)</f>
        <v/>
      </c>
      <c r="G37" s="101">
        <f>COUNTIF(Report_TM_02!$K:$K,'Test Report'!G$35)</f>
        <v/>
      </c>
      <c r="H37" s="132">
        <f>SUM(B37:G37)</f>
        <v/>
      </c>
    </row>
    <row r="38">
      <c r="A38" s="126" t="inlineStr">
        <is>
          <t>Report_TM_03</t>
        </is>
      </c>
      <c r="B38" s="101">
        <f>COUNTIF(Report_TM_03!$K:$K,'Test Report'!B$35)</f>
        <v/>
      </c>
      <c r="C38" s="101">
        <f>COUNTIF(Report_TM_03!$K:$K,'Test Report'!C$35)</f>
        <v/>
      </c>
      <c r="D38" s="101">
        <f>COUNTIF(Report_TM_03!$K:$K,'Test Report'!D$35)</f>
        <v/>
      </c>
      <c r="E38" s="101">
        <f>COUNTIF(Report_TM_03!$K:$K,'Test Report'!E$35)</f>
        <v/>
      </c>
      <c r="F38" s="101">
        <f>COUNTIF(Report_TM_03!$K:$K,'Test Report'!F$35)</f>
        <v/>
      </c>
      <c r="G38" s="101">
        <f>COUNTIF(Report_TM_03!$K:$K,'Test Report'!G$35)</f>
        <v/>
      </c>
      <c r="H38" s="132">
        <f>SUM(B38:G38)</f>
        <v/>
      </c>
    </row>
    <row r="39">
      <c r="A39" s="126" t="inlineStr">
        <is>
          <t>Report_TM_04</t>
        </is>
      </c>
      <c r="B39" s="101">
        <f>COUNTIF(Report_TM_04!$K:$K,'Test Report'!B$35)</f>
        <v/>
      </c>
      <c r="C39" s="101">
        <f>COUNTIF(Report_TM_04!$K:$K,'Test Report'!C$35)</f>
        <v/>
      </c>
      <c r="D39" s="101">
        <f>COUNTIF(Report_TM_04!$K:$K,'Test Report'!D$35)</f>
        <v/>
      </c>
      <c r="E39" s="101">
        <f>COUNTIF(Report_TM_04!$K:$K,'Test Report'!E$35)</f>
        <v/>
      </c>
      <c r="F39" s="101">
        <f>COUNTIF(Report_TM_04!$K:$K,'Test Report'!F$35)</f>
        <v/>
      </c>
      <c r="G39" s="101">
        <f>COUNTIF(Report_TM_04!$K:$K,'Test Report'!G$35)</f>
        <v/>
      </c>
      <c r="H39" s="132">
        <f>SUM(B39:G39)</f>
        <v/>
      </c>
    </row>
    <row r="40">
      <c r="A40" s="128" t="inlineStr">
        <is>
          <t>Tổng cộng</t>
        </is>
      </c>
      <c r="B40" s="129">
        <f>SUM(B36:B39)</f>
        <v/>
      </c>
      <c r="C40" s="129">
        <f>SUM(C36:C39)</f>
        <v/>
      </c>
      <c r="D40" s="129">
        <f>SUM(D36:D39)</f>
        <v/>
      </c>
      <c r="E40" s="129">
        <f>SUM(E36:E39)</f>
        <v/>
      </c>
      <c r="F40" s="129">
        <f>SUM(F36:F39)</f>
        <v/>
      </c>
      <c r="G40" s="129">
        <f>SUM(G36:G39)</f>
        <v/>
      </c>
      <c r="H40" s="132">
        <f>SUM(B40:G40)</f>
        <v/>
      </c>
    </row>
    <row r="41">
      <c r="A41" s="128" t="n"/>
      <c r="B41" s="173">
        <f>IFERROR(B40/$H$40,0)</f>
        <v/>
      </c>
      <c r="C41" s="173">
        <f>IFERROR(C40/$H$40,0)</f>
        <v/>
      </c>
      <c r="D41" s="173">
        <f>IFERROR(D40/$H$40,0)</f>
        <v/>
      </c>
      <c r="E41" s="173">
        <f>IFERROR(E40/$H$40,0)</f>
        <v/>
      </c>
      <c r="F41" s="173">
        <f>IFERROR(F40/$H$40,0)</f>
        <v/>
      </c>
      <c r="G41" s="173">
        <f>IFERROR(G40/$H$40,0)</f>
        <v/>
      </c>
      <c r="H41" s="132" t="n"/>
    </row>
    <row r="42">
      <c r="A42" s="128" t="n"/>
      <c r="B42" s="130" t="n"/>
      <c r="C42" s="130" t="n"/>
      <c r="D42" s="130" t="n"/>
      <c r="E42" s="130" t="n"/>
      <c r="F42" s="130" t="n"/>
      <c r="G42" s="130" t="n"/>
      <c r="H42" s="130" t="n"/>
    </row>
  </sheetData>
  <mergeCells count="11">
    <mergeCell ref="B6:C6"/>
    <mergeCell ref="E10:G10"/>
    <mergeCell ref="B7:C7"/>
    <mergeCell ref="E5:G5"/>
    <mergeCell ref="B5:C5"/>
    <mergeCell ref="A11:B11"/>
    <mergeCell ref="E8:G8"/>
    <mergeCell ref="B10:C10"/>
    <mergeCell ref="B8:C8"/>
    <mergeCell ref="E7:G7"/>
    <mergeCell ref="E6:G6"/>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0B050"/>
    <outlinePr summaryBelow="1" summaryRight="1"/>
    <pageSetUpPr/>
  </sheetPr>
  <dimension ref="A1:H25"/>
  <sheetViews>
    <sheetView workbookViewId="0">
      <selection activeCell="I13" sqref="I13"/>
    </sheetView>
  </sheetViews>
  <sheetFormatPr baseColWidth="8" defaultRowHeight="14.25"/>
  <cols>
    <col width="13.5703125" customWidth="1" min="1" max="1"/>
  </cols>
  <sheetData>
    <row r="1">
      <c r="A1" s="127" t="inlineStr">
        <is>
          <t>BÁO CÁO</t>
        </is>
      </c>
      <c r="B1" s="138" t="inlineStr">
        <is>
          <t>Passed</t>
        </is>
      </c>
      <c r="C1" s="138" t="inlineStr">
        <is>
          <t>Failed</t>
        </is>
      </c>
      <c r="D1" s="138" t="inlineStr">
        <is>
          <t>Pending</t>
        </is>
      </c>
      <c r="E1" s="138" t="inlineStr">
        <is>
          <t>Cancel</t>
        </is>
      </c>
      <c r="F1" s="138" t="inlineStr">
        <is>
          <t>Untested</t>
        </is>
      </c>
      <c r="G1" s="138" t="inlineStr">
        <is>
          <t>Next</t>
        </is>
      </c>
      <c r="H1" t="inlineStr">
        <is>
          <t>TỔNG</t>
        </is>
      </c>
    </row>
    <row r="2">
      <c r="A2" s="126" t="inlineStr">
        <is>
          <t>Report_TM_01</t>
        </is>
      </c>
      <c r="B2" s="101">
        <f>Report_TM_01!E7</f>
        <v/>
      </c>
      <c r="C2" s="101">
        <f>Report_TM_01!E8</f>
        <v/>
      </c>
      <c r="D2" s="101">
        <f>Report_TM_01!E9</f>
        <v/>
      </c>
      <c r="E2" s="101">
        <f>Report_TM_01!E10</f>
        <v/>
      </c>
      <c r="F2" s="101">
        <f>Report_TM_01!E11</f>
        <v/>
      </c>
      <c r="G2" s="101">
        <f>Report_TM_01!E12</f>
        <v/>
      </c>
      <c r="H2" s="132">
        <f>SUM(B2:G2)</f>
        <v/>
      </c>
    </row>
    <row r="3">
      <c r="A3" s="126" t="inlineStr">
        <is>
          <t>Report_TM_02</t>
        </is>
      </c>
      <c r="B3" s="101">
        <f>Report_TM_02!E7</f>
        <v/>
      </c>
      <c r="C3" s="101">
        <f>Report_TM_02!E8</f>
        <v/>
      </c>
      <c r="D3" s="101">
        <f>Report_TM_02!E9</f>
        <v/>
      </c>
      <c r="E3" s="101">
        <f>Report_TM_02!E10</f>
        <v/>
      </c>
      <c r="F3" s="101">
        <f>Report_TM_02!E11</f>
        <v/>
      </c>
      <c r="G3" s="101">
        <f>Report_TM_02!E12</f>
        <v/>
      </c>
      <c r="H3" s="132">
        <f>SUM(B3:G3)</f>
        <v/>
      </c>
    </row>
    <row r="4">
      <c r="A4" s="126" t="inlineStr">
        <is>
          <t>Report_TM_03</t>
        </is>
      </c>
      <c r="B4" s="101">
        <f>Report_TM_03!E7</f>
        <v/>
      </c>
      <c r="C4" s="101">
        <f>Report_TM_03!E8</f>
        <v/>
      </c>
      <c r="D4" s="101">
        <f>Report_TM_03!E9</f>
        <v/>
      </c>
      <c r="E4" s="101">
        <f>Report_TM_03!E10</f>
        <v/>
      </c>
      <c r="F4" s="101">
        <f>Report_TM_03!E11</f>
        <v/>
      </c>
      <c r="G4" s="101">
        <f>Report_TM_03!E12</f>
        <v/>
      </c>
      <c r="H4" s="132">
        <f>SUM(B4:G4)</f>
        <v/>
      </c>
    </row>
    <row r="5">
      <c r="A5" s="126" t="inlineStr">
        <is>
          <t>Report_TM_04</t>
        </is>
      </c>
      <c r="B5" s="101">
        <f>Report_TM_04!E7</f>
        <v/>
      </c>
      <c r="C5" s="101">
        <f>Report_TM_04!E8</f>
        <v/>
      </c>
      <c r="D5" s="101">
        <f>Report_TM_04!E9</f>
        <v/>
      </c>
      <c r="E5" s="101">
        <f>Report_TM_04!E10</f>
        <v/>
      </c>
      <c r="F5" s="101">
        <f>Report_TM_04!E11</f>
        <v/>
      </c>
      <c r="G5" s="101">
        <f>Report_TM_04!E12</f>
        <v/>
      </c>
      <c r="H5" s="132">
        <f>SUM(B5:G5)</f>
        <v/>
      </c>
    </row>
    <row r="6">
      <c r="A6" s="128" t="inlineStr">
        <is>
          <t>Tổng cộng</t>
        </is>
      </c>
      <c r="B6" s="129">
        <f>SUM(B2:B5)</f>
        <v/>
      </c>
      <c r="C6" s="129">
        <f>SUM(C2:C5)</f>
        <v/>
      </c>
      <c r="D6" s="129">
        <f>SUM(D2:D5)</f>
        <v/>
      </c>
      <c r="E6" s="129">
        <f>SUM(E2:E5)</f>
        <v/>
      </c>
      <c r="F6" s="129">
        <f>SUM(F2:F5)</f>
        <v/>
      </c>
      <c r="G6" s="129">
        <f>SUM(G2:G5)</f>
        <v/>
      </c>
      <c r="H6" s="132">
        <f>SUM(B6:G6)</f>
        <v/>
      </c>
    </row>
    <row r="7">
      <c r="A7" s="128" t="n"/>
      <c r="B7" s="130">
        <f>IFERROR(B6/$H$6,0)</f>
        <v/>
      </c>
      <c r="C7" s="130">
        <f>IFERROR(C6/$H$6,0)</f>
        <v/>
      </c>
      <c r="D7" s="130">
        <f>IFERROR(D6/$H$6,0)</f>
        <v/>
      </c>
      <c r="E7" s="130">
        <f>IFERROR(E6/$H$6,0)</f>
        <v/>
      </c>
      <c r="F7" s="130">
        <f>IFERROR(F6/$H$6,0)</f>
        <v/>
      </c>
      <c r="G7" s="130">
        <f>IFERROR(G6/$H$6,0)</f>
        <v/>
      </c>
      <c r="H7" s="130" t="n"/>
    </row>
    <row r="8">
      <c r="A8" s="128" t="n"/>
      <c r="B8" s="130" t="n"/>
      <c r="C8" s="130" t="n"/>
      <c r="D8" s="130" t="n"/>
      <c r="E8" s="130" t="n"/>
      <c r="F8" s="130" t="n"/>
      <c r="G8" s="130" t="n"/>
      <c r="H8" s="130" t="n"/>
    </row>
    <row r="20">
      <c r="A20" s="138" t="inlineStr">
        <is>
          <t>Passed</t>
        </is>
      </c>
    </row>
    <row r="21">
      <c r="A21" s="138" t="inlineStr">
        <is>
          <t>Failed</t>
        </is>
      </c>
    </row>
    <row r="22">
      <c r="A22" s="138" t="inlineStr">
        <is>
          <t>Pending</t>
        </is>
      </c>
    </row>
    <row r="23">
      <c r="A23" s="138" t="inlineStr">
        <is>
          <t>Cancel</t>
        </is>
      </c>
    </row>
    <row r="24">
      <c r="A24" s="138" t="inlineStr">
        <is>
          <t>Untested</t>
        </is>
      </c>
    </row>
    <row r="25">
      <c r="A25" s="138" t="inlineStr">
        <is>
          <t>Next</t>
        </is>
      </c>
    </row>
  </sheetData>
  <pageMargins left="0.7" right="0.7" top="0.75" bottom="0.75" header="0.3" footer="0.3"/>
</worksheet>
</file>

<file path=xl/worksheets/sheet5.xml><?xml version="1.0" encoding="utf-8"?>
<worksheet xmlns="http://schemas.openxmlformats.org/spreadsheetml/2006/main">
  <sheetPr filterMode="1">
    <tabColor theme="5" tint="0.3999755851924192"/>
    <outlinePr summaryBelow="0" summaryRight="1"/>
    <pageSetUpPr/>
  </sheetPr>
  <dimension ref="A1:N80"/>
  <sheetViews>
    <sheetView workbookViewId="0">
      <selection activeCell="A1" sqref="A1"/>
    </sheetView>
  </sheetViews>
  <sheetFormatPr baseColWidth="8" defaultColWidth="17.28515625" defaultRowHeight="12" customHeight="1" outlineLevelRow="1"/>
  <cols>
    <col width="20" customWidth="1" style="92" min="1" max="1"/>
    <col width="42" customWidth="1" style="92" min="2" max="2"/>
    <col width="42" customWidth="1" style="92" min="3" max="3"/>
    <col width="46" customWidth="1" style="92" min="4" max="4"/>
    <col width="34" customWidth="1" style="92" min="5" max="5"/>
    <col width="46" customWidth="1" style="92" min="6" max="6"/>
    <col width="12" customWidth="1" style="92" min="7" max="9"/>
    <col width="11" customWidth="1" min="8" max="8"/>
    <col width="13" customWidth="1" min="9" max="9"/>
    <col width="14" customWidth="1" style="92" min="10" max="10"/>
    <col width="14" customWidth="1" style="92" min="11" max="16384"/>
    <col width="14" customWidth="1" min="12" max="12"/>
    <col width="12" customWidth="1" min="13" max="13"/>
    <col width="20" customWidth="1" min="14" max="14"/>
  </cols>
  <sheetData>
    <row r="1" ht="12" customHeight="1">
      <c r="A1" s="91" t="inlineStr">
        <is>
          <t>Functions</t>
        </is>
      </c>
      <c r="B1" s="91">
        <f>Cover!E11</f>
        <v/>
      </c>
    </row>
    <row r="2" ht="12" customHeight="1">
      <c r="A2" s="91" t="inlineStr">
        <is>
          <t>Build Version</t>
        </is>
      </c>
      <c r="B2" s="91" t="inlineStr">
        <is>
          <t>v1.0</t>
        </is>
      </c>
    </row>
    <row r="3" ht="12" customHeight="1">
      <c r="A3" s="174" t="inlineStr">
        <is>
          <t>Report TM_01 – Báo cáo thống kê số lượng báo cáo giao dịch đáng ngờ đã tạo</t>
        </is>
      </c>
      <c r="B3" s="99" t="n"/>
      <c r="C3" s="99" t="n"/>
      <c r="D3" s="99" t="n"/>
      <c r="E3" s="99" t="n"/>
    </row>
    <row r="4" ht="12" customHeight="1">
      <c r="A4" s="100" t="inlineStr">
        <is>
          <t>ROUND 2</t>
        </is>
      </c>
    </row>
    <row r="5" ht="12" customHeight="1">
      <c r="A5" s="136" t="n"/>
      <c r="B5" s="136" t="inlineStr">
        <is>
          <t>High</t>
        </is>
      </c>
      <c r="C5" s="136" t="inlineStr">
        <is>
          <t>Medium</t>
        </is>
      </c>
      <c r="D5" s="136" t="inlineStr">
        <is>
          <t>Low</t>
        </is>
      </c>
      <c r="E5" s="136" t="inlineStr">
        <is>
          <t>Total</t>
        </is>
      </c>
    </row>
    <row r="6" ht="12" customHeight="1">
      <c r="A6" s="137" t="n"/>
      <c r="B6" s="137">
        <f>SUM(B7:B11)</f>
        <v/>
      </c>
      <c r="C6" s="137">
        <f>SUM(C7:C11)</f>
        <v/>
      </c>
      <c r="D6" s="137">
        <f>SUM(D7:D11)</f>
        <v/>
      </c>
      <c r="E6" s="137">
        <f>SUM(B6:D6)</f>
        <v/>
      </c>
    </row>
    <row r="7" ht="12" customHeight="1">
      <c r="A7" s="138" t="inlineStr">
        <is>
          <t>Passed</t>
        </is>
      </c>
      <c r="B7" s="139">
        <f>COUNTIFS($H:$H,B$5,$K:$K,$A7)</f>
        <v/>
      </c>
      <c r="C7" s="139">
        <f>COUNTIFS($H:$H,C$5,$K:$K,$A7)</f>
        <v/>
      </c>
      <c r="D7" s="139">
        <f>COUNTIFS($H:$H,D$5,$K:$K,$A7)</f>
        <v/>
      </c>
      <c r="E7" s="139">
        <f>SUM(B7:D7)</f>
        <v/>
      </c>
    </row>
    <row r="8" ht="12" customHeight="1">
      <c r="A8" s="138" t="inlineStr">
        <is>
          <t>Failed</t>
        </is>
      </c>
      <c r="B8" s="139">
        <f>COUNTIFS($H:$H,B$5,$K:$K,$A8)</f>
        <v/>
      </c>
      <c r="C8" s="139">
        <f>COUNTIFS($H:$H,C$5,$K:$K,$A8)</f>
        <v/>
      </c>
      <c r="D8" s="139">
        <f>COUNTIFS($H:$H,D$5,$K:$K,$A8)</f>
        <v/>
      </c>
      <c r="E8" s="139">
        <f>SUM(B8:D8)</f>
        <v/>
      </c>
    </row>
    <row r="9" ht="12" customHeight="1">
      <c r="A9" s="138" t="inlineStr">
        <is>
          <t>Pending</t>
        </is>
      </c>
      <c r="B9" s="139">
        <f>COUNTIFS($H:$H,B$5,$K:$K,$A9)</f>
        <v/>
      </c>
      <c r="C9" s="139">
        <f>COUNTIFS($H:$H,C$5,$K:$K,$A9)</f>
        <v/>
      </c>
      <c r="D9" s="139">
        <f>COUNTIFS($H:$H,D$5,$K:$K,$A9)</f>
        <v/>
      </c>
      <c r="E9" s="139">
        <f>SUM(B9:D9)</f>
        <v/>
      </c>
    </row>
    <row r="10" ht="12" customHeight="1">
      <c r="A10" s="138" t="inlineStr">
        <is>
          <t>Cancel</t>
        </is>
      </c>
      <c r="B10" s="139">
        <f>COUNTIFS($H:$H,B$5,$K:$K,$A10)</f>
        <v/>
      </c>
      <c r="C10" s="139">
        <f>COUNTIFS($H:$H,C$5,$K:$K,$A10)</f>
        <v/>
      </c>
      <c r="D10" s="139">
        <f>COUNTIFS($H:$H,D$5,$K:$K,$A10)</f>
        <v/>
      </c>
      <c r="E10" s="139">
        <f>SUM(B10:D10)</f>
        <v/>
      </c>
    </row>
    <row r="11" ht="12" customHeight="1">
      <c r="A11" s="138" t="inlineStr">
        <is>
          <t>Untested</t>
        </is>
      </c>
      <c r="B11" s="139">
        <f>COUNTIFS($H:$H,B$5,$K:$K,$A11)</f>
        <v/>
      </c>
      <c r="C11" s="139">
        <f>COUNTIFS($H:$H,C$5,$K:$K,$A11)</f>
        <v/>
      </c>
      <c r="D11" s="139">
        <f>COUNTIFS($H:$H,D$5,$K:$K,$A11)</f>
        <v/>
      </c>
      <c r="E11" s="139">
        <f>SUM(B11:D11)</f>
        <v/>
      </c>
    </row>
    <row r="12" ht="12" customHeight="1">
      <c r="A12" s="138" t="inlineStr">
        <is>
          <t>Next</t>
        </is>
      </c>
      <c r="B12" s="139">
        <f>COUNTIFS($H:$H,B$5,$K:$K,$A12)</f>
        <v/>
      </c>
      <c r="C12" s="139">
        <f>COUNTIFS($H:$H,C$5,$K:$K,$A12)</f>
        <v/>
      </c>
      <c r="D12" s="139">
        <f>COUNTIFS($H:$H,D$5,$K:$K,$A12)</f>
        <v/>
      </c>
      <c r="E12" s="139">
        <f>SUM(B12:D12)</f>
        <v/>
      </c>
    </row>
    <row r="13" ht="12" customHeight="1">
      <c r="A13" s="135" t="n"/>
      <c r="B13" s="99" t="n"/>
      <c r="C13" s="99" t="n"/>
      <c r="D13" s="99" t="n"/>
      <c r="E13" s="99" t="n"/>
    </row>
    <row r="14" ht="12" customHeight="1">
      <c r="A14" s="100" t="inlineStr">
        <is>
          <t>ROUND 3</t>
        </is>
      </c>
    </row>
    <row r="15" ht="12" customHeight="1">
      <c r="A15" s="136" t="n"/>
      <c r="B15" s="136" t="inlineStr">
        <is>
          <t>High</t>
        </is>
      </c>
      <c r="C15" s="136" t="inlineStr">
        <is>
          <t>Medium</t>
        </is>
      </c>
      <c r="D15" s="136" t="inlineStr">
        <is>
          <t>Low</t>
        </is>
      </c>
      <c r="E15" s="136" t="inlineStr">
        <is>
          <t>Total</t>
        </is>
      </c>
    </row>
    <row r="16" ht="12" customHeight="1">
      <c r="A16" s="137" t="n"/>
      <c r="B16" s="137">
        <f>SUM(B17:B21)</f>
        <v/>
      </c>
      <c r="C16" s="137">
        <f>SUM(C17:C21)</f>
        <v/>
      </c>
      <c r="D16" s="137">
        <f>SUM(D17:D21)</f>
        <v/>
      </c>
      <c r="E16" s="137">
        <f>SUM(B16:D16)</f>
        <v/>
      </c>
    </row>
    <row r="17" ht="12" customHeight="1">
      <c r="A17" s="138" t="inlineStr">
        <is>
          <t>Passed</t>
        </is>
      </c>
      <c r="B17" s="139">
        <f>COUNTIFS($H:$H,B$15,$L:$L,$A17)</f>
        <v/>
      </c>
      <c r="C17" s="139">
        <f>COUNTIFS($H:$H,C$15,$L:$L,$A17)</f>
        <v/>
      </c>
      <c r="D17" s="139">
        <f>COUNTIFS($H:$H,D$15,$L:$L,$A17)</f>
        <v/>
      </c>
      <c r="E17" s="139">
        <f>SUM(B17:D17)</f>
        <v/>
      </c>
    </row>
    <row r="18" ht="12" customHeight="1">
      <c r="A18" s="138" t="inlineStr">
        <is>
          <t>Failed</t>
        </is>
      </c>
      <c r="B18" s="139">
        <f>COUNTIFS($H:$H,B$15,$L:$L,$A18)</f>
        <v/>
      </c>
      <c r="C18" s="139">
        <f>COUNTIFS($H:$H,C$15,$L:$L,$A18)</f>
        <v/>
      </c>
      <c r="D18" s="139">
        <f>COUNTIFS($H:$H,D$15,$L:$L,$A18)</f>
        <v/>
      </c>
      <c r="E18" s="139">
        <f>SUM(B18:D18)</f>
        <v/>
      </c>
    </row>
    <row r="19" ht="12" customHeight="1">
      <c r="A19" s="138" t="inlineStr">
        <is>
          <t>Pending</t>
        </is>
      </c>
      <c r="B19" s="139">
        <f>COUNTIFS($H:$H,B$15,$L:$L,$A19)</f>
        <v/>
      </c>
      <c r="C19" s="139">
        <f>COUNTIFS($H:$H,C$15,$L:$L,$A19)</f>
        <v/>
      </c>
      <c r="D19" s="139">
        <f>COUNTIFS($H:$H,D$15,$L:$L,$A19)</f>
        <v/>
      </c>
      <c r="E19" s="139">
        <f>SUM(B19:D19)</f>
        <v/>
      </c>
    </row>
    <row r="20" ht="12" customHeight="1">
      <c r="A20" s="138" t="inlineStr">
        <is>
          <t>Cancel</t>
        </is>
      </c>
      <c r="B20" s="139">
        <f>COUNTIFS($H:$H,B$15,$L:$L,$A20)</f>
        <v/>
      </c>
      <c r="C20" s="139">
        <f>COUNTIFS($H:$H,C$15,$L:$L,$A20)</f>
        <v/>
      </c>
      <c r="D20" s="139">
        <f>COUNTIFS($H:$H,D$15,$L:$L,$A20)</f>
        <v/>
      </c>
      <c r="E20" s="139">
        <f>SUM(B20:D20)</f>
        <v/>
      </c>
    </row>
    <row r="21" ht="12" customHeight="1">
      <c r="A21" s="138" t="inlineStr">
        <is>
          <t>Untested</t>
        </is>
      </c>
      <c r="B21" s="139">
        <f>COUNTIFS($H:$H,B$15,$L:$L,$A21)</f>
        <v/>
      </c>
      <c r="C21" s="139">
        <f>COUNTIFS($H:$H,C$15,$L:$L,$A21)</f>
        <v/>
      </c>
      <c r="D21" s="139">
        <f>COUNTIFS($H:$H,D$15,$L:$L,$A21)</f>
        <v/>
      </c>
      <c r="E21" s="139">
        <f>SUM(B21:D21)</f>
        <v/>
      </c>
    </row>
    <row r="22" ht="12" customHeight="1">
      <c r="A22" s="138" t="inlineStr">
        <is>
          <t>Next</t>
        </is>
      </c>
      <c r="B22" s="139">
        <f>COUNTIFS($H:$H,B$15,$L:$L,$A22)</f>
        <v/>
      </c>
      <c r="C22" s="139">
        <f>COUNTIFS($H:$H,C$15,$L:$L,$A22)</f>
        <v/>
      </c>
      <c r="D22" s="139">
        <f>COUNTIFS($H:$H,D$15,$L:$L,$A22)</f>
        <v/>
      </c>
      <c r="E22" s="139">
        <f>SUM(B22:D22)</f>
        <v/>
      </c>
    </row>
    <row r="23" ht="12" customHeight="1">
      <c r="A23" s="135" t="n"/>
      <c r="B23" s="99" t="n"/>
      <c r="C23" s="99" t="n"/>
      <c r="D23" s="99" t="n"/>
      <c r="E23" s="99" t="n"/>
    </row>
    <row r="25" ht="12" customHeight="1">
      <c r="A25" s="93" t="inlineStr">
        <is>
          <t>Test case Id</t>
        </is>
      </c>
      <c r="B25" s="93" t="inlineStr">
        <is>
          <t>Test case Title</t>
        </is>
      </c>
      <c r="C25" s="93" t="inlineStr">
        <is>
          <t>Pre-conditions</t>
        </is>
      </c>
      <c r="D25" s="93" t="inlineStr">
        <is>
          <t>Test Step</t>
        </is>
      </c>
      <c r="E25" s="93" t="inlineStr">
        <is>
          <t>Test Datas</t>
        </is>
      </c>
      <c r="F25" s="93" t="inlineStr">
        <is>
          <t>Expected result</t>
        </is>
      </c>
      <c r="G25" s="93" t="inlineStr">
        <is>
          <t>Test Environment</t>
        </is>
      </c>
      <c r="H25" s="94" t="inlineStr">
        <is>
          <t>Priority</t>
        </is>
      </c>
      <c r="I25" s="94" t="inlineStr">
        <is>
          <t>Automation Status</t>
        </is>
      </c>
      <c r="J25" s="133" t="inlineStr">
        <is>
          <t>1st Test Results</t>
        </is>
      </c>
      <c r="K25" s="133" t="inlineStr">
        <is>
          <t>2nd Test Results</t>
        </is>
      </c>
      <c r="L25" s="133" t="inlineStr">
        <is>
          <t>3rd Test Results</t>
        </is>
      </c>
      <c r="M25" s="93" t="inlineStr">
        <is>
          <t>BugID</t>
        </is>
      </c>
      <c r="N25" s="93" t="inlineStr">
        <is>
          <t>Notes</t>
        </is>
      </c>
    </row>
    <row r="26" ht="20" customHeight="1">
      <c r="A26" s="175" t="inlineStr">
        <is>
          <t>NHÓM FUNCTION (Risk High)</t>
        </is>
      </c>
      <c r="B26" s="95" t="n"/>
      <c r="C26" s="95" t="n"/>
      <c r="D26" s="95" t="n"/>
      <c r="E26" s="95" t="n"/>
      <c r="F26" s="95" t="n"/>
      <c r="G26" s="95" t="n"/>
      <c r="H26" s="95" t="n"/>
      <c r="I26" s="95" t="n"/>
      <c r="J26" s="95" t="n"/>
      <c r="K26" s="95" t="n"/>
      <c r="L26" s="95" t="n"/>
      <c r="M26" s="95" t="n"/>
      <c r="N26" s="95" t="n"/>
    </row>
    <row r="27" outlineLevel="1" ht="20" customHeight="1">
      <c r="A27" s="176" t="inlineStr">
        <is>
          <t>— Hiển thị &amp; nút chức năng</t>
        </is>
      </c>
      <c r="B27" s="177" t="n"/>
      <c r="C27" s="177" t="n"/>
      <c r="D27" s="177" t="n"/>
      <c r="E27" s="177" t="n"/>
      <c r="F27" s="177" t="n"/>
      <c r="G27" s="177" t="n"/>
      <c r="H27" s="177" t="n"/>
      <c r="I27" s="177" t="n"/>
      <c r="J27" s="177" t="n"/>
      <c r="K27" s="177" t="n"/>
      <c r="L27" s="177" t="n"/>
      <c r="M27" s="177" t="n"/>
      <c r="N27" s="177" t="n"/>
    </row>
    <row r="28" outlineLevel="2" ht="261" customHeight="1">
      <c r="A28" s="178" t="inlineStr">
        <is>
          <t>MSB_TM-RP_TC_001</t>
        </is>
      </c>
      <c r="B28" s="178" t="inlineStr">
        <is>
          <t>Kiểm tra hiển thị thành công kết quả báo cáo TM_01 đủ 5 cột khi nhập đủ tham số hợp lệ</t>
        </is>
      </c>
      <c r="C28"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kỳ 05/2026 có 13 case R1-HN-01 đến R1-HN-11, R1-HCM-01, R1-HCM-02</t>
        </is>
      </c>
      <c r="D28" s="178" t="inlineStr">
        <is>
          <t>1. Mở báo cáo "Báo cáo thống kê số lượng báo cáo giao dịch đáng ngờ đã tạo" (Report TM_01) trên OAS
2. Nhập tham số: Từ = 05/2026; Đến = 05/2026; Đơn vị = VN0010001 – CN Hà Nội, VN0010002 – CN Hồ Chí Minh
3. Nhấn nút Apply
4. Đối chiếu bảng kết quả với bảng kỳ vọng ở Test Data</t>
        </is>
      </c>
      <c r="E28" s="178" t="inlineStr">
        <is>
          <t>- Tham số: Từ = 05/2026; Đến = 05/2026; Đơn vị = VN0010001 – CN Hà Nội, VN0010002 – CN Hồ Chí Minh
- Kỳ vọng: 4 dòng như Expected Result, lấy từ bộ D-TM01</t>
        </is>
      </c>
      <c r="F28" s="178" t="inlineStr">
        <is>
          <t>1. Báo cáo mở, hiển thị vùng tham số cùng nút Apply và Reset
2. Các tham số hiển thị đúng giá trị đã nhập
3. Báo cáo chạy xong, không hiển thị thông báo lỗi
4. Báo cáo có 5 cột Đơn vị, Thời gian, Nguồn tạo STR, Tổng số lượng báo cáo STR (chưa duyệt), Tổng số lượng báo cáo STR (đã duyệt) và đúng 4 dòng (Đơn vị | Thời gian | Nguồn | Chưa duyệt | Đã duyệt):
+ VN0010001 | 05/2026 | Tự động | 4 | 1
+ VN0010001 | 05/2026 | Thủ công | 1 | 1
+ VN0010002 | 05/2026 | Tự động | 0 | 1
+ VN0010002 | 05/2026 | Thủ công | 1 | 0</t>
        </is>
      </c>
      <c r="G28" s="178" t="inlineStr">
        <is>
          <t>SIT</t>
        </is>
      </c>
      <c r="H28" s="178" t="inlineStr">
        <is>
          <t>High</t>
        </is>
      </c>
      <c r="I28" s="178" t="inlineStr">
        <is>
          <t>Manual</t>
        </is>
      </c>
      <c r="J28" s="178" t="inlineStr">
        <is>
          <t>Untested</t>
        </is>
      </c>
      <c r="K28" s="178" t="inlineStr">
        <is>
          <t>Untested</t>
        </is>
      </c>
      <c r="L28" s="178" t="inlineStr">
        <is>
          <t>Untested</t>
        </is>
      </c>
      <c r="M28" s="77" t="n"/>
      <c r="N28" s="77" t="n"/>
    </row>
    <row r="29" outlineLevel="2" ht="201" customHeight="1">
      <c r="A29" s="178" t="inlineStr">
        <is>
          <t>MSB_TM-RP_TC_002</t>
        </is>
      </c>
      <c r="B29" s="178" t="inlineStr">
        <is>
          <t>Kiểm tra chạy lại báo cáo thành công bằng nút Apply khi đổi tham số Đơn vị sau lần chạy đầu</t>
        </is>
      </c>
      <c r="C29"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29" s="178" t="inlineStr">
        <is>
          <t>1. Mở báo cáo "Báo cáo thống kê số lượng báo cáo giao dịch đáng ngờ đã tạo" (Report TM_01) trên OAS
2. Nhập tham số: Từ = 05/2026; Đến = 05/2026; Đơn vị = VN0010001 – CN Hà Nội, VN0010002 – CN Hồ Chí Minh
3. Nhấn nút Apply
4. Bỏ chọn VN0010002 trong tham số Đơn vị, giữ VN0010001
5. Nhấn nút Apply lần 2</t>
        </is>
      </c>
      <c r="E29" s="178" t="inlineStr">
        <is>
          <t>- Tham số: Từ = 05/2026; Đến = 05/2026; Đơn vị = VN0010001 – CN Hà Nội, VN0010002 – CN Hồ Chí Minh
- Lần 2: Đơn vị = VN0010001 – CN Hà Nội</t>
        </is>
      </c>
      <c r="F29" s="178" t="inlineStr">
        <is>
          <t>1. Báo cáo mở, hiển thị vùng tham số cùng nút Apply và Reset
2. Các tham số hiển thị đúng giá trị đã nhập
3. Báo cáo chạy xong, không hiển thị thông báo lỗi
4. Tham số Đơn vị chỉ còn VN0010001
5. Báo cáo cập nhật, chỉ còn 2 dòng của VN0010001 (Tự động 4 | 1; Thủ công 1 | 1), không còn dòng VN0010002</t>
        </is>
      </c>
      <c r="G29" s="178" t="inlineStr">
        <is>
          <t>SIT</t>
        </is>
      </c>
      <c r="H29" s="178" t="inlineStr">
        <is>
          <t>Medium</t>
        </is>
      </c>
      <c r="I29" s="178" t="inlineStr">
        <is>
          <t>Manual</t>
        </is>
      </c>
      <c r="J29" s="178" t="inlineStr">
        <is>
          <t>Untested</t>
        </is>
      </c>
      <c r="K29" s="178" t="inlineStr">
        <is>
          <t>Untested</t>
        </is>
      </c>
      <c r="L29" s="178" t="inlineStr">
        <is>
          <t>Untested</t>
        </is>
      </c>
      <c r="M29" s="77" t="n"/>
      <c r="N29" s="77" t="n"/>
    </row>
    <row r="30" outlineLevel="1" ht="20" customHeight="1">
      <c r="A30" s="176" t="inlineStr">
        <is>
          <t>— Logic số liệu</t>
        </is>
      </c>
      <c r="B30" s="177" t="n"/>
      <c r="C30" s="177" t="n"/>
      <c r="D30" s="177" t="n"/>
      <c r="E30" s="177" t="n"/>
      <c r="F30" s="177" t="n"/>
      <c r="G30" s="177" t="n"/>
      <c r="H30" s="177" t="n"/>
      <c r="I30" s="177" t="n"/>
      <c r="J30" s="177" t="n"/>
      <c r="K30" s="177" t="n"/>
      <c r="L30" s="177" t="n"/>
      <c r="M30" s="177" t="n"/>
      <c r="N30" s="177" t="n"/>
    </row>
    <row r="31" outlineLevel="2" ht="201" customHeight="1">
      <c r="A31" s="178" t="inlineStr">
        <is>
          <t>MSB_TM-RP_TC_003</t>
        </is>
      </c>
      <c r="B31" s="178" t="inlineStr">
        <is>
          <t>Kiểm tra đếm đúng cột STR (chưa duyệt) với case ở 4 trạng thái chờ duyệt STR</t>
        </is>
      </c>
      <c r="C31"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nguồn Tự động của VN0010001 kỳ 05/2026 có R1-HN-01 (Pending Checker Review STR), R1-HN-02 (Pending Supervisor Review), R1-HN-03 (Pending AML Maker), R1-HN-04 (Pending AML Checker review)</t>
        </is>
      </c>
      <c r="D31" s="178" t="inlineStr">
        <is>
          <t>1. Mở báo cáo "Báo cáo thống kê số lượng báo cáo giao dịch đáng ngờ đã tạo" (Report TM_01) trên OAS
2. Nhập tham số: Từ = 05/2026; Đến = 05/2026; Đơn vị = VN0010001 – CN Hà Nội
3. Nhấn nút Apply
4. Xem giá trị cột Tổng số lượng báo cáo STR (chưa duyệt) tại dòng VN0010001 | 05/2026 | Tự động</t>
        </is>
      </c>
      <c r="E31" s="178" t="inlineStr">
        <is>
          <t>- Tham số: Từ = 05/2026; Đến = 05/2026; Đơn vị = VN0010001 – CN Hà Nội
- Case: R1-HN-01, R1-HN-02, R1-HN-03, R1-HN-04</t>
        </is>
      </c>
      <c r="F31" s="178" t="inlineStr">
        <is>
          <t>1. Báo cáo mở, hiển thị vùng tham số cùng nút Apply và Reset
2. Các tham số hiển thị đúng giá trị đã nhập
3. Báo cáo chạy xong, không hiển thị thông báo lỗi
4. Giá trị = 4 (đủ 4 case R1-HN-01 đến R1-HN-04)</t>
        </is>
      </c>
      <c r="G31" s="178" t="inlineStr">
        <is>
          <t>SIT</t>
        </is>
      </c>
      <c r="H31" s="178" t="inlineStr">
        <is>
          <t>High</t>
        </is>
      </c>
      <c r="I31" s="178" t="inlineStr">
        <is>
          <t>Manual</t>
        </is>
      </c>
      <c r="J31" s="178" t="inlineStr">
        <is>
          <t>Untested</t>
        </is>
      </c>
      <c r="K31" s="178" t="inlineStr">
        <is>
          <t>Untested</t>
        </is>
      </c>
      <c r="L31" s="178" t="inlineStr">
        <is>
          <t>Untested</t>
        </is>
      </c>
      <c r="M31" s="77" t="n"/>
      <c r="N31" s="178" t="inlineStr">
        <is>
          <t>Trạng thái 'Pending AML Maker review' trong Phụ lục 4 hiểu là 'Pending AML Maker' của BRD (Q4)</t>
        </is>
      </c>
    </row>
    <row r="32" outlineLevel="2" ht="171" customHeight="1">
      <c r="A32" s="178" t="inlineStr">
        <is>
          <t>MSB_TM-RP_TC_004</t>
        </is>
      </c>
      <c r="B32" s="178" t="inlineStr">
        <is>
          <t>Kiểm tra đếm đúng cột STR (đã duyệt) chỉ với case ở trạng thái Approved STR</t>
        </is>
      </c>
      <c r="C32"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VN0010001 kỳ 05/2026 có R1-HN-05 (Tự động, Approved STR) và R1-HN-07 (Thủ công, Approved STR)</t>
        </is>
      </c>
      <c r="D32" s="178"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(đã duyệt) của 2 dòng VN0010001 | 05/2026</t>
        </is>
      </c>
      <c r="E32" s="178" t="inlineStr">
        <is>
          <t>- Tham số: Từ = 05/2026; Đến = 05/2026; Đơn vị = VN0010001 – CN Hà Nội
- Case: R1-HN-05, R1-HN-07</t>
        </is>
      </c>
      <c r="F32" s="178" t="inlineStr">
        <is>
          <t>1. Báo cáo mở, hiển thị vùng tham số cùng nút Apply và Reset
2. Các tham số hiển thị đúng giá trị đã nhập
3. Báo cáo chạy xong, không hiển thị thông báo lỗi
4. Dòng Tự động = 1 (R1-HN-05); dòng Thủ công = 1 (R1-HN-07)</t>
        </is>
      </c>
      <c r="G32" s="178" t="inlineStr">
        <is>
          <t>SIT</t>
        </is>
      </c>
      <c r="H32" s="178" t="inlineStr">
        <is>
          <t>High</t>
        </is>
      </c>
      <c r="I32" s="178" t="inlineStr">
        <is>
          <t>Manual</t>
        </is>
      </c>
      <c r="J32" s="178" t="inlineStr">
        <is>
          <t>Untested</t>
        </is>
      </c>
      <c r="K32" s="178" t="inlineStr">
        <is>
          <t>Untested</t>
        </is>
      </c>
      <c r="L32" s="178" t="inlineStr">
        <is>
          <t>Untested</t>
        </is>
      </c>
      <c r="M32" s="77" t="n"/>
      <c r="N32" s="77" t="n"/>
    </row>
    <row r="33" outlineLevel="2" ht="186" customHeight="1">
      <c r="A33" s="178" t="inlineStr">
        <is>
          <t>MSB_TM-RP_TC_005</t>
        </is>
      </c>
      <c r="B33" s="178" t="inlineStr">
        <is>
          <t>Kiểm tra loại trừ thành công case Rejected sending STR và Closed - Not Send STR khỏi cả 2 cột số lượng STR</t>
        </is>
      </c>
      <c r="C33"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VN0010001 kỳ 05/2026 có thêm R1-HN-08 (STR tạo 18/05/2026, Rejected sending STR) và R1-HN-09 (STR tạo 19/05/2026, Closed - Not Send STR)</t>
        </is>
      </c>
      <c r="D33" s="178" t="inlineStr">
        <is>
          <t>1. Mở báo cáo "Báo cáo thống kê số lượng báo cáo giao dịch đáng ngờ đã tạo" (Report TM_01) trên OAS
2. Nhập tham số: Từ = 05/2026; Đến = 05/2026; Đơn vị = VN0010001 – CN Hà Nội
3. Nhấn nút Apply
4. Xem 2 cột số lượng STR của dòng VN0010001 | 05/2026 | Tự động</t>
        </is>
      </c>
      <c r="E33" s="178" t="inlineStr">
        <is>
          <t>- Tham số: Từ = 05/2026; Đến = 05/2026; Đơn vị = VN0010001 – CN Hà Nội
- Case: R1-HN-08, R1-HN-09</t>
        </is>
      </c>
      <c r="F33" s="178" t="inlineStr">
        <is>
          <t>1. Báo cáo mở, hiển thị vùng tham số cùng nút Apply và Reset
2. Các tham số hiển thị đúng giá trị đã nhập
3. Báo cáo chạy xong, không hiển thị thông báo lỗi
4. Chưa duyệt = 4 và Đã duyệt = 1; R1-HN-08, R1-HN-09 không được đếm vào cột nào</t>
        </is>
      </c>
      <c r="G33" s="178" t="inlineStr">
        <is>
          <t>SIT</t>
        </is>
      </c>
      <c r="H33" s="178" t="inlineStr">
        <is>
          <t>High</t>
        </is>
      </c>
      <c r="I33" s="178" t="inlineStr">
        <is>
          <t>Manual</t>
        </is>
      </c>
      <c r="J33" s="178" t="inlineStr">
        <is>
          <t>Untested</t>
        </is>
      </c>
      <c r="K33" s="178" t="inlineStr">
        <is>
          <t>Untested</t>
        </is>
      </c>
      <c r="L33" s="178" t="inlineStr">
        <is>
          <t>Untested</t>
        </is>
      </c>
      <c r="M33" s="77" t="n"/>
      <c r="N33" s="178" t="inlineStr">
        <is>
          <t>Q4</t>
        </is>
      </c>
    </row>
    <row r="34" outlineLevel="2" ht="171" customHeight="1">
      <c r="A34" s="178" t="inlineStr">
        <is>
          <t>MSB_TM-RP_TC_006</t>
        </is>
      </c>
      <c r="B34" s="178" t="inlineStr">
        <is>
          <t>Kiểm tra loại trừ thành công case Pending Generate STR chưa tạo STR khỏi báo cáo</t>
        </is>
      </c>
      <c r="C34"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R1-HN-10 (case tự động tạo 21/05/2026, VN0010001) đang Pending Generate STR, chưa Save STR</t>
        </is>
      </c>
      <c r="D34" s="178"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(chưa duyệt) của dòng VN0010001 | 05/2026 | Tự động</t>
        </is>
      </c>
      <c r="E34" s="178" t="inlineStr">
        <is>
          <t>- Tham số: Từ = 05/2026; Đến = 05/2026; Đơn vị = VN0010001 – CN Hà Nội
- Case: R1-HN-10</t>
        </is>
      </c>
      <c r="F34" s="178" t="inlineStr">
        <is>
          <t>1. Báo cáo mở, hiển thị vùng tham số cùng nút Apply và Reset
2. Các tham số hiển thị đúng giá trị đã nhập
3. Báo cáo chạy xong, không hiển thị thông báo lỗi
4. Giá trị = 4, không tính R1-HN-10</t>
        </is>
      </c>
      <c r="G34" s="178" t="inlineStr">
        <is>
          <t>SIT</t>
        </is>
      </c>
      <c r="H34" s="178" t="inlineStr">
        <is>
          <t>High</t>
        </is>
      </c>
      <c r="I34" s="178" t="inlineStr">
        <is>
          <t>Manual</t>
        </is>
      </c>
      <c r="J34" s="178" t="inlineStr">
        <is>
          <t>Untested</t>
        </is>
      </c>
      <c r="K34" s="178" t="inlineStr">
        <is>
          <t>Untested</t>
        </is>
      </c>
      <c r="L34" s="178" t="inlineStr">
        <is>
          <t>Untested</t>
        </is>
      </c>
      <c r="M34" s="77" t="n"/>
      <c r="N34" s="77" t="n"/>
    </row>
    <row r="35" outlineLevel="2" ht="186" customHeight="1">
      <c r="A35" s="178" t="inlineStr">
        <is>
          <t>MSB_TM-RP_TC_007</t>
        </is>
      </c>
      <c r="B35" s="178" t="inlineStr">
        <is>
          <t>Kiểm tra loại trừ case Pending Maker bị trả về sau khi đã tạo STR khỏi cột STR (chưa duyệt)</t>
        </is>
      </c>
      <c r="C35"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R1-HN-11 (VN0010001, STR tạo 16/05/2026) bị DVKH Checker yêu cầu bổ sung tại bước Pending Checker Review STR, hiện ở trạng thái Pending Maker</t>
        </is>
      </c>
      <c r="D35" s="178"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(chưa duyệt) của dòng VN0010001 | 05/2026 | Tự động</t>
        </is>
      </c>
      <c r="E35" s="178" t="inlineStr">
        <is>
          <t>- Tham số: Từ = 05/2026; Đến = 05/2026; Đơn vị = VN0010001 – CN Hà Nội
- Case: R1-HN-11</t>
        </is>
      </c>
      <c r="F35" s="178" t="inlineStr">
        <is>
          <t>1. Báo cáo mở, hiển thị vùng tham số cùng nút Apply và Reset
2. Các tham số hiển thị đúng giá trị đã nhập
3. Báo cáo chạy xong, không hiển thị thông báo lỗi
4. Giá trị = 4, không tính R1-HN-11</t>
        </is>
      </c>
      <c r="G35" s="178" t="inlineStr">
        <is>
          <t>SIT</t>
        </is>
      </c>
      <c r="H35" s="178" t="inlineStr">
        <is>
          <t>Medium</t>
        </is>
      </c>
      <c r="I35" s="178" t="inlineStr">
        <is>
          <t>Manual</t>
        </is>
      </c>
      <c r="J35" s="178" t="inlineStr">
        <is>
          <t>Untested</t>
        </is>
      </c>
      <c r="K35" s="178" t="inlineStr">
        <is>
          <t>Untested</t>
        </is>
      </c>
      <c r="L35" s="178" t="inlineStr">
        <is>
          <t>Untested</t>
        </is>
      </c>
      <c r="M35" s="77" t="n"/>
      <c r="N35" s="178" t="inlineStr">
        <is>
          <t>Q4</t>
        </is>
      </c>
    </row>
    <row r="36" outlineLevel="2" ht="156" customHeight="1">
      <c r="A36" s="178" t="inlineStr">
        <is>
          <t>MSB_TM-RP_TC_008</t>
        </is>
      </c>
      <c r="B36" s="178" t="inlineStr">
        <is>
          <t>Kiểm tra xác định đúng Nguồn tạo STR = Tự động với case sinh từ kịch bản</t>
        </is>
      </c>
      <c r="C36"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R1-HN-01 đến R1-HN-05 là case hệ thống sinh từ kịch bản AML-01</t>
        </is>
      </c>
      <c r="D36" s="178" t="inlineStr">
        <is>
          <t>1. Mở báo cáo "Báo cáo thống kê số lượng báo cáo giao dịch đáng ngờ đã tạo" (Report TM_01) trên OAS
2. Nhập tham số: Từ = 05/2026; Đến = 05/2026; Đơn vị = VN0010001 – CN Hà Nội
3. Nhấn nút Apply
4. Xem cột Nguồn tạo STR của dòng có Chưa duyệt = 4</t>
        </is>
      </c>
      <c r="E36" s="178" t="inlineStr">
        <is>
          <t>- Tham số: Từ = 05/2026; Đến = 05/2026; Đơn vị = VN0010001 – CN Hà Nội
- Case: R1-HN-01 đến R1-HN-05 (case type của case tự động)</t>
        </is>
      </c>
      <c r="F36" s="178" t="inlineStr">
        <is>
          <t>1. Báo cáo mở, hiển thị vùng tham số cùng nút Apply và Reset
2. Các tham số hiển thị đúng giá trị đã nhập
3. Báo cáo chạy xong, không hiển thị thông báo lỗi
4. Nguồn tạo STR = Tự động</t>
        </is>
      </c>
      <c r="G36" s="178" t="inlineStr">
        <is>
          <t>SIT</t>
        </is>
      </c>
      <c r="H36" s="178" t="inlineStr">
        <is>
          <t>High</t>
        </is>
      </c>
      <c r="I36" s="178" t="inlineStr">
        <is>
          <t>Manual</t>
        </is>
      </c>
      <c r="J36" s="178" t="inlineStr">
        <is>
          <t>Untested</t>
        </is>
      </c>
      <c r="K36" s="178" t="inlineStr">
        <is>
          <t>Untested</t>
        </is>
      </c>
      <c r="L36" s="178" t="inlineStr">
        <is>
          <t>Untested</t>
        </is>
      </c>
      <c r="M36" s="77" t="n"/>
      <c r="N36" s="178" t="inlineStr">
        <is>
          <t>Q3</t>
        </is>
      </c>
    </row>
    <row r="37" outlineLevel="2" ht="171" customHeight="1">
      <c r="A37" s="178" t="inlineStr">
        <is>
          <t>MSB_TM-RP_TC_009</t>
        </is>
      </c>
      <c r="B37" s="178" t="inlineStr">
        <is>
          <t>Kiểm tra xác định đúng Nguồn tạo STR = Thủ công với case Type AML_MN do DVKH Maker tạo</t>
        </is>
      </c>
      <c r="C37"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R1-HN-06 (Pending Checker Review STR) và R1-HN-07 (Approved STR) là case thủ công Type = AML_MN do tm_dvkh_maker_hn tạo</t>
        </is>
      </c>
      <c r="D37" s="178" t="inlineStr">
        <is>
          <t>1. Mở báo cáo "Báo cáo thống kê số lượng báo cáo giao dịch đáng ngờ đã tạo" (Report TM_01) trên OAS
2. Nhập tham số: Từ = 05/2026; Đến = 05/2026; Đơn vị = VN0010001 – CN Hà Nội
3. Nhấn nút Apply
4. Xem dòng VN0010001 | 05/2026 có Nguồn tạo STR = Thủ công</t>
        </is>
      </c>
      <c r="E37" s="178" t="inlineStr">
        <is>
          <t>- Tham số: Từ = 05/2026; Đến = 05/2026; Đơn vị = VN0010001 – CN Hà Nội
- Case: R1-HN-06, R1-HN-07 (Type = AML_MN)</t>
        </is>
      </c>
      <c r="F37" s="178" t="inlineStr">
        <is>
          <t>1. Báo cáo mở, hiển thị vùng tham số cùng nút Apply và Reset
2. Các tham số hiển thị đúng giá trị đã nhập
3. Báo cáo chạy xong, không hiển thị thông báo lỗi
4. Có đúng 1 dòng Thủ công với Chưa duyệt = 1, Đã duyệt = 1</t>
        </is>
      </c>
      <c r="G37" s="178" t="inlineStr">
        <is>
          <t>SIT</t>
        </is>
      </c>
      <c r="H37" s="178" t="inlineStr">
        <is>
          <t>High</t>
        </is>
      </c>
      <c r="I37" s="178" t="inlineStr">
        <is>
          <t>Manual</t>
        </is>
      </c>
      <c r="J37" s="178" t="inlineStr">
        <is>
          <t>Untested</t>
        </is>
      </c>
      <c r="K37" s="178" t="inlineStr">
        <is>
          <t>Untested</t>
        </is>
      </c>
      <c r="L37" s="178" t="inlineStr">
        <is>
          <t>Untested</t>
        </is>
      </c>
      <c r="M37" s="77" t="n"/>
      <c r="N37" s="178" t="inlineStr">
        <is>
          <t>Q3</t>
        </is>
      </c>
    </row>
    <row r="38" outlineLevel="2" ht="186" customHeight="1">
      <c r="A38" s="178" t="inlineStr">
        <is>
          <t>MSB_TM-RP_TC_010</t>
        </is>
      </c>
      <c r="B38" s="178" t="inlineStr">
        <is>
          <t>Kiểm tra xác định đúng Nguồn tạo STR = Thủ công với case Type AML_MN do AML Maker tạo</t>
        </is>
      </c>
      <c r="C38"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R1-HCM-02 là case thủ công Type = AML_MN do tm_aml_maker tạo cho khách hàng CIF 10020002 (đơn vị quản lý CIF VN0010002), trạng thái Pending AML Checker review</t>
        </is>
      </c>
      <c r="D38" s="178" t="inlineStr">
        <is>
          <t>1. Mở báo cáo "Báo cáo thống kê số lượng báo cáo giao dịch đáng ngờ đã tạo" (Report TM_01) trên OAS
2. Nhập tham số: Từ = 05/2026; Đến = 05/2026; Đơn vị = VN0010002 – CN Hồ Chí Minh
3. Nhấn nút Apply
4. Xem dòng VN0010002 | 05/2026 | Thủ công</t>
        </is>
      </c>
      <c r="E38" s="178" t="inlineStr">
        <is>
          <t>- Tham số: Từ = 05/2026; Đến = 05/2026; Đơn vị = VN0010002 – CN Hồ Chí Minh
- Case: R1-HCM-02</t>
        </is>
      </c>
      <c r="F38" s="178" t="inlineStr">
        <is>
          <t>1. Báo cáo mở, hiển thị vùng tham số cùng nút Apply và Reset
2. Các tham số hiển thị đúng giá trị đã nhập
3. Báo cáo chạy xong, không hiển thị thông báo lỗi
4. Dòng hiển thị Chưa duyệt = 1, Đã duyệt = 0</t>
        </is>
      </c>
      <c r="G38" s="178" t="inlineStr">
        <is>
          <t>SIT</t>
        </is>
      </c>
      <c r="H38" s="178" t="inlineStr">
        <is>
          <t>High</t>
        </is>
      </c>
      <c r="I38" s="178" t="inlineStr">
        <is>
          <t>Manual</t>
        </is>
      </c>
      <c r="J38" s="178" t="inlineStr">
        <is>
          <t>Untested</t>
        </is>
      </c>
      <c r="K38" s="178" t="inlineStr">
        <is>
          <t>Untested</t>
        </is>
      </c>
      <c r="L38" s="178" t="inlineStr">
        <is>
          <t>Untested</t>
        </is>
      </c>
      <c r="M38" s="77" t="n"/>
      <c r="N38" s="178" t="inlineStr">
        <is>
          <t>Q3</t>
        </is>
      </c>
    </row>
    <row r="39" outlineLevel="2" ht="171" customHeight="1">
      <c r="A39" s="178" t="inlineStr">
        <is>
          <t>MSB_TM-RP_TC_011</t>
        </is>
      </c>
      <c r="B39" s="178" t="inlineStr">
        <is>
          <t>Kiểm tra lấy đúng Đơn vị theo đơn vị quản lý CIF với case do user HO lập STR</t>
        </is>
      </c>
      <c r="C39"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R1-HCM-02 do tm_aml_maker (đơn vị HO0000001) tạo và lập STR, CIF 10020002 do VN0010002 quản lý</t>
        </is>
      </c>
      <c r="D39" s="178" t="inlineStr">
        <is>
          <t>1. Mở báo cáo "Báo cáo thống kê số lượng báo cáo giao dịch đáng ngờ đã tạo" (Report TM_01) trên OAS
2. Nhập tham số: Từ = 05/2026; Đến = 05/2026; Đơn vị = VN0010001 – CN Hà Nội, VN0010002 – CN Hồ Chí Minh
3. Nhấn nút Apply
4. Tìm dòng chứa số liệu của R1-HCM-02</t>
        </is>
      </c>
      <c r="E39" s="178" t="inlineStr">
        <is>
          <t>- Tham số: Từ = 05/2026; Đến = 05/2026; Đơn vị = VN0010001 – CN Hà Nội, VN0010002 – CN Hồ Chí Minh
- Case: R1-HCM-02</t>
        </is>
      </c>
      <c r="F39" s="178" t="inlineStr">
        <is>
          <t>1. Báo cáo mở, hiển thị vùng tham số cùng nút Apply và Reset
2. Các tham số hiển thị đúng giá trị đã nhập
3. Báo cáo chạy xong, không hiển thị thông báo lỗi
4. Số liệu R1-HCM-02 nằm ở dòng Đơn vị = VN0010002, không có dòng nào Đơn vị = HO0000001</t>
        </is>
      </c>
      <c r="G39" s="178" t="inlineStr">
        <is>
          <t>SIT</t>
        </is>
      </c>
      <c r="H39" s="178" t="inlineStr">
        <is>
          <t>High</t>
        </is>
      </c>
      <c r="I39" s="178" t="inlineStr">
        <is>
          <t>Manual</t>
        </is>
      </c>
      <c r="J39" s="178" t="inlineStr">
        <is>
          <t>Untested</t>
        </is>
      </c>
      <c r="K39" s="178" t="inlineStr">
        <is>
          <t>Untested</t>
        </is>
      </c>
      <c r="L39" s="178" t="inlineStr">
        <is>
          <t>Untested</t>
        </is>
      </c>
      <c r="M39" s="77" t="n"/>
      <c r="N39" s="77" t="n"/>
    </row>
    <row r="40" outlineLevel="2" ht="171" customHeight="1">
      <c r="A40" s="178" t="inlineStr">
        <is>
          <t>MSB_TM-RP_TC_012</t>
        </is>
      </c>
      <c r="B40" s="178" t="inlineStr">
        <is>
          <t>Kiểm tra không hiển thị dòng Đơn vị – Tháng – Nguồn khi cả 2 cột số lượng STR bằng 0</t>
        </is>
      </c>
      <c r="C40"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VN0010001 tháng 04/2026 và 06/2026 chỉ có STR nguồn Tự động (R1-HN-12, R1-HN-13), không có STR thủ công</t>
        </is>
      </c>
      <c r="D40" s="178" t="inlineStr">
        <is>
          <t>1. Mở báo cáo "Báo cáo thống kê số lượng báo cáo giao dịch đáng ngờ đã tạo" (Report TM_01) trên OAS
2. Nhập tham số: Từ = 04/2026; Đến = 06/2026; Đơn vị = VN0010001 – CN Hà Nội
3. Nhấn nút Apply
4. Tìm dòng VN0010001 | 04/2026 | Thủ công và VN0010001 | 06/2026 | Thủ công</t>
        </is>
      </c>
      <c r="E40" s="178" t="inlineStr">
        <is>
          <t>- Tham số: Từ = 04/2026; Đến = 06/2026; Đơn vị = VN0010001 – CN Hà Nội</t>
        </is>
      </c>
      <c r="F40" s="178" t="inlineStr">
        <is>
          <t>1. Báo cáo mở, hiển thị vùng tham số cùng nút Apply và Reset
2. Các tham số hiển thị đúng giá trị đã nhập
3. Báo cáo chạy xong, không hiển thị thông báo lỗi
4. Không có 2 dòng này trên báo cáo</t>
        </is>
      </c>
      <c r="G40" s="178" t="inlineStr">
        <is>
          <t>SIT</t>
        </is>
      </c>
      <c r="H40" s="178" t="inlineStr">
        <is>
          <t>Medium</t>
        </is>
      </c>
      <c r="I40" s="178" t="inlineStr">
        <is>
          <t>Manual</t>
        </is>
      </c>
      <c r="J40" s="178" t="inlineStr">
        <is>
          <t>Untested</t>
        </is>
      </c>
      <c r="K40" s="178" t="inlineStr">
        <is>
          <t>Untested</t>
        </is>
      </c>
      <c r="L40" s="178" t="inlineStr">
        <is>
          <t>Untested</t>
        </is>
      </c>
      <c r="M40" s="77" t="n"/>
      <c r="N40" s="178" t="inlineStr">
        <is>
          <t>Q5</t>
        </is>
      </c>
    </row>
    <row r="41" outlineLevel="1" ht="20" customHeight="1">
      <c r="A41" s="176" t="inlineStr">
        <is>
          <t>— Tham số lọc &amp; biên kỳ</t>
        </is>
      </c>
      <c r="B41" s="177" t="n"/>
      <c r="C41" s="177" t="n"/>
      <c r="D41" s="177" t="n"/>
      <c r="E41" s="177" t="n"/>
      <c r="F41" s="177" t="n"/>
      <c r="G41" s="177" t="n"/>
      <c r="H41" s="177" t="n"/>
      <c r="I41" s="177" t="n"/>
      <c r="J41" s="177" t="n"/>
      <c r="K41" s="177" t="n"/>
      <c r="L41" s="177" t="n"/>
      <c r="M41" s="177" t="n"/>
      <c r="N41" s="177" t="n"/>
    </row>
    <row r="42" outlineLevel="2" ht="216" customHeight="1">
      <c r="A42" s="178" t="inlineStr">
        <is>
          <t>MSB_TM-RP_TC_013</t>
        </is>
      </c>
      <c r="B42" s="178" t="inlineStr">
        <is>
          <t>Kiểm tra tách đúng từng dòng theo tháng với kỳ báo cáo nhiều tháng 04/2026 – 06/2026</t>
        </is>
      </c>
      <c r="C42"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R1-HN-12 (STR tạo 30/04/2026, Approved STR), STR tháng 05/2026 của VN0010001, R1-HN-13 (STR tạo 01/06/2026, Pending Checker Review STR)</t>
        </is>
      </c>
      <c r="D42" s="178" t="inlineStr">
        <is>
          <t>1. Mở báo cáo "Báo cáo thống kê số lượng báo cáo giao dịch đáng ngờ đã tạo" (Report TM_01) trên OAS
2. Nhập tham số: Từ = 04/2026; Đến = 06/2026; Đơn vị = VN0010001 – CN Hà Nội
3. Nhấn nút Apply
4. Đối chiếu bảng kết quả</t>
        </is>
      </c>
      <c r="E42" s="178" t="inlineStr">
        <is>
          <t>- Tham số: Từ = 04/2026; Đến = 06/2026; Đơn vị = VN0010001 – CN Hà Nội
- Case: R1-HN-12, R1-HN-13</t>
        </is>
      </c>
      <c r="F42" s="178" t="inlineStr">
        <is>
          <t>1. Báo cáo mở, hiển thị vùng tham số cùng nút Apply và Reset
2. Các tham số hiển thị đúng giá trị đã nhập
3. Báo cáo chạy xong, không hiển thị thông báo lỗi
4. Báo cáo có 4 dòng, cột Thời gian dạng MM/YYYY:
+ VN0010001 | 04/2026 | Tự động | 0 | 1
+ VN0010001 | 05/2026 | Tự động | 4 | 1
+ VN0010001 | 05/2026 | Thủ công | 1 | 1
+ VN0010001 | 06/2026 | Tự động | 1 | 0</t>
        </is>
      </c>
      <c r="G42" s="178" t="inlineStr">
        <is>
          <t>SIT</t>
        </is>
      </c>
      <c r="H42" s="178" t="inlineStr">
        <is>
          <t>High</t>
        </is>
      </c>
      <c r="I42" s="178" t="inlineStr">
        <is>
          <t>Manual</t>
        </is>
      </c>
      <c r="J42" s="178" t="inlineStr">
        <is>
          <t>Untested</t>
        </is>
      </c>
      <c r="K42" s="178" t="inlineStr">
        <is>
          <t>Untested</t>
        </is>
      </c>
      <c r="L42" s="178" t="inlineStr">
        <is>
          <t>Untested</t>
        </is>
      </c>
      <c r="M42" s="77" t="n"/>
      <c r="N42" s="178" t="inlineStr">
        <is>
          <t>Q2</t>
        </is>
      </c>
    </row>
    <row r="43" outlineLevel="2" ht="156" customHeight="1">
      <c r="A43" s="178" t="inlineStr">
        <is>
          <t>MSB_TM-RP_TC_014</t>
        </is>
      </c>
      <c r="B43" s="178" t="inlineStr">
        <is>
          <t>Kiểm tra loại trừ đúng STR tạo ngày 30/04/2026 khỏi kỳ báo cáo 05/2026</t>
        </is>
      </c>
      <c r="C43"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R1-HN-12 (VN0010001, Tự động) tạo STR ngày 30/04/2026, trạng thái Approved STR</t>
        </is>
      </c>
      <c r="D43" s="178"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(đã duyệt) dòng VN0010001 | 05/2026 | Tự động</t>
        </is>
      </c>
      <c r="E43" s="178" t="inlineStr">
        <is>
          <t>- Tham số: Từ = 05/2026; Đến = 05/2026; Đơn vị = VN0010001 – CN Hà Nội
- Case: R1-HN-12</t>
        </is>
      </c>
      <c r="F43" s="178" t="inlineStr">
        <is>
          <t>1. Báo cáo mở, hiển thị vùng tham số cùng nút Apply và Reset
2. Các tham số hiển thị đúng giá trị đã nhập
3. Báo cáo chạy xong, không hiển thị thông báo lỗi
4. Giá trị = 1 (chỉ R1-HN-05), không tính R1-HN-12</t>
        </is>
      </c>
      <c r="G43" s="178" t="inlineStr">
        <is>
          <t>SIT</t>
        </is>
      </c>
      <c r="H43" s="178" t="inlineStr">
        <is>
          <t>Medium</t>
        </is>
      </c>
      <c r="I43" s="178" t="inlineStr">
        <is>
          <t>Manual</t>
        </is>
      </c>
      <c r="J43" s="178" t="inlineStr">
        <is>
          <t>Untested</t>
        </is>
      </c>
      <c r="K43" s="178" t="inlineStr">
        <is>
          <t>Untested</t>
        </is>
      </c>
      <c r="L43" s="178" t="inlineStr">
        <is>
          <t>Untested</t>
        </is>
      </c>
      <c r="M43" s="77" t="n"/>
      <c r="N43" s="178" t="inlineStr">
        <is>
          <t>Q2</t>
        </is>
      </c>
    </row>
    <row r="44" outlineLevel="2" ht="171" customHeight="1">
      <c r="A44" s="178" t="inlineStr">
        <is>
          <t>MSB_TM-RP_TC_015</t>
        </is>
      </c>
      <c r="B44" s="178" t="inlineStr">
        <is>
          <t>Kiểm tra loại trừ đúng STR tạo ngày 01/06/2026 khỏi kỳ báo cáo 05/2026</t>
        </is>
      </c>
      <c r="C44"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R1-HN-13 (VN0010001, Tự động) tạo STR ngày 01/06/2026, trạng thái Pending Checker Review STR</t>
        </is>
      </c>
      <c r="D44" s="178"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(chưa duyệt) dòng VN0010001 | 05/2026 | Tự động</t>
        </is>
      </c>
      <c r="E44" s="178" t="inlineStr">
        <is>
          <t>- Tham số: Từ = 05/2026; Đến = 05/2026; Đơn vị = VN0010001 – CN Hà Nội
- Case: R1-HN-13</t>
        </is>
      </c>
      <c r="F44" s="178" t="inlineStr">
        <is>
          <t>1. Báo cáo mở, hiển thị vùng tham số cùng nút Apply và Reset
2. Các tham số hiển thị đúng giá trị đã nhập
3. Báo cáo chạy xong, không hiển thị thông báo lỗi
4. Giá trị = 4, không tính R1-HN-13</t>
        </is>
      </c>
      <c r="G44" s="178" t="inlineStr">
        <is>
          <t>SIT</t>
        </is>
      </c>
      <c r="H44" s="178" t="inlineStr">
        <is>
          <t>Medium</t>
        </is>
      </c>
      <c r="I44" s="178" t="inlineStr">
        <is>
          <t>Manual</t>
        </is>
      </c>
      <c r="J44" s="178" t="inlineStr">
        <is>
          <t>Untested</t>
        </is>
      </c>
      <c r="K44" s="178" t="inlineStr">
        <is>
          <t>Untested</t>
        </is>
      </c>
      <c r="L44" s="178" t="inlineStr">
        <is>
          <t>Untested</t>
        </is>
      </c>
      <c r="M44" s="77" t="n"/>
      <c r="N44" s="178" t="inlineStr">
        <is>
          <t>Q2</t>
        </is>
      </c>
    </row>
    <row r="45" outlineLevel="2" ht="156" customHeight="1">
      <c r="A45" s="178" t="inlineStr">
        <is>
          <t>MSB_TM-RP_TC_016</t>
        </is>
      </c>
      <c r="B45" s="178" t="inlineStr">
        <is>
          <t>Kiểm tra lọc thành công báo cáo với tham số Đơn vị chọn 1 giá trị</t>
        </is>
      </c>
      <c r="C45"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45" s="178" t="inlineStr">
        <is>
          <t>1. Mở báo cáo "Báo cáo thống kê số lượng báo cáo giao dịch đáng ngờ đã tạo" (Report TM_01) trên OAS
2. Nhập tham số: Từ = 05/2026; Đến = 05/2026; Đơn vị = VN0010001 – CN Hà Nội
3. Nhấn nút Apply
4. Xem cột Đơn vị của toàn bộ dòng kết quả</t>
        </is>
      </c>
      <c r="E45" s="178" t="inlineStr">
        <is>
          <t>- Tham số: Từ = 05/2026; Đến = 05/2026; Đơn vị = VN0010001 – CN Hà Nội</t>
        </is>
      </c>
      <c r="F45" s="178" t="inlineStr">
        <is>
          <t>1. Báo cáo mở, hiển thị vùng tham số cùng nút Apply và Reset
2. Các tham số hiển thị đúng giá trị đã nhập
3. Báo cáo chạy xong, không hiển thị thông báo lỗi
4. Có 2 dòng, cột Đơn vị đều = VN0010001; không có dòng VN0010002</t>
        </is>
      </c>
      <c r="G45" s="178" t="inlineStr">
        <is>
          <t>SIT</t>
        </is>
      </c>
      <c r="H45" s="178" t="inlineStr">
        <is>
          <t>High</t>
        </is>
      </c>
      <c r="I45" s="178" t="inlineStr">
        <is>
          <t>Manual</t>
        </is>
      </c>
      <c r="J45" s="178" t="inlineStr">
        <is>
          <t>Untested</t>
        </is>
      </c>
      <c r="K45" s="178" t="inlineStr">
        <is>
          <t>Untested</t>
        </is>
      </c>
      <c r="L45" s="178" t="inlineStr">
        <is>
          <t>Untested</t>
        </is>
      </c>
      <c r="M45" s="77" t="n"/>
      <c r="N45" s="77" t="n"/>
    </row>
    <row r="46" outlineLevel="2" ht="156" customHeight="1">
      <c r="A46" s="178" t="inlineStr">
        <is>
          <t>MSB_TM-RP_TC_017</t>
        </is>
      </c>
      <c r="B46" s="178" t="inlineStr">
        <is>
          <t>Kiểm tra hiển thị thành công báo cáo với tham số Đơn vị chọn tất cả giá trị</t>
        </is>
      </c>
      <c r="C46"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ngoài VN0010001 và VN0010002, các đơn vị khác không có STR trong kỳ 05/2026</t>
        </is>
      </c>
      <c r="D46" s="178" t="inlineStr">
        <is>
          <t>1. Mở báo cáo "Báo cáo thống kê số lượng báo cáo giao dịch đáng ngờ đã tạo" (Report TM_01) trên OAS
2. Nhập tham số: Từ = 05/2026; Đến = 05/2026; Đơn vị = chọn tất cả giá trị trong danh sách
3. Nhấn nút Apply
4. Đối chiếu bảng kết quả</t>
        </is>
      </c>
      <c r="E46" s="178" t="inlineStr">
        <is>
          <t>- Tham số: Từ = 05/2026; Đến = 05/2026; Đơn vị = chọn tất cả giá trị trong danh sách</t>
        </is>
      </c>
      <c r="F46" s="178" t="inlineStr">
        <is>
          <t>1. Báo cáo mở, hiển thị vùng tham số cùng nút Apply và Reset
2. Các tham số hiển thị đúng giá trị đã nhập
3. Báo cáo chạy xong, không hiển thị thông báo lỗi
4. Báo cáo có đúng 4 dòng như kỳ vọng của kỳ 05/2026 (2 dòng VN0010001, 2 dòng VN0010002)</t>
        </is>
      </c>
      <c r="G46" s="178" t="inlineStr">
        <is>
          <t>SIT</t>
        </is>
      </c>
      <c r="H46" s="178" t="inlineStr">
        <is>
          <t>High</t>
        </is>
      </c>
      <c r="I46" s="178" t="inlineStr">
        <is>
          <t>Manual</t>
        </is>
      </c>
      <c r="J46" s="178" t="inlineStr">
        <is>
          <t>Untested</t>
        </is>
      </c>
      <c r="K46" s="178" t="inlineStr">
        <is>
          <t>Untested</t>
        </is>
      </c>
      <c r="L46" s="178" t="inlineStr">
        <is>
          <t>Untested</t>
        </is>
      </c>
      <c r="M46" s="77" t="n"/>
      <c r="N46" s="77" t="n"/>
    </row>
    <row r="47" outlineLevel="1" ht="20" customHeight="1">
      <c r="A47" s="176" t="inlineStr">
        <is>
          <t>— Trích xuất báo cáo</t>
        </is>
      </c>
      <c r="B47" s="177" t="n"/>
      <c r="C47" s="177" t="n"/>
      <c r="D47" s="177" t="n"/>
      <c r="E47" s="177" t="n"/>
      <c r="F47" s="177" t="n"/>
      <c r="G47" s="177" t="n"/>
      <c r="H47" s="177" t="n"/>
      <c r="I47" s="177" t="n"/>
      <c r="J47" s="177" t="n"/>
      <c r="K47" s="177" t="n"/>
      <c r="L47" s="177" t="n"/>
      <c r="M47" s="177" t="n"/>
      <c r="N47" s="177" t="n"/>
    </row>
    <row r="48" outlineLevel="2" ht="201" customHeight="1">
      <c r="A48" s="178" t="inlineStr">
        <is>
          <t>MSB_TM-RP_TC_018</t>
        </is>
      </c>
      <c r="B48" s="178" t="inlineStr">
        <is>
          <t>Kiểm tra xuất thành công báo cáo TM_01 ra file Excel với dữ liệu kỳ 05/2026</t>
        </is>
      </c>
      <c r="C48"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48" s="178" t="inlineStr">
        <is>
          <t>1. Mở báo cáo "Báo cáo thống kê số lượng báo cáo giao dịch đáng ngờ đã tạo" (Report TM_01) trên OAS
2. Nhập tham số: Từ = 05/2026; Đến = 05/2026; Đơn vị = VN0010001 – CN Hà Nội, VN0010002 – CN Hồ Chí Minh
3. Nhấn nút Apply
4. Click Export ở cuối màn hình &gt; Formatted &gt; Excel
5. Mở file Excel vừa tải</t>
        </is>
      </c>
      <c r="E48" s="178" t="inlineStr">
        <is>
          <t>- Tham số: Từ = 05/2026; Đến = 05/2026; Đơn vị = VN0010001 – CN Hà Nội, VN0010002 – CN Hồ Chí Minh</t>
        </is>
      </c>
      <c r="F48" s="178" t="inlineStr">
        <is>
          <t>1. Báo cáo mở, hiển thị vùng tham số cùng nút Apply và Reset
2. Các tham số hiển thị đúng giá trị đã nhập
3. Báo cáo chạy xong, không hiển thị thông báo lỗi
4. Trình duyệt tải về 1 file .xlsx
5. File có tiêu đề, tham số và 4 dòng số liệu khớp màn hình, bố cục khớp template Phụ lục 4 sheet Report TM_01</t>
        </is>
      </c>
      <c r="G48" s="178" t="inlineStr">
        <is>
          <t>SIT</t>
        </is>
      </c>
      <c r="H48" s="178" t="inlineStr">
        <is>
          <t>High</t>
        </is>
      </c>
      <c r="I48" s="178" t="inlineStr">
        <is>
          <t>Manual</t>
        </is>
      </c>
      <c r="J48" s="178" t="inlineStr">
        <is>
          <t>Untested</t>
        </is>
      </c>
      <c r="K48" s="178" t="inlineStr">
        <is>
          <t>Untested</t>
        </is>
      </c>
      <c r="L48" s="178" t="inlineStr">
        <is>
          <t>Untested</t>
        </is>
      </c>
      <c r="M48" s="77" t="n"/>
      <c r="N48" s="77" t="n"/>
    </row>
    <row r="49" outlineLevel="2" ht="186" customHeight="1">
      <c r="A49" s="178" t="inlineStr">
        <is>
          <t>MSB_TM-RP_TC_019</t>
        </is>
      </c>
      <c r="B49" s="178" t="inlineStr">
        <is>
          <t>Kiểm tra xuất thành công báo cáo TM_01 ra file PDF với dữ liệu kỳ 05/2026</t>
        </is>
      </c>
      <c r="C49"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49" s="178" t="inlineStr">
        <is>
          <t>1. Mở báo cáo "Báo cáo thống kê số lượng báo cáo giao dịch đáng ngờ đã tạo" (Report TM_01) trên OAS
2. Nhập tham số: Từ = 05/2026; Đến = 05/2026; Đơn vị = VN0010001 – CN Hà Nội, VN0010002 – CN Hồ Chí Minh
3. Nhấn nút Apply
4. Click Export ở cuối màn hình &gt; Formatted &gt; PDF
5. Mở file PDF vừa tải</t>
        </is>
      </c>
      <c r="E49" s="178" t="inlineStr">
        <is>
          <t>- Tham số: Từ = 05/2026; Đến = 05/2026; Đơn vị = VN0010001 – CN Hà Nội, VN0010002 – CN Hồ Chí Minh</t>
        </is>
      </c>
      <c r="F49" s="178" t="inlineStr">
        <is>
          <t>1. Báo cáo mở, hiển thị vùng tham số cùng nút Apply và Reset
2. Các tham số hiển thị đúng giá trị đã nhập
3. Báo cáo chạy xong, không hiển thị thông báo lỗi
4. Trình duyệt tải về 1 file .pdf
5. File có tiêu đề, tham số và 4 dòng số liệu khớp màn hình, bố cục khớp template</t>
        </is>
      </c>
      <c r="G49" s="178" t="inlineStr">
        <is>
          <t>SIT</t>
        </is>
      </c>
      <c r="H49" s="178" t="inlineStr">
        <is>
          <t>High</t>
        </is>
      </c>
      <c r="I49" s="178" t="inlineStr">
        <is>
          <t>Manual</t>
        </is>
      </c>
      <c r="J49" s="178" t="inlineStr">
        <is>
          <t>Untested</t>
        </is>
      </c>
      <c r="K49" s="178" t="inlineStr">
        <is>
          <t>Untested</t>
        </is>
      </c>
      <c r="L49" s="178" t="inlineStr">
        <is>
          <t>Untested</t>
        </is>
      </c>
      <c r="M49" s="77" t="n"/>
      <c r="N49" s="77" t="n"/>
    </row>
    <row r="50" outlineLevel="1" ht="20" customHeight="1">
      <c r="A50" s="176" t="inlineStr">
        <is>
          <t>— Kết quả theo số lượng bản ghi (không có / ít / nhiều)</t>
        </is>
      </c>
      <c r="B50" s="177" t="n"/>
      <c r="C50" s="177" t="n"/>
      <c r="D50" s="177" t="n"/>
      <c r="E50" s="177" t="n"/>
      <c r="F50" s="177" t="n"/>
      <c r="G50" s="177" t="n"/>
      <c r="H50" s="177" t="n"/>
      <c r="I50" s="177" t="n"/>
      <c r="J50" s="177" t="n"/>
      <c r="K50" s="177" t="n"/>
      <c r="L50" s="177" t="n"/>
      <c r="M50" s="177" t="n"/>
      <c r="N50" s="177" t="n"/>
    </row>
    <row r="51" outlineLevel="2" ht="156" customHeight="1">
      <c r="A51" s="178" t="inlineStr">
        <is>
          <t>MSB_TM-RP_TC_020</t>
        </is>
      </c>
      <c r="B51" s="178" t="inlineStr">
        <is>
          <t>Kiểm tra hiển thị báo cáo rỗng không lỗi với kỳ báo cáo không có STR</t>
        </is>
      </c>
      <c r="C51" s="178" t="inlineStr">
        <is>
          <t>- User: Đăng nhập tm_aml_maker (AML Maker – HO, HO0000001)
- Màn hình: trang chủ Oracle Analytics Server (OAS) môi trường SIT, chưa mở báo cáo
- Dữ liệu: tháng 01/2026 không có STR nào của VN0010001 và VN0010002</t>
        </is>
      </c>
      <c r="D51" s="178" t="inlineStr">
        <is>
          <t>1. Mở báo cáo "Báo cáo thống kê số lượng báo cáo giao dịch đáng ngờ đã tạo" (Report TM_01) trên OAS
2. Nhập tham số: Từ = 01/2026; Đến = 01/2026; Đơn vị = VN0010001 – CN Hà Nội, VN0010002 – CN Hồ Chí Minh
3. Nhấn nút Apply
4. Xem vùng kết quả</t>
        </is>
      </c>
      <c r="E51" s="178" t="inlineStr">
        <is>
          <t>- Tham số: Từ = 01/2026; Đến = 01/2026; Đơn vị = VN0010001 – CN Hà Nội, VN0010002 – CN Hồ Chí Minh</t>
        </is>
      </c>
      <c r="F51" s="178" t="inlineStr">
        <is>
          <t>1. Báo cáo mở, hiển thị vùng tham số cùng nút Apply và Reset
2. Các tham số hiển thị đúng giá trị đã nhập
3. Báo cáo chạy xong, không hiển thị thông báo lỗi
4. Báo cáo không có dòng dữ liệu, không phát sinh lỗi hệ thống</t>
        </is>
      </c>
      <c r="G51" s="178" t="inlineStr">
        <is>
          <t>SIT</t>
        </is>
      </c>
      <c r="H51" s="178" t="inlineStr">
        <is>
          <t>Medium</t>
        </is>
      </c>
      <c r="I51" s="178" t="inlineStr">
        <is>
          <t>Manual</t>
        </is>
      </c>
      <c r="J51" s="178" t="inlineStr">
        <is>
          <t>Untested</t>
        </is>
      </c>
      <c r="K51" s="178" t="inlineStr">
        <is>
          <t>Untested</t>
        </is>
      </c>
      <c r="L51" s="178" t="inlineStr">
        <is>
          <t>Untested</t>
        </is>
      </c>
      <c r="M51" s="77" t="n"/>
      <c r="N51" s="77" t="n"/>
    </row>
    <row r="52" outlineLevel="2" ht="171" customHeight="1">
      <c r="A52" s="178" t="inlineStr">
        <is>
          <t>MSB_TM-RP_TC_021</t>
        </is>
      </c>
      <c r="B52" s="178" t="inlineStr">
        <is>
          <t>Kiểm tra hiển thị đủ kết quả trên 1 trang không có phân trang khi báo cáo TM_01 trả về ít bản ghi</t>
        </is>
      </c>
      <c r="C52"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 VN0010002 kỳ 05/2026 có R1-HCM-01 (Tự động, Approved STR) và R1-HCM-02 (Thủ công, Pending AML Checker review)</t>
        </is>
      </c>
      <c r="D52" s="178" t="inlineStr">
        <is>
          <t>1. Mở báo cáo "Báo cáo thống kê số lượng báo cáo giao dịch đáng ngờ đã tạo" (Report TM_01) trên OAS
2. Nhập tham số: Từ = 05/2026; Đến = 05/2026; Đơn vị = VN0010002 – CN Hồ Chí Minh
3. Nhấn nút Apply
4. Xem bảng kết quả và vùng điều khiển phân trang cuối bảng</t>
        </is>
      </c>
      <c r="E52" s="178" t="inlineStr">
        <is>
          <t>- Tham số: Từ = 05/2026; Đến = 05/2026; Đơn vị = VN0010002 – CN Hồ Chí Minh
- Case: R1-HCM-01, R1-HCM-02</t>
        </is>
      </c>
      <c r="F52" s="178" t="inlineStr">
        <is>
          <t>1. Báo cáo mở, hiển thị vùng tham số cùng nút Apply và Reset
2. Các tham số hiển thị đúng giá trị đã nhập
3. Báo cáo chạy xong, không hiển thị thông báo lỗi
4. Hiển thị đủ 2 dòng (Tự động 0 | 1; Thủ công 1 | 0) trên 1 trang; không hiển thị nút chuyển trang (25 dòng/trang)</t>
        </is>
      </c>
      <c r="G52" s="178" t="inlineStr">
        <is>
          <t>SIT</t>
        </is>
      </c>
      <c r="H52" s="178" t="inlineStr">
        <is>
          <t>Medium</t>
        </is>
      </c>
      <c r="I52" s="178" t="inlineStr">
        <is>
          <t>Manual</t>
        </is>
      </c>
      <c r="J52" s="178" t="inlineStr">
        <is>
          <t>Untested</t>
        </is>
      </c>
      <c r="K52" s="178" t="inlineStr">
        <is>
          <t>Untested</t>
        </is>
      </c>
      <c r="L52" s="178" t="inlineStr">
        <is>
          <t>Untested</t>
        </is>
      </c>
      <c r="M52" s="77" t="n"/>
      <c r="N52" s="178" t="inlineStr">
        <is>
          <t>Q17</t>
        </is>
      </c>
    </row>
    <row r="53" outlineLevel="2" ht="171" customHeight="1">
      <c r="A53" s="178" t="inlineStr">
        <is>
          <t>MSB_TM-RP_TC_022</t>
        </is>
      </c>
      <c r="B53" s="178" t="inlineStr">
        <is>
          <t>Kiểm tra hiển thị phân trang thành công khi báo cáo TM_01 trả về nhiều hơn 1 trang</t>
        </is>
      </c>
      <c r="C53" s="178"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3" s="178" t="inlineStr">
        <is>
          <t>1. Mở báo cáo "Báo cáo thống kê số lượng báo cáo giao dịch đáng ngờ đã tạo" (Report TM_01) trên OAS
2. Nhập tham số: Từ = 01/2025; Đến = 12/2025; Đơn vị = VN0010001 – CN Hà Nội, VN0010002 – CN Hồ Chí Minh
3. Nhấn nút Apply
4. Xem trang 1 của bảng kết quả và vùng điều khiển phân trang</t>
        </is>
      </c>
      <c r="E53" s="178" t="inlineStr">
        <is>
          <t>- Tham số: Từ = 01/2025; Đến = 12/2025; Đơn vị = VN0010001 – CN Hà Nội, VN0010002 – CN Hồ Chí Minh
- Kỳ vọng: 48 dòng = 12 tháng × 2 đơn vị × 2 nguồn, mỗi dòng 0 | 1</t>
        </is>
      </c>
      <c r="F53" s="178" t="inlineStr">
        <is>
          <t>1. Báo cáo mở, hiển thị vùng tham số cùng nút Apply và Reset
2. Các tham số hiển thị đúng giá trị đã nhập
3. Báo cáo chạy xong, không hiển thị thông báo lỗi
4. Trang 1 hiển thị 25 dòng đầu, có nút chuyển trang và thông tin dòng 1–25 trên tổng 48 dòng (25 dòng/trang)</t>
        </is>
      </c>
      <c r="G53" s="178" t="inlineStr">
        <is>
          <t>SIT</t>
        </is>
      </c>
      <c r="H53" s="178" t="inlineStr">
        <is>
          <t>High</t>
        </is>
      </c>
      <c r="I53" s="178" t="inlineStr">
        <is>
          <t>Manual</t>
        </is>
      </c>
      <c r="J53" s="178" t="inlineStr">
        <is>
          <t>Untested</t>
        </is>
      </c>
      <c r="K53" s="178" t="inlineStr">
        <is>
          <t>Untested</t>
        </is>
      </c>
      <c r="L53" s="178" t="inlineStr">
        <is>
          <t>Untested</t>
        </is>
      </c>
      <c r="M53" s="77" t="n"/>
      <c r="N53" s="178" t="inlineStr">
        <is>
          <t>Q17</t>
        </is>
      </c>
    </row>
    <row r="54" outlineLevel="2" ht="261" customHeight="1">
      <c r="A54" s="178" t="inlineStr">
        <is>
          <t>MSB_TM-RP_TC_023</t>
        </is>
      </c>
      <c r="B54" s="178" t="inlineStr">
        <is>
          <t>Kiểm tra chuyển trang thành công và không trùng, không mất dòng giữa các trang của báo cáo TM_01</t>
        </is>
      </c>
      <c r="C54" s="178"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4" s="178" t="inlineStr">
        <is>
          <t>1. Mở báo cáo "Báo cáo thống kê số lượng báo cáo giao dịch đáng ngờ đã tạo" (Report TM_01) trên OAS
2. Nhập tham số: Từ = 01/2025; Đến = 12/2025; Đơn vị = VN0010001 – CN Hà Nội, VN0010002 – CN Hồ Chí Minh
3. Nhấn nút Apply
4. Ghi nhận dòng cuối trang 1, nhấn nút trang kế tiếp
5. Nhấn nút trang trước
6. Nhấn nút trang cuối rồi nút trang đầu</t>
        </is>
      </c>
      <c r="E54" s="178" t="inlineStr">
        <is>
          <t>- Tham số: Từ = 01/2025; Đến = 12/2025; Đơn vị = VN0010001 – CN Hà Nội, VN0010002 – CN Hồ Chí Minh</t>
        </is>
      </c>
      <c r="F54" s="178" t="inlineStr">
        <is>
          <t>1. Báo cáo mở, hiển thị vùng tham số cùng nút Apply và Reset
2. Các tham số hiển thị đúng giá trị đã nhập
3. Báo cáo chạy xong, không hiển thị thông báo lỗi
4. Trang 2 hiển thị 23 dòng còn lại (dòng 26–48), dòng đầu trang 2 nối tiếp dòng cuối trang 1, không dòng nào lặp lại
5. Quay về trang 1 với đúng 25 dòng ban đầu
6. Trang cuối = trang 2; trang đầu = trang 1; tổng 2 trang có đủ 48 tổ hợp Đơn vị – Tháng – Nguồn</t>
        </is>
      </c>
      <c r="G54" s="178" t="inlineStr">
        <is>
          <t>SIT</t>
        </is>
      </c>
      <c r="H54" s="178" t="inlineStr">
        <is>
          <t>High</t>
        </is>
      </c>
      <c r="I54" s="178" t="inlineStr">
        <is>
          <t>Manual</t>
        </is>
      </c>
      <c r="J54" s="178" t="inlineStr">
        <is>
          <t>Untested</t>
        </is>
      </c>
      <c r="K54" s="178" t="inlineStr">
        <is>
          <t>Untested</t>
        </is>
      </c>
      <c r="L54" s="178" t="inlineStr">
        <is>
          <t>Untested</t>
        </is>
      </c>
      <c r="M54" s="77" t="n"/>
      <c r="N54" s="178" t="inlineStr">
        <is>
          <t>Q17</t>
        </is>
      </c>
    </row>
    <row r="55" outlineLevel="2" ht="186" customHeight="1">
      <c r="A55" s="178" t="inlineStr">
        <is>
          <t>MSB_TM-RP_TC_024</t>
        </is>
      </c>
      <c r="B55" s="178" t="inlineStr">
        <is>
          <t>Kiểm tra xuất Excel đủ toàn bộ bản ghi khi kết quả báo cáo TM_01 nhiều hơn 1 trang</t>
        </is>
      </c>
      <c r="C55" s="178"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5" s="178" t="inlineStr">
        <is>
          <t>1. Mở báo cáo "Báo cáo thống kê số lượng báo cáo giao dịch đáng ngờ đã tạo" (Report TM_01) trên OAS
2. Nhập tham số: Từ = 01/2025; Đến = 12/2025; Đơn vị = VN0010001 – CN Hà Nội, VN0010002 – CN Hồ Chí Minh
3. Nhấn nút Apply
4. Đang ở trang 1, Export &gt; Formatted &gt; Excel
5. Mở file Excel, đếm số dòng số liệu</t>
        </is>
      </c>
      <c r="E55" s="178" t="inlineStr">
        <is>
          <t>- Tham số: Từ = 01/2025; Đến = 12/2025; Đơn vị = VN0010001 – CN Hà Nội, VN0010002 – CN Hồ Chí Minh</t>
        </is>
      </c>
      <c r="F55" s="178" t="inlineStr">
        <is>
          <t>1. Báo cáo mở, hiển thị vùng tham số cùng nút Apply và Reset
2. Các tham số hiển thị đúng giá trị đã nhập
3. Báo cáo chạy xong, không hiển thị thông báo lỗi
4. Tải về 1 file .xlsx
5. File có đủ 48 dòng (không chỉ 25 dòng của trang đang xem)</t>
        </is>
      </c>
      <c r="G55" s="178" t="inlineStr">
        <is>
          <t>SIT</t>
        </is>
      </c>
      <c r="H55" s="178" t="inlineStr">
        <is>
          <t>High</t>
        </is>
      </c>
      <c r="I55" s="178" t="inlineStr">
        <is>
          <t>Manual</t>
        </is>
      </c>
      <c r="J55" s="178" t="inlineStr">
        <is>
          <t>Untested</t>
        </is>
      </c>
      <c r="K55" s="178" t="inlineStr">
        <is>
          <t>Untested</t>
        </is>
      </c>
      <c r="L55" s="178" t="inlineStr">
        <is>
          <t>Untested</t>
        </is>
      </c>
      <c r="M55" s="77" t="n"/>
      <c r="N55" s="178" t="inlineStr">
        <is>
          <t>Q17</t>
        </is>
      </c>
    </row>
    <row r="56" outlineLevel="2" ht="186" customHeight="1">
      <c r="A56" s="178" t="inlineStr">
        <is>
          <t>MSB_TM-RP_TC_025</t>
        </is>
      </c>
      <c r="B56" s="178" t="inlineStr">
        <is>
          <t>Kiểm tra xuất PDF đủ toàn bộ bản ghi khi kết quả báo cáo TM_01 nhiều hơn 1 trang</t>
        </is>
      </c>
      <c r="C56" s="178"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6" s="178" t="inlineStr">
        <is>
          <t>1. Mở báo cáo "Báo cáo thống kê số lượng báo cáo giao dịch đáng ngờ đã tạo" (Report TM_01) trên OAS
2. Nhập tham số: Từ = 01/2025; Đến = 12/2025; Đơn vị = VN0010001 – CN Hà Nội, VN0010002 – CN Hồ Chí Minh
3. Nhấn nút Apply
4. Đang ở trang 1, Export &gt; Formatted &gt; PDF
5. Mở file PDF, đếm số dòng số liệu</t>
        </is>
      </c>
      <c r="E56" s="178" t="inlineStr">
        <is>
          <t>- Tham số: Từ = 01/2025; Đến = 12/2025; Đơn vị = VN0010001 – CN Hà Nội, VN0010002 – CN Hồ Chí Minh</t>
        </is>
      </c>
      <c r="F56" s="178" t="inlineStr">
        <is>
          <t>1. Báo cáo mở, hiển thị vùng tham số cùng nút Apply và Reset
2. Các tham số hiển thị đúng giá trị đã nhập
3. Báo cáo chạy xong, không hiển thị thông báo lỗi
4. Tải về 1 file .pdf
5. File có đủ 48 dòng, ngắt trang PDF không làm mất hoặc lặp dòng</t>
        </is>
      </c>
      <c r="G56" s="178" t="inlineStr">
        <is>
          <t>SIT</t>
        </is>
      </c>
      <c r="H56" s="178" t="inlineStr">
        <is>
          <t>High</t>
        </is>
      </c>
      <c r="I56" s="178" t="inlineStr">
        <is>
          <t>Manual</t>
        </is>
      </c>
      <c r="J56" s="178" t="inlineStr">
        <is>
          <t>Untested</t>
        </is>
      </c>
      <c r="K56" s="178" t="inlineStr">
        <is>
          <t>Untested</t>
        </is>
      </c>
      <c r="L56" s="178" t="inlineStr">
        <is>
          <t>Untested</t>
        </is>
      </c>
      <c r="M56" s="77" t="n"/>
      <c r="N56" s="178" t="inlineStr">
        <is>
          <t>Q17</t>
        </is>
      </c>
    </row>
    <row r="57" outlineLevel="2" ht="186" customHeight="1">
      <c r="A57" s="178" t="inlineStr">
        <is>
          <t>MSB_TM-RP_TC_026</t>
        </is>
      </c>
      <c r="B57" s="178" t="inlineStr">
        <is>
          <t>Kiểm tra kết quả quay về trang 1 khi đổi tham số lúc đang xem trang 2 của báo cáo TM_01</t>
        </is>
      </c>
      <c r="C57" s="178"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7" s="178" t="inlineStr">
        <is>
          <t>1. Mở báo cáo "Báo cáo thống kê số lượng báo cáo giao dịch đáng ngờ đã tạo" (Report TM_01) trên OAS
2. Nhập tham số: Từ = 01/2025; Đến = 12/2025; Đơn vị = VN0010001 – CN Hà Nội, VN0010002 – CN Hồ Chí Minh
3. Nhấn nút Apply
4. Nhấn nút trang kế tiếp để sang trang 2
5. Đổi Đơn vị chỉ còn VN0010001, nhấn Apply</t>
        </is>
      </c>
      <c r="E57" s="178" t="inlineStr">
        <is>
          <t>- Tham số: Từ = 01/2025; Đến = 12/2025; Đơn vị = VN0010001 – CN Hà Nội, VN0010002 – CN Hồ Chí Minh
- Lần 2: Đơn vị = VN0010001 – CN Hà Nội</t>
        </is>
      </c>
      <c r="F57" s="178" t="inlineStr">
        <is>
          <t>1. Báo cáo mở, hiển thị vùng tham số cùng nút Apply và Reset
2. Các tham số hiển thị đúng giá trị đã nhập
3. Báo cáo chạy xong, không hiển thị thông báo lỗi
4. Đang ở trang 2
5. Kết quả hiển thị từ trang 1, có 24 dòng của VN0010001 trên 1 trang, không còn ở trang 2 rỗng</t>
        </is>
      </c>
      <c r="G57" s="178" t="inlineStr">
        <is>
          <t>SIT</t>
        </is>
      </c>
      <c r="H57" s="178" t="inlineStr">
        <is>
          <t>Medium</t>
        </is>
      </c>
      <c r="I57" s="178" t="inlineStr">
        <is>
          <t>Manual</t>
        </is>
      </c>
      <c r="J57" s="178" t="inlineStr">
        <is>
          <t>Untested</t>
        </is>
      </c>
      <c r="K57" s="178" t="inlineStr">
        <is>
          <t>Untested</t>
        </is>
      </c>
      <c r="L57" s="178" t="inlineStr">
        <is>
          <t>Untested</t>
        </is>
      </c>
      <c r="M57" s="77" t="n"/>
      <c r="N57" s="178" t="inlineStr">
        <is>
          <t>Q17</t>
        </is>
      </c>
    </row>
    <row r="58" ht="20" customHeight="1">
      <c r="A58" s="175" t="inlineStr">
        <is>
          <t>NHÓM VALIDATE (Risk Medium)</t>
        </is>
      </c>
      <c r="B58" s="95" t="n"/>
      <c r="C58" s="95" t="n"/>
      <c r="D58" s="95" t="n"/>
      <c r="E58" s="95" t="n"/>
      <c r="F58" s="95" t="n"/>
      <c r="G58" s="95" t="n"/>
      <c r="H58" s="95" t="n"/>
      <c r="I58" s="95" t="n"/>
      <c r="J58" s="95" t="n"/>
      <c r="K58" s="95" t="n"/>
      <c r="L58" s="95" t="n"/>
      <c r="M58" s="95" t="n"/>
      <c r="N58" s="95" t="n"/>
    </row>
    <row r="59" outlineLevel="1" ht="20" customHeight="1">
      <c r="A59" s="176" t="inlineStr">
        <is>
          <t>— Trường: Từ</t>
        </is>
      </c>
      <c r="B59" s="177" t="n"/>
      <c r="C59" s="177" t="n"/>
      <c r="D59" s="177" t="n"/>
      <c r="E59" s="177" t="n"/>
      <c r="F59" s="177" t="n"/>
      <c r="G59" s="177" t="n"/>
      <c r="H59" s="177" t="n"/>
      <c r="I59" s="177" t="n"/>
      <c r="J59" s="177" t="n"/>
      <c r="K59" s="177" t="n"/>
      <c r="L59" s="177" t="n"/>
      <c r="M59" s="177" t="n"/>
      <c r="N59" s="177" t="n"/>
    </row>
    <row r="60" outlineLevel="2" ht="141" customHeight="1">
      <c r="A60" s="178" t="inlineStr">
        <is>
          <t>MSB_TM-RP_TC_027</t>
        </is>
      </c>
      <c r="B60" s="178" t="inlineStr">
        <is>
          <t>Kiểm tra chặn chạy báo cáo TM_01 khi bỏ trống tham số Từ</t>
        </is>
      </c>
      <c r="C60"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60" s="178" t="inlineStr">
        <is>
          <t>1. Để trống Từ
2. Chọn Đến = 05/2026, Đơn vị = VN0010001 – CN Hà Nội
3. Quan sát nút Apply</t>
        </is>
      </c>
      <c r="E60" s="178" t="inlineStr">
        <is>
          <t>- Tham số: Từ = (trống); Đến = 05/2026; Đơn vị = VN0010001 – CN Hà Nội</t>
        </is>
      </c>
      <c r="F60" s="178" t="inlineStr">
        <is>
          <t>1. Ô Từ trống
2. Đến và Đơn vị hiển thị đúng giá trị đã chọn
3. Không hiển thị nút Apply, báo cáo không chạy</t>
        </is>
      </c>
      <c r="G60" s="178" t="inlineStr">
        <is>
          <t>SIT</t>
        </is>
      </c>
      <c r="H60" s="178" t="inlineStr">
        <is>
          <t>High</t>
        </is>
      </c>
      <c r="I60" s="178" t="inlineStr">
        <is>
          <t>Manual</t>
        </is>
      </c>
      <c r="J60" s="178" t="inlineStr">
        <is>
          <t>Untested</t>
        </is>
      </c>
      <c r="K60" s="178" t="inlineStr">
        <is>
          <t>Untested</t>
        </is>
      </c>
      <c r="L60" s="178" t="inlineStr">
        <is>
          <t>Untested</t>
        </is>
      </c>
      <c r="M60" s="77" t="n"/>
      <c r="N60" s="178" t="inlineStr">
        <is>
          <t>Q16</t>
        </is>
      </c>
    </row>
    <row r="61" outlineLevel="2" ht="141" customHeight="1">
      <c r="A61" s="178" t="inlineStr">
        <is>
          <t>MSB_TM-RP_TC_028</t>
        </is>
      </c>
      <c r="B61" s="178" t="inlineStr">
        <is>
          <t>Kiểm tra validate thất bại khi tham số Từ lớn hơn tham số Đến</t>
        </is>
      </c>
      <c r="C61"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61" s="178" t="inlineStr">
        <is>
          <t>1. Chọn Từ = 06/2026, Đến = 05/2026, Đơn vị = VN0010001 – CN Hà Nội
2. Nhấn nút Apply</t>
        </is>
      </c>
      <c r="E61" s="178" t="inlineStr">
        <is>
          <t>- Tham số: Từ = 06/2026; Đến = 05/2026; Đơn vị = VN0010001 – CN Hà Nội</t>
        </is>
      </c>
      <c r="F61" s="178" t="inlineStr">
        <is>
          <t>1. Các tham số hiển thị đúng giá trị đã chọn
2. Hệ thống báo lỗi khoảng thời gian không hợp lệ, không trả kết quả</t>
        </is>
      </c>
      <c r="G61" s="178" t="inlineStr">
        <is>
          <t>SIT</t>
        </is>
      </c>
      <c r="H61" s="178" t="inlineStr">
        <is>
          <t>High</t>
        </is>
      </c>
      <c r="I61" s="178" t="inlineStr">
        <is>
          <t>Manual</t>
        </is>
      </c>
      <c r="J61" s="178" t="inlineStr">
        <is>
          <t>Untested</t>
        </is>
      </c>
      <c r="K61" s="178" t="inlineStr">
        <is>
          <t>Untested</t>
        </is>
      </c>
      <c r="L61" s="178" t="inlineStr">
        <is>
          <t>Untested</t>
        </is>
      </c>
      <c r="M61" s="77" t="n"/>
      <c r="N61" s="178" t="inlineStr">
        <is>
          <t>Q16</t>
        </is>
      </c>
    </row>
    <row r="62" outlineLevel="2" ht="141" customHeight="1">
      <c r="A62" s="178" t="inlineStr">
        <is>
          <t>MSB_TM-RP_TC_029</t>
        </is>
      </c>
      <c r="B62" s="178" t="inlineStr">
        <is>
          <t>Kiểm tra validate thất bại khi nhập tay tham số Từ với tháng không tồn tại 13/2026</t>
        </is>
      </c>
      <c r="C62"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62" s="178" t="inlineStr">
        <is>
          <t>1. Gõ trực tiếp 13/2026 vào ô Từ
2. Chọn Đến = 05/2026, Đơn vị = VN0010001 – CN Hà Nội rồi nhấn Apply</t>
        </is>
      </c>
      <c r="E62" s="178" t="inlineStr">
        <is>
          <t>- Tham số: Từ = 13/2026 (gõ tay); Đến = 05/2026; Đơn vị = VN0010001 – CN Hà Nội</t>
        </is>
      </c>
      <c r="F62" s="178" t="inlineStr">
        <is>
          <t>1. Ô Từ hiển thị cảnh báo định dạng không hợp lệ
2. Báo cáo không chạy với giá trị 13/2026</t>
        </is>
      </c>
      <c r="G62" s="178" t="inlineStr">
        <is>
          <t>SIT</t>
        </is>
      </c>
      <c r="H62" s="178" t="inlineStr">
        <is>
          <t>Medium</t>
        </is>
      </c>
      <c r="I62" s="178" t="inlineStr">
        <is>
          <t>Manual</t>
        </is>
      </c>
      <c r="J62" s="178" t="inlineStr">
        <is>
          <t>Untested</t>
        </is>
      </c>
      <c r="K62" s="178" t="inlineStr">
        <is>
          <t>Untested</t>
        </is>
      </c>
      <c r="L62" s="178" t="inlineStr">
        <is>
          <t>Untested</t>
        </is>
      </c>
      <c r="M62" s="77" t="n"/>
      <c r="N62" s="178" t="inlineStr">
        <is>
          <t>Q16</t>
        </is>
      </c>
    </row>
    <row r="63" outlineLevel="1" ht="20" customHeight="1">
      <c r="A63" s="176" t="inlineStr">
        <is>
          <t>— Trường: Đến</t>
        </is>
      </c>
      <c r="B63" s="177" t="n"/>
      <c r="C63" s="177" t="n"/>
      <c r="D63" s="177" t="n"/>
      <c r="E63" s="177" t="n"/>
      <c r="F63" s="177" t="n"/>
      <c r="G63" s="177" t="n"/>
      <c r="H63" s="177" t="n"/>
      <c r="I63" s="177" t="n"/>
      <c r="J63" s="177" t="n"/>
      <c r="K63" s="177" t="n"/>
      <c r="L63" s="177" t="n"/>
      <c r="M63" s="177" t="n"/>
      <c r="N63" s="177" t="n"/>
    </row>
    <row r="64" outlineLevel="2" ht="141" customHeight="1">
      <c r="A64" s="178" t="inlineStr">
        <is>
          <t>MSB_TM-RP_TC_030</t>
        </is>
      </c>
      <c r="B64" s="178" t="inlineStr">
        <is>
          <t>Kiểm tra chặn chạy báo cáo TM_01 khi bỏ trống tham số Đến</t>
        </is>
      </c>
      <c r="C64"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64" s="178" t="inlineStr">
        <is>
          <t>1. Chọn Từ = 05/2026, Đơn vị = VN0010001 – CN Hà Nội
2. Để trống Đến
3. Quan sát nút Apply</t>
        </is>
      </c>
      <c r="E64" s="178" t="inlineStr">
        <is>
          <t>- Tham số: Từ = 05/2026; Đến = (trống); Đơn vị = VN0010001 – CN Hà Nội</t>
        </is>
      </c>
      <c r="F64" s="178" t="inlineStr">
        <is>
          <t>1. Từ và Đơn vị hiển thị đúng giá trị đã chọn
2. Ô Đến trống
3. Không hiển thị nút Apply, báo cáo không chạy</t>
        </is>
      </c>
      <c r="G64" s="178" t="inlineStr">
        <is>
          <t>SIT</t>
        </is>
      </c>
      <c r="H64" s="178" t="inlineStr">
        <is>
          <t>High</t>
        </is>
      </c>
      <c r="I64" s="178" t="inlineStr">
        <is>
          <t>Manual</t>
        </is>
      </c>
      <c r="J64" s="178" t="inlineStr">
        <is>
          <t>Untested</t>
        </is>
      </c>
      <c r="K64" s="178" t="inlineStr">
        <is>
          <t>Untested</t>
        </is>
      </c>
      <c r="L64" s="178" t="inlineStr">
        <is>
          <t>Untested</t>
        </is>
      </c>
      <c r="M64" s="77" t="n"/>
      <c r="N64" s="178" t="inlineStr">
        <is>
          <t>Q16</t>
        </is>
      </c>
    </row>
    <row r="65" outlineLevel="2" ht="141" customHeight="1">
      <c r="A65" s="178" t="inlineStr">
        <is>
          <t>MSB_TM-RP_TC_031</t>
        </is>
      </c>
      <c r="B65" s="178" t="inlineStr">
        <is>
          <t>Kiểm tra validate thất bại khi nhập tay tham số Đến chứa chữ cái ab/2026</t>
        </is>
      </c>
      <c r="C65"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65" s="178" t="inlineStr">
        <is>
          <t>1. Chọn Từ = 05/2026, Đơn vị = VN0010001 – CN Hà Nội
2. Gõ trực tiếp ab/2026 vào ô Đến rồi nhấn Apply</t>
        </is>
      </c>
      <c r="E65" s="178" t="inlineStr">
        <is>
          <t>- Tham số: Từ = 05/2026; Đến = ab/2026 (gõ tay); Đơn vị = VN0010001 – CN Hà Nội</t>
        </is>
      </c>
      <c r="F65" s="178" t="inlineStr">
        <is>
          <t>1. Các tham số hiển thị đúng giá trị đã chọn
2. Ô Đến hiển thị cảnh báo định dạng không hợp lệ, báo cáo không chạy</t>
        </is>
      </c>
      <c r="G65" s="178" t="inlineStr">
        <is>
          <t>SIT</t>
        </is>
      </c>
      <c r="H65" s="178" t="inlineStr">
        <is>
          <t>Medium</t>
        </is>
      </c>
      <c r="I65" s="178" t="inlineStr">
        <is>
          <t>Manual</t>
        </is>
      </c>
      <c r="J65" s="178" t="inlineStr">
        <is>
          <t>Untested</t>
        </is>
      </c>
      <c r="K65" s="178" t="inlineStr">
        <is>
          <t>Untested</t>
        </is>
      </c>
      <c r="L65" s="178" t="inlineStr">
        <is>
          <t>Untested</t>
        </is>
      </c>
      <c r="M65" s="77" t="n"/>
      <c r="N65" s="178" t="inlineStr">
        <is>
          <t>Q16</t>
        </is>
      </c>
    </row>
    <row r="66" outlineLevel="1" ht="20" customHeight="1">
      <c r="A66" s="176" t="inlineStr">
        <is>
          <t>— Trường: Đơn vị</t>
        </is>
      </c>
      <c r="B66" s="177" t="n"/>
      <c r="C66" s="177" t="n"/>
      <c r="D66" s="177" t="n"/>
      <c r="E66" s="177" t="n"/>
      <c r="F66" s="177" t="n"/>
      <c r="G66" s="177" t="n"/>
      <c r="H66" s="177" t="n"/>
      <c r="I66" s="177" t="n"/>
      <c r="J66" s="177" t="n"/>
      <c r="K66" s="177" t="n"/>
      <c r="L66" s="177" t="n"/>
      <c r="M66" s="177" t="n"/>
      <c r="N66" s="177" t="n"/>
    </row>
    <row r="67" outlineLevel="2" ht="156" customHeight="1">
      <c r="A67" s="178" t="inlineStr">
        <is>
          <t>MSB_TM-RP_TC_032</t>
        </is>
      </c>
      <c r="B67" s="178" t="inlineStr">
        <is>
          <t>Kiểm tra chặn hiển thị báo cáo TM_01 khi không chọn giá trị nào ở tham số Đơn vị</t>
        </is>
      </c>
      <c r="C67"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 VN0010002</t>
        </is>
      </c>
      <c r="D67" s="178" t="inlineStr">
        <is>
          <t>1. Chọn Từ = 05/2026, Đến = 05/2026
2. Không tick đơn vị nào ở tham số Đơn vị
3. Nhấn Apply (nếu nút hiển thị)</t>
        </is>
      </c>
      <c r="E67" s="178" t="inlineStr">
        <is>
          <t>- Tham số: Từ = 05/2026; Đến = 05/2026; Đơn vị = (không chọn)</t>
        </is>
      </c>
      <c r="F67" s="178" t="inlineStr">
        <is>
          <t>1. Từ và Đến hiển thị 05/2026
2. Ô Đơn vị trống
3. Báo cáo không hiển thị kết quả</t>
        </is>
      </c>
      <c r="G67" s="178" t="inlineStr">
        <is>
          <t>SIT</t>
        </is>
      </c>
      <c r="H67" s="178" t="inlineStr">
        <is>
          <t>High</t>
        </is>
      </c>
      <c r="I67" s="178" t="inlineStr">
        <is>
          <t>Manual</t>
        </is>
      </c>
      <c r="J67" s="178" t="inlineStr">
        <is>
          <t>Untested</t>
        </is>
      </c>
      <c r="K67" s="178" t="inlineStr">
        <is>
          <t>Untested</t>
        </is>
      </c>
      <c r="L67" s="178" t="inlineStr">
        <is>
          <t>Untested</t>
        </is>
      </c>
      <c r="M67" s="77" t="n"/>
      <c r="N67" s="178" t="inlineStr">
        <is>
          <t>Q1</t>
        </is>
      </c>
    </row>
    <row r="68" outlineLevel="2" ht="156" customHeight="1">
      <c r="A68" s="178" t="inlineStr">
        <is>
          <t>MSB_TM-RP_TC_033</t>
        </is>
      </c>
      <c r="B68" s="178" t="inlineStr">
        <is>
          <t>Kiểm tra không thực thi script khi nhập chuỗi XSS vào ô tìm kiếm của tham số Đơn vị</t>
        </is>
      </c>
      <c r="C68"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 VN0010002</t>
        </is>
      </c>
      <c r="D68" s="178" t="inlineStr">
        <is>
          <t>1. Mở dropdown Đơn vị, gõ &lt;script&gt;alert(1)&lt;/script&gt; vào ô tìm kiếm
2. Quan sát màn hình</t>
        </is>
      </c>
      <c r="E68" s="178" t="inlineStr">
        <is>
          <t>- Chuỗi tìm kiếm: &lt;script&gt;alert(1)&lt;/script&gt;</t>
        </is>
      </c>
      <c r="F68" s="178" t="inlineStr">
        <is>
          <t>1. Ô tìm kiếm hiển thị chuỗi dạng text
2. Không bật hộp thoại alert, danh sách hiển thị 'không có kết quả'</t>
        </is>
      </c>
      <c r="G68" s="178" t="inlineStr">
        <is>
          <t>SIT</t>
        </is>
      </c>
      <c r="H68" s="178" t="inlineStr">
        <is>
          <t>Low</t>
        </is>
      </c>
      <c r="I68" s="178" t="inlineStr">
        <is>
          <t>Manual</t>
        </is>
      </c>
      <c r="J68" s="178" t="inlineStr">
        <is>
          <t>Untested</t>
        </is>
      </c>
      <c r="K68" s="178" t="inlineStr">
        <is>
          <t>Untested</t>
        </is>
      </c>
      <c r="L68" s="178" t="inlineStr">
        <is>
          <t>Untested</t>
        </is>
      </c>
      <c r="M68" s="77" t="n"/>
      <c r="N68" s="77" t="n"/>
    </row>
    <row r="69" outlineLevel="1" ht="20" customHeight="1">
      <c r="A69" s="176" t="inlineStr">
        <is>
          <t>— Toàn bộ tham số</t>
        </is>
      </c>
      <c r="B69" s="177" t="n"/>
      <c r="C69" s="177" t="n"/>
      <c r="D69" s="177" t="n"/>
      <c r="E69" s="177" t="n"/>
      <c r="F69" s="177" t="n"/>
      <c r="G69" s="177" t="n"/>
      <c r="H69" s="177" t="n"/>
      <c r="I69" s="177" t="n"/>
      <c r="J69" s="177" t="n"/>
      <c r="K69" s="177" t="n"/>
      <c r="L69" s="177" t="n"/>
      <c r="M69" s="177" t="n"/>
      <c r="N69" s="177" t="n"/>
    </row>
    <row r="70" outlineLevel="2" ht="141" customHeight="1">
      <c r="A70" s="178" t="inlineStr">
        <is>
          <t>MSB_TM-RP_TC_034</t>
        </is>
      </c>
      <c r="B70" s="178" t="inlineStr">
        <is>
          <t>Kiểm tra chặn chạy báo cáo TM_01 khi bỏ trống toàn bộ tham số</t>
        </is>
      </c>
      <c r="C70"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70" s="178" t="inlineStr">
        <is>
          <t>1. Để trống Từ, Đến và không chọn Đơn vị
2. Quan sát nút Apply</t>
        </is>
      </c>
      <c r="E70" s="178" t="inlineStr">
        <is>
          <t>- Tham số: Từ, Đến, Đơn vị đều trống</t>
        </is>
      </c>
      <c r="F70" s="178" t="inlineStr">
        <is>
          <t>1. Cả 3 tham số trống
2. Không hiển thị nút Apply, báo cáo không chạy</t>
        </is>
      </c>
      <c r="G70" s="178" t="inlineStr">
        <is>
          <t>SIT</t>
        </is>
      </c>
      <c r="H70" s="178" t="inlineStr">
        <is>
          <t>Medium</t>
        </is>
      </c>
      <c r="I70" s="178" t="inlineStr">
        <is>
          <t>Manual</t>
        </is>
      </c>
      <c r="J70" s="178" t="inlineStr">
        <is>
          <t>Untested</t>
        </is>
      </c>
      <c r="K70" s="178" t="inlineStr">
        <is>
          <t>Untested</t>
        </is>
      </c>
      <c r="L70" s="178" t="inlineStr">
        <is>
          <t>Untested</t>
        </is>
      </c>
      <c r="M70" s="77" t="n"/>
      <c r="N70" s="178" t="inlineStr">
        <is>
          <t>Q16</t>
        </is>
      </c>
    </row>
    <row r="71" ht="20" customHeight="1">
      <c r="A71" s="175" t="inlineStr">
        <is>
          <t>NHÓM UI &amp; BEHAVIOR (Risk Medium)</t>
        </is>
      </c>
      <c r="B71" s="95" t="n"/>
      <c r="C71" s="95" t="n"/>
      <c r="D71" s="95" t="n"/>
      <c r="E71" s="95" t="n"/>
      <c r="F71" s="95" t="n"/>
      <c r="G71" s="95" t="n"/>
      <c r="H71" s="95" t="n"/>
      <c r="I71" s="95" t="n"/>
      <c r="J71" s="95" t="n"/>
      <c r="K71" s="95" t="n"/>
      <c r="L71" s="95" t="n"/>
      <c r="M71" s="95" t="n"/>
      <c r="N71" s="95" t="n"/>
    </row>
    <row r="72" outlineLevel="1" ht="20" customHeight="1">
      <c r="A72" s="176" t="inlineStr">
        <is>
          <t>— Giao diện</t>
        </is>
      </c>
      <c r="B72" s="177" t="n"/>
      <c r="C72" s="177" t="n"/>
      <c r="D72" s="177" t="n"/>
      <c r="E72" s="177" t="n"/>
      <c r="F72" s="177" t="n"/>
      <c r="G72" s="177" t="n"/>
      <c r="H72" s="177" t="n"/>
      <c r="I72" s="177" t="n"/>
      <c r="J72" s="177" t="n"/>
      <c r="K72" s="177" t="n"/>
      <c r="L72" s="177" t="n"/>
      <c r="M72" s="177" t="n"/>
      <c r="N72" s="177" t="n"/>
    </row>
    <row r="73" outlineLevel="2" ht="126" customHeight="1">
      <c r="A73" s="178" t="inlineStr">
        <is>
          <t>MSB_TM-RP_TC_035</t>
        </is>
      </c>
      <c r="B73" s="178" t="inlineStr">
        <is>
          <t>Kiểm tra hiển thị đúng tiêu đề báo cáo TM_01 theo template</t>
        </is>
      </c>
      <c r="C73" s="178" t="inlineStr">
        <is>
          <t>- User: Đăng nhập tm_aml_maker (AML Maker – HO, HO0000001)
- Màn hình: trang chủ Oracle Analytics Server (OAS) môi trường SIT, chưa mở báo cáo
- Dữ liệu: báo cáo Report TM_01 đã được deploy trên OAS SIT</t>
        </is>
      </c>
      <c r="D73" s="178" t="inlineStr">
        <is>
          <t>1. Mở báo cáo Report TM_01 trên OAS
2. Xem tiêu đề báo cáo</t>
        </is>
      </c>
      <c r="E73" s="178" t="inlineStr">
        <is>
          <t>- Template: Phụ lục 4 v1.4, sheet Report TM_01 ô A1</t>
        </is>
      </c>
      <c r="F73" s="178" t="inlineStr">
        <is>
          <t>1. Báo cáo mở thành công
2. Tiêu đề = BÁO CÁO THỐNG KÊ SỐ LƯỢNG BÁO CÁO GIAO DỊCH ĐÁNG NGỜ ĐÃ TẠO</t>
        </is>
      </c>
      <c r="G73" s="178" t="inlineStr">
        <is>
          <t>SIT</t>
        </is>
      </c>
      <c r="H73" s="178" t="inlineStr">
        <is>
          <t>Low</t>
        </is>
      </c>
      <c r="I73" s="178" t="inlineStr">
        <is>
          <t>Manual</t>
        </is>
      </c>
      <c r="J73" s="178" t="inlineStr">
        <is>
          <t>Untested</t>
        </is>
      </c>
      <c r="K73" s="178" t="inlineStr">
        <is>
          <t>Untested</t>
        </is>
      </c>
      <c r="L73" s="178" t="inlineStr">
        <is>
          <t>Untested</t>
        </is>
      </c>
      <c r="M73" s="77" t="n"/>
      <c r="N73" s="77" t="n"/>
    </row>
    <row r="74" outlineLevel="2" ht="126" customHeight="1">
      <c r="A74" s="178" t="inlineStr">
        <is>
          <t>MSB_TM-RP_TC_036</t>
        </is>
      </c>
      <c r="B74" s="178" t="inlineStr">
        <is>
          <t>Kiểm tra hiển thị đủ 3 tham số và 2 nút chức năng của báo cáo TM_01</t>
        </is>
      </c>
      <c r="C74" s="178" t="inlineStr">
        <is>
          <t>- User: Đăng nhập tm_aml_maker (AML Maker – HO, HO0000001)
- Màn hình: trang chủ Oracle Analytics Server (OAS) môi trường SIT, chưa mở báo cáo
- Dữ liệu: báo cáo Report TM_01 đã được deploy trên OAS SIT</t>
        </is>
      </c>
      <c r="D74" s="178" t="inlineStr">
        <is>
          <t>1. Mở báo cáo Report TM_01 trên OAS
2. Xem vùng tham số</t>
        </is>
      </c>
      <c r="E74" s="178" t="inlineStr">
        <is>
          <t>- Template: sheet Report TM_01 dòng 21–24</t>
        </is>
      </c>
      <c r="F74" s="178" t="inlineStr">
        <is>
          <t>1. Báo cáo mở thành công
2. Hiển thị tham số Từ, Đến, Đơn vị và nút Apply, Reset</t>
        </is>
      </c>
      <c r="G74" s="178" t="inlineStr">
        <is>
          <t>SIT</t>
        </is>
      </c>
      <c r="H74" s="178" t="inlineStr">
        <is>
          <t>Medium</t>
        </is>
      </c>
      <c r="I74" s="178" t="inlineStr">
        <is>
          <t>Manual</t>
        </is>
      </c>
      <c r="J74" s="178" t="inlineStr">
        <is>
          <t>Untested</t>
        </is>
      </c>
      <c r="K74" s="178" t="inlineStr">
        <is>
          <t>Untested</t>
        </is>
      </c>
      <c r="L74" s="178" t="inlineStr">
        <is>
          <t>Untested</t>
        </is>
      </c>
      <c r="M74" s="77" t="n"/>
      <c r="N74" s="77" t="n"/>
    </row>
    <row r="75" outlineLevel="2" ht="156" customHeight="1">
      <c r="A75" s="178" t="inlineStr">
        <is>
          <t>MSB_TM-RP_TC_037</t>
        </is>
      </c>
      <c r="B75" s="178" t="inlineStr">
        <is>
          <t>Kiểm tra tham số Từ và Đến hiển thị bảng lịch chọn tháng định dạng mm/yyyy</t>
        </is>
      </c>
      <c r="C75"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báo cáo Report TM_01 đã được deploy</t>
        </is>
      </c>
      <c r="D75" s="178" t="inlineStr">
        <is>
          <t>1. Click icon lịch của tham số Từ, chọn tháng 05/2026
2. Click icon lịch của tham số Đến, chọn tháng 06/2026</t>
        </is>
      </c>
      <c r="E75" s="178" t="inlineStr">
        <is>
          <t>- Tháng chọn: 05/2026, 06/2026</t>
        </is>
      </c>
      <c r="F75" s="178" t="inlineStr">
        <is>
          <t>1. Bảng lịch chọn theo tháng; ô Từ hiển thị 05/2026
2. Ô Đến hiển thị 06/2026</t>
        </is>
      </c>
      <c r="G75" s="178" t="inlineStr">
        <is>
          <t>SIT</t>
        </is>
      </c>
      <c r="H75" s="178" t="inlineStr">
        <is>
          <t>Medium</t>
        </is>
      </c>
      <c r="I75" s="178" t="inlineStr">
        <is>
          <t>Manual</t>
        </is>
      </c>
      <c r="J75" s="178" t="inlineStr">
        <is>
          <t>Untested</t>
        </is>
      </c>
      <c r="K75" s="178" t="inlineStr">
        <is>
          <t>Untested</t>
        </is>
      </c>
      <c r="L75" s="178" t="inlineStr">
        <is>
          <t>Untested</t>
        </is>
      </c>
      <c r="M75" s="77" t="n"/>
      <c r="N75" s="77" t="n"/>
    </row>
    <row r="76" outlineLevel="2" ht="156" customHeight="1">
      <c r="A76" s="178" t="inlineStr">
        <is>
          <t>MSB_TM-RP_TC_038</t>
        </is>
      </c>
      <c r="B76" s="178" t="inlineStr">
        <is>
          <t>Kiểm tra tham số Đơn vị hiển thị dropdown cho phép chọn nhiều giá trị</t>
        </is>
      </c>
      <c r="C76"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 VN0010002</t>
        </is>
      </c>
      <c r="D76" s="178" t="inlineStr">
        <is>
          <t>1. Mở dropdown Đơn vị
2. Tick VN0010001 và VN0010002</t>
        </is>
      </c>
      <c r="E76" s="178" t="inlineStr">
        <is>
          <t>- Đơn vị: VN0010001 – CN Hà Nội, VN0010002 – CN Hồ Chí Minh</t>
        </is>
      </c>
      <c r="F76" s="178" t="inlineStr">
        <is>
          <t>1. Hiển thị danh sách chi nhánh/phòng giao dịch/đơn vị kèm checkbox
2. Ô Đơn vị hiển thị cả 2 giá trị đã tick</t>
        </is>
      </c>
      <c r="G76" s="178" t="inlineStr">
        <is>
          <t>SIT</t>
        </is>
      </c>
      <c r="H76" s="178" t="inlineStr">
        <is>
          <t>Medium</t>
        </is>
      </c>
      <c r="I76" s="178" t="inlineStr">
        <is>
          <t>Manual</t>
        </is>
      </c>
      <c r="J76" s="178" t="inlineStr">
        <is>
          <t>Untested</t>
        </is>
      </c>
      <c r="K76" s="178" t="inlineStr">
        <is>
          <t>Untested</t>
        </is>
      </c>
      <c r="L76" s="178" t="inlineStr">
        <is>
          <t>Untested</t>
        </is>
      </c>
      <c r="M76" s="77" t="n"/>
      <c r="N76" s="77" t="n"/>
    </row>
    <row r="77" outlineLevel="2" ht="171" customHeight="1">
      <c r="A77" s="178" t="inlineStr">
        <is>
          <t>MSB_TM-RP_TC_039</t>
        </is>
      </c>
      <c r="B77" s="178" t="inlineStr">
        <is>
          <t>Kiểm tra hiển thị đúng tên và thứ tự 5 cột kết quả của báo cáo TM_01</t>
        </is>
      </c>
      <c r="C77"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77" s="178" t="inlineStr">
        <is>
          <t>1. Mở báo cáo "Báo cáo thống kê số lượng báo cáo giao dịch đáng ngờ đã tạo" (Report TM_01) trên OAS
2. Nhập tham số: Từ = 05/2026; Đến = 05/2026; Đơn vị = VN0010001 – CN Hà Nội, VN0010002 – CN Hồ Chí Minh
3. Nhấn nút Apply
4. Xem dòng tiêu đề cột của bảng kết quả</t>
        </is>
      </c>
      <c r="E77" s="178" t="inlineStr">
        <is>
          <t>- Tham số: Từ = 05/2026; Đến = 05/2026; Đơn vị = VN0010001 – CN Hà Nội, VN0010002 – CN Hồ Chí Minh</t>
        </is>
      </c>
      <c r="F77" s="178" t="inlineStr">
        <is>
          <t>1. Báo cáo mở, hiển thị vùng tham số cùng nút Apply và Reset
2. Các tham số hiển thị đúng giá trị đã nhập
3. Báo cáo chạy xong, không hiển thị thông báo lỗi
4. Thứ tự cột từ trái sang phải: Đơn vị, Thời gian, Nguồn tạo STR, Tổng số lượng báo cáo STR (chưa duyệt), Tổng số lượng báo cáo STR (đã duyệt)</t>
        </is>
      </c>
      <c r="G77" s="178" t="inlineStr">
        <is>
          <t>SIT</t>
        </is>
      </c>
      <c r="H77" s="178" t="inlineStr">
        <is>
          <t>Medium</t>
        </is>
      </c>
      <c r="I77" s="178" t="inlineStr">
        <is>
          <t>Manual</t>
        </is>
      </c>
      <c r="J77" s="178" t="inlineStr">
        <is>
          <t>Untested</t>
        </is>
      </c>
      <c r="K77" s="178" t="inlineStr">
        <is>
          <t>Untested</t>
        </is>
      </c>
      <c r="L77" s="178" t="inlineStr">
        <is>
          <t>Untested</t>
        </is>
      </c>
      <c r="M77" s="77" t="n"/>
      <c r="N77" s="77" t="n"/>
    </row>
    <row r="78" outlineLevel="1" ht="20" customHeight="1">
      <c r="A78" s="176" t="inlineStr">
        <is>
          <t>— Hành vi</t>
        </is>
      </c>
      <c r="B78" s="177" t="n"/>
      <c r="C78" s="177" t="n"/>
      <c r="D78" s="177" t="n"/>
      <c r="E78" s="177" t="n"/>
      <c r="F78" s="177" t="n"/>
      <c r="G78" s="177" t="n"/>
      <c r="H78" s="177" t="n"/>
      <c r="I78" s="177" t="n"/>
      <c r="J78" s="177" t="n"/>
      <c r="K78" s="177" t="n"/>
      <c r="L78" s="177" t="n"/>
      <c r="M78" s="177" t="n"/>
      <c r="N78" s="177" t="n"/>
    </row>
    <row r="79" outlineLevel="2" ht="171" customHeight="1">
      <c r="A79" s="178" t="inlineStr">
        <is>
          <t>MSB_TM-RP_TC_040</t>
        </is>
      </c>
      <c r="B79" s="178" t="inlineStr">
        <is>
          <t>Kiểm tra nút Reset đặt lại tham số đúng theo từng lựa chọn của báo cáo TM_01</t>
        </is>
      </c>
      <c r="C79" s="178"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bộ dữ liệu D-TM01 (mục 3.2 file rollup) đã dựng và batch dữ liệu báo cáo đã chạy</t>
        </is>
      </c>
      <c r="D79" s="178" t="inlineStr">
        <is>
          <t>1. Nhập Từ = 05/2026, Đến = 05/2026, Đơn vị = VN0010001 và nhấn Apply
2. Đổi Đơn vị sang VN0010002, nhấn Reset &gt; Reset to last applied values
3. Nhấn Reset &gt; Reset to default values
4. Nhấn Reset &gt; Clear All</t>
        </is>
      </c>
      <c r="E79" s="178" t="inlineStr">
        <is>
          <t>- Tham số lần 1: Từ = 05/2026; Đến = 05/2026; Đơn vị = VN0010001 – CN Hà Nội
- Đổi Đơn vị: VN0010002 – CN Hồ Chí Minh</t>
        </is>
      </c>
      <c r="F79" s="178" t="inlineStr">
        <is>
          <t>1. Báo cáo hiển thị dữ liệu VN0010001
2. Tham số quay về giá trị lần Apply trước (Đơn vị = VN0010001)
3. Tham số quay về giá trị mặc định của báo cáo
4. Toàn bộ tham số bị xóa trắng</t>
        </is>
      </c>
      <c r="G79" s="178" t="inlineStr">
        <is>
          <t>SIT</t>
        </is>
      </c>
      <c r="H79" s="178" t="inlineStr">
        <is>
          <t>Medium</t>
        </is>
      </c>
      <c r="I79" s="178" t="inlineStr">
        <is>
          <t>Manual</t>
        </is>
      </c>
      <c r="J79" s="178" t="inlineStr">
        <is>
          <t>Untested</t>
        </is>
      </c>
      <c r="K79" s="178" t="inlineStr">
        <is>
          <t>Untested</t>
        </is>
      </c>
      <c r="L79" s="178" t="inlineStr">
        <is>
          <t>Untested</t>
        </is>
      </c>
      <c r="M79" s="77" t="n"/>
      <c r="N79" s="77" t="n"/>
    </row>
    <row r="80" outlineLevel="2" ht="186" customHeight="1">
      <c r="A80" s="178" t="inlineStr">
        <is>
          <t>MSB_TM-RP_TC_041</t>
        </is>
      </c>
      <c r="B80" s="178" t="inlineStr">
        <is>
          <t>Kiểm tra file PDF xuất từ báo cáo TM_01 hiển thị đúng font tiếng Việt có dấu</t>
        </is>
      </c>
      <c r="C80" s="178"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80" s="178" t="inlineStr">
        <is>
          <t>1. Mở báo cáo "Báo cáo thống kê số lượng báo cáo giao dịch đáng ngờ đã tạo" (Report TM_01) trên OAS
2. Nhập tham số: Từ = 05/2026; Đến = 05/2026; Đơn vị = VN0010001 – CN Hà Nội, VN0010002 – CN Hồ Chí Minh
3. Nhấn nút Apply
4. Export &gt; Formatted &gt; PDF, mở file
5. Xem tiêu đề, tên cột và giá trị Tự động/Thủ công</t>
        </is>
      </c>
      <c r="E80" s="178" t="inlineStr">
        <is>
          <t>- Tham số: Từ = 05/2026; Đến = 05/2026; Đơn vị = VN0010001 – CN Hà Nội, VN0010002 – CN Hồ Chí Minh</t>
        </is>
      </c>
      <c r="F80" s="178" t="inlineStr">
        <is>
          <t>1. Báo cáo mở, hiển thị vùng tham số cùng nút Apply và Reset
2. Các tham số hiển thị đúng giá trị đã nhập
3. Báo cáo chạy xong, không hiển thị thông báo lỗi
4. Tải về file .pdf
5. Toàn bộ chữ tiếng Việt có dấu hiển thị đúng, không lỗi ô vuông hay ký tự lạ</t>
        </is>
      </c>
      <c r="G80" s="178" t="inlineStr">
        <is>
          <t>SIT</t>
        </is>
      </c>
      <c r="H80" s="178" t="inlineStr">
        <is>
          <t>Medium</t>
        </is>
      </c>
      <c r="I80" s="178" t="inlineStr">
        <is>
          <t>Manual</t>
        </is>
      </c>
      <c r="J80" s="178" t="inlineStr">
        <is>
          <t>Untested</t>
        </is>
      </c>
      <c r="K80" s="178" t="inlineStr">
        <is>
          <t>Untested</t>
        </is>
      </c>
      <c r="L80" s="178" t="inlineStr">
        <is>
          <t>Untested</t>
        </is>
      </c>
      <c r="M80" s="77" t="n"/>
      <c r="N80" s="178" t="inlineStr">
        <is>
          <t>Báo cáo TF từng ghi nhận lỗi font PDF</t>
        </is>
      </c>
    </row>
  </sheetData>
  <autoFilter ref="A25:N80"/>
  <dataValidations count="2">
    <dataValidation sqref="J26:J80" showDropDown="0" showInputMessage="0" showErrorMessage="0" allowBlank="1" type="list">
      <formula1>"Passed,Failed,Pending,Accepted,Untested,Canceled"</formula1>
    </dataValidation>
    <dataValidation sqref="K26:L80" showDropDown="0" showInputMessage="0" showErrorMessage="0" allowBlank="1" type="list">
      <formula1>=Report!$A$20:$A$25</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filterMode="1">
    <tabColor theme="5" tint="0.3999755851924192"/>
    <outlinePr summaryBelow="0" summaryRight="1"/>
    <pageSetUpPr/>
  </sheetPr>
  <dimension ref="A1:Z73"/>
  <sheetViews>
    <sheetView workbookViewId="0">
      <selection activeCell="A1" sqref="A1"/>
    </sheetView>
  </sheetViews>
  <sheetFormatPr baseColWidth="8" defaultColWidth="17.28515625" defaultRowHeight="12" customHeight="1" outlineLevelRow="1"/>
  <cols>
    <col width="20" customWidth="1" style="92" min="1" max="1"/>
    <col width="42" customWidth="1" style="92" min="2" max="2"/>
    <col width="42" customWidth="1" style="92" min="3" max="3"/>
    <col width="46" customWidth="1" style="92" min="4" max="4"/>
    <col width="34" customWidth="1" style="92" min="5" max="5"/>
    <col width="46" customWidth="1" style="92" min="6" max="6"/>
    <col width="12" customWidth="1" style="92" min="7" max="9"/>
    <col width="11" customWidth="1" min="8" max="8"/>
    <col width="13" customWidth="1" min="9" max="9"/>
    <col width="14" customWidth="1" style="92" min="10" max="10"/>
    <col width="14" customWidth="1" style="92" min="11" max="16384"/>
    <col width="14" customWidth="1" min="12" max="12"/>
    <col width="12" customWidth="1" min="13" max="13"/>
    <col width="20" customWidth="1" min="14" max="14"/>
  </cols>
  <sheetData>
    <row r="1" ht="12" customHeight="1">
      <c r="A1" s="91" t="inlineStr">
        <is>
          <t>Functions</t>
        </is>
      </c>
      <c r="B1" s="91">
        <f>Cover!E11</f>
        <v/>
      </c>
    </row>
    <row r="2" ht="12" customHeight="1">
      <c r="A2" s="91" t="inlineStr">
        <is>
          <t>Build Version</t>
        </is>
      </c>
      <c r="B2" s="91" t="inlineStr">
        <is>
          <t>v1.0</t>
        </is>
      </c>
    </row>
    <row r="3" ht="12" customHeight="1">
      <c r="A3" s="174" t="inlineStr">
        <is>
          <t>Report TM_02 – Báo cáo đánh giá hiệu quả của kịch bản quét sàng lọc giao dịch của khách hàng</t>
        </is>
      </c>
      <c r="B3" s="99" t="n"/>
      <c r="C3" s="99" t="n"/>
      <c r="D3" s="99" t="n"/>
      <c r="E3" s="99" t="n"/>
    </row>
    <row r="4" ht="12" customHeight="1">
      <c r="A4" s="100" t="inlineStr">
        <is>
          <t>ROUND 2</t>
        </is>
      </c>
    </row>
    <row r="5" ht="12" customHeight="1">
      <c r="A5" s="136" t="n"/>
      <c r="B5" s="136" t="inlineStr">
        <is>
          <t>High</t>
        </is>
      </c>
      <c r="C5" s="136" t="inlineStr">
        <is>
          <t>Medium</t>
        </is>
      </c>
      <c r="D5" s="136" t="inlineStr">
        <is>
          <t>Low</t>
        </is>
      </c>
      <c r="E5" s="136" t="inlineStr">
        <is>
          <t>Total</t>
        </is>
      </c>
    </row>
    <row r="6" ht="12" customHeight="1">
      <c r="A6" s="137" t="n"/>
      <c r="B6" s="137">
        <f>SUM(B7:B11)</f>
        <v/>
      </c>
      <c r="C6" s="137">
        <f>SUM(C7:C11)</f>
        <v/>
      </c>
      <c r="D6" s="137">
        <f>SUM(D7:D11)</f>
        <v/>
      </c>
      <c r="E6" s="137">
        <f>SUM(B6:D6)</f>
        <v/>
      </c>
    </row>
    <row r="7" ht="12" customHeight="1">
      <c r="A7" s="138" t="inlineStr">
        <is>
          <t>Passed</t>
        </is>
      </c>
      <c r="B7" s="139">
        <f>COUNTIFS($H:$H,B$5,$K:$K,$A7)</f>
        <v/>
      </c>
      <c r="C7" s="139">
        <f>COUNTIFS($H:$H,C$5,$K:$K,$A7)</f>
        <v/>
      </c>
      <c r="D7" s="139">
        <f>COUNTIFS($H:$H,D$5,$K:$K,$A7)</f>
        <v/>
      </c>
      <c r="E7" s="139">
        <f>SUM(B7:D7)</f>
        <v/>
      </c>
    </row>
    <row r="8" ht="12" customHeight="1">
      <c r="A8" s="138" t="inlineStr">
        <is>
          <t>Failed</t>
        </is>
      </c>
      <c r="B8" s="139">
        <f>COUNTIFS($H:$H,B$5,$K:$K,$A8)</f>
        <v/>
      </c>
      <c r="C8" s="139">
        <f>COUNTIFS($H:$H,C$5,$K:$K,$A8)</f>
        <v/>
      </c>
      <c r="D8" s="139">
        <f>COUNTIFS($H:$H,D$5,$K:$K,$A8)</f>
        <v/>
      </c>
      <c r="E8" s="139">
        <f>SUM(B8:D8)</f>
        <v/>
      </c>
    </row>
    <row r="9" ht="12" customHeight="1">
      <c r="A9" s="138" t="inlineStr">
        <is>
          <t>Pending</t>
        </is>
      </c>
      <c r="B9" s="139">
        <f>COUNTIFS($H:$H,B$5,$K:$K,$A9)</f>
        <v/>
      </c>
      <c r="C9" s="139">
        <f>COUNTIFS($H:$H,C$5,$K:$K,$A9)</f>
        <v/>
      </c>
      <c r="D9" s="139">
        <f>COUNTIFS($H:$H,D$5,$K:$K,$A9)</f>
        <v/>
      </c>
      <c r="E9" s="139">
        <f>SUM(B9:D9)</f>
        <v/>
      </c>
    </row>
    <row r="10" ht="12" customHeight="1">
      <c r="A10" s="138" t="inlineStr">
        <is>
          <t>Cancel</t>
        </is>
      </c>
      <c r="B10" s="139">
        <f>COUNTIFS($H:$H,B$5,$K:$K,$A10)</f>
        <v/>
      </c>
      <c r="C10" s="139">
        <f>COUNTIFS($H:$H,C$5,$K:$K,$A10)</f>
        <v/>
      </c>
      <c r="D10" s="139">
        <f>COUNTIFS($H:$H,D$5,$K:$K,$A10)</f>
        <v/>
      </c>
      <c r="E10" s="139">
        <f>SUM(B10:D10)</f>
        <v/>
      </c>
    </row>
    <row r="11" ht="12" customHeight="1">
      <c r="A11" s="138" t="inlineStr">
        <is>
          <t>Untested</t>
        </is>
      </c>
      <c r="B11" s="139">
        <f>COUNTIFS($H:$H,B$5,$K:$K,$A11)</f>
        <v/>
      </c>
      <c r="C11" s="139">
        <f>COUNTIFS($H:$H,C$5,$K:$K,$A11)</f>
        <v/>
      </c>
      <c r="D11" s="139">
        <f>COUNTIFS($H:$H,D$5,$K:$K,$A11)</f>
        <v/>
      </c>
      <c r="E11" s="139">
        <f>SUM(B11:D11)</f>
        <v/>
      </c>
    </row>
    <row r="12" ht="12" customHeight="1">
      <c r="A12" s="138" t="inlineStr">
        <is>
          <t>Next</t>
        </is>
      </c>
      <c r="B12" s="139">
        <f>COUNTIFS($H:$H,B$5,$K:$K,$A12)</f>
        <v/>
      </c>
      <c r="C12" s="139">
        <f>COUNTIFS($H:$H,C$5,$K:$K,$A12)</f>
        <v/>
      </c>
      <c r="D12" s="139">
        <f>COUNTIFS($H:$H,D$5,$K:$K,$A12)</f>
        <v/>
      </c>
      <c r="E12" s="139">
        <f>SUM(B12:D12)</f>
        <v/>
      </c>
    </row>
    <row r="13" ht="12" customHeight="1">
      <c r="A13" s="135" t="n"/>
      <c r="B13" s="99" t="n"/>
      <c r="C13" s="99" t="n"/>
      <c r="D13" s="99" t="n"/>
      <c r="E13" s="99" t="n"/>
    </row>
    <row r="14" ht="12" customHeight="1">
      <c r="A14" s="100" t="inlineStr">
        <is>
          <t>ROUND 3</t>
        </is>
      </c>
    </row>
    <row r="15" ht="12" customHeight="1">
      <c r="A15" s="136" t="n"/>
      <c r="B15" s="136" t="inlineStr">
        <is>
          <t>High</t>
        </is>
      </c>
      <c r="C15" s="136" t="inlineStr">
        <is>
          <t>Medium</t>
        </is>
      </c>
      <c r="D15" s="136" t="inlineStr">
        <is>
          <t>Low</t>
        </is>
      </c>
      <c r="E15" s="136" t="inlineStr">
        <is>
          <t>Total</t>
        </is>
      </c>
    </row>
    <row r="16" ht="12" customHeight="1">
      <c r="A16" s="137" t="n"/>
      <c r="B16" s="137">
        <f>SUM(B17:B21)</f>
        <v/>
      </c>
      <c r="C16" s="137">
        <f>SUM(C17:C21)</f>
        <v/>
      </c>
      <c r="D16" s="137">
        <f>SUM(D17:D21)</f>
        <v/>
      </c>
      <c r="E16" s="137">
        <f>SUM(B16:D16)</f>
        <v/>
      </c>
    </row>
    <row r="17" ht="12" customHeight="1">
      <c r="A17" s="138" t="inlineStr">
        <is>
          <t>Passed</t>
        </is>
      </c>
      <c r="B17" s="139">
        <f>COUNTIFS($H:$H,B$15,$L:$L,$A17)</f>
        <v/>
      </c>
      <c r="C17" s="139">
        <f>COUNTIFS($H:$H,C$15,$L:$L,$A17)</f>
        <v/>
      </c>
      <c r="D17" s="139">
        <f>COUNTIFS($H:$H,D$15,$L:$L,$A17)</f>
        <v/>
      </c>
      <c r="E17" s="139">
        <f>SUM(B17:D17)</f>
        <v/>
      </c>
    </row>
    <row r="18" ht="12" customHeight="1">
      <c r="A18" s="138" t="inlineStr">
        <is>
          <t>Failed</t>
        </is>
      </c>
      <c r="B18" s="139">
        <f>COUNTIFS($H:$H,B$15,$L:$L,$A18)</f>
        <v/>
      </c>
      <c r="C18" s="139">
        <f>COUNTIFS($H:$H,C$15,$L:$L,$A18)</f>
        <v/>
      </c>
      <c r="D18" s="139">
        <f>COUNTIFS($H:$H,D$15,$L:$L,$A18)</f>
        <v/>
      </c>
      <c r="E18" s="139">
        <f>SUM(B18:D18)</f>
        <v/>
      </c>
    </row>
    <row r="19" ht="12" customHeight="1">
      <c r="A19" s="138" t="inlineStr">
        <is>
          <t>Pending</t>
        </is>
      </c>
      <c r="B19" s="139">
        <f>COUNTIFS($H:$H,B$15,$L:$L,$A19)</f>
        <v/>
      </c>
      <c r="C19" s="139">
        <f>COUNTIFS($H:$H,C$15,$L:$L,$A19)</f>
        <v/>
      </c>
      <c r="D19" s="139">
        <f>COUNTIFS($H:$H,D$15,$L:$L,$A19)</f>
        <v/>
      </c>
      <c r="E19" s="139">
        <f>SUM(B19:D19)</f>
        <v/>
      </c>
    </row>
    <row r="20" ht="12" customHeight="1">
      <c r="A20" s="138" t="inlineStr">
        <is>
          <t>Cancel</t>
        </is>
      </c>
      <c r="B20" s="139">
        <f>COUNTIFS($H:$H,B$15,$L:$L,$A20)</f>
        <v/>
      </c>
      <c r="C20" s="139">
        <f>COUNTIFS($H:$H,C$15,$L:$L,$A20)</f>
        <v/>
      </c>
      <c r="D20" s="139">
        <f>COUNTIFS($H:$H,D$15,$L:$L,$A20)</f>
        <v/>
      </c>
      <c r="E20" s="139">
        <f>SUM(B20:D20)</f>
        <v/>
      </c>
    </row>
    <row r="21" ht="12" customHeight="1">
      <c r="A21" s="138" t="inlineStr">
        <is>
          <t>Untested</t>
        </is>
      </c>
      <c r="B21" s="139">
        <f>COUNTIFS($H:$H,B$15,$L:$L,$A21)</f>
        <v/>
      </c>
      <c r="C21" s="139">
        <f>COUNTIFS($H:$H,C$15,$L:$L,$A21)</f>
        <v/>
      </c>
      <c r="D21" s="139">
        <f>COUNTIFS($H:$H,D$15,$L:$L,$A21)</f>
        <v/>
      </c>
      <c r="E21" s="139">
        <f>SUM(B21:D21)</f>
        <v/>
      </c>
    </row>
    <row r="22" ht="12" customHeight="1">
      <c r="A22" s="138" t="inlineStr">
        <is>
          <t>Next</t>
        </is>
      </c>
      <c r="B22" s="139">
        <f>COUNTIFS($H:$H,B$15,$L:$L,$A22)</f>
        <v/>
      </c>
      <c r="C22" s="139">
        <f>COUNTIFS($H:$H,C$15,$L:$L,$A22)</f>
        <v/>
      </c>
      <c r="D22" s="139">
        <f>COUNTIFS($H:$H,D$15,$L:$L,$A22)</f>
        <v/>
      </c>
      <c r="E22" s="139">
        <f>SUM(B22:D22)</f>
        <v/>
      </c>
    </row>
    <row r="23" ht="12" customHeight="1">
      <c r="A23" s="135" t="n"/>
      <c r="B23" s="99" t="n"/>
      <c r="C23" s="99" t="n"/>
      <c r="D23" s="99" t="n"/>
      <c r="E23" s="99" t="n"/>
    </row>
    <row r="25" ht="12" customHeight="1">
      <c r="A25" s="93" t="inlineStr">
        <is>
          <t>Test case Id</t>
        </is>
      </c>
      <c r="B25" s="93" t="inlineStr">
        <is>
          <t>Test case Title</t>
        </is>
      </c>
      <c r="C25" s="93" t="inlineStr">
        <is>
          <t>Pre-conditions</t>
        </is>
      </c>
      <c r="D25" s="93" t="inlineStr">
        <is>
          <t>Test Step</t>
        </is>
      </c>
      <c r="E25" s="93" t="inlineStr">
        <is>
          <t>Test Datas</t>
        </is>
      </c>
      <c r="F25" s="93" t="inlineStr">
        <is>
          <t>Expected result</t>
        </is>
      </c>
      <c r="G25" s="93" t="inlineStr">
        <is>
          <t>Test Environment</t>
        </is>
      </c>
      <c r="H25" s="94" t="inlineStr">
        <is>
          <t>Priority</t>
        </is>
      </c>
      <c r="I25" s="94" t="inlineStr">
        <is>
          <t>Automation Status</t>
        </is>
      </c>
      <c r="J25" s="133" t="inlineStr">
        <is>
          <t>1st Test Results</t>
        </is>
      </c>
      <c r="K25" s="133" t="inlineStr">
        <is>
          <t>2nd Test Results</t>
        </is>
      </c>
      <c r="L25" s="133" t="inlineStr">
        <is>
          <t>3rd Test Results</t>
        </is>
      </c>
      <c r="M25" s="93" t="inlineStr">
        <is>
          <t>BugID</t>
        </is>
      </c>
      <c r="N25" s="93" t="inlineStr">
        <is>
          <t>Notes</t>
        </is>
      </c>
    </row>
    <row r="26" ht="20" customHeight="1">
      <c r="A26" s="175" t="inlineStr">
        <is>
          <t>NHÓM FUNCTION (Risk High)</t>
        </is>
      </c>
      <c r="B26" s="95" t="n"/>
      <c r="C26" s="95" t="n"/>
      <c r="D26" s="95" t="n"/>
      <c r="E26" s="95" t="n"/>
      <c r="F26" s="95" t="n"/>
      <c r="G26" s="95" t="n"/>
      <c r="H26" s="95" t="n"/>
      <c r="I26" s="95" t="n"/>
      <c r="J26" s="95" t="n"/>
      <c r="K26" s="95" t="n"/>
      <c r="L26" s="95" t="n"/>
      <c r="M26" s="95" t="n"/>
      <c r="N26" s="95" t="n"/>
    </row>
    <row r="27" outlineLevel="1" ht="20" customHeight="1">
      <c r="A27" s="176" t="inlineStr">
        <is>
          <t>— Hiển thị &amp; nút chức năng</t>
        </is>
      </c>
      <c r="B27" s="177" t="n"/>
      <c r="C27" s="177" t="n"/>
      <c r="D27" s="177" t="n"/>
      <c r="E27" s="177" t="n"/>
      <c r="F27" s="177" t="n"/>
      <c r="G27" s="177" t="n"/>
      <c r="H27" s="177" t="n"/>
      <c r="I27" s="177" t="n"/>
      <c r="J27" s="177" t="n"/>
      <c r="K27" s="177" t="n"/>
      <c r="L27" s="177" t="n"/>
      <c r="M27" s="177" t="n"/>
      <c r="N27" s="177" t="n"/>
    </row>
    <row r="28" outlineLevel="2" ht="261" customHeight="1">
      <c r="A28" s="178" t="inlineStr">
        <is>
          <t>MSB_TM-RP_TC_042</t>
        </is>
      </c>
      <c r="B28" s="178" t="inlineStr">
        <is>
          <t>Kiểm tra hiển thị thành công kết quả báo cáo TM_02 đủ 7 cột khi chỉ nhập tham số bắt buộc</t>
        </is>
      </c>
      <c r="C28"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kỳ 09/2026 có event của kịch bản AML-01, AML-02, AML-05, AML-07, AML-08</t>
        </is>
      </c>
      <c r="D28" s="178" t="inlineStr">
        <is>
          <t>1. Mở báo cáo "Báo cáo đánh giá hiệu quả của kịch bản quét sàng lọc giao dịch của khách hàng" (Report TM_02) trên OAS
2. Nhập tham số: Từ ngày = 01/09/2026; Đến ngày = 30/09/2026
3. Nhấn nút Apply
4. Đối chiếu bảng kết quả với Test Data</t>
        </is>
      </c>
      <c r="E28" s="178" t="inlineStr">
        <is>
          <t>- Tham số: Từ ngày = 01/09/2026; Đến ngày = 30/09/2026
- Mã kịch bản, Tên kịch bản: không chọn</t>
        </is>
      </c>
      <c r="F28" s="178" t="inlineStr">
        <is>
          <t>1. Báo cáo mở, hiển thị vùng tham số cùng nút Apply và Reset
2. Các tham số hiển thị đúng giá trị đã nhập
3. Báo cáo chạy xong, không hiển thị thông báo lỗi
4. Báo cáo có 7 cột và đúng 5 dòng (Mã KB | Số lượng cảnh báo xử lý | False Positive | True Positive | Tỷ lệ FP | Tỷ lệ TP), Tên kịch bản hiển thị theo mã:
+ AML-01 | 4 | 1 | 3 | 25,00% | 75,00%
+ AML-02 | 4 | 4 | 0 | 100,00% | 0,00%
+ AML-05 | 0 | 0 | 0 | 0,00% | 0,00%
+ AML-07 | 2 | 1 | 1 | 50,00% | 50,00%
+ AML-08 | 3 | 2 | 1 | 66,67% | 33,33%</t>
        </is>
      </c>
      <c r="G28" s="178" t="inlineStr">
        <is>
          <t>SIT</t>
        </is>
      </c>
      <c r="H28" s="178" t="inlineStr">
        <is>
          <t>High</t>
        </is>
      </c>
      <c r="I28" s="178" t="inlineStr">
        <is>
          <t>Manual</t>
        </is>
      </c>
      <c r="J28" s="178" t="inlineStr">
        <is>
          <t>Untested</t>
        </is>
      </c>
      <c r="K28" s="178" t="inlineStr">
        <is>
          <t>Untested</t>
        </is>
      </c>
      <c r="L28" s="178" t="inlineStr">
        <is>
          <t>Untested</t>
        </is>
      </c>
      <c r="M28" s="77" t="n"/>
      <c r="N28" s="178" t="inlineStr">
        <is>
          <t>Q6, Q8</t>
        </is>
      </c>
    </row>
    <row r="29" outlineLevel="1" ht="20" customHeight="1">
      <c r="A29" s="176" t="inlineStr">
        <is>
          <t>— Logic số liệu</t>
        </is>
      </c>
      <c r="B29" s="177" t="n"/>
      <c r="C29" s="177" t="n"/>
      <c r="D29" s="177" t="n"/>
      <c r="E29" s="177" t="n"/>
      <c r="F29" s="177" t="n"/>
      <c r="G29" s="177" t="n"/>
      <c r="H29" s="177" t="n"/>
      <c r="I29" s="177" t="n"/>
      <c r="J29" s="177" t="n"/>
      <c r="K29" s="177" t="n"/>
      <c r="L29" s="177" t="n"/>
      <c r="M29" s="177" t="n"/>
      <c r="N29" s="177" t="n"/>
    </row>
    <row r="30" outlineLevel="2" ht="156" customHeight="1">
      <c r="A30" s="178" t="inlineStr">
        <is>
          <t>MSB_TM-RP_TC_043</t>
        </is>
      </c>
      <c r="B30" s="178" t="inlineStr">
        <is>
          <t>Kiểm tra cột Số lượng cảnh báo xử lý loại trừ đúng event chưa đánh giá (P)</t>
        </is>
      </c>
      <c r="C30"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AML-01 có 5 event trong kỳ: E01, E04, E06 (Y), E09 (N), E18 (P)</t>
        </is>
      </c>
      <c r="D30" s="178" t="inlineStr">
        <is>
          <t>1. Mở báo cáo "Báo cáo đánh giá hiệu quả của kịch bản quét sàng lọc giao dịch của khách hàng" (Report TM_02) trên OAS
2. Nhập tham số: Từ ngày = 01/09/2026; Đến ngày = 30/09/2026
3. Nhấn nút Apply
4. Xem cột Số lượng cảnh báo xử lý của dòng AML-01</t>
        </is>
      </c>
      <c r="E30" s="178" t="inlineStr">
        <is>
          <t>- Tham số: Từ ngày = 01/09/2026; Đến ngày = 30/09/2026
- Event: E01, E04, E06, E09, E18</t>
        </is>
      </c>
      <c r="F30" s="178" t="inlineStr">
        <is>
          <t>1. Báo cáo mở, hiển thị vùng tham số cùng nút Apply và Reset
2. Các tham số hiển thị đúng giá trị đã nhập
3. Báo cáo chạy xong, không hiển thị thông báo lỗi
4. Giá trị = 4 (không tính E18 đang P)</t>
        </is>
      </c>
      <c r="G30" s="178" t="inlineStr">
        <is>
          <t>SIT</t>
        </is>
      </c>
      <c r="H30" s="178" t="inlineStr">
        <is>
          <t>High</t>
        </is>
      </c>
      <c r="I30" s="178" t="inlineStr">
        <is>
          <t>Manual</t>
        </is>
      </c>
      <c r="J30" s="178" t="inlineStr">
        <is>
          <t>Untested</t>
        </is>
      </c>
      <c r="K30" s="178" t="inlineStr">
        <is>
          <t>Untested</t>
        </is>
      </c>
      <c r="L30" s="178" t="inlineStr">
        <is>
          <t>Untested</t>
        </is>
      </c>
      <c r="M30" s="77" t="n"/>
      <c r="N30" s="178" t="inlineStr">
        <is>
          <t>Q7</t>
        </is>
      </c>
    </row>
    <row r="31" outlineLevel="2" ht="156" customHeight="1">
      <c r="A31" s="178" t="inlineStr">
        <is>
          <t>MSB_TM-RP_TC_044</t>
        </is>
      </c>
      <c r="B31" s="178" t="inlineStr">
        <is>
          <t>Kiểm tra cột Số lượng False Positive đếm đúng event được đánh giá không đáng ngờ (N)</t>
        </is>
      </c>
      <c r="C31"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AML-01 có 1 event N (E09); AML-02 có 4 event N (E03, E05, E10, E12)</t>
        </is>
      </c>
      <c r="D31" s="178" t="inlineStr">
        <is>
          <t>1. Mở báo cáo "Báo cáo đánh giá hiệu quả của kịch bản quét sàng lọc giao dịch của khách hàng" (Report TM_02) trên OAS
2. Nhập tham số: Từ ngày = 01/09/2026; Đến ngày = 30/09/2026
3. Nhấn nút Apply
4. Xem cột Số lượng False Positive của dòng AML-01 và AML-02</t>
        </is>
      </c>
      <c r="E31" s="178" t="inlineStr">
        <is>
          <t>- Tham số: Từ ngày = 01/09/2026; Đến ngày = 30/09/2026
- Event: E09, E03, E05, E10, E12</t>
        </is>
      </c>
      <c r="F31" s="178" t="inlineStr">
        <is>
          <t>1. Báo cáo mở, hiển thị vùng tham số cùng nút Apply và Reset
2. Các tham số hiển thị đúng giá trị đã nhập
3. Báo cáo chạy xong, không hiển thị thông báo lỗi
4. AML-01 = 1; AML-02 = 4</t>
        </is>
      </c>
      <c r="G31" s="178" t="inlineStr">
        <is>
          <t>SIT</t>
        </is>
      </c>
      <c r="H31" s="178" t="inlineStr">
        <is>
          <t>High</t>
        </is>
      </c>
      <c r="I31" s="178" t="inlineStr">
        <is>
          <t>Manual</t>
        </is>
      </c>
      <c r="J31" s="178" t="inlineStr">
        <is>
          <t>Untested</t>
        </is>
      </c>
      <c r="K31" s="178" t="inlineStr">
        <is>
          <t>Untested</t>
        </is>
      </c>
      <c r="L31" s="178" t="inlineStr">
        <is>
          <t>Untested</t>
        </is>
      </c>
      <c r="M31" s="77" t="n"/>
      <c r="N31" s="178" t="inlineStr">
        <is>
          <t>Q7</t>
        </is>
      </c>
    </row>
    <row r="32" outlineLevel="2" ht="156" customHeight="1">
      <c r="A32" s="178" t="inlineStr">
        <is>
          <t>MSB_TM-RP_TC_045</t>
        </is>
      </c>
      <c r="B32" s="178" t="inlineStr">
        <is>
          <t>Kiểm tra cột Số lượng True Positive đếm đúng event được đánh giá đáng ngờ (Y)</t>
        </is>
      </c>
      <c r="C32"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AML-01 có 3 event Y (E01, E04, E06); AML-02 không có event Y</t>
        </is>
      </c>
      <c r="D32" s="178" t="inlineStr">
        <is>
          <t>1. Mở báo cáo "Báo cáo đánh giá hiệu quả của kịch bản quét sàng lọc giao dịch của khách hàng" (Report TM_02) trên OAS
2. Nhập tham số: Từ ngày = 01/09/2026; Đến ngày = 30/09/2026
3. Nhấn nút Apply
4. Xem cột Số lượng True Positive của dòng AML-01 và AML-02</t>
        </is>
      </c>
      <c r="E32" s="178" t="inlineStr">
        <is>
          <t>- Tham số: Từ ngày = 01/09/2026; Đến ngày = 30/09/2026
- Event: E01, E04, E06</t>
        </is>
      </c>
      <c r="F32" s="178" t="inlineStr">
        <is>
          <t>1. Báo cáo mở, hiển thị vùng tham số cùng nút Apply và Reset
2. Các tham số hiển thị đúng giá trị đã nhập
3. Báo cáo chạy xong, không hiển thị thông báo lỗi
4. AML-01 = 3; AML-02 = 0</t>
        </is>
      </c>
      <c r="G32" s="178" t="inlineStr">
        <is>
          <t>SIT</t>
        </is>
      </c>
      <c r="H32" s="178" t="inlineStr">
        <is>
          <t>High</t>
        </is>
      </c>
      <c r="I32" s="178" t="inlineStr">
        <is>
          <t>Manual</t>
        </is>
      </c>
      <c r="J32" s="178" t="inlineStr">
        <is>
          <t>Untested</t>
        </is>
      </c>
      <c r="K32" s="178" t="inlineStr">
        <is>
          <t>Untested</t>
        </is>
      </c>
      <c r="L32" s="178" t="inlineStr">
        <is>
          <t>Untested</t>
        </is>
      </c>
      <c r="M32" s="77" t="n"/>
      <c r="N32" s="178" t="inlineStr">
        <is>
          <t>Q7</t>
        </is>
      </c>
    </row>
    <row r="33" outlineLevel="2" ht="141" customHeight="1">
      <c r="A33" s="178" t="inlineStr">
        <is>
          <t>MSB_TM-RP_TC_046</t>
        </is>
      </c>
      <c r="B33" s="178" t="inlineStr">
        <is>
          <t>Kiểm tra tính đúng Tỷ lệ False Positive bằng False Positive chia Số lượng cảnh báo xử lý</t>
        </is>
      </c>
      <c r="C33"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3" s="178" t="inlineStr">
        <is>
          <t>1. Mở báo cáo "Báo cáo đánh giá hiệu quả của kịch bản quét sàng lọc giao dịch của khách hàng" (Report TM_02) trên OAS
2. Nhập tham số: Từ ngày = 01/09/2026; Đến ngày = 30/09/2026
3. Nhấn nút Apply
4. Xem cột Tỷ lệ False Positive của dòng AML-01 và AML-02</t>
        </is>
      </c>
      <c r="E33" s="178" t="inlineStr">
        <is>
          <t>- Tham số: Từ ngày = 01/09/2026; Đến ngày = 30/09/2026</t>
        </is>
      </c>
      <c r="F33" s="178" t="inlineStr">
        <is>
          <t>1. Báo cáo mở, hiển thị vùng tham số cùng nút Apply và Reset
2. Các tham số hiển thị đúng giá trị đã nhập
3. Báo cáo chạy xong, không hiển thị thông báo lỗi
4. AML-01 = 1/4 = 25,00%; AML-02 = 4/4 = 100,00%</t>
        </is>
      </c>
      <c r="G33" s="178" t="inlineStr">
        <is>
          <t>SIT</t>
        </is>
      </c>
      <c r="H33" s="178" t="inlineStr">
        <is>
          <t>High</t>
        </is>
      </c>
      <c r="I33" s="178" t="inlineStr">
        <is>
          <t>Manual</t>
        </is>
      </c>
      <c r="J33" s="178" t="inlineStr">
        <is>
          <t>Untested</t>
        </is>
      </c>
      <c r="K33" s="178" t="inlineStr">
        <is>
          <t>Untested</t>
        </is>
      </c>
      <c r="L33" s="178" t="inlineStr">
        <is>
          <t>Untested</t>
        </is>
      </c>
      <c r="M33" s="77" t="n"/>
      <c r="N33" s="178" t="inlineStr">
        <is>
          <t>Q8</t>
        </is>
      </c>
    </row>
    <row r="34" outlineLevel="2" ht="141" customHeight="1">
      <c r="A34" s="178" t="inlineStr">
        <is>
          <t>MSB_TM-RP_TC_047</t>
        </is>
      </c>
      <c r="B34" s="178" t="inlineStr">
        <is>
          <t>Kiểm tra tính đúng Tỷ lệ True Positive bằng True Positive chia Số lượng cảnh báo xử lý</t>
        </is>
      </c>
      <c r="C34"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4" s="178" t="inlineStr">
        <is>
          <t>1. Mở báo cáo "Báo cáo đánh giá hiệu quả của kịch bản quét sàng lọc giao dịch của khách hàng" (Report TM_02) trên OAS
2. Nhập tham số: Từ ngày = 01/09/2026; Đến ngày = 30/09/2026
3. Nhấn nút Apply
4. Xem cột Tỷ lệ True Positive của dòng AML-01 và AML-02</t>
        </is>
      </c>
      <c r="E34" s="178" t="inlineStr">
        <is>
          <t>- Tham số: Từ ngày = 01/09/2026; Đến ngày = 30/09/2026</t>
        </is>
      </c>
      <c r="F34" s="178" t="inlineStr">
        <is>
          <t>1. Báo cáo mở, hiển thị vùng tham số cùng nút Apply và Reset
2. Các tham số hiển thị đúng giá trị đã nhập
3. Báo cáo chạy xong, không hiển thị thông báo lỗi
4. AML-01 = 3/4 = 75,00%; AML-02 = 0/4 = 0,00%</t>
        </is>
      </c>
      <c r="G34" s="178" t="inlineStr">
        <is>
          <t>SIT</t>
        </is>
      </c>
      <c r="H34" s="178" t="inlineStr">
        <is>
          <t>High</t>
        </is>
      </c>
      <c r="I34" s="178" t="inlineStr">
        <is>
          <t>Manual</t>
        </is>
      </c>
      <c r="J34" s="178" t="inlineStr">
        <is>
          <t>Untested</t>
        </is>
      </c>
      <c r="K34" s="178" t="inlineStr">
        <is>
          <t>Untested</t>
        </is>
      </c>
      <c r="L34" s="178" t="inlineStr">
        <is>
          <t>Untested</t>
        </is>
      </c>
      <c r="M34" s="77" t="n"/>
      <c r="N34" s="178" t="inlineStr">
        <is>
          <t>Q8</t>
        </is>
      </c>
    </row>
    <row r="35" outlineLevel="2" ht="156" customHeight="1">
      <c r="A35" s="178" t="inlineStr">
        <is>
          <t>MSB_TM-RP_TC_048</t>
        </is>
      </c>
      <c r="B35" s="178" t="inlineStr">
        <is>
          <t>Kiểm tra làm tròn đúng 2 chữ số thập phân với tỷ lệ chia không hết của kịch bản AML-08</t>
        </is>
      </c>
      <c r="C35"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AML-08 có 3 event: E11 (N), E13 (Y), E16 (N)</t>
        </is>
      </c>
      <c r="D35" s="178" t="inlineStr">
        <is>
          <t>1. Mở báo cáo "Báo cáo đánh giá hiệu quả của kịch bản quét sàng lọc giao dịch của khách hàng" (Report TM_02) trên OAS
2. Nhập tham số: Từ ngày = 01/09/2026; Đến ngày = 30/09/2026
3. Nhấn nút Apply
4. Xem 2 cột tỷ lệ của dòng AML-08</t>
        </is>
      </c>
      <c r="E35" s="178" t="inlineStr">
        <is>
          <t>- Tham số: Từ ngày = 01/09/2026; Đến ngày = 30/09/2026
- Event: E11, E13, E16</t>
        </is>
      </c>
      <c r="F35" s="178" t="inlineStr">
        <is>
          <t>1. Báo cáo mở, hiển thị vùng tham số cùng nút Apply và Reset
2. Các tham số hiển thị đúng giá trị đã nhập
3. Báo cáo chạy xong, không hiển thị thông báo lỗi
4. Tỷ lệ False Positive = 66,67%; Tỷ lệ True Positive = 33,33%</t>
        </is>
      </c>
      <c r="G35" s="178" t="inlineStr">
        <is>
          <t>SIT</t>
        </is>
      </c>
      <c r="H35" s="178" t="inlineStr">
        <is>
          <t>Medium</t>
        </is>
      </c>
      <c r="I35" s="178" t="inlineStr">
        <is>
          <t>Manual</t>
        </is>
      </c>
      <c r="J35" s="178" t="inlineStr">
        <is>
          <t>Untested</t>
        </is>
      </c>
      <c r="K35" s="178" t="inlineStr">
        <is>
          <t>Untested</t>
        </is>
      </c>
      <c r="L35" s="178" t="inlineStr">
        <is>
          <t>Untested</t>
        </is>
      </c>
      <c r="M35" s="77" t="n"/>
      <c r="N35" s="178" t="inlineStr">
        <is>
          <t>Q8</t>
        </is>
      </c>
    </row>
    <row r="36" outlineLevel="2" ht="156" customHeight="1">
      <c r="A36" s="178" t="inlineStr">
        <is>
          <t>MSB_TM-RP_TC_049</t>
        </is>
      </c>
      <c r="B36" s="178" t="inlineStr">
        <is>
          <t>Kiểm tra tổng False Positive và True Positive bằng Số lượng cảnh báo xử lý trên mọi dòng</t>
        </is>
      </c>
      <c r="C36"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6" s="178" t="inlineStr">
        <is>
          <t>1. Mở báo cáo "Báo cáo đánh giá hiệu quả của kịch bản quét sàng lọc giao dịch của khách hàng" (Report TM_02) trên OAS
2. Nhập tham số: Từ ngày = 01/09/2026; Đến ngày = 30/09/2026
3. Nhấn nút Apply
4. Với từng dòng, cộng cột False Positive và True Positive rồi so với cột Số lượng cảnh báo xử lý</t>
        </is>
      </c>
      <c r="E36" s="178" t="inlineStr">
        <is>
          <t>- Tham số: Từ ngày = 01/09/2026; Đến ngày = 30/09/2026</t>
        </is>
      </c>
      <c r="F36" s="178" t="inlineStr">
        <is>
          <t>1. Báo cáo mở, hiển thị vùng tham số cùng nút Apply và Reset
2. Các tham số hiển thị đúng giá trị đã nhập
3. Báo cáo chạy xong, không hiển thị thông báo lỗi
4. Cả 5 dòng: False Positive + True Positive = Số lượng cảnh báo xử lý</t>
        </is>
      </c>
      <c r="G36" s="178" t="inlineStr">
        <is>
          <t>SIT</t>
        </is>
      </c>
      <c r="H36" s="178" t="inlineStr">
        <is>
          <t>Medium</t>
        </is>
      </c>
      <c r="I36" s="178" t="inlineStr">
        <is>
          <t>Manual</t>
        </is>
      </c>
      <c r="J36" s="178" t="inlineStr">
        <is>
          <t>Untested</t>
        </is>
      </c>
      <c r="K36" s="178" t="inlineStr">
        <is>
          <t>Untested</t>
        </is>
      </c>
      <c r="L36" s="178" t="inlineStr">
        <is>
          <t>Untested</t>
        </is>
      </c>
      <c r="M36" s="77" t="n"/>
      <c r="N36" s="77" t="n"/>
    </row>
    <row r="37" outlineLevel="2" ht="156" customHeight="1">
      <c r="A37" s="178" t="inlineStr">
        <is>
          <t>MSB_TM-RP_TC_050</t>
        </is>
      </c>
      <c r="B37" s="178" t="inlineStr">
        <is>
          <t>Kiểm tra không lỗi chia cho 0 với kịch bản chỉ có event chưa đánh giá AML-05</t>
        </is>
      </c>
      <c r="C37"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AML-05 có 2 event đều P (E14, E15)</t>
        </is>
      </c>
      <c r="D37" s="178" t="inlineStr">
        <is>
          <t>1. Mở báo cáo "Báo cáo đánh giá hiệu quả của kịch bản quét sàng lọc giao dịch của khách hàng" (Report TM_02) trên OAS
2. Nhập tham số: Từ ngày = 01/09/2026; Đến ngày = 30/09/2026
3. Nhấn nút Apply
4. Xem dòng AML-05</t>
        </is>
      </c>
      <c r="E37" s="178" t="inlineStr">
        <is>
          <t>- Tham số: Từ ngày = 01/09/2026; Đến ngày = 30/09/2026
- Event: E14, E15</t>
        </is>
      </c>
      <c r="F37" s="178" t="inlineStr">
        <is>
          <t>1. Báo cáo mở, hiển thị vùng tham số cùng nút Apply và Reset
2. Các tham số hiển thị đúng giá trị đã nhập
3. Báo cáo chạy xong, không hiển thị thông báo lỗi
4. Dòng AML-05 hiển thị 0 | 0 | 0 | 0,00% | 0,00%, không hiện #DIV/0 hay lỗi</t>
        </is>
      </c>
      <c r="G37" s="178" t="inlineStr">
        <is>
          <t>SIT</t>
        </is>
      </c>
      <c r="H37" s="178" t="inlineStr">
        <is>
          <t>Medium</t>
        </is>
      </c>
      <c r="I37" s="178" t="inlineStr">
        <is>
          <t>Manual</t>
        </is>
      </c>
      <c r="J37" s="178" t="inlineStr">
        <is>
          <t>Untested</t>
        </is>
      </c>
      <c r="K37" s="178" t="inlineStr">
        <is>
          <t>Untested</t>
        </is>
      </c>
      <c r="L37" s="178" t="inlineStr">
        <is>
          <t>Untested</t>
        </is>
      </c>
      <c r="M37" s="77" t="n"/>
      <c r="N37" s="178" t="inlineStr">
        <is>
          <t>Q8</t>
        </is>
      </c>
    </row>
    <row r="38" outlineLevel="2" ht="156" customHeight="1">
      <c r="A38" s="178" t="inlineStr">
        <is>
          <t>MSB_TM-RP_TC_051</t>
        </is>
      </c>
      <c r="B38" s="178" t="inlineStr">
        <is>
          <t>Kiểm tra không hiển thị dòng kịch bản không phát sinh event trong kỳ báo cáo</t>
        </is>
      </c>
      <c r="C38"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kịch bản AML-03 đang hiệu lực nhưng không có event nào trong kỳ 09/2026</t>
        </is>
      </c>
      <c r="D38" s="178" t="inlineStr">
        <is>
          <t>1. Mở báo cáo "Báo cáo đánh giá hiệu quả của kịch bản quét sàng lọc giao dịch của khách hàng" (Report TM_02) trên OAS
2. Nhập tham số: Từ ngày = 01/09/2026; Đến ngày = 30/09/2026
3. Nhấn nút Apply
4. Tìm dòng AML-03</t>
        </is>
      </c>
      <c r="E38" s="178" t="inlineStr">
        <is>
          <t>- Tham số: Từ ngày = 01/09/2026; Đến ngày = 30/09/2026</t>
        </is>
      </c>
      <c r="F38" s="178" t="inlineStr">
        <is>
          <t>1. Báo cáo mở, hiển thị vùng tham số cùng nút Apply và Reset
2. Các tham số hiển thị đúng giá trị đã nhập
3. Báo cáo chạy xong, không hiển thị thông báo lỗi
4. Không có dòng AML-03 trên báo cáo</t>
        </is>
      </c>
      <c r="G38" s="178" t="inlineStr">
        <is>
          <t>SIT</t>
        </is>
      </c>
      <c r="H38" s="178" t="inlineStr">
        <is>
          <t>Medium</t>
        </is>
      </c>
      <c r="I38" s="178" t="inlineStr">
        <is>
          <t>Manual</t>
        </is>
      </c>
      <c r="J38" s="178" t="inlineStr">
        <is>
          <t>Untested</t>
        </is>
      </c>
      <c r="K38" s="178" t="inlineStr">
        <is>
          <t>Untested</t>
        </is>
      </c>
      <c r="L38" s="178" t="inlineStr">
        <is>
          <t>Untested</t>
        </is>
      </c>
      <c r="M38" s="77" t="n"/>
      <c r="N38" s="178" t="inlineStr">
        <is>
          <t>Q8</t>
        </is>
      </c>
    </row>
    <row r="39" outlineLevel="1" ht="20" customHeight="1">
      <c r="A39" s="176" t="inlineStr">
        <is>
          <t>— Tham số lọc &amp; biên kỳ</t>
        </is>
      </c>
      <c r="B39" s="177" t="n"/>
      <c r="C39" s="177" t="n"/>
      <c r="D39" s="177" t="n"/>
      <c r="E39" s="177" t="n"/>
      <c r="F39" s="177" t="n"/>
      <c r="G39" s="177" t="n"/>
      <c r="H39" s="177" t="n"/>
      <c r="I39" s="177" t="n"/>
      <c r="J39" s="177" t="n"/>
      <c r="K39" s="177" t="n"/>
      <c r="L39" s="177" t="n"/>
      <c r="M39" s="177" t="n"/>
      <c r="N39" s="177" t="n"/>
    </row>
    <row r="40" outlineLevel="2" ht="171" customHeight="1">
      <c r="A40" s="178" t="inlineStr">
        <is>
          <t>MSB_TM-RP_TC_052</t>
        </is>
      </c>
      <c r="B40" s="178" t="inlineStr">
        <is>
          <t>Kiểm tra lấy đúng event ngày 01/09/2026 và loại trừ event ngày 31/08/2026 ở biên đầu kỳ</t>
        </is>
      </c>
      <c r="C40"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E05 (AML-02, N) thuộc case ngày 01/09/2026; E07 (AML-01, Y) thuộc case ngày 31/08/2026</t>
        </is>
      </c>
      <c r="D40" s="178" t="inlineStr">
        <is>
          <t>1. Mở báo cáo "Báo cáo đánh giá hiệu quả của kịch bản quét sàng lọc giao dịch của khách hàng" (Report TM_02) trên OAS
2. Nhập tham số: Từ ngày = 01/09/2026; Đến ngày = 30/09/2026
3. Nhấn nút Apply
4. Xem dòng AML-02 và AML-01</t>
        </is>
      </c>
      <c r="E40" s="178" t="inlineStr">
        <is>
          <t>- Tham số: Từ ngày = 01/09/2026; Đến ngày = 30/09/2026
- Event: E05, E07</t>
        </is>
      </c>
      <c r="F40" s="178" t="inlineStr">
        <is>
          <t>1. Báo cáo mở, hiển thị vùng tham số cùng nút Apply và Reset
2. Các tham số hiển thị đúng giá trị đã nhập
3. Báo cáo chạy xong, không hiển thị thông báo lỗi
4. AML-02 có Số lượng cảnh báo xử lý = 4 (gồm E05); AML-01 có True Positive = 3 (không gồm E07)</t>
        </is>
      </c>
      <c r="G40" s="178" t="inlineStr">
        <is>
          <t>SIT</t>
        </is>
      </c>
      <c r="H40" s="178" t="inlineStr">
        <is>
          <t>Medium</t>
        </is>
      </c>
      <c r="I40" s="178" t="inlineStr">
        <is>
          <t>Manual</t>
        </is>
      </c>
      <c r="J40" s="178" t="inlineStr">
        <is>
          <t>Untested</t>
        </is>
      </c>
      <c r="K40" s="178" t="inlineStr">
        <is>
          <t>Untested</t>
        </is>
      </c>
      <c r="L40" s="178" t="inlineStr">
        <is>
          <t>Untested</t>
        </is>
      </c>
      <c r="M40" s="77" t="n"/>
      <c r="N40" s="178" t="inlineStr">
        <is>
          <t>Q9</t>
        </is>
      </c>
    </row>
    <row r="41" outlineLevel="2" ht="171" customHeight="1">
      <c r="A41" s="178" t="inlineStr">
        <is>
          <t>MSB_TM-RP_TC_053</t>
        </is>
      </c>
      <c r="B41" s="178" t="inlineStr">
        <is>
          <t>Kiểm tra lấy đúng event ngày 30/09/2026 và loại trừ event ngày 01/10/2026 ở biên cuối kỳ</t>
        </is>
      </c>
      <c r="C41"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E06 (AML-01, Y) thuộc case ngày 30/09/2026; E08 (AML-01, Y) thuộc case ngày 01/10/2026</t>
        </is>
      </c>
      <c r="D41" s="178" t="inlineStr">
        <is>
          <t>1. Mở báo cáo "Báo cáo đánh giá hiệu quả của kịch bản quét sàng lọc giao dịch của khách hàng" (Report TM_02) trên OAS
2. Nhập tham số: Từ ngày = 01/09/2026; Đến ngày = 30/09/2026
3. Nhấn nút Apply
4. Xem dòng AML-01</t>
        </is>
      </c>
      <c r="E41" s="178" t="inlineStr">
        <is>
          <t>- Tham số: Từ ngày = 01/09/2026; Đến ngày = 30/09/2026
- Event: E06, E08</t>
        </is>
      </c>
      <c r="F41" s="178" t="inlineStr">
        <is>
          <t>1. Báo cáo mở, hiển thị vùng tham số cùng nút Apply và Reset
2. Các tham số hiển thị đúng giá trị đã nhập
3. Báo cáo chạy xong, không hiển thị thông báo lỗi
4. True Positive = 3 (gồm E06, không gồm E08)</t>
        </is>
      </c>
      <c r="G41" s="178" t="inlineStr">
        <is>
          <t>SIT</t>
        </is>
      </c>
      <c r="H41" s="178" t="inlineStr">
        <is>
          <t>Medium</t>
        </is>
      </c>
      <c r="I41" s="178" t="inlineStr">
        <is>
          <t>Manual</t>
        </is>
      </c>
      <c r="J41" s="178" t="inlineStr">
        <is>
          <t>Untested</t>
        </is>
      </c>
      <c r="K41" s="178" t="inlineStr">
        <is>
          <t>Untested</t>
        </is>
      </c>
      <c r="L41" s="178" t="inlineStr">
        <is>
          <t>Untested</t>
        </is>
      </c>
      <c r="M41" s="77" t="n"/>
      <c r="N41" s="178" t="inlineStr">
        <is>
          <t>Q9</t>
        </is>
      </c>
    </row>
    <row r="42" outlineLevel="2" ht="156" customHeight="1">
      <c r="A42" s="178" t="inlineStr">
        <is>
          <t>MSB_TM-RP_TC_054</t>
        </is>
      </c>
      <c r="B42" s="178" t="inlineStr">
        <is>
          <t>Kiểm tra lọc thành công báo cáo TM_02 với Mã kịch bản chọn 1 giá trị</t>
        </is>
      </c>
      <c r="C42"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2" s="178" t="inlineStr">
        <is>
          <t>1. Mở báo cáo "Báo cáo đánh giá hiệu quả của kịch bản quét sàng lọc giao dịch của khách hàng" (Report TM_02) trên OAS
2. Nhập tham số: Từ ngày = 01/09/2026; Đến ngày = 30/09/2026; Mã kịch bản = AML-01
3. Nhấn nút Apply
4. Xem bảng kết quả</t>
        </is>
      </c>
      <c r="E42" s="178" t="inlineStr">
        <is>
          <t>- Tham số: Từ ngày = 01/09/2026; Đến ngày = 30/09/2026; Mã kịch bản = AML-01</t>
        </is>
      </c>
      <c r="F42" s="178" t="inlineStr">
        <is>
          <t>1. Báo cáo mở, hiển thị vùng tham số cùng nút Apply và Reset
2. Các tham số hiển thị đúng giá trị đã nhập
3. Báo cáo chạy xong, không hiển thị thông báo lỗi
4. Chỉ có 1 dòng AML-01 | 4 | 1 | 3 | 25,00% | 75,00%</t>
        </is>
      </c>
      <c r="G42" s="178" t="inlineStr">
        <is>
          <t>SIT</t>
        </is>
      </c>
      <c r="H42" s="178" t="inlineStr">
        <is>
          <t>High</t>
        </is>
      </c>
      <c r="I42" s="178" t="inlineStr">
        <is>
          <t>Manual</t>
        </is>
      </c>
      <c r="J42" s="178" t="inlineStr">
        <is>
          <t>Untested</t>
        </is>
      </c>
      <c r="K42" s="178" t="inlineStr">
        <is>
          <t>Untested</t>
        </is>
      </c>
      <c r="L42" s="178" t="inlineStr">
        <is>
          <t>Untested</t>
        </is>
      </c>
      <c r="M42" s="77" t="n"/>
      <c r="N42" s="77" t="n"/>
    </row>
    <row r="43" outlineLevel="2" ht="156" customHeight="1">
      <c r="A43" s="178" t="inlineStr">
        <is>
          <t>MSB_TM-RP_TC_055</t>
        </is>
      </c>
      <c r="B43" s="178" t="inlineStr">
        <is>
          <t>Kiểm tra lọc thành công báo cáo TM_02 với Mã kịch bản chọn nhiều giá trị</t>
        </is>
      </c>
      <c r="C43"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3" s="178" t="inlineStr">
        <is>
          <t>1. Mở báo cáo "Báo cáo đánh giá hiệu quả của kịch bản quét sàng lọc giao dịch của khách hàng" (Report TM_02) trên OAS
2. Nhập tham số: Từ ngày = 01/09/2026; Đến ngày = 30/09/2026; Mã kịch bản = AML-01, AML-02
3. Nhấn nút Apply
4. Xem bảng kết quả</t>
        </is>
      </c>
      <c r="E43" s="178" t="inlineStr">
        <is>
          <t>- Tham số: Từ ngày = 01/09/2026; Đến ngày = 30/09/2026; Mã kịch bản = AML-01, AML-02</t>
        </is>
      </c>
      <c r="F43" s="178" t="inlineStr">
        <is>
          <t>1. Báo cáo mở, hiển thị vùng tham số cùng nút Apply và Reset
2. Các tham số hiển thị đúng giá trị đã nhập
3. Báo cáo chạy xong, không hiển thị thông báo lỗi
4. Có đúng 2 dòng AML-01 và AML-02 với số liệu như TC hiển thị kết quả</t>
        </is>
      </c>
      <c r="G43" s="178" t="inlineStr">
        <is>
          <t>SIT</t>
        </is>
      </c>
      <c r="H43" s="178" t="inlineStr">
        <is>
          <t>High</t>
        </is>
      </c>
      <c r="I43" s="178" t="inlineStr">
        <is>
          <t>Manual</t>
        </is>
      </c>
      <c r="J43" s="178" t="inlineStr">
        <is>
          <t>Untested</t>
        </is>
      </c>
      <c r="K43" s="178" t="inlineStr">
        <is>
          <t>Untested</t>
        </is>
      </c>
      <c r="L43" s="178" t="inlineStr">
        <is>
          <t>Untested</t>
        </is>
      </c>
      <c r="M43" s="77" t="n"/>
      <c r="N43" s="77" t="n"/>
    </row>
    <row r="44" outlineLevel="2" ht="156" customHeight="1">
      <c r="A44" s="178" t="inlineStr">
        <is>
          <t>MSB_TM-RP_TC_056</t>
        </is>
      </c>
      <c r="B44" s="178" t="inlineStr">
        <is>
          <t>Kiểm tra tự hiển thị đúng Tên kịch bản khi chọn Mã kịch bản AML-01</t>
        </is>
      </c>
      <c r="C44"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AML-01 đến AML-14 đã khai báo</t>
        </is>
      </c>
      <c r="D44" s="178" t="inlineStr">
        <is>
          <t>1. Chọn Mã kịch bản = AML-01
2. Mở dropdown Tên kịch bản</t>
        </is>
      </c>
      <c r="E44" s="178" t="inlineStr">
        <is>
          <t>- Mã kịch bản: AML-01</t>
        </is>
      </c>
      <c r="F44" s="178" t="inlineStr">
        <is>
          <t>1. Ô Mã kịch bản hiển thị AML-01
2. Tên kịch bản chỉ còn 'Giao dịch có rủi ro cao: Khu vực địa lý có rủi ro cao'</t>
        </is>
      </c>
      <c r="G44" s="178" t="inlineStr">
        <is>
          <t>SIT</t>
        </is>
      </c>
      <c r="H44" s="178" t="inlineStr">
        <is>
          <t>Medium</t>
        </is>
      </c>
      <c r="I44" s="178" t="inlineStr">
        <is>
          <t>Manual</t>
        </is>
      </c>
      <c r="J44" s="178" t="inlineStr">
        <is>
          <t>Untested</t>
        </is>
      </c>
      <c r="K44" s="178" t="inlineStr">
        <is>
          <t>Untested</t>
        </is>
      </c>
      <c r="L44" s="178" t="inlineStr">
        <is>
          <t>Untested</t>
        </is>
      </c>
      <c r="M44" s="77" t="n"/>
      <c r="N44" s="178" t="inlineStr">
        <is>
          <t>Q10</t>
        </is>
      </c>
    </row>
    <row r="45" outlineLevel="2" ht="156" customHeight="1">
      <c r="A45" s="178" t="inlineStr">
        <is>
          <t>MSB_TM-RP_TC_057</t>
        </is>
      </c>
      <c r="B45" s="178" t="inlineStr">
        <is>
          <t>Kiểm tra lọc thành công báo cáo TM_02 khi chỉ chọn Tên kịch bản</t>
        </is>
      </c>
      <c r="C45"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AML-07 Mô hình Hub - Spoke có E02 (N), E17 (Y)</t>
        </is>
      </c>
      <c r="D45" s="178" t="inlineStr">
        <is>
          <t>1. Mở báo cáo "Báo cáo đánh giá hiệu quả của kịch bản quét sàng lọc giao dịch của khách hàng" (Report TM_02) trên OAS
2. Nhập tham số: Từ ngày = 01/09/2026; Đến ngày = 30/09/2026; Tên kịch bản = Mô hình Hub - Spoke
3. Nhấn nút Apply
4. Xem bảng kết quả</t>
        </is>
      </c>
      <c r="E45" s="178" t="inlineStr">
        <is>
          <t>- Tham số: Từ ngày = 01/09/2026; Đến ngày = 30/09/2026; Tên kịch bản = Mô hình Hub - Spoke</t>
        </is>
      </c>
      <c r="F45" s="178" t="inlineStr">
        <is>
          <t>1. Báo cáo mở, hiển thị vùng tham số cùng nút Apply và Reset
2. Các tham số hiển thị đúng giá trị đã nhập
3. Báo cáo chạy xong, không hiển thị thông báo lỗi
4. Chỉ có 1 dòng AML-07 | 2 | 1 | 1 | 50,00% | 50,00%</t>
        </is>
      </c>
      <c r="G45" s="178" t="inlineStr">
        <is>
          <t>SIT</t>
        </is>
      </c>
      <c r="H45" s="178" t="inlineStr">
        <is>
          <t>Medium</t>
        </is>
      </c>
      <c r="I45" s="178" t="inlineStr">
        <is>
          <t>Manual</t>
        </is>
      </c>
      <c r="J45" s="178" t="inlineStr">
        <is>
          <t>Untested</t>
        </is>
      </c>
      <c r="K45" s="178" t="inlineStr">
        <is>
          <t>Untested</t>
        </is>
      </c>
      <c r="L45" s="178" t="inlineStr">
        <is>
          <t>Untested</t>
        </is>
      </c>
      <c r="M45" s="77" t="n"/>
      <c r="N45" s="178" t="inlineStr">
        <is>
          <t>Q10</t>
        </is>
      </c>
    </row>
    <row r="46" outlineLevel="1" ht="20" customHeight="1">
      <c r="A46" s="176" t="inlineStr">
        <is>
          <t>— Trích xuất báo cáo</t>
        </is>
      </c>
      <c r="B46" s="177" t="n"/>
      <c r="C46" s="177" t="n"/>
      <c r="D46" s="177" t="n"/>
      <c r="E46" s="177" t="n"/>
      <c r="F46" s="177" t="n"/>
      <c r="G46" s="177" t="n"/>
      <c r="H46" s="177" t="n"/>
      <c r="I46" s="177" t="n"/>
      <c r="J46" s="177" t="n"/>
      <c r="K46" s="177" t="n"/>
      <c r="L46" s="177" t="n"/>
      <c r="M46" s="177" t="n"/>
      <c r="N46" s="177" t="n"/>
    </row>
    <row r="47" outlineLevel="2" ht="201" customHeight="1">
      <c r="A47" s="178" t="inlineStr">
        <is>
          <t>MSB_TM-RP_TC_058</t>
        </is>
      </c>
      <c r="B47" s="178" t="inlineStr">
        <is>
          <t>Kiểm tra xuất thành công báo cáo TM_02 ra file Excel với dữ liệu kỳ 09/2026</t>
        </is>
      </c>
      <c r="C47"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7" s="178" t="inlineStr">
        <is>
          <t>1. Mở báo cáo "Báo cáo đánh giá hiệu quả của kịch bản quét sàng lọc giao dịch của khách hàng" (Report TM_02) trên OAS
2. Nhập tham số: Từ ngày = 01/09/2026; Đến ngày = 30/09/2026
3. Nhấn nút Apply
4. Export &gt; Formatted &gt; Excel
5. Mở file Excel vừa tải</t>
        </is>
      </c>
      <c r="E47" s="178" t="inlineStr">
        <is>
          <t>- Tham số: Từ ngày = 01/09/2026; Đến ngày = 30/09/2026</t>
        </is>
      </c>
      <c r="F47" s="178" t="inlineStr">
        <is>
          <t>1. Báo cáo mở, hiển thị vùng tham số cùng nút Apply và Reset
2. Các tham số hiển thị đúng giá trị đã nhập
3. Báo cáo chạy xong, không hiển thị thông báo lỗi
4. Tải về 1 file .xlsx
5. File có 5 dòng số liệu khớp màn hình, tỷ lệ giữ định dạng %, bố cục khớp template sheet Report TM_02</t>
        </is>
      </c>
      <c r="G47" s="178" t="inlineStr">
        <is>
          <t>SIT</t>
        </is>
      </c>
      <c r="H47" s="178" t="inlineStr">
        <is>
          <t>High</t>
        </is>
      </c>
      <c r="I47" s="178" t="inlineStr">
        <is>
          <t>Manual</t>
        </is>
      </c>
      <c r="J47" s="178" t="inlineStr">
        <is>
          <t>Untested</t>
        </is>
      </c>
      <c r="K47" s="178" t="inlineStr">
        <is>
          <t>Untested</t>
        </is>
      </c>
      <c r="L47" s="178" t="inlineStr">
        <is>
          <t>Untested</t>
        </is>
      </c>
      <c r="M47" s="77" t="n"/>
      <c r="N47" s="77" t="n"/>
    </row>
    <row r="48" outlineLevel="2" ht="186" customHeight="1">
      <c r="A48" s="178" t="inlineStr">
        <is>
          <t>MSB_TM-RP_TC_059</t>
        </is>
      </c>
      <c r="B48" s="178" t="inlineStr">
        <is>
          <t>Kiểm tra xuất thành công báo cáo TM_02 ra file PDF với dữ liệu kỳ 09/2026</t>
        </is>
      </c>
      <c r="C48"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8" s="178" t="inlineStr">
        <is>
          <t>1. Mở báo cáo "Báo cáo đánh giá hiệu quả của kịch bản quét sàng lọc giao dịch của khách hàng" (Report TM_02) trên OAS
2. Nhập tham số: Từ ngày = 01/09/2026; Đến ngày = 30/09/2026
3. Nhấn nút Apply
4. Export &gt; Formatted &gt; PDF
5. Mở file PDF vừa tải</t>
        </is>
      </c>
      <c r="E48" s="178" t="inlineStr">
        <is>
          <t>- Tham số: Từ ngày = 01/09/2026; Đến ngày = 30/09/2026</t>
        </is>
      </c>
      <c r="F48" s="178" t="inlineStr">
        <is>
          <t>1. Báo cáo mở, hiển thị vùng tham số cùng nút Apply và Reset
2. Các tham số hiển thị đúng giá trị đã nhập
3. Báo cáo chạy xong, không hiển thị thông báo lỗi
4. Tải về 1 file .pdf
5. File có 5 dòng số liệu khớp màn hình, tiếng Việt hiển thị đúng font</t>
        </is>
      </c>
      <c r="G48" s="178" t="inlineStr">
        <is>
          <t>SIT</t>
        </is>
      </c>
      <c r="H48" s="178" t="inlineStr">
        <is>
          <t>High</t>
        </is>
      </c>
      <c r="I48" s="178" t="inlineStr">
        <is>
          <t>Manual</t>
        </is>
      </c>
      <c r="J48" s="178" t="inlineStr">
        <is>
          <t>Untested</t>
        </is>
      </c>
      <c r="K48" s="178" t="inlineStr">
        <is>
          <t>Untested</t>
        </is>
      </c>
      <c r="L48" s="178" t="inlineStr">
        <is>
          <t>Untested</t>
        </is>
      </c>
      <c r="M48" s="77" t="n"/>
      <c r="N48" s="77" t="n"/>
    </row>
    <row r="49" outlineLevel="1" ht="20" customHeight="1">
      <c r="A49" s="176" t="inlineStr">
        <is>
          <t>— Kết quả theo số lượng bản ghi (không có / ít / nhiều)</t>
        </is>
      </c>
      <c r="B49" s="177" t="n"/>
      <c r="C49" s="177" t="n"/>
      <c r="D49" s="177" t="n"/>
      <c r="E49" s="177" t="n"/>
      <c r="F49" s="177" t="n"/>
      <c r="G49" s="177" t="n"/>
      <c r="H49" s="177" t="n"/>
      <c r="I49" s="177" t="n"/>
      <c r="J49" s="177" t="n"/>
      <c r="K49" s="177" t="n"/>
      <c r="L49" s="177" t="n"/>
      <c r="M49" s="177" t="n"/>
      <c r="N49" s="177" t="n"/>
    </row>
    <row r="50" outlineLevel="2" ht="156" customHeight="1">
      <c r="A50" s="178" t="inlineStr">
        <is>
          <t>MSB_TM-RP_TC_060</t>
        </is>
      </c>
      <c r="B50" s="178" t="inlineStr">
        <is>
          <t>Kiểm tra hiển thị báo cáo TM_02 rỗng không lỗi với kỳ không có event</t>
        </is>
      </c>
      <c r="C50" s="178" t="inlineStr">
        <is>
          <t>- User: Đăng nhập tm_aml_maker (AML Maker – HO, HO0000001)
- Màn hình: trang chủ Oracle Analytics Server (OAS) môi trường SIT, chưa mở báo cáo
- Dữ liệu: tháng 01/2026 không có event nào</t>
        </is>
      </c>
      <c r="D50" s="178" t="inlineStr">
        <is>
          <t>1. Mở báo cáo "Báo cáo đánh giá hiệu quả của kịch bản quét sàng lọc giao dịch của khách hàng" (Report TM_02) trên OAS
2. Nhập tham số: Từ ngày = 01/01/2026; Đến ngày = 31/01/2026
3. Nhấn nút Apply
4. Xem vùng kết quả</t>
        </is>
      </c>
      <c r="E50" s="178" t="inlineStr">
        <is>
          <t>- Tham số: Từ ngày = 01/01/2026; Đến ngày = 31/01/2026</t>
        </is>
      </c>
      <c r="F50" s="178" t="inlineStr">
        <is>
          <t>1. Báo cáo mở, hiển thị vùng tham số cùng nút Apply và Reset
2. Các tham số hiển thị đúng giá trị đã nhập
3. Báo cáo chạy xong, không hiển thị thông báo lỗi
4. Báo cáo không có dòng dữ liệu, không phát sinh lỗi</t>
        </is>
      </c>
      <c r="G50" s="178" t="inlineStr">
        <is>
          <t>SIT</t>
        </is>
      </c>
      <c r="H50" s="178" t="inlineStr">
        <is>
          <t>Medium</t>
        </is>
      </c>
      <c r="I50" s="178" t="inlineStr">
        <is>
          <t>Manual</t>
        </is>
      </c>
      <c r="J50" s="178" t="inlineStr">
        <is>
          <t>Untested</t>
        </is>
      </c>
      <c r="K50" s="178" t="inlineStr">
        <is>
          <t>Untested</t>
        </is>
      </c>
      <c r="L50" s="178" t="inlineStr">
        <is>
          <t>Untested</t>
        </is>
      </c>
      <c r="M50" s="77" t="n"/>
      <c r="N50" s="77" t="n"/>
    </row>
    <row r="51" ht="20" customHeight="1">
      <c r="A51" s="175" t="inlineStr">
        <is>
          <t>NHÓM VALIDATE (Risk Medium)</t>
        </is>
      </c>
      <c r="B51" s="95" t="n"/>
      <c r="C51" s="95" t="n"/>
      <c r="D51" s="95" t="n"/>
      <c r="E51" s="95" t="n"/>
      <c r="F51" s="95" t="n"/>
      <c r="G51" s="95" t="n"/>
      <c r="H51" s="95" t="n"/>
      <c r="I51" s="95" t="n"/>
      <c r="J51" s="95" t="n"/>
      <c r="K51" s="95" t="n"/>
      <c r="L51" s="95" t="n"/>
      <c r="M51" s="95" t="n"/>
      <c r="N51" s="95" t="n"/>
    </row>
    <row r="52" outlineLevel="1" ht="20" customHeight="1">
      <c r="A52" s="176" t="inlineStr">
        <is>
          <t>— Trường: Từ ngày</t>
        </is>
      </c>
      <c r="B52" s="177" t="n"/>
      <c r="C52" s="177" t="n"/>
      <c r="D52" s="177" t="n"/>
      <c r="E52" s="177" t="n"/>
      <c r="F52" s="177" t="n"/>
      <c r="G52" s="177" t="n"/>
      <c r="H52" s="177" t="n"/>
      <c r="I52" s="177" t="n"/>
      <c r="J52" s="177" t="n"/>
      <c r="K52" s="177" t="n"/>
      <c r="L52" s="177" t="n"/>
      <c r="M52" s="177" t="n"/>
      <c r="N52" s="177" t="n"/>
    </row>
    <row r="53" outlineLevel="2" ht="156" customHeight="1">
      <c r="A53" s="178" t="inlineStr">
        <is>
          <t>MSB_TM-RP_TC_061</t>
        </is>
      </c>
      <c r="B53" s="178" t="inlineStr">
        <is>
          <t>Kiểm tra chặn chạy báo cáo TM_02 khi bỏ trống tham số Từ ngày</t>
        </is>
      </c>
      <c r="C53"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AML-01 đến AML-14 đã khai báo</t>
        </is>
      </c>
      <c r="D53" s="178" t="inlineStr">
        <is>
          <t>1. Để trống Từ ngày, chọn Đến ngày = 30/09/2026
2. Quan sát nút Apply</t>
        </is>
      </c>
      <c r="E53" s="178" t="inlineStr">
        <is>
          <t>- Tham số: Từ ngày = (trống); Đến ngày = 30/09/2026</t>
        </is>
      </c>
      <c r="F53" s="178" t="inlineStr">
        <is>
          <t>1. Từ ngày trống, Đến ngày = 30/09/2026
2. Không hiển thị nút Apply, báo cáo không chạy</t>
        </is>
      </c>
      <c r="G53" s="178" t="inlineStr">
        <is>
          <t>SIT</t>
        </is>
      </c>
      <c r="H53" s="178" t="inlineStr">
        <is>
          <t>High</t>
        </is>
      </c>
      <c r="I53" s="178" t="inlineStr">
        <is>
          <t>Manual</t>
        </is>
      </c>
      <c r="J53" s="178" t="inlineStr">
        <is>
          <t>Untested</t>
        </is>
      </c>
      <c r="K53" s="178" t="inlineStr">
        <is>
          <t>Untested</t>
        </is>
      </c>
      <c r="L53" s="178" t="inlineStr">
        <is>
          <t>Untested</t>
        </is>
      </c>
      <c r="M53" s="77" t="n"/>
      <c r="N53" s="178" t="inlineStr">
        <is>
          <t>Q16</t>
        </is>
      </c>
    </row>
    <row r="54" outlineLevel="2" ht="141" customHeight="1">
      <c r="A54" s="178" t="inlineStr">
        <is>
          <t>MSB_TM-RP_TC_062</t>
        </is>
      </c>
      <c r="B54" s="178" t="inlineStr">
        <is>
          <t>Kiểm tra validate thất bại khi Từ ngày lớn hơn Đến ngày</t>
        </is>
      </c>
      <c r="C54"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4" s="178" t="inlineStr">
        <is>
          <t>1. Chọn Từ ngày = 30/09/2026, Đến ngày = 01/09/2026
2. Nhấn nút Apply</t>
        </is>
      </c>
      <c r="E54" s="178" t="inlineStr">
        <is>
          <t>- Tham số: Từ ngày = 30/09/2026; Đến ngày = 01/09/2026</t>
        </is>
      </c>
      <c r="F54" s="178" t="inlineStr">
        <is>
          <t>1. Các tham số hiển thị đúng giá trị đã chọn
2. Hệ thống báo lỗi khoảng thời gian không hợp lệ, không trả kết quả</t>
        </is>
      </c>
      <c r="G54" s="178" t="inlineStr">
        <is>
          <t>SIT</t>
        </is>
      </c>
      <c r="H54" s="178" t="inlineStr">
        <is>
          <t>High</t>
        </is>
      </c>
      <c r="I54" s="178" t="inlineStr">
        <is>
          <t>Manual</t>
        </is>
      </c>
      <c r="J54" s="178" t="inlineStr">
        <is>
          <t>Untested</t>
        </is>
      </c>
      <c r="K54" s="178" t="inlineStr">
        <is>
          <t>Untested</t>
        </is>
      </c>
      <c r="L54" s="178" t="inlineStr">
        <is>
          <t>Untested</t>
        </is>
      </c>
      <c r="M54" s="77" t="n"/>
      <c r="N54" s="178" t="inlineStr">
        <is>
          <t>Q16</t>
        </is>
      </c>
    </row>
    <row r="55" outlineLevel="2" ht="141" customHeight="1">
      <c r="A55" s="178" t="inlineStr">
        <is>
          <t>MSB_TM-RP_TC_063</t>
        </is>
      </c>
      <c r="B55" s="178" t="inlineStr">
        <is>
          <t>Kiểm tra validate thất bại khi nhập tay Từ ngày không tồn tại 31/02/2026</t>
        </is>
      </c>
      <c r="C55"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5" s="178" t="inlineStr">
        <is>
          <t>1. Gõ 31/02/2026 vào ô Từ ngày, chọn Đến ngày = 30/09/2026
2. Nhấn nút Apply</t>
        </is>
      </c>
      <c r="E55" s="178" t="inlineStr">
        <is>
          <t>- Tham số: Từ ngày = 31/02/2026 (gõ tay); Đến ngày = 30/09/2026</t>
        </is>
      </c>
      <c r="F55" s="178" t="inlineStr">
        <is>
          <t>1. Ô Từ ngày hiển thị cảnh báo ngày không hợp lệ
2. Báo cáo không chạy với giá trị 31/02/2026</t>
        </is>
      </c>
      <c r="G55" s="178" t="inlineStr">
        <is>
          <t>SIT</t>
        </is>
      </c>
      <c r="H55" s="178" t="inlineStr">
        <is>
          <t>Medium</t>
        </is>
      </c>
      <c r="I55" s="178" t="inlineStr">
        <is>
          <t>Manual</t>
        </is>
      </c>
      <c r="J55" s="178" t="inlineStr">
        <is>
          <t>Untested</t>
        </is>
      </c>
      <c r="K55" s="178" t="inlineStr">
        <is>
          <t>Untested</t>
        </is>
      </c>
      <c r="L55" s="178" t="inlineStr">
        <is>
          <t>Untested</t>
        </is>
      </c>
      <c r="M55" s="77" t="n"/>
      <c r="N55" s="178" t="inlineStr">
        <is>
          <t>Q16</t>
        </is>
      </c>
    </row>
    <row r="56" outlineLevel="1" ht="20" customHeight="1">
      <c r="A56" s="176" t="inlineStr">
        <is>
          <t>— Trường: Đến ngày</t>
        </is>
      </c>
      <c r="B56" s="177" t="n"/>
      <c r="C56" s="177" t="n"/>
      <c r="D56" s="177" t="n"/>
      <c r="E56" s="177" t="n"/>
      <c r="F56" s="177" t="n"/>
      <c r="G56" s="177" t="n"/>
      <c r="H56" s="177" t="n"/>
      <c r="I56" s="177" t="n"/>
      <c r="J56" s="177" t="n"/>
      <c r="K56" s="177" t="n"/>
      <c r="L56" s="177" t="n"/>
      <c r="M56" s="177" t="n"/>
      <c r="N56" s="177" t="n"/>
    </row>
    <row r="57" outlineLevel="2" ht="141" customHeight="1">
      <c r="A57" s="178" t="inlineStr">
        <is>
          <t>MSB_TM-RP_TC_064</t>
        </is>
      </c>
      <c r="B57" s="178" t="inlineStr">
        <is>
          <t>Kiểm tra chặn chạy báo cáo TM_02 khi bỏ trống tham số Đến ngày</t>
        </is>
      </c>
      <c r="C57"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7" s="178" t="inlineStr">
        <is>
          <t>1. Chọn Từ ngày = 01/09/2026, để trống Đến ngày
2. Quan sát nút Apply</t>
        </is>
      </c>
      <c r="E57" s="178" t="inlineStr">
        <is>
          <t>- Tham số: Từ ngày = 01/09/2026; Đến ngày = (trống)</t>
        </is>
      </c>
      <c r="F57" s="178" t="inlineStr">
        <is>
          <t>1. Từ ngày = 01/09/2026, Đến ngày trống
2. Không hiển thị nút Apply, báo cáo không chạy</t>
        </is>
      </c>
      <c r="G57" s="178" t="inlineStr">
        <is>
          <t>SIT</t>
        </is>
      </c>
      <c r="H57" s="178" t="inlineStr">
        <is>
          <t>High</t>
        </is>
      </c>
      <c r="I57" s="178" t="inlineStr">
        <is>
          <t>Manual</t>
        </is>
      </c>
      <c r="J57" s="178" t="inlineStr">
        <is>
          <t>Untested</t>
        </is>
      </c>
      <c r="K57" s="178" t="inlineStr">
        <is>
          <t>Untested</t>
        </is>
      </c>
      <c r="L57" s="178" t="inlineStr">
        <is>
          <t>Untested</t>
        </is>
      </c>
      <c r="M57" s="77" t="n"/>
      <c r="N57" s="178" t="inlineStr">
        <is>
          <t>Q16</t>
        </is>
      </c>
    </row>
    <row r="58" outlineLevel="2" ht="141" customHeight="1">
      <c r="A58" s="178" t="inlineStr">
        <is>
          <t>MSB_TM-RP_TC_065</t>
        </is>
      </c>
      <c r="B58" s="178" t="inlineStr">
        <is>
          <t>Kiểm tra validate thất bại khi nhập tay Đến ngày sai định dạng 2026-09-30</t>
        </is>
      </c>
      <c r="C58"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8" s="178" t="inlineStr">
        <is>
          <t>1. Chọn Từ ngày = 01/09/2026, gõ 2026-09-30 vào ô Đến ngày
2. Nhấn nút Apply</t>
        </is>
      </c>
      <c r="E58" s="178" t="inlineStr">
        <is>
          <t>- Tham số: Từ ngày = 01/09/2026; Đến ngày = 2026-09-30 (gõ tay)</t>
        </is>
      </c>
      <c r="F58" s="178" t="inlineStr">
        <is>
          <t>1. Ô Đến ngày hiển thị cảnh báo định dạng (yêu cầu dd/mm/yyyy)
2. Báo cáo không chạy với giá trị sai định dạng</t>
        </is>
      </c>
      <c r="G58" s="178" t="inlineStr">
        <is>
          <t>SIT</t>
        </is>
      </c>
      <c r="H58" s="178" t="inlineStr">
        <is>
          <t>Medium</t>
        </is>
      </c>
      <c r="I58" s="178" t="inlineStr">
        <is>
          <t>Manual</t>
        </is>
      </c>
      <c r="J58" s="178" t="inlineStr">
        <is>
          <t>Untested</t>
        </is>
      </c>
      <c r="K58" s="178" t="inlineStr">
        <is>
          <t>Untested</t>
        </is>
      </c>
      <c r="L58" s="178" t="inlineStr">
        <is>
          <t>Untested</t>
        </is>
      </c>
      <c r="M58" s="77" t="n"/>
      <c r="N58" s="178" t="inlineStr">
        <is>
          <t>Q16</t>
        </is>
      </c>
    </row>
    <row r="59" outlineLevel="1" ht="20" customHeight="1">
      <c r="A59" s="176" t="inlineStr">
        <is>
          <t>— Trường: Mã kịch bản</t>
        </is>
      </c>
      <c r="B59" s="177" t="n"/>
      <c r="C59" s="177" t="n"/>
      <c r="D59" s="177" t="n"/>
      <c r="E59" s="177" t="n"/>
      <c r="F59" s="177" t="n"/>
      <c r="G59" s="177" t="n"/>
      <c r="H59" s="177" t="n"/>
      <c r="I59" s="177" t="n"/>
      <c r="J59" s="177" t="n"/>
      <c r="K59" s="177" t="n"/>
      <c r="L59" s="177" t="n"/>
      <c r="M59" s="177" t="n"/>
      <c r="N59" s="177" t="n"/>
    </row>
    <row r="60" outlineLevel="2" ht="156" customHeight="1">
      <c r="A60" s="178" t="inlineStr">
        <is>
          <t>MSB_TM-RP_TC_066</t>
        </is>
      </c>
      <c r="B60" s="178" t="inlineStr">
        <is>
          <t>Kiểm tra chặn chọn Tên kịch bản không khớp với Mã kịch bản đã chọn</t>
        </is>
      </c>
      <c r="C60"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AML-01 đến AML-14 đã khai báo</t>
        </is>
      </c>
      <c r="D60" s="178" t="inlineStr">
        <is>
          <t>1. Chọn Mã kịch bản = AML-01
2. Tìm tên 'Mô hình Hub - Spoke' (AML-07) trong dropdown Tên kịch bản</t>
        </is>
      </c>
      <c r="E60" s="178" t="inlineStr">
        <is>
          <t>- Mã kịch bản: AML-01
- Tên tìm: Mô hình Hub - Spoke</t>
        </is>
      </c>
      <c r="F60" s="178" t="inlineStr">
        <is>
          <t>1. Ô Mã kịch bản hiển thị AML-01
2. Không tìm thấy tên của AML-07, không chọn được tổ hợp Mã AML-01 + Tên AML-07</t>
        </is>
      </c>
      <c r="G60" s="178" t="inlineStr">
        <is>
          <t>SIT</t>
        </is>
      </c>
      <c r="H60" s="178" t="inlineStr">
        <is>
          <t>Medium</t>
        </is>
      </c>
      <c r="I60" s="178" t="inlineStr">
        <is>
          <t>Manual</t>
        </is>
      </c>
      <c r="J60" s="178" t="inlineStr">
        <is>
          <t>Untested</t>
        </is>
      </c>
      <c r="K60" s="178" t="inlineStr">
        <is>
          <t>Untested</t>
        </is>
      </c>
      <c r="L60" s="178" t="inlineStr">
        <is>
          <t>Untested</t>
        </is>
      </c>
      <c r="M60" s="77" t="n"/>
      <c r="N60" s="178" t="inlineStr">
        <is>
          <t>Q10</t>
        </is>
      </c>
    </row>
    <row r="61" outlineLevel="2" ht="141" customHeight="1">
      <c r="A61" s="178" t="inlineStr">
        <is>
          <t>MSB_TM-RP_TC_067</t>
        </is>
      </c>
      <c r="B61" s="178" t="inlineStr">
        <is>
          <t>Kiểm tra không thực thi script khi nhập chuỗi XSS vào ô tìm kiếm Mã kịch bản</t>
        </is>
      </c>
      <c r="C61"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61" s="178" t="inlineStr">
        <is>
          <t>1. Mở dropdown Mã kịch bản, gõ &lt;img src=x onerror=alert(1)&gt; vào ô tìm kiếm
2. Quan sát màn hình</t>
        </is>
      </c>
      <c r="E61" s="178" t="inlineStr">
        <is>
          <t>- Chuỗi tìm kiếm: &lt;img src=x onerror=alert(1)&gt;</t>
        </is>
      </c>
      <c r="F61" s="178" t="inlineStr">
        <is>
          <t>1. Ô tìm kiếm hiển thị chuỗi dạng text
2. Không bật hộp thoại alert, danh sách hiển thị 'không có kết quả'</t>
        </is>
      </c>
      <c r="G61" s="178" t="inlineStr">
        <is>
          <t>SIT</t>
        </is>
      </c>
      <c r="H61" s="178" t="inlineStr">
        <is>
          <t>Low</t>
        </is>
      </c>
      <c r="I61" s="178" t="inlineStr">
        <is>
          <t>Manual</t>
        </is>
      </c>
      <c r="J61" s="178" t="inlineStr">
        <is>
          <t>Untested</t>
        </is>
      </c>
      <c r="K61" s="178" t="inlineStr">
        <is>
          <t>Untested</t>
        </is>
      </c>
      <c r="L61" s="178" t="inlineStr">
        <is>
          <t>Untested</t>
        </is>
      </c>
      <c r="M61" s="77" t="n"/>
      <c r="N61" s="77" t="n"/>
    </row>
    <row r="62" outlineLevel="1" ht="20" customHeight="1">
      <c r="A62" s="176" t="inlineStr">
        <is>
          <t>— Trường: Tên kịch bản</t>
        </is>
      </c>
      <c r="B62" s="177" t="n"/>
      <c r="C62" s="177" t="n"/>
      <c r="D62" s="177" t="n"/>
      <c r="E62" s="177" t="n"/>
      <c r="F62" s="177" t="n"/>
      <c r="G62" s="177" t="n"/>
      <c r="H62" s="177" t="n"/>
      <c r="I62" s="177" t="n"/>
      <c r="J62" s="177" t="n"/>
      <c r="K62" s="177" t="n"/>
      <c r="L62" s="177" t="n"/>
      <c r="M62" s="177" t="n"/>
      <c r="N62" s="177" t="n"/>
    </row>
    <row r="63" outlineLevel="2" ht="141" customHeight="1">
      <c r="A63" s="178" t="inlineStr">
        <is>
          <t>MSB_TM-RP_TC_068</t>
        </is>
      </c>
      <c r="B63" s="178" t="inlineStr">
        <is>
          <t>Kiểm tra không lỗi hệ thống khi nhập chuỗi SQL injection vào ô tìm kiếm Tên kịch bản</t>
        </is>
      </c>
      <c r="C63"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63" s="178" t="inlineStr">
        <is>
          <t>1. Mở dropdown Tên kịch bản, gõ ' OR 1=1-- vào ô tìm kiếm
2. Quan sát danh sách</t>
        </is>
      </c>
      <c r="E63" s="178" t="inlineStr">
        <is>
          <t>- Chuỗi tìm kiếm: ' OR 1=1--</t>
        </is>
      </c>
      <c r="F63" s="178" t="inlineStr">
        <is>
          <t>1. Ô tìm kiếm hiển thị chuỗi đã gõ
2. Danh sách hiển thị 'không có kết quả', không hiện lỗi SQL</t>
        </is>
      </c>
      <c r="G63" s="178" t="inlineStr">
        <is>
          <t>SIT</t>
        </is>
      </c>
      <c r="H63" s="178" t="inlineStr">
        <is>
          <t>Low</t>
        </is>
      </c>
      <c r="I63" s="178" t="inlineStr">
        <is>
          <t>Manual</t>
        </is>
      </c>
      <c r="J63" s="178" t="inlineStr">
        <is>
          <t>Untested</t>
        </is>
      </c>
      <c r="K63" s="178" t="inlineStr">
        <is>
          <t>Untested</t>
        </is>
      </c>
      <c r="L63" s="178" t="inlineStr">
        <is>
          <t>Untested</t>
        </is>
      </c>
      <c r="M63" s="77" t="n"/>
      <c r="N63" s="77" t="n"/>
    </row>
    <row r="64" ht="20" customHeight="1">
      <c r="A64" s="175" t="inlineStr">
        <is>
          <t>NHÓM UI &amp; BEHAVIOR (Risk Medium)</t>
        </is>
      </c>
      <c r="B64" s="95" t="n"/>
      <c r="C64" s="95" t="n"/>
      <c r="D64" s="95" t="n"/>
      <c r="E64" s="95" t="n"/>
      <c r="F64" s="95" t="n"/>
      <c r="G64" s="95" t="n"/>
      <c r="H64" s="95" t="n"/>
      <c r="I64" s="95" t="n"/>
      <c r="J64" s="95" t="n"/>
      <c r="K64" s="95" t="n"/>
      <c r="L64" s="95" t="n"/>
      <c r="M64" s="95" t="n"/>
      <c r="N64" s="95" t="n"/>
    </row>
    <row r="65" outlineLevel="1" ht="20" customHeight="1">
      <c r="A65" s="176" t="inlineStr">
        <is>
          <t>— Giao diện</t>
        </is>
      </c>
      <c r="B65" s="177" t="n"/>
      <c r="C65" s="177" t="n"/>
      <c r="D65" s="177" t="n"/>
      <c r="E65" s="177" t="n"/>
      <c r="F65" s="177" t="n"/>
      <c r="G65" s="177" t="n"/>
      <c r="H65" s="177" t="n"/>
      <c r="I65" s="177" t="n"/>
      <c r="J65" s="177" t="n"/>
      <c r="K65" s="177" t="n"/>
      <c r="L65" s="177" t="n"/>
      <c r="M65" s="177" t="n"/>
      <c r="N65" s="177" t="n"/>
    </row>
    <row r="66" outlineLevel="2" ht="126" customHeight="1">
      <c r="A66" s="178" t="inlineStr">
        <is>
          <t>MSB_TM-RP_TC_069</t>
        </is>
      </c>
      <c r="B66" s="178" t="inlineStr">
        <is>
          <t>Kiểm tra hiển thị đúng tiêu đề báo cáo TM_02 theo template</t>
        </is>
      </c>
      <c r="C66" s="178" t="inlineStr">
        <is>
          <t>- User: Đăng nhập tm_aml_maker (AML Maker – HO, HO0000001)
- Màn hình: trang chủ Oracle Analytics Server (OAS) môi trường SIT, chưa mở báo cáo
- Dữ liệu: báo cáo Report TM_02 đã deploy trên OAS SIT</t>
        </is>
      </c>
      <c r="D66" s="178" t="inlineStr">
        <is>
          <t>1. Mở báo cáo Report TM_02 trên OAS
2. Xem tiêu đề báo cáo</t>
        </is>
      </c>
      <c r="E66" s="178" t="inlineStr">
        <is>
          <t>- Template: sheet Report TM_02 ô C5</t>
        </is>
      </c>
      <c r="F66" s="178" t="inlineStr">
        <is>
          <t>1. Báo cáo mở thành công
2. Tiêu đề = BÁO CÁO ĐÁNH GIÁ HIỆU QUẢ CỦA KỊCH BẢN QUÉT SÀNG LỌC GIAO DỊCH CỦA KHÁCH HÀNG</t>
        </is>
      </c>
      <c r="G66" s="178" t="inlineStr">
        <is>
          <t>SIT</t>
        </is>
      </c>
      <c r="H66" s="178" t="inlineStr">
        <is>
          <t>Low</t>
        </is>
      </c>
      <c r="I66" s="178" t="inlineStr">
        <is>
          <t>Manual</t>
        </is>
      </c>
      <c r="J66" s="178" t="inlineStr">
        <is>
          <t>Untested</t>
        </is>
      </c>
      <c r="K66" s="178" t="inlineStr">
        <is>
          <t>Untested</t>
        </is>
      </c>
      <c r="L66" s="178" t="inlineStr">
        <is>
          <t>Untested</t>
        </is>
      </c>
      <c r="M66" s="77" t="n"/>
      <c r="N66" s="77" t="n"/>
    </row>
    <row r="67" outlineLevel="2" ht="126" customHeight="1">
      <c r="A67" s="178" t="inlineStr">
        <is>
          <t>MSB_TM-RP_TC_070</t>
        </is>
      </c>
      <c r="B67" s="178" t="inlineStr">
        <is>
          <t>Kiểm tra hiển thị đủ 4 tham số và 2 nút chức năng của báo cáo TM_02</t>
        </is>
      </c>
      <c r="C67" s="178" t="inlineStr">
        <is>
          <t>- User: Đăng nhập tm_aml_maker (AML Maker – HO, HO0000001)
- Màn hình: trang chủ Oracle Analytics Server (OAS) môi trường SIT, chưa mở báo cáo
- Dữ liệu: báo cáo Report TM_02 đã deploy trên OAS SIT</t>
        </is>
      </c>
      <c r="D67" s="178" t="inlineStr">
        <is>
          <t>1. Mở báo cáo Report TM_02 trên OAS
2. Xem vùng tham số</t>
        </is>
      </c>
      <c r="E67" s="178" t="inlineStr">
        <is>
          <t>- Template: sheet Report TM_02 dòng 24–28</t>
        </is>
      </c>
      <c r="F67" s="178" t="inlineStr">
        <is>
          <t>1. Báo cáo mở thành công
2. Hiển thị Từ ngày, Đến ngày, Mã kịch bản, Tên kịch bản và nút Apply, Reset</t>
        </is>
      </c>
      <c r="G67" s="178" t="inlineStr">
        <is>
          <t>SIT</t>
        </is>
      </c>
      <c r="H67" s="178" t="inlineStr">
        <is>
          <t>Medium</t>
        </is>
      </c>
      <c r="I67" s="178" t="inlineStr">
        <is>
          <t>Manual</t>
        </is>
      </c>
      <c r="J67" s="178" t="inlineStr">
        <is>
          <t>Untested</t>
        </is>
      </c>
      <c r="K67" s="178" t="inlineStr">
        <is>
          <t>Untested</t>
        </is>
      </c>
      <c r="L67" s="178" t="inlineStr">
        <is>
          <t>Untested</t>
        </is>
      </c>
      <c r="M67" s="77" t="n"/>
      <c r="N67" s="77" t="n"/>
    </row>
    <row r="68" outlineLevel="2" ht="141" customHeight="1">
      <c r="A68" s="178" t="inlineStr">
        <is>
          <t>MSB_TM-RP_TC_071</t>
        </is>
      </c>
      <c r="B68" s="178" t="inlineStr">
        <is>
          <t>Kiểm tra tham số Từ ngày và Đến ngày hiển thị bảng lịch định dạng dd/mm/yyyy</t>
        </is>
      </c>
      <c r="C68"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báo cáo Report TM_02 đã deploy</t>
        </is>
      </c>
      <c r="D68" s="178" t="inlineStr">
        <is>
          <t>1. Click icon lịch của Từ ngày, chọn ngày 01/09/2026
2. Click icon lịch của Đến ngày, chọn ngày 30/09/2026</t>
        </is>
      </c>
      <c r="E68" s="178" t="inlineStr">
        <is>
          <t>- Ngày chọn: 01/09/2026, 30/09/2026</t>
        </is>
      </c>
      <c r="F68" s="178" t="inlineStr">
        <is>
          <t>1. Ô Từ ngày hiển thị 01/09/2026
2. Ô Đến ngày hiển thị 30/09/2026</t>
        </is>
      </c>
      <c r="G68" s="178" t="inlineStr">
        <is>
          <t>SIT</t>
        </is>
      </c>
      <c r="H68" s="178" t="inlineStr">
        <is>
          <t>Medium</t>
        </is>
      </c>
      <c r="I68" s="178" t="inlineStr">
        <is>
          <t>Manual</t>
        </is>
      </c>
      <c r="J68" s="178" t="inlineStr">
        <is>
          <t>Untested</t>
        </is>
      </c>
      <c r="K68" s="178" t="inlineStr">
        <is>
          <t>Untested</t>
        </is>
      </c>
      <c r="L68" s="178" t="inlineStr">
        <is>
          <t>Untested</t>
        </is>
      </c>
      <c r="M68" s="77" t="n"/>
      <c r="N68" s="77" t="n"/>
    </row>
    <row r="69" outlineLevel="2" ht="156" customHeight="1">
      <c r="A69" s="178" t="inlineStr">
        <is>
          <t>MSB_TM-RP_TC_072</t>
        </is>
      </c>
      <c r="B69" s="178" t="inlineStr">
        <is>
          <t>Kiểm tra dropdown Mã kịch bản hiển thị đủ 14 kịch bản AML và cho chọn nhiều</t>
        </is>
      </c>
      <c r="C69"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AML-01 đến AML-14 đã khai báo</t>
        </is>
      </c>
      <c r="D69" s="178" t="inlineStr">
        <is>
          <t>1. Mở dropdown Mã kịch bản
2. Tick AML-01 và AML-02</t>
        </is>
      </c>
      <c r="E69" s="178" t="inlineStr">
        <is>
          <t>- Danh mục: AML-01 đến AML-14 (BRD v1.9 mục Danh sách kịch bản)</t>
        </is>
      </c>
      <c r="F69" s="178" t="inlineStr">
        <is>
          <t>1. Danh sách có đủ AML-01 đến AML-14
2. Ô Mã kịch bản hiển thị AML-01, AML-02</t>
        </is>
      </c>
      <c r="G69" s="178" t="inlineStr">
        <is>
          <t>SIT</t>
        </is>
      </c>
      <c r="H69" s="178" t="inlineStr">
        <is>
          <t>Medium</t>
        </is>
      </c>
      <c r="I69" s="178" t="inlineStr">
        <is>
          <t>Manual</t>
        </is>
      </c>
      <c r="J69" s="178" t="inlineStr">
        <is>
          <t>Untested</t>
        </is>
      </c>
      <c r="K69" s="178" t="inlineStr">
        <is>
          <t>Untested</t>
        </is>
      </c>
      <c r="L69" s="178" t="inlineStr">
        <is>
          <t>Untested</t>
        </is>
      </c>
      <c r="M69" s="77" t="n"/>
      <c r="N69" s="77" t="n"/>
    </row>
    <row r="70" outlineLevel="2" ht="186" customHeight="1">
      <c r="A70" s="178" t="inlineStr">
        <is>
          <t>MSB_TM-RP_TC_073</t>
        </is>
      </c>
      <c r="B70" s="178" t="inlineStr">
        <is>
          <t>Kiểm tra hiển thị đúng tên và thứ tự 7 cột kết quả của báo cáo TM_02</t>
        </is>
      </c>
      <c r="C70"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70" s="178" t="inlineStr">
        <is>
          <t>1. Mở báo cáo "Báo cáo đánh giá hiệu quả của kịch bản quét sàng lọc giao dịch của khách hàng" (Report TM_02) trên OAS
2. Nhập tham số: Từ ngày = 01/09/2026; Đến ngày = 30/09/2026
3. Nhấn nút Apply
4. Xem dòng tiêu đề cột</t>
        </is>
      </c>
      <c r="E70" s="178" t="inlineStr">
        <is>
          <t>- Tham số: Từ ngày = 01/09/2026; Đến ngày = 30/09/2026</t>
        </is>
      </c>
      <c r="F70" s="178" t="inlineStr">
        <is>
          <t>1. Báo cáo mở, hiển thị vùng tham số cùng nút Apply và Reset
2. Các tham số hiển thị đúng giá trị đã nhập
3. Báo cáo chạy xong, không hiển thị thông báo lỗi
4. Thứ tự cột: Mã kịch bản, Tên kịch bản, Số lượng cảnh báo xử lý, Số lượng False Positive, Số lượng True Positive, Tỷ lệ False Positive, Tỷ lệ True Positive</t>
        </is>
      </c>
      <c r="G70" s="178" t="inlineStr">
        <is>
          <t>SIT</t>
        </is>
      </c>
      <c r="H70" s="178" t="inlineStr">
        <is>
          <t>Medium</t>
        </is>
      </c>
      <c r="I70" s="178" t="inlineStr">
        <is>
          <t>Manual</t>
        </is>
      </c>
      <c r="J70" s="178" t="inlineStr">
        <is>
          <t>Untested</t>
        </is>
      </c>
      <c r="K70" s="178" t="inlineStr">
        <is>
          <t>Untested</t>
        </is>
      </c>
      <c r="L70" s="178" t="inlineStr">
        <is>
          <t>Untested</t>
        </is>
      </c>
      <c r="M70" s="77" t="n"/>
      <c r="N70" s="178" t="inlineStr">
        <is>
          <t>Q6</t>
        </is>
      </c>
    </row>
    <row r="71" outlineLevel="2" ht="156" customHeight="1">
      <c r="A71" s="178" t="inlineStr">
        <is>
          <t>MSB_TM-RP_TC_074</t>
        </is>
      </c>
      <c r="B71" s="178" t="inlineStr">
        <is>
          <t>Kiểm tra cột tỷ lệ hiển thị đúng định dạng phần trăm 2 chữ số thập phân</t>
        </is>
      </c>
      <c r="C71"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71" s="178" t="inlineStr">
        <is>
          <t>1. Mở báo cáo "Báo cáo đánh giá hiệu quả của kịch bản quét sàng lọc giao dịch của khách hàng" (Report TM_02) trên OAS
2. Nhập tham số: Từ ngày = 01/09/2026; Đến ngày = 30/09/2026
3. Nhấn nút Apply
4. Xem 2 cột Tỷ lệ False Positive và Tỷ lệ True Positive</t>
        </is>
      </c>
      <c r="E71" s="178" t="inlineStr">
        <is>
          <t>- Tham số: Từ ngày = 01/09/2026; Đến ngày = 30/09/2026</t>
        </is>
      </c>
      <c r="F71" s="178" t="inlineStr">
        <is>
          <t>1. Báo cáo mở, hiển thị vùng tham số cùng nút Apply và Reset
2. Các tham số hiển thị đúng giá trị đã nhập
3. Báo cáo chạy xong, không hiển thị thông báo lỗi
4. Mọi ô có dạng số thập phân 2 chữ số kèm ký hiệu %, ví dụ 25,00%, 66,67%</t>
        </is>
      </c>
      <c r="G71" s="178" t="inlineStr">
        <is>
          <t>SIT</t>
        </is>
      </c>
      <c r="H71" s="178" t="inlineStr">
        <is>
          <t>Medium</t>
        </is>
      </c>
      <c r="I71" s="178" t="inlineStr">
        <is>
          <t>Manual</t>
        </is>
      </c>
      <c r="J71" s="178" t="inlineStr">
        <is>
          <t>Untested</t>
        </is>
      </c>
      <c r="K71" s="178" t="inlineStr">
        <is>
          <t>Untested</t>
        </is>
      </c>
      <c r="L71" s="178" t="inlineStr">
        <is>
          <t>Untested</t>
        </is>
      </c>
      <c r="M71" s="77" t="n"/>
      <c r="N71" s="178" t="inlineStr">
        <is>
          <t>Q8</t>
        </is>
      </c>
    </row>
    <row r="72" outlineLevel="1" ht="20" customHeight="1">
      <c r="A72" s="176" t="inlineStr">
        <is>
          <t>— Hành vi</t>
        </is>
      </c>
      <c r="B72" s="177" t="n"/>
      <c r="C72" s="177" t="n"/>
      <c r="D72" s="177" t="n"/>
      <c r="E72" s="177" t="n"/>
      <c r="F72" s="177" t="n"/>
      <c r="G72" s="177" t="n"/>
      <c r="H72" s="177" t="n"/>
      <c r="I72" s="177" t="n"/>
      <c r="J72" s="177" t="n"/>
      <c r="K72" s="177" t="n"/>
      <c r="L72" s="177" t="n"/>
      <c r="M72" s="177" t="n"/>
      <c r="N72" s="177" t="n"/>
    </row>
    <row r="73" outlineLevel="2" ht="171" customHeight="1">
      <c r="A73" s="178" t="inlineStr">
        <is>
          <t>MSB_TM-RP_TC_075</t>
        </is>
      </c>
      <c r="B73" s="178" t="inlineStr">
        <is>
          <t>Kiểm tra nút Reset đặt lại tham số đúng theo từng lựa chọn của báo cáo TM_02</t>
        </is>
      </c>
      <c r="C73" s="178"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bộ dữ liệu D-EVT (mục 3.3 file rollup) đã dựng và batch dữ liệu báo cáo đã chạy</t>
        </is>
      </c>
      <c r="D73" s="178" t="inlineStr">
        <is>
          <t>1. Nhập Từ ngày = 01/09/2026, Đến ngày = 30/09/2026, Mã kịch bản = AML-01, nhấn Apply
2. Đổi Mã kịch bản sang AML-02, nhấn Reset &gt; Reset to last applied values
3. Nhấn Reset &gt; Reset to default values
4. Nhấn Reset &gt; Clear All</t>
        </is>
      </c>
      <c r="E73" s="178" t="inlineStr">
        <is>
          <t>- Tham số: Từ ngày = 01/09/2026; Đến ngày = 30/09/2026; Mã kịch bản = AML-01
- Đổi Mã kịch bản: AML-02</t>
        </is>
      </c>
      <c r="F73" s="178" t="inlineStr">
        <is>
          <t>1. Báo cáo hiển thị dòng AML-01
2. Mã kịch bản quay về AML-01
3. Tham số quay về giá trị mặc định
4. Toàn bộ tham số bị xóa trắng</t>
        </is>
      </c>
      <c r="G73" s="178" t="inlineStr">
        <is>
          <t>SIT</t>
        </is>
      </c>
      <c r="H73" s="178" t="inlineStr">
        <is>
          <t>Medium</t>
        </is>
      </c>
      <c r="I73" s="178" t="inlineStr">
        <is>
          <t>Manual</t>
        </is>
      </c>
      <c r="J73" s="178" t="inlineStr">
        <is>
          <t>Untested</t>
        </is>
      </c>
      <c r="K73" s="178" t="inlineStr">
        <is>
          <t>Untested</t>
        </is>
      </c>
      <c r="L73" s="178" t="inlineStr">
        <is>
          <t>Untested</t>
        </is>
      </c>
      <c r="M73" s="77" t="n"/>
      <c r="N73" s="77" t="n"/>
    </row>
  </sheetData>
  <autoFilter ref="A25:N73"/>
  <dataValidations count="2">
    <dataValidation sqref="J26:J73" showDropDown="0" showInputMessage="0" showErrorMessage="0" allowBlank="1" type="list">
      <formula1>"Passed,Failed,Pending,Accepted,Untested,Canceled"</formula1>
    </dataValidation>
    <dataValidation sqref="K26:L73" showDropDown="0" showInputMessage="0" showErrorMessage="0" allowBlank="1" type="list">
      <formula1>=Report!$A$20:$A$25</formula1>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filterMode="1">
    <tabColor theme="5" tint="0.3999755851924192"/>
    <outlinePr summaryBelow="0" summaryRight="1"/>
    <pageSetUpPr/>
  </sheetPr>
  <dimension ref="A1:Z81"/>
  <sheetViews>
    <sheetView workbookViewId="0">
      <selection activeCell="A1" sqref="A1"/>
    </sheetView>
  </sheetViews>
  <sheetFormatPr baseColWidth="8" defaultColWidth="17.28515625" defaultRowHeight="12" customHeight="1" outlineLevelRow="1"/>
  <cols>
    <col width="20" customWidth="1" style="92" min="1" max="1"/>
    <col width="42" customWidth="1" style="92" min="2" max="2"/>
    <col width="42" customWidth="1" style="92" min="3" max="3"/>
    <col width="46" customWidth="1" style="92" min="4" max="4"/>
    <col width="34" customWidth="1" style="92" min="5" max="5"/>
    <col width="46" customWidth="1" style="92" min="6" max="6"/>
    <col width="12" customWidth="1" style="92" min="7" max="9"/>
    <col width="11" customWidth="1" min="8" max="8"/>
    <col width="13" customWidth="1" min="9" max="9"/>
    <col width="14" customWidth="1" style="92" min="10" max="10"/>
    <col width="14" customWidth="1" style="92" min="11" max="16384"/>
    <col width="14" customWidth="1" min="12" max="12"/>
    <col width="12" customWidth="1" min="13" max="13"/>
    <col width="20" customWidth="1" min="14" max="14"/>
  </cols>
  <sheetData>
    <row r="1" ht="12" customHeight="1">
      <c r="A1" s="91" t="inlineStr">
        <is>
          <t>Functions</t>
        </is>
      </c>
      <c r="B1" s="91">
        <f>Cover!E11</f>
        <v/>
      </c>
    </row>
    <row r="2" ht="12" customHeight="1">
      <c r="A2" s="91" t="inlineStr">
        <is>
          <t>Build Version</t>
        </is>
      </c>
      <c r="B2" s="91" t="inlineStr">
        <is>
          <t>v1.0</t>
        </is>
      </c>
    </row>
    <row r="3" ht="12" customHeight="1">
      <c r="A3" s="174" t="inlineStr">
        <is>
          <t>Report TM_03 – Báo cáo các cảnh báo chưa được xử lý</t>
        </is>
      </c>
      <c r="B3" s="99" t="n"/>
      <c r="C3" s="99" t="n"/>
      <c r="D3" s="99" t="n"/>
      <c r="E3" s="99" t="n"/>
    </row>
    <row r="4" ht="12" customHeight="1">
      <c r="A4" s="100" t="inlineStr">
        <is>
          <t>ROUND 2</t>
        </is>
      </c>
    </row>
    <row r="5" ht="12" customHeight="1">
      <c r="A5" s="136" t="n"/>
      <c r="B5" s="136" t="inlineStr">
        <is>
          <t>High</t>
        </is>
      </c>
      <c r="C5" s="136" t="inlineStr">
        <is>
          <t>Medium</t>
        </is>
      </c>
      <c r="D5" s="136" t="inlineStr">
        <is>
          <t>Low</t>
        </is>
      </c>
      <c r="E5" s="136" t="inlineStr">
        <is>
          <t>Total</t>
        </is>
      </c>
    </row>
    <row r="6" ht="12" customHeight="1">
      <c r="A6" s="137" t="n"/>
      <c r="B6" s="137">
        <f>SUM(B7:B11)</f>
        <v/>
      </c>
      <c r="C6" s="137">
        <f>SUM(C7:C11)</f>
        <v/>
      </c>
      <c r="D6" s="137">
        <f>SUM(D7:D11)</f>
        <v/>
      </c>
      <c r="E6" s="137">
        <f>SUM(B6:D6)</f>
        <v/>
      </c>
    </row>
    <row r="7" ht="12" customHeight="1">
      <c r="A7" s="138" t="inlineStr">
        <is>
          <t>Passed</t>
        </is>
      </c>
      <c r="B7" s="139">
        <f>COUNTIFS($H:$H,B$5,$K:$K,$A7)</f>
        <v/>
      </c>
      <c r="C7" s="139">
        <f>COUNTIFS($H:$H,C$5,$K:$K,$A7)</f>
        <v/>
      </c>
      <c r="D7" s="139">
        <f>COUNTIFS($H:$H,D$5,$K:$K,$A7)</f>
        <v/>
      </c>
      <c r="E7" s="139">
        <f>SUM(B7:D7)</f>
        <v/>
      </c>
    </row>
    <row r="8" ht="12" customHeight="1">
      <c r="A8" s="138" t="inlineStr">
        <is>
          <t>Failed</t>
        </is>
      </c>
      <c r="B8" s="139">
        <f>COUNTIFS($H:$H,B$5,$K:$K,$A8)</f>
        <v/>
      </c>
      <c r="C8" s="139">
        <f>COUNTIFS($H:$H,C$5,$K:$K,$A8)</f>
        <v/>
      </c>
      <c r="D8" s="139">
        <f>COUNTIFS($H:$H,D$5,$K:$K,$A8)</f>
        <v/>
      </c>
      <c r="E8" s="139">
        <f>SUM(B8:D8)</f>
        <v/>
      </c>
    </row>
    <row r="9" ht="12" customHeight="1">
      <c r="A9" s="138" t="inlineStr">
        <is>
          <t>Pending</t>
        </is>
      </c>
      <c r="B9" s="139">
        <f>COUNTIFS($H:$H,B$5,$K:$K,$A9)</f>
        <v/>
      </c>
      <c r="C9" s="139">
        <f>COUNTIFS($H:$H,C$5,$K:$K,$A9)</f>
        <v/>
      </c>
      <c r="D9" s="139">
        <f>COUNTIFS($H:$H,D$5,$K:$K,$A9)</f>
        <v/>
      </c>
      <c r="E9" s="139">
        <f>SUM(B9:D9)</f>
        <v/>
      </c>
    </row>
    <row r="10" ht="12" customHeight="1">
      <c r="A10" s="138" t="inlineStr">
        <is>
          <t>Cancel</t>
        </is>
      </c>
      <c r="B10" s="139">
        <f>COUNTIFS($H:$H,B$5,$K:$K,$A10)</f>
        <v/>
      </c>
      <c r="C10" s="139">
        <f>COUNTIFS($H:$H,C$5,$K:$K,$A10)</f>
        <v/>
      </c>
      <c r="D10" s="139">
        <f>COUNTIFS($H:$H,D$5,$K:$K,$A10)</f>
        <v/>
      </c>
      <c r="E10" s="139">
        <f>SUM(B10:D10)</f>
        <v/>
      </c>
    </row>
    <row r="11" ht="12" customHeight="1">
      <c r="A11" s="138" t="inlineStr">
        <is>
          <t>Untested</t>
        </is>
      </c>
      <c r="B11" s="139">
        <f>COUNTIFS($H:$H,B$5,$K:$K,$A11)</f>
        <v/>
      </c>
      <c r="C11" s="139">
        <f>COUNTIFS($H:$H,C$5,$K:$K,$A11)</f>
        <v/>
      </c>
      <c r="D11" s="139">
        <f>COUNTIFS($H:$H,D$5,$K:$K,$A11)</f>
        <v/>
      </c>
      <c r="E11" s="139">
        <f>SUM(B11:D11)</f>
        <v/>
      </c>
    </row>
    <row r="12" ht="12" customHeight="1">
      <c r="A12" s="138" t="inlineStr">
        <is>
          <t>Next</t>
        </is>
      </c>
      <c r="B12" s="139">
        <f>COUNTIFS($H:$H,B$5,$K:$K,$A12)</f>
        <v/>
      </c>
      <c r="C12" s="139">
        <f>COUNTIFS($H:$H,C$5,$K:$K,$A12)</f>
        <v/>
      </c>
      <c r="D12" s="139">
        <f>COUNTIFS($H:$H,D$5,$K:$K,$A12)</f>
        <v/>
      </c>
      <c r="E12" s="139">
        <f>SUM(B12:D12)</f>
        <v/>
      </c>
    </row>
    <row r="13" ht="12" customHeight="1">
      <c r="A13" s="135" t="n"/>
      <c r="B13" s="99" t="n"/>
      <c r="C13" s="99" t="n"/>
      <c r="D13" s="99" t="n"/>
      <c r="E13" s="99" t="n"/>
    </row>
    <row r="14" ht="12" customHeight="1">
      <c r="A14" s="100" t="inlineStr">
        <is>
          <t>ROUND 3</t>
        </is>
      </c>
    </row>
    <row r="15" ht="12" customHeight="1">
      <c r="A15" s="136" t="n"/>
      <c r="B15" s="136" t="inlineStr">
        <is>
          <t>High</t>
        </is>
      </c>
      <c r="C15" s="136" t="inlineStr">
        <is>
          <t>Medium</t>
        </is>
      </c>
      <c r="D15" s="136" t="inlineStr">
        <is>
          <t>Low</t>
        </is>
      </c>
      <c r="E15" s="136" t="inlineStr">
        <is>
          <t>Total</t>
        </is>
      </c>
    </row>
    <row r="16" ht="12" customHeight="1">
      <c r="A16" s="137" t="n"/>
      <c r="B16" s="137">
        <f>SUM(B17:B21)</f>
        <v/>
      </c>
      <c r="C16" s="137">
        <f>SUM(C17:C21)</f>
        <v/>
      </c>
      <c r="D16" s="137">
        <f>SUM(D17:D21)</f>
        <v/>
      </c>
      <c r="E16" s="137">
        <f>SUM(B16:D16)</f>
        <v/>
      </c>
    </row>
    <row r="17" ht="12" customHeight="1">
      <c r="A17" s="138" t="inlineStr">
        <is>
          <t>Passed</t>
        </is>
      </c>
      <c r="B17" s="139">
        <f>COUNTIFS($H:$H,B$15,$L:$L,$A17)</f>
        <v/>
      </c>
      <c r="C17" s="139">
        <f>COUNTIFS($H:$H,C$15,$L:$L,$A17)</f>
        <v/>
      </c>
      <c r="D17" s="139">
        <f>COUNTIFS($H:$H,D$15,$L:$L,$A17)</f>
        <v/>
      </c>
      <c r="E17" s="139">
        <f>SUM(B17:D17)</f>
        <v/>
      </c>
    </row>
    <row r="18" ht="12" customHeight="1">
      <c r="A18" s="138" t="inlineStr">
        <is>
          <t>Failed</t>
        </is>
      </c>
      <c r="B18" s="139">
        <f>COUNTIFS($H:$H,B$15,$L:$L,$A18)</f>
        <v/>
      </c>
      <c r="C18" s="139">
        <f>COUNTIFS($H:$H,C$15,$L:$L,$A18)</f>
        <v/>
      </c>
      <c r="D18" s="139">
        <f>COUNTIFS($H:$H,D$15,$L:$L,$A18)</f>
        <v/>
      </c>
      <c r="E18" s="139">
        <f>SUM(B18:D18)</f>
        <v/>
      </c>
    </row>
    <row r="19" ht="12" customHeight="1">
      <c r="A19" s="138" t="inlineStr">
        <is>
          <t>Pending</t>
        </is>
      </c>
      <c r="B19" s="139">
        <f>COUNTIFS($H:$H,B$15,$L:$L,$A19)</f>
        <v/>
      </c>
      <c r="C19" s="139">
        <f>COUNTIFS($H:$H,C$15,$L:$L,$A19)</f>
        <v/>
      </c>
      <c r="D19" s="139">
        <f>COUNTIFS($H:$H,D$15,$L:$L,$A19)</f>
        <v/>
      </c>
      <c r="E19" s="139">
        <f>SUM(B19:D19)</f>
        <v/>
      </c>
    </row>
    <row r="20" ht="12" customHeight="1">
      <c r="A20" s="138" t="inlineStr">
        <is>
          <t>Cancel</t>
        </is>
      </c>
      <c r="B20" s="139">
        <f>COUNTIFS($H:$H,B$15,$L:$L,$A20)</f>
        <v/>
      </c>
      <c r="C20" s="139">
        <f>COUNTIFS($H:$H,C$15,$L:$L,$A20)</f>
        <v/>
      </c>
      <c r="D20" s="139">
        <f>COUNTIFS($H:$H,D$15,$L:$L,$A20)</f>
        <v/>
      </c>
      <c r="E20" s="139">
        <f>SUM(B20:D20)</f>
        <v/>
      </c>
    </row>
    <row r="21" ht="12" customHeight="1">
      <c r="A21" s="138" t="inlineStr">
        <is>
          <t>Untested</t>
        </is>
      </c>
      <c r="B21" s="139">
        <f>COUNTIFS($H:$H,B$15,$L:$L,$A21)</f>
        <v/>
      </c>
      <c r="C21" s="139">
        <f>COUNTIFS($H:$H,C$15,$L:$L,$A21)</f>
        <v/>
      </c>
      <c r="D21" s="139">
        <f>COUNTIFS($H:$H,D$15,$L:$L,$A21)</f>
        <v/>
      </c>
      <c r="E21" s="139">
        <f>SUM(B21:D21)</f>
        <v/>
      </c>
    </row>
    <row r="22" ht="12" customHeight="1">
      <c r="A22" s="138" t="inlineStr">
        <is>
          <t>Next</t>
        </is>
      </c>
      <c r="B22" s="139">
        <f>COUNTIFS($H:$H,B$15,$L:$L,$A22)</f>
        <v/>
      </c>
      <c r="C22" s="139">
        <f>COUNTIFS($H:$H,C$15,$L:$L,$A22)</f>
        <v/>
      </c>
      <c r="D22" s="139">
        <f>COUNTIFS($H:$H,D$15,$L:$L,$A22)</f>
        <v/>
      </c>
      <c r="E22" s="139">
        <f>SUM(B22:D22)</f>
        <v/>
      </c>
    </row>
    <row r="23" ht="12" customHeight="1">
      <c r="A23" s="135" t="n"/>
      <c r="B23" s="99" t="n"/>
      <c r="C23" s="99" t="n"/>
      <c r="D23" s="99" t="n"/>
      <c r="E23" s="99" t="n"/>
    </row>
    <row r="25" ht="12" customHeight="1">
      <c r="A25" s="93" t="inlineStr">
        <is>
          <t>Test case Id</t>
        </is>
      </c>
      <c r="B25" s="93" t="inlineStr">
        <is>
          <t>Test case Title</t>
        </is>
      </c>
      <c r="C25" s="93" t="inlineStr">
        <is>
          <t>Pre-conditions</t>
        </is>
      </c>
      <c r="D25" s="93" t="inlineStr">
        <is>
          <t>Test Step</t>
        </is>
      </c>
      <c r="E25" s="93" t="inlineStr">
        <is>
          <t>Test Datas</t>
        </is>
      </c>
      <c r="F25" s="93" t="inlineStr">
        <is>
          <t>Expected result</t>
        </is>
      </c>
      <c r="G25" s="93" t="inlineStr">
        <is>
          <t>Test Environment</t>
        </is>
      </c>
      <c r="H25" s="94" t="inlineStr">
        <is>
          <t>Priority</t>
        </is>
      </c>
      <c r="I25" s="94" t="inlineStr">
        <is>
          <t>Automation Status</t>
        </is>
      </c>
      <c r="J25" s="133" t="inlineStr">
        <is>
          <t>1st Test Results</t>
        </is>
      </c>
      <c r="K25" s="133" t="inlineStr">
        <is>
          <t>2nd Test Results</t>
        </is>
      </c>
      <c r="L25" s="133" t="inlineStr">
        <is>
          <t>3rd Test Results</t>
        </is>
      </c>
      <c r="M25" s="93" t="inlineStr">
        <is>
          <t>BugID</t>
        </is>
      </c>
      <c r="N25" s="93" t="inlineStr">
        <is>
          <t>Notes</t>
        </is>
      </c>
    </row>
    <row r="26" ht="20" customHeight="1">
      <c r="A26" s="175" t="inlineStr">
        <is>
          <t>NHÓM FUNCTION (Risk High)</t>
        </is>
      </c>
      <c r="B26" s="95" t="n"/>
      <c r="C26" s="95" t="n"/>
      <c r="D26" s="95" t="n"/>
      <c r="E26" s="95" t="n"/>
      <c r="F26" s="95" t="n"/>
      <c r="G26" s="95" t="n"/>
      <c r="H26" s="95" t="n"/>
      <c r="I26" s="95" t="n"/>
      <c r="J26" s="95" t="n"/>
      <c r="K26" s="95" t="n"/>
      <c r="L26" s="95" t="n"/>
      <c r="M26" s="95" t="n"/>
      <c r="N26" s="95" t="n"/>
    </row>
    <row r="27" outlineLevel="1" ht="20" customHeight="1">
      <c r="A27" s="176" t="inlineStr">
        <is>
          <t>— Hiển thị &amp; nút chức năng</t>
        </is>
      </c>
      <c r="B27" s="177" t="n"/>
      <c r="C27" s="177" t="n"/>
      <c r="D27" s="177" t="n"/>
      <c r="E27" s="177" t="n"/>
      <c r="F27" s="177" t="n"/>
      <c r="G27" s="177" t="n"/>
      <c r="H27" s="177" t="n"/>
      <c r="I27" s="177" t="n"/>
      <c r="J27" s="177" t="n"/>
      <c r="K27" s="177" t="n"/>
      <c r="L27" s="177" t="n"/>
      <c r="M27" s="177" t="n"/>
      <c r="N27" s="177" t="n"/>
    </row>
    <row r="28" outlineLevel="2" ht="186" customHeight="1">
      <c r="A28" s="178" t="inlineStr">
        <is>
          <t>MSB_TM-RP_TC_076</t>
        </is>
      </c>
      <c r="B28" s="178" t="inlineStr">
        <is>
          <t>Kiểm tra hiển thị thành công kết quả báo cáo TM_03 đủ 9 cột khi chỉ nhập tham số bắt buộc</t>
        </is>
      </c>
      <c r="C28"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kỳ 07/2026 có 13 case chưa đóng và 5 case đã đóng</t>
        </is>
      </c>
      <c r="D28" s="178" t="inlineStr">
        <is>
          <t>1. Mở báo cáo "Báo cáo các cảnh báo chưa được xử lý" (Report TM_03) trên OAS
2. Nhập tham số: Từ ngày = 01/07/2026; Đến ngày = 31/07/2026
3. Nhấn nút Apply
4. Đối chiếu bảng kết quả với Test Data</t>
        </is>
      </c>
      <c r="E28" s="178" t="inlineStr">
        <is>
          <t>- Tham số: Từ ngày = 01/07/2026; Đến ngày = 31/07/2026
- Loại khách hàng, Trạng thái sự vụ: không chọn</t>
        </is>
      </c>
      <c r="F28" s="178" t="inlineStr">
        <is>
          <t>1. Báo cáo mở, hiển thị vùng tham số cùng nút Apply và Reset
2. Các tham số hiển thị đúng giá trị đã nhập
3. Báo cáo chạy xong, không hiển thị thông báo lỗi
4. Báo cáo có 9 cột (STT, CIF, Tên KH, Loại KH, Mã sự vụ, Ngày phát sinh sự vụ, Trạng thái sự vụ, Cấp Đơn vị đang xử lý sự vụ, Mã Đơn vị) và đúng 13 dòng: C301–C309, C315, C316, C318, C319</t>
        </is>
      </c>
      <c r="G28" s="178" t="inlineStr">
        <is>
          <t>SIT</t>
        </is>
      </c>
      <c r="H28" s="178" t="inlineStr">
        <is>
          <t>High</t>
        </is>
      </c>
      <c r="I28" s="178" t="inlineStr">
        <is>
          <t>Manual</t>
        </is>
      </c>
      <c r="J28" s="178" t="inlineStr">
        <is>
          <t>Untested</t>
        </is>
      </c>
      <c r="K28" s="178" t="inlineStr">
        <is>
          <t>Untested</t>
        </is>
      </c>
      <c r="L28" s="178" t="inlineStr">
        <is>
          <t>Untested</t>
        </is>
      </c>
      <c r="M28" s="77" t="n"/>
      <c r="N28" s="178" t="inlineStr">
        <is>
          <t>Q11</t>
        </is>
      </c>
    </row>
    <row r="29" outlineLevel="1" ht="20" customHeight="1">
      <c r="A29" s="176" t="inlineStr">
        <is>
          <t>— Logic số liệu</t>
        </is>
      </c>
      <c r="B29" s="177" t="n"/>
      <c r="C29" s="177" t="n"/>
      <c r="D29" s="177" t="n"/>
      <c r="E29" s="177" t="n"/>
      <c r="F29" s="177" t="n"/>
      <c r="G29" s="177" t="n"/>
      <c r="H29" s="177" t="n"/>
      <c r="I29" s="177" t="n"/>
      <c r="J29" s="177" t="n"/>
      <c r="K29" s="177" t="n"/>
      <c r="L29" s="177" t="n"/>
      <c r="M29" s="177" t="n"/>
      <c r="N29" s="177" t="n"/>
    </row>
    <row r="30" outlineLevel="2" ht="186" customHeight="1">
      <c r="A30" s="178" t="inlineStr">
        <is>
          <t>MSB_TM-RP_TC_077</t>
        </is>
      </c>
      <c r="B30" s="178" t="inlineStr">
        <is>
          <t>Kiểm tra không hiển thị case ở 5 trạng thái đã đóng trên báo cáo TM_03</t>
        </is>
      </c>
      <c r="C30"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C310 (Closed - No Further Action), C311 (Closed - Under Monitoring), C312 (Approved STR), C313 (Rejected sending STR), C314 (Closed - Not Send STR)</t>
        </is>
      </c>
      <c r="D30" s="178" t="inlineStr">
        <is>
          <t>1. Mở báo cáo "Báo cáo các cảnh báo chưa được xử lý" (Report TM_03) trên OAS
2. Nhập tham số: Từ ngày = 01/07/2026; Đến ngày = 31/07/2026
3. Nhấn nút Apply
4. Tìm Mã sự vụ C310 đến C314</t>
        </is>
      </c>
      <c r="E30" s="178" t="inlineStr">
        <is>
          <t>- Tham số: Từ ngày = 01/07/2026; Đến ngày = 31/07/2026
- Case: C310–C314</t>
        </is>
      </c>
      <c r="F30" s="178" t="inlineStr">
        <is>
          <t>1. Báo cáo mở, hiển thị vùng tham số cùng nút Apply và Reset
2. Các tham số hiển thị đúng giá trị đã nhập
3. Báo cáo chạy xong, không hiển thị thông báo lỗi
4. Không có dòng nào của C310, C311, C312, C313, C314</t>
        </is>
      </c>
      <c r="G30" s="178" t="inlineStr">
        <is>
          <t>SIT</t>
        </is>
      </c>
      <c r="H30" s="178" t="inlineStr">
        <is>
          <t>High</t>
        </is>
      </c>
      <c r="I30" s="178" t="inlineStr">
        <is>
          <t>Manual</t>
        </is>
      </c>
      <c r="J30" s="178" t="inlineStr">
        <is>
          <t>Untested</t>
        </is>
      </c>
      <c r="K30" s="178" t="inlineStr">
        <is>
          <t>Untested</t>
        </is>
      </c>
      <c r="L30" s="178" t="inlineStr">
        <is>
          <t>Untested</t>
        </is>
      </c>
      <c r="M30" s="77" t="n"/>
      <c r="N30" s="178" t="inlineStr">
        <is>
          <t>Q11</t>
        </is>
      </c>
    </row>
    <row r="31" outlineLevel="2" ht="216" customHeight="1">
      <c r="A31" s="178" t="inlineStr">
        <is>
          <t>MSB_TM-RP_TC_078</t>
        </is>
      </c>
      <c r="B31" s="178" t="inlineStr">
        <is>
          <t>Kiểm tra hiển thị đủ case ở 8 trạng thái chưa đóng trên báo cáo TM_03</t>
        </is>
      </c>
      <c r="C31"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C301 (New), C302 (Pending Checker Review), C303 (Pending Maker), C304 (Pending Generate STR), C305 (Pending Checker Review STR), C306 (Pending Supervisor Review), C307 (Pending AML Maker), C308 (Pending AML Checker review)</t>
        </is>
      </c>
      <c r="D31" s="178" t="inlineStr">
        <is>
          <t>1. Mở báo cáo "Báo cáo các cảnh báo chưa được xử lý" (Report TM_03) trên OAS
2. Nhập tham số: Từ ngày = 01/07/2026; Đến ngày = 31/07/2026
3. Nhấn nút Apply
4. Xem cột Trạng thái sự vụ của C301 đến C308</t>
        </is>
      </c>
      <c r="E31" s="178" t="inlineStr">
        <is>
          <t>- Tham số: Từ ngày = 01/07/2026; Đến ngày = 31/07/2026
- Case: C301–C308</t>
        </is>
      </c>
      <c r="F31" s="178" t="inlineStr">
        <is>
          <t>1. Báo cáo mở, hiển thị vùng tham số cùng nút Apply và Reset
2. Các tham số hiển thị đúng giá trị đã nhập
3. Báo cáo chạy xong, không hiển thị thông báo lỗi
4. Có đủ 8 dòng, Trạng thái sự vụ đúng trạng thái hiện tại của từng case</t>
        </is>
      </c>
      <c r="G31" s="178" t="inlineStr">
        <is>
          <t>SIT</t>
        </is>
      </c>
      <c r="H31" s="178" t="inlineStr">
        <is>
          <t>High</t>
        </is>
      </c>
      <c r="I31" s="178" t="inlineStr">
        <is>
          <t>Manual</t>
        </is>
      </c>
      <c r="J31" s="178" t="inlineStr">
        <is>
          <t>Untested</t>
        </is>
      </c>
      <c r="K31" s="178" t="inlineStr">
        <is>
          <t>Untested</t>
        </is>
      </c>
      <c r="L31" s="178" t="inlineStr">
        <is>
          <t>Untested</t>
        </is>
      </c>
      <c r="M31" s="77" t="n"/>
      <c r="N31" s="178" t="inlineStr">
        <is>
          <t>Q11</t>
        </is>
      </c>
    </row>
    <row r="32" outlineLevel="2" ht="156" customHeight="1">
      <c r="A32" s="178" t="inlineStr">
        <is>
          <t>MSB_TM-RP_TC_079</t>
        </is>
      </c>
      <c r="B32" s="178" t="inlineStr">
        <is>
          <t>Kiểm tra gộp thành 1 dòng với CIF có 1 case phát sinh nhiều kịch bản</t>
        </is>
      </c>
      <c r="C32"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case C301 của CIF 10070001 có 3 event thuộc AML-01, AML-02, AML-07</t>
        </is>
      </c>
      <c r="D32" s="178" t="inlineStr">
        <is>
          <t>1. Mở báo cáo "Báo cáo các cảnh báo chưa được xử lý" (Report TM_03) trên OAS
2. Nhập tham số: Từ ngày = 01/07/2026; Đến ngày = 31/07/2026
3. Nhấn nút Apply
4. Đếm số dòng có Mã sự vụ = C301</t>
        </is>
      </c>
      <c r="E32" s="178" t="inlineStr">
        <is>
          <t>- Tham số: Từ ngày = 01/07/2026; Đến ngày = 31/07/2026
- Case: C301</t>
        </is>
      </c>
      <c r="F32" s="178" t="inlineStr">
        <is>
          <t>1. Báo cáo mở, hiển thị vùng tham số cùng nút Apply và Reset
2. Các tham số hiển thị đúng giá trị đã nhập
3. Báo cáo chạy xong, không hiển thị thông báo lỗi
4. Chỉ có 1 dòng C301</t>
        </is>
      </c>
      <c r="G32" s="178" t="inlineStr">
        <is>
          <t>SIT</t>
        </is>
      </c>
      <c r="H32" s="178" t="inlineStr">
        <is>
          <t>High</t>
        </is>
      </c>
      <c r="I32" s="178" t="inlineStr">
        <is>
          <t>Manual</t>
        </is>
      </c>
      <c r="J32" s="178" t="inlineStr">
        <is>
          <t>Untested</t>
        </is>
      </c>
      <c r="K32" s="178" t="inlineStr">
        <is>
          <t>Untested</t>
        </is>
      </c>
      <c r="L32" s="178" t="inlineStr">
        <is>
          <t>Untested</t>
        </is>
      </c>
      <c r="M32" s="77" t="n"/>
      <c r="N32" s="77" t="n"/>
    </row>
    <row r="33" outlineLevel="2" ht="171" customHeight="1">
      <c r="A33" s="178" t="inlineStr">
        <is>
          <t>MSB_TM-RP_TC_080</t>
        </is>
      </c>
      <c r="B33" s="178" t="inlineStr">
        <is>
          <t>Kiểm tra tách mỗi case 1 dòng với CIF có nhiều case trong kỳ</t>
        </is>
      </c>
      <c r="C33"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CIF 10070001 có 2 case chưa đóng: C301 (03/07/2026, New) và C319 (20/07/2026, Pending Checker Review)</t>
        </is>
      </c>
      <c r="D33" s="178" t="inlineStr">
        <is>
          <t>1. Mở báo cáo "Báo cáo các cảnh báo chưa được xử lý" (Report TM_03) trên OAS
2. Nhập tham số: Từ ngày = 01/07/2026; Đến ngày = 31/07/2026
3. Nhấn nút Apply
4. Lọc các dòng có CIF = 10070001</t>
        </is>
      </c>
      <c r="E33" s="178" t="inlineStr">
        <is>
          <t>- Tham số: Từ ngày = 01/07/2026; Đến ngày = 31/07/2026
- Case: C301, C319</t>
        </is>
      </c>
      <c r="F33" s="178" t="inlineStr">
        <is>
          <t>1. Báo cáo mở, hiển thị vùng tham số cùng nút Apply và Reset
2. Các tham số hiển thị đúng giá trị đã nhập
3. Báo cáo chạy xong, không hiển thị thông báo lỗi
4. Có 2 dòng: C301 và C319, mỗi dòng đúng Ngày phát sinh và Trạng thái của case đó</t>
        </is>
      </c>
      <c r="G33" s="178" t="inlineStr">
        <is>
          <t>SIT</t>
        </is>
      </c>
      <c r="H33" s="178" t="inlineStr">
        <is>
          <t>High</t>
        </is>
      </c>
      <c r="I33" s="178" t="inlineStr">
        <is>
          <t>Manual</t>
        </is>
      </c>
      <c r="J33" s="178" t="inlineStr">
        <is>
          <t>Untested</t>
        </is>
      </c>
      <c r="K33" s="178" t="inlineStr">
        <is>
          <t>Untested</t>
        </is>
      </c>
      <c r="L33" s="178" t="inlineStr">
        <is>
          <t>Untested</t>
        </is>
      </c>
      <c r="M33" s="77" t="n"/>
      <c r="N33" s="77" t="n"/>
    </row>
    <row r="34" outlineLevel="2" ht="171" customHeight="1">
      <c r="A34" s="178" t="inlineStr">
        <is>
          <t>MSB_TM-RP_TC_081</t>
        </is>
      </c>
      <c r="B34" s="178" t="inlineStr">
        <is>
          <t>Kiểm tra xác định đúng Cấp Đơn vị đang xử lý = ĐVKD với case đang chờ DVKH xử lý</t>
        </is>
      </c>
      <c r="C34"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C301, C302, C303, C304, C305, C306 là case tự động đang ở bước DVKH Maker, DVKH Checker hoặc Checker N+1</t>
        </is>
      </c>
      <c r="D34" s="178" t="inlineStr">
        <is>
          <t>1. Mở báo cáo "Báo cáo các cảnh báo chưa được xử lý" (Report TM_03) trên OAS
2. Nhập tham số: Từ ngày = 01/07/2026; Đến ngày = 31/07/2026
3. Nhấn nút Apply
4. Xem cột Cấp Đơn vị đang xử lý sự vụ của C301 đến C306</t>
        </is>
      </c>
      <c r="E34" s="178" t="inlineStr">
        <is>
          <t>- Tham số: Từ ngày = 01/07/2026; Đến ngày = 31/07/2026
- Case: C301–C306</t>
        </is>
      </c>
      <c r="F34" s="178" t="inlineStr">
        <is>
          <t>1. Báo cáo mở, hiển thị vùng tham số cùng nút Apply và Reset
2. Các tham số hiển thị đúng giá trị đã nhập
3. Báo cáo chạy xong, không hiển thị thông báo lỗi
4. Cả 6 dòng = ĐVKD</t>
        </is>
      </c>
      <c r="G34" s="178" t="inlineStr">
        <is>
          <t>SIT</t>
        </is>
      </c>
      <c r="H34" s="178" t="inlineStr">
        <is>
          <t>High</t>
        </is>
      </c>
      <c r="I34" s="178" t="inlineStr">
        <is>
          <t>Manual</t>
        </is>
      </c>
      <c r="J34" s="178" t="inlineStr">
        <is>
          <t>Untested</t>
        </is>
      </c>
      <c r="K34" s="178" t="inlineStr">
        <is>
          <t>Untested</t>
        </is>
      </c>
      <c r="L34" s="178" t="inlineStr">
        <is>
          <t>Untested</t>
        </is>
      </c>
      <c r="M34" s="77" t="n"/>
      <c r="N34" s="178" t="inlineStr">
        <is>
          <t>Q12</t>
        </is>
      </c>
    </row>
    <row r="35" outlineLevel="2" ht="156" customHeight="1">
      <c r="A35" s="178" t="inlineStr">
        <is>
          <t>MSB_TM-RP_TC_082</t>
        </is>
      </c>
      <c r="B35" s="178" t="inlineStr">
        <is>
          <t>Kiểm tra xác định đúng Cấp Đơn vị đang xử lý = AML với case đang chờ bộ phận AML xử lý</t>
        </is>
      </c>
      <c r="C35"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C307 (Pending AML Maker), C308 (Pending AML Checker review)</t>
        </is>
      </c>
      <c r="D35" s="178" t="inlineStr">
        <is>
          <t>1. Mở báo cáo "Báo cáo các cảnh báo chưa được xử lý" (Report TM_03) trên OAS
2. Nhập tham số: Từ ngày = 01/07/2026; Đến ngày = 31/07/2026
3. Nhấn nút Apply
4. Xem cột Cấp Đơn vị đang xử lý sự vụ của C307, C308</t>
        </is>
      </c>
      <c r="E35" s="178" t="inlineStr">
        <is>
          <t>- Tham số: Từ ngày = 01/07/2026; Đến ngày = 31/07/2026
- Case: C307, C308</t>
        </is>
      </c>
      <c r="F35" s="178" t="inlineStr">
        <is>
          <t>1. Báo cáo mở, hiển thị vùng tham số cùng nút Apply và Reset
2. Các tham số hiển thị đúng giá trị đã nhập
3. Báo cáo chạy xong, không hiển thị thông báo lỗi
4. Cả 2 dòng = AML</t>
        </is>
      </c>
      <c r="G35" s="178" t="inlineStr">
        <is>
          <t>SIT</t>
        </is>
      </c>
      <c r="H35" s="178" t="inlineStr">
        <is>
          <t>High</t>
        </is>
      </c>
      <c r="I35" s="178" t="inlineStr">
        <is>
          <t>Manual</t>
        </is>
      </c>
      <c r="J35" s="178" t="inlineStr">
        <is>
          <t>Untested</t>
        </is>
      </c>
      <c r="K35" s="178" t="inlineStr">
        <is>
          <t>Untested</t>
        </is>
      </c>
      <c r="L35" s="178" t="inlineStr">
        <is>
          <t>Untested</t>
        </is>
      </c>
      <c r="M35" s="77" t="n"/>
      <c r="N35" s="77" t="n"/>
    </row>
    <row r="36" outlineLevel="2" ht="156" customHeight="1">
      <c r="A36" s="178" t="inlineStr">
        <is>
          <t>MSB_TM-RP_TC_083</t>
        </is>
      </c>
      <c r="B36" s="178" t="inlineStr">
        <is>
          <t>Kiểm tra xác định Cấp Đơn vị = AML với case thủ công AML Maker tạo đang Pending Generate STR</t>
        </is>
      </c>
      <c r="C36"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C309 là case thủ công Type AML_MN do tm_aml_maker tạo, đang Pending Generate STR</t>
        </is>
      </c>
      <c r="D36" s="178" t="inlineStr">
        <is>
          <t>1. Mở báo cáo "Báo cáo các cảnh báo chưa được xử lý" (Report TM_03) trên OAS
2. Nhập tham số: Từ ngày = 01/07/2026; Đến ngày = 31/07/2026
3. Nhấn nút Apply
4. Xem cột Cấp Đơn vị đang xử lý sự vụ của C309</t>
        </is>
      </c>
      <c r="E36" s="178" t="inlineStr">
        <is>
          <t>- Tham số: Từ ngày = 01/07/2026; Đến ngày = 31/07/2026
- Case: C309</t>
        </is>
      </c>
      <c r="F36" s="178" t="inlineStr">
        <is>
          <t>1. Báo cáo mở, hiển thị vùng tham số cùng nút Apply và Reset
2. Các tham số hiển thị đúng giá trị đã nhập
3. Báo cáo chạy xong, không hiển thị thông báo lỗi
4. Giá trị = AML</t>
        </is>
      </c>
      <c r="G36" s="178" t="inlineStr">
        <is>
          <t>SIT</t>
        </is>
      </c>
      <c r="H36" s="178" t="inlineStr">
        <is>
          <t>Medium</t>
        </is>
      </c>
      <c r="I36" s="178" t="inlineStr">
        <is>
          <t>Manual</t>
        </is>
      </c>
      <c r="J36" s="178" t="inlineStr">
        <is>
          <t>Untested</t>
        </is>
      </c>
      <c r="K36" s="178" t="inlineStr">
        <is>
          <t>Untested</t>
        </is>
      </c>
      <c r="L36" s="178" t="inlineStr">
        <is>
          <t>Untested</t>
        </is>
      </c>
      <c r="M36" s="77" t="n"/>
      <c r="N36" s="178" t="inlineStr">
        <is>
          <t>Q12</t>
        </is>
      </c>
    </row>
    <row r="37" outlineLevel="2" ht="186" customHeight="1">
      <c r="A37" s="178" t="inlineStr">
        <is>
          <t>MSB_TM-RP_TC_084</t>
        </is>
      </c>
      <c r="B37" s="178" t="inlineStr">
        <is>
          <t>Kiểm tra lấy đúng Tên KH theo loại khách hàng KHCN và KHTC</t>
        </is>
      </c>
      <c r="C37"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C301 của KHCN CIF 10070001 (họ tên Nguyễn Văn An); C302 của KHTC CIF 20070002 (tên giao dịch đầy đủ Công ty TNHH Thương mại Minh Phát)</t>
        </is>
      </c>
      <c r="D37" s="178" t="inlineStr">
        <is>
          <t>1. Mở báo cáo "Báo cáo các cảnh báo chưa được xử lý" (Report TM_03) trên OAS
2. Nhập tham số: Từ ngày = 01/07/2026; Đến ngày = 31/07/2026
3. Nhấn nút Apply
4. Xem cột Tên KH của C301 và C302</t>
        </is>
      </c>
      <c r="E37" s="178" t="inlineStr">
        <is>
          <t>- Tham số: Từ ngày = 01/07/2026; Đến ngày = 31/07/2026
- Case: C301, C302</t>
        </is>
      </c>
      <c r="F37" s="178" t="inlineStr">
        <is>
          <t>1. Báo cáo mở, hiển thị vùng tham số cùng nút Apply và Reset
2. Các tham số hiển thị đúng giá trị đã nhập
3. Báo cáo chạy xong, không hiển thị thông báo lỗi
4. C301 = Nguyễn Văn An; C302 = Công ty TNHH Thương mại Minh Phát</t>
        </is>
      </c>
      <c r="G37" s="178" t="inlineStr">
        <is>
          <t>SIT</t>
        </is>
      </c>
      <c r="H37" s="178" t="inlineStr">
        <is>
          <t>High</t>
        </is>
      </c>
      <c r="I37" s="178" t="inlineStr">
        <is>
          <t>Manual</t>
        </is>
      </c>
      <c r="J37" s="178" t="inlineStr">
        <is>
          <t>Untested</t>
        </is>
      </c>
      <c r="K37" s="178" t="inlineStr">
        <is>
          <t>Untested</t>
        </is>
      </c>
      <c r="L37" s="178" t="inlineStr">
        <is>
          <t>Untested</t>
        </is>
      </c>
      <c r="M37" s="77" t="n"/>
      <c r="N37" s="77" t="n"/>
    </row>
    <row r="38" outlineLevel="2" ht="156" customHeight="1">
      <c r="A38" s="178" t="inlineStr">
        <is>
          <t>MSB_TM-RP_TC_085</t>
        </is>
      </c>
      <c r="B38" s="178" t="inlineStr">
        <is>
          <t>Kiểm tra hiển thị đúng Loại KH theo CIF của case</t>
        </is>
      </c>
      <c r="C38"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C302, C305, C307 là KHTC; các case còn lại là KHCN</t>
        </is>
      </c>
      <c r="D38" s="178" t="inlineStr">
        <is>
          <t>1. Mở báo cáo "Báo cáo các cảnh báo chưa được xử lý" (Report TM_03) trên OAS
2. Nhập tham số: Từ ngày = 01/07/2026; Đến ngày = 31/07/2026
3. Nhấn nút Apply
4. Xem cột Loại KH của 13 dòng</t>
        </is>
      </c>
      <c r="E38" s="178" t="inlineStr">
        <is>
          <t>- Tham số: Từ ngày = 01/07/2026; Đến ngày = 31/07/2026</t>
        </is>
      </c>
      <c r="F38" s="178" t="inlineStr">
        <is>
          <t>1. Báo cáo mở, hiển thị vùng tham số cùng nút Apply và Reset
2. Các tham số hiển thị đúng giá trị đã nhập
3. Báo cáo chạy xong, không hiển thị thông báo lỗi
4. C302, C305, C307 = KHTC; 10 dòng còn lại = KHCN</t>
        </is>
      </c>
      <c r="G38" s="178" t="inlineStr">
        <is>
          <t>SIT</t>
        </is>
      </c>
      <c r="H38" s="178" t="inlineStr">
        <is>
          <t>High</t>
        </is>
      </c>
      <c r="I38" s="178" t="inlineStr">
        <is>
          <t>Manual</t>
        </is>
      </c>
      <c r="J38" s="178" t="inlineStr">
        <is>
          <t>Untested</t>
        </is>
      </c>
      <c r="K38" s="178" t="inlineStr">
        <is>
          <t>Untested</t>
        </is>
      </c>
      <c r="L38" s="178" t="inlineStr">
        <is>
          <t>Untested</t>
        </is>
      </c>
      <c r="M38" s="77" t="n"/>
      <c r="N38" s="178" t="inlineStr">
        <is>
          <t>Q13</t>
        </is>
      </c>
    </row>
    <row r="39" outlineLevel="2" ht="156" customHeight="1">
      <c r="A39" s="178" t="inlineStr">
        <is>
          <t>MSB_TM-RP_TC_086</t>
        </is>
      </c>
      <c r="B39" s="178" t="inlineStr">
        <is>
          <t>Kiểm tra lấy đúng Mã Đơn vị theo đơn vị quản lý CIF của case</t>
        </is>
      </c>
      <c r="C39"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C318 của CIF 10070018 do VN0010002 quản lý; các case khác do VN0010001 quản lý</t>
        </is>
      </c>
      <c r="D39" s="178" t="inlineStr">
        <is>
          <t>1. Mở báo cáo "Báo cáo các cảnh báo chưa được xử lý" (Report TM_03) trên OAS
2. Nhập tham số: Từ ngày = 01/07/2026; Đến ngày = 31/07/2026
3. Nhấn nút Apply
4. Xem cột Mã Đơn vị của C318 và C301</t>
        </is>
      </c>
      <c r="E39" s="178" t="inlineStr">
        <is>
          <t>- Tham số: Từ ngày = 01/07/2026; Đến ngày = 31/07/2026
- Case: C318, C301</t>
        </is>
      </c>
      <c r="F39" s="178" t="inlineStr">
        <is>
          <t>1. Báo cáo mở, hiển thị vùng tham số cùng nút Apply và Reset
2. Các tham số hiển thị đúng giá trị đã nhập
3. Báo cáo chạy xong, không hiển thị thông báo lỗi
4. C318 = VN0010002; C301 = VN0010001</t>
        </is>
      </c>
      <c r="G39" s="178" t="inlineStr">
        <is>
          <t>SIT</t>
        </is>
      </c>
      <c r="H39" s="178" t="inlineStr">
        <is>
          <t>High</t>
        </is>
      </c>
      <c r="I39" s="178" t="inlineStr">
        <is>
          <t>Manual</t>
        </is>
      </c>
      <c r="J39" s="178" t="inlineStr">
        <is>
          <t>Untested</t>
        </is>
      </c>
      <c r="K39" s="178" t="inlineStr">
        <is>
          <t>Untested</t>
        </is>
      </c>
      <c r="L39" s="178" t="inlineStr">
        <is>
          <t>Untested</t>
        </is>
      </c>
      <c r="M39" s="77" t="n"/>
      <c r="N39" s="77" t="n"/>
    </row>
    <row r="40" outlineLevel="2" ht="156" customHeight="1">
      <c r="A40" s="178" t="inlineStr">
        <is>
          <t>MSB_TM-RP_TC_087</t>
        </is>
      </c>
      <c r="B40" s="178" t="inlineStr">
        <is>
          <t>Kiểm tra hiển thị đúng Mã sự vụ và Ngày phát sinh sự vụ định dạng dd/mm/yyyy</t>
        </is>
      </c>
      <c r="C40"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C302 phát sinh ngày 05/07/2026</t>
        </is>
      </c>
      <c r="D40" s="178" t="inlineStr">
        <is>
          <t>1. Mở báo cáo "Báo cáo các cảnh báo chưa được xử lý" (Report TM_03) trên OAS
2. Nhập tham số: Từ ngày = 01/07/2026; Đến ngày = 31/07/2026
3. Nhấn nút Apply
4. Xem cột Mã sự vụ và Ngày phát sinh sự vụ của C302</t>
        </is>
      </c>
      <c r="E40" s="178" t="inlineStr">
        <is>
          <t>- Tham số: Từ ngày = 01/07/2026; Đến ngày = 31/07/2026
- Case: C302</t>
        </is>
      </c>
      <c r="F40" s="178" t="inlineStr">
        <is>
          <t>1. Báo cáo mở, hiển thị vùng tham số cùng nút Apply và Reset
2. Các tham số hiển thị đúng giá trị đã nhập
3. Báo cáo chạy xong, không hiển thị thông báo lỗi
4. Mã sự vụ = Case ID thật của C302; Ngày phát sinh sự vụ = 05/07/2026</t>
        </is>
      </c>
      <c r="G40" s="178" t="inlineStr">
        <is>
          <t>SIT</t>
        </is>
      </c>
      <c r="H40" s="178" t="inlineStr">
        <is>
          <t>Medium</t>
        </is>
      </c>
      <c r="I40" s="178" t="inlineStr">
        <is>
          <t>Manual</t>
        </is>
      </c>
      <c r="J40" s="178" t="inlineStr">
        <is>
          <t>Untested</t>
        </is>
      </c>
      <c r="K40" s="178" t="inlineStr">
        <is>
          <t>Untested</t>
        </is>
      </c>
      <c r="L40" s="178" t="inlineStr">
        <is>
          <t>Untested</t>
        </is>
      </c>
      <c r="M40" s="77" t="n"/>
      <c r="N40" s="77" t="n"/>
    </row>
    <row r="41" outlineLevel="2" ht="156" customHeight="1">
      <c r="A41" s="178" t="inlineStr">
        <is>
          <t>MSB_TM-RP_TC_088</t>
        </is>
      </c>
      <c r="B41" s="178" t="inlineStr">
        <is>
          <t>Kiểm tra cột STT tự sinh tăng dần liên tục từ 1</t>
        </is>
      </c>
      <c r="C41"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1" s="178" t="inlineStr">
        <is>
          <t>1. Mở báo cáo "Báo cáo các cảnh báo chưa được xử lý" (Report TM_03) trên OAS
2. Nhập tham số: Từ ngày = 01/07/2026; Đến ngày = 31/07/2026
3. Nhấn nút Apply
4. Xem cột STT từ dòng đầu đến dòng cuối</t>
        </is>
      </c>
      <c r="E41" s="178" t="inlineStr">
        <is>
          <t>- Tham số: Từ ngày = 01/07/2026; Đến ngày = 31/07/2026</t>
        </is>
      </c>
      <c r="F41" s="178" t="inlineStr">
        <is>
          <t>1. Báo cáo mở, hiển thị vùng tham số cùng nút Apply và Reset
2. Các tham số hiển thị đúng giá trị đã nhập
3. Báo cáo chạy xong, không hiển thị thông báo lỗi
4. STT chạy 1, 2, …, 13, không trùng, không ngắt quãng</t>
        </is>
      </c>
      <c r="G41" s="178" t="inlineStr">
        <is>
          <t>SIT</t>
        </is>
      </c>
      <c r="H41" s="178" t="inlineStr">
        <is>
          <t>Low</t>
        </is>
      </c>
      <c r="I41" s="178" t="inlineStr">
        <is>
          <t>Manual</t>
        </is>
      </c>
      <c r="J41" s="178" t="inlineStr">
        <is>
          <t>Untested</t>
        </is>
      </c>
      <c r="K41" s="178" t="inlineStr">
        <is>
          <t>Untested</t>
        </is>
      </c>
      <c r="L41" s="178" t="inlineStr">
        <is>
          <t>Untested</t>
        </is>
      </c>
      <c r="M41" s="77" t="n"/>
      <c r="N41" s="77" t="n"/>
    </row>
    <row r="42" outlineLevel="1" ht="20" customHeight="1">
      <c r="A42" s="176" t="inlineStr">
        <is>
          <t>— Tham số lọc &amp; biên kỳ</t>
        </is>
      </c>
      <c r="B42" s="177" t="n"/>
      <c r="C42" s="177" t="n"/>
      <c r="D42" s="177" t="n"/>
      <c r="E42" s="177" t="n"/>
      <c r="F42" s="177" t="n"/>
      <c r="G42" s="177" t="n"/>
      <c r="H42" s="177" t="n"/>
      <c r="I42" s="177" t="n"/>
      <c r="J42" s="177" t="n"/>
      <c r="K42" s="177" t="n"/>
      <c r="L42" s="177" t="n"/>
      <c r="M42" s="177" t="n"/>
      <c r="N42" s="177" t="n"/>
    </row>
    <row r="43" outlineLevel="2" ht="156" customHeight="1">
      <c r="A43" s="178" t="inlineStr">
        <is>
          <t>MSB_TM-RP_TC_089</t>
        </is>
      </c>
      <c r="B43" s="178" t="inlineStr">
        <is>
          <t>Kiểm tra lấy đúng case ngày 01/07/2026 và loại trừ case ngày 30/06/2026 ở biên đầu kỳ</t>
        </is>
      </c>
      <c r="C43"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C315 (New) phát sinh 01/07/2026; C317 (New) phát sinh 30/06/2026</t>
        </is>
      </c>
      <c r="D43" s="178" t="inlineStr">
        <is>
          <t>1. Mở báo cáo "Báo cáo các cảnh báo chưa được xử lý" (Report TM_03) trên OAS
2. Nhập tham số: Từ ngày = 01/07/2026; Đến ngày = 31/07/2026
3. Nhấn nút Apply
4. Tìm C315 và C317</t>
        </is>
      </c>
      <c r="E43" s="178" t="inlineStr">
        <is>
          <t>- Tham số: Từ ngày = 01/07/2026; Đến ngày = 31/07/2026
- Case: C315, C317</t>
        </is>
      </c>
      <c r="F43" s="178" t="inlineStr">
        <is>
          <t>1. Báo cáo mở, hiển thị vùng tham số cùng nút Apply và Reset
2. Các tham số hiển thị đúng giá trị đã nhập
3. Báo cáo chạy xong, không hiển thị thông báo lỗi
4. Có dòng C315; không có dòng C317</t>
        </is>
      </c>
      <c r="G43" s="178" t="inlineStr">
        <is>
          <t>SIT</t>
        </is>
      </c>
      <c r="H43" s="178" t="inlineStr">
        <is>
          <t>Medium</t>
        </is>
      </c>
      <c r="I43" s="178" t="inlineStr">
        <is>
          <t>Manual</t>
        </is>
      </c>
      <c r="J43" s="178" t="inlineStr">
        <is>
          <t>Untested</t>
        </is>
      </c>
      <c r="K43" s="178" t="inlineStr">
        <is>
          <t>Untested</t>
        </is>
      </c>
      <c r="L43" s="178" t="inlineStr">
        <is>
          <t>Untested</t>
        </is>
      </c>
      <c r="M43" s="77" t="n"/>
      <c r="N43" s="77" t="n"/>
    </row>
    <row r="44" outlineLevel="2" ht="156" customHeight="1">
      <c r="A44" s="178" t="inlineStr">
        <is>
          <t>MSB_TM-RP_TC_090</t>
        </is>
      </c>
      <c r="B44" s="178" t="inlineStr">
        <is>
          <t>Kiểm tra lấy đúng case ngày 31/07/2026 và loại trừ case ngày 01/08/2026 ở biên cuối kỳ</t>
        </is>
      </c>
      <c r="C44"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C316 (Pending Checker Review) phát sinh 31/07/2026; C320 (New) phát sinh 01/08/2026</t>
        </is>
      </c>
      <c r="D44" s="178" t="inlineStr">
        <is>
          <t>1. Mở báo cáo "Báo cáo các cảnh báo chưa được xử lý" (Report TM_03) trên OAS
2. Nhập tham số: Từ ngày = 01/07/2026; Đến ngày = 31/07/2026
3. Nhấn nút Apply
4. Tìm C316 và C320</t>
        </is>
      </c>
      <c r="E44" s="178" t="inlineStr">
        <is>
          <t>- Tham số: Từ ngày = 01/07/2026; Đến ngày = 31/07/2026
- Case: C316, C320</t>
        </is>
      </c>
      <c r="F44" s="178" t="inlineStr">
        <is>
          <t>1. Báo cáo mở, hiển thị vùng tham số cùng nút Apply và Reset
2. Các tham số hiển thị đúng giá trị đã nhập
3. Báo cáo chạy xong, không hiển thị thông báo lỗi
4. Có dòng C316; không có dòng C320</t>
        </is>
      </c>
      <c r="G44" s="178" t="inlineStr">
        <is>
          <t>SIT</t>
        </is>
      </c>
      <c r="H44" s="178" t="inlineStr">
        <is>
          <t>Medium</t>
        </is>
      </c>
      <c r="I44" s="178" t="inlineStr">
        <is>
          <t>Manual</t>
        </is>
      </c>
      <c r="J44" s="178" t="inlineStr">
        <is>
          <t>Untested</t>
        </is>
      </c>
      <c r="K44" s="178" t="inlineStr">
        <is>
          <t>Untested</t>
        </is>
      </c>
      <c r="L44" s="178" t="inlineStr">
        <is>
          <t>Untested</t>
        </is>
      </c>
      <c r="M44" s="77" t="n"/>
      <c r="N44" s="77" t="n"/>
    </row>
    <row r="45" outlineLevel="2" ht="171" customHeight="1">
      <c r="A45" s="178" t="inlineStr">
        <is>
          <t>MSB_TM-RP_TC_091</t>
        </is>
      </c>
      <c r="B45" s="178" t="inlineStr">
        <is>
          <t>Kiểm tra lọc thành công báo cáo TM_03 với Loại khách hàng = KHCN</t>
        </is>
      </c>
      <c r="C45"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5" s="178" t="inlineStr">
        <is>
          <t>1. Mở báo cáo "Báo cáo các cảnh báo chưa được xử lý" (Report TM_03) trên OAS
2. Nhập tham số: Từ ngày = 01/07/2026; Đến ngày = 31/07/2026; Loại khách hàng = KHCN
3. Nhấn nút Apply
4. Xem bảng kết quả</t>
        </is>
      </c>
      <c r="E45" s="178" t="inlineStr">
        <is>
          <t>- Tham số: Từ ngày = 01/07/2026; Đến ngày = 31/07/2026; Loại khách hàng = KHCN</t>
        </is>
      </c>
      <c r="F45" s="178" t="inlineStr">
        <is>
          <t>1. Báo cáo mở, hiển thị vùng tham số cùng nút Apply và Reset
2. Các tham số hiển thị đúng giá trị đã nhập
3. Báo cáo chạy xong, không hiển thị thông báo lỗi
4. Có 10 dòng: C301, C303, C304, C306, C308, C309, C315, C316, C318, C319; cột Loại KH đều = KHCN</t>
        </is>
      </c>
      <c r="G45" s="178" t="inlineStr">
        <is>
          <t>SIT</t>
        </is>
      </c>
      <c r="H45" s="178" t="inlineStr">
        <is>
          <t>High</t>
        </is>
      </c>
      <c r="I45" s="178" t="inlineStr">
        <is>
          <t>Manual</t>
        </is>
      </c>
      <c r="J45" s="178" t="inlineStr">
        <is>
          <t>Untested</t>
        </is>
      </c>
      <c r="K45" s="178" t="inlineStr">
        <is>
          <t>Untested</t>
        </is>
      </c>
      <c r="L45" s="178" t="inlineStr">
        <is>
          <t>Untested</t>
        </is>
      </c>
      <c r="M45" s="77" t="n"/>
      <c r="N45" s="77" t="n"/>
    </row>
    <row r="46" outlineLevel="2" ht="156" customHeight="1">
      <c r="A46" s="178" t="inlineStr">
        <is>
          <t>MSB_TM-RP_TC_092</t>
        </is>
      </c>
      <c r="B46" s="178" t="inlineStr">
        <is>
          <t>Kiểm tra lọc thành công báo cáo TM_03 với Loại khách hàng = KHTC</t>
        </is>
      </c>
      <c r="C46"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6" s="178" t="inlineStr">
        <is>
          <t>1. Mở báo cáo "Báo cáo các cảnh báo chưa được xử lý" (Report TM_03) trên OAS
2. Nhập tham số: Từ ngày = 01/07/2026; Đến ngày = 31/07/2026; Loại khách hàng = KHTC
3. Nhấn nút Apply
4. Xem bảng kết quả</t>
        </is>
      </c>
      <c r="E46" s="178" t="inlineStr">
        <is>
          <t>- Tham số: Từ ngày = 01/07/2026; Đến ngày = 31/07/2026; Loại khách hàng = KHTC</t>
        </is>
      </c>
      <c r="F46" s="178" t="inlineStr">
        <is>
          <t>1. Báo cáo mở, hiển thị vùng tham số cùng nút Apply và Reset
2. Các tham số hiển thị đúng giá trị đã nhập
3. Báo cáo chạy xong, không hiển thị thông báo lỗi
4. Có 3 dòng: C302, C305, C307; cột Loại KH đều = KHTC</t>
        </is>
      </c>
      <c r="G46" s="178" t="inlineStr">
        <is>
          <t>SIT</t>
        </is>
      </c>
      <c r="H46" s="178" t="inlineStr">
        <is>
          <t>High</t>
        </is>
      </c>
      <c r="I46" s="178" t="inlineStr">
        <is>
          <t>Manual</t>
        </is>
      </c>
      <c r="J46" s="178" t="inlineStr">
        <is>
          <t>Untested</t>
        </is>
      </c>
      <c r="K46" s="178" t="inlineStr">
        <is>
          <t>Untested</t>
        </is>
      </c>
      <c r="L46" s="178" t="inlineStr">
        <is>
          <t>Untested</t>
        </is>
      </c>
      <c r="M46" s="77" t="n"/>
      <c r="N46" s="77" t="n"/>
    </row>
    <row r="47" outlineLevel="2" ht="156" customHeight="1">
      <c r="A47" s="178" t="inlineStr">
        <is>
          <t>MSB_TM-RP_TC_093</t>
        </is>
      </c>
      <c r="B47" s="178" t="inlineStr">
        <is>
          <t>Kiểm tra lọc thành công báo cáo TM_03 với Trạng thái sự vụ chọn 1 giá trị</t>
        </is>
      </c>
      <c r="C47"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7" s="178" t="inlineStr">
        <is>
          <t>1. Mở báo cáo "Báo cáo các cảnh báo chưa được xử lý" (Report TM_03) trên OAS
2. Nhập tham số: Từ ngày = 01/07/2026; Đến ngày = 31/07/2026; Trạng thái sự vụ = Pending Checker Review
3. Nhấn nút Apply
4. Xem bảng kết quả</t>
        </is>
      </c>
      <c r="E47" s="178" t="inlineStr">
        <is>
          <t>- Tham số: Từ ngày = 01/07/2026; Đến ngày = 31/07/2026; Trạng thái sự vụ = Pending Checker Review</t>
        </is>
      </c>
      <c r="F47" s="178" t="inlineStr">
        <is>
          <t>1. Báo cáo mở, hiển thị vùng tham số cùng nút Apply và Reset
2. Các tham số hiển thị đúng giá trị đã nhập
3. Báo cáo chạy xong, không hiển thị thông báo lỗi
4. Có 3 dòng: C302, C316, C319; cột Trạng thái sự vụ đều = Pending Checker Review</t>
        </is>
      </c>
      <c r="G47" s="178" t="inlineStr">
        <is>
          <t>SIT</t>
        </is>
      </c>
      <c r="H47" s="178" t="inlineStr">
        <is>
          <t>High</t>
        </is>
      </c>
      <c r="I47" s="178" t="inlineStr">
        <is>
          <t>Manual</t>
        </is>
      </c>
      <c r="J47" s="178" t="inlineStr">
        <is>
          <t>Untested</t>
        </is>
      </c>
      <c r="K47" s="178" t="inlineStr">
        <is>
          <t>Untested</t>
        </is>
      </c>
      <c r="L47" s="178" t="inlineStr">
        <is>
          <t>Untested</t>
        </is>
      </c>
      <c r="M47" s="77" t="n"/>
      <c r="N47" s="77" t="n"/>
    </row>
    <row r="48" outlineLevel="2" ht="156" customHeight="1">
      <c r="A48" s="178" t="inlineStr">
        <is>
          <t>MSB_TM-RP_TC_094</t>
        </is>
      </c>
      <c r="B48" s="178" t="inlineStr">
        <is>
          <t>Kiểm tra lọc thành công báo cáo TM_03 với Trạng thái sự vụ chọn nhiều giá trị</t>
        </is>
      </c>
      <c r="C48"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8" s="178" t="inlineStr">
        <is>
          <t>1. Mở báo cáo "Báo cáo các cảnh báo chưa được xử lý" (Report TM_03) trên OAS
2. Nhập tham số: Từ ngày = 01/07/2026; Đến ngày = 31/07/2026; Trạng thái sự vụ = Pending AML Maker, Pending AML Checker review
3. Nhấn nút Apply
4. Xem bảng kết quả</t>
        </is>
      </c>
      <c r="E48" s="178" t="inlineStr">
        <is>
          <t>- Tham số: Từ ngày = 01/07/2026; Đến ngày = 31/07/2026; Trạng thái sự vụ = Pending AML Maker, Pending AML Checker review</t>
        </is>
      </c>
      <c r="F48" s="178" t="inlineStr">
        <is>
          <t>1. Báo cáo mở, hiển thị vùng tham số cùng nút Apply và Reset
2. Các tham số hiển thị đúng giá trị đã nhập
3. Báo cáo chạy xong, không hiển thị thông báo lỗi
4. Có 2 dòng: C307 (Pending AML Maker), C308 (Pending AML Checker review)</t>
        </is>
      </c>
      <c r="G48" s="178" t="inlineStr">
        <is>
          <t>SIT</t>
        </is>
      </c>
      <c r="H48" s="178" t="inlineStr">
        <is>
          <t>High</t>
        </is>
      </c>
      <c r="I48" s="178" t="inlineStr">
        <is>
          <t>Manual</t>
        </is>
      </c>
      <c r="J48" s="178" t="inlineStr">
        <is>
          <t>Untested</t>
        </is>
      </c>
      <c r="K48" s="178" t="inlineStr">
        <is>
          <t>Untested</t>
        </is>
      </c>
      <c r="L48" s="178" t="inlineStr">
        <is>
          <t>Untested</t>
        </is>
      </c>
      <c r="M48" s="77" t="n"/>
      <c r="N48" s="77" t="n"/>
    </row>
    <row r="49" outlineLevel="2" ht="171" customHeight="1">
      <c r="A49" s="178" t="inlineStr">
        <is>
          <t>MSB_TM-RP_TC_095</t>
        </is>
      </c>
      <c r="B49" s="178" t="inlineStr">
        <is>
          <t>Kiểm tra lọc thành công báo cáo TM_03 khi kết hợp toàn bộ tham số</t>
        </is>
      </c>
      <c r="C49"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9" s="178" t="inlineStr">
        <is>
          <t>1. Mở báo cáo "Báo cáo các cảnh báo chưa được xử lý" (Report TM_03) trên OAS
2. Nhập tham số: Từ ngày = 01/07/2026; Đến ngày = 31/07/2026; Loại khách hàng = KHTC; Trạng thái sự vụ = Pending AML Maker
3. Nhấn nút Apply
4. Xem bảng kết quả</t>
        </is>
      </c>
      <c r="E49" s="178" t="inlineStr">
        <is>
          <t>- Tham số: Từ ngày = 01/07/2026; Đến ngày = 31/07/2026; Loại khách hàng = KHTC; Trạng thái sự vụ = Pending AML Maker</t>
        </is>
      </c>
      <c r="F49" s="178" t="inlineStr">
        <is>
          <t>1. Báo cáo mở, hiển thị vùng tham số cùng nút Apply và Reset
2. Các tham số hiển thị đúng giá trị đã nhập
3. Báo cáo chạy xong, không hiển thị thông báo lỗi
4. Chỉ có 1 dòng C307 (CIF 20070007, Công ty TNHH Logistics Sao Mai, KHTC, Pending AML Maker, AML, VN0010001)</t>
        </is>
      </c>
      <c r="G49" s="178" t="inlineStr">
        <is>
          <t>SIT</t>
        </is>
      </c>
      <c r="H49" s="178" t="inlineStr">
        <is>
          <t>High</t>
        </is>
      </c>
      <c r="I49" s="178" t="inlineStr">
        <is>
          <t>Manual</t>
        </is>
      </c>
      <c r="J49" s="178" t="inlineStr">
        <is>
          <t>Untested</t>
        </is>
      </c>
      <c r="K49" s="178" t="inlineStr">
        <is>
          <t>Untested</t>
        </is>
      </c>
      <c r="L49" s="178" t="inlineStr">
        <is>
          <t>Untested</t>
        </is>
      </c>
      <c r="M49" s="77" t="n"/>
      <c r="N49" s="77" t="n"/>
    </row>
    <row r="50" outlineLevel="1" ht="20" customHeight="1">
      <c r="A50" s="176" t="inlineStr">
        <is>
          <t>— Trích xuất báo cáo</t>
        </is>
      </c>
      <c r="B50" s="177" t="n"/>
      <c r="C50" s="177" t="n"/>
      <c r="D50" s="177" t="n"/>
      <c r="E50" s="177" t="n"/>
      <c r="F50" s="177" t="n"/>
      <c r="G50" s="177" t="n"/>
      <c r="H50" s="177" t="n"/>
      <c r="I50" s="177" t="n"/>
      <c r="J50" s="177" t="n"/>
      <c r="K50" s="177" t="n"/>
      <c r="L50" s="177" t="n"/>
      <c r="M50" s="177" t="n"/>
      <c r="N50" s="177" t="n"/>
    </row>
    <row r="51" outlineLevel="2" ht="201" customHeight="1">
      <c r="A51" s="178" t="inlineStr">
        <is>
          <t>MSB_TM-RP_TC_096</t>
        </is>
      </c>
      <c r="B51" s="178" t="inlineStr">
        <is>
          <t>Kiểm tra xuất thành công báo cáo TM_03 ra file Excel với dữ liệu kỳ 07/2026</t>
        </is>
      </c>
      <c r="C51"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51" s="178" t="inlineStr">
        <is>
          <t>1. Mở báo cáo "Báo cáo các cảnh báo chưa được xử lý" (Report TM_03) trên OAS
2. Nhập tham số: Từ ngày = 01/07/2026; Đến ngày = 31/07/2026
3. Nhấn nút Apply
4. Export &gt; Formatted &gt; Excel
5. Mở file Excel vừa tải</t>
        </is>
      </c>
      <c r="E51" s="178" t="inlineStr">
        <is>
          <t>- Tham số: Từ ngày = 01/07/2026; Đến ngày = 31/07/2026</t>
        </is>
      </c>
      <c r="F51" s="178" t="inlineStr">
        <is>
          <t>1. Báo cáo mở, hiển thị vùng tham số cùng nút Apply và Reset
2. Các tham số hiển thị đúng giá trị đã nhập
3. Báo cáo chạy xong, không hiển thị thông báo lỗi
4. Tải về 1 file .xlsx
5. File có 13 dòng khớp màn hình, CIF giữ nguyên dạng text, bố cục khớp template sheet Report TM_03</t>
        </is>
      </c>
      <c r="G51" s="178" t="inlineStr">
        <is>
          <t>SIT</t>
        </is>
      </c>
      <c r="H51" s="178" t="inlineStr">
        <is>
          <t>High</t>
        </is>
      </c>
      <c r="I51" s="178" t="inlineStr">
        <is>
          <t>Manual</t>
        </is>
      </c>
      <c r="J51" s="178" t="inlineStr">
        <is>
          <t>Untested</t>
        </is>
      </c>
      <c r="K51" s="178" t="inlineStr">
        <is>
          <t>Untested</t>
        </is>
      </c>
      <c r="L51" s="178" t="inlineStr">
        <is>
          <t>Untested</t>
        </is>
      </c>
      <c r="M51" s="77" t="n"/>
      <c r="N51" s="77" t="n"/>
    </row>
    <row r="52" outlineLevel="2" ht="186" customHeight="1">
      <c r="A52" s="178" t="inlineStr">
        <is>
          <t>MSB_TM-RP_TC_097</t>
        </is>
      </c>
      <c r="B52" s="178" t="inlineStr">
        <is>
          <t>Kiểm tra xuất thành công báo cáo TM_03 ra file PDF với dữ liệu kỳ 07/2026</t>
        </is>
      </c>
      <c r="C52"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52" s="178" t="inlineStr">
        <is>
          <t>1. Mở báo cáo "Báo cáo các cảnh báo chưa được xử lý" (Report TM_03) trên OAS
2. Nhập tham số: Từ ngày = 01/07/2026; Đến ngày = 31/07/2026
3. Nhấn nút Apply
4. Export &gt; Formatted &gt; PDF
5. Mở file PDF vừa tải</t>
        </is>
      </c>
      <c r="E52" s="178" t="inlineStr">
        <is>
          <t>- Tham số: Từ ngày = 01/07/2026; Đến ngày = 31/07/2026</t>
        </is>
      </c>
      <c r="F52" s="178" t="inlineStr">
        <is>
          <t>1. Báo cáo mở, hiển thị vùng tham số cùng nút Apply và Reset
2. Các tham số hiển thị đúng giá trị đã nhập
3. Báo cáo chạy xong, không hiển thị thông báo lỗi
4. Tải về 1 file .pdf
5. File có 13 dòng khớp màn hình, tên khách hàng tiếng Việt hiển thị đúng font</t>
        </is>
      </c>
      <c r="G52" s="178" t="inlineStr">
        <is>
          <t>SIT</t>
        </is>
      </c>
      <c r="H52" s="178" t="inlineStr">
        <is>
          <t>High</t>
        </is>
      </c>
      <c r="I52" s="178" t="inlineStr">
        <is>
          <t>Manual</t>
        </is>
      </c>
      <c r="J52" s="178" t="inlineStr">
        <is>
          <t>Untested</t>
        </is>
      </c>
      <c r="K52" s="178" t="inlineStr">
        <is>
          <t>Untested</t>
        </is>
      </c>
      <c r="L52" s="178" t="inlineStr">
        <is>
          <t>Untested</t>
        </is>
      </c>
      <c r="M52" s="77" t="n"/>
      <c r="N52" s="77" t="n"/>
    </row>
    <row r="53" outlineLevel="1" ht="20" customHeight="1">
      <c r="A53" s="176" t="inlineStr">
        <is>
          <t>— Kết quả theo số lượng bản ghi (không có / ít / nhiều)</t>
        </is>
      </c>
      <c r="B53" s="177" t="n"/>
      <c r="C53" s="177" t="n"/>
      <c r="D53" s="177" t="n"/>
      <c r="E53" s="177" t="n"/>
      <c r="F53" s="177" t="n"/>
      <c r="G53" s="177" t="n"/>
      <c r="H53" s="177" t="n"/>
      <c r="I53" s="177" t="n"/>
      <c r="J53" s="177" t="n"/>
      <c r="K53" s="177" t="n"/>
      <c r="L53" s="177" t="n"/>
      <c r="M53" s="177" t="n"/>
      <c r="N53" s="177" t="n"/>
    </row>
    <row r="54" outlineLevel="2" ht="156" customHeight="1">
      <c r="A54" s="178" t="inlineStr">
        <is>
          <t>MSB_TM-RP_TC_098</t>
        </is>
      </c>
      <c r="B54" s="178" t="inlineStr">
        <is>
          <t>Kiểm tra hiển thị báo cáo TM_03 rỗng không lỗi với kỳ không có case chưa đóng</t>
        </is>
      </c>
      <c r="C54" s="178" t="inlineStr">
        <is>
          <t>- User: Đăng nhập tm_aml_maker (AML Maker – HO, HO0000001)
- Màn hình: trang chủ Oracle Analytics Server (OAS) môi trường SIT, chưa mở báo cáo
- Dữ liệu: tháng 01/2026 không có case chưa đóng nào</t>
        </is>
      </c>
      <c r="D54" s="178" t="inlineStr">
        <is>
          <t>1. Mở báo cáo "Báo cáo các cảnh báo chưa được xử lý" (Report TM_03) trên OAS
2. Nhập tham số: Từ ngày = 01/01/2026; Đến ngày = 31/01/2026
3. Nhấn nút Apply
4. Xem vùng kết quả</t>
        </is>
      </c>
      <c r="E54" s="178" t="inlineStr">
        <is>
          <t>- Tham số: Từ ngày = 01/01/2026; Đến ngày = 31/01/2026</t>
        </is>
      </c>
      <c r="F54" s="178" t="inlineStr">
        <is>
          <t>1. Báo cáo mở, hiển thị vùng tham số cùng nút Apply và Reset
2. Các tham số hiển thị đúng giá trị đã nhập
3. Báo cáo chạy xong, không hiển thị thông báo lỗi
4. Báo cáo không có dòng dữ liệu, không phát sinh lỗi</t>
        </is>
      </c>
      <c r="G54" s="178" t="inlineStr">
        <is>
          <t>SIT</t>
        </is>
      </c>
      <c r="H54" s="178" t="inlineStr">
        <is>
          <t>Medium</t>
        </is>
      </c>
      <c r="I54" s="178" t="inlineStr">
        <is>
          <t>Manual</t>
        </is>
      </c>
      <c r="J54" s="178" t="inlineStr">
        <is>
          <t>Untested</t>
        </is>
      </c>
      <c r="K54" s="178" t="inlineStr">
        <is>
          <t>Untested</t>
        </is>
      </c>
      <c r="L54" s="178" t="inlineStr">
        <is>
          <t>Untested</t>
        </is>
      </c>
      <c r="M54" s="77" t="n"/>
      <c r="N54" s="77" t="n"/>
    </row>
    <row r="55" outlineLevel="2" ht="156" customHeight="1">
      <c r="A55" s="178" t="inlineStr">
        <is>
          <t>MSB_TM-RP_TC_099</t>
        </is>
      </c>
      <c r="B55" s="178" t="inlineStr">
        <is>
          <t>Kiểm tra hiển thị đủ kết quả trên 1 trang không có phân trang khi báo cáo TM_03 trả về ít bản ghi</t>
        </is>
      </c>
      <c r="C55"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55" s="178" t="inlineStr">
        <is>
          <t>1. Mở báo cáo "Báo cáo các cảnh báo chưa được xử lý" (Report TM_03) trên OAS
2. Nhập tham số: Từ ngày = 01/07/2026; Đến ngày = 31/07/2026; Loại khách hàng = KHTC; Trạng thái sự vụ = Pending AML Maker
3. Nhấn nút Apply
4. Xem bảng kết quả và vùng điều khiển phân trang</t>
        </is>
      </c>
      <c r="E55" s="178" t="inlineStr">
        <is>
          <t>- Tham số: Từ ngày = 01/07/2026; Đến ngày = 31/07/2026; Loại khách hàng = KHTC; Trạng thái sự vụ = Pending AML Maker</t>
        </is>
      </c>
      <c r="F55" s="178" t="inlineStr">
        <is>
          <t>1. Báo cáo mở, hiển thị vùng tham số cùng nút Apply và Reset
2. Các tham số hiển thị đúng giá trị đã nhập
3. Báo cáo chạy xong, không hiển thị thông báo lỗi
4. Chỉ có 1 dòng C307; không hiển thị nút chuyển trang (25 dòng/trang)</t>
        </is>
      </c>
      <c r="G55" s="178" t="inlineStr">
        <is>
          <t>SIT</t>
        </is>
      </c>
      <c r="H55" s="178" t="inlineStr">
        <is>
          <t>Medium</t>
        </is>
      </c>
      <c r="I55" s="178" t="inlineStr">
        <is>
          <t>Manual</t>
        </is>
      </c>
      <c r="J55" s="178" t="inlineStr">
        <is>
          <t>Untested</t>
        </is>
      </c>
      <c r="K55" s="178" t="inlineStr">
        <is>
          <t>Untested</t>
        </is>
      </c>
      <c r="L55" s="178" t="inlineStr">
        <is>
          <t>Untested</t>
        </is>
      </c>
      <c r="M55" s="77" t="n"/>
      <c r="N55" s="178" t="inlineStr">
        <is>
          <t>Q17</t>
        </is>
      </c>
    </row>
    <row r="56" outlineLevel="2" ht="171" customHeight="1">
      <c r="A56" s="178" t="inlineStr">
        <is>
          <t>MSB_TM-RP_TC_100</t>
        </is>
      </c>
      <c r="B56" s="178" t="inlineStr">
        <is>
          <t>Kiểm tra hiển thị phân trang thành công khi báo cáo TM_03 trả về nhiều hơn 1 trang</t>
        </is>
      </c>
      <c r="C56"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6" s="178" t="inlineStr">
        <is>
          <t>1. Mở báo cáo "Báo cáo các cảnh báo chưa được xử lý" (Report TM_03) trên OAS
2. Nhập tham số: Từ ngày = 01/03/2024; Đến ngày = 31/03/2024
3. Nhấn nút Apply
4. Xem trang 1 của bảng kết quả và vùng điều khiển phân trang</t>
        </is>
      </c>
      <c r="E56" s="178" t="inlineStr">
        <is>
          <t>- Tham số: Từ ngày = 01/03/2024; Đến ngày = 31/03/2024
- Kỳ vọng: 60 dòng V001–V060 (mỗi case 1 dòng)</t>
        </is>
      </c>
      <c r="F56" s="178" t="inlineStr">
        <is>
          <t>1. Báo cáo mở, hiển thị vùng tham số cùng nút Apply và Reset
2. Các tham số hiển thị đúng giá trị đã nhập
3. Báo cáo chạy xong, không hiển thị thông báo lỗi
4. Trang 1 hiển thị 25 dòng đầu (STT 1–25), có nút chuyển trang và thông tin tổng 60 dòng (25 dòng/trang)</t>
        </is>
      </c>
      <c r="G56" s="178" t="inlineStr">
        <is>
          <t>SIT</t>
        </is>
      </c>
      <c r="H56" s="178" t="inlineStr">
        <is>
          <t>High</t>
        </is>
      </c>
      <c r="I56" s="178" t="inlineStr">
        <is>
          <t>Manual</t>
        </is>
      </c>
      <c r="J56" s="178" t="inlineStr">
        <is>
          <t>Untested</t>
        </is>
      </c>
      <c r="K56" s="178" t="inlineStr">
        <is>
          <t>Untested</t>
        </is>
      </c>
      <c r="L56" s="178" t="inlineStr">
        <is>
          <t>Untested</t>
        </is>
      </c>
      <c r="M56" s="77" t="n"/>
      <c r="N56" s="178" t="inlineStr">
        <is>
          <t>Q17</t>
        </is>
      </c>
    </row>
    <row r="57" outlineLevel="2" ht="231" customHeight="1">
      <c r="A57" s="178" t="inlineStr">
        <is>
          <t>MSB_TM-RP_TC_101</t>
        </is>
      </c>
      <c r="B57" s="178" t="inlineStr">
        <is>
          <t>Kiểm tra chuyển trang thành công và STT liên tục không trùng, không mất dòng của báo cáo TM_03</t>
        </is>
      </c>
      <c r="C57"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7" s="178" t="inlineStr">
        <is>
          <t>1. Mở báo cáo "Báo cáo các cảnh báo chưa được xử lý" (Report TM_03) trên OAS
2. Nhập tham số: Từ ngày = 01/03/2024; Đến ngày = 31/03/2024
3. Nhấn nút Apply
4. Nhấn nút trang kế tiếp
5. Nhấn nút trang kế tiếp lần 2
6. Nhấn nút trang trước, sau đó nút trang đầu</t>
        </is>
      </c>
      <c r="E57" s="178" t="inlineStr">
        <is>
          <t>- Tham số: Từ ngày = 01/03/2024; Đến ngày = 31/03/2024</t>
        </is>
      </c>
      <c r="F57" s="178" t="inlineStr">
        <is>
          <t>1. Báo cáo mở, hiển thị vùng tham số cùng nút Apply và Reset
2. Các tham số hiển thị đúng giá trị đã nhập
3. Báo cáo chạy xong, không hiển thị thông báo lỗi
4. Trang 2 hiển thị STT 26–50, nối tiếp trang 1
5. Trang 3 hiển thị STT 51–60 (10 dòng), là trang cuối
6. Quay về đúng trang 2 rồi trang 1; qua 3 trang có đủ 60 Mã sự vụ V001–V060, không mã nào lặp</t>
        </is>
      </c>
      <c r="G57" s="178" t="inlineStr">
        <is>
          <t>SIT</t>
        </is>
      </c>
      <c r="H57" s="178" t="inlineStr">
        <is>
          <t>High</t>
        </is>
      </c>
      <c r="I57" s="178" t="inlineStr">
        <is>
          <t>Manual</t>
        </is>
      </c>
      <c r="J57" s="178" t="inlineStr">
        <is>
          <t>Untested</t>
        </is>
      </c>
      <c r="K57" s="178" t="inlineStr">
        <is>
          <t>Untested</t>
        </is>
      </c>
      <c r="L57" s="178" t="inlineStr">
        <is>
          <t>Untested</t>
        </is>
      </c>
      <c r="M57" s="77" t="n"/>
      <c r="N57" s="178" t="inlineStr">
        <is>
          <t>Q17</t>
        </is>
      </c>
    </row>
    <row r="58" outlineLevel="2" ht="186" customHeight="1">
      <c r="A58" s="178" t="inlineStr">
        <is>
          <t>MSB_TM-RP_TC_102</t>
        </is>
      </c>
      <c r="B58" s="178" t="inlineStr">
        <is>
          <t>Kiểm tra xuất Excel đủ toàn bộ bản ghi khi kết quả báo cáo TM_03 nhiều hơn 1 trang</t>
        </is>
      </c>
      <c r="C58"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8" s="178" t="inlineStr">
        <is>
          <t>1. Mở báo cáo "Báo cáo các cảnh báo chưa được xử lý" (Report TM_03) trên OAS
2. Nhập tham số: Từ ngày = 01/03/2024; Đến ngày = 31/03/2024
3. Nhấn nút Apply
4. Sang trang 2, Export &gt; Formatted &gt; Excel
5. Mở file Excel, đếm số dòng và xem cột STT</t>
        </is>
      </c>
      <c r="E58" s="178" t="inlineStr">
        <is>
          <t>- Tham số: Từ ngày = 01/03/2024; Đến ngày = 31/03/2024</t>
        </is>
      </c>
      <c r="F58" s="178" t="inlineStr">
        <is>
          <t>1. Báo cáo mở, hiển thị vùng tham số cùng nút Apply và Reset
2. Các tham số hiển thị đúng giá trị đã nhập
3. Báo cáo chạy xong, không hiển thị thông báo lỗi
4. Tải về 1 file .xlsx
5. File có đủ 60 dòng, STT 1–60 (không chỉ dòng của trang đang xem)</t>
        </is>
      </c>
      <c r="G58" s="178" t="inlineStr">
        <is>
          <t>SIT</t>
        </is>
      </c>
      <c r="H58" s="178" t="inlineStr">
        <is>
          <t>High</t>
        </is>
      </c>
      <c r="I58" s="178" t="inlineStr">
        <is>
          <t>Manual</t>
        </is>
      </c>
      <c r="J58" s="178" t="inlineStr">
        <is>
          <t>Untested</t>
        </is>
      </c>
      <c r="K58" s="178" t="inlineStr">
        <is>
          <t>Untested</t>
        </is>
      </c>
      <c r="L58" s="178" t="inlineStr">
        <is>
          <t>Untested</t>
        </is>
      </c>
      <c r="M58" s="77" t="n"/>
      <c r="N58" s="178" t="inlineStr">
        <is>
          <t>Q17</t>
        </is>
      </c>
    </row>
    <row r="59" outlineLevel="2" ht="186" customHeight="1">
      <c r="A59" s="178" t="inlineStr">
        <is>
          <t>MSB_TM-RP_TC_103</t>
        </is>
      </c>
      <c r="B59" s="178" t="inlineStr">
        <is>
          <t>Kiểm tra xuất PDF đủ toàn bộ bản ghi khi kết quả báo cáo TM_03 nhiều hơn 1 trang</t>
        </is>
      </c>
      <c r="C59"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9" s="178" t="inlineStr">
        <is>
          <t>1. Mở báo cáo "Báo cáo các cảnh báo chưa được xử lý" (Report TM_03) trên OAS
2. Nhập tham số: Từ ngày = 01/03/2024; Đến ngày = 31/03/2024
3. Nhấn nút Apply
4. Export &gt; Formatted &gt; PDF
5. Mở file PDF, đếm số dòng và xem cột STT</t>
        </is>
      </c>
      <c r="E59" s="178" t="inlineStr">
        <is>
          <t>- Tham số: Từ ngày = 01/03/2024; Đến ngày = 31/03/2024</t>
        </is>
      </c>
      <c r="F59" s="178" t="inlineStr">
        <is>
          <t>1. Báo cáo mở, hiển thị vùng tham số cùng nút Apply và Reset
2. Các tham số hiển thị đúng giá trị đã nhập
3. Báo cáo chạy xong, không hiển thị thông báo lỗi
4. Tải về 1 file .pdf
5. File có đủ 60 dòng, STT 1–60, ngắt trang PDF không làm mất hoặc lặp dòng</t>
        </is>
      </c>
      <c r="G59" s="178" t="inlineStr">
        <is>
          <t>SIT</t>
        </is>
      </c>
      <c r="H59" s="178" t="inlineStr">
        <is>
          <t>High</t>
        </is>
      </c>
      <c r="I59" s="178" t="inlineStr">
        <is>
          <t>Manual</t>
        </is>
      </c>
      <c r="J59" s="178" t="inlineStr">
        <is>
          <t>Untested</t>
        </is>
      </c>
      <c r="K59" s="178" t="inlineStr">
        <is>
          <t>Untested</t>
        </is>
      </c>
      <c r="L59" s="178" t="inlineStr">
        <is>
          <t>Untested</t>
        </is>
      </c>
      <c r="M59" s="77" t="n"/>
      <c r="N59" s="178" t="inlineStr">
        <is>
          <t>Q17</t>
        </is>
      </c>
    </row>
    <row r="60" outlineLevel="2" ht="186" customHeight="1">
      <c r="A60" s="178" t="inlineStr">
        <is>
          <t>MSB_TM-RP_TC_104</t>
        </is>
      </c>
      <c r="B60" s="178" t="inlineStr">
        <is>
          <t>Kiểm tra kết quả quay về trang 1 khi đổi tham số lúc đang xem trang 3 của báo cáo TM_03</t>
        </is>
      </c>
      <c r="C60"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60" s="178" t="inlineStr">
        <is>
          <t>1. Mở báo cáo "Báo cáo các cảnh báo chưa được xử lý" (Report TM_03) trên OAS
2. Nhập tham số: Từ ngày = 01/03/2024; Đến ngày = 31/03/2024
3. Nhấn nút Apply
4. Chuyển tới trang 3
5. Đổi Đến ngày = 10/03/2024, nhấn Apply</t>
        </is>
      </c>
      <c r="E60" s="178" t="inlineStr">
        <is>
          <t>- Tham số: Từ ngày = 01/03/2024; Đến ngày = 31/03/2024
- Lần 2: Đến ngày = 10/03/2024</t>
        </is>
      </c>
      <c r="F60" s="178" t="inlineStr">
        <is>
          <t>1. Báo cáo mở, hiển thị vùng tham số cùng nút Apply và Reset
2. Các tham số hiển thị đúng giá trị đã nhập
3. Báo cáo chạy xong, không hiển thị thông báo lỗi
4. Đang ở trang 3 (STT 51–60)
5. Kết quả hiển thị từ trang 1 (STT bắt đầu = 1), chỉ gồm case phát sinh 01/03/2024–10/03/2024</t>
        </is>
      </c>
      <c r="G60" s="178" t="inlineStr">
        <is>
          <t>SIT</t>
        </is>
      </c>
      <c r="H60" s="178" t="inlineStr">
        <is>
          <t>Medium</t>
        </is>
      </c>
      <c r="I60" s="178" t="inlineStr">
        <is>
          <t>Manual</t>
        </is>
      </c>
      <c r="J60" s="178" t="inlineStr">
        <is>
          <t>Untested</t>
        </is>
      </c>
      <c r="K60" s="178" t="inlineStr">
        <is>
          <t>Untested</t>
        </is>
      </c>
      <c r="L60" s="178" t="inlineStr">
        <is>
          <t>Untested</t>
        </is>
      </c>
      <c r="M60" s="77" t="n"/>
      <c r="N60" s="178" t="inlineStr">
        <is>
          <t>Q17</t>
        </is>
      </c>
    </row>
    <row r="61" ht="20" customHeight="1">
      <c r="A61" s="175" t="inlineStr">
        <is>
          <t>NHÓM VALIDATE (Risk Medium)</t>
        </is>
      </c>
      <c r="B61" s="95" t="n"/>
      <c r="C61" s="95" t="n"/>
      <c r="D61" s="95" t="n"/>
      <c r="E61" s="95" t="n"/>
      <c r="F61" s="95" t="n"/>
      <c r="G61" s="95" t="n"/>
      <c r="H61" s="95" t="n"/>
      <c r="I61" s="95" t="n"/>
      <c r="J61" s="95" t="n"/>
      <c r="K61" s="95" t="n"/>
      <c r="L61" s="95" t="n"/>
      <c r="M61" s="95" t="n"/>
      <c r="N61" s="95" t="n"/>
    </row>
    <row r="62" outlineLevel="1" ht="20" customHeight="1">
      <c r="A62" s="176" t="inlineStr">
        <is>
          <t>— Trường: Từ ngày</t>
        </is>
      </c>
      <c r="B62" s="177" t="n"/>
      <c r="C62" s="177" t="n"/>
      <c r="D62" s="177" t="n"/>
      <c r="E62" s="177" t="n"/>
      <c r="F62" s="177" t="n"/>
      <c r="G62" s="177" t="n"/>
      <c r="H62" s="177" t="n"/>
      <c r="I62" s="177" t="n"/>
      <c r="J62" s="177" t="n"/>
      <c r="K62" s="177" t="n"/>
      <c r="L62" s="177" t="n"/>
      <c r="M62" s="177" t="n"/>
      <c r="N62" s="177" t="n"/>
    </row>
    <row r="63" outlineLevel="2" ht="156" customHeight="1">
      <c r="A63" s="178" t="inlineStr">
        <is>
          <t>MSB_TM-RP_TC_105</t>
        </is>
      </c>
      <c r="B63" s="178" t="inlineStr">
        <is>
          <t>Kiểm tra chặn chạy báo cáo TM_03 khi bỏ trống tham số Từ ngày</t>
        </is>
      </c>
      <c r="C63" s="178"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3" s="178" t="inlineStr">
        <is>
          <t>1. Để trống Từ ngày, chọn Đến ngày = 31/07/2026
2. Quan sát nút Apply</t>
        </is>
      </c>
      <c r="E63" s="178" t="inlineStr">
        <is>
          <t>- Tham số: Từ ngày = (trống); Đến ngày = 31/07/2026</t>
        </is>
      </c>
      <c r="F63" s="178" t="inlineStr">
        <is>
          <t>1. Từ ngày trống, Đến ngày = 31/07/2026
2. Không hiển thị nút Apply, báo cáo không chạy</t>
        </is>
      </c>
      <c r="G63" s="178" t="inlineStr">
        <is>
          <t>SIT</t>
        </is>
      </c>
      <c r="H63" s="178" t="inlineStr">
        <is>
          <t>High</t>
        </is>
      </c>
      <c r="I63" s="178" t="inlineStr">
        <is>
          <t>Manual</t>
        </is>
      </c>
      <c r="J63" s="178" t="inlineStr">
        <is>
          <t>Untested</t>
        </is>
      </c>
      <c r="K63" s="178" t="inlineStr">
        <is>
          <t>Untested</t>
        </is>
      </c>
      <c r="L63" s="178" t="inlineStr">
        <is>
          <t>Untested</t>
        </is>
      </c>
      <c r="M63" s="77" t="n"/>
      <c r="N63" s="178" t="inlineStr">
        <is>
          <t>Q16</t>
        </is>
      </c>
    </row>
    <row r="64" outlineLevel="2" ht="156" customHeight="1">
      <c r="A64" s="178" t="inlineStr">
        <is>
          <t>MSB_TM-RP_TC_106</t>
        </is>
      </c>
      <c r="B64" s="178" t="inlineStr">
        <is>
          <t>Kiểm tra validate thất bại khi Từ ngày lớn hơn Đến ngày</t>
        </is>
      </c>
      <c r="C64" s="178"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4" s="178" t="inlineStr">
        <is>
          <t>1. Chọn Từ ngày = 31/07/2026, Đến ngày = 01/07/2026
2. Nhấn nút Apply</t>
        </is>
      </c>
      <c r="E64" s="178" t="inlineStr">
        <is>
          <t>- Tham số: Từ ngày = 31/07/2026; Đến ngày = 01/07/2026</t>
        </is>
      </c>
      <c r="F64" s="178" t="inlineStr">
        <is>
          <t>1. Các tham số hiển thị đúng giá trị đã chọn
2. Hệ thống báo lỗi khoảng thời gian không hợp lệ, không trả kết quả</t>
        </is>
      </c>
      <c r="G64" s="178" t="inlineStr">
        <is>
          <t>SIT</t>
        </is>
      </c>
      <c r="H64" s="178" t="inlineStr">
        <is>
          <t>High</t>
        </is>
      </c>
      <c r="I64" s="178" t="inlineStr">
        <is>
          <t>Manual</t>
        </is>
      </c>
      <c r="J64" s="178" t="inlineStr">
        <is>
          <t>Untested</t>
        </is>
      </c>
      <c r="K64" s="178" t="inlineStr">
        <is>
          <t>Untested</t>
        </is>
      </c>
      <c r="L64" s="178" t="inlineStr">
        <is>
          <t>Untested</t>
        </is>
      </c>
      <c r="M64" s="77" t="n"/>
      <c r="N64" s="178" t="inlineStr">
        <is>
          <t>Q16</t>
        </is>
      </c>
    </row>
    <row r="65" outlineLevel="2" ht="156" customHeight="1">
      <c r="A65" s="178" t="inlineStr">
        <is>
          <t>MSB_TM-RP_TC_107</t>
        </is>
      </c>
      <c r="B65" s="178" t="inlineStr">
        <is>
          <t>Kiểm tra validate thất bại khi nhập tay Từ ngày không tồn tại 30/02/2026</t>
        </is>
      </c>
      <c r="C65" s="178"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5" s="178" t="inlineStr">
        <is>
          <t>1. Gõ 30/02/2026 vào ô Từ ngày, chọn Đến ngày = 31/07/2026
2. Nhấn nút Apply</t>
        </is>
      </c>
      <c r="E65" s="178" t="inlineStr">
        <is>
          <t>- Tham số: Từ ngày = 30/02/2026 (gõ tay); Đến ngày = 31/07/2026</t>
        </is>
      </c>
      <c r="F65" s="178" t="inlineStr">
        <is>
          <t>1. Ô Từ ngày hiển thị cảnh báo ngày không hợp lệ
2. Báo cáo không chạy với giá trị 30/02/2026</t>
        </is>
      </c>
      <c r="G65" s="178" t="inlineStr">
        <is>
          <t>SIT</t>
        </is>
      </c>
      <c r="H65" s="178" t="inlineStr">
        <is>
          <t>Medium</t>
        </is>
      </c>
      <c r="I65" s="178" t="inlineStr">
        <is>
          <t>Manual</t>
        </is>
      </c>
      <c r="J65" s="178" t="inlineStr">
        <is>
          <t>Untested</t>
        </is>
      </c>
      <c r="K65" s="178" t="inlineStr">
        <is>
          <t>Untested</t>
        </is>
      </c>
      <c r="L65" s="178" t="inlineStr">
        <is>
          <t>Untested</t>
        </is>
      </c>
      <c r="M65" s="77" t="n"/>
      <c r="N65" s="178" t="inlineStr">
        <is>
          <t>Q16</t>
        </is>
      </c>
    </row>
    <row r="66" outlineLevel="1" ht="20" customHeight="1">
      <c r="A66" s="176" t="inlineStr">
        <is>
          <t>— Trường: Đến ngày</t>
        </is>
      </c>
      <c r="B66" s="177" t="n"/>
      <c r="C66" s="177" t="n"/>
      <c r="D66" s="177" t="n"/>
      <c r="E66" s="177" t="n"/>
      <c r="F66" s="177" t="n"/>
      <c r="G66" s="177" t="n"/>
      <c r="H66" s="177" t="n"/>
      <c r="I66" s="177" t="n"/>
      <c r="J66" s="177" t="n"/>
      <c r="K66" s="177" t="n"/>
      <c r="L66" s="177" t="n"/>
      <c r="M66" s="177" t="n"/>
      <c r="N66" s="177" t="n"/>
    </row>
    <row r="67" outlineLevel="2" ht="156" customHeight="1">
      <c r="A67" s="178" t="inlineStr">
        <is>
          <t>MSB_TM-RP_TC_108</t>
        </is>
      </c>
      <c r="B67" s="178" t="inlineStr">
        <is>
          <t>Kiểm tra chặn chạy báo cáo TM_03 khi bỏ trống tham số Đến ngày</t>
        </is>
      </c>
      <c r="C67" s="178"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7" s="178" t="inlineStr">
        <is>
          <t>1. Chọn Từ ngày = 01/07/2026, để trống Đến ngày
2. Quan sát nút Apply</t>
        </is>
      </c>
      <c r="E67" s="178" t="inlineStr">
        <is>
          <t>- Tham số: Từ ngày = 01/07/2026; Đến ngày = (trống)</t>
        </is>
      </c>
      <c r="F67" s="178" t="inlineStr">
        <is>
          <t>1. Từ ngày = 01/07/2026, Đến ngày trống
2. Không hiển thị nút Apply, báo cáo không chạy</t>
        </is>
      </c>
      <c r="G67" s="178" t="inlineStr">
        <is>
          <t>SIT</t>
        </is>
      </c>
      <c r="H67" s="178" t="inlineStr">
        <is>
          <t>High</t>
        </is>
      </c>
      <c r="I67" s="178" t="inlineStr">
        <is>
          <t>Manual</t>
        </is>
      </c>
      <c r="J67" s="178" t="inlineStr">
        <is>
          <t>Untested</t>
        </is>
      </c>
      <c r="K67" s="178" t="inlineStr">
        <is>
          <t>Untested</t>
        </is>
      </c>
      <c r="L67" s="178" t="inlineStr">
        <is>
          <t>Untested</t>
        </is>
      </c>
      <c r="M67" s="77" t="n"/>
      <c r="N67" s="178" t="inlineStr">
        <is>
          <t>Q16</t>
        </is>
      </c>
    </row>
    <row r="68" outlineLevel="2" ht="156" customHeight="1">
      <c r="A68" s="178" t="inlineStr">
        <is>
          <t>MSB_TM-RP_TC_109</t>
        </is>
      </c>
      <c r="B68" s="178" t="inlineStr">
        <is>
          <t>Kiểm tra validate thất bại khi nhập tay Đến ngày chứa ký tự đặc biệt</t>
        </is>
      </c>
      <c r="C68" s="178"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8" s="178" t="inlineStr">
        <is>
          <t>1. Chọn Từ ngày = 01/07/2026, gõ 31/07/2026&lt;&gt; vào ô Đến ngày
2. Nhấn nút Apply</t>
        </is>
      </c>
      <c r="E68" s="178" t="inlineStr">
        <is>
          <t>- Tham số: Từ ngày = 01/07/2026; Đến ngày = 31/07/2026&lt;&gt; (gõ tay)</t>
        </is>
      </c>
      <c r="F68" s="178" t="inlineStr">
        <is>
          <t>1. Ô Đến ngày hiển thị cảnh báo định dạng không hợp lệ
2. Báo cáo không chạy với giá trị sai định dạng</t>
        </is>
      </c>
      <c r="G68" s="178" t="inlineStr">
        <is>
          <t>SIT</t>
        </is>
      </c>
      <c r="H68" s="178" t="inlineStr">
        <is>
          <t>Medium</t>
        </is>
      </c>
      <c r="I68" s="178" t="inlineStr">
        <is>
          <t>Manual</t>
        </is>
      </c>
      <c r="J68" s="178" t="inlineStr">
        <is>
          <t>Untested</t>
        </is>
      </c>
      <c r="K68" s="178" t="inlineStr">
        <is>
          <t>Untested</t>
        </is>
      </c>
      <c r="L68" s="178" t="inlineStr">
        <is>
          <t>Untested</t>
        </is>
      </c>
      <c r="M68" s="77" t="n"/>
      <c r="N68" s="178" t="inlineStr">
        <is>
          <t>Q16</t>
        </is>
      </c>
    </row>
    <row r="69" outlineLevel="1" ht="20" customHeight="1">
      <c r="A69" s="176" t="inlineStr">
        <is>
          <t>— Trường: Loại khách hàng</t>
        </is>
      </c>
      <c r="B69" s="177" t="n"/>
      <c r="C69" s="177" t="n"/>
      <c r="D69" s="177" t="n"/>
      <c r="E69" s="177" t="n"/>
      <c r="F69" s="177" t="n"/>
      <c r="G69" s="177" t="n"/>
      <c r="H69" s="177" t="n"/>
      <c r="I69" s="177" t="n"/>
      <c r="J69" s="177" t="n"/>
      <c r="K69" s="177" t="n"/>
      <c r="L69" s="177" t="n"/>
      <c r="M69" s="177" t="n"/>
      <c r="N69" s="177" t="n"/>
    </row>
    <row r="70" outlineLevel="2" ht="156" customHeight="1">
      <c r="A70" s="178" t="inlineStr">
        <is>
          <t>MSB_TM-RP_TC_110</t>
        </is>
      </c>
      <c r="B70" s="178" t="inlineStr">
        <is>
          <t>Kiểm tra dropdown Loại khách hàng chỉ cho chọn 2 giá trị KHCN và KHTC</t>
        </is>
      </c>
      <c r="C70" s="178" t="inlineStr">
        <is>
          <t>- User: Đăng nhập tm_aml_maker (AML Maker – HO, HO0000001)
- Màn hình: đang mở báo cáo "Báo cáo các cảnh báo chưa được xử lý" (Report TM_03) trên OAS, tham số ở giá trị mặc định, chưa nhấn Apply
- Dữ liệu: danh mục loại khách hàng có KHCN, KHTC</t>
        </is>
      </c>
      <c r="D70" s="178" t="inlineStr">
        <is>
          <t>1. Mở dropdown Loại khách hàng
2. Gõ giá trị ngoài danh mục 'SME' vào ô tìm kiếm</t>
        </is>
      </c>
      <c r="E70" s="178" t="inlineStr">
        <is>
          <t>- Giá trị gõ thử: SME</t>
        </is>
      </c>
      <c r="F70" s="178" t="inlineStr">
        <is>
          <t>1. Danh sách chỉ có KHCN và KHTC
2. Không có kết quả, không chọn được giá trị SME</t>
        </is>
      </c>
      <c r="G70" s="178" t="inlineStr">
        <is>
          <t>SIT</t>
        </is>
      </c>
      <c r="H70" s="178" t="inlineStr">
        <is>
          <t>Medium</t>
        </is>
      </c>
      <c r="I70" s="178" t="inlineStr">
        <is>
          <t>Manual</t>
        </is>
      </c>
      <c r="J70" s="178" t="inlineStr">
        <is>
          <t>Untested</t>
        </is>
      </c>
      <c r="K70" s="178" t="inlineStr">
        <is>
          <t>Untested</t>
        </is>
      </c>
      <c r="L70" s="178" t="inlineStr">
        <is>
          <t>Untested</t>
        </is>
      </c>
      <c r="M70" s="77" t="n"/>
      <c r="N70" s="178" t="inlineStr">
        <is>
          <t>Q13</t>
        </is>
      </c>
    </row>
    <row r="71" outlineLevel="1" ht="20" customHeight="1">
      <c r="A71" s="176" t="inlineStr">
        <is>
          <t>— Trường: Trạng thái sự vụ</t>
        </is>
      </c>
      <c r="B71" s="177" t="n"/>
      <c r="C71" s="177" t="n"/>
      <c r="D71" s="177" t="n"/>
      <c r="E71" s="177" t="n"/>
      <c r="F71" s="177" t="n"/>
      <c r="G71" s="177" t="n"/>
      <c r="H71" s="177" t="n"/>
      <c r="I71" s="177" t="n"/>
      <c r="J71" s="177" t="n"/>
      <c r="K71" s="177" t="n"/>
      <c r="L71" s="177" t="n"/>
      <c r="M71" s="177" t="n"/>
      <c r="N71" s="177" t="n"/>
    </row>
    <row r="72" outlineLevel="2" ht="156" customHeight="1">
      <c r="A72" s="178" t="inlineStr">
        <is>
          <t>MSB_TM-RP_TC_111</t>
        </is>
      </c>
      <c r="B72" s="178" t="inlineStr">
        <is>
          <t>Kiểm tra dropdown Trạng thái sự vụ không cho chọn trạng thái đã đóng</t>
        </is>
      </c>
      <c r="C72" s="178"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gồm 8 trạng thái chưa đóng và 5 trạng thái đã đóng</t>
        </is>
      </c>
      <c r="D72" s="178" t="inlineStr">
        <is>
          <t>1. Mở dropdown Trạng thái sự vụ
2. Gõ Approved STR vào ô tìm kiếm</t>
        </is>
      </c>
      <c r="E72" s="178" t="inlineStr">
        <is>
          <t>- Giá trị gõ thử: Approved STR</t>
        </is>
      </c>
      <c r="F72" s="178" t="inlineStr">
        <is>
          <t>1. Danh sách có đúng 8 trạng thái chưa đóng: New, Pending Maker, Pending Checker Review, Pending Generate STR, Pending Checker Review STR, Pending Supervisor Review, Pending AML Maker, Pending AML Checker review
2. Không có kết quả Approved STR</t>
        </is>
      </c>
      <c r="G72" s="178" t="inlineStr">
        <is>
          <t>SIT</t>
        </is>
      </c>
      <c r="H72" s="178" t="inlineStr">
        <is>
          <t>Medium</t>
        </is>
      </c>
      <c r="I72" s="178" t="inlineStr">
        <is>
          <t>Manual</t>
        </is>
      </c>
      <c r="J72" s="178" t="inlineStr">
        <is>
          <t>Untested</t>
        </is>
      </c>
      <c r="K72" s="178" t="inlineStr">
        <is>
          <t>Untested</t>
        </is>
      </c>
      <c r="L72" s="178" t="inlineStr">
        <is>
          <t>Untested</t>
        </is>
      </c>
      <c r="M72" s="77" t="n"/>
      <c r="N72" s="178" t="inlineStr">
        <is>
          <t>Q11</t>
        </is>
      </c>
    </row>
    <row r="73" outlineLevel="2" ht="156" customHeight="1">
      <c r="A73" s="178" t="inlineStr">
        <is>
          <t>MSB_TM-RP_TC_112</t>
        </is>
      </c>
      <c r="B73" s="178" t="inlineStr">
        <is>
          <t>Kiểm tra không thực thi script khi nhập chuỗi XSS vào ô tìm kiếm Trạng thái sự vụ</t>
        </is>
      </c>
      <c r="C73" s="178"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73" s="178" t="inlineStr">
        <is>
          <t>1. Mở dropdown Trạng thái sự vụ, gõ &lt;script&gt;alert(1)&lt;/script&gt; vào ô tìm kiếm
2. Quan sát màn hình</t>
        </is>
      </c>
      <c r="E73" s="178" t="inlineStr">
        <is>
          <t>- Chuỗi tìm kiếm: &lt;script&gt;alert(1)&lt;/script&gt;</t>
        </is>
      </c>
      <c r="F73" s="178" t="inlineStr">
        <is>
          <t>1. Ô tìm kiếm hiển thị chuỗi dạng text
2. Không bật hộp thoại alert, danh sách hiển thị 'không có kết quả'</t>
        </is>
      </c>
      <c r="G73" s="178" t="inlineStr">
        <is>
          <t>SIT</t>
        </is>
      </c>
      <c r="H73" s="178" t="inlineStr">
        <is>
          <t>Low</t>
        </is>
      </c>
      <c r="I73" s="178" t="inlineStr">
        <is>
          <t>Manual</t>
        </is>
      </c>
      <c r="J73" s="178" t="inlineStr">
        <is>
          <t>Untested</t>
        </is>
      </c>
      <c r="K73" s="178" t="inlineStr">
        <is>
          <t>Untested</t>
        </is>
      </c>
      <c r="L73" s="178" t="inlineStr">
        <is>
          <t>Untested</t>
        </is>
      </c>
      <c r="M73" s="77" t="n"/>
      <c r="N73" s="77" t="n"/>
    </row>
    <row r="74" ht="20" customHeight="1">
      <c r="A74" s="175" t="inlineStr">
        <is>
          <t>NHÓM UI &amp; BEHAVIOR (Risk Medium)</t>
        </is>
      </c>
      <c r="B74" s="95" t="n"/>
      <c r="C74" s="95" t="n"/>
      <c r="D74" s="95" t="n"/>
      <c r="E74" s="95" t="n"/>
      <c r="F74" s="95" t="n"/>
      <c r="G74" s="95" t="n"/>
      <c r="H74" s="95" t="n"/>
      <c r="I74" s="95" t="n"/>
      <c r="J74" s="95" t="n"/>
      <c r="K74" s="95" t="n"/>
      <c r="L74" s="95" t="n"/>
      <c r="M74" s="95" t="n"/>
      <c r="N74" s="95" t="n"/>
    </row>
    <row r="75" outlineLevel="1" ht="20" customHeight="1">
      <c r="A75" s="176" t="inlineStr">
        <is>
          <t>— Giao diện</t>
        </is>
      </c>
      <c r="B75" s="177" t="n"/>
      <c r="C75" s="177" t="n"/>
      <c r="D75" s="177" t="n"/>
      <c r="E75" s="177" t="n"/>
      <c r="F75" s="177" t="n"/>
      <c r="G75" s="177" t="n"/>
      <c r="H75" s="177" t="n"/>
      <c r="I75" s="177" t="n"/>
      <c r="J75" s="177" t="n"/>
      <c r="K75" s="177" t="n"/>
      <c r="L75" s="177" t="n"/>
      <c r="M75" s="177" t="n"/>
      <c r="N75" s="177" t="n"/>
    </row>
    <row r="76" outlineLevel="2" ht="126" customHeight="1">
      <c r="A76" s="178" t="inlineStr">
        <is>
          <t>MSB_TM-RP_TC_113</t>
        </is>
      </c>
      <c r="B76" s="178" t="inlineStr">
        <is>
          <t>Kiểm tra hiển thị đúng tiêu đề báo cáo TM_03 theo template</t>
        </is>
      </c>
      <c r="C76" s="178" t="inlineStr">
        <is>
          <t>- User: Đăng nhập tm_aml_maker (AML Maker – HO, HO0000001)
- Màn hình: trang chủ Oracle Analytics Server (OAS) môi trường SIT, chưa mở báo cáo
- Dữ liệu: báo cáo Report TM_03 đã deploy trên OAS SIT</t>
        </is>
      </c>
      <c r="D76" s="178" t="inlineStr">
        <is>
          <t>1. Mở báo cáo Report TM_03 trên OAS
2. Xem tiêu đề báo cáo</t>
        </is>
      </c>
      <c r="E76" s="178" t="inlineStr">
        <is>
          <t>- Template: sheet Report TM_03 ô C5</t>
        </is>
      </c>
      <c r="F76" s="178" t="inlineStr">
        <is>
          <t>1. Báo cáo mở thành công
2. Tiêu đề = BÁO CÁO CÁC CẢNH BÁO CHƯA ĐƯỢC XỬ LÝ</t>
        </is>
      </c>
      <c r="G76" s="178" t="inlineStr">
        <is>
          <t>SIT</t>
        </is>
      </c>
      <c r="H76" s="178" t="inlineStr">
        <is>
          <t>Low</t>
        </is>
      </c>
      <c r="I76" s="178" t="inlineStr">
        <is>
          <t>Manual</t>
        </is>
      </c>
      <c r="J76" s="178" t="inlineStr">
        <is>
          <t>Untested</t>
        </is>
      </c>
      <c r="K76" s="178" t="inlineStr">
        <is>
          <t>Untested</t>
        </is>
      </c>
      <c r="L76" s="178" t="inlineStr">
        <is>
          <t>Untested</t>
        </is>
      </c>
      <c r="M76" s="77" t="n"/>
      <c r="N76" s="77" t="n"/>
    </row>
    <row r="77" outlineLevel="2" ht="126" customHeight="1">
      <c r="A77" s="178" t="inlineStr">
        <is>
          <t>MSB_TM-RP_TC_114</t>
        </is>
      </c>
      <c r="B77" s="178" t="inlineStr">
        <is>
          <t>Kiểm tra hiển thị đủ 4 tham số và 2 nút chức năng của báo cáo TM_03</t>
        </is>
      </c>
      <c r="C77" s="178" t="inlineStr">
        <is>
          <t>- User: Đăng nhập tm_aml_maker (AML Maker – HO, HO0000001)
- Màn hình: trang chủ Oracle Analytics Server (OAS) môi trường SIT, chưa mở báo cáo
- Dữ liệu: báo cáo Report TM_03 đã deploy trên OAS SIT</t>
        </is>
      </c>
      <c r="D77" s="178" t="inlineStr">
        <is>
          <t>1. Mở báo cáo Report TM_03 trên OAS
2. Xem vùng tham số</t>
        </is>
      </c>
      <c r="E77" s="178" t="inlineStr">
        <is>
          <t>- Template: sheet Report TM_03 dòng 24–28</t>
        </is>
      </c>
      <c r="F77" s="178" t="inlineStr">
        <is>
          <t>1. Báo cáo mở thành công
2. Hiển thị Từ ngày, Đến ngày, Loại khách hàng, Trạng thái sự vụ và nút Apply, Reset</t>
        </is>
      </c>
      <c r="G77" s="178" t="inlineStr">
        <is>
          <t>SIT</t>
        </is>
      </c>
      <c r="H77" s="178" t="inlineStr">
        <is>
          <t>Medium</t>
        </is>
      </c>
      <c r="I77" s="178" t="inlineStr">
        <is>
          <t>Manual</t>
        </is>
      </c>
      <c r="J77" s="178" t="inlineStr">
        <is>
          <t>Untested</t>
        </is>
      </c>
      <c r="K77" s="178" t="inlineStr">
        <is>
          <t>Untested</t>
        </is>
      </c>
      <c r="L77" s="178" t="inlineStr">
        <is>
          <t>Untested</t>
        </is>
      </c>
      <c r="M77" s="77" t="n"/>
      <c r="N77" s="77" t="n"/>
    </row>
    <row r="78" outlineLevel="2" ht="141" customHeight="1">
      <c r="A78" s="178" t="inlineStr">
        <is>
          <t>MSB_TM-RP_TC_115</t>
        </is>
      </c>
      <c r="B78" s="178" t="inlineStr">
        <is>
          <t>Kiểm tra tham số Từ ngày và Đến ngày hiển thị bảng lịch định dạng dd/mm/yyyy</t>
        </is>
      </c>
      <c r="C78" s="178" t="inlineStr">
        <is>
          <t>- User: Đăng nhập tm_aml_maker (AML Maker – HO, HO0000001)
- Màn hình: đang mở báo cáo "Báo cáo các cảnh báo chưa được xử lý" (Report TM_03) trên OAS, tham số ở giá trị mặc định, chưa nhấn Apply
- Dữ liệu: báo cáo Report TM_03 đã deploy</t>
        </is>
      </c>
      <c r="D78" s="178" t="inlineStr">
        <is>
          <t>1. Click icon lịch của Từ ngày, chọn ngày 01/07/2026
2. Click icon lịch của Đến ngày, chọn ngày 31/07/2026</t>
        </is>
      </c>
      <c r="E78" s="178" t="inlineStr">
        <is>
          <t>- Ngày chọn: 01/07/2026, 31/07/2026</t>
        </is>
      </c>
      <c r="F78" s="178" t="inlineStr">
        <is>
          <t>1. Ô Từ ngày hiển thị 01/07/2026
2. Ô Đến ngày hiển thị 31/07/2026</t>
        </is>
      </c>
      <c r="G78" s="178" t="inlineStr">
        <is>
          <t>SIT</t>
        </is>
      </c>
      <c r="H78" s="178" t="inlineStr">
        <is>
          <t>Medium</t>
        </is>
      </c>
      <c r="I78" s="178" t="inlineStr">
        <is>
          <t>Manual</t>
        </is>
      </c>
      <c r="J78" s="178" t="inlineStr">
        <is>
          <t>Untested</t>
        </is>
      </c>
      <c r="K78" s="178" t="inlineStr">
        <is>
          <t>Untested</t>
        </is>
      </c>
      <c r="L78" s="178" t="inlineStr">
        <is>
          <t>Untested</t>
        </is>
      </c>
      <c r="M78" s="77" t="n"/>
      <c r="N78" s="77" t="n"/>
    </row>
    <row r="79" outlineLevel="2" ht="201" customHeight="1">
      <c r="A79" s="178" t="inlineStr">
        <is>
          <t>MSB_TM-RP_TC_116</t>
        </is>
      </c>
      <c r="B79" s="178" t="inlineStr">
        <is>
          <t>Kiểm tra hiển thị đúng tên và thứ tự 9 cột và không còn 3 cột kịch bản đã bỏ</t>
        </is>
      </c>
      <c r="C79" s="178"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79" s="178" t="inlineStr">
        <is>
          <t>1. Mở báo cáo "Báo cáo các cảnh báo chưa được xử lý" (Report TM_03) trên OAS
2. Nhập tham số: Từ ngày = 01/07/2026; Đến ngày = 31/07/2026
3. Nhấn nút Apply
4. Xem dòng tiêu đề cột</t>
        </is>
      </c>
      <c r="E79" s="178" t="inlineStr">
        <is>
          <t>- Tham số: Từ ngày = 01/07/2026; Đến ngày = 31/07/2026</t>
        </is>
      </c>
      <c r="F79" s="178" t="inlineStr">
        <is>
          <t>1. Báo cáo mở, hiển thị vùng tham số cùng nút Apply và Reset
2. Các tham số hiển thị đúng giá trị đã nhập
3. Báo cáo chạy xong, không hiển thị thông báo lỗi
4. Thứ tự cột: STT, CIF, Tên KH, Loại KH, Mã sự vụ, Ngày phát sinh sự vụ, Trạng thái sự vụ, Cấp Đơn vị đang xử lý sự vụ, Mã Đơn vị; không có cột Nguồn kịch bản HIT, Mã kịch bản trùng khớp, Tên kịch bản trùng khớp</t>
        </is>
      </c>
      <c r="G79" s="178" t="inlineStr">
        <is>
          <t>SIT</t>
        </is>
      </c>
      <c r="H79" s="178" t="inlineStr">
        <is>
          <t>Medium</t>
        </is>
      </c>
      <c r="I79" s="178" t="inlineStr">
        <is>
          <t>Manual</t>
        </is>
      </c>
      <c r="J79" s="178" t="inlineStr">
        <is>
          <t>Untested</t>
        </is>
      </c>
      <c r="K79" s="178" t="inlineStr">
        <is>
          <t>Untested</t>
        </is>
      </c>
      <c r="L79" s="178" t="inlineStr">
        <is>
          <t>Untested</t>
        </is>
      </c>
      <c r="M79" s="77" t="n"/>
      <c r="N79" s="77" t="n"/>
    </row>
    <row r="80" outlineLevel="1" ht="20" customHeight="1">
      <c r="A80" s="176" t="inlineStr">
        <is>
          <t>— Hành vi</t>
        </is>
      </c>
      <c r="B80" s="177" t="n"/>
      <c r="C80" s="177" t="n"/>
      <c r="D80" s="177" t="n"/>
      <c r="E80" s="177" t="n"/>
      <c r="F80" s="177" t="n"/>
      <c r="G80" s="177" t="n"/>
      <c r="H80" s="177" t="n"/>
      <c r="I80" s="177" t="n"/>
      <c r="J80" s="177" t="n"/>
      <c r="K80" s="177" t="n"/>
      <c r="L80" s="177" t="n"/>
      <c r="M80" s="177" t="n"/>
      <c r="N80" s="177" t="n"/>
    </row>
    <row r="81" outlineLevel="2" ht="171" customHeight="1">
      <c r="A81" s="178" t="inlineStr">
        <is>
          <t>MSB_TM-RP_TC_117</t>
        </is>
      </c>
      <c r="B81" s="178" t="inlineStr">
        <is>
          <t>Kiểm tra nút Reset đặt lại tham số đúng theo từng lựa chọn của báo cáo TM_03</t>
        </is>
      </c>
      <c r="C81" s="178" t="inlineStr">
        <is>
          <t>- User: Đăng nhập tm_aml_maker (AML Maker – HO, HO0000001)
- Màn hình: đang mở báo cáo "Báo cáo các cảnh báo chưa được xử lý" (Report TM_03) trên OAS, tham số ở giá trị mặc định, chưa nhấn Apply
- Dữ liệu: bộ dữ liệu D-TM03 (mục 3.4 file rollup) đã dựng và batch dữ liệu báo cáo đã chạy</t>
        </is>
      </c>
      <c r="D81" s="178" t="inlineStr">
        <is>
          <t>1. Nhập Từ ngày = 01/07/2026, Đến ngày = 31/07/2026, Loại khách hàng = KHTC, nhấn Apply
2. Đổi Loại khách hàng sang KHCN, nhấn Reset &gt; Reset to last applied values
3. Nhấn Reset &gt; Reset to default values
4. Nhấn Reset &gt; Clear All</t>
        </is>
      </c>
      <c r="E81" s="178" t="inlineStr">
        <is>
          <t>- Tham số: Từ ngày = 01/07/2026; Đến ngày = 31/07/2026; Loại khách hàng = KHTC
- Đổi Loại khách hàng: KHCN</t>
        </is>
      </c>
      <c r="F81" s="178" t="inlineStr">
        <is>
          <t>1. Báo cáo hiển thị 3 dòng KHTC
2. Loại khách hàng quay về KHTC
3. Tham số quay về giá trị mặc định
4. Toàn bộ tham số bị xóa trắng</t>
        </is>
      </c>
      <c r="G81" s="178" t="inlineStr">
        <is>
          <t>SIT</t>
        </is>
      </c>
      <c r="H81" s="178" t="inlineStr">
        <is>
          <t>Medium</t>
        </is>
      </c>
      <c r="I81" s="178" t="inlineStr">
        <is>
          <t>Manual</t>
        </is>
      </c>
      <c r="J81" s="178" t="inlineStr">
        <is>
          <t>Untested</t>
        </is>
      </c>
      <c r="K81" s="178" t="inlineStr">
        <is>
          <t>Untested</t>
        </is>
      </c>
      <c r="L81" s="178" t="inlineStr">
        <is>
          <t>Untested</t>
        </is>
      </c>
      <c r="M81" s="77" t="n"/>
      <c r="N81" s="77" t="n"/>
    </row>
  </sheetData>
  <autoFilter ref="A25:N81"/>
  <dataValidations count="2">
    <dataValidation sqref="J26:J81" showDropDown="0" showInputMessage="0" showErrorMessage="0" allowBlank="1" type="list">
      <formula1>"Passed,Failed,Pending,Accepted,Untested,Canceled"</formula1>
    </dataValidation>
    <dataValidation sqref="K26:L81" showDropDown="0" showInputMessage="0" showErrorMessage="0" allowBlank="1" type="list">
      <formula1>=Report!$A$20:$A$25</formula1>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filterMode="1">
    <tabColor theme="5" tint="0.3999755851924192"/>
    <outlinePr summaryBelow="0" summaryRight="1"/>
    <pageSetUpPr/>
  </sheetPr>
  <dimension ref="A1:Z76"/>
  <sheetViews>
    <sheetView workbookViewId="0">
      <selection activeCell="A1" sqref="A1"/>
    </sheetView>
  </sheetViews>
  <sheetFormatPr baseColWidth="8" defaultColWidth="17.28515625" defaultRowHeight="12" customHeight="1" outlineLevelRow="1"/>
  <cols>
    <col width="20" customWidth="1" style="92" min="1" max="1"/>
    <col width="42" customWidth="1" style="92" min="2" max="2"/>
    <col width="42" customWidth="1" style="92" min="3" max="3"/>
    <col width="46" customWidth="1" style="92" min="4" max="4"/>
    <col width="34" customWidth="1" style="92" min="5" max="5"/>
    <col width="46" customWidth="1" style="92" min="6" max="6"/>
    <col width="12" customWidth="1" style="92" min="7" max="9"/>
    <col width="11" customWidth="1" min="8" max="8"/>
    <col width="13" customWidth="1" min="9" max="9"/>
    <col width="14" customWidth="1" style="92" min="10" max="10"/>
    <col width="14" customWidth="1" style="92" min="11" max="16384"/>
    <col width="14" customWidth="1" min="12" max="12"/>
    <col width="12" customWidth="1" min="13" max="13"/>
    <col width="20" customWidth="1" min="14" max="14"/>
  </cols>
  <sheetData>
    <row r="1" ht="12" customHeight="1">
      <c r="A1" s="91" t="inlineStr">
        <is>
          <t>Functions</t>
        </is>
      </c>
      <c r="B1" s="91">
        <f>Cover!E11</f>
        <v/>
      </c>
    </row>
    <row r="2" ht="12" customHeight="1">
      <c r="A2" s="91" t="inlineStr">
        <is>
          <t>Build Version</t>
        </is>
      </c>
      <c r="B2" s="91" t="inlineStr">
        <is>
          <t>v1.0</t>
        </is>
      </c>
    </row>
    <row r="3" ht="12" customHeight="1">
      <c r="A3" s="174" t="inlineStr">
        <is>
          <t>Report TM_04 – Báo cáo khách hàng phát sinh cảnh báo theo từng kịch bản</t>
        </is>
      </c>
      <c r="B3" s="99" t="n"/>
      <c r="C3" s="99" t="n"/>
      <c r="D3" s="99" t="n"/>
      <c r="E3" s="99" t="n"/>
    </row>
    <row r="4" ht="12" customHeight="1">
      <c r="A4" s="100" t="inlineStr">
        <is>
          <t>ROUND 2</t>
        </is>
      </c>
    </row>
    <row r="5" ht="12" customHeight="1">
      <c r="A5" s="136" t="n"/>
      <c r="B5" s="136" t="inlineStr">
        <is>
          <t>High</t>
        </is>
      </c>
      <c r="C5" s="136" t="inlineStr">
        <is>
          <t>Medium</t>
        </is>
      </c>
      <c r="D5" s="136" t="inlineStr">
        <is>
          <t>Low</t>
        </is>
      </c>
      <c r="E5" s="136" t="inlineStr">
        <is>
          <t>Total</t>
        </is>
      </c>
    </row>
    <row r="6" ht="12" customHeight="1">
      <c r="A6" s="137" t="n"/>
      <c r="B6" s="137">
        <f>SUM(B7:B11)</f>
        <v/>
      </c>
      <c r="C6" s="137">
        <f>SUM(C7:C11)</f>
        <v/>
      </c>
      <c r="D6" s="137">
        <f>SUM(D7:D11)</f>
        <v/>
      </c>
      <c r="E6" s="137">
        <f>SUM(B6:D6)</f>
        <v/>
      </c>
    </row>
    <row r="7" ht="12" customHeight="1">
      <c r="A7" s="138" t="inlineStr">
        <is>
          <t>Passed</t>
        </is>
      </c>
      <c r="B7" s="139">
        <f>COUNTIFS($H:$H,B$5,$K:$K,$A7)</f>
        <v/>
      </c>
      <c r="C7" s="139">
        <f>COUNTIFS($H:$H,C$5,$K:$K,$A7)</f>
        <v/>
      </c>
      <c r="D7" s="139">
        <f>COUNTIFS($H:$H,D$5,$K:$K,$A7)</f>
        <v/>
      </c>
      <c r="E7" s="139">
        <f>SUM(B7:D7)</f>
        <v/>
      </c>
    </row>
    <row r="8" ht="12" customHeight="1">
      <c r="A8" s="138" t="inlineStr">
        <is>
          <t>Failed</t>
        </is>
      </c>
      <c r="B8" s="139">
        <f>COUNTIFS($H:$H,B$5,$K:$K,$A8)</f>
        <v/>
      </c>
      <c r="C8" s="139">
        <f>COUNTIFS($H:$H,C$5,$K:$K,$A8)</f>
        <v/>
      </c>
      <c r="D8" s="139">
        <f>COUNTIFS($H:$H,D$5,$K:$K,$A8)</f>
        <v/>
      </c>
      <c r="E8" s="139">
        <f>SUM(B8:D8)</f>
        <v/>
      </c>
    </row>
    <row r="9" ht="12" customHeight="1">
      <c r="A9" s="138" t="inlineStr">
        <is>
          <t>Pending</t>
        </is>
      </c>
      <c r="B9" s="139">
        <f>COUNTIFS($H:$H,B$5,$K:$K,$A9)</f>
        <v/>
      </c>
      <c r="C9" s="139">
        <f>COUNTIFS($H:$H,C$5,$K:$K,$A9)</f>
        <v/>
      </c>
      <c r="D9" s="139">
        <f>COUNTIFS($H:$H,D$5,$K:$K,$A9)</f>
        <v/>
      </c>
      <c r="E9" s="139">
        <f>SUM(B9:D9)</f>
        <v/>
      </c>
    </row>
    <row r="10" ht="12" customHeight="1">
      <c r="A10" s="138" t="inlineStr">
        <is>
          <t>Cancel</t>
        </is>
      </c>
      <c r="B10" s="139">
        <f>COUNTIFS($H:$H,B$5,$K:$K,$A10)</f>
        <v/>
      </c>
      <c r="C10" s="139">
        <f>COUNTIFS($H:$H,C$5,$K:$K,$A10)</f>
        <v/>
      </c>
      <c r="D10" s="139">
        <f>COUNTIFS($H:$H,D$5,$K:$K,$A10)</f>
        <v/>
      </c>
      <c r="E10" s="139">
        <f>SUM(B10:D10)</f>
        <v/>
      </c>
    </row>
    <row r="11" ht="12" customHeight="1">
      <c r="A11" s="138" t="inlineStr">
        <is>
          <t>Untested</t>
        </is>
      </c>
      <c r="B11" s="139">
        <f>COUNTIFS($H:$H,B$5,$K:$K,$A11)</f>
        <v/>
      </c>
      <c r="C11" s="139">
        <f>COUNTIFS($H:$H,C$5,$K:$K,$A11)</f>
        <v/>
      </c>
      <c r="D11" s="139">
        <f>COUNTIFS($H:$H,D$5,$K:$K,$A11)</f>
        <v/>
      </c>
      <c r="E11" s="139">
        <f>SUM(B11:D11)</f>
        <v/>
      </c>
    </row>
    <row r="12" ht="12" customHeight="1">
      <c r="A12" s="138" t="inlineStr">
        <is>
          <t>Next</t>
        </is>
      </c>
      <c r="B12" s="139">
        <f>COUNTIFS($H:$H,B$5,$K:$K,$A12)</f>
        <v/>
      </c>
      <c r="C12" s="139">
        <f>COUNTIFS($H:$H,C$5,$K:$K,$A12)</f>
        <v/>
      </c>
      <c r="D12" s="139">
        <f>COUNTIFS($H:$H,D$5,$K:$K,$A12)</f>
        <v/>
      </c>
      <c r="E12" s="139">
        <f>SUM(B12:D12)</f>
        <v/>
      </c>
    </row>
    <row r="13" ht="12" customHeight="1">
      <c r="A13" s="135" t="n"/>
      <c r="B13" s="99" t="n"/>
      <c r="C13" s="99" t="n"/>
      <c r="D13" s="99" t="n"/>
      <c r="E13" s="99" t="n"/>
    </row>
    <row r="14" ht="12" customHeight="1">
      <c r="A14" s="100" t="inlineStr">
        <is>
          <t>ROUND 3</t>
        </is>
      </c>
    </row>
    <row r="15" ht="12" customHeight="1">
      <c r="A15" s="136" t="n"/>
      <c r="B15" s="136" t="inlineStr">
        <is>
          <t>High</t>
        </is>
      </c>
      <c r="C15" s="136" t="inlineStr">
        <is>
          <t>Medium</t>
        </is>
      </c>
      <c r="D15" s="136" t="inlineStr">
        <is>
          <t>Low</t>
        </is>
      </c>
      <c r="E15" s="136" t="inlineStr">
        <is>
          <t>Total</t>
        </is>
      </c>
    </row>
    <row r="16" ht="12" customHeight="1">
      <c r="A16" s="137" t="n"/>
      <c r="B16" s="137">
        <f>SUM(B17:B21)</f>
        <v/>
      </c>
      <c r="C16" s="137">
        <f>SUM(C17:C21)</f>
        <v/>
      </c>
      <c r="D16" s="137">
        <f>SUM(D17:D21)</f>
        <v/>
      </c>
      <c r="E16" s="137">
        <f>SUM(B16:D16)</f>
        <v/>
      </c>
    </row>
    <row r="17" ht="12" customHeight="1">
      <c r="A17" s="138" t="inlineStr">
        <is>
          <t>Passed</t>
        </is>
      </c>
      <c r="B17" s="139">
        <f>COUNTIFS($H:$H,B$15,$L:$L,$A17)</f>
        <v/>
      </c>
      <c r="C17" s="139">
        <f>COUNTIFS($H:$H,C$15,$L:$L,$A17)</f>
        <v/>
      </c>
      <c r="D17" s="139">
        <f>COUNTIFS($H:$H,D$15,$L:$L,$A17)</f>
        <v/>
      </c>
      <c r="E17" s="139">
        <f>SUM(B17:D17)</f>
        <v/>
      </c>
    </row>
    <row r="18" ht="12" customHeight="1">
      <c r="A18" s="138" t="inlineStr">
        <is>
          <t>Failed</t>
        </is>
      </c>
      <c r="B18" s="139">
        <f>COUNTIFS($H:$H,B$15,$L:$L,$A18)</f>
        <v/>
      </c>
      <c r="C18" s="139">
        <f>COUNTIFS($H:$H,C$15,$L:$L,$A18)</f>
        <v/>
      </c>
      <c r="D18" s="139">
        <f>COUNTIFS($H:$H,D$15,$L:$L,$A18)</f>
        <v/>
      </c>
      <c r="E18" s="139">
        <f>SUM(B18:D18)</f>
        <v/>
      </c>
    </row>
    <row r="19" ht="12" customHeight="1">
      <c r="A19" s="138" t="inlineStr">
        <is>
          <t>Pending</t>
        </is>
      </c>
      <c r="B19" s="139">
        <f>COUNTIFS($H:$H,B$15,$L:$L,$A19)</f>
        <v/>
      </c>
      <c r="C19" s="139">
        <f>COUNTIFS($H:$H,C$15,$L:$L,$A19)</f>
        <v/>
      </c>
      <c r="D19" s="139">
        <f>COUNTIFS($H:$H,D$15,$L:$L,$A19)</f>
        <v/>
      </c>
      <c r="E19" s="139">
        <f>SUM(B19:D19)</f>
        <v/>
      </c>
    </row>
    <row r="20" ht="12" customHeight="1">
      <c r="A20" s="138" t="inlineStr">
        <is>
          <t>Cancel</t>
        </is>
      </c>
      <c r="B20" s="139">
        <f>COUNTIFS($H:$H,B$15,$L:$L,$A20)</f>
        <v/>
      </c>
      <c r="C20" s="139">
        <f>COUNTIFS($H:$H,C$15,$L:$L,$A20)</f>
        <v/>
      </c>
      <c r="D20" s="139">
        <f>COUNTIFS($H:$H,D$15,$L:$L,$A20)</f>
        <v/>
      </c>
      <c r="E20" s="139">
        <f>SUM(B20:D20)</f>
        <v/>
      </c>
    </row>
    <row r="21" ht="12" customHeight="1">
      <c r="A21" s="138" t="inlineStr">
        <is>
          <t>Untested</t>
        </is>
      </c>
      <c r="B21" s="139">
        <f>COUNTIFS($H:$H,B$15,$L:$L,$A21)</f>
        <v/>
      </c>
      <c r="C21" s="139">
        <f>COUNTIFS($H:$H,C$15,$L:$L,$A21)</f>
        <v/>
      </c>
      <c r="D21" s="139">
        <f>COUNTIFS($H:$H,D$15,$L:$L,$A21)</f>
        <v/>
      </c>
      <c r="E21" s="139">
        <f>SUM(B21:D21)</f>
        <v/>
      </c>
    </row>
    <row r="22" ht="12" customHeight="1">
      <c r="A22" s="138" t="inlineStr">
        <is>
          <t>Next</t>
        </is>
      </c>
      <c r="B22" s="139">
        <f>COUNTIFS($H:$H,B$15,$L:$L,$A22)</f>
        <v/>
      </c>
      <c r="C22" s="139">
        <f>COUNTIFS($H:$H,C$15,$L:$L,$A22)</f>
        <v/>
      </c>
      <c r="D22" s="139">
        <f>COUNTIFS($H:$H,D$15,$L:$L,$A22)</f>
        <v/>
      </c>
      <c r="E22" s="139">
        <f>SUM(B22:D22)</f>
        <v/>
      </c>
    </row>
    <row r="23" ht="12" customHeight="1">
      <c r="A23" s="135" t="n"/>
      <c r="B23" s="99" t="n"/>
      <c r="C23" s="99" t="n"/>
      <c r="D23" s="99" t="n"/>
      <c r="E23" s="99" t="n"/>
    </row>
    <row r="25" ht="12" customHeight="1">
      <c r="A25" s="93" t="inlineStr">
        <is>
          <t>Test case Id</t>
        </is>
      </c>
      <c r="B25" s="93" t="inlineStr">
        <is>
          <t>Test case Title</t>
        </is>
      </c>
      <c r="C25" s="93" t="inlineStr">
        <is>
          <t>Pre-conditions</t>
        </is>
      </c>
      <c r="D25" s="93" t="inlineStr">
        <is>
          <t>Test Step</t>
        </is>
      </c>
      <c r="E25" s="93" t="inlineStr">
        <is>
          <t>Test Datas</t>
        </is>
      </c>
      <c r="F25" s="93" t="inlineStr">
        <is>
          <t>Expected result</t>
        </is>
      </c>
      <c r="G25" s="93" t="inlineStr">
        <is>
          <t>Test Environment</t>
        </is>
      </c>
      <c r="H25" s="94" t="inlineStr">
        <is>
          <t>Priority</t>
        </is>
      </c>
      <c r="I25" s="94" t="inlineStr">
        <is>
          <t>Automation Status</t>
        </is>
      </c>
      <c r="J25" s="133" t="inlineStr">
        <is>
          <t>1st Test Results</t>
        </is>
      </c>
      <c r="K25" s="133" t="inlineStr">
        <is>
          <t>2nd Test Results</t>
        </is>
      </c>
      <c r="L25" s="133" t="inlineStr">
        <is>
          <t>3rd Test Results</t>
        </is>
      </c>
      <c r="M25" s="93" t="inlineStr">
        <is>
          <t>BugID</t>
        </is>
      </c>
      <c r="N25" s="93" t="inlineStr">
        <is>
          <t>Notes</t>
        </is>
      </c>
    </row>
    <row r="26" ht="20" customHeight="1">
      <c r="A26" s="175" t="inlineStr">
        <is>
          <t>NHÓM FUNCTION (Risk High)</t>
        </is>
      </c>
      <c r="B26" s="95" t="n"/>
      <c r="C26" s="95" t="n"/>
      <c r="D26" s="95" t="n"/>
      <c r="E26" s="95" t="n"/>
      <c r="F26" s="95" t="n"/>
      <c r="G26" s="95" t="n"/>
      <c r="H26" s="95" t="n"/>
      <c r="I26" s="95" t="n"/>
      <c r="J26" s="95" t="n"/>
      <c r="K26" s="95" t="n"/>
      <c r="L26" s="95" t="n"/>
      <c r="M26" s="95" t="n"/>
      <c r="N26" s="95" t="n"/>
    </row>
    <row r="27" outlineLevel="1" ht="20" customHeight="1">
      <c r="A27" s="176" t="inlineStr">
        <is>
          <t>— Hiển thị &amp; nút chức năng</t>
        </is>
      </c>
      <c r="B27" s="177" t="n"/>
      <c r="C27" s="177" t="n"/>
      <c r="D27" s="177" t="n"/>
      <c r="E27" s="177" t="n"/>
      <c r="F27" s="177" t="n"/>
      <c r="G27" s="177" t="n"/>
      <c r="H27" s="177" t="n"/>
      <c r="I27" s="177" t="n"/>
      <c r="J27" s="177" t="n"/>
      <c r="K27" s="177" t="n"/>
      <c r="L27" s="177" t="n"/>
      <c r="M27" s="177" t="n"/>
      <c r="N27" s="177" t="n"/>
    </row>
    <row r="28" outlineLevel="2" ht="201" customHeight="1">
      <c r="A28" s="178" t="inlineStr">
        <is>
          <t>MSB_TM-RP_TC_118</t>
        </is>
      </c>
      <c r="B28" s="178" t="inlineStr">
        <is>
          <t>Kiểm tra hiển thị thành công kết quả báo cáo TM_04 đủ 10 cột khi chỉ nhập tham số bắt buộc</t>
        </is>
      </c>
      <c r="C28"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kỳ 09/2026 có 12 case tự động với 16 event và 1 case thủ công C14 không có event</t>
        </is>
      </c>
      <c r="D28" s="178" t="inlineStr">
        <is>
          <t>1. Mở báo cáo "Báo cáo khách hàng phát sinh cảnh báo theo từng kịch bản" (Report TM_04) trên OAS
2. Nhập tham số: Từ ngày = 01/09/2026; Đến ngày = 30/09/2026
3. Nhấn nút Apply
4. Đối chiếu bảng kết quả với Test Data</t>
        </is>
      </c>
      <c r="E28" s="178" t="inlineStr">
        <is>
          <t>- Tham số: Từ ngày = 01/09/2026; Đến ngày = 30/09/2026
- Mã kịch bản, Tên kịch bản: không chọn</t>
        </is>
      </c>
      <c r="F28" s="178" t="inlineStr">
        <is>
          <t>1. Báo cáo mở, hiển thị vùng tham số cùng nút Apply và Reset
2. Các tham số hiển thị đúng giá trị đã nhập
3. Báo cáo chạy xong, không hiển thị thông báo lỗi
4. Báo cáo có 10 cột (STT, Ngày phát sinh sự vụ, CIF, Tên KH, Loại KH, Mã kịch bản, Tên kịch bản, Mã sự vụ, Trạng thái cảnh báo, Trạng thái sự vụ) và đúng 16 dòng, mỗi dòng 1 event: E01–E06, E09–E18</t>
        </is>
      </c>
      <c r="G28" s="178" t="inlineStr">
        <is>
          <t>SIT</t>
        </is>
      </c>
      <c r="H28" s="178" t="inlineStr">
        <is>
          <t>High</t>
        </is>
      </c>
      <c r="I28" s="178" t="inlineStr">
        <is>
          <t>Manual</t>
        </is>
      </c>
      <c r="J28" s="178" t="inlineStr">
        <is>
          <t>Untested</t>
        </is>
      </c>
      <c r="K28" s="178" t="inlineStr">
        <is>
          <t>Untested</t>
        </is>
      </c>
      <c r="L28" s="178" t="inlineStr">
        <is>
          <t>Untested</t>
        </is>
      </c>
      <c r="M28" s="77" t="n"/>
      <c r="N28" s="178" t="inlineStr">
        <is>
          <t>Q14</t>
        </is>
      </c>
    </row>
    <row r="29" outlineLevel="1" ht="20" customHeight="1">
      <c r="A29" s="176" t="inlineStr">
        <is>
          <t>— Logic số liệu</t>
        </is>
      </c>
      <c r="B29" s="177" t="n"/>
      <c r="C29" s="177" t="n"/>
      <c r="D29" s="177" t="n"/>
      <c r="E29" s="177" t="n"/>
      <c r="F29" s="177" t="n"/>
      <c r="G29" s="177" t="n"/>
      <c r="H29" s="177" t="n"/>
      <c r="I29" s="177" t="n"/>
      <c r="J29" s="177" t="n"/>
      <c r="K29" s="177" t="n"/>
      <c r="L29" s="177" t="n"/>
      <c r="M29" s="177" t="n"/>
      <c r="N29" s="177" t="n"/>
    </row>
    <row r="30" outlineLevel="2" ht="156" customHeight="1">
      <c r="A30" s="178" t="inlineStr">
        <is>
          <t>MSB_TM-RP_TC_119</t>
        </is>
      </c>
      <c r="B30" s="178" t="inlineStr">
        <is>
          <t>Kiểm tra tách mỗi event 1 dòng với case phát sinh nhiều kịch bản</t>
        </is>
      </c>
      <c r="C30"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case C01 (CIF 10090001, 03/09/2026) có E01 (AML-01, Y) và E02 (AML-07, N)</t>
        </is>
      </c>
      <c r="D30" s="178" t="inlineStr">
        <is>
          <t>1. Mở báo cáo "Báo cáo khách hàng phát sinh cảnh báo theo từng kịch bản" (Report TM_04) trên OAS
2. Nhập tham số: Từ ngày = 01/09/2026; Đến ngày = 30/09/2026
3. Nhấn nút Apply
4. Lọc các dòng có Mã sự vụ = C01</t>
        </is>
      </c>
      <c r="E30" s="178" t="inlineStr">
        <is>
          <t>- Tham số: Từ ngày = 01/09/2026; Đến ngày = 30/09/2026
- Case: C01, Event: E01, E02</t>
        </is>
      </c>
      <c r="F30" s="178" t="inlineStr">
        <is>
          <t>1. Báo cáo mở, hiển thị vùng tham số cùng nút Apply và Reset
2. Các tham số hiển thị đúng giá trị đã nhập
3. Báo cáo chạy xong, không hiển thị thông báo lỗi
4. Có 2 dòng: AML-01 với Trạng thái cảnh báo Y; AML-07 với Trạng thái cảnh báo N</t>
        </is>
      </c>
      <c r="G30" s="178" t="inlineStr">
        <is>
          <t>SIT</t>
        </is>
      </c>
      <c r="H30" s="178" t="inlineStr">
        <is>
          <t>High</t>
        </is>
      </c>
      <c r="I30" s="178" t="inlineStr">
        <is>
          <t>Manual</t>
        </is>
      </c>
      <c r="J30" s="178" t="inlineStr">
        <is>
          <t>Untested</t>
        </is>
      </c>
      <c r="K30" s="178" t="inlineStr">
        <is>
          <t>Untested</t>
        </is>
      </c>
      <c r="L30" s="178" t="inlineStr">
        <is>
          <t>Untested</t>
        </is>
      </c>
      <c r="M30" s="77" t="n"/>
      <c r="N30" s="178" t="inlineStr">
        <is>
          <t>Q14</t>
        </is>
      </c>
    </row>
    <row r="31" outlineLevel="2" ht="171" customHeight="1">
      <c r="A31" s="178" t="inlineStr">
        <is>
          <t>MSB_TM-RP_TC_120</t>
        </is>
      </c>
      <c r="B31" s="178" t="inlineStr">
        <is>
          <t>Kiểm tra tách dòng theo từng case với CIF có nhiều case cùng kịch bản</t>
        </is>
      </c>
      <c r="C31"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CIF 10090001 có C01 (03/09/2026, event E01 AML-01) và C03 (15/09/2026, event E04 AML-01)</t>
        </is>
      </c>
      <c r="D31" s="178" t="inlineStr">
        <is>
          <t>1. Mở báo cáo "Báo cáo khách hàng phát sinh cảnh báo theo từng kịch bản" (Report TM_04) trên OAS
2. Nhập tham số: Từ ngày = 01/09/2026; Đến ngày = 30/09/2026
3. Nhấn nút Apply
4. Lọc các dòng có CIF = 10090001 và Mã kịch bản = AML-01</t>
        </is>
      </c>
      <c r="E31" s="178" t="inlineStr">
        <is>
          <t>- Tham số: Từ ngày = 01/09/2026; Đến ngày = 30/09/2026
- Case: C01, C03</t>
        </is>
      </c>
      <c r="F31" s="178" t="inlineStr">
        <is>
          <t>1. Báo cáo mở, hiển thị vùng tham số cùng nút Apply và Reset
2. Các tham số hiển thị đúng giá trị đã nhập
3. Báo cáo chạy xong, không hiển thị thông báo lỗi
4. Có 2 dòng: Mã sự vụ C01 (Ngày 03/09/2026) và C03 (Ngày 15/09/2026)</t>
        </is>
      </c>
      <c r="G31" s="178" t="inlineStr">
        <is>
          <t>SIT</t>
        </is>
      </c>
      <c r="H31" s="178" t="inlineStr">
        <is>
          <t>High</t>
        </is>
      </c>
      <c r="I31" s="178" t="inlineStr">
        <is>
          <t>Manual</t>
        </is>
      </c>
      <c r="J31" s="178" t="inlineStr">
        <is>
          <t>Untested</t>
        </is>
      </c>
      <c r="K31" s="178" t="inlineStr">
        <is>
          <t>Untested</t>
        </is>
      </c>
      <c r="L31" s="178" t="inlineStr">
        <is>
          <t>Untested</t>
        </is>
      </c>
      <c r="M31" s="77" t="n"/>
      <c r="N31" s="178" t="inlineStr">
        <is>
          <t>Q14</t>
        </is>
      </c>
    </row>
    <row r="32" outlineLevel="2" ht="141" customHeight="1">
      <c r="A32" s="178" t="inlineStr">
        <is>
          <t>MSB_TM-RP_TC_121</t>
        </is>
      </c>
      <c r="B32" s="178" t="inlineStr">
        <is>
          <t>Kiểm tra hiển thị đúng Trạng thái cảnh báo Y, N, P theo đánh giá đáng ngờ của event</t>
        </is>
      </c>
      <c r="C32"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E01 = Y, E03 = N, E14 = P</t>
        </is>
      </c>
      <c r="D32" s="178" t="inlineStr">
        <is>
          <t>1. Mở báo cáo "Báo cáo khách hàng phát sinh cảnh báo theo từng kịch bản" (Report TM_04) trên OAS
2. Nhập tham số: Từ ngày = 01/09/2026; Đến ngày = 30/09/2026
3. Nhấn nút Apply
4. Xem cột Trạng thái cảnh báo của E01 (C01, AML-01), E03 (C02, AML-02), E14 (C11, AML-05)</t>
        </is>
      </c>
      <c r="E32" s="178" t="inlineStr">
        <is>
          <t>- Tham số: Từ ngày = 01/09/2026; Đến ngày = 30/09/2026
- Event: E01, E03, E14</t>
        </is>
      </c>
      <c r="F32" s="178" t="inlineStr">
        <is>
          <t>1. Báo cáo mở, hiển thị vùng tham số cùng nút Apply và Reset
2. Các tham số hiển thị đúng giá trị đã nhập
3. Báo cáo chạy xong, không hiển thị thông báo lỗi
4. E01 = Y; E03 = N; E14 = P</t>
        </is>
      </c>
      <c r="G32" s="178" t="inlineStr">
        <is>
          <t>SIT</t>
        </is>
      </c>
      <c r="H32" s="178" t="inlineStr">
        <is>
          <t>High</t>
        </is>
      </c>
      <c r="I32" s="178" t="inlineStr">
        <is>
          <t>Manual</t>
        </is>
      </c>
      <c r="J32" s="178" t="inlineStr">
        <is>
          <t>Untested</t>
        </is>
      </c>
      <c r="K32" s="178" t="inlineStr">
        <is>
          <t>Untested</t>
        </is>
      </c>
      <c r="L32" s="178" t="inlineStr">
        <is>
          <t>Untested</t>
        </is>
      </c>
      <c r="M32" s="77" t="n"/>
      <c r="N32" s="178" t="inlineStr">
        <is>
          <t>Q7</t>
        </is>
      </c>
    </row>
    <row r="33" outlineLevel="2" ht="156" customHeight="1">
      <c r="A33" s="178" t="inlineStr">
        <is>
          <t>MSB_TM-RP_TC_122</t>
        </is>
      </c>
      <c r="B33" s="178" t="inlineStr">
        <is>
          <t>Kiểm tra hiển thị đúng Trạng thái sự vụ hiện tại kể cả case đã đóng</t>
        </is>
      </c>
      <c r="C33"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C03 = Approved STR, C04 = Closed - No Further Action, C08 = Pending AML Maker</t>
        </is>
      </c>
      <c r="D33" s="178" t="inlineStr">
        <is>
          <t>1. Mở báo cáo "Báo cáo khách hàng phát sinh cảnh báo theo từng kịch bản" (Report TM_04) trên OAS
2. Nhập tham số: Từ ngày = 01/09/2026; Đến ngày = 30/09/2026
3. Nhấn nút Apply
4. Xem cột Trạng thái sự vụ của dòng C03, C04, C08</t>
        </is>
      </c>
      <c r="E33" s="178" t="inlineStr">
        <is>
          <t>- Tham số: Từ ngày = 01/09/2026; Đến ngày = 30/09/2026
- Case: C03, C04, C08</t>
        </is>
      </c>
      <c r="F33" s="178" t="inlineStr">
        <is>
          <t>1. Báo cáo mở, hiển thị vùng tham số cùng nút Apply và Reset
2. Các tham số hiển thị đúng giá trị đã nhập
3. Báo cáo chạy xong, không hiển thị thông báo lỗi
4. C03 = Approved STR; C04 = Closed - No Further Action; C08 = Pending AML Maker</t>
        </is>
      </c>
      <c r="G33" s="178" t="inlineStr">
        <is>
          <t>SIT</t>
        </is>
      </c>
      <c r="H33" s="178" t="inlineStr">
        <is>
          <t>High</t>
        </is>
      </c>
      <c r="I33" s="178" t="inlineStr">
        <is>
          <t>Manual</t>
        </is>
      </c>
      <c r="J33" s="178" t="inlineStr">
        <is>
          <t>Untested</t>
        </is>
      </c>
      <c r="K33" s="178" t="inlineStr">
        <is>
          <t>Untested</t>
        </is>
      </c>
      <c r="L33" s="178" t="inlineStr">
        <is>
          <t>Untested</t>
        </is>
      </c>
      <c r="M33" s="77" t="n"/>
      <c r="N33" s="77" t="n"/>
    </row>
    <row r="34" outlineLevel="2" ht="156" customHeight="1">
      <c r="A34" s="178" t="inlineStr">
        <is>
          <t>MSB_TM-RP_TC_123</t>
        </is>
      </c>
      <c r="B34" s="178" t="inlineStr">
        <is>
          <t>Kiểm tra không hiển thị case thủ công không có event trên báo cáo TM_04</t>
        </is>
      </c>
      <c r="C34"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C14 là case thủ công Type AML_MN của CIF 10090014 tạo 16/09/2026, không gắn event</t>
        </is>
      </c>
      <c r="D34" s="178" t="inlineStr">
        <is>
          <t>1. Mở báo cáo "Báo cáo khách hàng phát sinh cảnh báo theo từng kịch bản" (Report TM_04) trên OAS
2. Nhập tham số: Từ ngày = 01/09/2026; Đến ngày = 30/09/2026
3. Nhấn nút Apply
4. Tìm Mã sự vụ C14 hoặc CIF 10090014</t>
        </is>
      </c>
      <c r="E34" s="178" t="inlineStr">
        <is>
          <t>- Tham số: Từ ngày = 01/09/2026; Đến ngày = 30/09/2026
- Case: C14</t>
        </is>
      </c>
      <c r="F34" s="178" t="inlineStr">
        <is>
          <t>1. Báo cáo mở, hiển thị vùng tham số cùng nút Apply và Reset
2. Các tham số hiển thị đúng giá trị đã nhập
3. Báo cáo chạy xong, không hiển thị thông báo lỗi
4. Không có dòng nào của C14</t>
        </is>
      </c>
      <c r="G34" s="178" t="inlineStr">
        <is>
          <t>SIT</t>
        </is>
      </c>
      <c r="H34" s="178" t="inlineStr">
        <is>
          <t>Medium</t>
        </is>
      </c>
      <c r="I34" s="178" t="inlineStr">
        <is>
          <t>Manual</t>
        </is>
      </c>
      <c r="J34" s="178" t="inlineStr">
        <is>
          <t>Untested</t>
        </is>
      </c>
      <c r="K34" s="178" t="inlineStr">
        <is>
          <t>Untested</t>
        </is>
      </c>
      <c r="L34" s="178" t="inlineStr">
        <is>
          <t>Untested</t>
        </is>
      </c>
      <c r="M34" s="77" t="n"/>
      <c r="N34" s="178" t="inlineStr">
        <is>
          <t>Q15</t>
        </is>
      </c>
    </row>
    <row r="35" outlineLevel="2" ht="171" customHeight="1">
      <c r="A35" s="178" t="inlineStr">
        <is>
          <t>MSB_TM-RP_TC_124</t>
        </is>
      </c>
      <c r="B35" s="178" t="inlineStr">
        <is>
          <t>Kiểm tra lấy đúng CIF, Tên KH và Loại KH theo thông tin CIF của event</t>
        </is>
      </c>
      <c r="C35"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C02 thuộc KHTC CIF 20090002 (Công ty CP Đầu tư Hòa Bình); C01 thuộc KHCN CIF 10090001 (Trần Thị Bình)</t>
        </is>
      </c>
      <c r="D35" s="178" t="inlineStr">
        <is>
          <t>1. Mở báo cáo "Báo cáo khách hàng phát sinh cảnh báo theo từng kịch bản" (Report TM_04) trên OAS
2. Nhập tham số: Từ ngày = 01/09/2026; Đến ngày = 30/09/2026
3. Nhấn nút Apply
4. Xem cột CIF, Tên KH, Loại KH của dòng C02 và dòng C01</t>
        </is>
      </c>
      <c r="E35" s="178" t="inlineStr">
        <is>
          <t>- Tham số: Từ ngày = 01/09/2026; Đến ngày = 30/09/2026
- Case: C01, C02</t>
        </is>
      </c>
      <c r="F35" s="178" t="inlineStr">
        <is>
          <t>1. Báo cáo mở, hiển thị vùng tham số cùng nút Apply và Reset
2. Các tham số hiển thị đúng giá trị đã nhập
3. Báo cáo chạy xong, không hiển thị thông báo lỗi
4. C02: 20090002 | Công ty CP Đầu tư Hòa Bình | KHTC; C01: 10090001 | Trần Thị Bình | KHCN</t>
        </is>
      </c>
      <c r="G35" s="178" t="inlineStr">
        <is>
          <t>SIT</t>
        </is>
      </c>
      <c r="H35" s="178" t="inlineStr">
        <is>
          <t>High</t>
        </is>
      </c>
      <c r="I35" s="178" t="inlineStr">
        <is>
          <t>Manual</t>
        </is>
      </c>
      <c r="J35" s="178" t="inlineStr">
        <is>
          <t>Untested</t>
        </is>
      </c>
      <c r="K35" s="178" t="inlineStr">
        <is>
          <t>Untested</t>
        </is>
      </c>
      <c r="L35" s="178" t="inlineStr">
        <is>
          <t>Untested</t>
        </is>
      </c>
      <c r="M35" s="77" t="n"/>
      <c r="N35" s="178" t="inlineStr">
        <is>
          <t>Q13</t>
        </is>
      </c>
    </row>
    <row r="36" outlineLevel="2" ht="156" customHeight="1">
      <c r="A36" s="178" t="inlineStr">
        <is>
          <t>MSB_TM-RP_TC_125</t>
        </is>
      </c>
      <c r="B36" s="178" t="inlineStr">
        <is>
          <t>Kiểm tra hiển thị đúng Mã kịch bản, Tên kịch bản và Mã sự vụ của event</t>
        </is>
      </c>
      <c r="C36"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E17 thuộc case C15, kịch bản AML-07 Mô hình Hub - Spoke</t>
        </is>
      </c>
      <c r="D36" s="178" t="inlineStr">
        <is>
          <t>1. Mở báo cáo "Báo cáo khách hàng phát sinh cảnh báo theo từng kịch bản" (Report TM_04) trên OAS
2. Nhập tham số: Từ ngày = 01/09/2026; Đến ngày = 30/09/2026
3. Nhấn nút Apply
4. Xem dòng của E17</t>
        </is>
      </c>
      <c r="E36" s="178" t="inlineStr">
        <is>
          <t>- Tham số: Từ ngày = 01/09/2026; Đến ngày = 30/09/2026
- Event: E17</t>
        </is>
      </c>
      <c r="F36" s="178" t="inlineStr">
        <is>
          <t>1. Báo cáo mở, hiển thị vùng tham số cùng nút Apply và Reset
2. Các tham số hiển thị đúng giá trị đã nhập
3. Báo cáo chạy xong, không hiển thị thông báo lỗi
4. Mã kịch bản = AML-07; Tên kịch bản = Mô hình Hub - Spoke; Mã sự vụ = Case ID thật của C15</t>
        </is>
      </c>
      <c r="G36" s="178" t="inlineStr">
        <is>
          <t>SIT</t>
        </is>
      </c>
      <c r="H36" s="178" t="inlineStr">
        <is>
          <t>High</t>
        </is>
      </c>
      <c r="I36" s="178" t="inlineStr">
        <is>
          <t>Manual</t>
        </is>
      </c>
      <c r="J36" s="178" t="inlineStr">
        <is>
          <t>Untested</t>
        </is>
      </c>
      <c r="K36" s="178" t="inlineStr">
        <is>
          <t>Untested</t>
        </is>
      </c>
      <c r="L36" s="178" t="inlineStr">
        <is>
          <t>Untested</t>
        </is>
      </c>
      <c r="M36" s="77" t="n"/>
      <c r="N36" s="77" t="n"/>
    </row>
    <row r="37" outlineLevel="2" ht="141" customHeight="1">
      <c r="A37" s="178" t="inlineStr">
        <is>
          <t>MSB_TM-RP_TC_126</t>
        </is>
      </c>
      <c r="B37" s="178" t="inlineStr">
        <is>
          <t>Kiểm tra cột Ngày phát sinh sự vụ hiển thị đúng định dạng DD/MM/YYYY</t>
        </is>
      </c>
      <c r="C37"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C02 phát sinh ngày 10/09/2026</t>
        </is>
      </c>
      <c r="D37" s="178" t="inlineStr">
        <is>
          <t>1. Mở báo cáo "Báo cáo khách hàng phát sinh cảnh báo theo từng kịch bản" (Report TM_04) trên OAS
2. Nhập tham số: Từ ngày = 01/09/2026; Đến ngày = 30/09/2026
3. Nhấn nút Apply
4. Xem cột Ngày phát sinh sự vụ của dòng C02</t>
        </is>
      </c>
      <c r="E37" s="178" t="inlineStr">
        <is>
          <t>- Tham số: Từ ngày = 01/09/2026; Đến ngày = 30/09/2026
- Case: C02</t>
        </is>
      </c>
      <c r="F37" s="178" t="inlineStr">
        <is>
          <t>1. Báo cáo mở, hiển thị vùng tham số cùng nút Apply và Reset
2. Các tham số hiển thị đúng giá trị đã nhập
3. Báo cáo chạy xong, không hiển thị thông báo lỗi
4. Giá trị = 10/09/2026</t>
        </is>
      </c>
      <c r="G37" s="178" t="inlineStr">
        <is>
          <t>SIT</t>
        </is>
      </c>
      <c r="H37" s="178" t="inlineStr">
        <is>
          <t>Medium</t>
        </is>
      </c>
      <c r="I37" s="178" t="inlineStr">
        <is>
          <t>Manual</t>
        </is>
      </c>
      <c r="J37" s="178" t="inlineStr">
        <is>
          <t>Untested</t>
        </is>
      </c>
      <c r="K37" s="178" t="inlineStr">
        <is>
          <t>Untested</t>
        </is>
      </c>
      <c r="L37" s="178" t="inlineStr">
        <is>
          <t>Untested</t>
        </is>
      </c>
      <c r="M37" s="77" t="n"/>
      <c r="N37" s="77" t="n"/>
    </row>
    <row r="38" outlineLevel="2" ht="156" customHeight="1">
      <c r="A38" s="178" t="inlineStr">
        <is>
          <t>MSB_TM-RP_TC_127</t>
        </is>
      </c>
      <c r="B38" s="178" t="inlineStr">
        <is>
          <t>Kiểm tra cột STT tự tăng liên tục từ 1 trên báo cáo TM_04</t>
        </is>
      </c>
      <c r="C38"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8" s="178" t="inlineStr">
        <is>
          <t>1. Mở báo cáo "Báo cáo khách hàng phát sinh cảnh báo theo từng kịch bản" (Report TM_04) trên OAS
2. Nhập tham số: Từ ngày = 01/09/2026; Đến ngày = 30/09/2026
3. Nhấn nút Apply
4. Xem cột STT từ dòng đầu đến dòng cuối</t>
        </is>
      </c>
      <c r="E38" s="178" t="inlineStr">
        <is>
          <t>- Tham số: Từ ngày = 01/09/2026; Đến ngày = 30/09/2026</t>
        </is>
      </c>
      <c r="F38" s="178" t="inlineStr">
        <is>
          <t>1. Báo cáo mở, hiển thị vùng tham số cùng nút Apply và Reset
2. Các tham số hiển thị đúng giá trị đã nhập
3. Báo cáo chạy xong, không hiển thị thông báo lỗi
4. STT chạy 1, 2, …, 16, không trùng, không ngắt quãng</t>
        </is>
      </c>
      <c r="G38" s="178" t="inlineStr">
        <is>
          <t>SIT</t>
        </is>
      </c>
      <c r="H38" s="178" t="inlineStr">
        <is>
          <t>Low</t>
        </is>
      </c>
      <c r="I38" s="178" t="inlineStr">
        <is>
          <t>Manual</t>
        </is>
      </c>
      <c r="J38" s="178" t="inlineStr">
        <is>
          <t>Untested</t>
        </is>
      </c>
      <c r="K38" s="178" t="inlineStr">
        <is>
          <t>Untested</t>
        </is>
      </c>
      <c r="L38" s="178" t="inlineStr">
        <is>
          <t>Untested</t>
        </is>
      </c>
      <c r="M38" s="77" t="n"/>
      <c r="N38" s="77" t="n"/>
    </row>
    <row r="39" outlineLevel="1" ht="20" customHeight="1">
      <c r="A39" s="176" t="inlineStr">
        <is>
          <t>— Tham số lọc &amp; biên kỳ</t>
        </is>
      </c>
      <c r="B39" s="177" t="n"/>
      <c r="C39" s="177" t="n"/>
      <c r="D39" s="177" t="n"/>
      <c r="E39" s="177" t="n"/>
      <c r="F39" s="177" t="n"/>
      <c r="G39" s="177" t="n"/>
      <c r="H39" s="177" t="n"/>
      <c r="I39" s="177" t="n"/>
      <c r="J39" s="177" t="n"/>
      <c r="K39" s="177" t="n"/>
      <c r="L39" s="177" t="n"/>
      <c r="M39" s="177" t="n"/>
      <c r="N39" s="177" t="n"/>
    </row>
    <row r="40" outlineLevel="2" ht="156" customHeight="1">
      <c r="A40" s="178" t="inlineStr">
        <is>
          <t>MSB_TM-RP_TC_128</t>
        </is>
      </c>
      <c r="B40" s="178" t="inlineStr">
        <is>
          <t>Kiểm tra lấy đúng case ngày 01/09/2026 và loại trừ case ngày 31/08/2026 ở biên đầu kỳ</t>
        </is>
      </c>
      <c r="C40"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C04 (event E05) phát sinh 01/09/2026; C06 (event E07) phát sinh 31/08/2026</t>
        </is>
      </c>
      <c r="D40" s="178" t="inlineStr">
        <is>
          <t>1. Mở báo cáo "Báo cáo khách hàng phát sinh cảnh báo theo từng kịch bản" (Report TM_04) trên OAS
2. Nhập tham số: Từ ngày = 01/09/2026; Đến ngày = 30/09/2026
3. Nhấn nút Apply
4. Tìm dòng C04 và C06</t>
        </is>
      </c>
      <c r="E40" s="178" t="inlineStr">
        <is>
          <t>- Tham số: Từ ngày = 01/09/2026; Đến ngày = 30/09/2026
- Case: C04, C06</t>
        </is>
      </c>
      <c r="F40" s="178" t="inlineStr">
        <is>
          <t>1. Báo cáo mở, hiển thị vùng tham số cùng nút Apply và Reset
2. Các tham số hiển thị đúng giá trị đã nhập
3. Báo cáo chạy xong, không hiển thị thông báo lỗi
4. Có dòng C04; không có dòng C06</t>
        </is>
      </c>
      <c r="G40" s="178" t="inlineStr">
        <is>
          <t>SIT</t>
        </is>
      </c>
      <c r="H40" s="178" t="inlineStr">
        <is>
          <t>Medium</t>
        </is>
      </c>
      <c r="I40" s="178" t="inlineStr">
        <is>
          <t>Manual</t>
        </is>
      </c>
      <c r="J40" s="178" t="inlineStr">
        <is>
          <t>Untested</t>
        </is>
      </c>
      <c r="K40" s="178" t="inlineStr">
        <is>
          <t>Untested</t>
        </is>
      </c>
      <c r="L40" s="178" t="inlineStr">
        <is>
          <t>Untested</t>
        </is>
      </c>
      <c r="M40" s="77" t="n"/>
      <c r="N40" s="178" t="inlineStr">
        <is>
          <t>Q9</t>
        </is>
      </c>
    </row>
    <row r="41" outlineLevel="2" ht="156" customHeight="1">
      <c r="A41" s="178" t="inlineStr">
        <is>
          <t>MSB_TM-RP_TC_129</t>
        </is>
      </c>
      <c r="B41" s="178" t="inlineStr">
        <is>
          <t>Kiểm tra lấy đúng case ngày 30/09/2026 và loại trừ case ngày 01/10/2026 ở biên cuối kỳ</t>
        </is>
      </c>
      <c r="C41"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C05 (event E06) phát sinh 30/09/2026; C07 (event E08) phát sinh 01/10/2026</t>
        </is>
      </c>
      <c r="D41" s="178" t="inlineStr">
        <is>
          <t>1. Mở báo cáo "Báo cáo khách hàng phát sinh cảnh báo theo từng kịch bản" (Report TM_04) trên OAS
2. Nhập tham số: Từ ngày = 01/09/2026; Đến ngày = 30/09/2026
3. Nhấn nút Apply
4. Tìm dòng C05 và C07</t>
        </is>
      </c>
      <c r="E41" s="178" t="inlineStr">
        <is>
          <t>- Tham số: Từ ngày = 01/09/2026; Đến ngày = 30/09/2026
- Case: C05, C07</t>
        </is>
      </c>
      <c r="F41" s="178" t="inlineStr">
        <is>
          <t>1. Báo cáo mở, hiển thị vùng tham số cùng nút Apply và Reset
2. Các tham số hiển thị đúng giá trị đã nhập
3. Báo cáo chạy xong, không hiển thị thông báo lỗi
4. Có dòng C05; không có dòng C07</t>
        </is>
      </c>
      <c r="G41" s="178" t="inlineStr">
        <is>
          <t>SIT</t>
        </is>
      </c>
      <c r="H41" s="178" t="inlineStr">
        <is>
          <t>Medium</t>
        </is>
      </c>
      <c r="I41" s="178" t="inlineStr">
        <is>
          <t>Manual</t>
        </is>
      </c>
      <c r="J41" s="178" t="inlineStr">
        <is>
          <t>Untested</t>
        </is>
      </c>
      <c r="K41" s="178" t="inlineStr">
        <is>
          <t>Untested</t>
        </is>
      </c>
      <c r="L41" s="178" t="inlineStr">
        <is>
          <t>Untested</t>
        </is>
      </c>
      <c r="M41" s="77" t="n"/>
      <c r="N41" s="178" t="inlineStr">
        <is>
          <t>Q9</t>
        </is>
      </c>
    </row>
    <row r="42" outlineLevel="2" ht="156" customHeight="1">
      <c r="A42" s="178" t="inlineStr">
        <is>
          <t>MSB_TM-RP_TC_130</t>
        </is>
      </c>
      <c r="B42" s="178" t="inlineStr">
        <is>
          <t>Kiểm tra lọc thành công báo cáo TM_04 với Mã kịch bản chọn 1 giá trị</t>
        </is>
      </c>
      <c r="C42"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2" s="178" t="inlineStr">
        <is>
          <t>1. Mở báo cáo "Báo cáo khách hàng phát sinh cảnh báo theo từng kịch bản" (Report TM_04) trên OAS
2. Nhập tham số: Từ ngày = 01/09/2026; Đến ngày = 30/09/2026; Mã kịch bản = AML-01
3. Nhấn nút Apply
4. Xem bảng kết quả</t>
        </is>
      </c>
      <c r="E42" s="178" t="inlineStr">
        <is>
          <t>- Tham số: Từ ngày = 01/09/2026; Đến ngày = 30/09/2026; Mã kịch bản = AML-01</t>
        </is>
      </c>
      <c r="F42" s="178" t="inlineStr">
        <is>
          <t>1. Báo cáo mở, hiển thị vùng tham số cùng nút Apply và Reset
2. Các tham số hiển thị đúng giá trị đã nhập
3. Báo cáo chạy xong, không hiển thị thông báo lỗi
4. Có 5 dòng AML-01: E01 (C01), E04 (C03), E06 (C05), E09 (C08), E18 (C12)</t>
        </is>
      </c>
      <c r="G42" s="178" t="inlineStr">
        <is>
          <t>SIT</t>
        </is>
      </c>
      <c r="H42" s="178" t="inlineStr">
        <is>
          <t>High</t>
        </is>
      </c>
      <c r="I42" s="178" t="inlineStr">
        <is>
          <t>Manual</t>
        </is>
      </c>
      <c r="J42" s="178" t="inlineStr">
        <is>
          <t>Untested</t>
        </is>
      </c>
      <c r="K42" s="178" t="inlineStr">
        <is>
          <t>Untested</t>
        </is>
      </c>
      <c r="L42" s="178" t="inlineStr">
        <is>
          <t>Untested</t>
        </is>
      </c>
      <c r="M42" s="77" t="n"/>
      <c r="N42" s="77" t="n"/>
    </row>
    <row r="43" outlineLevel="2" ht="156" customHeight="1">
      <c r="A43" s="178" t="inlineStr">
        <is>
          <t>MSB_TM-RP_TC_131</t>
        </is>
      </c>
      <c r="B43" s="178" t="inlineStr">
        <is>
          <t>Kiểm tra lọc thành công báo cáo TM_04 với Mã kịch bản chọn nhiều giá trị</t>
        </is>
      </c>
      <c r="C43"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3" s="178" t="inlineStr">
        <is>
          <t>1. Mở báo cáo "Báo cáo khách hàng phát sinh cảnh báo theo từng kịch bản" (Report TM_04) trên OAS
2. Nhập tham số: Từ ngày = 01/09/2026; Đến ngày = 30/09/2026; Mã kịch bản = AML-01, AML-07
3. Nhấn nút Apply
4. Xem bảng kết quả</t>
        </is>
      </c>
      <c r="E43" s="178" t="inlineStr">
        <is>
          <t>- Tham số: Từ ngày = 01/09/2026; Đến ngày = 30/09/2026; Mã kịch bản = AML-01, AML-07</t>
        </is>
      </c>
      <c r="F43" s="178" t="inlineStr">
        <is>
          <t>1. Báo cáo mở, hiển thị vùng tham số cùng nút Apply và Reset
2. Các tham số hiển thị đúng giá trị đã nhập
3. Báo cáo chạy xong, không hiển thị thông báo lỗi
4. Có 7 dòng: 5 dòng AML-01 và 2 dòng AML-07 (E02 của C01, E17 của C15)</t>
        </is>
      </c>
      <c r="G43" s="178" t="inlineStr">
        <is>
          <t>SIT</t>
        </is>
      </c>
      <c r="H43" s="178" t="inlineStr">
        <is>
          <t>High</t>
        </is>
      </c>
      <c r="I43" s="178" t="inlineStr">
        <is>
          <t>Manual</t>
        </is>
      </c>
      <c r="J43" s="178" t="inlineStr">
        <is>
          <t>Untested</t>
        </is>
      </c>
      <c r="K43" s="178" t="inlineStr">
        <is>
          <t>Untested</t>
        </is>
      </c>
      <c r="L43" s="178" t="inlineStr">
        <is>
          <t>Untested</t>
        </is>
      </c>
      <c r="M43" s="77" t="n"/>
      <c r="N43" s="77" t="n"/>
    </row>
    <row r="44" outlineLevel="2" ht="156" customHeight="1">
      <c r="A44" s="178" t="inlineStr">
        <is>
          <t>MSB_TM-RP_TC_132</t>
        </is>
      </c>
      <c r="B44" s="178" t="inlineStr">
        <is>
          <t>Kiểm tra lọc thành công báo cáo TM_04 khi chỉ chọn Tên kịch bản</t>
        </is>
      </c>
      <c r="C44"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AML-08 Giao dịch có IP nước ngoài có E11 (C09), E13 (C10), E16 (C13)</t>
        </is>
      </c>
      <c r="D44" s="178" t="inlineStr">
        <is>
          <t>1. Mở báo cáo "Báo cáo khách hàng phát sinh cảnh báo theo từng kịch bản" (Report TM_04) trên OAS
2. Nhập tham số: Từ ngày = 01/09/2026; Đến ngày = 30/09/2026; Tên kịch bản = Giao dịch có IP nước ngoài
3. Nhấn nút Apply
4. Xem bảng kết quả</t>
        </is>
      </c>
      <c r="E44" s="178" t="inlineStr">
        <is>
          <t>- Tham số: Từ ngày = 01/09/2026; Đến ngày = 30/09/2026; Tên kịch bản = Giao dịch có IP nước ngoài</t>
        </is>
      </c>
      <c r="F44" s="178" t="inlineStr">
        <is>
          <t>1. Báo cáo mở, hiển thị vùng tham số cùng nút Apply và Reset
2. Các tham số hiển thị đúng giá trị đã nhập
3. Báo cáo chạy xong, không hiển thị thông báo lỗi
4. Có 3 dòng AML-08 của C09, C10, C13</t>
        </is>
      </c>
      <c r="G44" s="178" t="inlineStr">
        <is>
          <t>SIT</t>
        </is>
      </c>
      <c r="H44" s="178" t="inlineStr">
        <is>
          <t>Medium</t>
        </is>
      </c>
      <c r="I44" s="178" t="inlineStr">
        <is>
          <t>Manual</t>
        </is>
      </c>
      <c r="J44" s="178" t="inlineStr">
        <is>
          <t>Untested</t>
        </is>
      </c>
      <c r="K44" s="178" t="inlineStr">
        <is>
          <t>Untested</t>
        </is>
      </c>
      <c r="L44" s="178" t="inlineStr">
        <is>
          <t>Untested</t>
        </is>
      </c>
      <c r="M44" s="77" t="n"/>
      <c r="N44" s="178" t="inlineStr">
        <is>
          <t>Q10</t>
        </is>
      </c>
    </row>
    <row r="45" outlineLevel="1" ht="20" customHeight="1">
      <c r="A45" s="176" t="inlineStr">
        <is>
          <t>— Trích xuất báo cáo</t>
        </is>
      </c>
      <c r="B45" s="177" t="n"/>
      <c r="C45" s="177" t="n"/>
      <c r="D45" s="177" t="n"/>
      <c r="E45" s="177" t="n"/>
      <c r="F45" s="177" t="n"/>
      <c r="G45" s="177" t="n"/>
      <c r="H45" s="177" t="n"/>
      <c r="I45" s="177" t="n"/>
      <c r="J45" s="177" t="n"/>
      <c r="K45" s="177" t="n"/>
      <c r="L45" s="177" t="n"/>
      <c r="M45" s="177" t="n"/>
      <c r="N45" s="177" t="n"/>
    </row>
    <row r="46" outlineLevel="2" ht="201" customHeight="1">
      <c r="A46" s="178" t="inlineStr">
        <is>
          <t>MSB_TM-RP_TC_133</t>
        </is>
      </c>
      <c r="B46" s="178" t="inlineStr">
        <is>
          <t>Kiểm tra xuất thành công báo cáo TM_04 ra file Excel với dữ liệu kỳ 09/2026</t>
        </is>
      </c>
      <c r="C46"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6" s="178" t="inlineStr">
        <is>
          <t>1. Mở báo cáo "Báo cáo khách hàng phát sinh cảnh báo theo từng kịch bản" (Report TM_04) trên OAS
2. Nhập tham số: Từ ngày = 01/09/2026; Đến ngày = 30/09/2026
3. Nhấn nút Apply
4. Export &gt; Formatted &gt; Excel
5. Mở file Excel vừa tải</t>
        </is>
      </c>
      <c r="E46" s="178" t="inlineStr">
        <is>
          <t>- Tham số: Từ ngày = 01/09/2026; Đến ngày = 30/09/2026</t>
        </is>
      </c>
      <c r="F46" s="178" t="inlineStr">
        <is>
          <t>1. Báo cáo mở, hiển thị vùng tham số cùng nút Apply và Reset
2. Các tham số hiển thị đúng giá trị đã nhập
3. Báo cáo chạy xong, không hiển thị thông báo lỗi
4. Tải về 1 file .xlsx
5. File có 16 dòng khớp màn hình, Ngày phát sinh sự vụ giữ định dạng DD/MM/YYYY, bố cục khớp template sheet Report TM_04</t>
        </is>
      </c>
      <c r="G46" s="178" t="inlineStr">
        <is>
          <t>SIT</t>
        </is>
      </c>
      <c r="H46" s="178" t="inlineStr">
        <is>
          <t>High</t>
        </is>
      </c>
      <c r="I46" s="178" t="inlineStr">
        <is>
          <t>Manual</t>
        </is>
      </c>
      <c r="J46" s="178" t="inlineStr">
        <is>
          <t>Untested</t>
        </is>
      </c>
      <c r="K46" s="178" t="inlineStr">
        <is>
          <t>Untested</t>
        </is>
      </c>
      <c r="L46" s="178" t="inlineStr">
        <is>
          <t>Untested</t>
        </is>
      </c>
      <c r="M46" s="77" t="n"/>
      <c r="N46" s="77" t="n"/>
    </row>
    <row r="47" outlineLevel="2" ht="186" customHeight="1">
      <c r="A47" s="178" t="inlineStr">
        <is>
          <t>MSB_TM-RP_TC_134</t>
        </is>
      </c>
      <c r="B47" s="178" t="inlineStr">
        <is>
          <t>Kiểm tra xuất thành công báo cáo TM_04 ra file PDF với dữ liệu kỳ 09/2026</t>
        </is>
      </c>
      <c r="C47"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7" s="178" t="inlineStr">
        <is>
          <t>1. Mở báo cáo "Báo cáo khách hàng phát sinh cảnh báo theo từng kịch bản" (Report TM_04) trên OAS
2. Nhập tham số: Từ ngày = 01/09/2026; Đến ngày = 30/09/2026
3. Nhấn nút Apply
4. Export &gt; Formatted &gt; PDF
5. Mở file PDF vừa tải</t>
        </is>
      </c>
      <c r="E47" s="178" t="inlineStr">
        <is>
          <t>- Tham số: Từ ngày = 01/09/2026; Đến ngày = 30/09/2026</t>
        </is>
      </c>
      <c r="F47" s="178" t="inlineStr">
        <is>
          <t>1. Báo cáo mở, hiển thị vùng tham số cùng nút Apply và Reset
2. Các tham số hiển thị đúng giá trị đã nhập
3. Báo cáo chạy xong, không hiển thị thông báo lỗi
4. Tải về 1 file .pdf
5. File có 16 dòng khớp màn hình, tiếng Việt hiển thị đúng font</t>
        </is>
      </c>
      <c r="G47" s="178" t="inlineStr">
        <is>
          <t>SIT</t>
        </is>
      </c>
      <c r="H47" s="178" t="inlineStr">
        <is>
          <t>High</t>
        </is>
      </c>
      <c r="I47" s="178" t="inlineStr">
        <is>
          <t>Manual</t>
        </is>
      </c>
      <c r="J47" s="178" t="inlineStr">
        <is>
          <t>Untested</t>
        </is>
      </c>
      <c r="K47" s="178" t="inlineStr">
        <is>
          <t>Untested</t>
        </is>
      </c>
      <c r="L47" s="178" t="inlineStr">
        <is>
          <t>Untested</t>
        </is>
      </c>
      <c r="M47" s="77" t="n"/>
      <c r="N47" s="77" t="n"/>
    </row>
    <row r="48" outlineLevel="1" ht="20" customHeight="1">
      <c r="A48" s="176" t="inlineStr">
        <is>
          <t>— Kết quả theo số lượng bản ghi (không có / ít / nhiều)</t>
        </is>
      </c>
      <c r="B48" s="177" t="n"/>
      <c r="C48" s="177" t="n"/>
      <c r="D48" s="177" t="n"/>
      <c r="E48" s="177" t="n"/>
      <c r="F48" s="177" t="n"/>
      <c r="G48" s="177" t="n"/>
      <c r="H48" s="177" t="n"/>
      <c r="I48" s="177" t="n"/>
      <c r="J48" s="177" t="n"/>
      <c r="K48" s="177" t="n"/>
      <c r="L48" s="177" t="n"/>
      <c r="M48" s="177" t="n"/>
      <c r="N48" s="177" t="n"/>
    </row>
    <row r="49" outlineLevel="2" ht="156" customHeight="1">
      <c r="A49" s="178" t="inlineStr">
        <is>
          <t>MSB_TM-RP_TC_135</t>
        </is>
      </c>
      <c r="B49" s="178" t="inlineStr">
        <is>
          <t>Kiểm tra hiển thị báo cáo TM_04 rỗng không lỗi với kỳ không có event</t>
        </is>
      </c>
      <c r="C49" s="178" t="inlineStr">
        <is>
          <t>- User: Đăng nhập tm_aml_maker (AML Maker – HO, HO0000001)
- Màn hình: trang chủ Oracle Analytics Server (OAS) môi trường SIT, chưa mở báo cáo
- Dữ liệu: tháng 01/2026 không có event nào</t>
        </is>
      </c>
      <c r="D49" s="178" t="inlineStr">
        <is>
          <t>1. Mở báo cáo "Báo cáo khách hàng phát sinh cảnh báo theo từng kịch bản" (Report TM_04) trên OAS
2. Nhập tham số: Từ ngày = 01/01/2026; Đến ngày = 31/01/2026
3. Nhấn nút Apply
4. Xem vùng kết quả</t>
        </is>
      </c>
      <c r="E49" s="178" t="inlineStr">
        <is>
          <t>- Tham số: Từ ngày = 01/01/2026; Đến ngày = 31/01/2026</t>
        </is>
      </c>
      <c r="F49" s="178" t="inlineStr">
        <is>
          <t>1. Báo cáo mở, hiển thị vùng tham số cùng nút Apply và Reset
2. Các tham số hiển thị đúng giá trị đã nhập
3. Báo cáo chạy xong, không hiển thị thông báo lỗi
4. Báo cáo không có dòng dữ liệu, không phát sinh lỗi</t>
        </is>
      </c>
      <c r="G49" s="178" t="inlineStr">
        <is>
          <t>SIT</t>
        </is>
      </c>
      <c r="H49" s="178" t="inlineStr">
        <is>
          <t>Medium</t>
        </is>
      </c>
      <c r="I49" s="178" t="inlineStr">
        <is>
          <t>Manual</t>
        </is>
      </c>
      <c r="J49" s="178" t="inlineStr">
        <is>
          <t>Untested</t>
        </is>
      </c>
      <c r="K49" s="178" t="inlineStr">
        <is>
          <t>Untested</t>
        </is>
      </c>
      <c r="L49" s="178" t="inlineStr">
        <is>
          <t>Untested</t>
        </is>
      </c>
      <c r="M49" s="77" t="n"/>
      <c r="N49" s="77" t="n"/>
    </row>
    <row r="50" outlineLevel="2" ht="171" customHeight="1">
      <c r="A50" s="178" t="inlineStr">
        <is>
          <t>MSB_TM-RP_TC_136</t>
        </is>
      </c>
      <c r="B50" s="178" t="inlineStr">
        <is>
          <t>Kiểm tra hiển thị đủ kết quả trên 1 trang không có phân trang khi báo cáo TM_04 trả về ít bản ghi</t>
        </is>
      </c>
      <c r="C50"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50" s="178" t="inlineStr">
        <is>
          <t>1. Mở báo cáo "Báo cáo khách hàng phát sinh cảnh báo theo từng kịch bản" (Report TM_04) trên OAS
2. Nhập tham số: Từ ngày = 01/09/2026; Đến ngày = 30/09/2026; Mã kịch bản = AML-07
3. Nhấn nút Apply
4. Xem bảng kết quả và vùng điều khiển phân trang</t>
        </is>
      </c>
      <c r="E50" s="178" t="inlineStr">
        <is>
          <t>- Tham số: Từ ngày = 01/09/2026; Đến ngày = 30/09/2026; Mã kịch bản = AML-07</t>
        </is>
      </c>
      <c r="F50" s="178" t="inlineStr">
        <is>
          <t>1. Báo cáo mở, hiển thị vùng tham số cùng nút Apply và Reset
2. Các tham số hiển thị đúng giá trị đã nhập
3. Báo cáo chạy xong, không hiển thị thông báo lỗi
4. Chỉ có 2 dòng AML-07 (E02 của C01, E17 của C15) trên 1 trang; không hiển thị nút chuyển trang (25 dòng/trang)</t>
        </is>
      </c>
      <c r="G50" s="178" t="inlineStr">
        <is>
          <t>SIT</t>
        </is>
      </c>
      <c r="H50" s="178" t="inlineStr">
        <is>
          <t>Medium</t>
        </is>
      </c>
      <c r="I50" s="178" t="inlineStr">
        <is>
          <t>Manual</t>
        </is>
      </c>
      <c r="J50" s="178" t="inlineStr">
        <is>
          <t>Untested</t>
        </is>
      </c>
      <c r="K50" s="178" t="inlineStr">
        <is>
          <t>Untested</t>
        </is>
      </c>
      <c r="L50" s="178" t="inlineStr">
        <is>
          <t>Untested</t>
        </is>
      </c>
      <c r="M50" s="77" t="n"/>
      <c r="N50" s="178" t="inlineStr">
        <is>
          <t>Q17</t>
        </is>
      </c>
    </row>
    <row r="51" outlineLevel="2" ht="171" customHeight="1">
      <c r="A51" s="178" t="inlineStr">
        <is>
          <t>MSB_TM-RP_TC_137</t>
        </is>
      </c>
      <c r="B51" s="178" t="inlineStr">
        <is>
          <t>Kiểm tra hiển thị phân trang thành công khi báo cáo TM_04 trả về nhiều hơn 1 trang</t>
        </is>
      </c>
      <c r="C51"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1" s="178" t="inlineStr">
        <is>
          <t>1. Mở báo cáo "Báo cáo khách hàng phát sinh cảnh báo theo từng kịch bản" (Report TM_04) trên OAS
2. Nhập tham số: Từ ngày = 01/03/2024; Đến ngày = 31/03/2024
3. Nhấn nút Apply
4. Xem trang 1 của bảng kết quả và vùng điều khiển phân trang</t>
        </is>
      </c>
      <c r="E51" s="178" t="inlineStr">
        <is>
          <t>- Tham số: Từ ngày = 01/03/2024; Đến ngày = 31/03/2024
- Kỳ vọng: 60 dòng (mỗi event 1 dòng)</t>
        </is>
      </c>
      <c r="F51" s="178" t="inlineStr">
        <is>
          <t>1. Báo cáo mở, hiển thị vùng tham số cùng nút Apply và Reset
2. Các tham số hiển thị đúng giá trị đã nhập
3. Báo cáo chạy xong, không hiển thị thông báo lỗi
4. Trang 1 hiển thị 25 dòng đầu (STT 1–25), có nút chuyển trang và thông tin tổng 60 dòng (25 dòng/trang)</t>
        </is>
      </c>
      <c r="G51" s="178" t="inlineStr">
        <is>
          <t>SIT</t>
        </is>
      </c>
      <c r="H51" s="178" t="inlineStr">
        <is>
          <t>High</t>
        </is>
      </c>
      <c r="I51" s="178" t="inlineStr">
        <is>
          <t>Manual</t>
        </is>
      </c>
      <c r="J51" s="178" t="inlineStr">
        <is>
          <t>Untested</t>
        </is>
      </c>
      <c r="K51" s="178" t="inlineStr">
        <is>
          <t>Untested</t>
        </is>
      </c>
      <c r="L51" s="178" t="inlineStr">
        <is>
          <t>Untested</t>
        </is>
      </c>
      <c r="M51" s="77" t="n"/>
      <c r="N51" s="178" t="inlineStr">
        <is>
          <t>Q17</t>
        </is>
      </c>
    </row>
    <row r="52" outlineLevel="2" ht="231" customHeight="1">
      <c r="A52" s="178" t="inlineStr">
        <is>
          <t>MSB_TM-RP_TC_138</t>
        </is>
      </c>
      <c r="B52" s="178" t="inlineStr">
        <is>
          <t>Kiểm tra chuyển trang thành công và STT liên tục không trùng, không mất dòng của báo cáo TM_04</t>
        </is>
      </c>
      <c r="C52"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2" s="178" t="inlineStr">
        <is>
          <t>1. Mở báo cáo "Báo cáo khách hàng phát sinh cảnh báo theo từng kịch bản" (Report TM_04) trên OAS
2. Nhập tham số: Từ ngày = 01/03/2024; Đến ngày = 31/03/2024
3. Nhấn nút Apply
4. Nhấn nút trang kế tiếp
5. Nhấn nút trang kế tiếp lần 2
6. Nhấn nút trang trước, sau đó nút trang đầu</t>
        </is>
      </c>
      <c r="E52" s="178" t="inlineStr">
        <is>
          <t>- Tham số: Từ ngày = 01/03/2024; Đến ngày = 31/03/2024</t>
        </is>
      </c>
      <c r="F52" s="178" t="inlineStr">
        <is>
          <t>1. Báo cáo mở, hiển thị vùng tham số cùng nút Apply và Reset
2. Các tham số hiển thị đúng giá trị đã nhập
3. Báo cáo chạy xong, không hiển thị thông báo lỗi
4. Trang 2 hiển thị STT 26–50, nối tiếp trang 1
5. Trang 3 hiển thị STT 51–60 (10 dòng), là trang cuối
6. Quay về đúng trang 2 rồi trang 1; qua 3 trang có đủ 60 Mã sự vụ V001–V060, không mã nào lặp</t>
        </is>
      </c>
      <c r="G52" s="178" t="inlineStr">
        <is>
          <t>SIT</t>
        </is>
      </c>
      <c r="H52" s="178" t="inlineStr">
        <is>
          <t>High</t>
        </is>
      </c>
      <c r="I52" s="178" t="inlineStr">
        <is>
          <t>Manual</t>
        </is>
      </c>
      <c r="J52" s="178" t="inlineStr">
        <is>
          <t>Untested</t>
        </is>
      </c>
      <c r="K52" s="178" t="inlineStr">
        <is>
          <t>Untested</t>
        </is>
      </c>
      <c r="L52" s="178" t="inlineStr">
        <is>
          <t>Untested</t>
        </is>
      </c>
      <c r="M52" s="77" t="n"/>
      <c r="N52" s="178" t="inlineStr">
        <is>
          <t>Q17</t>
        </is>
      </c>
    </row>
    <row r="53" outlineLevel="2" ht="186" customHeight="1">
      <c r="A53" s="178" t="inlineStr">
        <is>
          <t>MSB_TM-RP_TC_139</t>
        </is>
      </c>
      <c r="B53" s="178" t="inlineStr">
        <is>
          <t>Kiểm tra xuất Excel đủ toàn bộ bản ghi khi kết quả báo cáo TM_04 nhiều hơn 1 trang</t>
        </is>
      </c>
      <c r="C53"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3" s="178" t="inlineStr">
        <is>
          <t>1. Mở báo cáo "Báo cáo khách hàng phát sinh cảnh báo theo từng kịch bản" (Report TM_04) trên OAS
2. Nhập tham số: Từ ngày = 01/03/2024; Đến ngày = 31/03/2024
3. Nhấn nút Apply
4. Sang trang 2, Export &gt; Formatted &gt; Excel
5. Mở file Excel, đếm số dòng và xem cột STT</t>
        </is>
      </c>
      <c r="E53" s="178" t="inlineStr">
        <is>
          <t>- Tham số: Từ ngày = 01/03/2024; Đến ngày = 31/03/2024</t>
        </is>
      </c>
      <c r="F53" s="178" t="inlineStr">
        <is>
          <t>1. Báo cáo mở, hiển thị vùng tham số cùng nút Apply và Reset
2. Các tham số hiển thị đúng giá trị đã nhập
3. Báo cáo chạy xong, không hiển thị thông báo lỗi
4. Tải về 1 file .xlsx
5. File có đủ 60 dòng, STT 1–60 (không chỉ dòng của trang đang xem)</t>
        </is>
      </c>
      <c r="G53" s="178" t="inlineStr">
        <is>
          <t>SIT</t>
        </is>
      </c>
      <c r="H53" s="178" t="inlineStr">
        <is>
          <t>High</t>
        </is>
      </c>
      <c r="I53" s="178" t="inlineStr">
        <is>
          <t>Manual</t>
        </is>
      </c>
      <c r="J53" s="178" t="inlineStr">
        <is>
          <t>Untested</t>
        </is>
      </c>
      <c r="K53" s="178" t="inlineStr">
        <is>
          <t>Untested</t>
        </is>
      </c>
      <c r="L53" s="178" t="inlineStr">
        <is>
          <t>Untested</t>
        </is>
      </c>
      <c r="M53" s="77" t="n"/>
      <c r="N53" s="178" t="inlineStr">
        <is>
          <t>Q17</t>
        </is>
      </c>
    </row>
    <row r="54" outlineLevel="2" ht="186" customHeight="1">
      <c r="A54" s="178" t="inlineStr">
        <is>
          <t>MSB_TM-RP_TC_140</t>
        </is>
      </c>
      <c r="B54" s="178" t="inlineStr">
        <is>
          <t>Kiểm tra xuất PDF đủ toàn bộ bản ghi khi kết quả báo cáo TM_04 nhiều hơn 1 trang</t>
        </is>
      </c>
      <c r="C54"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4" s="178" t="inlineStr">
        <is>
          <t>1. Mở báo cáo "Báo cáo khách hàng phát sinh cảnh báo theo từng kịch bản" (Report TM_04) trên OAS
2. Nhập tham số: Từ ngày = 01/03/2024; Đến ngày = 31/03/2024
3. Nhấn nút Apply
4. Export &gt; Formatted &gt; PDF
5. Mở file PDF, đếm số dòng và xem cột STT</t>
        </is>
      </c>
      <c r="E54" s="178" t="inlineStr">
        <is>
          <t>- Tham số: Từ ngày = 01/03/2024; Đến ngày = 31/03/2024</t>
        </is>
      </c>
      <c r="F54" s="178" t="inlineStr">
        <is>
          <t>1. Báo cáo mở, hiển thị vùng tham số cùng nút Apply và Reset
2. Các tham số hiển thị đúng giá trị đã nhập
3. Báo cáo chạy xong, không hiển thị thông báo lỗi
4. Tải về 1 file .pdf
5. File có đủ 60 dòng, STT 1–60, ngắt trang PDF không làm mất hoặc lặp dòng</t>
        </is>
      </c>
      <c r="G54" s="178" t="inlineStr">
        <is>
          <t>SIT</t>
        </is>
      </c>
      <c r="H54" s="178" t="inlineStr">
        <is>
          <t>High</t>
        </is>
      </c>
      <c r="I54" s="178" t="inlineStr">
        <is>
          <t>Manual</t>
        </is>
      </c>
      <c r="J54" s="178" t="inlineStr">
        <is>
          <t>Untested</t>
        </is>
      </c>
      <c r="K54" s="178" t="inlineStr">
        <is>
          <t>Untested</t>
        </is>
      </c>
      <c r="L54" s="178" t="inlineStr">
        <is>
          <t>Untested</t>
        </is>
      </c>
      <c r="M54" s="77" t="n"/>
      <c r="N54" s="178" t="inlineStr">
        <is>
          <t>Q17</t>
        </is>
      </c>
    </row>
    <row r="55" outlineLevel="2" ht="186" customHeight="1">
      <c r="A55" s="178" t="inlineStr">
        <is>
          <t>MSB_TM-RP_TC_141</t>
        </is>
      </c>
      <c r="B55" s="178" t="inlineStr">
        <is>
          <t>Kiểm tra kết quả quay về trang 1 khi đổi tham số lúc đang xem trang 3 của báo cáo TM_04</t>
        </is>
      </c>
      <c r="C55" s="178"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5" s="178" t="inlineStr">
        <is>
          <t>1. Mở báo cáo "Báo cáo khách hàng phát sinh cảnh báo theo từng kịch bản" (Report TM_04) trên OAS
2. Nhập tham số: Từ ngày = 01/03/2024; Đến ngày = 31/03/2024
3. Nhấn nút Apply
4. Chuyển tới trang 3
5. Đổi Đến ngày = 10/03/2024, nhấn Apply</t>
        </is>
      </c>
      <c r="E55" s="178" t="inlineStr">
        <is>
          <t>- Tham số: Từ ngày = 01/03/2024; Đến ngày = 31/03/2024
- Lần 2: Đến ngày = 10/03/2024</t>
        </is>
      </c>
      <c r="F55" s="178" t="inlineStr">
        <is>
          <t>1. Báo cáo mở, hiển thị vùng tham số cùng nút Apply và Reset
2. Các tham số hiển thị đúng giá trị đã nhập
3. Báo cáo chạy xong, không hiển thị thông báo lỗi
4. Đang ở trang 3 (STT 51–60)
5. Kết quả hiển thị từ trang 1 (STT bắt đầu = 1), chỉ gồm event phát sinh 01/03/2024–10/03/2024</t>
        </is>
      </c>
      <c r="G55" s="178" t="inlineStr">
        <is>
          <t>SIT</t>
        </is>
      </c>
      <c r="H55" s="178" t="inlineStr">
        <is>
          <t>Medium</t>
        </is>
      </c>
      <c r="I55" s="178" t="inlineStr">
        <is>
          <t>Manual</t>
        </is>
      </c>
      <c r="J55" s="178" t="inlineStr">
        <is>
          <t>Untested</t>
        </is>
      </c>
      <c r="K55" s="178" t="inlineStr">
        <is>
          <t>Untested</t>
        </is>
      </c>
      <c r="L55" s="178" t="inlineStr">
        <is>
          <t>Untested</t>
        </is>
      </c>
      <c r="M55" s="77" t="n"/>
      <c r="N55" s="178" t="inlineStr">
        <is>
          <t>Q17</t>
        </is>
      </c>
    </row>
    <row r="56" ht="20" customHeight="1">
      <c r="A56" s="175" t="inlineStr">
        <is>
          <t>NHÓM VALIDATE (Risk Medium)</t>
        </is>
      </c>
      <c r="B56" s="95" t="n"/>
      <c r="C56" s="95" t="n"/>
      <c r="D56" s="95" t="n"/>
      <c r="E56" s="95" t="n"/>
      <c r="F56" s="95" t="n"/>
      <c r="G56" s="95" t="n"/>
      <c r="H56" s="95" t="n"/>
      <c r="I56" s="95" t="n"/>
      <c r="J56" s="95" t="n"/>
      <c r="K56" s="95" t="n"/>
      <c r="L56" s="95" t="n"/>
      <c r="M56" s="95" t="n"/>
      <c r="N56" s="95" t="n"/>
    </row>
    <row r="57" outlineLevel="1" ht="20" customHeight="1">
      <c r="A57" s="176" t="inlineStr">
        <is>
          <t>— Trường: Từ ngày</t>
        </is>
      </c>
      <c r="B57" s="177" t="n"/>
      <c r="C57" s="177" t="n"/>
      <c r="D57" s="177" t="n"/>
      <c r="E57" s="177" t="n"/>
      <c r="F57" s="177" t="n"/>
      <c r="G57" s="177" t="n"/>
      <c r="H57" s="177" t="n"/>
      <c r="I57" s="177" t="n"/>
      <c r="J57" s="177" t="n"/>
      <c r="K57" s="177" t="n"/>
      <c r="L57" s="177" t="n"/>
      <c r="M57" s="177" t="n"/>
      <c r="N57" s="177" t="n"/>
    </row>
    <row r="58" outlineLevel="2" ht="156" customHeight="1">
      <c r="A58" s="178" t="inlineStr">
        <is>
          <t>MSB_TM-RP_TC_142</t>
        </is>
      </c>
      <c r="B58" s="178" t="inlineStr">
        <is>
          <t>Kiểm tra chặn chạy báo cáo TM_04 khi bỏ trống tham số Từ ngày</t>
        </is>
      </c>
      <c r="C58" s="178"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AML-01 đến AML-14 đã khai báo</t>
        </is>
      </c>
      <c r="D58" s="178" t="inlineStr">
        <is>
          <t>1. Để trống Từ ngày, chọn Đến ngày = 30/09/2026
2. Quan sát nút Apply</t>
        </is>
      </c>
      <c r="E58" s="178" t="inlineStr">
        <is>
          <t>- Tham số: Từ ngày = (trống); Đến ngày = 30/09/2026</t>
        </is>
      </c>
      <c r="F58" s="178" t="inlineStr">
        <is>
          <t>1. Từ ngày trống, Đến ngày = 30/09/2026
2. Không hiển thị nút Apply, báo cáo không chạy</t>
        </is>
      </c>
      <c r="G58" s="178" t="inlineStr">
        <is>
          <t>SIT</t>
        </is>
      </c>
      <c r="H58" s="178" t="inlineStr">
        <is>
          <t>High</t>
        </is>
      </c>
      <c r="I58" s="178" t="inlineStr">
        <is>
          <t>Manual</t>
        </is>
      </c>
      <c r="J58" s="178" t="inlineStr">
        <is>
          <t>Untested</t>
        </is>
      </c>
      <c r="K58" s="178" t="inlineStr">
        <is>
          <t>Untested</t>
        </is>
      </c>
      <c r="L58" s="178" t="inlineStr">
        <is>
          <t>Untested</t>
        </is>
      </c>
      <c r="M58" s="77" t="n"/>
      <c r="N58" s="178" t="inlineStr">
        <is>
          <t>Q16</t>
        </is>
      </c>
    </row>
    <row r="59" outlineLevel="2" ht="141" customHeight="1">
      <c r="A59" s="178" t="inlineStr">
        <is>
          <t>MSB_TM-RP_TC_143</t>
        </is>
      </c>
      <c r="B59" s="178" t="inlineStr">
        <is>
          <t>Kiểm tra validate thất bại khi Từ ngày lớn hơn Đến ngày</t>
        </is>
      </c>
      <c r="C59" s="178"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59" s="178" t="inlineStr">
        <is>
          <t>1. Chọn Từ ngày = 30/09/2026, Đến ngày = 01/09/2026
2. Nhấn nút Apply</t>
        </is>
      </c>
      <c r="E59" s="178" t="inlineStr">
        <is>
          <t>- Tham số: Từ ngày = 30/09/2026; Đến ngày = 01/09/2026</t>
        </is>
      </c>
      <c r="F59" s="178" t="inlineStr">
        <is>
          <t>1. Các tham số hiển thị đúng giá trị đã chọn
2. Hệ thống báo lỗi khoảng thời gian không hợp lệ, không trả kết quả</t>
        </is>
      </c>
      <c r="G59" s="178" t="inlineStr">
        <is>
          <t>SIT</t>
        </is>
      </c>
      <c r="H59" s="178" t="inlineStr">
        <is>
          <t>High</t>
        </is>
      </c>
      <c r="I59" s="178" t="inlineStr">
        <is>
          <t>Manual</t>
        </is>
      </c>
      <c r="J59" s="178" t="inlineStr">
        <is>
          <t>Untested</t>
        </is>
      </c>
      <c r="K59" s="178" t="inlineStr">
        <is>
          <t>Untested</t>
        </is>
      </c>
      <c r="L59" s="178" t="inlineStr">
        <is>
          <t>Untested</t>
        </is>
      </c>
      <c r="M59" s="77" t="n"/>
      <c r="N59" s="178" t="inlineStr">
        <is>
          <t>Q16</t>
        </is>
      </c>
    </row>
    <row r="60" outlineLevel="2" ht="141" customHeight="1">
      <c r="A60" s="178" t="inlineStr">
        <is>
          <t>MSB_TM-RP_TC_144</t>
        </is>
      </c>
      <c r="B60" s="178" t="inlineStr">
        <is>
          <t>Kiểm tra validate thất bại khi nhập tay Từ ngày không tồn tại 31/09/2026</t>
        </is>
      </c>
      <c r="C60" s="178"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60" s="178" t="inlineStr">
        <is>
          <t>1. Gõ 31/09/2026 vào ô Từ ngày, chọn Đến ngày = 30/09/2026
2. Nhấn nút Apply</t>
        </is>
      </c>
      <c r="E60" s="178" t="inlineStr">
        <is>
          <t>- Tham số: Từ ngày = 31/09/2026 (gõ tay); Đến ngày = 30/09/2026</t>
        </is>
      </c>
      <c r="F60" s="178" t="inlineStr">
        <is>
          <t>1. Ô Từ ngày hiển thị cảnh báo ngày không hợp lệ
2. Báo cáo không chạy với giá trị 31/09/2026</t>
        </is>
      </c>
      <c r="G60" s="178" t="inlineStr">
        <is>
          <t>SIT</t>
        </is>
      </c>
      <c r="H60" s="178" t="inlineStr">
        <is>
          <t>Medium</t>
        </is>
      </c>
      <c r="I60" s="178" t="inlineStr">
        <is>
          <t>Manual</t>
        </is>
      </c>
      <c r="J60" s="178" t="inlineStr">
        <is>
          <t>Untested</t>
        </is>
      </c>
      <c r="K60" s="178" t="inlineStr">
        <is>
          <t>Untested</t>
        </is>
      </c>
      <c r="L60" s="178" t="inlineStr">
        <is>
          <t>Untested</t>
        </is>
      </c>
      <c r="M60" s="77" t="n"/>
      <c r="N60" s="178" t="inlineStr">
        <is>
          <t>Q16</t>
        </is>
      </c>
    </row>
    <row r="61" outlineLevel="1" ht="20" customHeight="1">
      <c r="A61" s="176" t="inlineStr">
        <is>
          <t>— Trường: Đến ngày</t>
        </is>
      </c>
      <c r="B61" s="177" t="n"/>
      <c r="C61" s="177" t="n"/>
      <c r="D61" s="177" t="n"/>
      <c r="E61" s="177" t="n"/>
      <c r="F61" s="177" t="n"/>
      <c r="G61" s="177" t="n"/>
      <c r="H61" s="177" t="n"/>
      <c r="I61" s="177" t="n"/>
      <c r="J61" s="177" t="n"/>
      <c r="K61" s="177" t="n"/>
      <c r="L61" s="177" t="n"/>
      <c r="M61" s="177" t="n"/>
      <c r="N61" s="177" t="n"/>
    </row>
    <row r="62" outlineLevel="2" ht="141" customHeight="1">
      <c r="A62" s="178" t="inlineStr">
        <is>
          <t>MSB_TM-RP_TC_145</t>
        </is>
      </c>
      <c r="B62" s="178" t="inlineStr">
        <is>
          <t>Kiểm tra chặn chạy báo cáo TM_04 khi bỏ trống tham số Đến ngày</t>
        </is>
      </c>
      <c r="C62" s="178"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62" s="178" t="inlineStr">
        <is>
          <t>1. Chọn Từ ngày = 01/09/2026, để trống Đến ngày
2. Quan sát nút Apply</t>
        </is>
      </c>
      <c r="E62" s="178" t="inlineStr">
        <is>
          <t>- Tham số: Từ ngày = 01/09/2026; Đến ngày = (trống)</t>
        </is>
      </c>
      <c r="F62" s="178" t="inlineStr">
        <is>
          <t>1. Từ ngày = 01/09/2026, Đến ngày trống
2. Không hiển thị nút Apply, báo cáo không chạy</t>
        </is>
      </c>
      <c r="G62" s="178" t="inlineStr">
        <is>
          <t>SIT</t>
        </is>
      </c>
      <c r="H62" s="178" t="inlineStr">
        <is>
          <t>High</t>
        </is>
      </c>
      <c r="I62" s="178" t="inlineStr">
        <is>
          <t>Manual</t>
        </is>
      </c>
      <c r="J62" s="178" t="inlineStr">
        <is>
          <t>Untested</t>
        </is>
      </c>
      <c r="K62" s="178" t="inlineStr">
        <is>
          <t>Untested</t>
        </is>
      </c>
      <c r="L62" s="178" t="inlineStr">
        <is>
          <t>Untested</t>
        </is>
      </c>
      <c r="M62" s="77" t="n"/>
      <c r="N62" s="178" t="inlineStr">
        <is>
          <t>Q16</t>
        </is>
      </c>
    </row>
    <row r="63" outlineLevel="2" ht="141" customHeight="1">
      <c r="A63" s="178" t="inlineStr">
        <is>
          <t>MSB_TM-RP_TC_146</t>
        </is>
      </c>
      <c r="B63" s="178" t="inlineStr">
        <is>
          <t>Kiểm tra validate thất bại khi nhập tay Đến ngày sai định dạng 09/30/2026</t>
        </is>
      </c>
      <c r="C63" s="178"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63" s="178" t="inlineStr">
        <is>
          <t>1. Chọn Từ ngày = 01/09/2026, gõ 09/30/2026 vào ô Đến ngày
2. Nhấn nút Apply</t>
        </is>
      </c>
      <c r="E63" s="178" t="inlineStr">
        <is>
          <t>- Tham số: Từ ngày = 01/09/2026; Đến ngày = 09/30/2026 (gõ tay, kiểu mm/dd/yyyy)</t>
        </is>
      </c>
      <c r="F63" s="178" t="inlineStr">
        <is>
          <t>1. Ô Đến ngày hiển thị cảnh báo ngày không hợp lệ (tháng 30 không tồn tại)
2. Báo cáo không chạy với giá trị sai định dạng</t>
        </is>
      </c>
      <c r="G63" s="178" t="inlineStr">
        <is>
          <t>SIT</t>
        </is>
      </c>
      <c r="H63" s="178" t="inlineStr">
        <is>
          <t>Medium</t>
        </is>
      </c>
      <c r="I63" s="178" t="inlineStr">
        <is>
          <t>Manual</t>
        </is>
      </c>
      <c r="J63" s="178" t="inlineStr">
        <is>
          <t>Untested</t>
        </is>
      </c>
      <c r="K63" s="178" t="inlineStr">
        <is>
          <t>Untested</t>
        </is>
      </c>
      <c r="L63" s="178" t="inlineStr">
        <is>
          <t>Untested</t>
        </is>
      </c>
      <c r="M63" s="77" t="n"/>
      <c r="N63" s="178" t="inlineStr">
        <is>
          <t>Q16</t>
        </is>
      </c>
    </row>
    <row r="64" outlineLevel="1" ht="20" customHeight="1">
      <c r="A64" s="176" t="inlineStr">
        <is>
          <t>— Trường: Mã kịch bản</t>
        </is>
      </c>
      <c r="B64" s="177" t="n"/>
      <c r="C64" s="177" t="n"/>
      <c r="D64" s="177" t="n"/>
      <c r="E64" s="177" t="n"/>
      <c r="F64" s="177" t="n"/>
      <c r="G64" s="177" t="n"/>
      <c r="H64" s="177" t="n"/>
      <c r="I64" s="177" t="n"/>
      <c r="J64" s="177" t="n"/>
      <c r="K64" s="177" t="n"/>
      <c r="L64" s="177" t="n"/>
      <c r="M64" s="177" t="n"/>
      <c r="N64" s="177" t="n"/>
    </row>
    <row r="65" outlineLevel="2" ht="156" customHeight="1">
      <c r="A65" s="178" t="inlineStr">
        <is>
          <t>MSB_TM-RP_TC_147</t>
        </is>
      </c>
      <c r="B65" s="178" t="inlineStr">
        <is>
          <t>Kiểm tra chặn chọn Tên kịch bản không khớp với Mã kịch bản đã chọn</t>
        </is>
      </c>
      <c r="C65" s="178"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AML-01 đến AML-14 đã khai báo</t>
        </is>
      </c>
      <c r="D65" s="178" t="inlineStr">
        <is>
          <t>1. Chọn Mã kịch bản = AML-02
2. Tìm tên 'Giao dịch có IP nước ngoài' (AML-08) trong dropdown Tên kịch bản</t>
        </is>
      </c>
      <c r="E65" s="178" t="inlineStr">
        <is>
          <t>- Mã kịch bản: AML-02
- Tên tìm: Giao dịch có IP nước ngoài</t>
        </is>
      </c>
      <c r="F65" s="178" t="inlineStr">
        <is>
          <t>1. Ô Mã kịch bản hiển thị AML-02
2. Không tìm thấy tên của AML-08, không chọn được tổ hợp Mã AML-02 + Tên AML-08</t>
        </is>
      </c>
      <c r="G65" s="178" t="inlineStr">
        <is>
          <t>SIT</t>
        </is>
      </c>
      <c r="H65" s="178" t="inlineStr">
        <is>
          <t>Medium</t>
        </is>
      </c>
      <c r="I65" s="178" t="inlineStr">
        <is>
          <t>Manual</t>
        </is>
      </c>
      <c r="J65" s="178" t="inlineStr">
        <is>
          <t>Untested</t>
        </is>
      </c>
      <c r="K65" s="178" t="inlineStr">
        <is>
          <t>Untested</t>
        </is>
      </c>
      <c r="L65" s="178" t="inlineStr">
        <is>
          <t>Untested</t>
        </is>
      </c>
      <c r="M65" s="77" t="n"/>
      <c r="N65" s="178" t="inlineStr">
        <is>
          <t>Q10</t>
        </is>
      </c>
    </row>
    <row r="66" outlineLevel="2" ht="141" customHeight="1">
      <c r="A66" s="178" t="inlineStr">
        <is>
          <t>MSB_TM-RP_TC_148</t>
        </is>
      </c>
      <c r="B66" s="178" t="inlineStr">
        <is>
          <t>Kiểm tra không thực thi script khi nhập chuỗi XSS vào ô tìm kiếm Mã kịch bản</t>
        </is>
      </c>
      <c r="C66" s="178"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66" s="178" t="inlineStr">
        <is>
          <t>1. Mở dropdown Mã kịch bản, gõ &lt;script&gt;alert(1)&lt;/script&gt; vào ô tìm kiếm
2. Quan sát màn hình</t>
        </is>
      </c>
      <c r="E66" s="178" t="inlineStr">
        <is>
          <t>- Chuỗi tìm kiếm: &lt;script&gt;alert(1)&lt;/script&gt;</t>
        </is>
      </c>
      <c r="F66" s="178" t="inlineStr">
        <is>
          <t>1. Ô tìm kiếm hiển thị chuỗi dạng text
2. Không bật hộp thoại alert, danh sách hiển thị 'không có kết quả'</t>
        </is>
      </c>
      <c r="G66" s="178" t="inlineStr">
        <is>
          <t>SIT</t>
        </is>
      </c>
      <c r="H66" s="178" t="inlineStr">
        <is>
          <t>Low</t>
        </is>
      </c>
      <c r="I66" s="178" t="inlineStr">
        <is>
          <t>Manual</t>
        </is>
      </c>
      <c r="J66" s="178" t="inlineStr">
        <is>
          <t>Untested</t>
        </is>
      </c>
      <c r="K66" s="178" t="inlineStr">
        <is>
          <t>Untested</t>
        </is>
      </c>
      <c r="L66" s="178" t="inlineStr">
        <is>
          <t>Untested</t>
        </is>
      </c>
      <c r="M66" s="77" t="n"/>
      <c r="N66" s="77" t="n"/>
    </row>
    <row r="67" outlineLevel="1" ht="20" customHeight="1">
      <c r="A67" s="176" t="inlineStr">
        <is>
          <t>— Trường: Tên kịch bản</t>
        </is>
      </c>
      <c r="B67" s="177" t="n"/>
      <c r="C67" s="177" t="n"/>
      <c r="D67" s="177" t="n"/>
      <c r="E67" s="177" t="n"/>
      <c r="F67" s="177" t="n"/>
      <c r="G67" s="177" t="n"/>
      <c r="H67" s="177" t="n"/>
      <c r="I67" s="177" t="n"/>
      <c r="J67" s="177" t="n"/>
      <c r="K67" s="177" t="n"/>
      <c r="L67" s="177" t="n"/>
      <c r="M67" s="177" t="n"/>
      <c r="N67" s="177" t="n"/>
    </row>
    <row r="68" outlineLevel="2" ht="141" customHeight="1">
      <c r="A68" s="178" t="inlineStr">
        <is>
          <t>MSB_TM-RP_TC_149</t>
        </is>
      </c>
      <c r="B68" s="178" t="inlineStr">
        <is>
          <t>Kiểm tra không lỗi hệ thống khi nhập chuỗi SQL injection vào ô tìm kiếm Tên kịch bản</t>
        </is>
      </c>
      <c r="C68" s="178"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68" s="178" t="inlineStr">
        <is>
          <t>1. Mở dropdown Tên kịch bản, gõ ' OR '1'='1 vào ô tìm kiếm
2. Quan sát danh sách</t>
        </is>
      </c>
      <c r="E68" s="178" t="inlineStr">
        <is>
          <t>- Chuỗi tìm kiếm: ' OR '1'='1</t>
        </is>
      </c>
      <c r="F68" s="178" t="inlineStr">
        <is>
          <t>1. Ô tìm kiếm hiển thị chuỗi đã gõ
2. Danh sách hiển thị 'không có kết quả', không hiện lỗi SQL</t>
        </is>
      </c>
      <c r="G68" s="178" t="inlineStr">
        <is>
          <t>SIT</t>
        </is>
      </c>
      <c r="H68" s="178" t="inlineStr">
        <is>
          <t>Low</t>
        </is>
      </c>
      <c r="I68" s="178" t="inlineStr">
        <is>
          <t>Manual</t>
        </is>
      </c>
      <c r="J68" s="178" t="inlineStr">
        <is>
          <t>Untested</t>
        </is>
      </c>
      <c r="K68" s="178" t="inlineStr">
        <is>
          <t>Untested</t>
        </is>
      </c>
      <c r="L68" s="178" t="inlineStr">
        <is>
          <t>Untested</t>
        </is>
      </c>
      <c r="M68" s="77" t="n"/>
      <c r="N68" s="77" t="n"/>
    </row>
    <row r="69" ht="20" customHeight="1">
      <c r="A69" s="175" t="inlineStr">
        <is>
          <t>NHÓM UI &amp; BEHAVIOR (Risk Medium)</t>
        </is>
      </c>
      <c r="B69" s="95" t="n"/>
      <c r="C69" s="95" t="n"/>
      <c r="D69" s="95" t="n"/>
      <c r="E69" s="95" t="n"/>
      <c r="F69" s="95" t="n"/>
      <c r="G69" s="95" t="n"/>
      <c r="H69" s="95" t="n"/>
      <c r="I69" s="95" t="n"/>
      <c r="J69" s="95" t="n"/>
      <c r="K69" s="95" t="n"/>
      <c r="L69" s="95" t="n"/>
      <c r="M69" s="95" t="n"/>
      <c r="N69" s="95" t="n"/>
    </row>
    <row r="70" outlineLevel="1" ht="20" customHeight="1">
      <c r="A70" s="176" t="inlineStr">
        <is>
          <t>— Giao diện</t>
        </is>
      </c>
      <c r="B70" s="177" t="n"/>
      <c r="C70" s="177" t="n"/>
      <c r="D70" s="177" t="n"/>
      <c r="E70" s="177" t="n"/>
      <c r="F70" s="177" t="n"/>
      <c r="G70" s="177" t="n"/>
      <c r="H70" s="177" t="n"/>
      <c r="I70" s="177" t="n"/>
      <c r="J70" s="177" t="n"/>
      <c r="K70" s="177" t="n"/>
      <c r="L70" s="177" t="n"/>
      <c r="M70" s="177" t="n"/>
      <c r="N70" s="177" t="n"/>
    </row>
    <row r="71" outlineLevel="2" ht="126" customHeight="1">
      <c r="A71" s="178" t="inlineStr">
        <is>
          <t>MSB_TM-RP_TC_150</t>
        </is>
      </c>
      <c r="B71" s="178" t="inlineStr">
        <is>
          <t>Kiểm tra hiển thị đúng tiêu đề báo cáo TM_04 theo template</t>
        </is>
      </c>
      <c r="C71" s="178" t="inlineStr">
        <is>
          <t>- User: Đăng nhập tm_aml_maker (AML Maker – HO, HO0000001)
- Màn hình: trang chủ Oracle Analytics Server (OAS) môi trường SIT, chưa mở báo cáo
- Dữ liệu: báo cáo Report TM_04 đã deploy trên OAS SIT</t>
        </is>
      </c>
      <c r="D71" s="178" t="inlineStr">
        <is>
          <t>1. Mở báo cáo Report TM_04 trên OAS
2. Xem tiêu đề báo cáo</t>
        </is>
      </c>
      <c r="E71" s="178" t="inlineStr">
        <is>
          <t>- Template: sheet Report TM_04 ô C5</t>
        </is>
      </c>
      <c r="F71" s="178" t="inlineStr">
        <is>
          <t>1. Báo cáo mở thành công
2. Tiêu đề = BÁO CÁO KHÁCH HÀNG PHÁT SINH CẢNH BÁO THEO TỪNG KỊCH BẢN</t>
        </is>
      </c>
      <c r="G71" s="178" t="inlineStr">
        <is>
          <t>SIT</t>
        </is>
      </c>
      <c r="H71" s="178" t="inlineStr">
        <is>
          <t>Low</t>
        </is>
      </c>
      <c r="I71" s="178" t="inlineStr">
        <is>
          <t>Manual</t>
        </is>
      </c>
      <c r="J71" s="178" t="inlineStr">
        <is>
          <t>Untested</t>
        </is>
      </c>
      <c r="K71" s="178" t="inlineStr">
        <is>
          <t>Untested</t>
        </is>
      </c>
      <c r="L71" s="178" t="inlineStr">
        <is>
          <t>Untested</t>
        </is>
      </c>
      <c r="M71" s="77" t="n"/>
      <c r="N71" s="77" t="n"/>
    </row>
    <row r="72" outlineLevel="2" ht="126" customHeight="1">
      <c r="A72" s="178" t="inlineStr">
        <is>
          <t>MSB_TM-RP_TC_151</t>
        </is>
      </c>
      <c r="B72" s="178" t="inlineStr">
        <is>
          <t>Kiểm tra hiển thị đủ 4 tham số và 2 nút chức năng của báo cáo TM_04</t>
        </is>
      </c>
      <c r="C72" s="178" t="inlineStr">
        <is>
          <t>- User: Đăng nhập tm_aml_maker (AML Maker – HO, HO0000001)
- Màn hình: trang chủ Oracle Analytics Server (OAS) môi trường SIT, chưa mở báo cáo
- Dữ liệu: báo cáo Report TM_04 đã deploy trên OAS SIT</t>
        </is>
      </c>
      <c r="D72" s="178" t="inlineStr">
        <is>
          <t>1. Mở báo cáo Report TM_04 trên OAS
2. Xem vùng tham số</t>
        </is>
      </c>
      <c r="E72" s="178" t="inlineStr">
        <is>
          <t>- Template: sheet Report TM_04 dòng 24–28</t>
        </is>
      </c>
      <c r="F72" s="178" t="inlineStr">
        <is>
          <t>1. Báo cáo mở thành công
2. Hiển thị Từ ngày, Đến ngày, Mã kịch bản, Tên kịch bản và nút Apply, Reset</t>
        </is>
      </c>
      <c r="G72" s="178" t="inlineStr">
        <is>
          <t>SIT</t>
        </is>
      </c>
      <c r="H72" s="178" t="inlineStr">
        <is>
          <t>Medium</t>
        </is>
      </c>
      <c r="I72" s="178" t="inlineStr">
        <is>
          <t>Manual</t>
        </is>
      </c>
      <c r="J72" s="178" t="inlineStr">
        <is>
          <t>Untested</t>
        </is>
      </c>
      <c r="K72" s="178" t="inlineStr">
        <is>
          <t>Untested</t>
        </is>
      </c>
      <c r="L72" s="178" t="inlineStr">
        <is>
          <t>Untested</t>
        </is>
      </c>
      <c r="M72" s="77" t="n"/>
      <c r="N72" s="77" t="n"/>
    </row>
    <row r="73" outlineLevel="2" ht="141" customHeight="1">
      <c r="A73" s="178" t="inlineStr">
        <is>
          <t>MSB_TM-RP_TC_152</t>
        </is>
      </c>
      <c r="B73" s="178" t="inlineStr">
        <is>
          <t>Kiểm tra tham số Từ ngày và Đến ngày hiển thị bảng lịch định dạng dd/mm/yyyy</t>
        </is>
      </c>
      <c r="C73" s="178" t="inlineStr">
        <is>
          <t>- User: Đăng nhập tm_aml_maker (AML Maker – HO, HO0000001)
- Màn hình: đang mở báo cáo "Báo cáo khách hàng phát sinh cảnh báo theo từng kịch bản" (Report TM_04) trên OAS, tham số ở giá trị mặc định, chưa nhấn Apply
- Dữ liệu: báo cáo Report TM_04 đã deploy</t>
        </is>
      </c>
      <c r="D73" s="178" t="inlineStr">
        <is>
          <t>1. Click icon lịch của Từ ngày, chọn ngày 01/09/2026
2. Click icon lịch của Đến ngày, chọn ngày 30/09/2026</t>
        </is>
      </c>
      <c r="E73" s="178" t="inlineStr">
        <is>
          <t>- Ngày chọn: 01/09/2026, 30/09/2026</t>
        </is>
      </c>
      <c r="F73" s="178" t="inlineStr">
        <is>
          <t>1. Ô Từ ngày hiển thị 01/09/2026
2. Ô Đến ngày hiển thị 30/09/2026</t>
        </is>
      </c>
      <c r="G73" s="178" t="inlineStr">
        <is>
          <t>SIT</t>
        </is>
      </c>
      <c r="H73" s="178" t="inlineStr">
        <is>
          <t>Medium</t>
        </is>
      </c>
      <c r="I73" s="178" t="inlineStr">
        <is>
          <t>Manual</t>
        </is>
      </c>
      <c r="J73" s="178" t="inlineStr">
        <is>
          <t>Untested</t>
        </is>
      </c>
      <c r="K73" s="178" t="inlineStr">
        <is>
          <t>Untested</t>
        </is>
      </c>
      <c r="L73" s="178" t="inlineStr">
        <is>
          <t>Untested</t>
        </is>
      </c>
      <c r="M73" s="77" t="n"/>
      <c r="N73" s="77" t="n"/>
    </row>
    <row r="74" outlineLevel="2" ht="186" customHeight="1">
      <c r="A74" s="178" t="inlineStr">
        <is>
          <t>MSB_TM-RP_TC_153</t>
        </is>
      </c>
      <c r="B74" s="178" t="inlineStr">
        <is>
          <t>Kiểm tra hiển thị đúng tên và thứ tự 10 cột và không còn cột Trạng thái STR</t>
        </is>
      </c>
      <c r="C74" s="178"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74" s="178" t="inlineStr">
        <is>
          <t>1. Mở báo cáo "Báo cáo khách hàng phát sinh cảnh báo theo từng kịch bản" (Report TM_04) trên OAS
2. Nhập tham số: Từ ngày = 01/09/2026; Đến ngày = 30/09/2026
3. Nhấn nút Apply
4. Xem dòng tiêu đề cột</t>
        </is>
      </c>
      <c r="E74" s="178" t="inlineStr">
        <is>
          <t>- Tham số: Từ ngày = 01/09/2026; Đến ngày = 30/09/2026</t>
        </is>
      </c>
      <c r="F74" s="178" t="inlineStr">
        <is>
          <t>1. Báo cáo mở, hiển thị vùng tham số cùng nút Apply và Reset
2. Các tham số hiển thị đúng giá trị đã nhập
3. Báo cáo chạy xong, không hiển thị thông báo lỗi
4. Thứ tự cột: STT, Ngày phát sinh sự vụ, CIF, Tên KH, Loại KH, Mã kịch bản, Tên kịch bản, Mã sự vụ, Trạng thái cảnh báo, Trạng thái sự vụ; không có cột Trạng thái STR</t>
        </is>
      </c>
      <c r="G74" s="178" t="inlineStr">
        <is>
          <t>SIT</t>
        </is>
      </c>
      <c r="H74" s="178" t="inlineStr">
        <is>
          <t>Medium</t>
        </is>
      </c>
      <c r="I74" s="178" t="inlineStr">
        <is>
          <t>Manual</t>
        </is>
      </c>
      <c r="J74" s="178" t="inlineStr">
        <is>
          <t>Untested</t>
        </is>
      </c>
      <c r="K74" s="178" t="inlineStr">
        <is>
          <t>Untested</t>
        </is>
      </c>
      <c r="L74" s="178" t="inlineStr">
        <is>
          <t>Untested</t>
        </is>
      </c>
      <c r="M74" s="77" t="n"/>
      <c r="N74" s="178" t="inlineStr">
        <is>
          <t>Q14</t>
        </is>
      </c>
    </row>
    <row r="75" outlineLevel="1" ht="20" customHeight="1">
      <c r="A75" s="176" t="inlineStr">
        <is>
          <t>— Hành vi</t>
        </is>
      </c>
      <c r="B75" s="177" t="n"/>
      <c r="C75" s="177" t="n"/>
      <c r="D75" s="177" t="n"/>
      <c r="E75" s="177" t="n"/>
      <c r="F75" s="177" t="n"/>
      <c r="G75" s="177" t="n"/>
      <c r="H75" s="177" t="n"/>
      <c r="I75" s="177" t="n"/>
      <c r="J75" s="177" t="n"/>
      <c r="K75" s="177" t="n"/>
      <c r="L75" s="177" t="n"/>
      <c r="M75" s="177" t="n"/>
      <c r="N75" s="177" t="n"/>
    </row>
    <row r="76" outlineLevel="2" ht="171" customHeight="1">
      <c r="A76" s="178" t="inlineStr">
        <is>
          <t>MSB_TM-RP_TC_154</t>
        </is>
      </c>
      <c r="B76" s="178" t="inlineStr">
        <is>
          <t>Kiểm tra nút Reset đặt lại tham số đúng theo từng lựa chọn của báo cáo TM_04</t>
        </is>
      </c>
      <c r="C76" s="178" t="inlineStr">
        <is>
          <t>- User: Đăng nhập tm_aml_maker (AML Maker – HO, HO0000001)
- Màn hình: đang mở báo cáo "Báo cáo khách hàng phát sinh cảnh báo theo từng kịch bản" (Report TM_04) trên OAS, tham số ở giá trị mặc định, chưa nhấn Apply
- Dữ liệu: bộ dữ liệu D-EVT (mục 3.3 file rollup) đã dựng và batch dữ liệu báo cáo đã chạy</t>
        </is>
      </c>
      <c r="D76" s="178" t="inlineStr">
        <is>
          <t>1. Nhập Từ ngày = 01/09/2026, Đến ngày = 30/09/2026, Mã kịch bản = AML-01, nhấn Apply
2. Đổi Mã kịch bản sang AML-07, nhấn Reset &gt; Reset to last applied values
3. Nhấn Reset &gt; Reset to default values
4. Nhấn Reset &gt; Clear All</t>
        </is>
      </c>
      <c r="E76" s="178" t="inlineStr">
        <is>
          <t>- Tham số: Từ ngày = 01/09/2026; Đến ngày = 30/09/2026; Mã kịch bản = AML-01
- Đổi Mã kịch bản: AML-07</t>
        </is>
      </c>
      <c r="F76" s="178" t="inlineStr">
        <is>
          <t>1. Báo cáo hiển thị 5 dòng AML-01
2. Mã kịch bản quay về AML-01
3. Tham số quay về giá trị mặc định
4. Toàn bộ tham số bị xóa trắng</t>
        </is>
      </c>
      <c r="G76" s="178" t="inlineStr">
        <is>
          <t>SIT</t>
        </is>
      </c>
      <c r="H76" s="178" t="inlineStr">
        <is>
          <t>Medium</t>
        </is>
      </c>
      <c r="I76" s="178" t="inlineStr">
        <is>
          <t>Manual</t>
        </is>
      </c>
      <c r="J76" s="178" t="inlineStr">
        <is>
          <t>Untested</t>
        </is>
      </c>
      <c r="K76" s="178" t="inlineStr">
        <is>
          <t>Untested</t>
        </is>
      </c>
      <c r="L76" s="178" t="inlineStr">
        <is>
          <t>Untested</t>
        </is>
      </c>
      <c r="M76" s="77" t="n"/>
      <c r="N76" s="77" t="n"/>
    </row>
  </sheetData>
  <autoFilter ref="A25:N76"/>
  <dataValidations count="2">
    <dataValidation sqref="J26:J76" showDropDown="0" showInputMessage="0" showErrorMessage="0" allowBlank="1" type="list">
      <formula1>"Passed,Failed,Pending,Accepted,Untested,Canceled"</formula1>
    </dataValidation>
    <dataValidation sqref="K26:L76" showDropDown="0" showInputMessage="0" showErrorMessage="0" allowBlank="1" type="list">
      <formula1>=Report!$A$20:$A$25</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PC</dc:creator>
  <dcterms:created xmlns:dcterms="http://purl.org/dc/terms/" xmlns:xsi="http://www.w3.org/2001/XMLSchema-instance" xsi:type="dcterms:W3CDTF">2015-06-05T18:17:20Z</dcterms:created>
  <dcterms:modified xmlns:dcterms="http://purl.org/dc/terms/" xmlns:xsi="http://www.w3.org/2001/XMLSchema-instance" xsi:type="dcterms:W3CDTF">2026-10-05T10:26:34Z</dcterms:modified>
  <cp:revision>0</cp:revision>
</cp:coreProperties>
</file>