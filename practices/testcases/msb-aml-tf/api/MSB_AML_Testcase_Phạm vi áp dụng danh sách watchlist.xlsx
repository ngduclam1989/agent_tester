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8E879C00-320A-4CED-9F41-8090F933F2E0}" xr6:coauthVersionLast="47" xr6:coauthVersionMax="47" xr10:uidLastSave="{00000000-0000-0000-0000-000000000000}"/>
  <bookViews>
    <workbookView xWindow="0" yWindow="0" windowWidth="16384" windowHeight="8192" tabRatio="500" firstSheet="3" activeTab="3" xr2:uid="{00000000-000D-0000-FFFF-FFFF00000000}"/>
  </bookViews>
  <sheets>
    <sheet name="Cover" sheetId="1" r:id="rId1"/>
    <sheet name="Records" sheetId="2" r:id="rId2"/>
    <sheet name="Test Report" sheetId="3" r:id="rId3"/>
    <sheet name="Testcase" sheetId="4" r:id="rId4"/>
  </sheets>
  <definedNames>
    <definedName name="_xlnm._FilterDatabase" localSheetId="3" hidden="1">Testcase!$A$12:$M$65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B9" i="4"/>
  <c r="B10" i="4"/>
  <c r="B8" i="4"/>
  <c r="B7" i="4"/>
  <c r="D6" i="4"/>
  <c r="C6" i="4"/>
  <c r="D10" i="4"/>
  <c r="C10" i="4"/>
  <c r="D9" i="4"/>
  <c r="C9" i="4"/>
  <c r="D8" i="4"/>
  <c r="C8" i="4"/>
  <c r="D7" i="4"/>
  <c r="C7" i="4"/>
  <c r="B6" i="4"/>
  <c r="B5" i="4" s="1"/>
  <c r="E6" i="4"/>
  <c r="B16" i="3"/>
  <c r="B15" i="3"/>
  <c r="C5" i="4" l="1"/>
  <c r="D5" i="4"/>
  <c r="E7" i="4"/>
  <c r="C16" i="3" s="1"/>
  <c r="E8" i="4"/>
  <c r="F16" i="3" s="1"/>
  <c r="F15" i="3" s="1"/>
  <c r="E10" i="4"/>
  <c r="E16" i="3" s="1"/>
  <c r="E15" i="3" s="1"/>
  <c r="E9" i="4"/>
  <c r="D16" i="3" s="1"/>
  <c r="D15" i="3" s="1"/>
  <c r="C15" i="3" l="1"/>
  <c r="G16" i="3"/>
  <c r="E5" i="4"/>
  <c r="G15" i="3" l="1"/>
  <c r="G19" i="3" l="1"/>
  <c r="G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100-000001000000}">
      <text>
        <r>
          <rPr>
            <sz val="10"/>
            <rFont val="Arial"/>
            <family val="2"/>
          </rPr>
          <t>PC:
A: Add
M: Modify
D: Delete</t>
        </r>
      </text>
    </comment>
  </commentList>
</comments>
</file>

<file path=xl/sharedStrings.xml><?xml version="1.0" encoding="utf-8"?>
<sst xmlns="http://schemas.openxmlformats.org/spreadsheetml/2006/main" count="569" uniqueCount="260">
  <si>
    <t>Test Report</t>
  </si>
  <si>
    <t>Project Name:</t>
  </si>
  <si>
    <t>DỰ ÁN TRIỂN KHAI BẢN QUYỀN PHẦN MỀM HỆ THỐNG AML MỚI</t>
  </si>
  <si>
    <t>Reviewer:</t>
  </si>
  <si>
    <t xml:space="preserve"> </t>
  </si>
  <si>
    <t>Document Code:</t>
  </si>
  <si>
    <t>MSB_AML_Testcase_TF_Push_Data</t>
  </si>
  <si>
    <t>Position:</t>
  </si>
  <si>
    <t>Originator:</t>
  </si>
  <si>
    <t>Reviewed Date:</t>
  </si>
  <si>
    <t>Approver:</t>
  </si>
  <si>
    <t>Created Date:</t>
  </si>
  <si>
    <t>Version:</t>
  </si>
  <si>
    <t>1.0</t>
  </si>
  <si>
    <t>Approved Date:</t>
  </si>
  <si>
    <t>TABLE OF CONTENT</t>
  </si>
  <si>
    <t>No</t>
  </si>
  <si>
    <t>Items</t>
  </si>
  <si>
    <t>Content</t>
  </si>
  <si>
    <t>Cover</t>
  </si>
  <si>
    <t>Records</t>
  </si>
  <si>
    <t>Record of changes</t>
  </si>
  <si>
    <t>Function</t>
  </si>
  <si>
    <t>List out all test cases of the application</t>
  </si>
  <si>
    <t>Screen Element</t>
  </si>
  <si>
    <t>Screen Element test cases, which are based on the application's SRS</t>
  </si>
  <si>
    <t>Effective Date</t>
  </si>
  <si>
    <t>A, M, D</t>
  </si>
  <si>
    <t xml:space="preserve">Change Description </t>
  </si>
  <si>
    <t>New Version</t>
  </si>
  <si>
    <t>Author</t>
  </si>
  <si>
    <t>A</t>
  </si>
  <si>
    <t>Create new TC</t>
  </si>
  <si>
    <t>SYSTEM TEST REPORT</t>
  </si>
  <si>
    <t>Project</t>
  </si>
  <si>
    <t>Project manager</t>
  </si>
  <si>
    <t>Application</t>
  </si>
  <si>
    <t>Approved Date</t>
  </si>
  <si>
    <t>Consolidated By</t>
  </si>
  <si>
    <t>Reviewed By</t>
  </si>
  <si>
    <t>Build Versions</t>
  </si>
  <si>
    <t>Reviewed date</t>
  </si>
  <si>
    <t>Test Environment</t>
  </si>
  <si>
    <t>SIT</t>
  </si>
  <si>
    <t>Last Updated Date</t>
  </si>
  <si>
    <t>Test Execution Summary</t>
  </si>
  <si>
    <t>Reported by</t>
  </si>
  <si>
    <t>Date</t>
  </si>
  <si>
    <t>Test Results</t>
  </si>
  <si>
    <t>Passed</t>
  </si>
  <si>
    <t>Failed</t>
  </si>
  <si>
    <t>Accepted</t>
  </si>
  <si>
    <t>Pending</t>
  </si>
  <si>
    <t>Untested</t>
  </si>
  <si>
    <t>Total</t>
  </si>
  <si>
    <t>Test case</t>
  </si>
  <si>
    <t>Test coverage</t>
  </si>
  <si>
    <t>Test successful coverage</t>
  </si>
  <si>
    <t>Issues</t>
  </si>
  <si>
    <t>1. Block testing issue</t>
  </si>
  <si>
    <t>2. Critical defects</t>
  </si>
  <si>
    <t xml:space="preserve">b
</t>
  </si>
  <si>
    <t>Functions</t>
  </si>
  <si>
    <t>AML Screening - Push Data theo mọi danh sách (WC/AML/BCA/Knock-out) với các Webservice</t>
  </si>
  <si>
    <t>Build Version</t>
  </si>
  <si>
    <t>v1.0</t>
  </si>
  <si>
    <t>High</t>
  </si>
  <si>
    <t>Medium</t>
  </si>
  <si>
    <t>Low</t>
  </si>
  <si>
    <t>Test case Id</t>
  </si>
  <si>
    <t>Test case Title</t>
  </si>
  <si>
    <t>Pre-conditions</t>
  </si>
  <si>
    <t>Test Step</t>
  </si>
  <si>
    <t>Test Datas</t>
  </si>
  <si>
    <t>Expected result</t>
  </si>
  <si>
    <t>Priority</t>
  </si>
  <si>
    <t>Automation Status</t>
  </si>
  <si>
    <t>1st Test Results</t>
  </si>
  <si>
    <t>2nd Test Results</t>
  </si>
  <si>
    <t>BugID</t>
  </si>
  <si>
    <t>Notes</t>
  </si>
  <si>
    <t>Kiểm tra giá trị từng trường trong danh sách theo dõi quét với Webservice tương ứng</t>
  </si>
  <si>
    <t>Webservice Name And Address</t>
  </si>
  <si>
    <t>NAD.01</t>
  </si>
  <si>
    <t xml:space="preserve">Sàng lọc điện trường hợp Xpath /Document/FIToFICstmrCdtTrf/CdtTrfTxInf/Cdtr/Nm điện pacs.008.001.08 trùng với giá trị trường 'FIRST NAME + LAST NAME' trong danh sách WC  </t>
  </si>
  <si>
    <t>1. Điện được đẩy đúng format</t>
  </si>
  <si>
    <t>1. Đẩy giao dịch vào API Post Message với Xpath điện pacs.008.001.08
2. Kiểm tra thông tin Event của giao dịch theo đường dẫn Financial Services Analytical Applications Transactions Filtering &gt; Financial services Sanctions Pack &gt; Transaction Filtering Alert List 
Chọn Filter, nhập thông tin tìm kiếm theo AlertID, nhấn &lt;Search&gt;
Click mã AlertID và kiểm tra các thông tin
Hoặc kiểm tra các thông tin trong file kết quả truy vấn Database</t>
  </si>
  <si>
    <t>&lt;?xml version='1.0' encoding='UTF-8'?&gt;
&lt;Document xmlns="urn:iso:std:iso:20022:tech:xsd:pacs.008.001.08"&gt;
  &lt;FIToFICstmrCdtTrf&gt;
    &lt;GrpHdr&gt;
      &lt;MsgId&gt;SUMMITEMBER-MSG-AGT&lt;/MsgId&gt;
      &lt;CreDtTm&gt;2026-07-28T13:31:41&lt;/CreDtTm&gt;
      &lt;NbOfTxs&gt;1&lt;/NbOfTxs&gt;
      &lt;SttlmInf&gt;
        &lt;SttlmMtd&gt;INDA&lt;/SttlmMtd&gt;
      &lt;/SttlmInf&gt;
    &lt;/GrpHdr&gt;
    &lt;CdtTrfTxInf&gt;
      &lt;PmtId&gt;
        &lt;EndToEndId&gt;SE-E2E-AGT&lt;/EndToEndId&gt;
      &lt;/PmtId&gt;
      &lt;IntrBkSttlmAmt Ccy="USD"&gt;1000.00&lt;/IntrBkSttlmAmt&gt;
      &lt;ChrgBr&gt;SHAR&lt;/ChrgBr&gt;
      &lt;Dbtr&gt;
        &lt;Nm&gt;SUMMIT EMBER&lt;/Nm&gt;
      &lt;/Dbtr&gt;
      &lt;DbtrAgt&gt;
        &lt;FinInstnId&gt;
          &lt;Nm&gt;SUMMIT EMBER&lt;/Nm&gt;
        &lt;/FinInstnId&gt;
      &lt;/DbtrAgt&gt;
      &lt;CdtrAgt&gt;
        &lt;FinInstnId&gt;
          &lt;Nm&gt;SUMMIT EMBER&lt;/Nm&gt;
        &lt;/FinInstnId&gt;
      &lt;/CdtrAgt&gt;
      &lt;Cdtr&gt;
        &lt;Nm&gt;SUMMIT EMBER&lt;/Nm&gt;
      &lt;/Cdtr&gt;
    &lt;/CdtTrfTxInf&gt;
  &lt;/FIToFICstmrCdtTrf&gt;
&lt;/Document&gt;</t>
  </si>
  <si>
    <t>2. Hệ thống sinh HIT tại xpath /Document/FIToFICstmrCdtTrf/CdtTrfTxInf/Cdtr/Nm qua webservice NAME AND ADDRESS, khớp với danh sách WC.
SELECT
    CASE
        WHEN COUNT(1) &gt;= 1 THEN
            'Pass'
        ELSE
            'Fail'
    END sql_check
FROM
    fsi_rt_xml_wls_response t
WHERE
    n_grp_msg_id = :n_grp_msg_id
    AND V_MATCHED_LIST_REC_ID = 'nhập lại'
    AND n_webservice_id = 1
    AND V_MATCHED_LIST_NAME = 'WC'
    AND regexp_replace(to_char(t.x_path), '\[\d+\]', '') LIKE '%'
        || regexp_replace('Document/FIToFICstmrCdtTrf/CdtTrfTxInf/Cdtr/Nm', '\[\d+\]', '') || '%';</t>
  </si>
  <si>
    <t>Manual</t>
  </si>
  <si>
    <t>NAD.05</t>
  </si>
  <si>
    <t xml:space="preserve">Sàng lọc điện trường hợp Xpath /Document/FIToFICstmrCdtTrf/CdtTrfTxInf/Cdtr/Nm điện pacs.008.001.08 trùng với giá trị trường 'LAST NAME' trong danh sách WC  </t>
  </si>
  <si>
    <t>NAD.06</t>
  </si>
  <si>
    <t xml:space="preserve">Sàng lọc điện trường hợp Xpath /Document/FIToFICstmrCdtTrf/CdtTrfTxInf/UltmtCdtr/CtctDtls/Nm điện pacs.008.001.08 trùng với giá trị trường 'ALIASES' trong danh sách WC </t>
  </si>
  <si>
    <t>&lt;?xml version='1.0' encoding='UTF-8'?&gt;
&lt;Document xmlns="urn:iso:std:iso:20022:tech:xsd:pacs.008.001.08"&gt;
  &lt;FIToFICstmrCdtTrf&gt;
    &lt;GrpHdr&gt;
      &lt;MsgId&gt;DRIFTWOODHORIZON-MSG-008&lt;/MsgId&gt;
      &lt;CreDtTm&gt;2026-07-28T13:31:41&lt;/CreDtTm&gt;
      &lt;NbOfTxs&gt;1&lt;/NbOfTxs&gt;
      &lt;SttlmInf&gt;
        &lt;SttlmMtd&gt;INDA&lt;/SttlmMtd&gt;
      &lt;/SttlmInf&gt;
    &lt;/GrpHdr&gt;
    &lt;CdtTrfTxInf&gt;
      &lt;PmtId&gt;
        &lt;EndToEndId&gt;DH-E2E-008&lt;/EndToEndId&gt;
      &lt;/PmtId&gt;
      &lt;IntrBkSttlmAmt Ccy="USD"&gt;1000.00&lt;/IntrBkSttlmAmt&gt;
      &lt;ChrgBr&gt;SHAR&lt;/ChrgBr&gt;
      &lt;Dbtr&gt;
        &lt;Nm&gt;DRIFTWOOD HORIZON&lt;/Nm&gt;
      &lt;/Dbtr&gt;
      &lt;DbtrAgt&gt;
        &lt;FinInstnId&gt;
          &lt;Nm&gt;DRIFTWOOD HORIZON&lt;/Nm&gt;
        &lt;/FinInstnId&gt;
      &lt;/DbtrAgt&gt;
      &lt;CdtrAgt&gt;
        &lt;FinInstnId&gt;
          &lt;Nm&gt;DRIFTWOOD HORIZON&lt;/Nm&gt;
        &lt;/FinInstnId&gt;
      &lt;/CdtrAgt&gt;
      &lt;Cdtr&gt;
        &lt;Nm&gt;DRIFTWOOD HORIZON&lt;/Nm&gt;
      &lt;/Cdtr&gt;
      &lt;UltmtCdtr&gt;
        &lt;CtctDtls&gt;
          &lt;Nm&gt;DRIFTWOOD HORIZON&lt;/Nm&gt;
        &lt;/CtctDtls&gt;
      &lt;/UltmtCdtr&gt;
    &lt;/CdtTrfTxInf&gt;
  &lt;/FIToFICstmrCdtTrf&gt;
&lt;/Document&gt;</t>
  </si>
  <si>
    <t>2. Hệ thống sinh HIT tại xpath /Document/FIToFICstmrCdtTrf/CdtTrfTxInf/UltmtCdtr/CtctDtls/Nm qua webservice NAME AND ADDRESS, khớp với danh sách WC.
SELECT
    CASE
        WHEN COUNT(1) &gt;= 1 THEN
            'Pass'
        ELSE
            'Fail'
    END sql_check
FROM
    fsi_rt_xml_wls_response t
WHERE
    n_grp_msg_id = :n_grp_msg_id
    AND V_MATCHED_LIST_REC_ID = 'nhập lại'
    AND n_webservice_id = 1
    AND V_MATCHED_LIST_NAME = 'WC'
    AND regexp_replace(to_char(t.x_path), '\[\d+\]', '') LIKE '%'
        || regexp_replace('Document/FIToFICstmrCdtTrf/CdtTrfTxInf/UltmtCdtr/CtctDtls/Nm', '\[\d+\]', '') || '%';</t>
  </si>
  <si>
    <t>NAD.07</t>
  </si>
  <si>
    <t xml:space="preserve">Sàng lọc điện trường hợp Xpath /Document/FIToFICstmrCdtTrf/CdtTrfTxInf/UltmtDbtr/Nm điện pacs.008.001.08 trùng với giá trị trường 'LOW QUALITY ALIASES' trong danh sách WC </t>
  </si>
  <si>
    <t>&lt;?xml version='1.0' encoding='UTF-8'?&gt;
&lt;Document xmlns="urn:iso:std:iso:20022:tech:xsd:pacs.008.001.08"&gt;
  &lt;FIToFICstmrCdtTrf&gt;
    &lt;GrpHdr&gt;
      &lt;MsgId&gt;IRONPINE-MSG-008&lt;/MsgId&gt;
      &lt;CreDtTm&gt;2026-07-28T13:31:41&lt;/CreDtTm&gt;
      &lt;NbOfTxs&gt;1&lt;/NbOfTxs&gt;
      &lt;SttlmInf&gt;
        &lt;SttlmMtd&gt;INDA&lt;/SttlmMtd&gt;
      &lt;/SttlmInf&gt;
    &lt;/GrpHdr&gt;
    &lt;CdtTrfTxInf&gt;
      &lt;PmtId&gt;
        &lt;EndToEndId&gt;IP-E2E-008&lt;/EndToEndId&gt;
      &lt;/PmtId&gt;
      &lt;IntrBkSttlmAmt Ccy="USD"&gt;1000.00&lt;/IntrBkSttlmAmt&gt;
      &lt;ChrgBr&gt;SHAR&lt;/ChrgBr&gt;
      &lt;UltmtDbtr&gt;
        &lt;Nm&gt;IRON PINE&lt;/Nm&gt;
      &lt;/UltmtDbtr&gt;
      &lt;Dbtr&gt;
        &lt;Nm&gt;IRON PINE&lt;/Nm&gt;
      &lt;/Dbtr&gt;
      &lt;DbtrAgt&gt;
        &lt;FinInstnId&gt;
          &lt;Nm&gt;IRON PINE&lt;/Nm&gt;
        &lt;/FinInstnId&gt;
      &lt;/DbtrAgt&gt;
      &lt;CdtrAgt&gt;
        &lt;FinInstnId&gt;
          &lt;Nm&gt;IRON PINE&lt;/Nm&gt;
        &lt;/FinInstnId&gt;
      &lt;/CdtrAgt&gt;
      &lt;Cdtr&gt;
        &lt;Nm&gt;IRON PINE&lt;/Nm&gt;
      &lt;/Cdtr&gt;
    &lt;/CdtTrfTxInf&gt;
  &lt;/FIToFICstmrCdtTrf&gt;
&lt;/Document&gt;</t>
  </si>
  <si>
    <t>2. Hệ thống sinh HIT tại xpath /Document/FIToFICstmrCdtTrf/CdtTrfTxInf/UltmtDbtr/Nm qua webservice NAME AND ADDRESS, khớp với danh sách WC.
SELECT
    CASE
        WHEN COUNT(1) &gt;= 1 THEN
            'Pass'
        ELSE
            'Fail'
    END sql_check
FROM
    fsi_rt_xml_wls_response t
WHERE
    n_grp_msg_id = :n_grp_msg_id
    AND V_MATCHED_LIST_REC_ID = 'nhập lại'
    AND n_webservice_id = 1
    AND V_MATCHED_LIST_NAME = 'WC'
    AND regexp_replace(to_char(t.x_path), '\[\d+\]', '') LIKE '%'
        || regexp_replace('Document/FIToFICstmrCdtTrf/CdtTrfTxInf/UltmtDbtr/Nm', '\[\d+\]', '') || '%';</t>
  </si>
  <si>
    <t>NAD.08</t>
  </si>
  <si>
    <t xml:space="preserve">Sàng lọc điện trường hợp Xpath /Document/FIToFICstmrCdtTrf/GrpHdr/InstgAgt/BrnchId/Nm điện pacs.008.001.08 trùng với giá trị trường 'ALTERNATIVE SPELLING' trong danh sách WC </t>
  </si>
  <si>
    <t>&lt;?xml version='1.0' encoding='UTF-8'?&gt;
&lt;Document xmlns="urn:iso:std:iso:20022:tech:xsd:pacs.008.001.08"&gt;
  &lt;FIToFICstmrCdtTrf&gt;
    &lt;GrpHdr&gt;
      &lt;MsgId&gt;GREENRIPPLE-MSG-008&lt;/MsgId&gt;
      &lt;CreDtTm&gt;2026-07-28T13:31:41&lt;/CreDtTm&gt;
      &lt;NbOfTxs&gt;1&lt;/NbOfTxs&gt;
      &lt;SttlmInf&gt;
        &lt;SttlmMtd&gt;INDA&lt;/SttlmMtd&gt;
      &lt;/SttlmInf&gt;
      &lt;InstgAgt&gt;
        &lt;FinInstnId&gt;
          &lt;BICFI&gt;MSCBVNVX&lt;/BICFI&gt;
        &lt;/FinInstnId&gt;
        &lt;BrnchId&gt;
          &lt;Nm&gt;GREEN RIPPLE&lt;/Nm&gt;
        &lt;/BrnchId&gt;
      &lt;/InstgAgt&gt;
    &lt;/GrpHdr&gt;
    &lt;CdtTrfTxInf&gt;
      &lt;PmtId&gt;
        &lt;EndToEndId&gt;GR-E2E-008&lt;/EndToEndId&gt;
      &lt;/PmtId&gt;
      &lt;IntrBkSttlmAmt Ccy="USD"&gt;1000.00&lt;/IntrBkSttlmAmt&gt;
      &lt;IntrBkSttlmDt&gt;2026-07-28&lt;/IntrBkSttlmDt&gt;
      &lt;ChrgBr&gt;SHAR&lt;/ChrgBr&gt;
      &lt;Dbtr&gt;
        &lt;Nm&gt;VIET THANH IMPORT EXPORT JSC&lt;/Nm&gt;
      &lt;/Dbtr&gt;
      &lt;DbtrAgt&gt;
        &lt;FinInstnId&gt;
          &lt;BICFI&gt;MSCBVNVX&lt;/BICFI&gt;
        &lt;/FinInstnId&gt;
      &lt;/DbtrAgt&gt;
      &lt;CdtrAgt&gt;
        &lt;FinInstnId&gt;
          &lt;BICFI&gt;SCBLSGSG&lt;/BICFI&gt;
        &lt;/FinInstnId&gt;
      &lt;/CdtrAgt&gt;
      &lt;Cdtr&gt;
        &lt;Nm&gt;ORIENT PACIFIC TRADING PTE LTD&lt;/Nm&gt;
      &lt;/Cdtr&gt;
    &lt;/CdtTrfTxInf&gt;
  &lt;/FIToFICstmrCdtTrf&gt;
&lt;/Document&gt;</t>
  </si>
  <si>
    <t>2. Hệ thống sinh HIT tại xpath /Document/FIToFICstmrCdtTrf/GrpHdr/InstgAgt/BrnchId/Nm qua webservice NAME AND ADDRESS, khớp với danh sách WC.
SELECT
    CASE
        WHEN COUNT(1) &gt;= 1 THEN
            'Pass'
        ELSE
            'Fail'
    END sql_check
FROM
    fsi_rt_xml_wls_response t
WHERE
    n_grp_msg_id = :n_grp_msg_id
    AND V_MATCHED_LIST_REC_ID = 'nhập lại'
    AND n_webservice_id = 1
    AND V_MATCHED_LIST_NAME = 'WC'
    AND regexp_replace(to_char(t.x_path), '\[\d+\]', '') LIKE '%'
        || regexp_replace(
            'Document/FIToFICstmrCdtTrf/GrpHdr/InstgAgt/BrnchId/Nm',
            '\[\d+\]',
            ''
        )
        || '%';</t>
  </si>
  <si>
    <t>NAD.17</t>
  </si>
  <si>
    <t>Sàng lọc điện trường hợp Xpath /Document/FIToFICstmrCdtTrf/CdtTrfTxInf/UltmtDbtr/CtctDtls/Nm điện pacs.008.001.08 trùng với giá trị trường 'Họ và tên/Tên KHTC' trong danh sách AML</t>
  </si>
  <si>
    <t>&lt;?xml version='1.0' encoding='UTF-8'?&gt;
&lt;Document xmlns="urn:iso:std:iso:20022:tech:xsd:pacs.008.001.08"&gt;
  &lt;FIToFICstmrCdtTrf&gt;
    &lt;GrpHdr&gt;
      &lt;MsgId&gt;MAITHUHA-MSG-008&lt;/MsgId&gt;
      &lt;CreDtTm&gt;2026-07-28T13:31:41&lt;/CreDtTm&gt;
      &lt;NbOfTxs&gt;1&lt;/NbOfTxs&gt;
      &lt;SttlmInf&gt;
        &lt;SttlmMtd&gt;INDA&lt;/SttlmMtd&gt;
      &lt;/SttlmInf&gt;
    &lt;/GrpHdr&gt;
    &lt;CdtTrfTxInf&gt;
      &lt;PmtId&gt;
        &lt;EndToEndId&gt;MTH-E2E-008&lt;/EndToEndId&gt;
      &lt;/PmtId&gt;
      &lt;IntrBkSttlmAmt Ccy="USD"&gt;1000.00&lt;/IntrBkSttlmAmt&gt;
      &lt;ChrgBr&gt;SHAR&lt;/ChrgBr&gt;
      &lt;UltmtDbtr&gt;
        &lt;CtctDtls&gt;
          &lt;Nm&gt;MAI THU HA&lt;/Nm&gt;
        &lt;/CtctDtls&gt;
      &lt;/UltmtDbtr&gt;
      &lt;Dbtr&gt;
        &lt;Nm&gt;MAI THU HA&lt;/Nm&gt;
      &lt;/Dbtr&gt;
      &lt;DbtrAgt&gt;
        &lt;FinInstnId&gt;
          &lt;Nm&gt;MAI THU HA&lt;/Nm&gt;
        &lt;/FinInstnId&gt;
      &lt;/DbtrAgt&gt;
      &lt;CdtrAgt&gt;
        &lt;FinInstnId&gt;
          &lt;Nm&gt;MAI THU HA&lt;/Nm&gt;
        &lt;/FinInstnId&gt;
      &lt;/CdtrAgt&gt;
      &lt;Cdtr&gt;
        &lt;Nm&gt;MAI THU HA&lt;/Nm&gt;
      &lt;/Cdtr&gt;
    &lt;/CdtTrfTxInf&gt;
  &lt;/FIToFICstmrCdtTrf&gt;
&lt;/Document&gt;</t>
  </si>
  <si>
    <t>2. Hệ thống sinh HIT tại xpath /Document/FIToFICstmrCdtTrf/CdtTrfTxInf/UltmtDbtr/CtctDtls/Nm qua webservice NAME AND ADDRESS, khớp với danh sách WC.
SELECT
    CASE
        WHEN COUNT(1) &gt;= 1 THEN
            'Pass'
        ELSE
            'Fail'
    END sql_check
FROM
    fsi_rt_xml_wls_response t
WHERE
    n_grp_msg_id = :n_grp_msg_id
    AND V_MATCHED_LIST_REC_ID = 'nhập lại'
    AND n_webservice_id = 1
    AND V_MATCHED_LIST_NAME = 'PRIV'
    AND t.V_MATCHED_SUBLIST_NAME = 'AML'
    AND regexp_replace(to_char(t.x_path), '\[[0-9]+\]', '') LIKE '%'
        || regexp_replace(
            'Document/FIToFICstmrCdtTrf/CdtTrfTxInf/UltmtDbtr/CtctDtls/Nm',
            '\[[0-9]+\]',
            ''
        ) || '%';</t>
  </si>
  <si>
    <t>NAD.18</t>
  </si>
  <si>
    <t>Sàng lọc điện trường hợp Xpath /Document/FIToFICstmrCdtTrf/CdtTrfTxInf/UltmtCdtr/Nm điện pacs.008.001.08 trùng với giá trị trường 'Tên bí danh/tên tiếng anh/tên viết tắt' trong danh sách AML</t>
  </si>
  <si>
    <t>&lt;?xml version='1.0' encoding='UTF-8'?&gt;
&lt;Document xmlns="urn:iso:std:iso:20022:tech:xsd:pacs.008.001.08"&gt;
  &lt;FIToFICstmrCdtTrf&gt;
    &lt;GrpHdr&gt;
      &lt;MsgId&gt;NAD17&lt;/MsgId&gt;
      &lt;CreDtTm&gt;2026-07-28T13:31:41&lt;/CreDtTm&gt;
      &lt;NbOfTxs&gt;1&lt;/NbOfTxs&gt;
      &lt;SttlmInf&gt;
        &lt;SttlmMtd&gt;INDA&lt;/SttlmMtd&gt;
      &lt;/SttlmInf&gt;
    &lt;/GrpHdr&gt;
    &lt;CdtTrfTxInf&gt;
      &lt;PmtId&gt;
        &lt;EndToEndId&gt;BL-E2E-008&lt;/EndToEndId&gt;
      &lt;/PmtId&gt;
      &lt;IntrBkSttlmAmt Ccy="USD"&gt;1000.00&lt;/IntrBkSttlmAmt&gt;
      &lt;ChrgBr&gt;SHAR&lt;/ChrgBr&gt;
      &lt;Dbtr&gt;
        &lt;Nm&gt;A NGUYEN&lt;/Nm&gt;
      &lt;/Dbtr&gt;
      &lt;DbtrAgt&gt;
        &lt;FinInstnId&gt;
          &lt;Nm&gt;A NGUYEN&lt;/Nm&gt;
        &lt;/FinInstnId&gt;
      &lt;/DbtrAgt&gt;
      &lt;CdtrAgt&gt;
        &lt;FinInstnId&gt;
          &lt;Nm&gt;A NGUYEN&lt;/Nm&gt;
        &lt;/FinInstnId&gt;
      &lt;/CdtrAgt&gt;
      &lt;Cdtr&gt;
        &lt;Nm&gt;A NGUYEN&lt;/Nm&gt;
      &lt;/Cdtr&gt;
      &lt;UltmtCdtr&gt;
        &lt;Nm&gt;A NGUYEN&lt;/Nm&gt;
      &lt;/UltmtCdtr&gt;
    &lt;/CdtTrfTxInf&gt;
  &lt;/FIToFICstmrCdtTrf&gt;
&lt;/Document&gt;</t>
  </si>
  <si>
    <t>2. Hệ thống sinh HIT tại xpath /Document/FIToFICstmrCdtTrf/CdtTrfTxInf/UltmtCdtr/Nm qua webservice NAME AND ADDRESS, khớp với danh sách AML.
SELECT
    CASE
        WHEN COUNT(1) &gt;= 1 THEN
            'Pass'
        ELSE
            'Fail'
    END sql_check
FROM
    fsi_rt_xml_wls_response t
WHERE
    n_grp_msg_id = :n_grp_msg_id
    AND V_MATCHED_LIST_REC_ID = 'nhập lại'
    AND n_webservice_id = 1
    AND V_MATCHED_LIST_NAME = 'PRIV'
    AND t.V_MATCHED_SUBLIST_NAME = 'AML'
    AND regexp_replace(to_char(t.x_path), '\[[0-9]+\]', '') LIKE '%'
        || regexp_replace(
            'Document/FIToFICstmrCdtTrf/CdtTrfTxInf/UltmtCdtr/Nm',
            '\[[0-9]+\]',
            ''
        ) || '%';</t>
  </si>
  <si>
    <t>NAD.19</t>
  </si>
  <si>
    <t>Sàng lọc điện trường hợp Xpath /Document/FIToFICstmrCdtTrf/CdtTrfTxInf/Dbtr/Nm điện pacs.008.001.08 trùng với giá trị trường 'Họ và tên' trong danh sách BCA</t>
  </si>
  <si>
    <t>&lt;?xml version='1.0' encoding='UTF-8'?&gt;
&lt;Document xmlns="urn:iso:std:iso:20022:tech:xsd:pacs.008.001.08"&gt;
  &lt;FIToFICstmrCdtTrf&gt;
    &lt;GrpHdr&gt;
      &lt;MsgId&gt;DANGCONGQUAN-MSG-008&lt;/MsgId&gt;
      &lt;CreDtTm&gt;2026-07-28T13:31:41&lt;/CreDtTm&gt;
      &lt;NbOfTxs&gt;1&lt;/NbOfTxs&gt;
      &lt;SttlmInf&gt;
        &lt;SttlmMtd&gt;INDA&lt;/SttlmMtd&gt;
      &lt;/SttlmInf&gt;
    &lt;/GrpHdr&gt;
    &lt;CdtTrfTxInf&gt;
      &lt;PmtId&gt;
        &lt;EndToEndId&gt;DCQ-E2E-008&lt;/EndToEndId&gt;
      &lt;/PmtId&gt;
      &lt;IntrBkSttlmAmt Ccy="USD"&gt;1000.00&lt;/IntrBkSttlmAmt&gt;
      &lt;ChrgBr&gt;SHAR&lt;/ChrgBr&gt;
      &lt;UltmtDbtr&gt;
        &lt;CtctDtls&gt;
          &lt;Nm&gt;DANG CONG QUAN&lt;/Nm&gt;
        &lt;/CtctDtls&gt;
      &lt;/UltmtDbtr&gt;
      &lt;Dbtr&gt;
        &lt;Nm&gt;DANG CONG QUAN&lt;/Nm&gt;
      &lt;/Dbtr&gt;
      &lt;DbtrAgt&gt;
        &lt;FinInstnId&gt;
          &lt;Nm&gt;DANG CONG QUAN&lt;/Nm&gt;
        &lt;/FinInstnId&gt;
      &lt;/DbtrAgt&gt;
      &lt;CdtrAgt&gt;
        &lt;FinInstnId&gt;
          &lt;Nm&gt;DANG CONG QUAN&lt;/Nm&gt;
        &lt;/FinInstnId&gt;
      &lt;/CdtrAgt&gt;
      &lt;Cdtr&gt;
        &lt;Nm&gt;DANG CONG QUAN&lt;/Nm&gt;
      &lt;/Cdtr&gt;
    &lt;/CdtTrfTxInf&gt;
  &lt;/FIToFICstmrCdtTrf&gt;
&lt;/Document&gt;</t>
  </si>
  <si>
    <t>2. Hệ thống sinh HIT tại xpath /Document/FIToFICstmrCdtTrf/CdtTrfTxInf/Dbtr/Nm qua webservice NAME AND ADDRESS, khớp với danh sách WC.
SELECT
    CASE
        WHEN COUNT(1) &gt;= 1 THEN
            'Pass'
        ELSE
            'Fail'
    END sql_check
FROM
    fsi_rt_xml_wls_response t
WHERE
    n_grp_msg_id = :n_grp_msg_id
    AND V_MATCHED_LIST_REC_ID = 'nhập lại'
    AND n_webservice_id = 1
    AND V_MATCHED_LIST_NAME = 'PRIV'
    AND t.V_MATCHED_SUBLIST_NAME = 'BCA'
    AND regexp_replace(to_char(t.x_path), '\[[0-9]+\]', '') LIKE '%'
        || regexp_replace(
            'Document/FIToFICstmrCdtTrf/CdtTrfTxInf/Dbtr/Nm',
            '\[[0-9]+\]',
            ''
        ) || '%';</t>
  </si>
  <si>
    <t>NAD.20</t>
  </si>
  <si>
    <t>Sàng lọc điện trường hợp Xpath /Document/FIToFICstmrCdtTrf/CdtTrfTxInf/InitgPty/Nm điện pacs.008.001.08 trùng với giá trị trường 'Tên bí danh/tên tiếng anh/tên viết tắt' trong danh sách BCA</t>
  </si>
  <si>
    <t>&lt;?xml version='1.0' encoding='UTF-8'?&gt;
&lt;Document xmlns="urn:iso:std:iso:20022:tech:xsd:pacs.008.001.08"&gt;
  &lt;FIToFICstmrCdtTrf&gt;
    &lt;GrpHdr&gt;
      &lt;MsgId&gt;DAVIDDAT-MSG-008&lt;/MsgId&gt;
      &lt;CreDtTm&gt;2026-07-28T13:31:41&lt;/CreDtTm&gt;
      &lt;NbOfTxs&gt;1&lt;/NbOfTxs&gt;
      &lt;SttlmInf&gt;
        &lt;SttlmMtd&gt;INDA&lt;/SttlmMtd&gt;
      &lt;/SttlmInf&gt;
    &lt;/GrpHdr&gt;
    &lt;CdtTrfTxInf&gt;
      &lt;PmtId&gt;
        &lt;EndToEndId&gt;DD-E2E-008&lt;/EndToEndId&gt;
      &lt;/PmtId&gt;
      &lt;IntrBkSttlmAmt Ccy="USD"&gt;1000.00&lt;/IntrBkSttlmAmt&gt;
      &lt;ChrgBr&gt;SHAR&lt;/ChrgBr&gt;
      &lt;InitgPty&gt;
        &lt;Nm&gt;DAVID DAT&lt;/Nm&gt;
      &lt;/InitgPty&gt;
      &lt;Dbtr&gt;
        &lt;Nm&gt;DAVID DAT&lt;/Nm&gt;
      &lt;/Dbtr&gt;
      &lt;DbtrAgt&gt;
        &lt;FinInstnId&gt;
          &lt;Nm&gt;DAVID DAT&lt;/Nm&gt;
        &lt;/FinInstnId&gt;
      &lt;/DbtrAgt&gt;
      &lt;CdtrAgt&gt;
        &lt;FinInstnId&gt;
          &lt;Nm&gt;DAVID DAT&lt;/Nm&gt;
        &lt;/FinInstnId&gt;
      &lt;/CdtrAgt&gt;
      &lt;Cdtr&gt;
        &lt;Nm&gt;DAVID DAT&lt;/Nm&gt;
      &lt;/Cdtr&gt;
    &lt;/CdtTrfTxInf&gt;
  &lt;/FIToFICstmrCdtTrf&gt;
&lt;/Document&gt;</t>
  </si>
  <si>
    <t>2. Hệ thống sinh HIT tại xpath /Document/FIToFICstmrCdtTrf/CdtTrfTxInf/InitgPty/Nm qua webservice NAME AND ADDRESS, khớp với danh sách BCA.
SELECT
    CASE
        WHEN COUNT(1) &gt;= 1 THEN
            'Pass'
        ELSE
            'Fail'
    END sql_check
FROM
    fsi_rt_xml_wls_response t
WHERE
    n_grp_msg_id = :n_grp_msg_id
    AND V_MATCHED_LIST_REC_ID = 'nhập lại'
    AND n_webservice_id = 1
    AND V_MATCHED_LIST_NAME = 'PRIV'
    AND t.V_MATCHED_SUBLIST_NAME = 'BCA'
    AND regexp_replace(to_char(t.x_path), '\[[0-9]+\]', '') LIKE '%'
        || regexp_replace(
            'Document/FIToFICstmrCdtTrf/CdtTrfTxInf/InitgPty/Nm',
            '\[[0-9]+\]',
            ''
        ) || '%';</t>
  </si>
  <si>
    <t>Webservice IDENTIFIER</t>
  </si>
  <si>
    <t>IDEN.01</t>
  </si>
  <si>
    <t>Sàng lọc điện trường hợp dữ liệu xpath '/Document/FIToFICstmrCdtTrf/CdtTrfTxInf/Cdtr/Id/PrvtId/Othr/Id' điện pacs.008.001.08 trùng với giá trị trường 'PASSPORTS' trong danh sách WC</t>
  </si>
  <si>
    <t>1. Đẩy giao dịch vào API Post Message với trường thông tin '/Document/FIToFICstmrCdtTrf/CdtTrfTxInf/Cdtr/Id/PrvtId/Othr/Id' điện pacs.008.001.08 có dữ liệu nằm trong các danh sách theo dõi 
&lt;Link URL hệ thống AML ở môi trường SIT&gt;
Path: transaction-screening/v1/transaction-screening
Method: POST
Request Header:
Authorization: Basic Auth
(Username and password to login to application)
Content-Type: text/plain
Accept: */*
Request Body: cột Test Datas
2. Kiểm tra thông tin Event của giao dịch theo đường dẫn Financial Services Analytical Applications Transactions Filtering &gt; Financial services Sanctions Pack &gt; Transaction Filtering Alert List 
Chọn Filter, nhập thông tin tìm kiếm theo AlertID, nhấn &lt;Search&gt;
Click mã AlertID và kiểm tra các thông tin
Hoặc kiểm tra các thông tin trong file kết quả truy vấn Database</t>
  </si>
  <si>
    <t>&lt;?xml version="1.0" encoding="UTF-8"?&gt;
&lt;Document xmlns="urn:iso:std:iso:20022:tech:xsd:pacs.008.001.08"&gt;
  &lt;FIToFICstmrCdtTrf&gt;
    &lt;GrpHdr&gt;&lt;MsgId&gt;thucaseIDEN01&lt;/MsgId&gt;&lt;CreDtTm&gt;2026-07-24T09:15:00&lt;/CreDtTm&gt;&lt;NbOfTxs&gt;1&lt;/NbOfTxs&gt;
      &lt;SttlmInf&gt;&lt;SttlmMtd&gt;INDA&lt;/SttlmMtd&gt;&lt;/SttlmInf&gt;&lt;/GrpHdr&gt;
    &lt;CdtTrfTxInf&gt;
      &lt;PmtId&gt;&lt;InstrId&gt;MSBIDEN01&lt;/InstrId&gt;&lt;EndToEndId&gt;MSBIDEN01&lt;/EndToEndId&gt;&lt;TxId&gt;MSBIDEN01&lt;/TxId&gt;&lt;/PmtId&gt;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&lt;DbtrAcct&gt;&lt;Id&gt;&lt;Othr&gt;&lt;Id&gt;0011000123456&lt;/Id&gt;&lt;/Othr&gt;&lt;/Id&gt;&lt;/DbtrAcct&gt;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&lt;Id&gt;&lt;PrvtId&gt;&lt;Othr&gt;&lt;Id&gt;MP4274241&lt;/Id&gt;&lt;SchmeNm&gt;&lt;Cd&gt;CCPT&lt;/Cd&gt;&lt;/SchmeNm&gt;&lt;/Othr&gt;&lt;/PrvtId&gt;&lt;/Id&gt;&lt;/Cdtr&gt;
      &lt;CdtrAcct&gt;&lt;Id&gt;&lt;Othr&gt;&lt;Id&gt;7788990011&lt;/Id&gt;&lt;/Othr&gt;&lt;/Id&gt;&lt;/CdtrAcct&gt;
      &lt;RmtInf&gt;&lt;Ustrd&gt;PAYMENT FOR INVOICE INV-2026-0714&lt;/Ustrd&gt;&lt;/RmtInf&gt;
    &lt;/CdtTrfTxInf&gt;
  &lt;/FIToFICstmrCdtTrf&gt;
&lt;/Document&gt;</t>
  </si>
  <si>
    <t>2. Hệ thống sinh HIT tại xpath '/Document/FIToFICstmrCdtTrf/CdtTrfTxInf/Cdtr/Id/PrvtId/Othr/Id' qua webservice IDENTIFIER, khớp với danh sách WC
Câu query kiểm tra kết quả (KET_QUA = Pass):
SELECT
    CASE
        WHEN COUNT(1) &gt;= 1 THEN
            'Pass'
        ELSE
            'Fail'
    END sql_check
FROM
    fsi_rt_xml_wls_response t
WHERE
    n_grp_msg_id = :n_grp_msg_id
    AND V_MATCHED_LIST_REC_ID = 'nhập lại'
    AND n_webservice_id = 2
    AND V_MATCHED_LIST_NAME = 'WC'
    AND regexp_replace(to_char(t.x_path), '\[\d+\]', '') LIKE '%'
        || regexp_replace('Document/FIToFICstmrCdtTrf/CdtTrfTxInf/Cdtr/Id/PrvtId/Othr/Id', '\[\d+\]', '') || '%';</t>
  </si>
  <si>
    <t>V_MATCHED_LIST_NAME đang bị map thành loại khách hàng</t>
  </si>
  <si>
    <t>IDEN.02</t>
  </si>
  <si>
    <t>Sàng lọc điện trường hợp dữ liệu xpath '/Document/FIToFICstmrCdtTrf/GrpHdr/InstgAgt/FinInstnId/Othr/Id' điện pacs.008.001.08 trùng với giá trị trường 'SSN' trong danh sách WC</t>
  </si>
  <si>
    <t>&lt;?xml version="1.0" encoding="UTF-8"?&gt;
&lt;Document xmlns="urn:iso:std:iso:20022:tech:xsd:pacs.008.001.08"&gt;
  &lt;FIToFICstmrCdtTrf&gt;
    &lt;GrpHdr&gt;&lt;MsgId&gt;MSBIDEN02&lt;/MsgId&gt;&lt;CreDtTm&gt;2026-07-24T09:15:00&lt;/CreDtTm&gt;&lt;NbOfTxs&gt;1&lt;/NbOfTxs&gt;
      &lt;SttlmInf&gt;&lt;SttlmMtd&gt;INDA&lt;/SttlmMtd&gt;&lt;/SttlmInf&gt;
      &lt;InstgAgt&gt;&lt;FinInstnId&gt;&lt;Othr&gt;&lt;Id&gt;MSCBVNVX&lt;/Id&gt;&lt;/Othr&gt;&lt;/FinInstnId&gt;&lt;/InstgAgt&gt;&lt;/GrpHdr&gt;
    &lt;CdtTrfTxInf&gt;
      &lt;PmtId&gt;&lt;InstrId&gt;MSBIDEN02&lt;/InstrId&gt;&lt;EndToEndId&gt;MSBIDEN02&lt;/EndToEndId&gt;&lt;TxId&gt;MSBIDEN02&lt;/TxId&gt;&lt;/PmtId&gt;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&lt;DbtrAcct&gt;&lt;Id&gt;&lt;Othr&gt;&lt;Id&gt;0011000123456&lt;/Id&gt;&lt;/Othr&gt;&lt;/Id&gt;&lt;/DbtrAcct&gt;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&lt;Id&gt;&lt;PrvtId&gt;&lt;Othr&gt;&lt;Id&gt;123-45-6789&lt;/Id&gt;&lt;SchmeNm&gt;&lt;Cd&gt;SOSE&lt;/Cd&gt;&lt;/SchmeNm&gt;&lt;/Othr&gt;&lt;/PrvtId&gt;&lt;/Id&gt;&lt;/Cdtr&gt;
      &lt;CdtrAcct&gt;&lt;Id&gt;&lt;Othr&gt;&lt;Id&gt;7788990011&lt;/Id&gt;&lt;/Othr&gt;&lt;/Id&gt;&lt;/CdtrAcct&gt;
      &lt;RmtInf&gt;&lt;Ustrd&gt;PAYMENT FOR INVOICE INV-2026-0714&lt;/Ustrd&gt;&lt;/RmtInf&gt;
    &lt;/CdtTrfTxInf&gt;
  &lt;/FIToFICstmrCdtTrf&gt;
&lt;/Document&gt;</t>
  </si>
  <si>
    <t>2. Hệ thống sinh HIT tại xpath'/Document/FIToFICstmrCdtTrf/GrpHdr/InstgAgt/FinInstnId/Othr/Id' qua webservice IDENTIFIER, khớp với danh sách WC
Câu query kiểm tra kết quả (KET_QUA = Pass):
SELECT
    CASE
        WHEN COUNT(1) &gt;= 1 THEN
            'Pass'
        ELSE
            'Fail'
    END sql_check
FROM
    fsi_rt_xml_wls_response t
WHERE
    n_grp_msg_id = :n_grp_msg_id
    AND V_MATCHED_LIST_REC_ID = 'nhập lại'
    AND n_webservice_id = 2
    AND V_MATCHED_LIST_NAME = 'WC'
    AND regexp_replace(to_char(t.x_path), '\[\d+\]', '') LIKE '%'
        || regexp_replace('Document/FIToFICstmrCdtTrf/GrpHdr/InstgAgt/FinInstnId/Othr/Id', '\[\d+\]', '') || '%';</t>
  </si>
  <si>
    <t>IDEN.03</t>
  </si>
  <si>
    <t>Sàng lọc điện trường hợp dữ liệu xpath '/Document/FIToFICstmrCdtTrf/GrpHdr/InstgAgt/FinInstnId/Othr/Id' điện pacs.008.001.08 trùng với giá trị trường 'IDENTIFICATION NUMBERS' trong danh sách WC</t>
  </si>
  <si>
    <t>1. Đẩy giao dịch vào API Post Message với trường thông tin '/Document/FIToFICstmrCdtTrf/GrpHdr/InstgAgt/FinInstnId/Othr/Id' điện pacs.008.001.08 có dữ liệu nằm trong các danh sách theo dõi 
&lt;Link URL hệ thống AML ở môi trường SIT&gt;
Path: transaction-screening/v1/transaction-screening
Method: POST
Request Header:
Authorization: Basic Auth
(Username and password to login to application)
Content-Type: text/plain
Accept: */*
Request Body: cột Test Datas
2. Kiểm tra thông tin Event của giao dịch theo đường dẫn Financial Services Analytical Applications Transactions Filtering &gt; Financial services Sanctions Pack &gt; Transaction Filtering Alert List 
Chọn Filter, nhập thông tin tìm kiếm theo AlertID, nhấn &lt;Search&gt;
Click mã AlertID và kiểm tra các thông tin
Hoặc kiểm tra các thông tin trong file kết quả truy vấn Database</t>
  </si>
  <si>
    <t>&lt;?xml version="1.0" encoding="UTF-8"?&gt;
&lt;Document xmlns="urn:iso:std:iso:20022:tech:xsd:pacs.008.001.08"&gt;
  &lt;FIToFICstmrCdtTrf&gt;
    &lt;GrpHdr&gt;&lt;MsgId&gt;MSBIDEN03&lt;/MsgId&gt;&lt;CreDtTm&gt;2026-07-24T09:15:00&lt;/CreDtTm&gt;&lt;NbOfTxs&gt;1&lt;/NbOfTxs&gt;
      &lt;SttlmInf&gt;&lt;SttlmMtd&gt;INDA&lt;/SttlmMtd&gt;&lt;/SttlmInf&gt;
      &lt;InstgAgt&gt;&lt;FinInstnId&gt;&lt;Othr&gt;&lt;Id&gt;0099887766&lt;/Id&gt;&lt;/Othr&gt;&lt;/FinInstnId&gt;&lt;/InstgAgt&gt;
    &lt;/GrpHdr&gt;
    &lt;CdtTrfTxInf&gt;
      &lt;PmtId&gt;&lt;InstrId&gt;MSBIDEN03&lt;/InstrId&gt;&lt;EndToEndId&gt;MSBIDEN03&lt;/EndToEndId&gt;&lt;TxId&gt;MSBIDEN03&lt;/TxId&gt;&lt;/PmtId&gt;
      &lt;IntrBkSttlmAmt Ccy="USD"&gt;25000.00&lt;/IntrBkSttlmAmt&gt;
      &lt;IntrBkSttlmDt&gt;2026-07-24&lt;/IntrBkSttlmDt&gt;&lt;ChrgBr&gt;SHAR&lt;/ChrgBr&gt;
      &lt;Dbtr&gt;&lt;Nm&gt;VIET THANH IMPORT EXPORT JSC&lt;/Nm&gt;&lt;/Dbtr&gt;
      &lt;DbtrAgt&gt;&lt;FinInstnId/&gt;&lt;/DbtrAgt&gt;
      &lt;CdtrAgt&gt;&lt;FinInstnId/&gt;&lt;/CdtrAgt&gt;
      &lt;Cdtr&gt;&lt;Nm&gt;ORIENT PACIFIC TRADING PTE LTD&lt;/Nm&gt;&lt;/Cdtr&gt;
    &lt;/CdtTrfTxInf&gt;
  &lt;/FIToFICstmrCdtTrf&gt;
&lt;/Document&gt;</t>
  </si>
  <si>
    <t>IDEN.04</t>
  </si>
  <si>
    <t>Sàng lọc điện trường hợp dữ liệu xpath '/Document/FIToFICstmrCdtTrf/CdtTrfTxInf/Cdtr/Id/PrvtId/Othr/Id' điện pacs.008.001.08 trùng với giá trị trường 'CC/Thẻ CC' trong danh sách AML</t>
  </si>
  <si>
    <t>&lt;?xml version="1.0" encoding="UTF-8"?&gt;
&lt;Document xmlns="urn:iso:std:iso:20022:tech:xsd:pacs.008.001.08"&gt;
  &lt;FIToFICstmrCdtTrf&gt;
    &lt;GrpHdr&gt;&lt;MsgId&gt;MSBIDEN04&lt;/MsgId&gt;&lt;CreDtTm&gt;2026-07-24T09:15:00&lt;/CreDtTm&gt;&lt;NbOfTxs&gt;1&lt;/NbOfTxs&gt;
      &lt;SttlmInf&gt;&lt;SttlmMtd&gt;INDA&lt;/SttlmMtd&gt;&lt;/SttlmInf&gt;&lt;/GrpHdr&gt;
    &lt;CdtTrfTxInf&gt;
      &lt;PmtId&gt;&lt;InstrId&gt;MSBIDEN04&lt;/InstrId&gt;&lt;EndToEndId&gt;MSBIDEN04&lt;/EndToEndId&gt;&lt;TxId&gt;MSBIDEN04&lt;/TxId&gt;&lt;/PmtId&gt;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&lt;DbtrAcct&gt;&lt;Id&gt;&lt;Othr&gt;&lt;Id&gt;079173453008&lt;/Id&gt;&lt;/Othr&gt;&lt;/Id&gt;&lt;/DbtrAcct&gt;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&lt;Id&gt;&lt;PrvtId&gt;&lt;Othr&gt;&lt;Id&gt;079173453008&lt;/Id&gt;&lt;SchmeNm&gt;&lt;Cd&gt;NIDN&lt;/Cd&gt;&lt;/SchmeNm&gt;&lt;/Othr&gt;&lt;/PrvtId&gt;&lt;/Id&gt;&lt;/Cdtr&gt;
      &lt;CdtrAcct&gt;&lt;Id&gt;&lt;Othr&gt;&lt;Id&gt;7788990011&lt;/Id&gt;&lt;/Othr&gt;&lt;/Id&gt;&lt;/CdtrAcct&gt;
      &lt;RmtInf&gt;&lt;Ustrd&gt;PAYMENT FOR INVOICE INV-2026-0714&lt;/Ustrd&gt;&lt;/RmtInf&gt;
    &lt;/CdtTrfTxInf&gt;
  &lt;/FIToFICstmrCdtTrf&gt;
&lt;/Document&gt;</t>
  </si>
  <si>
    <t>2. Hệ thống sinh HIT tại xpath '/Document/FIToFICstmrCdtTrf/CdtTrfTxInf/Cdtr/Id/PrvtId/Othr/Id' qua webservice IDENTIFIER, khớp với danh sách "AML"
Câu query kiểm tra kết quả (KET_QUA = Pass):
SELECT
    CASE
        WHEN COUNT(1) &gt;= 1 THEN
            'Pass'
        ELSE
            'Fail'
    END sql_check
FROM
    fsi_rt_xml_wls_response t
WHERE
    n_grp_msg_id = :n_grp_msg_id
    AND V_MATCHED_LIST_REC_ID = 'nhập lại'
    AND n_webservice_id = 2
    AND V_MATCHED_SUBLIST_NAME = 'AML'
    AND regexp_replace(to_char(t.x_path), '\[\d+\]', '') LIKE '%'
        || regexp_replace('Document/FIToFICstmrCdtTrf/CdtTrfTxInf/Cdtr/Id/PrvtId/Othr/Id', '\[\d+\]', '') || '%';</t>
  </si>
  <si>
    <t>IDEN.05</t>
  </si>
  <si>
    <t>Sàng lọc điện trường hợp dữ liệu xpath '/Document/FIToFICstmrCdtTrf/CdtTrfTxInf/Cdtr/Id/PrvtId/Othr/Id' điện pacs.008.001.08 trùng với giá trị trường 'CMND/CMT' trong danh sách AML</t>
  </si>
  <si>
    <t>&lt;?xml version="1.0" encoding="UTF-8"?&gt;
&lt;Document xmlns="urn:iso:std:iso:20022:tech:xsd:pacs.008.001.08"&gt;
  &lt;FIToFICstmrCdtTrf&gt;
    &lt;GrpHdr&gt;&lt;MsgId&gt;MSBIDEN05&lt;/MsgId&gt;&lt;CreDtTm&gt;2026-07-24T09:15:00&lt;/CreDtTm&gt;&lt;NbOfTxs&gt;1&lt;/NbOfTxs&gt;
      &lt;SttlmInf&gt;&lt;SttlmMtd&gt;INDA&lt;/SttlmMtd&gt;&lt;/SttlmInf&gt;&lt;/GrpHdr&gt;
    &lt;CdtTrfTxInf&gt;
      &lt;PmtId&gt;&lt;InstrId&gt;MSBIDEN05&lt;/InstrId&gt;&lt;EndToEndId&gt;MSBIDEN05&lt;/EndToEndId&gt;&lt;TxId&gt;MSBIDEN05&lt;/TxId&gt;&lt;/PmtId&gt;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&lt;DbtrAcct&gt;&lt;Id&gt;&lt;Othr&gt;&lt;Id&gt;120029276&lt;/Id&gt;&lt;/Othr&gt;&lt;/Id&gt;&lt;/DbtrAcct&gt;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&lt;Id&gt;&lt;PrvtId&gt;&lt;Othr&gt;&lt;Id&gt;025004858&lt;/Id&gt;&lt;SchmeNm&gt;&lt;Cd&gt;NIDN&lt;/Cd&gt;&lt;/SchmeNm&gt;&lt;/Othr&gt;&lt;/PrvtId&gt;&lt;/Id&gt;&lt;/Cdtr&gt;
      &lt;CdtrAcct&gt;&lt;Id&gt;&lt;Othr&gt;&lt;Id&gt;7788990011&lt;/Id&gt;&lt;/Othr&gt;&lt;/Id&gt;&lt;/CdtrAcct&gt;
      &lt;RmtInf&gt;&lt;Ustrd&gt;PAYMENT FOR INVOICE INV-2026-0714&lt;/Ustrd&gt;&lt;/RmtInf&gt;
    &lt;/CdtTrfTxInf&gt;
  &lt;/FIToFICstmrCdtTrf&gt;
&lt;/Document&gt;</t>
  </si>
  <si>
    <t>IDEN.06</t>
  </si>
  <si>
    <t>Sàng lọc điện trường hợp dữ liệu xpath '/Document/FIToFICstmrCdtTrf/GrpHdr/InstgAgt/FinInstnId/Othr/Id' điện pacs.008.001.08 trùng với giá trị trường 'GPTL/MSDN/MST' trong danh sách AML</t>
  </si>
  <si>
    <t>&lt;?xml version="1.0" encoding="UTF-8"?&gt;
&lt;Document xmlns="urn:iso:std:iso:20022:tech:xsd:pacs.008.001.08"&gt;
  &lt;FIToFICstmrCdtTrf&gt;
    &lt;GrpHdr&gt;&lt;MsgId&gt;MSBIDEN06&lt;/MsgId&gt;&lt;CreDtTm&gt;2026-07-24T09:15:00&lt;/CreDtTm&gt;&lt;NbOfTxs&gt;1&lt;/NbOfTxs&gt;
      &lt;SttlmInf&gt;&lt;SttlmMtd&gt;INDA&lt;/SttlmMtd&gt;&lt;/SttlmInf&gt;
      &lt;InstgAgt&gt;&lt;FinInstnId&gt;&lt;Othr&gt;&lt;Id&gt;9473331817&lt;/Id&gt;&lt;/Othr&gt;&lt;/FinInstnId&gt;&lt;/InstgAgt&gt;&lt;/GrpHdr&gt;
    &lt;CdtTrfTxInf&gt;
      &lt;PmtId&gt;&lt;InstrId&gt;MSBIDEN06&lt;/InstrId&gt;&lt;EndToEndId&gt;MSBIDEN06&lt;/EndToEndId&gt;&lt;TxId&gt;MSBIDEN06&lt;/TxId&gt;&lt;/PmtId&gt;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&lt;DbtrAcct&gt;&lt;Id&gt;&lt;Othr&gt;&lt;Id&gt;2003558140&lt;/Id&gt;&lt;/Othr&gt;&lt;/Id&gt;&lt;/DbtrAcct&gt;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&lt;Id&gt;&lt;PrvtId&gt;&lt;Othr&gt;&lt;Id&gt;025004858&lt;/Id&gt;&lt;SchmeNm&gt;&lt;Cd&gt;NIDN&lt;/Cd&gt;&lt;/SchmeNm&gt;&lt;/Othr&gt;&lt;/PrvtId&gt;&lt;/Id&gt;&lt;/Cdtr&gt;
      &lt;CdtrAcct&gt;&lt;Id&gt;&lt;Othr&gt;&lt;Id&gt;9473331817&lt;/Id&gt;&lt;/Othr&gt;&lt;/Id&gt;&lt;/CdtrAcct&gt;
      &lt;RmtInf&gt;&lt;Ustrd&gt;PAYMENT FOR INVOICE INV-2026-0714&lt;/Ustrd&gt;&lt;/RmtInf&gt;
    &lt;/CdtTrfTxInf&gt;
  &lt;/FIToFICstmrCdtTrf&gt;
&lt;/Document&gt;</t>
  </si>
  <si>
    <t>2. Hệ thống sinh HIT tại xpath'/Document/FIToFICstmrCdtTrf/GrpHdr/InstgAgt/FinInstnId/Othr/Id' qua webservice IDENTIFIER, khớp với danh sách "AML"
Câu query kiểm tra kết quả (KET_QUA = Pass):
SELECT
    CASE
        WHEN COUNT(1) &gt;= 1 THEN
            'Pass'
        ELSE
            'Fail'
    END sql_check
FROM
    fsi_rt_xml_wls_response t
WHERE
    n_grp_msg_id = :n_grp_msg_id
    AND V_MATCHED_LIST_REC_ID = 'nhập lại'
    AND n_webservice_id = 2
    AND V_MATCHED_SUBLIST_NAME = 'AML'
    AND regexp_replace(to_char(t.x_path), '\[\d+\]', '') LIKE '%'
        || regexp_replace('Document/FIToFICstmrCdtTrf/GrpHdr/InstgAgt/FinInstnId/Othr/Id', '\[\d+\]', '') || '%';</t>
  </si>
  <si>
    <t>IDEN.07</t>
  </si>
  <si>
    <t>Sàng lọc điện trường hợp dữ liệu xpath '/Document/FIToFICstmrCdtTrf/GrpHdr/InstgAgt/FinInstnId/Othr/Id' điện pacs.008.001.08 trùng với giá trị trường 'DKKD' trong danh sách AML</t>
  </si>
  <si>
    <t>&lt;?xml version="1.0" encoding="UTF-8"?&gt;
&lt;Document xmlns="urn:iso:std:iso:20022:tech:xsd:pacs.008.001.08"&gt;
  &lt;FIToFICstmrCdtTrf&gt;
    &lt;GrpHdr&gt;&lt;MsgId&gt;MSBIDEN07&lt;/MsgId&gt;&lt;CreDtTm&gt;2026-07-24T09:15:00&lt;/CreDtTm&gt;&lt;NbOfTxs&gt;1&lt;/NbOfTxs&gt;
      &lt;SttlmInf&gt;&lt;SttlmMtd&gt;INDA&lt;/SttlmMtd&gt;&lt;/SttlmInf&gt;
      &lt;InstgAgt&gt;&lt;FinInstnId&gt;&lt;Othr&gt;&lt;Id&gt;2817292918&lt;/Id&gt;&lt;/Othr&gt;&lt;/FinInstnId&gt;&lt;/InstgAgt&gt;&lt;/GrpHdr&gt;
    &lt;CdtTrfTxInf&gt;
      &lt;PmtId&gt;&lt;InstrId&gt;MSBIDEN07&lt;/InstrId&gt;&lt;EndToEndId&gt;MSBIDEN07&lt;/EndToEndId&gt;&lt;TxId&gt;MSBIDEN07&lt;/TxId&gt;&lt;/PmtId&gt;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&lt;DbtrAcct&gt;&lt;Id&gt;&lt;Othr&gt;&lt;Id&gt;2003558140&lt;/Id&gt;&lt;/Othr&gt;&lt;/Id&gt;&lt;/DbtrAcct&gt;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&lt;Id&gt;&lt;PrvtId&gt;&lt;Othr&gt;&lt;Id&gt;025004858&lt;/Id&gt;&lt;SchmeNm&gt;&lt;Cd&gt;NIDN&lt;/Cd&gt;&lt;/SchmeNm&gt;&lt;/Othr&gt;&lt;/PrvtId&gt;&lt;/Id&gt;&lt;/Cdtr&gt;
      &lt;CdtrAcct&gt;&lt;Id&gt;&lt;Othr&gt;&lt;Id&gt;2817292918&lt;/Id&gt;&lt;/Othr&gt;&lt;/Id&gt;&lt;/CdtrAcct&gt;
      &lt;RmtInf&gt;&lt;Ustrd&gt;PAYMENT FOR INVOICE INV-2026-0714&lt;/Ustrd&gt;&lt;/RmtInf&gt;
    &lt;/CdtTrfTxInf&gt;
  &lt;/FIToFICstmrCdtTrf&gt;
&lt;/Document&gt;</t>
  </si>
  <si>
    <t>IDEN.08</t>
  </si>
  <si>
    <t>Sàng lọc điện trường hợp dữ liệu xpath '/Document/FIToFICstmrCdtTrf/CdtTrfTxInf/Cdtr/Id/PrvtId/Othr/Id' điện pacs.008.001.08 trùng với giá trị trường 'GTTT khác 1' trong danh sách AML</t>
  </si>
  <si>
    <t>&lt;?xml version="1.0" encoding="UTF-8"?&gt;
&lt;Document xmlns="urn:iso:std:iso:20022:tech:xsd:pacs.008.001.08"&gt;
  &lt;FIToFICstmrCdtTrf&gt;
    &lt;GrpHdr&gt;&lt;MsgId&gt;MSBIDEN08&lt;/MsgId&gt;&lt;CreDtTm&gt;2026-07-24T09:15:00&lt;/CreDtTm&gt;&lt;NbOfTxs&gt;1&lt;/NbOfTxs&gt;
      &lt;SttlmInf&gt;&lt;SttlmMtd&gt;INDA&lt;/SttlmMtd&gt;&lt;/SttlmInf&gt;&lt;/GrpHdr&gt;
    &lt;CdtTrfTxInf&gt;
      &lt;PmtId&gt;&lt;InstrId&gt;MSBIDEN08&lt;/InstrId&gt;&lt;EndToEndId&gt;MSBIDEN10&lt;/EndToEndId&gt;&lt;TxId&gt;MSBIDEN08&lt;/TxId&gt;&lt;/PmtId&gt;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&lt;DbtrAcct&gt;&lt;Id&gt;&lt;Othr&gt;&lt;Id&gt;0011000123456&lt;/Id&gt;&lt;/Othr&gt;&lt;/Id&gt;&lt;/DbtrAcct&gt;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&lt;Id&gt;&lt;PrvtId&gt;&lt;Othr&gt;&lt;Id&gt;HC96865049&lt;/Id&gt;&lt;SchmeNm&gt;&lt;Cd&gt;NIDN&lt;/Cd&gt;&lt;/SchmeNm&gt;&lt;/Othr&gt;&lt;/PrvtId&gt;&lt;/Id&gt;&lt;/Cdtr&gt;
      &lt;CdtrAcct&gt;&lt;Id&gt;&lt;Othr&gt;&lt;Id&gt;7788990011&lt;/Id&gt;&lt;/Othr&gt;&lt;/Id&gt;&lt;/CdtrAcct&gt;
      &lt;RmtInf&gt;&lt;Ustrd&gt;PAYMENT FOR INVOICE INV-2026-0714&lt;/Ustrd&gt;&lt;/RmtInf&gt;
    &lt;/CdtTrfTxInf&gt;
  &lt;/FIToFICstmrCdtTrf&gt;
&lt;/Document&gt;</t>
  </si>
  <si>
    <t>2. Hệ thống sinh HIT tại xpath'/Document/FIToFICstmrCdtTrf/CdtTrfTxInf/Cdtr/Id/PrvtId/Othr/Id' qua webservice IDENTIFIER, khớp với danh sách "AML"
Câu query kiểm tra kết quả (KET_QUA = Pass):
SELECT
    CASE
        WHEN COUNT(1) &gt;= 1 THEN
            'Pass'
        ELSE
            'Fail'
    END sql_check
FROM
    fsi_rt_xml_wls_response t
WHERE
    n_grp_msg_id = :n_grp_msg_id
    AND V_MATCHED_LIST_REC_ID = 'nhập lại'
    AND n_webservice_id = 2
    AND V_MATCHED_SUBLIST_NAME = 'AML'
    AND regexp_replace(to_char(t.x_path), '\[\d+\]', '') LIKE '%'
        || regexp_replace('Document/FIToFICstmrCdtTrf/CdtTrfTxInf/Cdtr/Id/PrvtId/Othr/Id', '\[\d+\]', '') || '%';</t>
  </si>
  <si>
    <t>IDEN.09</t>
  </si>
  <si>
    <t>Sàng lọc điện trường hợp dữ liệu xpath '/Document/FIToFICstmrCdtTrf/CdtTrfTxInf/Cdtr/Id/PrvtId/Othr/Id' điện pacs.008.001.08 trùng với giá trị trường 'GTTT khác 2' trong danh sách AML</t>
  </si>
  <si>
    <t>&lt;?xml version="1.0" encoding="UTF-8"?&gt;
&lt;Document xmlns="urn:iso:std:iso:20022:tech:xsd:pacs.008.001.08"&gt;
  &lt;FIToFICstmrCdtTrf&gt;
    &lt;GrpHdr&gt;&lt;MsgId&gt;MSBIDEN09&lt;/MsgId&gt;&lt;CreDtTm&gt;2026-07-24T09:15:00&lt;/CreDtTm&gt;&lt;NbOfTxs&gt;1&lt;/NbOfTxs&gt;
      &lt;SttlmInf&gt;&lt;SttlmMtd&gt;INDA&lt;/SttlmMtd&gt;&lt;/SttlmInf&gt;&lt;/GrpHdr&gt;
    &lt;CdtTrfTxInf&gt;
      &lt;PmtId&gt;&lt;InstrId&gt;MSBIDEN09&lt;/InstrId&gt;&lt;EndToEndId&gt;MSBIDEN09&lt;/EndToEndId&gt;&lt;TxId&gt;MSBIDEN09&lt;/TxId&gt;&lt;/PmtId&gt;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&lt;DbtrAcct&gt;&lt;Id&gt;&lt;Othr&gt;&lt;Id&gt;2003558140&lt;/Id&gt;&lt;/Othr&gt;&lt;/Id&gt;&lt;/DbtrAcct&gt;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&lt;Id&gt;&lt;PrvtId&gt;&lt;Othr&gt;&lt;Id&gt;HC62779627&lt;/Id&gt;&lt;SchmeNm&gt;&lt;Cd&gt;NIDN&lt;/Cd&gt;&lt;/SchmeNm&gt;&lt;/Othr&gt;&lt;/PrvtId&gt;&lt;/Id&gt;&lt;/Cdtr&gt;
      &lt;CdtrAcct&gt;&lt;Id&gt;&lt;Othr&gt;&lt;Id&gt;7788990011&lt;/Id&gt;&lt;/Othr&gt;&lt;/Id&gt;&lt;/CdtrAcct&gt;
      &lt;RmtInf&gt;&lt;Ustrd&gt;PAYMENT FOR INVOICE INV-2026-0714&lt;/Ustrd&gt;&lt;/RmtInf&gt;
    &lt;/CdtTrfTxInf&gt;
  &lt;/FIToFICstmrCdtTrf&gt;
&lt;/Document&gt;</t>
  </si>
  <si>
    <t>IDEN.10</t>
  </si>
  <si>
    <t>Sàng lọc điện trường hợp dữ liệu xpath '/Document/FIToFICstmrCdtTrf/CdtTrfTxInf/Cdtr/Id/PrvtId/Othr/Id' điện pacs.008.001.08 trùng với giá trị trường 'CC/Thẻ CC' trong danh sách BCA</t>
  </si>
  <si>
    <t>&lt;?xml version="1.0" encoding="UTF-8"?&gt;
&lt;Document xmlns="urn:iso:std:iso:20022:tech:xsd:pacs.008.001.08"&gt;
  &lt;FIToFICstmrCdtTrf&gt;
    &lt;GrpHdr&gt;&lt;MsgId&gt;MSBIDEN10&lt;/MsgId&gt;&lt;CreDtTm&gt;2026-07-24T09:15:00&lt;/CreDtTm&gt;&lt;NbOfTxs&gt;1&lt;/NbOfTxs&gt;
      &lt;SttlmInf&gt;&lt;SttlmMtd&gt;INDA&lt;/SttlmMtd&gt;&lt;/SttlmInf&gt;&lt;/GrpHdr&gt;
    &lt;CdtTrfTxInf&gt;
      &lt;PmtId&gt;&lt;InstrId&gt;MSBIDEN10&lt;/InstrId&gt;&lt;EndToEndId&gt;MSBIDEN10&lt;/EndToEndId&gt;&lt;TxId&gt;MSBIDEN10&lt;/TxId&gt;&lt;/PmtId&gt;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&lt;DbtrAcct&gt;&lt;Id&gt;&lt;Othr&gt;&lt;Id&gt;0011000123456&lt;/Id&gt;&lt;/Othr&gt;&lt;/Id&gt;&lt;/DbtrAcct&gt;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&lt;Id&gt;&lt;PrvtId&gt;&lt;Othr&gt;&lt;Id&gt;75073007151&lt;/Id&gt;&lt;SchmeNm&gt;&lt;Cd&gt;NIDN&lt;/Cd&gt;&lt;/SchmeNm&gt;&lt;/Othr&gt;&lt;/PrvtId&gt;&lt;/Id&gt;&lt;/Cdtr&gt;
      &lt;CdtrAcct&gt;&lt;Id&gt;&lt;Othr&gt;&lt;Id&gt;7788990011&lt;/Id&gt;&lt;/Othr&gt;&lt;/Id&gt;&lt;/CdtrAcct&gt;
      &lt;RmtInf&gt;&lt;Ustrd&gt;PAYMENT FOR INVOICE INV-2026-0714&lt;/Ustrd&gt;&lt;/RmtInf&gt;
    &lt;/CdtTrfTxInf&gt;
  &lt;/FIToFICstmrCdtTrf&gt;
&lt;/Document&gt;</t>
  </si>
  <si>
    <t>2. Hệ thống sinh HIT tại xpath '/Document/FIToFICstmrCdtTrf/CdtTrfTxInf/Cdtr/Id/PrvtId/Othr/Id' qua webservice IDENTIFIER, khớp với danh sách "BCA"
Câu query kiểm tra kết quả (KET_QUA = Pass):
SELECT
    CASE
        WHEN COUNT(1) &gt;= 1 THEN
            'Pass'
        ELSE
            'Fail'
    END sql_check
FROM
    fsi_rt_xml_wls_response t
WHERE
    n_grp_msg_id = :n_grp_msg_id
    AND V_MATCHED_LIST_REC_ID = 'nhập lại'
    AND n_webservice_id = 2
    AND V_MATCHED_SUBLIST_NAME = 'BCA'
    AND regexp_replace(to_char(t.x_path), '\[\d+\]', '') LIKE '%'
        || regexp_replace('/Document/FIToFICstmrCdtTrf/CdtTrfTxInf/Cdtr/Id/PrvtId/Othr/Id', '\[\d+\]', '') || '%';</t>
  </si>
  <si>
    <t>IDEN.11</t>
  </si>
  <si>
    <t>Sàng lọc điện trường hợp dữ liệu xpath '/Document/FIToFICstmrCdtTrf/CdtTrfTxInf/Cdtr/Id/PrvtId/Othr/Id' điện pacs.008.001.08 trùng với giá trị trường 'CMND/CMT' trong danh sách BCA</t>
  </si>
  <si>
    <t>&lt;?xml version="1.0" encoding="UTF-8"?&gt;
&lt;Document xmlns="urn:iso:std:iso:20022:tech:xsd:pacs.008.001.08"&gt;
  &lt;FIToFICstmrCdtTrf&gt;
    &lt;GrpHdr&gt;&lt;MsgId&gt;MSBIDEN11&lt;/MsgId&gt;&lt;CreDtTm&gt;2026-07-24T09:15:00&lt;/CreDtTm&gt;&lt;NbOfTxs&gt;1&lt;/NbOfTxs&gt;
      &lt;SttlmInf&gt;&lt;SttlmMtd&gt;INDA&lt;/SttlmMtd&gt;&lt;/SttlmInf&gt;&lt;/GrpHdr&gt;
    &lt;CdtTrfTxInf&gt;
      &lt;PmtId&gt;&lt;InstrId&gt;MSBIDEN11&lt;/InstrId&gt;&lt;EndToEndId&gt;MSBIDEN11&lt;/EndToEndId&gt;&lt;TxId&gt;MSBIDEN11&lt;/TxId&gt;&lt;/PmtId&gt;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&lt;DbtrAcct&gt;&lt;Id&gt;&lt;Othr&gt;&lt;Id&gt;0011000123456&lt;/Id&gt;&lt;/Othr&gt;&lt;/Id&gt;&lt;/DbtrAcct&gt;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&lt;Id&gt;&lt;PrvtId&gt;&lt;Othr&gt;&lt;Id&gt;48054963&lt;/Id&gt;&lt;SchmeNm&gt;&lt;Cd&gt;NIDN&lt;/Cd&gt;&lt;/SchmeNm&gt;&lt;/Othr&gt;&lt;/PrvtId&gt;&lt;/Id&gt;&lt;/Cdtr&gt;
      &lt;CdtrAcct&gt;&lt;Id&gt;&lt;Othr&gt;&lt;Id&gt;7788990011&lt;/Id&gt;&lt;/Othr&gt;&lt;/Id&gt;&lt;/CdtrAcct&gt;
      &lt;RmtInf&gt;&lt;Ustrd&gt;PAYMENT FOR INVOICE INV-2026-0714&lt;/Ustrd&gt;&lt;/RmtInf&gt;
    &lt;/CdtTrfTxInf&gt;
  &lt;/FIToFICstmrCdtTrf&gt;
&lt;/Document&gt;</t>
  </si>
  <si>
    <t>Webservice Country and City</t>
  </si>
  <si>
    <t>COUNTRY.01</t>
  </si>
  <si>
    <t>Sàng lọc điện trường hợp dữ liệu xpath '/Document/FIToFICstmrCdtTrf/GrpHdr/InstgAgt/FinInstnId/PstlAdr/Ctry' điện pacs.008.001.08 trùng với giá trị trường 'Mã quốc gia' trong danh sách Quốc gia Blacklisted Country</t>
  </si>
  <si>
    <t>1. Đẩy giao dịch vào API Post Message với trường thông tin '/Document/FIToFICstmrCdtTrf/GrpHdr/InstgAgt/FinInstnId/PstlAdr/Ctry' điện pacs.008.001.08 có dữ liệu nằm trong các danh sách theo dõi 
&lt;Link URL hệ thống AML ở môi trường SIT&gt;
Path: transaction-screening/v1/transaction-screening
Method: POST
Request Header:
Authorization: Basic Auth
(Username and password to login to application)
Content-Type: text/plain
Accept: */*
Request Body: cột Test Datas
2. Kiểm tra thông tin Event của giao dịch theo đường dẫn Financial Services Analytical Applications Transactions Filtering &gt; Financial services Sanctions Pack &gt; Transaction Filtering Alert List 
Chọn Filter, nhập thông tin tìm kiếm theo AlertID, nhấn &lt;Search&gt;
Click mã AlertID và kiểm tra các thông tin
Hoặc kiểm tra các thông tin trong file kết quả truy vấn Database</t>
  </si>
  <si>
    <t>&lt;?xml version="1.0" encoding="UTF-8"?&gt;
&lt;Document xmlns="urn:iso:std:iso:20022:tech:xsd:pacs.008.001.08"&gt;
  &lt;FIToFICstmrCdtTrf&gt;
    &lt;GrpHdr&gt;&lt;MsgId&gt;MSBCOUNTRY01&lt;/MsgId&gt;&lt;CreDtTm&gt;2026-07-24T09:15:00&lt;/CreDtTm&gt;&lt;NbOfTxs&gt;1&lt;/NbOfTxs&gt;
      &lt;SttlmInf&gt;&lt;SttlmMtd&gt;INDA&lt;/SttlmMtd&gt;&lt;/SttlmInf&gt;
      &lt;InstgAgt&gt;&lt;FinInstnId&gt;&lt;PstlAdr&gt;&lt;Ctry&gt;IR&lt;/Ctry&gt;&lt;/PstlAdr&gt;&lt;/FinInstnId&gt;&lt;/InstgAgt&gt;&lt;/GrpHdr&gt;
    &lt;CdtTrfTxInf&gt;
      &lt;PmtId&gt;&lt;InstrId&gt;MSBCOUNTRY01&lt;/InstrId&gt;&lt;EndToEndId&gt;MSBCOUNTRY01&lt;/EndToEndId&gt;&lt;TxId&gt;MSBCOUNTRY01&lt;/TxId&gt;&lt;/PmtId&gt;
      &lt;IntrBkSttlmAmt Ccy="USD"&gt;25000.00&lt;/IntrBkSttlmAmt&gt;
      &lt;IntrBkSttlmDt&gt;2026-07-24&lt;/IntrBkSttlmDt&gt;&lt;ChrgBr&gt;SHAR&lt;/ChrgBr&gt;
      &lt;Dbtr&gt;&lt;Nm&gt;VIET THANH IMPORT EXPORT JSC&lt;/Nm&gt;&lt;PstlAdr&gt;&lt;TwnNm&gt;HANOI&lt;/TwnNm&gt;&lt;Ctry&gt;VN&lt;/Ctry&gt;&lt;/PstlAdr&gt;&lt;/Dbtr&gt;
      &lt;DbtrAcct&gt;&lt;Id&gt;&lt;Othr&gt;&lt;Id&gt;0011000123456&lt;/Id&gt;&lt;/Othr&gt;&lt;/Id&gt;&lt;/DbtrAcct&gt;
      &lt;DbtrAgt&gt;&lt;FinInstnId&gt;&lt;BICFI&gt;MSCBVNVX&lt;/BICFI&gt;&lt;/FinInstnId&gt;&lt;/DbtrAgt&gt;
      &lt;CdtrAgt&gt;&lt;FinInstnId&gt;&lt;BICFI&gt;SCBLSGSG&lt;/BICFI&gt;&lt;/FinInstnId&gt;&lt;/CdtrAgt&gt;
      &lt;Cdtr&gt;&lt;Nm&gt;ORIENT PACIFIC TRADING PTE LTD&lt;/Nm&gt;
        &lt;PstlAdr&gt;&lt;TwnNm&gt;SINGAPORE&lt;/TwnNm&gt;&lt;Ctry&gt;SG&lt;/Ctry&gt;&lt;/PstlAdr&gt;
        &lt;Id&gt;&lt;PrvtId&gt;&lt;Othr&gt;&lt;Id&gt;48054963&lt;/Id&gt;&lt;SchmeNm&gt;&lt;Cd&gt;NIDN&lt;/Cd&gt;&lt;/SchmeNm&gt;&lt;/Othr&gt;&lt;/PrvtId&gt;&lt;/Id&gt;&lt;/Cdtr&gt;
      &lt;CdtrAcct&gt;&lt;Id&gt;&lt;Othr&gt;&lt;Id&gt;7788990011&lt;/Id&gt;&lt;/Othr&gt;&lt;/Id&gt;&lt;/CdtrAcct&gt;
      &lt;RmtInf&gt;&lt;Ustrd&gt;PAYMENT FOR INVOICE INV-2026-0714&lt;/Ustrd&gt;&lt;/RmtInf&gt;
    &lt;/CdtTrfTxInf&gt;
  &lt;/FIToFICstmrCdtTrf&gt;
&lt;/Document&gt;</t>
  </si>
  <si>
    <t>2. Hệ thống sinh HIT tại tag 51A qua webservice COUNTRY AND CITY, khớp với danh sách "Knock-Out"
Câu query kiểm tra kết quả (KET_QUA = Pass):
SELECT
    CASE
        WHEN COUNT(1) &gt;= 1 THEN
            'Pass'
        ELSE
            'Fail'
    END sql_check
FROM
    fsi_rt_xml_wls_response t
WHERE
    n_grp_msg_id = :n_grp_msg_id
    AND V_MATCHED_LIST_REC_ID = 'nhập lại'
    AND n_webservice_id = 3
    AND V_MATCHED_LIST_NAME = 'Blacklisted Country'
    AND regexp_replace(to_char(t.x_path), '\[\d+\]', '') LIKE '%'
        || regexp_replace('/Document/FIToFICstmrCdtTrf/GrpHdr/InstgAgt/FinInstnId/PstlAdr/Ctry', '\[\d+\]', '') || '%';</t>
  </si>
  <si>
    <t>Webservice Narrative</t>
  </si>
  <si>
    <t>NARRATIVE.01</t>
  </si>
  <si>
    <t>Sàng lọc điện trường hợp dữ liệu tag '75' điện MT195 trùng với giá trị trường 'LAST NAME' trong danh sách WC</t>
  </si>
  <si>
    <t>1. Đẩy giao dịch vào API Post Message với trường thông tin '75' điện MT195 có dữ liệu nằm trong các danh sách theo dõi 
&lt;Link URL hệ thống AML ở môi trường SIT&gt;
Path: transaction-screening/v1/transaction-screening
Method: POST
Request Header:
Authorization: Basic Auth
(Username and password to login to application)
Content-Type: text/plain
Accept: */*
Request Body: cột Test Datas
2. Kiểm tra thông tin Event của giao dịch theo đường dẫn Financial Services Analytical Applications Transactions Filtering &gt; Financial services Sanctions Pack &gt; Transaction Filtering Alert List 
Chọn Filter, nhập thông tin tìm kiếm theo AlertID, nhấn &lt;Search&gt;
Click mã AlertID và kiểm tra các thông tin
Hoặc kiểm tra các thông tin trong file kết quả truy vấn Database</t>
  </si>
  <si>
    <t>{1:F01BFICCUHHAXXX0000000000}
{2:I195BFICCUHHXXXXN}
{3:{108:MT195TEST0001}}
{4:
:20:QRY2607240001
:21:NONREF
:75:SUMMIT EMBER
-}{5:{MAC:00000000}{CHK:1A2B3C4D5E6F}}</t>
  </si>
  <si>
    <t>2. Hệ thống sinh HIT tại tag 75 qua webservice NARRATIVE, khớp với danh sách WC
Câu query kiểm tra kết quả (KET_QUA = Pass):
SELECT
    CASE
        WHEN COUNT(1) &gt;= 1 THEN
            'Pass'
        ELSE
            'Fail'
    END sql_check
FROM
    fsi_rt_al_wls_response t
WHERE
    n_grp_msg_id = :n_grp_msg_id
    AND n_webservice_id = 4
    AND v_tag_name = '75'
    AND v_matched_list_rec_id = 'nhập lại'
    AND V_MATCHED_LIST_NAME = 'WC';</t>
  </si>
  <si>
    <t>NARRATIVE.01.a</t>
  </si>
  <si>
    <t>Sàng lọc điện trường hợp dữ liệu tag '75' điện MT195 trùng với giá trị trường 'Họ và tên' trong danh sách AML</t>
  </si>
  <si>
    <t>{1:F01BFICCUHHAXXX0000000000}
{2:I195BFICCUHHXXXXN}
{3:{108:MT195TEST0001}}
{4:
:20:QRY2607240002
:21:NONREF
:75:TO THI TUYET MAI
-}{5:{MAC:00000000}{CHK:1A2B3C4D5E6F}}</t>
  </si>
  <si>
    <t>2. Hệ thống sinh HIT tại tag 75 qua webservice NARRATIVE, khớp với danh sách AML
Câu query kiểm tra kết quả (KET_QUA = Pass):
SELECT
    CASE
        WHEN COUNT(1) &gt;= 1 THEN
            'Pass'
        ELSE
            'Fail'
    END sql_check
FROM
    fsi_rt_al_wls_response t
WHERE
    n_grp_msg_id = :n_grp_msg_id
    AND n_webservice_id = 4
    AND v_tag_name = '75'
    AND v_matched_list_rec_id = 'nhập lại'
    AND V_MATCHED_SUBLIST_NAME = 'AML';</t>
  </si>
  <si>
    <t>NARRATIVE.01.b</t>
  </si>
  <si>
    <t>Sàng lọc điện trường hợp dữ liệu tag '75' điện MT195 trùng với giá trị trường 'Họ và tên' trong danh sách BCA</t>
  </si>
  <si>
    <t>{1:F01BFICCUHHAXXX0000000000}
{2:I195BFICCUHHXXXXN}
{3:{108:MT195TEST0001}}
{4:
:20:QRY2607240003
:21:NONREF
:75:HOANG THI TRANG
-}{5:{MAC:00000000}{CHK:1A2B3C4D5E6F}}</t>
  </si>
  <si>
    <t>2. Hệ thống sinh HIT tại tag 75 qua webservice NARRATIVE, khớp với danh sách BCA
SELECT
    CASE
        WHEN COUNT(1) &gt;= 1 THEN
            'Pass'
        ELSE
            'Fail'
    END sql_check
FROM
    fsi_rt_al_wls_response t
WHERE
    n_grp_msg_id = :n_grp_msg_id
    AND n_webservice_id = 4
    AND v_tag_name = '75'
    AND v_matched_list_rec_id = 'nhập lại'
    AND V_MATCHED_SUBLIST_NAME = 'BCA';</t>
  </si>
  <si>
    <t>NARRATIVE.02</t>
  </si>
  <si>
    <t>Sàng lọc điện trường hợp dữ liệu tag '75' điện MT195 trùng với giá trị trường 'ALIASES' trong danh sách WC</t>
  </si>
  <si>
    <t>{1:F01BFICCUHHAXXX0000000000}
{2:I195BFICCUHHXXXXN}
{3:{108:MT195TEST0002}}
{4:
:20:QRY2607240001
:21:NONREF
:75:DRIFTWOOD HORIZON
-}{5:{MAC:00000000}{CHK:1A2B3C4D5E6F}}</t>
  </si>
  <si>
    <t>NARRATIVE.02.a</t>
  </si>
  <si>
    <t>Sàng lọc điện trường hợp dữ liệu tag '75' điện MT195 trùng với giá trị trường 'Tên bí danh' trong danh sách AML</t>
  </si>
  <si>
    <t>{1:F01BFICCUHHAXXX0000000000}
{2:I195BFICCUHHXXXXN}
{3:{108:MT195TEST0001}}
{4:
:20:QRY2607240001
:21:NONREF
:75:BA LUN
-}{5:{MAC:00000000}{CHK:1A2B3C4D5E6F}}</t>
  </si>
  <si>
    <t>NARRATIVE.02.b</t>
  </si>
  <si>
    <t>Sàng lọc điện trường hợp dữ liệu tag '75' điện MT195 trùng với giá trị trường 'Tên bí danh' trong danh sách BCA</t>
  </si>
  <si>
    <t>{1:F01BFICCUHHAXXX0000000000}
{2:I195BFICCUHHXXXXN}
{3:{108:MT195TEST0001}}
{4:
:20:QRY2607240001
:21:NONREF
:75:TU RAU
-}{5:{MAC:00000000}{CHK:1A2B3C4D5E6F}}</t>
  </si>
  <si>
    <t>NARRATIVE.03</t>
  </si>
  <si>
    <t>Sàng lọc điện trường hợp dữ liệu tag '75' điện MT195 trùng với giá trị trường 'LOW QUALITY ALIASES' trong danh sách WC</t>
  </si>
  <si>
    <t>{1:F01BFICCUHHAXXX0000000000}
{2:I195BFICCUHHXXXXN}
{3:{108:MT195TEST0003}}
{4:
:20:QRY2607240001
:21:NONREF
:75:IRON PINE
-}{5:{MAC:00000000}{CHK:1A2B3C4D5E6F}}</t>
  </si>
  <si>
    <t>NARRATIVE.04</t>
  </si>
  <si>
    <t>Sàng lọc điện trường hợp dữ liệu tag '75' điện MT195 trùng với giá trị trường 'ALTERNATIVE SPELLING' trong danh sách WC</t>
  </si>
  <si>
    <t>{1:F01BFICCUHHAXXX0000000000}
{2:I195BFICCUHHXXXXN}
{3:{108:MT195TEST0004}}
{4:
:20:QRY2607240001
:21:NONREF
:75:GREEN RIPPLE
-}{5:{MAC:00000000}{CHK:1A2B3C4D5E6F}}</t>
  </si>
  <si>
    <t>NARRATIVE.05</t>
  </si>
  <si>
    <t>Sàng lọc điện trường hợp dữ liệu tag '75' điện MT195 trùng với giá trị trường 'PASSPORTS' trong danh sách WC</t>
  </si>
  <si>
    <t>{1:F01BFICCUHHAXXX0000000000}
{2:I195BFICCUHHXXXXN}
{3:{108:MT195TEST0005}}
{4:
:20:QRY2607240001
:21:NONREF
:75:TST1234567
-}{5:{MAC:00000000}{CHK:1A2B3C4D5E6F}}</t>
  </si>
  <si>
    <t>NARRATIVE.06</t>
  </si>
  <si>
    <t>Sàng lọc điện trường hợp dữ liệu tag '75' điện MT195 trùng với giá trị trường 'SSN' trong danh sách WC</t>
  </si>
  <si>
    <t>{1:F01BFICCUHHAXXX0000000000}
{2:I195BFICCUHHXXXXN}
{3:{108:MT195TEST0006}}
{4:
:20:QRY2607240001
:21:NONREF
:75:123-45-6789
-}{5:{MAC:00000000}{CHK:1A2B3C4D5E6F}}</t>
  </si>
  <si>
    <t>Cấu hình filter EDQ bỏ chuẩn hóa để quét được cả dấu "-"</t>
  </si>
  <si>
    <t>NARRATIVE.07</t>
  </si>
  <si>
    <t>Sàng lọc điện trường hợp dữ liệu tag '75' điện MT195 trùng với giá trị trường 'IDENTIFICATION NUMBERS' trong danh sách WC</t>
  </si>
  <si>
    <t>{1:F01BFICCUHHAXXX0000000000}
{2:I195BFICCUHHXXXXN}
{3:{108:MT195TEST0007}}
{4:
:20:QRY2607240001
:21:NONREF
:75:6001185110086
-}{5:{MAC:00000000}{CHK:1A2B3C4D5E6F}}</t>
  </si>
  <si>
    <t>NARRATIVE.08</t>
  </si>
  <si>
    <t>Sàng lọc điện trường hợp dữ liệu tag '75' điện MT195 trùng với giá trị trường 'CC/Thẻ CC' trong danh sách AML</t>
  </si>
  <si>
    <t>{1:F01BFICCUHHAXXX0000000000}
{2:I195BFICCUHHXXXXN}
{3:{108:MT195TEST0008}}
{4:
:20:QRY2607240001
:21:NONREF
:75:079202220497
-}{5:{MAC:00000000}{CHK:1A2B3C4D5E6F}}</t>
  </si>
  <si>
    <t>2. Hệ thống sinh HIT tại tag 75 qua webservice NARRATIVE, khớp với danh sách "AML"
Câu query kiểm tra kết quả (KET_QUA = Pass):
SELECT
    CASE
        WHEN COUNT(1) &gt;= 1 THEN
            'Pass'
        ELSE
            'Fail'
    END sql_check
FROM
    fsi_rt_al_wls_response t
WHERE
    n_grp_msg_id = :n_grp_msg_id
    AND n_webservice_id = 4
    AND v_tag_name = '75'
    AND v_matched_list_rec_id = 'nhập lại'
    AND V_MATCHED_SUBLIST_NAME = 'AML';</t>
  </si>
  <si>
    <t>NARRATIVE.09</t>
  </si>
  <si>
    <t>Sàng lọc điện trường hợp dữ liệu tag '75' điện MT195 trùng với giá trị trường 'CMND/CMT' trong danh sách AML</t>
  </si>
  <si>
    <t>{1:F01BFICCUHHAXXX0000000000}
{2:I195BFICCUHHXXXXN}
{3:{108:MT195TEST0009}}
{4:
:20:QRY2607240001
:21:NONREF
:75:025727930
-}{5:{MAC:00000000}{CHK:1A2B3C4D5E6F}}</t>
  </si>
  <si>
    <t>NARRATIVE.10</t>
  </si>
  <si>
    <t>Sàng lọc điện trường hợp dữ liệu tag '75' điện MT195 trùng với giá trị trường 'GPTL/MSDN/MST' trong danh sách AML</t>
  </si>
  <si>
    <t>{1:F01BFICCUHHAXXX0000000000}
{2:I195BFICCUHHXXXXN}
{3:{108:MT195TEST0010}}
{4:
:20:QRY2607240001
:21:NONREF
:75:9473331817
-}{5:{MAC:00000000}{CHK:1A2B3C4D5E6F}}</t>
  </si>
  <si>
    <t>NARRATIVE.11</t>
  </si>
  <si>
    <t>Sàng lọc điện trường hợp dữ liệu tag '75' điện MT195 trùng với giá trị trường 'DKKD' trong danh sách AML</t>
  </si>
  <si>
    <t>{1:F01BFICCUHHAXXX0000000000}
{2:I195BFICCUHHXXXXN}
{3:{108:MT195TEST0011}}
{4:
:20:QRY2607240001
:21:NONREF
:75:2817292918
-}{5:{MAC:00000000}{CHK:1A2B3C4D5E6F}}</t>
  </si>
  <si>
    <t>NARRATIVE.12</t>
  </si>
  <si>
    <t>Sàng lọc điện trường hợp dữ liệu tag '75' điện MT195 trùng với giá trị trường 'GTTT khác 1' trong danh sách AML</t>
  </si>
  <si>
    <t>{1:F01BFICCUHHAXXX0000000000}
{2:I195BFICCUHHXXXXN}
{3:{108:MT195TEST0012}}
{4:
:20:QRY2607240001
:21:NONREF
:75:HC96865049
-}{5:{MAC:00000000}{CHK:1A2B3C4D5E6F}}</t>
  </si>
  <si>
    <t>NARRATIVE.13</t>
  </si>
  <si>
    <t>Sàng lọc điện trường hợp dữ liệu tag '75' điện MT195 trùng với giá trị trường 'GTTT khác 2' trong danh sách AML</t>
  </si>
  <si>
    <t>{1:F01BFICCUHHAXXX0000000000}
{2:I195BFICCUHHXXXXN}
{3:{108:MT195TEST0013}}
{4:
:20:QRY2607240001
:21:NONREF
:75:HC62779627
-}{5:{MAC:00000000}{CHK:1A2B3C4D5E6F}}</t>
  </si>
  <si>
    <t>NARRATIVE.14</t>
  </si>
  <si>
    <t>Sàng lọc điện trường hợp dữ liệu tag '75' điện MT195 trùng với giá trị trường 'CC/Thẻ CC' trong danh sách BCA</t>
  </si>
  <si>
    <t>{1:F01BFICCUHHAXXX0000000000}
{2:I195BFICCUHHXXXXN}
{3:{108:MT195TEST0014}}
{4:
:20:QRY2607240001
:21:NONREF
:75:48175586963
-}{5:{MAC:00000000}{CHK:1A2B3C4D5E6F}}</t>
  </si>
  <si>
    <t>2. Hệ thống sinh HIT tại tag 75 qua webservice NARRATIVE, khớp với danh sách "BCA"
Câu query kiểm tra kết quả (KET_QUA = Pass):
SELECT
    CASE
        WHEN COUNT(1) &gt;= 1 THEN
            'Pass'
        ELSE
            'Fail'
    END sql_check
FROM
    fsi_rt_al_wls_response t
WHERE
    n_grp_msg_id = :n_grp_msg_id
    AND n_webservice_id = 4
    AND v_tag_name = '75'
    AND v_matched_list_rec_id = 'nhập lại'
    AND V_MATCHED_SUBLIST_NAME = 'BCA';</t>
  </si>
  <si>
    <t>NARRATIVE.15</t>
  </si>
  <si>
    <t>Sàng lọc điện trường hợp dữ liệu tag '75' điện MT195 trùng với giá trị trường 'CMND/CMT' trong danh sách BCA</t>
  </si>
  <si>
    <t>{1:F01BFICCUHHAXXX0000000000}
{2:I195BFICCUHHXXXXN}
{3:{108:MT195TEST0015}}
{4:
:20:QRY2607240001
:21:NONREF
:75:27187745532
-}{5:{MAC:00000000}{CHK:1A2B3C4D5E6F}}</t>
  </si>
  <si>
    <t>NARRATIVE.16</t>
  </si>
  <si>
    <t>Sàng lọc điện trường hợp dữ liệu tag '75' điện MT195 trùng với giá trị trường 'GTTT khác 1' trong danh sách BCA</t>
  </si>
  <si>
    <t>{1:F01BFICCUHHAXXX0000000000}
{2:I195BFICCUHHXXXXN}
{3:{108:MT195TEST0016}}
{4:
:20:QRY2607240001
:21:NONREF
:75:HC26533353
-}{5:{MAC:00000000}{CHK:1A2B3C4D5E6F}}</t>
  </si>
  <si>
    <t>NARRATIVE.17</t>
  </si>
  <si>
    <t>Sàng lọc điện trường hợp dữ liệu tag '75' điện MT195 trùng với giá trị trường 'GTTT khác 2' trong danh sách BCA</t>
  </si>
  <si>
    <t>{1:F01BFICCUHHAXXX0000000000}
{2:I195BFICCUHHXXXXN}
{3:{108:MT195TEST0017}}
{4:
:20:QRY2607240001
:21:NONREF
:75:HC26533353
-}{5:{MAC:00000000}{CHK:1A2B3C4D5E6F}}</t>
  </si>
  <si>
    <t>NARRATIVE.18</t>
  </si>
  <si>
    <t>Sàng lọc điện trường hợp dữ liệu tag '75' điện MT195 trùng với giá trị trường 'Stop Keywords' trong danh sách Stop Keywords</t>
  </si>
  <si>
    <t>{1:F01BFICCUHHAXXX0000000000}
{2:I195BFICCUHHXXXXN}
{3:{108:MT195TEST0018}}
{4:
:20:QRY2607240001
:21:NONREF
:75:SUMMIT EMBER
-}{5:{MAC:00000000}{CHK:1A2B3C4D5E6F}}</t>
  </si>
  <si>
    <t>2. Hệ thống sinh HIT tại tag 75 qua webservice NARRATIVE, khớp với danh sách "Stop Keywords"
Câu query kiểm tra kết quả (KET_QUA = Pass):
SELECT
    CASE
        WHEN COUNT(1) &gt;= 1 THEN
            'Pass'
        ELSE
            'Fail'
    END sql_check
FROM
    fsi_rt_al_wls_response t
WHERE
    n_grp_msg_id = :n_grp_msg_id
    AND n_webservice_id = 4
    AND v_tag_name = '75'
    AND v_matched_list_rec_id = 'nhập lại'
    AND V_MATCHED_LIST_NAME = 'STK';</t>
  </si>
  <si>
    <t>Webservice Port</t>
  </si>
  <si>
    <t>PORT.01</t>
  </si>
  <si>
    <t>Sàng lọc điện trường hợp dữ liệu tag"44E" điện MT700 trùng với giá trị trường 'LAST NAME' trong danh sách WC loại chủ thể Port loại chủ thể Port</t>
  </si>
  <si>
    <t>1. Đẩy giao dịch vào API Post Message với trường thông tin '44E' điện MT700 có dữ liệu nằm trong các danh sách theo dõi 
&lt;Link URL hệ thống AML ở môi trường SIT&gt;
Path: transaction-screening/v1/transaction-screening
Method: POST
Request Header:
Authorization: Basic Auth
(Username and password to login to application)
Content-Type: text/plain
Accept: */*
Request Body: cột Test Datas
2. Kiểm tra thông tin Event của giao dịch theo đường dẫn Financial Services Analytical Applications Transactions Filtering &gt; Financial services Sanctions Pack &gt; Transaction Filtering Alert List 
Chọn Filter, nhập thông tin tìm kiếm theo AlertID, nhấn &lt;Search&gt;
Click mã AlertID và kiểm tra các thông tin
Hoặc kiểm tra các thông tin trong file kết quả truy vấn Database</t>
  </si>
  <si>
    <r>
      <rPr>
        <sz val="9"/>
        <color rgb="FF000000"/>
        <rFont val="Courier New"/>
      </rPr>
      <t>{1:F01MSCBVNVXAXXX0000000000}{2:I700SCBLSGSGXXXXN}{4:
:27:1/1
:40A:IRREVOCABLE
:20:LC2607241001
:31C:260724
:40E:UCP LATEST VERSION
:31D:261024HANOI VIETNAM
:50:VIET THANH IMPORT EXPORT JSC
36 HOANG CAU STREET
HANOI, VIETNAM
:59:ORIENT PACIFIC TRADING PTE LTD
12 MARINA BOULEVARD
SINGAPORE
:32B:USD500000,00
:41A:SCBLSGSGXXX
BY NEGOTIATION
:44E:</t>
    </r>
    <r>
      <rPr>
        <sz val="9"/>
        <color rgb="FFFF0000"/>
        <rFont val="Courier New"/>
      </rPr>
      <t xml:space="preserve">SUMMIT EMBER
</t>
    </r>
    <r>
      <rPr>
        <sz val="9"/>
        <color rgb="FF000000"/>
        <rFont val="Courier New"/>
      </rPr>
      <t>:45A:ELECTRONIC COMPONENTS AS PER PROFORMA INVOICE PI-2026-114
:46A:+SIGNED COMMERCIAL INVOICE IN 3 ORIGINALS
:49:WITHOUT
-}</t>
    </r>
  </si>
  <si>
    <t>2. Hệ thống sinh HIT tại tag 44E qua webservice PORT, khớp với danh sách WC loại chủ thể Port loại chủ thể Port
Câu query kiểm tra kết quả (KET_QUA = Pass):
SELECT
    CASE
        WHEN COUNT(1) &gt;= 1 THEN
            'Pass'
        ELSE
            'Fail'
    END sql_check
FROM
    fsi_rt_al_wls_response t
WHERE
    n_grp_msg_id = :n_grp_msg_id
    AND n_webservice_id = 5
    AND v_tag_name = '44E'
    AND v_matched_list_rec_id = 'nhập lại'
    AND V_MATCHED_LIST_NAME = 'Sanctioned Port';</t>
  </si>
  <si>
    <t>PORT.02</t>
  </si>
  <si>
    <t>Sàng lọc điện trường hợp dữ liệu tag"44E" điện MT700 trùng với giá trị trường 'ALIASES' trong danh sách WC loại chủ thể Port</t>
  </si>
  <si>
    <r>
      <rPr>
        <sz val="9"/>
        <color rgb="FF000000"/>
        <rFont val="Courier New"/>
      </rPr>
      <t>{1:F01MSCBVNVXAXXX0000000000}{2:I700SCBLSGSGXXXXN}{4:
:27:1/1
:40A:IRREVOCABLE
:20:LC2607241002
:31C:260724
:40E:UCP LATEST VERSION
:31D:261024HANOI VIETNAM
:50:VIET THANH IMPORT EXPORT JSC
36 HOANG CAU STREET
HANOI, VIETNAM
:59:ORIENT PACIFIC TRADING PTE LTD
12 MARINA BOULEVARD
SINGAPORE
:32B:USD500000,00
:41A:SCBLSGSGXXX
BY NEGOTIATION
:44E:</t>
    </r>
    <r>
      <rPr>
        <sz val="9"/>
        <color rgb="FFFF0000"/>
        <rFont val="Courier New"/>
      </rPr>
      <t xml:space="preserve">DRIFTWOOD HORIZON
</t>
    </r>
    <r>
      <rPr>
        <sz val="9"/>
        <color rgb="FF000000"/>
        <rFont val="Courier New"/>
      </rPr>
      <t>:45A:ELECTRONIC COMPONENTS AS PER PROFORMA INVOICE PI-2026-114
:46A:+SIGNED COMMERCIAL INVOICE IN 3 ORIGINALS
:49:WITHOUT
-}</t>
    </r>
  </si>
  <si>
    <t>2. Hệ thống sinh HIT tại tag 44E qua webservice PORT, khớp với danh sách WC loại chủ thể Port
Câu query kiểm tra kết quả (KET_QUA = Pass):
SELECT
    CASE
        WHEN COUNT(1) &gt;= 1 THEN
            'Pass'
        ELSE
            'Fail'
    END sql_check
FROM
    fsi_rt_al_wls_response t
WHERE
    n_grp_msg_id = :n_grp_msg_id
    AND n_webservice_id = 5
    AND v_tag_name = '44E'
    AND v_matched_list_rec_id = 'nhập lại'
    AND V_MATCHED_LIST_NAME = 'Sanctioned Port';</t>
  </si>
  <si>
    <t>PORT.03</t>
  </si>
  <si>
    <t>Sàng lọc điện trường hợp dữ liệu tag"44E" điện MT700 trùng với giá trị trường 'LOW QUALITY ALIASES' trong danh sách WC loại chủ thể Port</t>
  </si>
  <si>
    <r>
      <rPr>
        <sz val="9"/>
        <color rgb="FF000000"/>
        <rFont val="Courier New"/>
      </rPr>
      <t>{1:F01MSCBVNVXAXXX0000000000}{2:I700SCBLSGSGXXXXN}{4:
:27:1/1
:40A:IRREVOCABLE
:20:LC2607241003
:31C:260724
:40E:UCP LATEST VERSION
:31D:261024HANOI VIETNAM
:50:VIET THANH IMPORT EXPORT JSC
36 HOANG CAU STREET
HANOI
VN
:59:ORIENT PACIFIC TRADING PTE LTD
12 MARINA BOULEVARD
SINGAPORE
SG
:32B:USD500000,00
:41A:SCBLSGSGXXX
BY NEGOTIATION
:44E:</t>
    </r>
    <r>
      <rPr>
        <sz val="9"/>
        <color rgb="FFFF0000"/>
        <rFont val="Courier New"/>
      </rPr>
      <t xml:space="preserve">GREEN RIPPLE
</t>
    </r>
    <r>
      <rPr>
        <sz val="9"/>
        <color rgb="FF000000"/>
        <rFont val="Courier New"/>
      </rPr>
      <t>:45A:ELECTRONIC COMPONENTS AS PER PROFORMA INVOICE PI-2026-114
:46A:+SIGNED COMMERCIAL INVOICE IN 3 ORIGINALS
:49:WITHOUT
-}</t>
    </r>
  </si>
  <si>
    <t>PORT.04</t>
  </si>
  <si>
    <t>Sàng lọc điện trường hợp dữ liệu tag"44E" điện MT700 trùng với giá trị trường 'ALTERNATIVE SPELLING' trong danh sách WC loại chủ thể Port</t>
  </si>
  <si>
    <t>{1:F01MSCBVNVXAXXX0000000000}{2:I700SCBLSGSGXXXXN}{4:
:27:1/1
:40A:IRREVOCABLE
:20:LC2607241004
:31C:260724
:40E:UCP LATEST VERSION
:31D:261024HANOI VIETNAM
:50:VIET THANH IMPORT EXPORT JSC
36 HOANG CAU STREET
HANOI
VN
:59:ORIENT PACIFIC TRADING PTE LTD
12 MARINA BOULEVARD
SINGAPORE
SG
:32B:USD500000,00
:41A:SCBLSGSGXXX
BY NEGOTIATION
:44E:IRON PINE
:45A:ELECTRONIC COMPONENTS AS PER PROFORMA INVOICE PI-2026-114
:46A:+SIGNED COMMERCIAL INVOICE IN 3 ORIGINALS
:49:WITHOUT
-}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</si>
</sst>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d\-mmm\-yy;@"/>
    <numFmt numFmtId="165" formatCode="[$-409]0"/>
    <numFmt numFmtId="166" formatCode="0.0"/>
    <numFmt numFmtId="167" formatCode="[$-409]d\-mmm\-yy;@"/>
    <numFmt numFmtId="168" formatCode="d\-mmm\-yy;@"/>
  </numFmts>
  <fonts count="47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明朝"/>
      <family val="1"/>
      <charset val="128"/>
    </font>
    <font>
      <sz val="11"/>
      <name val="Tahoma"/>
      <family val="2"/>
      <charset val="1"/>
    </font>
    <font>
      <sz val="10"/>
      <name val="Tahoma"/>
      <family val="2"/>
      <charset val="1"/>
    </font>
    <font>
      <b/>
      <sz val="9"/>
      <color rgb="FF333399"/>
      <name val="Tahoma"/>
      <family val="2"/>
      <charset val="1"/>
    </font>
    <font>
      <b/>
      <sz val="9"/>
      <name val="Tahoma"/>
      <family val="2"/>
      <charset val="1"/>
    </font>
    <font>
      <b/>
      <sz val="26"/>
      <color rgb="FF008000"/>
      <name val="Tahoma"/>
      <family val="2"/>
      <charset val="1"/>
    </font>
    <font>
      <b/>
      <sz val="26"/>
      <name val="Tahoma"/>
      <family val="2"/>
      <charset val="1"/>
    </font>
    <font>
      <b/>
      <sz val="36"/>
      <color rgb="FF1F497D"/>
      <name val="Arial"/>
      <family val="2"/>
      <charset val="1"/>
    </font>
    <font>
      <b/>
      <sz val="9"/>
      <color rgb="FF0000FF"/>
      <name val="Tahoma"/>
      <family val="2"/>
      <charset val="1"/>
    </font>
    <font>
      <b/>
      <sz val="10"/>
      <color rgb="FF1F497D"/>
      <name val="Arial"/>
      <family val="2"/>
      <charset val="1"/>
    </font>
    <font>
      <b/>
      <sz val="10"/>
      <color rgb="FF44546A"/>
      <name val="Arial"/>
      <family val="2"/>
      <charset val="1"/>
    </font>
    <font>
      <sz val="10"/>
      <color rgb="FF1F497D"/>
      <name val="Arial"/>
      <family val="2"/>
      <charset val="1"/>
    </font>
    <font>
      <sz val="9"/>
      <color rgb="FF0000FF"/>
      <name val="Tahoma"/>
      <family val="2"/>
      <charset val="1"/>
    </font>
    <font>
      <sz val="9"/>
      <name val="Tahoma"/>
      <family val="2"/>
      <charset val="1"/>
    </font>
    <font>
      <sz val="10"/>
      <name val="Arial"/>
      <family val="2"/>
      <charset val="1"/>
    </font>
    <font>
      <b/>
      <sz val="14"/>
      <color rgb="FF1F497D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FFFFFF"/>
      <name val="Arial"/>
      <family val="2"/>
      <charset val="1"/>
    </font>
    <font>
      <u/>
      <sz val="11"/>
      <color theme="1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  <charset val="1"/>
    </font>
    <font>
      <b/>
      <sz val="22"/>
      <name val="Arial"/>
      <family val="2"/>
      <charset val="1"/>
    </font>
    <font>
      <b/>
      <sz val="8"/>
      <name val="Arial"/>
      <family val="2"/>
      <charset val="1"/>
    </font>
    <font>
      <sz val="9"/>
      <color rgb="FF000000"/>
      <name val="Arial"/>
      <family val="2"/>
      <charset val="1"/>
    </font>
    <font>
      <sz val="9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8"/>
      <color rgb="FF000000"/>
      <name val="Arial"/>
      <family val="2"/>
      <charset val="1"/>
    </font>
    <font>
      <i/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1F497D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color theme="0"/>
      <name val="Times New Roman"/>
      <family val="1"/>
      <charset val="1"/>
    </font>
    <font>
      <b/>
      <sz val="12"/>
      <color rgb="FFFFFFFF"/>
      <name val="Times New Roman"/>
      <family val="1"/>
      <charset val="1"/>
    </font>
    <font>
      <sz val="11"/>
      <color theme="1"/>
      <name val="Times New Roman"/>
      <charset val="1"/>
    </font>
    <font>
      <sz val="11"/>
      <color theme="1"/>
      <name val="Times New Roman"/>
      <family val="1"/>
      <charset val="1"/>
    </font>
    <font>
      <sz val="9"/>
      <name val="Courier New"/>
      <family val="3"/>
      <charset val="1"/>
    </font>
    <font>
      <sz val="11"/>
      <color rgb="FFFF0000"/>
      <name val="Calibri"/>
      <family val="2"/>
      <charset val="1"/>
    </font>
    <font>
      <b/>
      <sz val="12"/>
      <color rgb="FF1F497D"/>
      <name val="Times New Roman"/>
      <family val="1"/>
    </font>
    <font>
      <sz val="9"/>
      <color rgb="FF000000"/>
      <name val="Courier New"/>
    </font>
    <font>
      <sz val="9"/>
      <color rgb="FFFF0000"/>
      <name val="Courier New"/>
    </font>
    <font>
      <sz val="9"/>
      <name val="Courier New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2E75B6"/>
        <bgColor rgb="FF2F5597"/>
      </patternFill>
    </fill>
    <fill>
      <patternFill patternType="solid">
        <fgColor rgb="FFF8CBAD"/>
        <bgColor rgb="FFFFE699"/>
      </patternFill>
    </fill>
    <fill>
      <patternFill patternType="solid">
        <fgColor rgb="FFA7D6E3"/>
        <bgColor rgb="FFBDD7EE"/>
      </patternFill>
    </fill>
    <fill>
      <patternFill patternType="solid">
        <fgColor rgb="FFBDD7EE"/>
        <bgColor rgb="FFA7D6E3"/>
      </patternFill>
    </fill>
    <fill>
      <patternFill patternType="solid">
        <fgColor rgb="FFB4C7E7"/>
        <bgColor rgb="FFBDD7EE"/>
      </patternFill>
    </fill>
    <fill>
      <patternFill patternType="solid">
        <fgColor rgb="FF2F5597"/>
        <bgColor rgb="FF1F497D"/>
      </patternFill>
    </fill>
    <fill>
      <patternFill patternType="solid">
        <fgColor rgb="FF7030A0"/>
        <bgColor rgb="FF993366"/>
      </patternFill>
    </fill>
    <fill>
      <patternFill patternType="solid">
        <fgColor theme="9" tint="0.59959715567491678"/>
        <bgColor rgb="FFBDD7EE"/>
      </patternFill>
    </fill>
    <fill>
      <patternFill patternType="solid">
        <fgColor theme="7" tint="0.59987182226020086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8497B0"/>
      </left>
      <right style="thin">
        <color rgb="FF8497B0"/>
      </right>
      <top style="medium">
        <color rgb="FF8497B0"/>
      </top>
      <bottom style="thin">
        <color rgb="FF8497B0"/>
      </bottom>
      <diagonal/>
    </border>
    <border>
      <left style="medium">
        <color rgb="FF548DD4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548DD4"/>
      </left>
      <right style="medium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8497B0"/>
      </left>
      <right style="thin">
        <color rgb="FF8497B0"/>
      </right>
      <top style="medium">
        <color rgb="FF8497B0"/>
      </top>
      <bottom style="thin">
        <color rgb="FF548DD4"/>
      </bottom>
      <diagonal/>
    </border>
    <border>
      <left style="medium">
        <color rgb="FF8497B0"/>
      </left>
      <right style="thin">
        <color rgb="FF8497B0"/>
      </right>
      <top style="medium">
        <color rgb="FF8497B0"/>
      </top>
      <bottom style="thin">
        <color rgb="FF8497B0"/>
      </bottom>
      <diagonal/>
    </border>
    <border>
      <left/>
      <right style="thin">
        <color rgb="FF8497B0"/>
      </right>
      <top style="medium">
        <color rgb="FF8497B0"/>
      </top>
      <bottom style="thin">
        <color rgb="FF8497B0"/>
      </bottom>
      <diagonal/>
    </border>
    <border>
      <left style="thin">
        <color rgb="FF8497B0"/>
      </left>
      <right style="medium">
        <color rgb="FF8497B0"/>
      </right>
      <top style="medium">
        <color rgb="FF8497B0"/>
      </top>
      <bottom style="thin">
        <color rgb="FF8497B0"/>
      </bottom>
      <diagonal/>
    </border>
    <border>
      <left style="medium">
        <color rgb="FF8497B0"/>
      </left>
      <right style="thin">
        <color rgb="FF8497B0"/>
      </right>
      <top style="thin">
        <color rgb="FF8497B0"/>
      </top>
      <bottom style="thin">
        <color rgb="FF8497B0"/>
      </bottom>
      <diagonal/>
    </border>
    <border>
      <left style="thin">
        <color rgb="FF8497B0"/>
      </left>
      <right style="thin">
        <color rgb="FF8497B0"/>
      </right>
      <top style="thin">
        <color rgb="FF8497B0"/>
      </top>
      <bottom style="thin">
        <color rgb="FF8497B0"/>
      </bottom>
      <diagonal/>
    </border>
    <border>
      <left style="thin">
        <color rgb="FF8497B0"/>
      </left>
      <right style="medium">
        <color rgb="FF8497B0"/>
      </right>
      <top style="thin">
        <color rgb="FF8497B0"/>
      </top>
      <bottom style="thin">
        <color rgb="FF8497B0"/>
      </bottom>
      <diagonal/>
    </border>
    <border>
      <left style="thin">
        <color rgb="FF8497B0"/>
      </left>
      <right/>
      <top style="thin">
        <color rgb="FF8497B0"/>
      </top>
      <bottom/>
      <diagonal/>
    </border>
    <border>
      <left/>
      <right style="thin">
        <color rgb="FF8497B0"/>
      </right>
      <top style="thin">
        <color rgb="FF8497B0"/>
      </top>
      <bottom/>
      <diagonal/>
    </border>
    <border>
      <left style="thin">
        <color rgb="FF8497B0"/>
      </left>
      <right/>
      <top style="thin">
        <color rgb="FF8497B0"/>
      </top>
      <bottom style="thin">
        <color rgb="FF8497B0"/>
      </bottom>
      <diagonal/>
    </border>
    <border>
      <left/>
      <right/>
      <top style="thin">
        <color rgb="FF8497B0"/>
      </top>
      <bottom style="thin">
        <color rgb="FF8497B0"/>
      </bottom>
      <diagonal/>
    </border>
    <border>
      <left/>
      <right style="medium">
        <color rgb="FF8497B0"/>
      </right>
      <top style="thin">
        <color rgb="FF8497B0"/>
      </top>
      <bottom style="thin">
        <color rgb="FF8497B0"/>
      </bottom>
      <diagonal/>
    </border>
    <border>
      <left style="thin">
        <color rgb="FF8497B0"/>
      </left>
      <right style="thin">
        <color rgb="FF8497B0"/>
      </right>
      <top style="thin">
        <color rgb="FF8497B0"/>
      </top>
      <bottom style="thin">
        <color rgb="FF548DD4"/>
      </bottom>
      <diagonal/>
    </border>
    <border>
      <left style="medium">
        <color rgb="FF548DD4"/>
      </left>
      <right/>
      <top style="thin">
        <color rgb="FF548DD4"/>
      </top>
      <bottom style="thin">
        <color rgb="FF548DD4"/>
      </bottom>
      <diagonal/>
    </border>
    <border>
      <left/>
      <right/>
      <top style="thin">
        <color rgb="FF548DD4"/>
      </top>
      <bottom style="thin">
        <color rgb="FF548DD4"/>
      </bottom>
      <diagonal/>
    </border>
    <border>
      <left/>
      <right style="medium">
        <color rgb="FF8497B0"/>
      </right>
      <top style="thin">
        <color rgb="FF548DD4"/>
      </top>
      <bottom style="thin">
        <color rgb="FF548DD4"/>
      </bottom>
      <diagonal/>
    </border>
    <border>
      <left style="thin">
        <color rgb="FF8497B0"/>
      </left>
      <right/>
      <top style="thin">
        <color rgb="FF548DD4"/>
      </top>
      <bottom style="thin">
        <color rgb="FF8497B0"/>
      </bottom>
      <diagonal/>
    </border>
    <border>
      <left/>
      <right/>
      <top style="thin">
        <color rgb="FF548DD4"/>
      </top>
      <bottom style="thin">
        <color rgb="FF8497B0"/>
      </bottom>
      <diagonal/>
    </border>
    <border>
      <left/>
      <right style="medium">
        <color rgb="FF8497B0"/>
      </right>
      <top style="thin">
        <color rgb="FF548DD4"/>
      </top>
      <bottom style="thin">
        <color rgb="FF8497B0"/>
      </bottom>
      <diagonal/>
    </border>
    <border>
      <left style="medium">
        <color rgb="FF8497B0"/>
      </left>
      <right style="thin">
        <color rgb="FF8497B0"/>
      </right>
      <top style="thin">
        <color rgb="FF8497B0"/>
      </top>
      <bottom/>
      <diagonal/>
    </border>
    <border>
      <left style="medium">
        <color rgb="FF8497B0"/>
      </left>
      <right style="thin">
        <color rgb="FF8497B0"/>
      </right>
      <top/>
      <bottom style="thin">
        <color rgb="FF8497B0"/>
      </bottom>
      <diagonal/>
    </border>
    <border>
      <left style="thin">
        <color rgb="FF8497B0"/>
      </left>
      <right style="thin">
        <color rgb="FF8497B0"/>
      </right>
      <top style="thin">
        <color rgb="FF8497B0"/>
      </top>
      <bottom/>
      <diagonal/>
    </border>
    <border>
      <left style="medium">
        <color rgb="FF8497B0"/>
      </left>
      <right/>
      <top style="thin">
        <color rgb="FF8497B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164" fontId="1" fillId="0" borderId="0"/>
    <xf numFmtId="164" fontId="1" fillId="0" borderId="0"/>
    <xf numFmtId="164" fontId="2" fillId="0" borderId="0"/>
  </cellStyleXfs>
  <cellXfs count="191">
    <xf numFmtId="0" fontId="0" fillId="0" borderId="0" xfId="0"/>
    <xf numFmtId="164" fontId="19" fillId="4" borderId="8" xfId="0" applyNumberFormat="1" applyFont="1" applyFill="1" applyBorder="1" applyAlignment="1">
      <alignment horizontal="center" vertical="center" wrapText="1"/>
    </xf>
    <xf numFmtId="164" fontId="11" fillId="3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vertical="center"/>
    </xf>
    <xf numFmtId="164" fontId="4" fillId="2" borderId="0" xfId="0" applyNumberFormat="1" applyFont="1" applyFill="1"/>
    <xf numFmtId="164" fontId="6" fillId="3" borderId="3" xfId="0" applyNumberFormat="1" applyFont="1" applyFill="1" applyBorder="1" applyAlignment="1">
      <alignment shrinkToFit="1"/>
    </xf>
    <xf numFmtId="164" fontId="6" fillId="3" borderId="0" xfId="0" applyNumberFormat="1" applyFont="1" applyFill="1" applyAlignment="1">
      <alignment shrinkToFit="1"/>
    </xf>
    <xf numFmtId="164" fontId="6" fillId="3" borderId="4" xfId="0" applyNumberFormat="1" applyFont="1" applyFill="1" applyBorder="1" applyAlignment="1">
      <alignment shrinkToFit="1"/>
    </xf>
    <xf numFmtId="164" fontId="8" fillId="3" borderId="3" xfId="0" applyNumberFormat="1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 vertical="center" wrapText="1"/>
    </xf>
    <xf numFmtId="164" fontId="8" fillId="3" borderId="4" xfId="0" applyNumberFormat="1" applyFont="1" applyFill="1" applyBorder="1" applyAlignment="1">
      <alignment horizontal="center" vertical="center" wrapText="1"/>
    </xf>
    <xf numFmtId="164" fontId="10" fillId="3" borderId="4" xfId="0" applyNumberFormat="1" applyFont="1" applyFill="1" applyBorder="1" applyAlignment="1">
      <alignment horizontal="center"/>
    </xf>
    <xf numFmtId="164" fontId="10" fillId="3" borderId="3" xfId="0" applyNumberFormat="1" applyFont="1" applyFill="1" applyBorder="1" applyAlignment="1">
      <alignment horizontal="left"/>
    </xf>
    <xf numFmtId="164" fontId="12" fillId="0" borderId="0" xfId="0" applyNumberFormat="1" applyFont="1" applyAlignment="1">
      <alignment horizontal="left" vertical="center" wrapText="1"/>
    </xf>
    <xf numFmtId="164" fontId="11" fillId="3" borderId="0" xfId="0" applyNumberFormat="1" applyFont="1" applyFill="1" applyAlignment="1">
      <alignment horizontal="left"/>
    </xf>
    <xf numFmtId="164" fontId="10" fillId="3" borderId="0" xfId="0" applyNumberFormat="1" applyFont="1" applyFill="1" applyAlignment="1">
      <alignment horizontal="left"/>
    </xf>
    <xf numFmtId="164" fontId="10" fillId="3" borderId="4" xfId="0" applyNumberFormat="1" applyFont="1" applyFill="1" applyBorder="1" applyAlignment="1">
      <alignment horizontal="left"/>
    </xf>
    <xf numFmtId="164" fontId="10" fillId="3" borderId="3" xfId="0" applyNumberFormat="1" applyFont="1" applyFill="1" applyBorder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164" fontId="14" fillId="3" borderId="0" xfId="0" applyNumberFormat="1" applyFont="1" applyFill="1" applyAlignment="1">
      <alignment horizontal="left" vertical="center" wrapText="1"/>
    </xf>
    <xf numFmtId="164" fontId="14" fillId="3" borderId="4" xfId="0" applyNumberFormat="1" applyFont="1" applyFill="1" applyBorder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164" fontId="15" fillId="3" borderId="3" xfId="0" applyNumberFormat="1" applyFont="1" applyFill="1" applyBorder="1"/>
    <xf numFmtId="164" fontId="15" fillId="3" borderId="0" xfId="0" applyNumberFormat="1" applyFont="1" applyFill="1"/>
    <xf numFmtId="164" fontId="15" fillId="3" borderId="0" xfId="0" applyNumberFormat="1" applyFont="1" applyFill="1" applyAlignment="1">
      <alignment vertical="center"/>
    </xf>
    <xf numFmtId="164" fontId="15" fillId="3" borderId="4" xfId="0" applyNumberFormat="1" applyFont="1" applyFill="1" applyBorder="1" applyAlignment="1">
      <alignment vertical="center"/>
    </xf>
    <xf numFmtId="164" fontId="15" fillId="3" borderId="3" xfId="0" applyNumberFormat="1" applyFont="1" applyFill="1" applyBorder="1" applyAlignment="1">
      <alignment vertical="center"/>
    </xf>
    <xf numFmtId="164" fontId="15" fillId="3" borderId="5" xfId="0" applyNumberFormat="1" applyFont="1" applyFill="1" applyBorder="1" applyAlignment="1">
      <alignment vertical="center"/>
    </xf>
    <xf numFmtId="164" fontId="15" fillId="3" borderId="6" xfId="0" applyNumberFormat="1" applyFont="1" applyFill="1" applyBorder="1" applyAlignment="1">
      <alignment vertical="center"/>
    </xf>
    <xf numFmtId="164" fontId="15" fillId="3" borderId="7" xfId="0" applyNumberFormat="1" applyFont="1" applyFill="1" applyBorder="1" applyAlignment="1">
      <alignment vertical="center"/>
    </xf>
    <xf numFmtId="164" fontId="16" fillId="2" borderId="0" xfId="0" applyNumberFormat="1" applyFont="1" applyFill="1"/>
    <xf numFmtId="164" fontId="17" fillId="2" borderId="0" xfId="0" applyNumberFormat="1" applyFont="1" applyFill="1" applyAlignment="1">
      <alignment vertical="center"/>
    </xf>
    <xf numFmtId="164" fontId="18" fillId="2" borderId="0" xfId="0" applyNumberFormat="1" applyFont="1" applyFill="1"/>
    <xf numFmtId="165" fontId="16" fillId="2" borderId="9" xfId="0" applyNumberFormat="1" applyFont="1" applyFill="1" applyBorder="1" applyAlignment="1">
      <alignment horizontal="center" vertical="center" wrapText="1"/>
    </xf>
    <xf numFmtId="164" fontId="20" fillId="2" borderId="10" xfId="0" applyNumberFormat="1" applyFont="1" applyFill="1" applyBorder="1" applyAlignment="1">
      <alignment vertical="top" wrapText="1"/>
    </xf>
    <xf numFmtId="164" fontId="18" fillId="2" borderId="0" xfId="0" applyNumberFormat="1" applyFont="1" applyFill="1" applyAlignment="1">
      <alignment horizontal="left" vertical="center" wrapText="1"/>
    </xf>
    <xf numFmtId="164" fontId="21" fillId="2" borderId="0" xfId="0" applyNumberFormat="1" applyFont="1" applyFill="1"/>
    <xf numFmtId="164" fontId="16" fillId="2" borderId="9" xfId="0" applyNumberFormat="1" applyFont="1" applyFill="1" applyBorder="1" applyAlignment="1">
      <alignment horizontal="center" vertical="center" wrapText="1"/>
    </xf>
    <xf numFmtId="164" fontId="16" fillId="2" borderId="10" xfId="0" applyNumberFormat="1" applyFont="1" applyFill="1" applyBorder="1" applyAlignment="1">
      <alignment horizontal="center" vertical="center" wrapText="1"/>
    </xf>
    <xf numFmtId="166" fontId="16" fillId="2" borderId="10" xfId="0" applyNumberFormat="1" applyFont="1" applyFill="1" applyBorder="1" applyAlignment="1">
      <alignment horizontal="center" vertical="center" wrapText="1"/>
    </xf>
    <xf numFmtId="164" fontId="16" fillId="2" borderId="11" xfId="0" applyNumberFormat="1" applyFont="1" applyFill="1" applyBorder="1" applyAlignment="1">
      <alignment horizontal="center" vertical="center" wrapText="1"/>
    </xf>
    <xf numFmtId="167" fontId="23" fillId="2" borderId="0" xfId="0" applyNumberFormat="1" applyFont="1" applyFill="1" applyAlignment="1">
      <alignment vertical="center"/>
    </xf>
    <xf numFmtId="167" fontId="16" fillId="2" borderId="0" xfId="0" applyNumberFormat="1" applyFont="1" applyFill="1" applyAlignment="1">
      <alignment vertical="center"/>
    </xf>
    <xf numFmtId="168" fontId="16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164" fontId="25" fillId="5" borderId="13" xfId="0" applyNumberFormat="1" applyFont="1" applyFill="1" applyBorder="1" applyAlignment="1">
      <alignment horizontal="left" vertical="center" wrapText="1"/>
    </xf>
    <xf numFmtId="164" fontId="25" fillId="5" borderId="14" xfId="0" applyNumberFormat="1" applyFont="1" applyFill="1" applyBorder="1" applyAlignment="1">
      <alignment horizontal="left" vertical="center" wrapText="1"/>
    </xf>
    <xf numFmtId="164" fontId="25" fillId="5" borderId="16" xfId="0" applyNumberFormat="1" applyFont="1" applyFill="1" applyBorder="1" applyAlignment="1">
      <alignment vertical="center" wrapText="1"/>
    </xf>
    <xf numFmtId="164" fontId="25" fillId="5" borderId="17" xfId="0" applyNumberFormat="1" applyFont="1" applyFill="1" applyBorder="1" applyAlignment="1">
      <alignment vertical="center" wrapText="1"/>
    </xf>
    <xf numFmtId="164" fontId="27" fillId="2" borderId="19" xfId="0" applyNumberFormat="1" applyFont="1" applyFill="1" applyBorder="1" applyAlignment="1">
      <alignment horizontal="left" vertical="center" wrapText="1"/>
    </xf>
    <xf numFmtId="164" fontId="27" fillId="2" borderId="20" xfId="0" applyNumberFormat="1" applyFont="1" applyFill="1" applyBorder="1" applyAlignment="1">
      <alignment horizontal="left" vertical="center" wrapText="1"/>
    </xf>
    <xf numFmtId="167" fontId="26" fillId="2" borderId="21" xfId="0" applyNumberFormat="1" applyFont="1" applyFill="1" applyBorder="1" applyAlignment="1">
      <alignment horizontal="left" vertical="center" wrapText="1"/>
    </xf>
    <xf numFmtId="167" fontId="26" fillId="2" borderId="22" xfId="0" applyNumberFormat="1" applyFont="1" applyFill="1" applyBorder="1" applyAlignment="1">
      <alignment horizontal="left" vertical="center" wrapText="1"/>
    </xf>
    <xf numFmtId="167" fontId="26" fillId="2" borderId="23" xfId="0" applyNumberFormat="1" applyFont="1" applyFill="1" applyBorder="1" applyAlignment="1">
      <alignment horizontal="left" vertical="center" wrapText="1"/>
    </xf>
    <xf numFmtId="164" fontId="28" fillId="6" borderId="26" xfId="0" applyNumberFormat="1" applyFont="1" applyFill="1" applyBorder="1" applyAlignment="1">
      <alignment horizontal="center" vertical="center" wrapText="1"/>
    </xf>
    <xf numFmtId="164" fontId="28" fillId="6" borderId="27" xfId="0" applyNumberFormat="1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left" vertical="center"/>
    </xf>
    <xf numFmtId="0" fontId="26" fillId="2" borderId="28" xfId="0" applyFont="1" applyFill="1" applyBorder="1" applyAlignment="1">
      <alignment horizontal="left" vertical="center"/>
    </xf>
    <xf numFmtId="0" fontId="26" fillId="2" borderId="29" xfId="0" applyFont="1" applyFill="1" applyBorder="1" applyAlignment="1">
      <alignment horizontal="left" vertical="center"/>
    </xf>
    <xf numFmtId="0" fontId="26" fillId="2" borderId="30" xfId="0" applyFont="1" applyFill="1" applyBorder="1" applyAlignment="1">
      <alignment horizontal="left" vertical="center"/>
    </xf>
    <xf numFmtId="0" fontId="29" fillId="7" borderId="16" xfId="0" applyFont="1" applyFill="1" applyBorder="1" applyAlignment="1">
      <alignment vertical="center"/>
    </xf>
    <xf numFmtId="167" fontId="26" fillId="2" borderId="21" xfId="0" applyNumberFormat="1" applyFont="1" applyFill="1" applyBorder="1" applyAlignment="1">
      <alignment horizontal="left" vertical="center"/>
    </xf>
    <xf numFmtId="167" fontId="26" fillId="2" borderId="22" xfId="0" applyNumberFormat="1" applyFont="1" applyFill="1" applyBorder="1" applyAlignment="1">
      <alignment horizontal="left" vertical="center"/>
    </xf>
    <xf numFmtId="167" fontId="26" fillId="2" borderId="23" xfId="0" applyNumberFormat="1" applyFont="1" applyFill="1" applyBorder="1" applyAlignment="1">
      <alignment horizontal="left" vertical="center"/>
    </xf>
    <xf numFmtId="164" fontId="25" fillId="5" borderId="31" xfId="0" applyNumberFormat="1" applyFont="1" applyFill="1" applyBorder="1" applyAlignment="1">
      <alignment horizontal="left" vertical="center" wrapText="1"/>
    </xf>
    <xf numFmtId="0" fontId="29" fillId="7" borderId="17" xfId="0" applyFont="1" applyFill="1" applyBorder="1" applyAlignment="1">
      <alignment horizontal="center" vertical="center"/>
    </xf>
    <xf numFmtId="0" fontId="29" fillId="7" borderId="17" xfId="0" applyFont="1" applyFill="1" applyBorder="1" applyAlignment="1">
      <alignment horizontal="center" vertical="center" wrapText="1"/>
    </xf>
    <xf numFmtId="0" fontId="29" fillId="7" borderId="21" xfId="0" applyFont="1" applyFill="1" applyBorder="1" applyAlignment="1">
      <alignment horizontal="center" vertical="center" wrapText="1"/>
    </xf>
    <xf numFmtId="0" fontId="29" fillId="7" borderId="18" xfId="0" applyFont="1" applyFill="1" applyBorder="1" applyAlignment="1">
      <alignment horizontal="center" vertical="center" wrapText="1"/>
    </xf>
    <xf numFmtId="164" fontId="25" fillId="5" borderId="32" xfId="0" applyNumberFormat="1" applyFont="1" applyFill="1" applyBorder="1" applyAlignment="1">
      <alignment horizontal="left" vertical="center" wrapText="1"/>
    </xf>
    <xf numFmtId="1" fontId="30" fillId="8" borderId="33" xfId="0" applyNumberFormat="1" applyFont="1" applyFill="1" applyBorder="1" applyAlignment="1">
      <alignment horizontal="center" vertical="center"/>
    </xf>
    <xf numFmtId="1" fontId="30" fillId="8" borderId="18" xfId="0" applyNumberFormat="1" applyFont="1" applyFill="1" applyBorder="1" applyAlignment="1">
      <alignment vertical="center"/>
    </xf>
    <xf numFmtId="0" fontId="21" fillId="7" borderId="16" xfId="0" applyFont="1" applyFill="1" applyBorder="1" applyAlignment="1">
      <alignment horizontal="right" vertical="center"/>
    </xf>
    <xf numFmtId="1" fontId="30" fillId="2" borderId="17" xfId="0" applyNumberFormat="1" applyFont="1" applyFill="1" applyBorder="1" applyAlignment="1">
      <alignment horizontal="center" vertical="center"/>
    </xf>
    <xf numFmtId="0" fontId="31" fillId="7" borderId="34" xfId="0" applyFont="1" applyFill="1" applyBorder="1" applyAlignment="1">
      <alignment horizontal="left" vertical="center"/>
    </xf>
    <xf numFmtId="10" fontId="30" fillId="2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Alignment="1">
      <alignment vertical="center"/>
    </xf>
    <xf numFmtId="164" fontId="32" fillId="0" borderId="35" xfId="0" applyNumberFormat="1" applyFont="1" applyBorder="1" applyAlignment="1">
      <alignment horizontal="left" vertical="center" wrapText="1"/>
    </xf>
    <xf numFmtId="164" fontId="33" fillId="0" borderId="35" xfId="0" applyNumberFormat="1" applyFont="1" applyBorder="1" applyAlignment="1">
      <alignment horizontal="left" vertical="center" wrapText="1"/>
    </xf>
    <xf numFmtId="164" fontId="35" fillId="0" borderId="0" xfId="0" applyNumberFormat="1" applyFont="1" applyAlignment="1">
      <alignment horizontal="left" vertical="center" wrapText="1"/>
    </xf>
    <xf numFmtId="0" fontId="36" fillId="0" borderId="35" xfId="0" applyFont="1" applyBorder="1" applyAlignment="1">
      <alignment horizontal="left" vertical="center" wrapText="1"/>
    </xf>
    <xf numFmtId="164" fontId="36" fillId="0" borderId="35" xfId="0" applyNumberFormat="1" applyFont="1" applyBorder="1" applyAlignment="1">
      <alignment horizontal="left" vertical="center" wrapText="1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left" vertical="center" wrapText="1"/>
    </xf>
    <xf numFmtId="164" fontId="37" fillId="4" borderId="35" xfId="0" applyNumberFormat="1" applyFont="1" applyFill="1" applyBorder="1" applyAlignment="1">
      <alignment horizontal="center" vertical="center" wrapText="1"/>
    </xf>
    <xf numFmtId="165" fontId="37" fillId="4" borderId="35" xfId="0" applyNumberFormat="1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 wrapText="1"/>
    </xf>
    <xf numFmtId="0" fontId="35" fillId="3" borderId="35" xfId="0" applyFont="1" applyFill="1" applyBorder="1" applyAlignment="1">
      <alignment horizontal="center" vertical="center" wrapText="1"/>
    </xf>
    <xf numFmtId="1" fontId="35" fillId="3" borderId="35" xfId="0" applyNumberFormat="1" applyFont="1" applyFill="1" applyBorder="1" applyAlignment="1">
      <alignment horizontal="center" vertical="center" wrapText="1"/>
    </xf>
    <xf numFmtId="165" fontId="35" fillId="0" borderId="35" xfId="0" applyNumberFormat="1" applyFont="1" applyBorder="1" applyAlignment="1">
      <alignment horizontal="center" vertical="center" wrapText="1"/>
    </xf>
    <xf numFmtId="0" fontId="38" fillId="9" borderId="35" xfId="0" applyFont="1" applyFill="1" applyBorder="1" applyAlignment="1">
      <alignment horizontal="center" vertical="center" wrapText="1"/>
    </xf>
    <xf numFmtId="0" fontId="38" fillId="10" borderId="35" xfId="0" applyFont="1" applyFill="1" applyBorder="1" applyAlignment="1">
      <alignment horizontal="center" vertical="center" wrapText="1"/>
    </xf>
    <xf numFmtId="164" fontId="33" fillId="11" borderId="36" xfId="0" applyNumberFormat="1" applyFont="1" applyFill="1" applyBorder="1" applyAlignment="1">
      <alignment horizontal="left" vertical="center" wrapText="1"/>
    </xf>
    <xf numFmtId="0" fontId="0" fillId="11" borderId="36" xfId="0" applyFill="1" applyBorder="1" applyAlignment="1">
      <alignment vertical="center"/>
    </xf>
    <xf numFmtId="164" fontId="33" fillId="12" borderId="36" xfId="0" applyNumberFormat="1" applyFont="1" applyFill="1" applyBorder="1" applyAlignment="1">
      <alignment horizontal="left" vertical="center" wrapText="1"/>
    </xf>
    <xf numFmtId="164" fontId="33" fillId="12" borderId="35" xfId="0" applyNumberFormat="1" applyFont="1" applyFill="1" applyBorder="1" applyAlignment="1">
      <alignment horizontal="left" vertical="center" wrapText="1"/>
    </xf>
    <xf numFmtId="0" fontId="0" fillId="12" borderId="36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39" fillId="0" borderId="35" xfId="0" applyFont="1" applyBorder="1" applyAlignment="1">
      <alignment vertical="center" wrapText="1"/>
    </xf>
    <xf numFmtId="0" fontId="39" fillId="0" borderId="35" xfId="0" applyFont="1" applyBorder="1" applyAlignment="1">
      <alignment vertical="top" wrapText="1"/>
    </xf>
    <xf numFmtId="0" fontId="40" fillId="13" borderId="35" xfId="0" applyFont="1" applyFill="1" applyBorder="1" applyAlignment="1">
      <alignment vertical="top" wrapText="1"/>
    </xf>
    <xf numFmtId="0" fontId="39" fillId="13" borderId="35" xfId="0" applyFont="1" applyFill="1" applyBorder="1" applyAlignment="1">
      <alignment vertical="top" wrapText="1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41" fillId="0" borderId="37" xfId="0" applyFont="1" applyBorder="1" applyAlignment="1">
      <alignment wrapText="1"/>
    </xf>
    <xf numFmtId="0" fontId="0" fillId="0" borderId="36" xfId="0" applyBorder="1" applyAlignment="1">
      <alignment vertical="center"/>
    </xf>
    <xf numFmtId="0" fontId="42" fillId="2" borderId="35" xfId="0" applyFont="1" applyFill="1" applyBorder="1" applyAlignment="1">
      <alignment horizontal="center" vertical="center"/>
    </xf>
    <xf numFmtId="0" fontId="42" fillId="2" borderId="35" xfId="0" applyFont="1" applyFill="1" applyBorder="1" applyAlignment="1">
      <alignment vertical="center"/>
    </xf>
    <xf numFmtId="0" fontId="42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11" borderId="36" xfId="0" applyFill="1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0" fontId="0" fillId="0" borderId="35" xfId="0" applyBorder="1" applyAlignment="1">
      <alignment vertical="center" wrapText="1"/>
    </xf>
    <xf numFmtId="0" fontId="41" fillId="14" borderId="35" xfId="0" applyFont="1" applyFill="1" applyBorder="1" applyAlignment="1">
      <alignment vertical="center" wrapText="1"/>
    </xf>
    <xf numFmtId="0" fontId="41" fillId="14" borderId="37" xfId="0" applyFont="1" applyFill="1" applyBorder="1" applyAlignment="1">
      <alignment vertical="center" wrapText="1"/>
    </xf>
    <xf numFmtId="0" fontId="41" fillId="14" borderId="35" xfId="0" applyFont="1" applyFill="1" applyBorder="1" applyAlignment="1">
      <alignment wrapText="1"/>
    </xf>
    <xf numFmtId="0" fontId="41" fillId="14" borderId="37" xfId="0" applyFont="1" applyFill="1" applyBorder="1" applyAlignment="1">
      <alignment wrapText="1"/>
    </xf>
    <xf numFmtId="0" fontId="41" fillId="15" borderId="37" xfId="0" applyFont="1" applyFill="1" applyBorder="1" applyAlignment="1">
      <alignment wrapText="1"/>
    </xf>
    <xf numFmtId="0" fontId="41" fillId="15" borderId="37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8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 applyAlignment="1">
      <alignment vertical="center"/>
    </xf>
    <xf numFmtId="0" fontId="41" fillId="14" borderId="41" xfId="0" applyFont="1" applyFill="1" applyBorder="1" applyAlignment="1">
      <alignment wrapText="1"/>
    </xf>
    <xf numFmtId="0" fontId="40" fillId="13" borderId="38" xfId="0" applyFont="1" applyFill="1" applyBorder="1" applyAlignment="1">
      <alignment vertical="top" wrapText="1"/>
    </xf>
    <xf numFmtId="0" fontId="39" fillId="13" borderId="40" xfId="0" applyFont="1" applyFill="1" applyBorder="1" applyAlignment="1">
      <alignment vertical="top" wrapText="1"/>
    </xf>
    <xf numFmtId="0" fontId="41" fillId="14" borderId="42" xfId="0" applyFont="1" applyFill="1" applyBorder="1" applyAlignment="1">
      <alignment vertical="center" wrapText="1"/>
    </xf>
    <xf numFmtId="165" fontId="37" fillId="4" borderId="38" xfId="0" applyNumberFormat="1" applyFont="1" applyFill="1" applyBorder="1" applyAlignment="1">
      <alignment horizontal="center" vertical="center" wrapText="1"/>
    </xf>
    <xf numFmtId="1" fontId="35" fillId="3" borderId="38" xfId="0" applyNumberFormat="1" applyFont="1" applyFill="1" applyBorder="1" applyAlignment="1">
      <alignment horizontal="center" vertical="center" wrapText="1"/>
    </xf>
    <xf numFmtId="165" fontId="35" fillId="0" borderId="38" xfId="0" applyNumberFormat="1" applyFont="1" applyBorder="1" applyAlignment="1">
      <alignment horizontal="center" vertical="center" wrapText="1"/>
    </xf>
    <xf numFmtId="49" fontId="33" fillId="0" borderId="0" xfId="0" applyNumberFormat="1" applyFont="1" applyAlignment="1">
      <alignment horizontal="left" vertical="center" wrapText="1"/>
    </xf>
    <xf numFmtId="164" fontId="34" fillId="0" borderId="0" xfId="0" applyNumberFormat="1" applyFont="1" applyAlignment="1">
      <alignment horizontal="left" vertical="center" wrapText="1"/>
    </xf>
    <xf numFmtId="164" fontId="35" fillId="0" borderId="0" xfId="0" applyNumberFormat="1" applyFont="1" applyAlignment="1">
      <alignment horizontal="center" vertical="center" wrapText="1"/>
    </xf>
    <xf numFmtId="164" fontId="35" fillId="0" borderId="0" xfId="0" applyNumberFormat="1" applyFont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164" fontId="33" fillId="0" borderId="41" xfId="0" applyNumberFormat="1" applyFont="1" applyBorder="1" applyAlignment="1">
      <alignment horizontal="left" vertical="center" wrapText="1"/>
    </xf>
    <xf numFmtId="165" fontId="37" fillId="4" borderId="41" xfId="0" applyNumberFormat="1" applyFont="1" applyFill="1" applyBorder="1" applyAlignment="1">
      <alignment horizontal="center" vertical="center" wrapText="1"/>
    </xf>
    <xf numFmtId="1" fontId="35" fillId="3" borderId="41" xfId="0" applyNumberFormat="1" applyFont="1" applyFill="1" applyBorder="1" applyAlignment="1">
      <alignment horizontal="center" vertical="center" wrapText="1"/>
    </xf>
    <xf numFmtId="165" fontId="35" fillId="0" borderId="41" xfId="0" applyNumberFormat="1" applyFont="1" applyBorder="1" applyAlignment="1">
      <alignment horizontal="center" vertical="center" wrapText="1"/>
    </xf>
    <xf numFmtId="164" fontId="32" fillId="0" borderId="38" xfId="0" applyNumberFormat="1" applyFont="1" applyBorder="1" applyAlignment="1">
      <alignment horizontal="left" vertical="center" wrapText="1"/>
    </xf>
    <xf numFmtId="164" fontId="36" fillId="0" borderId="38" xfId="0" applyNumberFormat="1" applyFont="1" applyBorder="1" applyAlignment="1">
      <alignment horizontal="left" vertical="center" wrapText="1"/>
    </xf>
    <xf numFmtId="0" fontId="39" fillId="0" borderId="35" xfId="0" applyFont="1" applyBorder="1" applyAlignment="1">
      <alignment horizontal="center" vertical="center"/>
    </xf>
    <xf numFmtId="164" fontId="37" fillId="0" borderId="0" xfId="0" applyNumberFormat="1" applyFont="1" applyAlignment="1">
      <alignment horizontal="center" vertical="center" wrapText="1"/>
    </xf>
    <xf numFmtId="165" fontId="37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left" vertical="center" wrapText="1"/>
    </xf>
    <xf numFmtId="165" fontId="35" fillId="0" borderId="0" xfId="0" applyNumberFormat="1" applyFont="1" applyAlignment="1">
      <alignment horizontal="center" vertical="center" wrapText="1"/>
    </xf>
    <xf numFmtId="0" fontId="39" fillId="13" borderId="41" xfId="0" applyFont="1" applyFill="1" applyBorder="1" applyAlignment="1">
      <alignment vertical="top" wrapText="1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9" fillId="13" borderId="37" xfId="0" applyFont="1" applyFill="1" applyBorder="1" applyAlignment="1">
      <alignment vertical="top" wrapText="1"/>
    </xf>
    <xf numFmtId="0" fontId="0" fillId="0" borderId="37" xfId="0" applyBorder="1" applyAlignment="1">
      <alignment horizontal="center" vertical="center"/>
    </xf>
    <xf numFmtId="0" fontId="46" fillId="2" borderId="35" xfId="0" applyFont="1" applyFill="1" applyBorder="1" applyAlignment="1">
      <alignment wrapText="1"/>
    </xf>
    <xf numFmtId="0" fontId="46" fillId="0" borderId="37" xfId="0" applyFont="1" applyBorder="1" applyAlignment="1">
      <alignment wrapText="1"/>
    </xf>
    <xf numFmtId="0" fontId="41" fillId="16" borderId="38" xfId="0" applyFont="1" applyFill="1" applyBorder="1" applyAlignment="1">
      <alignment wrapText="1"/>
    </xf>
    <xf numFmtId="0" fontId="41" fillId="16" borderId="37" xfId="0" applyFont="1" applyFill="1" applyBorder="1" applyAlignment="1">
      <alignment wrapText="1"/>
    </xf>
    <xf numFmtId="0" fontId="41" fillId="17" borderId="37" xfId="0" applyFont="1" applyFill="1" applyBorder="1" applyAlignment="1">
      <alignment vertical="center" wrapText="1"/>
    </xf>
    <xf numFmtId="0" fontId="39" fillId="17" borderId="35" xfId="0" applyFont="1" applyFill="1" applyBorder="1" applyAlignment="1">
      <alignment vertical="center" wrapText="1"/>
    </xf>
    <xf numFmtId="0" fontId="39" fillId="17" borderId="35" xfId="0" applyFont="1" applyFill="1" applyBorder="1" applyAlignment="1">
      <alignment vertical="top" wrapText="1"/>
    </xf>
    <xf numFmtId="0" fontId="40" fillId="17" borderId="35" xfId="0" applyFont="1" applyFill="1" applyBorder="1" applyAlignment="1">
      <alignment vertical="top" wrapText="1"/>
    </xf>
    <xf numFmtId="0" fontId="0" fillId="17" borderId="35" xfId="0" applyFill="1" applyBorder="1" applyAlignment="1">
      <alignment horizontal="center" vertical="center"/>
    </xf>
    <xf numFmtId="0" fontId="39" fillId="17" borderId="35" xfId="0" applyFont="1" applyFill="1" applyBorder="1" applyAlignment="1">
      <alignment horizontal="center" vertical="center"/>
    </xf>
    <xf numFmtId="0" fontId="0" fillId="17" borderId="35" xfId="0" applyFill="1" applyBorder="1" applyAlignment="1">
      <alignment vertical="center"/>
    </xf>
    <xf numFmtId="164" fontId="33" fillId="11" borderId="35" xfId="0" applyNumberFormat="1" applyFont="1" applyFill="1" applyBorder="1" applyAlignment="1">
      <alignment horizontal="left" vertical="center" wrapText="1"/>
    </xf>
    <xf numFmtId="164" fontId="43" fillId="0" borderId="38" xfId="0" applyNumberFormat="1" applyFont="1" applyBorder="1" applyAlignment="1">
      <alignment horizontal="left" vertical="center" wrapText="1"/>
    </xf>
    <xf numFmtId="164" fontId="43" fillId="0" borderId="39" xfId="0" applyNumberFormat="1" applyFont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center" vertical="center" wrapText="1"/>
    </xf>
    <xf numFmtId="164" fontId="11" fillId="3" borderId="0" xfId="0" applyNumberFormat="1" applyFont="1" applyFill="1" applyAlignment="1">
      <alignment horizontal="left" vertical="center"/>
    </xf>
    <xf numFmtId="164" fontId="10" fillId="3" borderId="3" xfId="0" applyNumberFormat="1" applyFont="1" applyFill="1" applyBorder="1" applyAlignment="1">
      <alignment horizontal="center"/>
    </xf>
    <xf numFmtId="164" fontId="11" fillId="3" borderId="0" xfId="0" applyNumberFormat="1" applyFont="1" applyFill="1" applyAlignment="1">
      <alignment horizontal="left" vertical="center" wrapText="1"/>
    </xf>
    <xf numFmtId="164" fontId="19" fillId="4" borderId="12" xfId="0" applyNumberFormat="1" applyFont="1" applyFill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left" vertical="center" wrapText="1"/>
    </xf>
    <xf numFmtId="164" fontId="19" fillId="4" borderId="8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left" vertical="center" wrapText="1"/>
    </xf>
    <xf numFmtId="164" fontId="26" fillId="2" borderId="8" xfId="0" applyNumberFormat="1" applyFont="1" applyFill="1" applyBorder="1" applyAlignment="1">
      <alignment horizontal="left" vertical="center" wrapText="1"/>
    </xf>
    <xf numFmtId="164" fontId="26" fillId="2" borderId="15" xfId="0" applyNumberFormat="1" applyFont="1" applyFill="1" applyBorder="1" applyAlignment="1">
      <alignment horizontal="left" vertical="center" wrapText="1"/>
    </xf>
    <xf numFmtId="164" fontId="26" fillId="2" borderId="17" xfId="0" applyNumberFormat="1" applyFont="1" applyFill="1" applyBorder="1" applyAlignment="1">
      <alignment horizontal="left" vertical="center" wrapText="1"/>
    </xf>
    <xf numFmtId="167" fontId="26" fillId="2" borderId="18" xfId="0" applyNumberFormat="1" applyFont="1" applyFill="1" applyBorder="1" applyAlignment="1">
      <alignment horizontal="left" vertical="center" wrapText="1"/>
    </xf>
    <xf numFmtId="164" fontId="27" fillId="2" borderId="17" xfId="0" applyNumberFormat="1" applyFont="1" applyFill="1" applyBorder="1" applyAlignment="1">
      <alignment horizontal="left" vertical="center" wrapText="1"/>
    </xf>
    <xf numFmtId="164" fontId="27" fillId="2" borderId="18" xfId="0" applyNumberFormat="1" applyFont="1" applyFill="1" applyBorder="1" applyAlignment="1">
      <alignment horizontal="left" vertical="center" wrapText="1"/>
    </xf>
    <xf numFmtId="167" fontId="27" fillId="2" borderId="24" xfId="0" applyNumberFormat="1" applyFont="1" applyFill="1" applyBorder="1" applyAlignment="1">
      <alignment horizontal="left" vertical="center" wrapText="1"/>
    </xf>
    <xf numFmtId="164" fontId="28" fillId="6" borderId="25" xfId="0" applyNumberFormat="1" applyFont="1" applyFill="1" applyBorder="1" applyAlignment="1">
      <alignment horizontal="left" vertical="center" wrapText="1"/>
    </xf>
  </cellXfs>
  <cellStyles count="4">
    <cellStyle name="Bình thường" xfId="0" builtinId="0"/>
    <cellStyle name="Normal 2" xfId="1" xr:uid="{00000000-0005-0000-0000-000006000000}"/>
    <cellStyle name="Normal 6" xfId="2" xr:uid="{00000000-0005-0000-0000-000007000000}"/>
    <cellStyle name="標準_打刻ﾃﾞｰﾀ収集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548DD4"/>
      <rgbColor rgb="FF9999FF"/>
      <rgbColor rgb="FF7030A0"/>
      <rgbColor rgb="FFFFFFCC"/>
      <rgbColor rgb="FFC5E0B3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A7D6E3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44546A"/>
      <rgbColor rgb="FF8497B0"/>
      <rgbColor rgb="FF1F497D"/>
      <rgbColor rgb="FF339966"/>
      <rgbColor rgb="FF003300"/>
      <rgbColor rgb="FF333300"/>
      <rgbColor rgb="FF993300"/>
      <rgbColor rgb="FF993366"/>
      <rgbColor rgb="FF333399"/>
      <rgbColor rgb="FF2F559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9"/>
  <sheetViews>
    <sheetView zoomScaleNormal="100" workbookViewId="0">
      <selection activeCell="E13" sqref="E13"/>
    </sheetView>
  </sheetViews>
  <sheetFormatPr defaultColWidth="9.140625" defaultRowHeight="14.25"/>
  <cols>
    <col min="1" max="1" width="9.140625" style="3"/>
    <col min="2" max="2" width="5.7109375" style="3" customWidth="1"/>
    <col min="3" max="4" width="9.140625" style="3"/>
    <col min="5" max="5" width="45.42578125" style="3" customWidth="1"/>
    <col min="6" max="6" width="9.140625" style="3"/>
    <col min="7" max="7" width="16.5703125" style="3" customWidth="1"/>
    <col min="8" max="8" width="31.7109375" style="3" customWidth="1"/>
    <col min="9" max="1024" width="9.140625" style="3"/>
  </cols>
  <sheetData>
    <row r="1" spans="1:10" ht="15" customHeight="1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s="3" customFormat="1" ht="13.5" customHeight="1">
      <c r="A2" s="4"/>
      <c r="B2" s="171"/>
      <c r="C2" s="171"/>
      <c r="D2" s="171"/>
      <c r="E2" s="171"/>
      <c r="F2" s="171"/>
      <c r="G2" s="171"/>
      <c r="H2" s="171"/>
      <c r="I2" s="171"/>
      <c r="J2" s="171"/>
    </row>
    <row r="3" spans="1:10" s="3" customFormat="1" ht="13.5" customHeight="1">
      <c r="A3" s="4"/>
      <c r="B3" s="172"/>
      <c r="C3" s="172"/>
      <c r="D3" s="172"/>
      <c r="E3" s="172"/>
      <c r="F3" s="172"/>
      <c r="G3" s="172"/>
      <c r="H3" s="172"/>
      <c r="I3" s="172"/>
      <c r="J3" s="172"/>
    </row>
    <row r="4" spans="1:10" s="3" customFormat="1" ht="13.5" customHeight="1">
      <c r="A4" s="4"/>
      <c r="B4" s="5"/>
      <c r="C4" s="6"/>
      <c r="D4" s="6"/>
      <c r="E4" s="6"/>
      <c r="F4" s="6"/>
      <c r="G4" s="6"/>
      <c r="H4" s="6"/>
      <c r="I4" s="6"/>
      <c r="J4" s="7"/>
    </row>
    <row r="5" spans="1:10" s="3" customFormat="1" ht="13.5" customHeight="1">
      <c r="A5" s="4"/>
      <c r="B5" s="5"/>
      <c r="C5" s="6"/>
      <c r="D5" s="6"/>
      <c r="E5" s="6"/>
      <c r="F5" s="6"/>
      <c r="G5" s="6"/>
      <c r="H5" s="6"/>
      <c r="I5" s="6"/>
      <c r="J5" s="7"/>
    </row>
    <row r="6" spans="1:10" s="3" customFormat="1" ht="13.5" customHeight="1">
      <c r="A6" s="4"/>
      <c r="B6" s="173"/>
      <c r="C6" s="173"/>
      <c r="D6" s="173"/>
      <c r="E6" s="173"/>
      <c r="F6" s="173"/>
      <c r="G6" s="173"/>
      <c r="H6" s="173"/>
      <c r="I6" s="173"/>
      <c r="J6" s="173"/>
    </row>
    <row r="7" spans="1:10" s="3" customFormat="1" ht="13.5" customHeight="1">
      <c r="A7" s="4"/>
      <c r="B7" s="173"/>
      <c r="C7" s="173"/>
      <c r="D7" s="173"/>
      <c r="E7" s="173"/>
      <c r="F7" s="173"/>
      <c r="G7" s="173"/>
      <c r="H7" s="173"/>
      <c r="I7" s="173"/>
      <c r="J7" s="173"/>
    </row>
    <row r="8" spans="1:10" s="3" customFormat="1" ht="31.5" customHeight="1">
      <c r="A8" s="4"/>
      <c r="B8" s="8"/>
      <c r="C8" s="9"/>
      <c r="D8" s="9"/>
      <c r="E8" s="174" t="s">
        <v>0</v>
      </c>
      <c r="F8" s="174"/>
      <c r="G8" s="174"/>
      <c r="H8" s="174"/>
      <c r="I8" s="9"/>
      <c r="J8" s="10"/>
    </row>
    <row r="9" spans="1:10" s="3" customFormat="1" ht="13.5" customHeight="1">
      <c r="A9" s="4"/>
      <c r="B9" s="175"/>
      <c r="C9" s="175"/>
      <c r="D9" s="175"/>
      <c r="E9" s="175"/>
      <c r="F9" s="175"/>
      <c r="G9" s="175"/>
      <c r="H9" s="175"/>
      <c r="I9" s="175"/>
      <c r="J9" s="175"/>
    </row>
    <row r="10" spans="1:10" s="3" customFormat="1" ht="13.5" customHeight="1">
      <c r="A10" s="4"/>
      <c r="B10" s="177"/>
      <c r="C10" s="177"/>
      <c r="D10" s="177"/>
      <c r="E10" s="177"/>
      <c r="F10" s="177"/>
      <c r="G10" s="177"/>
      <c r="H10" s="177"/>
      <c r="I10" s="177"/>
      <c r="J10" s="11"/>
    </row>
    <row r="11" spans="1:10" s="3" customFormat="1" ht="26.25" customHeight="1">
      <c r="A11" s="4"/>
      <c r="B11" s="12"/>
      <c r="C11" s="176" t="s">
        <v>1</v>
      </c>
      <c r="D11" s="176"/>
      <c r="E11" s="13" t="s">
        <v>2</v>
      </c>
      <c r="F11" s="14"/>
      <c r="G11" s="2" t="s">
        <v>3</v>
      </c>
      <c r="H11" s="13"/>
      <c r="I11" s="15"/>
      <c r="J11" s="16"/>
    </row>
    <row r="12" spans="1:10" s="3" customFormat="1" ht="14.25" customHeight="1">
      <c r="A12" s="4"/>
      <c r="B12" s="17" t="s">
        <v>4</v>
      </c>
      <c r="C12" s="178" t="s">
        <v>5</v>
      </c>
      <c r="D12" s="178"/>
      <c r="E12" s="13" t="s">
        <v>6</v>
      </c>
      <c r="F12" s="18"/>
      <c r="G12" s="2" t="s">
        <v>7</v>
      </c>
      <c r="H12" s="13"/>
      <c r="I12" s="19"/>
      <c r="J12" s="20"/>
    </row>
    <row r="13" spans="1:10" s="3" customFormat="1" ht="13.5" customHeight="1">
      <c r="A13" s="4"/>
      <c r="B13" s="12"/>
      <c r="C13" s="176" t="s">
        <v>8</v>
      </c>
      <c r="D13" s="176"/>
      <c r="E13" s="13"/>
      <c r="F13" s="14"/>
      <c r="G13" s="2" t="s">
        <v>9</v>
      </c>
      <c r="H13" s="13"/>
      <c r="I13" s="15"/>
      <c r="J13" s="16"/>
    </row>
    <row r="14" spans="1:10" s="3" customFormat="1" ht="13.5" customHeight="1">
      <c r="A14" s="4"/>
      <c r="B14" s="12"/>
      <c r="C14" s="176" t="s">
        <v>7</v>
      </c>
      <c r="D14" s="176"/>
      <c r="E14" s="13"/>
      <c r="F14" s="14"/>
      <c r="G14" s="2" t="s">
        <v>10</v>
      </c>
      <c r="H14" s="13"/>
      <c r="I14" s="15"/>
      <c r="J14" s="16"/>
    </row>
    <row r="15" spans="1:10" s="3" customFormat="1" ht="13.5" customHeight="1">
      <c r="A15" s="4"/>
      <c r="B15" s="12"/>
      <c r="C15" s="176" t="s">
        <v>11</v>
      </c>
      <c r="D15" s="176"/>
      <c r="E15" s="13">
        <v>46153</v>
      </c>
      <c r="F15" s="14"/>
      <c r="G15" s="2" t="s">
        <v>7</v>
      </c>
      <c r="H15" s="13"/>
      <c r="I15" s="15"/>
      <c r="J15" s="16"/>
    </row>
    <row r="16" spans="1:10" s="3" customFormat="1" ht="13.5" customHeight="1">
      <c r="A16" s="4"/>
      <c r="B16" s="12"/>
      <c r="C16" s="176" t="s">
        <v>12</v>
      </c>
      <c r="D16" s="176"/>
      <c r="E16" s="21" t="s">
        <v>13</v>
      </c>
      <c r="F16" s="14"/>
      <c r="G16" s="2" t="s">
        <v>14</v>
      </c>
      <c r="H16" s="13"/>
      <c r="I16" s="15"/>
      <c r="J16" s="16"/>
    </row>
    <row r="17" spans="1:10" s="3" customFormat="1" ht="13.5" customHeight="1">
      <c r="A17" s="4"/>
      <c r="B17" s="22"/>
      <c r="C17" s="23"/>
      <c r="D17" s="23"/>
      <c r="E17" s="24"/>
      <c r="F17" s="24"/>
      <c r="G17" s="24"/>
      <c r="H17" s="24"/>
      <c r="I17" s="24"/>
      <c r="J17" s="25"/>
    </row>
    <row r="18" spans="1:10" s="3" customFormat="1" ht="13.5" customHeight="1">
      <c r="B18" s="26"/>
      <c r="C18" s="24"/>
      <c r="D18" s="24"/>
      <c r="E18" s="24"/>
      <c r="F18" s="24"/>
      <c r="G18" s="24"/>
      <c r="H18" s="24"/>
      <c r="I18" s="24"/>
      <c r="J18" s="25"/>
    </row>
    <row r="19" spans="1:10" ht="15" customHeight="1">
      <c r="B19" s="27"/>
      <c r="C19" s="28"/>
      <c r="D19" s="28"/>
      <c r="E19" s="28"/>
      <c r="F19" s="28"/>
      <c r="G19" s="28"/>
      <c r="H19" s="28"/>
      <c r="I19" s="28"/>
      <c r="J19" s="29"/>
    </row>
  </sheetData>
  <mergeCells count="12">
    <mergeCell ref="C15:D15"/>
    <mergeCell ref="C16:D16"/>
    <mergeCell ref="B10:I10"/>
    <mergeCell ref="C11:D11"/>
    <mergeCell ref="C12:D12"/>
    <mergeCell ref="C13:D13"/>
    <mergeCell ref="C14:D14"/>
    <mergeCell ref="B2:J2"/>
    <mergeCell ref="B3:J3"/>
    <mergeCell ref="B6:J7"/>
    <mergeCell ref="E8:H8"/>
    <mergeCell ref="B9:J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"/>
  <sheetViews>
    <sheetView zoomScaleNormal="100" workbookViewId="0">
      <selection activeCell="B20" sqref="B20"/>
    </sheetView>
  </sheetViews>
  <sheetFormatPr defaultColWidth="9.140625" defaultRowHeight="14.25"/>
  <cols>
    <col min="1" max="1" width="21.42578125" style="30" customWidth="1"/>
    <col min="2" max="2" width="22.5703125" style="30" customWidth="1"/>
    <col min="3" max="3" width="14.140625" style="30" customWidth="1"/>
    <col min="4" max="4" width="11.5703125" style="30" customWidth="1"/>
    <col min="5" max="5" width="10.5703125" style="30" customWidth="1"/>
    <col min="6" max="6" width="12.7109375" style="30" customWidth="1"/>
    <col min="7" max="7" width="14" style="30" customWidth="1"/>
    <col min="8" max="1024" width="9.140625" style="30"/>
  </cols>
  <sheetData>
    <row r="1" spans="1:7" ht="17.25" customHeight="1">
      <c r="A1" s="31" t="s">
        <v>15</v>
      </c>
      <c r="B1" s="32"/>
    </row>
    <row r="2" spans="1:7" ht="15" customHeight="1"/>
    <row r="3" spans="1:7" ht="14.25" customHeight="1">
      <c r="A3" s="1" t="s">
        <v>16</v>
      </c>
      <c r="B3" s="1" t="s">
        <v>17</v>
      </c>
      <c r="C3" s="181" t="s">
        <v>18</v>
      </c>
      <c r="D3" s="181"/>
      <c r="E3" s="181"/>
      <c r="F3" s="181"/>
      <c r="G3" s="181"/>
    </row>
    <row r="4" spans="1:7" ht="14.25" customHeight="1">
      <c r="A4" s="33">
        <v>1</v>
      </c>
      <c r="B4" s="34" t="s">
        <v>19</v>
      </c>
      <c r="C4" s="182" t="s">
        <v>19</v>
      </c>
      <c r="D4" s="182"/>
      <c r="E4" s="182"/>
      <c r="F4" s="182"/>
      <c r="G4" s="182"/>
    </row>
    <row r="5" spans="1:7" ht="14.25" customHeight="1">
      <c r="A5" s="33">
        <v>2</v>
      </c>
      <c r="B5" s="34" t="s">
        <v>20</v>
      </c>
      <c r="C5" s="182" t="s">
        <v>21</v>
      </c>
      <c r="D5" s="182"/>
      <c r="E5" s="182"/>
      <c r="F5" s="182"/>
      <c r="G5" s="182"/>
    </row>
    <row r="6" spans="1:7" ht="14.25" customHeight="1">
      <c r="A6" s="33">
        <v>3</v>
      </c>
      <c r="B6" s="34" t="s">
        <v>22</v>
      </c>
      <c r="C6" s="182" t="s">
        <v>23</v>
      </c>
      <c r="D6" s="182"/>
      <c r="E6" s="182"/>
      <c r="F6" s="182"/>
      <c r="G6" s="182"/>
    </row>
    <row r="7" spans="1:7" ht="14.25" customHeight="1">
      <c r="A7" s="33">
        <v>4</v>
      </c>
      <c r="B7" s="34" t="s">
        <v>24</v>
      </c>
      <c r="C7" s="182" t="s">
        <v>25</v>
      </c>
      <c r="D7" s="182"/>
      <c r="E7" s="182"/>
      <c r="F7" s="182"/>
      <c r="G7" s="182"/>
    </row>
    <row r="8" spans="1:7" ht="15" customHeight="1">
      <c r="A8" s="35"/>
      <c r="B8" s="36"/>
      <c r="C8" s="36"/>
      <c r="D8" s="36"/>
      <c r="E8" s="36"/>
    </row>
    <row r="9" spans="1:7" ht="14.25" customHeight="1">
      <c r="A9" s="1" t="s">
        <v>26</v>
      </c>
      <c r="B9" s="1" t="s">
        <v>27</v>
      </c>
      <c r="C9" s="179" t="s">
        <v>28</v>
      </c>
      <c r="D9" s="179"/>
      <c r="E9" s="179"/>
      <c r="F9" s="1" t="s">
        <v>29</v>
      </c>
      <c r="G9" s="1" t="s">
        <v>30</v>
      </c>
    </row>
    <row r="10" spans="1:7" ht="14.25" customHeight="1">
      <c r="A10" s="37">
        <v>46153</v>
      </c>
      <c r="B10" s="38" t="s">
        <v>31</v>
      </c>
      <c r="C10" s="180" t="s">
        <v>32</v>
      </c>
      <c r="D10" s="180"/>
      <c r="E10" s="180"/>
      <c r="F10" s="39">
        <v>1</v>
      </c>
      <c r="G10" s="40"/>
    </row>
  </sheetData>
  <mergeCells count="7">
    <mergeCell ref="C9:E9"/>
    <mergeCell ref="C10:E10"/>
    <mergeCell ref="C3:G3"/>
    <mergeCell ref="C4:G4"/>
    <mergeCell ref="C5:G5"/>
    <mergeCell ref="C6:G6"/>
    <mergeCell ref="C7:G7"/>
  </mergeCells>
  <hyperlinks>
    <hyperlink ref="B4" location="Cover!A1" display="Cover" xr:uid="{00000000-0004-0000-0100-000000000000}"/>
    <hyperlink ref="B5" location="Records!A1" display="Records" xr:uid="{00000000-0004-0000-0100-000001000000}"/>
    <hyperlink ref="B6" location="Funtion!A1" display="Function" xr:uid="{00000000-0004-0000-0100-000002000000}"/>
    <hyperlink ref="B7" location="'Screen Element'!A1" display="Screen Element" xr:uid="{00000000-0004-0000-0100-000003000000}"/>
  </hyperlink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1"/>
  <sheetViews>
    <sheetView zoomScaleNormal="100" workbookViewId="0">
      <selection activeCell="A19" sqref="A18:A19"/>
    </sheetView>
  </sheetViews>
  <sheetFormatPr defaultColWidth="8.7109375" defaultRowHeight="14.25"/>
  <cols>
    <col min="1" max="1" width="24.140625" customWidth="1"/>
    <col min="2" max="2" width="15.42578125" customWidth="1"/>
    <col min="3" max="3" width="16" customWidth="1"/>
    <col min="4" max="4" width="15.42578125" customWidth="1"/>
    <col min="8" max="8" width="8.5703125" customWidth="1"/>
  </cols>
  <sheetData>
    <row r="1" spans="1:7" ht="14.25" customHeight="1">
      <c r="A1" s="41"/>
      <c r="B1" s="42"/>
      <c r="C1" s="42"/>
      <c r="D1" s="42"/>
      <c r="E1" s="42"/>
      <c r="F1" s="42"/>
      <c r="G1" s="43"/>
    </row>
    <row r="2" spans="1:7" ht="27.75" customHeight="1">
      <c r="A2" s="44"/>
      <c r="B2" s="45" t="s">
        <v>33</v>
      </c>
      <c r="C2" s="44"/>
      <c r="D2" s="44"/>
      <c r="E2" s="44"/>
      <c r="F2" s="44"/>
      <c r="G2" s="44"/>
    </row>
    <row r="3" spans="1:7" ht="14.25" customHeight="1">
      <c r="A3" s="44"/>
      <c r="B3" s="44"/>
      <c r="C3" s="44"/>
      <c r="D3" s="44"/>
      <c r="E3" s="44"/>
      <c r="F3" s="44"/>
      <c r="G3" s="44"/>
    </row>
    <row r="4" spans="1:7" ht="15" customHeight="1">
      <c r="A4" s="44"/>
      <c r="B4" s="44"/>
      <c r="C4" s="44"/>
      <c r="D4" s="44"/>
      <c r="E4" s="44"/>
      <c r="F4" s="44"/>
      <c r="G4" s="44"/>
    </row>
    <row r="5" spans="1:7" ht="33" customHeight="1">
      <c r="A5" s="46" t="s">
        <v>34</v>
      </c>
      <c r="B5" s="183" t="e">
        <f>#NAME?</f>
        <v>#NAME?</v>
      </c>
      <c r="C5" s="183"/>
      <c r="D5" s="47" t="s">
        <v>35</v>
      </c>
      <c r="E5" s="184"/>
      <c r="F5" s="184"/>
      <c r="G5" s="184"/>
    </row>
    <row r="6" spans="1:7" ht="14.25" customHeight="1">
      <c r="A6" s="48" t="s">
        <v>36</v>
      </c>
      <c r="B6" s="185"/>
      <c r="C6" s="185"/>
      <c r="D6" s="49" t="s">
        <v>37</v>
      </c>
      <c r="E6" s="186"/>
      <c r="F6" s="186"/>
      <c r="G6" s="186"/>
    </row>
    <row r="7" spans="1:7" ht="14.25" customHeight="1">
      <c r="A7" s="48" t="s">
        <v>38</v>
      </c>
      <c r="B7" s="187"/>
      <c r="C7" s="187"/>
      <c r="D7" s="49" t="s">
        <v>39</v>
      </c>
      <c r="E7" s="188"/>
      <c r="F7" s="188"/>
      <c r="G7" s="188"/>
    </row>
    <row r="8" spans="1:7" ht="14.25" customHeight="1">
      <c r="A8" s="48" t="s">
        <v>40</v>
      </c>
      <c r="B8" s="187"/>
      <c r="C8" s="187"/>
      <c r="D8" s="49" t="s">
        <v>41</v>
      </c>
      <c r="E8" s="186"/>
      <c r="F8" s="186"/>
      <c r="G8" s="186"/>
    </row>
    <row r="9" spans="1:7" ht="14.25" customHeight="1">
      <c r="A9" s="48" t="s">
        <v>42</v>
      </c>
      <c r="B9" s="50" t="s">
        <v>43</v>
      </c>
      <c r="C9" s="51"/>
      <c r="D9" s="49"/>
      <c r="E9" s="52"/>
      <c r="F9" s="53"/>
      <c r="G9" s="54"/>
    </row>
    <row r="10" spans="1:7" ht="14.25" customHeight="1">
      <c r="A10" s="48" t="s">
        <v>44</v>
      </c>
      <c r="B10" s="189"/>
      <c r="C10" s="189"/>
      <c r="D10" s="49"/>
      <c r="E10" s="186"/>
      <c r="F10" s="186"/>
      <c r="G10" s="186"/>
    </row>
    <row r="11" spans="1:7" ht="14.25" customHeight="1">
      <c r="A11" s="190" t="s">
        <v>45</v>
      </c>
      <c r="B11" s="190"/>
      <c r="C11" s="55"/>
      <c r="D11" s="55"/>
      <c r="E11" s="55"/>
      <c r="F11" s="55"/>
      <c r="G11" s="56"/>
    </row>
    <row r="12" spans="1:7" ht="14.25" customHeight="1">
      <c r="A12" s="57" t="s">
        <v>46</v>
      </c>
      <c r="B12" s="58"/>
      <c r="C12" s="59"/>
      <c r="D12" s="59"/>
      <c r="E12" s="59"/>
      <c r="F12" s="59"/>
      <c r="G12" s="60"/>
    </row>
    <row r="13" spans="1:7" ht="14.25" customHeight="1">
      <c r="A13" s="61" t="s">
        <v>47</v>
      </c>
      <c r="B13" s="62"/>
      <c r="C13" s="63"/>
      <c r="D13" s="63"/>
      <c r="E13" s="63"/>
      <c r="F13" s="63"/>
      <c r="G13" s="64"/>
    </row>
    <row r="14" spans="1:7" ht="14.25" customHeight="1">
      <c r="A14" s="65" t="s">
        <v>48</v>
      </c>
      <c r="B14" s="66" t="s">
        <v>49</v>
      </c>
      <c r="C14" s="67" t="s">
        <v>50</v>
      </c>
      <c r="D14" s="67" t="s">
        <v>51</v>
      </c>
      <c r="E14" s="67" t="s">
        <v>52</v>
      </c>
      <c r="F14" s="68" t="s">
        <v>53</v>
      </c>
      <c r="G14" s="69" t="s">
        <v>54</v>
      </c>
    </row>
    <row r="15" spans="1:7" ht="14.25" customHeight="1">
      <c r="A15" s="70" t="s">
        <v>54</v>
      </c>
      <c r="B15" s="71">
        <f>SUM(B16:B16)</f>
        <v>6</v>
      </c>
      <c r="C15" s="71">
        <f>SUM(C16:C16)</f>
        <v>19</v>
      </c>
      <c r="D15" s="71">
        <f>SUM(D16:D16)</f>
        <v>0</v>
      </c>
      <c r="E15" s="71">
        <f>SUM(E16:E16)</f>
        <v>0</v>
      </c>
      <c r="F15" s="71">
        <f>SUM(F16:F16)</f>
        <v>22</v>
      </c>
      <c r="G15" s="72">
        <f>SUM(B15:F15)</f>
        <v>47</v>
      </c>
    </row>
    <row r="16" spans="1:7" ht="14.25" customHeight="1">
      <c r="A16" s="73" t="s">
        <v>55</v>
      </c>
      <c r="B16" s="74">
        <f>Testcase!E6</f>
        <v>6</v>
      </c>
      <c r="C16" s="74">
        <f>Testcase!E7</f>
        <v>19</v>
      </c>
      <c r="D16" s="74">
        <f>Testcase!E9</f>
        <v>0</v>
      </c>
      <c r="E16" s="74">
        <f>Testcase!E10</f>
        <v>0</v>
      </c>
      <c r="F16" s="74">
        <f>Testcase!E8</f>
        <v>22</v>
      </c>
      <c r="G16" s="74">
        <f>SUM(B16:F16)</f>
        <v>47</v>
      </c>
    </row>
    <row r="17" spans="1:19" ht="14.25" customHeight="1">
      <c r="A17" s="75" t="s">
        <v>56</v>
      </c>
      <c r="B17" s="74"/>
      <c r="C17" s="74"/>
      <c r="D17" s="74"/>
      <c r="E17" s="74"/>
      <c r="F17" s="74"/>
      <c r="G17" s="74"/>
    </row>
    <row r="18" spans="1:19" ht="14.25" customHeight="1">
      <c r="A18" s="73" t="s">
        <v>56</v>
      </c>
      <c r="B18" s="74"/>
      <c r="C18" s="74"/>
      <c r="D18" s="74"/>
      <c r="E18" s="74"/>
      <c r="F18" s="74"/>
      <c r="G18" s="76">
        <f>IFERROR(SUM(B15,C15,E15)/G15, 0)</f>
        <v>0.53191489361702127</v>
      </c>
    </row>
    <row r="19" spans="1:19" ht="14.25" customHeight="1">
      <c r="A19" s="73" t="s">
        <v>57</v>
      </c>
      <c r="B19" s="74"/>
      <c r="C19" s="74"/>
      <c r="D19" s="74"/>
      <c r="E19" s="74"/>
      <c r="F19" s="74"/>
      <c r="G19" s="76">
        <f>IFERROR(SUM(B15,E15)/G15, 0)</f>
        <v>0.1276595744680851</v>
      </c>
    </row>
    <row r="20" spans="1:19" ht="14.25" customHeight="1">
      <c r="A20" s="75" t="s">
        <v>58</v>
      </c>
      <c r="B20" s="74"/>
      <c r="C20" s="74"/>
      <c r="D20" s="74"/>
      <c r="E20" s="74"/>
      <c r="F20" s="74"/>
      <c r="G20" s="74"/>
    </row>
    <row r="21" spans="1:19" ht="14.25" customHeight="1">
      <c r="A21" s="75" t="s">
        <v>59</v>
      </c>
      <c r="B21" s="74"/>
      <c r="C21" s="74"/>
      <c r="D21" s="74"/>
      <c r="E21" s="74"/>
      <c r="F21" s="74"/>
      <c r="G21" s="74"/>
    </row>
    <row r="22" spans="1:19" ht="14.25" customHeight="1">
      <c r="A22" s="75" t="s">
        <v>60</v>
      </c>
      <c r="B22" s="74"/>
      <c r="C22" s="74"/>
      <c r="D22" s="74"/>
      <c r="E22" s="74"/>
      <c r="F22" s="74"/>
      <c r="G22" s="74"/>
      <c r="S22" s="77" t="s">
        <v>61</v>
      </c>
    </row>
    <row r="23" spans="1:19" ht="14.25" customHeight="1">
      <c r="A23" s="73"/>
      <c r="B23" s="74"/>
      <c r="C23" s="74"/>
      <c r="D23" s="74"/>
      <c r="E23" s="74"/>
      <c r="F23" s="74"/>
      <c r="G23" s="74"/>
    </row>
    <row r="24" spans="1:19">
      <c r="A24" s="73"/>
      <c r="B24" s="74"/>
      <c r="C24" s="74"/>
      <c r="D24" s="74"/>
      <c r="E24" s="74"/>
      <c r="F24" s="74"/>
      <c r="G24" s="74"/>
    </row>
    <row r="25" spans="1:19">
      <c r="A25" s="73"/>
      <c r="B25" s="74"/>
      <c r="C25" s="74"/>
      <c r="D25" s="74"/>
      <c r="E25" s="74"/>
      <c r="F25" s="74"/>
      <c r="G25" s="74"/>
    </row>
    <row r="26" spans="1:19">
      <c r="A26" s="73"/>
      <c r="B26" s="74"/>
      <c r="C26" s="74"/>
      <c r="D26" s="74"/>
      <c r="E26" s="74"/>
      <c r="F26" s="74"/>
      <c r="G26" s="74"/>
    </row>
    <row r="27" spans="1:19">
      <c r="A27" s="73"/>
      <c r="B27" s="74"/>
      <c r="C27" s="74"/>
      <c r="D27" s="74"/>
      <c r="E27" s="74"/>
      <c r="F27" s="74"/>
      <c r="G27" s="74"/>
    </row>
    <row r="28" spans="1:19">
      <c r="A28" s="73"/>
      <c r="B28" s="74"/>
      <c r="C28" s="74"/>
      <c r="D28" s="74"/>
      <c r="E28" s="74"/>
      <c r="F28" s="74"/>
      <c r="G28" s="74"/>
    </row>
    <row r="29" spans="1:19" ht="14.25" customHeight="1">
      <c r="A29" s="73"/>
      <c r="B29" s="74"/>
      <c r="C29" s="74"/>
      <c r="D29" s="74"/>
      <c r="E29" s="74"/>
      <c r="F29" s="74"/>
      <c r="G29" s="74"/>
    </row>
    <row r="30" spans="1:19" ht="15" customHeight="1">
      <c r="A30" s="73"/>
      <c r="B30" s="74"/>
      <c r="C30" s="74"/>
      <c r="D30" s="74"/>
      <c r="E30" s="74"/>
      <c r="F30" s="74"/>
      <c r="G30" s="74"/>
    </row>
    <row r="31" spans="1:19" ht="15" customHeight="1">
      <c r="A31" s="73"/>
      <c r="B31" s="74"/>
      <c r="C31" s="74"/>
      <c r="D31" s="74"/>
      <c r="E31" s="74"/>
      <c r="F31" s="74"/>
      <c r="G31" s="74"/>
    </row>
    <row r="32" spans="1:19" ht="15" customHeight="1">
      <c r="A32" s="73"/>
      <c r="B32" s="74"/>
      <c r="C32" s="74"/>
      <c r="D32" s="74"/>
      <c r="E32" s="74"/>
      <c r="F32" s="74"/>
      <c r="G32" s="74"/>
    </row>
    <row r="33" spans="1:7">
      <c r="A33" s="73"/>
      <c r="B33" s="74"/>
      <c r="C33" s="74"/>
      <c r="D33" s="74"/>
      <c r="E33" s="74"/>
      <c r="F33" s="74"/>
      <c r="G33" s="74"/>
    </row>
    <row r="34" spans="1:7">
      <c r="A34" s="73"/>
      <c r="B34" s="74"/>
      <c r="C34" s="74"/>
      <c r="D34" s="74"/>
      <c r="E34" s="74"/>
      <c r="F34" s="74"/>
      <c r="G34" s="74"/>
    </row>
    <row r="35" spans="1:7">
      <c r="A35" s="73"/>
      <c r="B35" s="74"/>
      <c r="C35" s="74"/>
      <c r="D35" s="74"/>
      <c r="E35" s="74"/>
      <c r="F35" s="74"/>
      <c r="G35" s="74"/>
    </row>
    <row r="36" spans="1:7">
      <c r="A36" s="73"/>
      <c r="B36" s="74"/>
      <c r="C36" s="74"/>
      <c r="D36" s="74"/>
      <c r="E36" s="74"/>
      <c r="F36" s="74"/>
      <c r="G36" s="74"/>
    </row>
    <row r="37" spans="1:7">
      <c r="A37" s="73"/>
      <c r="B37" s="74"/>
      <c r="C37" s="74"/>
      <c r="D37" s="74"/>
      <c r="E37" s="74"/>
      <c r="F37" s="74"/>
      <c r="G37" s="74"/>
    </row>
    <row r="38" spans="1:7">
      <c r="A38" s="73"/>
      <c r="B38" s="74"/>
      <c r="C38" s="74"/>
      <c r="D38" s="74"/>
      <c r="E38" s="74"/>
      <c r="F38" s="74"/>
      <c r="G38" s="74"/>
    </row>
    <row r="39" spans="1:7">
      <c r="A39" s="73"/>
      <c r="B39" s="74"/>
      <c r="C39" s="74"/>
      <c r="D39" s="74"/>
      <c r="E39" s="74"/>
      <c r="F39" s="74"/>
      <c r="G39" s="74"/>
    </row>
    <row r="40" spans="1:7">
      <c r="A40" s="73"/>
      <c r="B40" s="74"/>
      <c r="C40" s="74"/>
      <c r="D40" s="74"/>
      <c r="E40" s="74"/>
      <c r="F40" s="74"/>
      <c r="G40" s="74"/>
    </row>
    <row r="41" spans="1:7">
      <c r="A41" s="73"/>
      <c r="B41" s="74"/>
      <c r="C41" s="74"/>
      <c r="D41" s="74"/>
      <c r="E41" s="74"/>
      <c r="F41" s="74"/>
      <c r="G41" s="74"/>
    </row>
    <row r="42" spans="1:7">
      <c r="A42" s="73"/>
      <c r="B42" s="74"/>
      <c r="C42" s="74"/>
      <c r="D42" s="74"/>
      <c r="E42" s="74"/>
      <c r="F42" s="74"/>
      <c r="G42" s="74"/>
    </row>
    <row r="43" spans="1:7">
      <c r="A43" s="73"/>
      <c r="B43" s="74"/>
      <c r="C43" s="74"/>
      <c r="D43" s="74"/>
      <c r="E43" s="74"/>
      <c r="F43" s="74"/>
      <c r="G43" s="74"/>
    </row>
    <row r="44" spans="1:7">
      <c r="A44" s="73"/>
      <c r="B44" s="74"/>
      <c r="C44" s="74"/>
      <c r="D44" s="74"/>
      <c r="E44" s="74"/>
      <c r="F44" s="74"/>
      <c r="G44" s="74"/>
    </row>
    <row r="45" spans="1:7">
      <c r="A45" s="73"/>
      <c r="B45" s="74"/>
      <c r="C45" s="74"/>
      <c r="D45" s="74"/>
      <c r="E45" s="74"/>
      <c r="F45" s="74"/>
      <c r="G45" s="74"/>
    </row>
    <row r="46" spans="1:7">
      <c r="A46" s="75"/>
    </row>
    <row r="47" spans="1:7">
      <c r="A47" s="73"/>
      <c r="G47" s="78"/>
    </row>
    <row r="48" spans="1:7">
      <c r="A48" s="73"/>
      <c r="G48" s="78"/>
    </row>
    <row r="49" spans="1:1">
      <c r="A49" s="75"/>
    </row>
    <row r="50" spans="1:1">
      <c r="A50" s="75"/>
    </row>
    <row r="51" spans="1:1">
      <c r="A51" s="75"/>
    </row>
  </sheetData>
  <mergeCells count="11">
    <mergeCell ref="B8:C8"/>
    <mergeCell ref="E8:G8"/>
    <mergeCell ref="B10:C10"/>
    <mergeCell ref="E10:G10"/>
    <mergeCell ref="A11:B11"/>
    <mergeCell ref="B5:C5"/>
    <mergeCell ref="E5:G5"/>
    <mergeCell ref="B6:C6"/>
    <mergeCell ref="E6:G6"/>
    <mergeCell ref="B7:C7"/>
    <mergeCell ref="E7:G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85"/>
  <sheetViews>
    <sheetView tabSelected="1" topLeftCell="A46" zoomScaleNormal="100" workbookViewId="0">
      <selection activeCell="J44" sqref="J44"/>
    </sheetView>
  </sheetViews>
  <sheetFormatPr defaultColWidth="8.85546875" defaultRowHeight="14.25"/>
  <cols>
    <col min="1" max="1" width="28.85546875" style="79" customWidth="1"/>
    <col min="2" max="2" width="40.5703125" style="79" customWidth="1"/>
    <col min="3" max="3" width="27.28515625" style="79" customWidth="1"/>
    <col min="4" max="4" width="45" style="79" customWidth="1"/>
    <col min="5" max="5" width="73.28515625" style="79" customWidth="1"/>
    <col min="6" max="6" width="69" style="79" customWidth="1"/>
    <col min="7" max="7" width="15.42578125" style="79" customWidth="1"/>
    <col min="8" max="8" width="9.7109375" style="113" customWidth="1"/>
    <col min="9" max="9" width="18.5703125" style="113" customWidth="1"/>
    <col min="10" max="10" width="16.140625" style="113" customWidth="1"/>
    <col min="11" max="11" width="16.7109375" style="113" customWidth="1"/>
    <col min="12" max="12" width="7" style="79" customWidth="1"/>
    <col min="13" max="13" width="23.5703125" style="79" customWidth="1"/>
    <col min="14" max="14" width="17.140625" style="79" customWidth="1"/>
    <col min="15" max="16384" width="8.85546875" style="79"/>
  </cols>
  <sheetData>
    <row r="1" spans="1:30" s="82" customFormat="1" ht="39" customHeight="1">
      <c r="A1" s="80" t="s">
        <v>62</v>
      </c>
      <c r="B1" s="169" t="s">
        <v>63</v>
      </c>
      <c r="C1" s="170"/>
      <c r="D1" s="170"/>
      <c r="E1" s="139"/>
      <c r="F1" s="134"/>
      <c r="G1" s="135"/>
      <c r="H1" s="136"/>
      <c r="I1" s="136"/>
      <c r="J1" s="136"/>
      <c r="K1" s="136"/>
      <c r="L1" s="136"/>
      <c r="M1" s="137"/>
    </row>
    <row r="2" spans="1:30" s="82" customFormat="1" ht="15" customHeight="1">
      <c r="A2" s="80" t="s">
        <v>64</v>
      </c>
      <c r="B2" s="80" t="s">
        <v>65</v>
      </c>
      <c r="C2" s="80"/>
      <c r="D2" s="143"/>
      <c r="E2" s="139"/>
      <c r="F2" s="134"/>
      <c r="G2" s="135"/>
      <c r="H2" s="136"/>
      <c r="I2" s="136"/>
      <c r="J2" s="136"/>
      <c r="K2" s="136"/>
      <c r="L2" s="136"/>
      <c r="M2" s="137"/>
    </row>
    <row r="3" spans="1:30" s="86" customFormat="1" ht="15" customHeight="1">
      <c r="A3" s="83"/>
      <c r="B3" s="84"/>
      <c r="C3" s="84"/>
      <c r="D3" s="144"/>
      <c r="E3" s="139"/>
      <c r="F3" s="134"/>
      <c r="G3" s="135"/>
      <c r="H3" s="136"/>
      <c r="I3" s="138"/>
      <c r="J3" s="138"/>
      <c r="K3" s="138"/>
      <c r="L3" s="138"/>
      <c r="M3" s="85"/>
    </row>
    <row r="4" spans="1:30" s="89" customFormat="1" ht="15" customHeight="1">
      <c r="A4" s="87"/>
      <c r="B4" s="88" t="s">
        <v>66</v>
      </c>
      <c r="C4" s="88" t="s">
        <v>67</v>
      </c>
      <c r="D4" s="131" t="s">
        <v>68</v>
      </c>
      <c r="E4" s="140" t="s">
        <v>54</v>
      </c>
      <c r="G4" s="146"/>
      <c r="H4" s="147"/>
      <c r="I4" s="147"/>
      <c r="J4" s="147"/>
      <c r="K4" s="147"/>
    </row>
    <row r="5" spans="1:30" s="89" customFormat="1" ht="15" customHeight="1">
      <c r="A5" s="90"/>
      <c r="B5" s="91">
        <f>SUM(B6:B10)</f>
        <v>47</v>
      </c>
      <c r="C5" s="91">
        <f>SUM(C6:C10)</f>
        <v>0</v>
      </c>
      <c r="D5" s="132">
        <f>SUM(D6:D10)</f>
        <v>0</v>
      </c>
      <c r="E5" s="141">
        <f>SUM(B5:D5)</f>
        <v>47</v>
      </c>
      <c r="G5" s="148"/>
      <c r="H5" s="149"/>
      <c r="I5" s="149"/>
      <c r="J5" s="149"/>
      <c r="K5" s="149"/>
    </row>
    <row r="6" spans="1:30" s="85" customFormat="1" ht="15" customHeight="1">
      <c r="A6" s="81" t="s">
        <v>49</v>
      </c>
      <c r="B6" s="92">
        <f>COUNTIFS($J:$J, $A$6,$H:$H,B$4)</f>
        <v>6</v>
      </c>
      <c r="C6" s="92">
        <f>COUNTIFS($J:$J, $A$6,$H:$H,C$4)</f>
        <v>0</v>
      </c>
      <c r="D6" s="133">
        <f>COUNTIFS($J:$J, $A$6,$H:$H,D$4)</f>
        <v>0</v>
      </c>
      <c r="E6" s="142">
        <f>SUM(B6:D6)</f>
        <v>6</v>
      </c>
      <c r="G6" s="150"/>
      <c r="H6" s="151"/>
      <c r="I6" s="151"/>
      <c r="J6" s="151"/>
      <c r="K6" s="151"/>
    </row>
    <row r="7" spans="1:30" s="85" customFormat="1" ht="15" customHeight="1">
      <c r="A7" s="81" t="s">
        <v>50</v>
      </c>
      <c r="B7" s="92">
        <f>COUNTIFS($J:$J, $A$7,$H:$H,B$4)</f>
        <v>19</v>
      </c>
      <c r="C7" s="92">
        <f>COUNTIFS($J:$J, $A$7,$H:$H,C$4)</f>
        <v>0</v>
      </c>
      <c r="D7" s="133">
        <f>COUNTIFS($J:$J, $A$7,$H:$H,D$4)</f>
        <v>0</v>
      </c>
      <c r="E7" s="142">
        <f>SUM(B7:D7)</f>
        <v>19</v>
      </c>
      <c r="G7" s="150"/>
      <c r="H7" s="151"/>
      <c r="I7" s="151"/>
      <c r="J7" s="151"/>
      <c r="K7" s="151"/>
    </row>
    <row r="8" spans="1:30" s="85" customFormat="1" ht="15" customHeight="1">
      <c r="A8" s="81" t="s">
        <v>53</v>
      </c>
      <c r="B8" s="92">
        <f>COUNTIFS($J:$J, $A$8,$H:$H,B$4)</f>
        <v>22</v>
      </c>
      <c r="C8" s="92">
        <f>COUNTIFS($J:$J, $A$8,$H:$H,C$4)</f>
        <v>0</v>
      </c>
      <c r="D8" s="133">
        <f>COUNTIFS($J:$J, $A$8,$H:$H,D$4)</f>
        <v>0</v>
      </c>
      <c r="E8" s="142">
        <f>SUM(B8:D8)</f>
        <v>22</v>
      </c>
      <c r="G8" s="150"/>
      <c r="H8" s="151"/>
      <c r="I8" s="151"/>
      <c r="J8" s="151"/>
      <c r="K8" s="151"/>
    </row>
    <row r="9" spans="1:30" s="85" customFormat="1" ht="15" customHeight="1">
      <c r="A9" s="81" t="s">
        <v>51</v>
      </c>
      <c r="B9" s="92">
        <f>COUNTIFS($J:$J, $A$9,$H:$H,B$4)</f>
        <v>0</v>
      </c>
      <c r="C9" s="92">
        <f>COUNTIFS($J:$J, $A$9,$H:$H,C$4)</f>
        <v>0</v>
      </c>
      <c r="D9" s="133">
        <f>COUNTIFS($J:$J, $A$9,$H:$H,D$4)</f>
        <v>0</v>
      </c>
      <c r="E9" s="142">
        <f>SUM(B9:D9)</f>
        <v>0</v>
      </c>
      <c r="G9" s="150"/>
      <c r="H9" s="151"/>
      <c r="I9" s="151"/>
      <c r="J9" s="151"/>
      <c r="K9" s="151"/>
    </row>
    <row r="10" spans="1:30" s="85" customFormat="1" ht="15" customHeight="1">
      <c r="A10" s="81" t="s">
        <v>52</v>
      </c>
      <c r="B10" s="92">
        <f>COUNTIFS($J:$J, $A$10,H:H,B$4)</f>
        <v>0</v>
      </c>
      <c r="C10" s="92">
        <f>COUNTIFS($J:$J, $A$10,I:I,C$4)</f>
        <v>0</v>
      </c>
      <c r="D10" s="133">
        <f>COUNTIFS($J:$J, $A$10,J:J,D$4)</f>
        <v>0</v>
      </c>
      <c r="E10" s="142">
        <f>SUM(B10:D10)</f>
        <v>0</v>
      </c>
      <c r="G10" s="150"/>
      <c r="H10" s="151"/>
      <c r="I10" s="151"/>
      <c r="J10" s="151"/>
      <c r="K10" s="151"/>
    </row>
    <row r="12" spans="1:30" ht="28.5" customHeight="1">
      <c r="A12" s="93" t="s">
        <v>69</v>
      </c>
      <c r="B12" s="93" t="s">
        <v>70</v>
      </c>
      <c r="C12" s="93" t="s">
        <v>71</v>
      </c>
      <c r="D12" s="93" t="s">
        <v>72</v>
      </c>
      <c r="E12" s="93" t="s">
        <v>73</v>
      </c>
      <c r="F12" s="93" t="s">
        <v>74</v>
      </c>
      <c r="G12" s="93" t="s">
        <v>42</v>
      </c>
      <c r="H12" s="94" t="s">
        <v>75</v>
      </c>
      <c r="I12" s="94" t="s">
        <v>76</v>
      </c>
      <c r="J12" s="94" t="s">
        <v>77</v>
      </c>
      <c r="K12" s="94" t="s">
        <v>78</v>
      </c>
      <c r="L12" s="93" t="s">
        <v>79</v>
      </c>
      <c r="M12" s="93" t="s">
        <v>80</v>
      </c>
    </row>
    <row r="13" spans="1:30" ht="19.5" customHeight="1">
      <c r="A13" s="95"/>
      <c r="B13" s="168" t="s">
        <v>81</v>
      </c>
      <c r="C13" s="168"/>
      <c r="D13" s="168"/>
      <c r="E13" s="96"/>
      <c r="F13" s="96"/>
      <c r="G13" s="96"/>
      <c r="H13" s="114"/>
      <c r="I13" s="114"/>
      <c r="J13" s="114"/>
      <c r="K13" s="114"/>
      <c r="L13" s="96"/>
      <c r="M13" s="96"/>
    </row>
    <row r="14" spans="1:30" s="101" customFormat="1" ht="19.5" customHeight="1">
      <c r="A14" s="97"/>
      <c r="B14" s="98" t="s">
        <v>82</v>
      </c>
      <c r="C14" s="98"/>
      <c r="D14" s="98"/>
      <c r="E14" s="99"/>
      <c r="F14" s="99"/>
      <c r="G14" s="99"/>
      <c r="H14" s="115"/>
      <c r="I14" s="115"/>
      <c r="J14" s="115"/>
      <c r="K14" s="115"/>
      <c r="L14" s="99"/>
      <c r="M14" s="99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 spans="1:30" s="101" customFormat="1" ht="228" customHeight="1">
      <c r="A15" s="102" t="s">
        <v>83</v>
      </c>
      <c r="B15" s="103" t="s">
        <v>84</v>
      </c>
      <c r="C15" s="103" t="s">
        <v>85</v>
      </c>
      <c r="D15" s="104" t="s">
        <v>86</v>
      </c>
      <c r="E15" s="117" t="s">
        <v>87</v>
      </c>
      <c r="F15" s="105" t="s">
        <v>88</v>
      </c>
      <c r="G15" s="106"/>
      <c r="H15" s="106" t="s">
        <v>66</v>
      </c>
      <c r="I15" s="106" t="s">
        <v>89</v>
      </c>
      <c r="J15" s="145" t="s">
        <v>49</v>
      </c>
      <c r="K15" s="145" t="s">
        <v>49</v>
      </c>
      <c r="L15" s="124"/>
      <c r="M15" s="126"/>
      <c r="N15" s="123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 spans="1:30" ht="228" customHeight="1">
      <c r="A16" s="102" t="s">
        <v>90</v>
      </c>
      <c r="B16" s="103" t="s">
        <v>91</v>
      </c>
      <c r="C16" s="103" t="s">
        <v>85</v>
      </c>
      <c r="D16" s="104" t="s">
        <v>86</v>
      </c>
      <c r="E16" s="119" t="s">
        <v>87</v>
      </c>
      <c r="F16" s="105" t="s">
        <v>88</v>
      </c>
      <c r="G16" s="106"/>
      <c r="H16" s="106" t="s">
        <v>66</v>
      </c>
      <c r="I16" s="106" t="s">
        <v>89</v>
      </c>
      <c r="J16" s="145" t="s">
        <v>50</v>
      </c>
      <c r="K16" s="145" t="s">
        <v>49</v>
      </c>
      <c r="L16" s="107"/>
      <c r="M16" s="125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 spans="1:30" ht="228" customHeight="1">
      <c r="A17" s="102" t="s">
        <v>92</v>
      </c>
      <c r="B17" s="103" t="s">
        <v>93</v>
      </c>
      <c r="C17" s="103" t="s">
        <v>85</v>
      </c>
      <c r="D17" s="104" t="s">
        <v>86</v>
      </c>
      <c r="E17" s="120" t="s">
        <v>94</v>
      </c>
      <c r="F17" s="105" t="s">
        <v>95</v>
      </c>
      <c r="G17" s="106"/>
      <c r="H17" s="106" t="s">
        <v>66</v>
      </c>
      <c r="I17" s="106" t="s">
        <v>89</v>
      </c>
      <c r="J17" s="145" t="s">
        <v>50</v>
      </c>
      <c r="K17" s="145" t="s">
        <v>49</v>
      </c>
      <c r="L17" s="107"/>
      <c r="M17" s="107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 spans="1:30" ht="228" customHeight="1">
      <c r="A18" s="102" t="s">
        <v>96</v>
      </c>
      <c r="B18" s="103" t="s">
        <v>97</v>
      </c>
      <c r="C18" s="103" t="s">
        <v>85</v>
      </c>
      <c r="D18" s="104" t="s">
        <v>86</v>
      </c>
      <c r="E18" s="118" t="s">
        <v>98</v>
      </c>
      <c r="F18" s="105" t="s">
        <v>99</v>
      </c>
      <c r="G18" s="106"/>
      <c r="H18" s="106" t="s">
        <v>66</v>
      </c>
      <c r="I18" s="106" t="s">
        <v>89</v>
      </c>
      <c r="J18" s="145" t="s">
        <v>50</v>
      </c>
      <c r="K18" s="145" t="s">
        <v>49</v>
      </c>
      <c r="L18" s="107"/>
      <c r="M18" s="107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 spans="1:30" ht="228" customHeight="1">
      <c r="A19" s="102" t="s">
        <v>100</v>
      </c>
      <c r="B19" s="103" t="s">
        <v>101</v>
      </c>
      <c r="C19" s="103" t="s">
        <v>85</v>
      </c>
      <c r="D19" s="104" t="s">
        <v>86</v>
      </c>
      <c r="E19" s="121" t="s">
        <v>102</v>
      </c>
      <c r="F19" s="105" t="s">
        <v>103</v>
      </c>
      <c r="G19" s="106"/>
      <c r="H19" s="106" t="s">
        <v>66</v>
      </c>
      <c r="I19" s="106" t="s">
        <v>89</v>
      </c>
      <c r="J19" s="106" t="s">
        <v>50</v>
      </c>
      <c r="K19" s="145" t="s">
        <v>49</v>
      </c>
      <c r="L19" s="107"/>
      <c r="M19" s="107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 spans="1:30" ht="228" customHeight="1">
      <c r="A20" s="102" t="s">
        <v>104</v>
      </c>
      <c r="B20" s="103" t="s">
        <v>105</v>
      </c>
      <c r="C20" s="103" t="s">
        <v>85</v>
      </c>
      <c r="D20" s="104" t="s">
        <v>86</v>
      </c>
      <c r="E20" s="118" t="s">
        <v>106</v>
      </c>
      <c r="F20" s="105" t="s">
        <v>107</v>
      </c>
      <c r="G20" s="106"/>
      <c r="H20" s="106" t="s">
        <v>66</v>
      </c>
      <c r="I20" s="106" t="s">
        <v>89</v>
      </c>
      <c r="J20" s="145" t="s">
        <v>50</v>
      </c>
      <c r="K20" s="145" t="s">
        <v>49</v>
      </c>
      <c r="L20" s="107"/>
      <c r="M20" s="107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 spans="1:30" ht="228" customHeight="1">
      <c r="A21" s="102" t="s">
        <v>108</v>
      </c>
      <c r="B21" s="103" t="s">
        <v>109</v>
      </c>
      <c r="C21" s="103" t="s">
        <v>85</v>
      </c>
      <c r="D21" s="104" t="s">
        <v>86</v>
      </c>
      <c r="E21" s="122" t="s">
        <v>110</v>
      </c>
      <c r="F21" s="105" t="s">
        <v>111</v>
      </c>
      <c r="G21" s="106"/>
      <c r="H21" s="106" t="s">
        <v>66</v>
      </c>
      <c r="I21" s="106" t="s">
        <v>89</v>
      </c>
      <c r="J21" s="145" t="s">
        <v>50</v>
      </c>
      <c r="K21" s="145" t="s">
        <v>49</v>
      </c>
      <c r="L21" s="107"/>
      <c r="M21" s="107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 spans="1:30" ht="228" customHeight="1">
      <c r="A22" s="102" t="s">
        <v>112</v>
      </c>
      <c r="B22" s="103" t="s">
        <v>113</v>
      </c>
      <c r="C22" s="103" t="s">
        <v>85</v>
      </c>
      <c r="D22" s="104" t="s">
        <v>86</v>
      </c>
      <c r="E22" s="120" t="s">
        <v>114</v>
      </c>
      <c r="F22" s="105" t="s">
        <v>115</v>
      </c>
      <c r="G22" s="106"/>
      <c r="H22" s="106" t="s">
        <v>66</v>
      </c>
      <c r="I22" s="106" t="s">
        <v>89</v>
      </c>
      <c r="J22" s="145" t="s">
        <v>50</v>
      </c>
      <c r="K22" s="145" t="s">
        <v>49</v>
      </c>
      <c r="L22" s="107"/>
      <c r="M22" s="107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 spans="1:30" ht="228" customHeight="1">
      <c r="A23" s="102" t="s">
        <v>116</v>
      </c>
      <c r="B23" s="103" t="s">
        <v>117</v>
      </c>
      <c r="C23" s="103" t="s">
        <v>85</v>
      </c>
      <c r="D23" s="104" t="s">
        <v>86</v>
      </c>
      <c r="E23" s="121" t="s">
        <v>118</v>
      </c>
      <c r="F23" s="105" t="s">
        <v>119</v>
      </c>
      <c r="G23" s="106"/>
      <c r="H23" s="106" t="s">
        <v>66</v>
      </c>
      <c r="I23" s="106" t="s">
        <v>89</v>
      </c>
      <c r="J23" s="145" t="s">
        <v>50</v>
      </c>
      <c r="K23" s="145" t="s">
        <v>49</v>
      </c>
      <c r="L23" s="107"/>
      <c r="M23" s="107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 spans="1:30" ht="15.75" customHeight="1">
      <c r="A24" s="97"/>
      <c r="B24" s="98" t="s">
        <v>120</v>
      </c>
      <c r="C24" s="98"/>
      <c r="D24" s="98"/>
      <c r="E24" s="99"/>
      <c r="F24" s="99"/>
      <c r="G24" s="99"/>
      <c r="H24" s="115"/>
      <c r="I24" s="115"/>
      <c r="J24" s="115"/>
      <c r="K24" s="115"/>
      <c r="L24" s="99"/>
      <c r="M24" s="99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 spans="1:30" ht="315" customHeight="1">
      <c r="A25" s="102" t="s">
        <v>121</v>
      </c>
      <c r="B25" s="103" t="s">
        <v>122</v>
      </c>
      <c r="C25" s="103" t="s">
        <v>85</v>
      </c>
      <c r="D25" s="104" t="s">
        <v>123</v>
      </c>
      <c r="E25" s="159" t="s">
        <v>124</v>
      </c>
      <c r="F25" s="152" t="s">
        <v>125</v>
      </c>
      <c r="G25" s="153"/>
      <c r="H25" s="153" t="s">
        <v>66</v>
      </c>
      <c r="I25" s="154" t="s">
        <v>89</v>
      </c>
      <c r="J25" s="145" t="s">
        <v>50</v>
      </c>
      <c r="K25" s="145" t="s">
        <v>49</v>
      </c>
      <c r="L25" s="107"/>
      <c r="M25" s="116" t="s">
        <v>126</v>
      </c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 spans="1:30" ht="315" customHeight="1">
      <c r="A26" s="102" t="s">
        <v>127</v>
      </c>
      <c r="B26" s="103" t="s">
        <v>128</v>
      </c>
      <c r="C26" s="103" t="s">
        <v>85</v>
      </c>
      <c r="D26" s="104" t="s">
        <v>123</v>
      </c>
      <c r="E26" s="160" t="s">
        <v>129</v>
      </c>
      <c r="F26" s="155" t="s">
        <v>130</v>
      </c>
      <c r="G26" s="156"/>
      <c r="H26" s="156" t="s">
        <v>66</v>
      </c>
      <c r="I26" s="106" t="s">
        <v>89</v>
      </c>
      <c r="J26" s="145" t="s">
        <v>50</v>
      </c>
      <c r="K26" s="145" t="s">
        <v>49</v>
      </c>
      <c r="L26" s="107"/>
      <c r="M26" s="116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 spans="1:30" ht="261" customHeight="1">
      <c r="A27" s="102" t="s">
        <v>131</v>
      </c>
      <c r="B27" s="103" t="s">
        <v>132</v>
      </c>
      <c r="C27" s="103" t="s">
        <v>85</v>
      </c>
      <c r="D27" s="104" t="s">
        <v>133</v>
      </c>
      <c r="E27" s="130" t="s">
        <v>134</v>
      </c>
      <c r="F27" s="105" t="s">
        <v>130</v>
      </c>
      <c r="G27" s="106"/>
      <c r="H27" s="106" t="s">
        <v>66</v>
      </c>
      <c r="I27" s="106" t="s">
        <v>89</v>
      </c>
      <c r="J27" s="145" t="s">
        <v>50</v>
      </c>
      <c r="K27" s="145" t="s">
        <v>49</v>
      </c>
      <c r="L27" s="107"/>
      <c r="M27" s="107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 spans="1:30" ht="315" customHeight="1">
      <c r="A28" s="102" t="s">
        <v>135</v>
      </c>
      <c r="B28" s="103" t="s">
        <v>136</v>
      </c>
      <c r="C28" s="103" t="s">
        <v>85</v>
      </c>
      <c r="D28" s="128" t="s">
        <v>123</v>
      </c>
      <c r="E28" s="127" t="s">
        <v>137</v>
      </c>
      <c r="F28" s="129" t="s">
        <v>138</v>
      </c>
      <c r="G28" s="106"/>
      <c r="H28" s="106" t="s">
        <v>66</v>
      </c>
      <c r="I28" s="106" t="s">
        <v>89</v>
      </c>
      <c r="J28" s="145" t="s">
        <v>50</v>
      </c>
      <c r="K28" s="145" t="s">
        <v>49</v>
      </c>
      <c r="L28" s="107"/>
      <c r="M28" s="116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 spans="1:30" ht="315" customHeight="1">
      <c r="A29" s="102" t="s">
        <v>139</v>
      </c>
      <c r="B29" s="103" t="s">
        <v>140</v>
      </c>
      <c r="C29" s="103" t="s">
        <v>85</v>
      </c>
      <c r="D29" s="104" t="s">
        <v>123</v>
      </c>
      <c r="E29" s="120" t="s">
        <v>141</v>
      </c>
      <c r="F29" s="105" t="s">
        <v>138</v>
      </c>
      <c r="G29" s="106"/>
      <c r="H29" s="106" t="s">
        <v>66</v>
      </c>
      <c r="I29" s="106" t="s">
        <v>89</v>
      </c>
      <c r="J29" s="145" t="s">
        <v>50</v>
      </c>
      <c r="K29" s="145" t="s">
        <v>49</v>
      </c>
      <c r="L29" s="107"/>
      <c r="M29" s="116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 spans="1:30" ht="261" customHeight="1">
      <c r="A30" s="102" t="s">
        <v>142</v>
      </c>
      <c r="B30" s="103" t="s">
        <v>143</v>
      </c>
      <c r="C30" s="103" t="s">
        <v>85</v>
      </c>
      <c r="D30" s="104" t="s">
        <v>133</v>
      </c>
      <c r="E30" s="120" t="s">
        <v>144</v>
      </c>
      <c r="F30" s="105" t="s">
        <v>145</v>
      </c>
      <c r="G30" s="106"/>
      <c r="H30" s="106" t="s">
        <v>66</v>
      </c>
      <c r="I30" s="106" t="s">
        <v>89</v>
      </c>
      <c r="J30" s="145" t="s">
        <v>50</v>
      </c>
      <c r="K30" s="145" t="s">
        <v>49</v>
      </c>
      <c r="L30" s="107"/>
      <c r="M30" s="116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 spans="1:30" ht="261" customHeight="1">
      <c r="A31" s="102" t="s">
        <v>146</v>
      </c>
      <c r="B31" s="103" t="s">
        <v>147</v>
      </c>
      <c r="C31" s="103" t="s">
        <v>85</v>
      </c>
      <c r="D31" s="104" t="s">
        <v>133</v>
      </c>
      <c r="E31" s="120" t="s">
        <v>148</v>
      </c>
      <c r="F31" s="105" t="s">
        <v>145</v>
      </c>
      <c r="G31" s="106"/>
      <c r="H31" s="106" t="s">
        <v>66</v>
      </c>
      <c r="I31" s="106" t="s">
        <v>89</v>
      </c>
      <c r="J31" s="145" t="s">
        <v>50</v>
      </c>
      <c r="K31" s="145" t="s">
        <v>49</v>
      </c>
      <c r="L31" s="107"/>
      <c r="M31" s="116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 spans="1:30" ht="261" customHeight="1">
      <c r="A32" s="102" t="s">
        <v>149</v>
      </c>
      <c r="B32" s="103" t="s">
        <v>150</v>
      </c>
      <c r="C32" s="103" t="s">
        <v>85</v>
      </c>
      <c r="D32" s="104" t="s">
        <v>123</v>
      </c>
      <c r="E32" s="120" t="s">
        <v>151</v>
      </c>
      <c r="F32" s="105" t="s">
        <v>152</v>
      </c>
      <c r="G32" s="106"/>
      <c r="H32" s="106" t="s">
        <v>66</v>
      </c>
      <c r="I32" s="106" t="s">
        <v>89</v>
      </c>
      <c r="J32" s="145" t="s">
        <v>50</v>
      </c>
      <c r="K32" s="145" t="s">
        <v>49</v>
      </c>
      <c r="L32" s="107"/>
      <c r="M32" s="116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 spans="1:30" ht="261" customHeight="1">
      <c r="A33" s="102" t="s">
        <v>153</v>
      </c>
      <c r="B33" s="103" t="s">
        <v>154</v>
      </c>
      <c r="C33" s="103" t="s">
        <v>85</v>
      </c>
      <c r="D33" s="104" t="s">
        <v>123</v>
      </c>
      <c r="E33" s="120" t="s">
        <v>155</v>
      </c>
      <c r="F33" s="105" t="s">
        <v>152</v>
      </c>
      <c r="G33" s="106"/>
      <c r="H33" s="106" t="s">
        <v>66</v>
      </c>
      <c r="I33" s="106" t="s">
        <v>89</v>
      </c>
      <c r="J33" s="145" t="s">
        <v>50</v>
      </c>
      <c r="K33" s="145" t="s">
        <v>49</v>
      </c>
      <c r="L33" s="107"/>
      <c r="M33" s="116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 spans="1:30" ht="315" customHeight="1">
      <c r="A34" s="102" t="s">
        <v>156</v>
      </c>
      <c r="B34" s="103" t="s">
        <v>157</v>
      </c>
      <c r="C34" s="103" t="s">
        <v>85</v>
      </c>
      <c r="D34" s="104" t="s">
        <v>123</v>
      </c>
      <c r="E34" s="108" t="s">
        <v>158</v>
      </c>
      <c r="F34" s="105" t="s">
        <v>159</v>
      </c>
      <c r="G34" s="106"/>
      <c r="H34" s="106" t="s">
        <v>66</v>
      </c>
      <c r="I34" s="106" t="s">
        <v>89</v>
      </c>
      <c r="J34" s="145" t="s">
        <v>50</v>
      </c>
      <c r="K34" s="145" t="s">
        <v>49</v>
      </c>
      <c r="L34" s="107"/>
      <c r="M34" s="107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 spans="1:30" ht="315" customHeight="1">
      <c r="A35" s="102" t="s">
        <v>160</v>
      </c>
      <c r="B35" s="103" t="s">
        <v>161</v>
      </c>
      <c r="C35" s="103" t="s">
        <v>85</v>
      </c>
      <c r="D35" s="104" t="s">
        <v>123</v>
      </c>
      <c r="E35" s="108" t="s">
        <v>162</v>
      </c>
      <c r="F35" s="105" t="s">
        <v>159</v>
      </c>
      <c r="G35" s="106"/>
      <c r="H35" s="106" t="s">
        <v>66</v>
      </c>
      <c r="I35" s="106" t="s">
        <v>89</v>
      </c>
      <c r="J35" s="145" t="s">
        <v>50</v>
      </c>
      <c r="K35" s="145" t="s">
        <v>49</v>
      </c>
      <c r="L35" s="107"/>
      <c r="M35" s="107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 spans="1:30" ht="27.75" customHeight="1">
      <c r="A36" s="97"/>
      <c r="B36" s="98" t="s">
        <v>163</v>
      </c>
      <c r="C36" s="98"/>
      <c r="D36" s="98"/>
      <c r="E36" s="99"/>
      <c r="F36" s="99"/>
      <c r="G36" s="99"/>
      <c r="H36" s="115"/>
      <c r="I36" s="115"/>
      <c r="J36" s="115"/>
      <c r="K36" s="115"/>
      <c r="L36" s="99"/>
      <c r="M36" s="99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 spans="1:30" ht="261" customHeight="1">
      <c r="A37" s="102" t="s">
        <v>164</v>
      </c>
      <c r="B37" s="103" t="s">
        <v>165</v>
      </c>
      <c r="C37" s="103" t="s">
        <v>85</v>
      </c>
      <c r="D37" s="104" t="s">
        <v>166</v>
      </c>
      <c r="E37" s="119" t="s">
        <v>167</v>
      </c>
      <c r="F37" s="105" t="s">
        <v>168</v>
      </c>
      <c r="G37" s="106"/>
      <c r="H37" s="106" t="s">
        <v>66</v>
      </c>
      <c r="I37" s="106" t="s">
        <v>89</v>
      </c>
      <c r="J37" s="145" t="s">
        <v>49</v>
      </c>
      <c r="K37" s="145" t="s">
        <v>49</v>
      </c>
      <c r="L37" s="107"/>
      <c r="M37" s="116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 spans="1:30" ht="24.75" customHeight="1">
      <c r="A38" s="97"/>
      <c r="B38" s="98" t="s">
        <v>169</v>
      </c>
      <c r="C38" s="98"/>
      <c r="D38" s="98"/>
      <c r="E38" s="99"/>
      <c r="F38" s="99"/>
      <c r="G38" s="99"/>
      <c r="H38" s="115"/>
      <c r="I38" s="115"/>
      <c r="J38" s="115"/>
      <c r="K38" s="115"/>
      <c r="L38" s="99"/>
      <c r="M38" s="99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 spans="1:30" ht="194.25" customHeight="1">
      <c r="A39" s="102" t="s">
        <v>170</v>
      </c>
      <c r="B39" s="103" t="s">
        <v>171</v>
      </c>
      <c r="C39" s="103" t="s">
        <v>85</v>
      </c>
      <c r="D39" s="104" t="s">
        <v>172</v>
      </c>
      <c r="E39" s="117" t="s">
        <v>173</v>
      </c>
      <c r="F39" s="105" t="s">
        <v>174</v>
      </c>
      <c r="G39" s="106"/>
      <c r="H39" s="106" t="s">
        <v>66</v>
      </c>
      <c r="I39" s="106" t="s">
        <v>89</v>
      </c>
      <c r="J39" s="145" t="s">
        <v>53</v>
      </c>
      <c r="K39" s="145" t="s">
        <v>49</v>
      </c>
      <c r="L39" s="107"/>
      <c r="M39" s="107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 spans="1:30" ht="144.75" customHeight="1">
      <c r="A40" s="162" t="s">
        <v>175</v>
      </c>
      <c r="B40" s="163" t="s">
        <v>176</v>
      </c>
      <c r="C40" s="163"/>
      <c r="D40" s="164" t="s">
        <v>172</v>
      </c>
      <c r="E40" s="161" t="s">
        <v>177</v>
      </c>
      <c r="F40" s="163" t="s">
        <v>178</v>
      </c>
      <c r="G40" s="165"/>
      <c r="H40" s="165" t="s">
        <v>66</v>
      </c>
      <c r="I40" s="165" t="s">
        <v>89</v>
      </c>
      <c r="J40" s="166" t="s">
        <v>49</v>
      </c>
      <c r="K40" s="166" t="s">
        <v>53</v>
      </c>
      <c r="L40" s="167"/>
      <c r="M40" s="167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 spans="1:30" ht="144.75" customHeight="1">
      <c r="A41" s="162" t="s">
        <v>179</v>
      </c>
      <c r="B41" s="163" t="s">
        <v>180</v>
      </c>
      <c r="C41" s="163"/>
      <c r="D41" s="164" t="s">
        <v>172</v>
      </c>
      <c r="E41" s="161" t="s">
        <v>181</v>
      </c>
      <c r="F41" s="163" t="s">
        <v>182</v>
      </c>
      <c r="G41" s="165"/>
      <c r="H41" s="165" t="s">
        <v>66</v>
      </c>
      <c r="I41" s="165" t="s">
        <v>89</v>
      </c>
      <c r="J41" s="166" t="s">
        <v>49</v>
      </c>
      <c r="K41" s="166" t="s">
        <v>53</v>
      </c>
      <c r="L41" s="167"/>
      <c r="M41" s="167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 spans="1:30" ht="121.5" customHeight="1">
      <c r="A42" s="102" t="s">
        <v>183</v>
      </c>
      <c r="B42" s="103" t="s">
        <v>184</v>
      </c>
      <c r="C42" s="103" t="s">
        <v>85</v>
      </c>
      <c r="D42" s="104" t="s">
        <v>172</v>
      </c>
      <c r="E42" s="118" t="s">
        <v>185</v>
      </c>
      <c r="F42" s="105" t="s">
        <v>174</v>
      </c>
      <c r="G42" s="106"/>
      <c r="H42" s="106" t="s">
        <v>66</v>
      </c>
      <c r="I42" s="106" t="s">
        <v>89</v>
      </c>
      <c r="J42" s="145" t="s">
        <v>53</v>
      </c>
      <c r="K42" s="145" t="s">
        <v>49</v>
      </c>
      <c r="L42" s="107"/>
      <c r="M42" s="107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 spans="1:30" ht="121.5" customHeight="1">
      <c r="A43" s="162" t="s">
        <v>186</v>
      </c>
      <c r="B43" s="163" t="s">
        <v>187</v>
      </c>
      <c r="C43" s="163" t="s">
        <v>85</v>
      </c>
      <c r="D43" s="164" t="s">
        <v>172</v>
      </c>
      <c r="E43" s="161" t="s">
        <v>188</v>
      </c>
      <c r="F43" s="163" t="s">
        <v>178</v>
      </c>
      <c r="G43" s="165"/>
      <c r="H43" s="165" t="s">
        <v>66</v>
      </c>
      <c r="I43" s="165" t="s">
        <v>89</v>
      </c>
      <c r="J43" s="166" t="s">
        <v>49</v>
      </c>
      <c r="K43" s="166" t="s">
        <v>53</v>
      </c>
      <c r="L43" s="167"/>
      <c r="M43" s="167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 spans="1:30" ht="121.5" customHeight="1">
      <c r="A44" s="162" t="s">
        <v>189</v>
      </c>
      <c r="B44" s="163" t="s">
        <v>190</v>
      </c>
      <c r="C44" s="163" t="s">
        <v>85</v>
      </c>
      <c r="D44" s="164" t="s">
        <v>172</v>
      </c>
      <c r="E44" s="161" t="s">
        <v>191</v>
      </c>
      <c r="F44" s="163" t="s">
        <v>182</v>
      </c>
      <c r="G44" s="165"/>
      <c r="H44" s="165" t="s">
        <v>66</v>
      </c>
      <c r="I44" s="165" t="s">
        <v>89</v>
      </c>
      <c r="J44" s="166" t="s">
        <v>49</v>
      </c>
      <c r="K44" s="166" t="s">
        <v>53</v>
      </c>
      <c r="L44" s="167"/>
      <c r="M44" s="167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 spans="1:30" ht="121.5" customHeight="1">
      <c r="A45" s="102" t="s">
        <v>192</v>
      </c>
      <c r="B45" s="103" t="s">
        <v>193</v>
      </c>
      <c r="C45" s="103" t="s">
        <v>85</v>
      </c>
      <c r="D45" s="104" t="s">
        <v>172</v>
      </c>
      <c r="E45" s="118" t="s">
        <v>194</v>
      </c>
      <c r="F45" s="105" t="s">
        <v>174</v>
      </c>
      <c r="G45" s="106"/>
      <c r="H45" s="106" t="s">
        <v>66</v>
      </c>
      <c r="I45" s="106" t="s">
        <v>89</v>
      </c>
      <c r="J45" s="145" t="s">
        <v>53</v>
      </c>
      <c r="K45" s="145" t="s">
        <v>49</v>
      </c>
      <c r="L45" s="107"/>
      <c r="M45" s="107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 spans="1:30" ht="138.75" customHeight="1">
      <c r="A46" s="102" t="s">
        <v>195</v>
      </c>
      <c r="B46" s="103" t="s">
        <v>196</v>
      </c>
      <c r="C46" s="103" t="s">
        <v>85</v>
      </c>
      <c r="D46" s="104" t="s">
        <v>172</v>
      </c>
      <c r="E46" s="118" t="s">
        <v>197</v>
      </c>
      <c r="F46" s="105" t="s">
        <v>174</v>
      </c>
      <c r="G46" s="106"/>
      <c r="H46" s="106" t="s">
        <v>66</v>
      </c>
      <c r="I46" s="106" t="s">
        <v>89</v>
      </c>
      <c r="J46" s="145" t="s">
        <v>53</v>
      </c>
      <c r="K46" s="145" t="s">
        <v>49</v>
      </c>
      <c r="L46" s="107"/>
      <c r="M46" s="107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 spans="1:30" ht="114" customHeight="1">
      <c r="A47" s="102" t="s">
        <v>198</v>
      </c>
      <c r="B47" s="103" t="s">
        <v>199</v>
      </c>
      <c r="C47" s="103" t="s">
        <v>85</v>
      </c>
      <c r="D47" s="104" t="s">
        <v>172</v>
      </c>
      <c r="E47" s="118" t="s">
        <v>200</v>
      </c>
      <c r="F47" s="105" t="s">
        <v>174</v>
      </c>
      <c r="G47" s="106"/>
      <c r="H47" s="106" t="s">
        <v>66</v>
      </c>
      <c r="I47" s="106" t="s">
        <v>89</v>
      </c>
      <c r="J47" s="145" t="s">
        <v>53</v>
      </c>
      <c r="K47" s="145" t="s">
        <v>49</v>
      </c>
      <c r="L47" s="107"/>
      <c r="M47" s="107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 spans="1:30" ht="113.25" customHeight="1">
      <c r="A48" s="102" t="s">
        <v>201</v>
      </c>
      <c r="B48" s="103" t="s">
        <v>202</v>
      </c>
      <c r="C48" s="103" t="s">
        <v>85</v>
      </c>
      <c r="D48" s="104" t="s">
        <v>172</v>
      </c>
      <c r="E48" s="118" t="s">
        <v>203</v>
      </c>
      <c r="F48" s="105" t="s">
        <v>174</v>
      </c>
      <c r="G48" s="106"/>
      <c r="H48" s="106" t="s">
        <v>66</v>
      </c>
      <c r="I48" s="106" t="s">
        <v>89</v>
      </c>
      <c r="J48" s="145" t="s">
        <v>53</v>
      </c>
      <c r="K48" s="145" t="s">
        <v>52</v>
      </c>
      <c r="L48" s="107"/>
      <c r="M48" s="116" t="s">
        <v>204</v>
      </c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 spans="1:30" ht="113.25" customHeight="1">
      <c r="A49" s="102" t="s">
        <v>205</v>
      </c>
      <c r="B49" s="103" t="s">
        <v>206</v>
      </c>
      <c r="C49" s="103" t="s">
        <v>85</v>
      </c>
      <c r="D49" s="104" t="s">
        <v>172</v>
      </c>
      <c r="E49" s="118" t="s">
        <v>207</v>
      </c>
      <c r="F49" s="105" t="s">
        <v>174</v>
      </c>
      <c r="G49" s="106"/>
      <c r="H49" s="106" t="s">
        <v>66</v>
      </c>
      <c r="I49" s="106" t="s">
        <v>89</v>
      </c>
      <c r="J49" s="145" t="s">
        <v>53</v>
      </c>
      <c r="K49" s="145" t="s">
        <v>49</v>
      </c>
      <c r="L49" s="107"/>
      <c r="M49" s="107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 spans="1:30" ht="106.5" customHeight="1">
      <c r="A50" s="102" t="s">
        <v>208</v>
      </c>
      <c r="B50" s="103" t="s">
        <v>209</v>
      </c>
      <c r="C50" s="103" t="s">
        <v>85</v>
      </c>
      <c r="D50" s="104" t="s">
        <v>172</v>
      </c>
      <c r="E50" s="118" t="s">
        <v>210</v>
      </c>
      <c r="F50" s="105" t="s">
        <v>211</v>
      </c>
      <c r="G50" s="106"/>
      <c r="H50" s="106" t="s">
        <v>66</v>
      </c>
      <c r="I50" s="106" t="s">
        <v>89</v>
      </c>
      <c r="J50" s="145" t="s">
        <v>53</v>
      </c>
      <c r="K50" s="145" t="s">
        <v>49</v>
      </c>
      <c r="L50" s="107"/>
      <c r="M50" s="107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 spans="1:30" ht="106.5" customHeight="1">
      <c r="A51" s="102" t="s">
        <v>212</v>
      </c>
      <c r="B51" s="103" t="s">
        <v>213</v>
      </c>
      <c r="C51" s="103" t="s">
        <v>85</v>
      </c>
      <c r="D51" s="104" t="s">
        <v>172</v>
      </c>
      <c r="E51" s="118" t="s">
        <v>214</v>
      </c>
      <c r="F51" s="105" t="s">
        <v>211</v>
      </c>
      <c r="G51" s="106"/>
      <c r="H51" s="106" t="s">
        <v>66</v>
      </c>
      <c r="I51" s="106" t="s">
        <v>89</v>
      </c>
      <c r="J51" s="145" t="s">
        <v>53</v>
      </c>
      <c r="K51" s="145" t="s">
        <v>49</v>
      </c>
      <c r="L51" s="107"/>
      <c r="M51" s="107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 spans="1:30" ht="106.5" customHeight="1">
      <c r="A52" s="102" t="s">
        <v>215</v>
      </c>
      <c r="B52" s="103" t="s">
        <v>216</v>
      </c>
      <c r="C52" s="103" t="s">
        <v>85</v>
      </c>
      <c r="D52" s="104" t="s">
        <v>172</v>
      </c>
      <c r="E52" s="118" t="s">
        <v>217</v>
      </c>
      <c r="F52" s="105" t="s">
        <v>211</v>
      </c>
      <c r="G52" s="106"/>
      <c r="H52" s="106" t="s">
        <v>66</v>
      </c>
      <c r="I52" s="106" t="s">
        <v>89</v>
      </c>
      <c r="J52" s="145" t="s">
        <v>53</v>
      </c>
      <c r="K52" s="145" t="s">
        <v>49</v>
      </c>
      <c r="L52" s="107"/>
      <c r="M52" s="107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 spans="1:30" ht="106.5" customHeight="1">
      <c r="A53" s="102" t="s">
        <v>218</v>
      </c>
      <c r="B53" s="103" t="s">
        <v>219</v>
      </c>
      <c r="C53" s="103" t="s">
        <v>85</v>
      </c>
      <c r="D53" s="104" t="s">
        <v>172</v>
      </c>
      <c r="E53" s="118" t="s">
        <v>220</v>
      </c>
      <c r="F53" s="105" t="s">
        <v>211</v>
      </c>
      <c r="G53" s="106"/>
      <c r="H53" s="106" t="s">
        <v>66</v>
      </c>
      <c r="I53" s="106" t="s">
        <v>89</v>
      </c>
      <c r="J53" s="145" t="s">
        <v>53</v>
      </c>
      <c r="K53" s="145" t="s">
        <v>49</v>
      </c>
      <c r="L53" s="107"/>
      <c r="M53" s="107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 spans="1:30" ht="106.5" customHeight="1">
      <c r="A54" s="102" t="s">
        <v>221</v>
      </c>
      <c r="B54" s="103" t="s">
        <v>222</v>
      </c>
      <c r="C54" s="103" t="s">
        <v>85</v>
      </c>
      <c r="D54" s="104" t="s">
        <v>172</v>
      </c>
      <c r="E54" s="118" t="s">
        <v>223</v>
      </c>
      <c r="F54" s="105" t="s">
        <v>211</v>
      </c>
      <c r="G54" s="106"/>
      <c r="H54" s="106" t="s">
        <v>66</v>
      </c>
      <c r="I54" s="106" t="s">
        <v>89</v>
      </c>
      <c r="J54" s="145" t="s">
        <v>53</v>
      </c>
      <c r="K54" s="145" t="s">
        <v>49</v>
      </c>
      <c r="L54" s="107"/>
      <c r="M54" s="107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 spans="1:30" ht="106.5" customHeight="1">
      <c r="A55" s="102" t="s">
        <v>224</v>
      </c>
      <c r="B55" s="103" t="s">
        <v>225</v>
      </c>
      <c r="C55" s="103" t="s">
        <v>85</v>
      </c>
      <c r="D55" s="104" t="s">
        <v>172</v>
      </c>
      <c r="E55" s="118" t="s">
        <v>226</v>
      </c>
      <c r="F55" s="105" t="s">
        <v>211</v>
      </c>
      <c r="G55" s="106"/>
      <c r="H55" s="106" t="s">
        <v>66</v>
      </c>
      <c r="I55" s="106" t="s">
        <v>89</v>
      </c>
      <c r="J55" s="145" t="s">
        <v>53</v>
      </c>
      <c r="K55" s="145" t="s">
        <v>49</v>
      </c>
      <c r="L55" s="107"/>
      <c r="M55" s="107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 spans="1:30" ht="106.5" customHeight="1">
      <c r="A56" s="102" t="s">
        <v>227</v>
      </c>
      <c r="B56" s="103" t="s">
        <v>228</v>
      </c>
      <c r="C56" s="103" t="s">
        <v>85</v>
      </c>
      <c r="D56" s="104" t="s">
        <v>172</v>
      </c>
      <c r="E56" s="118" t="s">
        <v>229</v>
      </c>
      <c r="F56" s="105" t="s">
        <v>230</v>
      </c>
      <c r="G56" s="106"/>
      <c r="H56" s="106" t="s">
        <v>66</v>
      </c>
      <c r="I56" s="106" t="s">
        <v>89</v>
      </c>
      <c r="J56" s="145" t="s">
        <v>53</v>
      </c>
      <c r="K56" s="145" t="s">
        <v>49</v>
      </c>
      <c r="L56" s="107"/>
      <c r="M56" s="107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 spans="1:30" ht="106.5" customHeight="1">
      <c r="A57" s="102" t="s">
        <v>231</v>
      </c>
      <c r="B57" s="103" t="s">
        <v>232</v>
      </c>
      <c r="C57" s="103" t="s">
        <v>85</v>
      </c>
      <c r="D57" s="104" t="s">
        <v>172</v>
      </c>
      <c r="E57" s="118" t="s">
        <v>233</v>
      </c>
      <c r="F57" s="105" t="s">
        <v>230</v>
      </c>
      <c r="G57" s="106"/>
      <c r="H57" s="106" t="s">
        <v>66</v>
      </c>
      <c r="I57" s="106" t="s">
        <v>89</v>
      </c>
      <c r="J57" s="145" t="s">
        <v>53</v>
      </c>
      <c r="K57" s="145" t="s">
        <v>49</v>
      </c>
      <c r="L57" s="107"/>
      <c r="M57" s="107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 spans="1:30" ht="106.5" customHeight="1">
      <c r="A58" s="102" t="s">
        <v>234</v>
      </c>
      <c r="B58" s="103" t="s">
        <v>235</v>
      </c>
      <c r="C58" s="103" t="s">
        <v>85</v>
      </c>
      <c r="D58" s="104" t="s">
        <v>172</v>
      </c>
      <c r="E58" s="118" t="s">
        <v>236</v>
      </c>
      <c r="F58" s="105" t="s">
        <v>230</v>
      </c>
      <c r="G58" s="106"/>
      <c r="H58" s="106" t="s">
        <v>66</v>
      </c>
      <c r="I58" s="106" t="s">
        <v>89</v>
      </c>
      <c r="J58" s="145" t="s">
        <v>53</v>
      </c>
      <c r="K58" s="145" t="s">
        <v>49</v>
      </c>
      <c r="L58" s="107"/>
      <c r="M58" s="107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 spans="1:30" ht="106.5" customHeight="1">
      <c r="A59" s="102" t="s">
        <v>237</v>
      </c>
      <c r="B59" s="103" t="s">
        <v>238</v>
      </c>
      <c r="C59" s="103" t="s">
        <v>85</v>
      </c>
      <c r="D59" s="104" t="s">
        <v>172</v>
      </c>
      <c r="E59" s="118" t="s">
        <v>239</v>
      </c>
      <c r="F59" s="105" t="s">
        <v>230</v>
      </c>
      <c r="G59" s="106"/>
      <c r="H59" s="106" t="s">
        <v>66</v>
      </c>
      <c r="I59" s="106" t="s">
        <v>89</v>
      </c>
      <c r="J59" s="145" t="s">
        <v>53</v>
      </c>
      <c r="K59" s="145" t="s">
        <v>49</v>
      </c>
      <c r="L59" s="107"/>
      <c r="M59" s="107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 spans="1:30" ht="106.5" customHeight="1">
      <c r="A60" s="102" t="s">
        <v>240</v>
      </c>
      <c r="B60" s="103" t="s">
        <v>241</v>
      </c>
      <c r="C60" s="103" t="s">
        <v>85</v>
      </c>
      <c r="D60" s="104" t="s">
        <v>172</v>
      </c>
      <c r="E60" s="118" t="s">
        <v>242</v>
      </c>
      <c r="F60" s="105" t="s">
        <v>243</v>
      </c>
      <c r="G60" s="106"/>
      <c r="H60" s="106" t="s">
        <v>66</v>
      </c>
      <c r="I60" s="106" t="s">
        <v>89</v>
      </c>
      <c r="J60" s="145" t="s">
        <v>53</v>
      </c>
      <c r="K60" s="145" t="s">
        <v>49</v>
      </c>
      <c r="L60" s="109"/>
      <c r="M60" s="109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 spans="1:30" ht="28.5" customHeight="1">
      <c r="A61" s="97"/>
      <c r="B61" s="98" t="s">
        <v>244</v>
      </c>
      <c r="C61" s="98"/>
      <c r="D61" s="98"/>
      <c r="E61" s="99"/>
      <c r="F61" s="99"/>
      <c r="G61" s="99"/>
      <c r="H61" s="115"/>
      <c r="I61" s="115"/>
      <c r="J61" s="115"/>
      <c r="K61" s="115"/>
      <c r="L61" s="99"/>
      <c r="M61" s="99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 spans="1:30" s="112" customFormat="1" ht="250.5" customHeight="1">
      <c r="A62" s="102" t="s">
        <v>245</v>
      </c>
      <c r="B62" s="103" t="s">
        <v>246</v>
      </c>
      <c r="C62" s="103" t="s">
        <v>85</v>
      </c>
      <c r="D62" s="104" t="s">
        <v>247</v>
      </c>
      <c r="E62" s="157" t="s">
        <v>248</v>
      </c>
      <c r="F62" s="105" t="s">
        <v>249</v>
      </c>
      <c r="G62" s="110"/>
      <c r="H62" s="106" t="s">
        <v>66</v>
      </c>
      <c r="I62" s="106" t="s">
        <v>89</v>
      </c>
      <c r="J62" s="145" t="s">
        <v>53</v>
      </c>
      <c r="K62" s="145" t="s">
        <v>49</v>
      </c>
      <c r="L62" s="107"/>
      <c r="M62" s="111"/>
    </row>
    <row r="63" spans="1:30" ht="250.5" customHeight="1">
      <c r="A63" s="102" t="s">
        <v>250</v>
      </c>
      <c r="B63" s="103" t="s">
        <v>251</v>
      </c>
      <c r="C63" s="103" t="s">
        <v>85</v>
      </c>
      <c r="D63" s="104" t="s">
        <v>247</v>
      </c>
      <c r="E63" s="158" t="s">
        <v>252</v>
      </c>
      <c r="F63" s="105" t="s">
        <v>253</v>
      </c>
      <c r="G63" s="106"/>
      <c r="H63" s="106" t="s">
        <v>66</v>
      </c>
      <c r="I63" s="106" t="s">
        <v>89</v>
      </c>
      <c r="J63" s="145" t="s">
        <v>53</v>
      </c>
      <c r="K63" s="145" t="s">
        <v>49</v>
      </c>
      <c r="L63" s="107"/>
      <c r="M63" s="107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 spans="1:30" ht="250.5" customHeight="1">
      <c r="A64" s="102" t="s">
        <v>254</v>
      </c>
      <c r="B64" s="103" t="s">
        <v>255</v>
      </c>
      <c r="C64" s="103" t="s">
        <v>85</v>
      </c>
      <c r="D64" s="104" t="s">
        <v>247</v>
      </c>
      <c r="E64" s="158" t="s">
        <v>256</v>
      </c>
      <c r="F64" s="105" t="s">
        <v>253</v>
      </c>
      <c r="G64" s="106"/>
      <c r="H64" s="106" t="s">
        <v>66</v>
      </c>
      <c r="I64" s="106" t="s">
        <v>89</v>
      </c>
      <c r="J64" s="145" t="s">
        <v>53</v>
      </c>
      <c r="K64" s="145" t="s">
        <v>49</v>
      </c>
      <c r="L64" s="107"/>
      <c r="M64" s="107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 spans="1:30" ht="250.5" customHeight="1">
      <c r="A65" s="102" t="s">
        <v>257</v>
      </c>
      <c r="B65" s="103" t="s">
        <v>258</v>
      </c>
      <c r="C65" s="103" t="s">
        <v>85</v>
      </c>
      <c r="D65" s="104" t="s">
        <v>247</v>
      </c>
      <c r="E65" s="108" t="s">
        <v>259</v>
      </c>
      <c r="F65" s="105" t="s">
        <v>253</v>
      </c>
      <c r="G65" s="106"/>
      <c r="H65" s="106" t="s">
        <v>66</v>
      </c>
      <c r="I65" s="106" t="s">
        <v>89</v>
      </c>
      <c r="J65" s="145" t="s">
        <v>53</v>
      </c>
      <c r="K65" s="145" t="s">
        <v>49</v>
      </c>
      <c r="L65" s="107"/>
      <c r="M65" s="107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 spans="1:30" ht="15" customHeight="1"/>
    <row r="67" spans="1:30" ht="15" customHeight="1"/>
    <row r="68" spans="1:30" ht="15" customHeight="1"/>
    <row r="69" spans="1:30" ht="15" customHeight="1"/>
    <row r="70" spans="1:30" ht="15" customHeight="1"/>
    <row r="71" spans="1:30" ht="15" customHeight="1"/>
    <row r="72" spans="1:30" ht="15" customHeight="1"/>
    <row r="73" spans="1:30" ht="15" customHeight="1"/>
    <row r="74" spans="1:30" ht="15" customHeight="1"/>
    <row r="75" spans="1:30" ht="15" customHeight="1"/>
    <row r="76" spans="1:30" ht="15" customHeight="1"/>
    <row r="77" spans="1:30" ht="15" customHeight="1"/>
    <row r="80" spans="1:30" ht="15" customHeight="1"/>
    <row r="81" ht="15" customHeight="1"/>
    <row r="82" ht="15"/>
    <row r="85" ht="15"/>
  </sheetData>
  <autoFilter ref="A12:M65" xr:uid="{00000000-0001-0000-0300-000000000000}"/>
  <mergeCells count="2">
    <mergeCell ref="B13:D13"/>
    <mergeCell ref="B1:D1"/>
  </mergeCells>
  <dataValidations count="1">
    <dataValidation type="list" allowBlank="1" showInputMessage="1" showErrorMessage="1" sqref="J15:J18 J20:J23 K15:K23 J37:K37 J25:K35 J62:K65 J39:K60" xr:uid="{602CEA1D-8261-47C5-9CA2-56473060F3A5}">
      <formula1>"Passed,Failed,Untested,Accepted,Pending,Canceled"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2026-07-21T08:28:19Z</dcterms:created>
  <dcterms:modified xsi:type="dcterms:W3CDTF">2026-09-30T08:09:15Z</dcterms:modified>
  <cp:category/>
  <cp:contentStatus/>
</cp:coreProperties>
</file>