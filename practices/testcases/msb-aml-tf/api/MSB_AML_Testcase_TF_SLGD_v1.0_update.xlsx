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hinee\Downloads\"/>
    </mc:Choice>
  </mc:AlternateContent>
  <xr:revisionPtr revIDLastSave="0" documentId="8_{BCDEB47D-E694-4BC6-A08C-6DCEA7577393}" xr6:coauthVersionLast="47" xr6:coauthVersionMax="47" xr10:uidLastSave="{00000000-0000-0000-0000-000000000000}"/>
  <bookViews>
    <workbookView xWindow="-120" yWindow="-120" windowWidth="29040" windowHeight="15720" tabRatio="500" firstSheet="5" activeTab="5" xr2:uid="{00000000-000D-0000-FFFF-FFFF00000000}"/>
  </bookViews>
  <sheets>
    <sheet name="Cover" sheetId="1" r:id="rId1"/>
    <sheet name="Records" sheetId="2" r:id="rId2"/>
    <sheet name="Test Report" sheetId="3" r:id="rId3"/>
    <sheet name="Cấu hình điện" sheetId="4" r:id="rId4"/>
    <sheet name="Cấu hình chủ thể" sheetId="5" r:id="rId5"/>
    <sheet name="Sàng lọc điện" sheetId="6" r:id="rId6"/>
  </sheets>
  <definedNames>
    <definedName name="_xlnm._FilterDatabase" localSheetId="4" hidden="1">'Cấu hình chủ thể'!$A$14:$N$177</definedName>
    <definedName name="_xlnm._FilterDatabase" localSheetId="3" hidden="1">'Cấu hình điện'!$A$15:$N$15</definedName>
    <definedName name="_xlnm._FilterDatabase" localSheetId="5" hidden="1">'Sàng lọc điện'!$A$13:$O$278</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6" l="1"/>
  <c r="E10" i="6"/>
  <c r="E18" i="3" s="1"/>
  <c r="E9" i="6"/>
  <c r="F18" i="3" s="1"/>
  <c r="E8" i="6"/>
  <c r="G18" i="3" s="1"/>
  <c r="E7" i="6"/>
  <c r="C18" i="3" s="1"/>
  <c r="E6" i="6"/>
  <c r="B18" i="3" s="1"/>
  <c r="E5" i="6"/>
  <c r="O190" i="5"/>
  <c r="O189" i="5"/>
  <c r="O188" i="5"/>
  <c r="O187" i="5"/>
  <c r="O186" i="5"/>
  <c r="O185" i="5"/>
  <c r="O145" i="5"/>
  <c r="O144" i="5"/>
  <c r="O143" i="5"/>
  <c r="O142" i="5"/>
  <c r="O141" i="5"/>
  <c r="O140" i="5"/>
  <c r="O139" i="5"/>
  <c r="O138" i="5"/>
  <c r="O137" i="5"/>
  <c r="O136" i="5"/>
  <c r="O135" i="5"/>
  <c r="O134" i="5"/>
  <c r="O133" i="5"/>
  <c r="O132" i="5"/>
  <c r="O131" i="5"/>
  <c r="O130" i="5"/>
  <c r="O129" i="5"/>
  <c r="O128"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19" i="5"/>
  <c r="O18" i="5"/>
  <c r="O17" i="5"/>
  <c r="O16" i="5"/>
  <c r="D11" i="5"/>
  <c r="C11" i="5"/>
  <c r="B11" i="5"/>
  <c r="D10" i="5"/>
  <c r="C10" i="5"/>
  <c r="B10" i="5"/>
  <c r="D9" i="5"/>
  <c r="C9" i="5"/>
  <c r="B9" i="5"/>
  <c r="D8" i="5"/>
  <c r="C8" i="5"/>
  <c r="B8" i="5"/>
  <c r="D7" i="5"/>
  <c r="C7" i="5"/>
  <c r="B7" i="5"/>
  <c r="D6" i="5"/>
  <c r="C6" i="5"/>
  <c r="B6" i="5"/>
  <c r="G127" i="3"/>
  <c r="F127" i="3"/>
  <c r="E127" i="3"/>
  <c r="D127" i="3"/>
  <c r="C127" i="3"/>
  <c r="B127" i="3"/>
  <c r="G126" i="3"/>
  <c r="F126" i="3"/>
  <c r="E126" i="3"/>
  <c r="D126" i="3"/>
  <c r="C126" i="3"/>
  <c r="B126" i="3"/>
  <c r="G125" i="3"/>
  <c r="F125" i="3"/>
  <c r="E125" i="3"/>
  <c r="D125" i="3"/>
  <c r="C125" i="3"/>
  <c r="B125" i="3"/>
  <c r="G124" i="3"/>
  <c r="F124" i="3"/>
  <c r="E124" i="3"/>
  <c r="D124" i="3"/>
  <c r="C124" i="3"/>
  <c r="B124" i="3"/>
  <c r="G123" i="3"/>
  <c r="F123" i="3"/>
  <c r="E123" i="3"/>
  <c r="D123" i="3"/>
  <c r="C123" i="3"/>
  <c r="B123" i="3"/>
  <c r="G122" i="3"/>
  <c r="F122" i="3"/>
  <c r="E122" i="3"/>
  <c r="D122" i="3"/>
  <c r="C122" i="3"/>
  <c r="B122" i="3"/>
  <c r="G121" i="3"/>
  <c r="F121" i="3"/>
  <c r="E121" i="3"/>
  <c r="D121" i="3"/>
  <c r="C121" i="3"/>
  <c r="B121" i="3"/>
  <c r="G119" i="3"/>
  <c r="F119" i="3"/>
  <c r="E119" i="3"/>
  <c r="D119" i="3"/>
  <c r="C119" i="3"/>
  <c r="B119" i="3"/>
  <c r="G118" i="3"/>
  <c r="F118" i="3"/>
  <c r="E118" i="3"/>
  <c r="D118" i="3"/>
  <c r="C118" i="3"/>
  <c r="B118" i="3"/>
  <c r="G117" i="3"/>
  <c r="F117" i="3"/>
  <c r="E117" i="3"/>
  <c r="D117" i="3"/>
  <c r="C117" i="3"/>
  <c r="B117" i="3"/>
  <c r="G116" i="3"/>
  <c r="F116" i="3"/>
  <c r="E116" i="3"/>
  <c r="D116" i="3"/>
  <c r="C116" i="3"/>
  <c r="B116" i="3"/>
  <c r="G114" i="3"/>
  <c r="F114" i="3"/>
  <c r="E114" i="3"/>
  <c r="D114" i="3"/>
  <c r="C114" i="3"/>
  <c r="B114" i="3"/>
  <c r="G113" i="3"/>
  <c r="F113" i="3"/>
  <c r="E113" i="3"/>
  <c r="D113" i="3"/>
  <c r="C113" i="3"/>
  <c r="B113" i="3"/>
  <c r="G112" i="3"/>
  <c r="F112" i="3"/>
  <c r="E112" i="3"/>
  <c r="D112" i="3"/>
  <c r="C112" i="3"/>
  <c r="B112" i="3"/>
  <c r="G110" i="3"/>
  <c r="F110" i="3"/>
  <c r="E110" i="3"/>
  <c r="D110" i="3"/>
  <c r="C110" i="3"/>
  <c r="B110" i="3"/>
  <c r="G109" i="3"/>
  <c r="F109" i="3"/>
  <c r="E109" i="3"/>
  <c r="D109" i="3"/>
  <c r="C109" i="3"/>
  <c r="B109" i="3"/>
  <c r="G108" i="3"/>
  <c r="F108" i="3"/>
  <c r="E108" i="3"/>
  <c r="D108" i="3"/>
  <c r="C108" i="3"/>
  <c r="B108" i="3"/>
  <c r="G107" i="3"/>
  <c r="F107" i="3"/>
  <c r="E107" i="3"/>
  <c r="D107" i="3"/>
  <c r="C107" i="3"/>
  <c r="B107" i="3"/>
  <c r="G106" i="3"/>
  <c r="F106" i="3"/>
  <c r="E106" i="3"/>
  <c r="D106" i="3"/>
  <c r="C106" i="3"/>
  <c r="B106" i="3"/>
  <c r="G105" i="3"/>
  <c r="F105" i="3"/>
  <c r="E105" i="3"/>
  <c r="D105" i="3"/>
  <c r="C105" i="3"/>
  <c r="B105" i="3"/>
  <c r="G104" i="3"/>
  <c r="F104" i="3"/>
  <c r="E104" i="3"/>
  <c r="D104" i="3"/>
  <c r="C104" i="3"/>
  <c r="B104" i="3"/>
  <c r="G102" i="3"/>
  <c r="F102" i="3"/>
  <c r="E102" i="3"/>
  <c r="D102" i="3"/>
  <c r="C102" i="3"/>
  <c r="B102" i="3"/>
  <c r="G101" i="3"/>
  <c r="F101" i="3"/>
  <c r="E101" i="3"/>
  <c r="D101" i="3"/>
  <c r="C101" i="3"/>
  <c r="B101" i="3"/>
  <c r="G100" i="3"/>
  <c r="F100" i="3"/>
  <c r="E100" i="3"/>
  <c r="D100" i="3"/>
  <c r="C100" i="3"/>
  <c r="B100" i="3"/>
  <c r="G99" i="3"/>
  <c r="F99" i="3"/>
  <c r="E99" i="3"/>
  <c r="D99" i="3"/>
  <c r="C99" i="3"/>
  <c r="B99" i="3"/>
  <c r="G98" i="3"/>
  <c r="F98" i="3"/>
  <c r="E98" i="3"/>
  <c r="D98" i="3"/>
  <c r="C98" i="3"/>
  <c r="B98" i="3"/>
  <c r="D18" i="3"/>
  <c r="B5" i="3"/>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09" i="4"/>
  <c r="O108" i="4"/>
  <c r="O107" i="4"/>
  <c r="O106" i="4"/>
  <c r="O105" i="4"/>
  <c r="O104" i="4"/>
  <c r="O103" i="4"/>
  <c r="O102" i="4"/>
  <c r="O101" i="4"/>
  <c r="O100" i="4"/>
  <c r="O99" i="4"/>
  <c r="O98" i="4"/>
  <c r="O97" i="4"/>
  <c r="O96" i="4"/>
  <c r="O95" i="4"/>
  <c r="O94" i="4"/>
  <c r="O93" i="4"/>
  <c r="O92" i="4"/>
  <c r="O91" i="4"/>
  <c r="O90" i="4"/>
  <c r="O89" i="4"/>
  <c r="O88" i="4"/>
  <c r="O87" i="4"/>
  <c r="O86"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D12" i="4"/>
  <c r="C12" i="4"/>
  <c r="B12" i="4"/>
  <c r="D11" i="4"/>
  <c r="C11" i="4"/>
  <c r="B11" i="4"/>
  <c r="D10" i="4"/>
  <c r="C10" i="4"/>
  <c r="B10" i="4"/>
  <c r="D9" i="4"/>
  <c r="C9" i="4"/>
  <c r="B9" i="4"/>
  <c r="D8" i="4"/>
  <c r="C8" i="4"/>
  <c r="B8" i="4"/>
  <c r="D7" i="4"/>
  <c r="C7" i="4"/>
  <c r="B7" i="4"/>
  <c r="D6" i="4"/>
  <c r="C6" i="4"/>
  <c r="B6" i="4"/>
  <c r="E7" i="5" l="1"/>
  <c r="C17" i="3" s="1"/>
  <c r="E11" i="5"/>
  <c r="E17" i="3" s="1"/>
  <c r="G67" i="3"/>
  <c r="H119" i="3"/>
  <c r="B92" i="3"/>
  <c r="E92" i="3"/>
  <c r="D120" i="3"/>
  <c r="C74" i="3"/>
  <c r="D74" i="3"/>
  <c r="G85" i="3"/>
  <c r="E94" i="3"/>
  <c r="E85" i="3"/>
  <c r="F92" i="3"/>
  <c r="C94" i="3"/>
  <c r="B86" i="3"/>
  <c r="F89" i="3"/>
  <c r="B74" i="3"/>
  <c r="E78" i="3"/>
  <c r="C81" i="3"/>
  <c r="G78" i="3"/>
  <c r="B70" i="3"/>
  <c r="C115" i="3"/>
  <c r="B72" i="3"/>
  <c r="G92" i="3"/>
  <c r="D115" i="3"/>
  <c r="D72" i="3"/>
  <c r="F73" i="3"/>
  <c r="D94" i="3"/>
  <c r="G73" i="3"/>
  <c r="E10" i="4"/>
  <c r="G16" i="3" s="1"/>
  <c r="E67" i="3"/>
  <c r="D85" i="3"/>
  <c r="H114" i="3"/>
  <c r="E12" i="4"/>
  <c r="E16" i="3" s="1"/>
  <c r="E15" i="3" s="1"/>
  <c r="C92" i="3"/>
  <c r="E10" i="5"/>
  <c r="F17" i="3" s="1"/>
  <c r="E8" i="4"/>
  <c r="D16" i="3" s="1"/>
  <c r="F80" i="3"/>
  <c r="F94" i="3"/>
  <c r="H123" i="3"/>
  <c r="G87" i="3"/>
  <c r="E9" i="4"/>
  <c r="F16" i="3" s="1"/>
  <c r="G80" i="3"/>
  <c r="G94" i="3"/>
  <c r="B81" i="3"/>
  <c r="E6" i="4"/>
  <c r="B16" i="3" s="1"/>
  <c r="D67" i="3"/>
  <c r="C78" i="3"/>
  <c r="E7" i="4"/>
  <c r="C16" i="3" s="1"/>
  <c r="C15" i="3" s="1"/>
  <c r="E11" i="4"/>
  <c r="F67" i="3"/>
  <c r="F78" i="3"/>
  <c r="G89" i="3"/>
  <c r="H126" i="3"/>
  <c r="B69" i="3"/>
  <c r="E80" i="3"/>
  <c r="B5" i="4"/>
  <c r="H105" i="3"/>
  <c r="B111" i="3"/>
  <c r="D92" i="3"/>
  <c r="C120" i="3"/>
  <c r="H106" i="3"/>
  <c r="E115" i="3"/>
  <c r="F115" i="3"/>
  <c r="C111" i="3"/>
  <c r="D90" i="3"/>
  <c r="G66" i="3"/>
  <c r="E74" i="3"/>
  <c r="D87" i="3"/>
  <c r="B97" i="3"/>
  <c r="H109" i="3"/>
  <c r="H117" i="3"/>
  <c r="B67" i="3"/>
  <c r="F74" i="3"/>
  <c r="E87" i="3"/>
  <c r="H98" i="3"/>
  <c r="H107" i="3"/>
  <c r="C67" i="3"/>
  <c r="G76" i="3"/>
  <c r="F87" i="3"/>
  <c r="F69" i="3"/>
  <c r="E76" i="3"/>
  <c r="B85" i="3"/>
  <c r="E90" i="3"/>
  <c r="C97" i="3"/>
  <c r="H104" i="3"/>
  <c r="F111" i="3"/>
  <c r="B115" i="3"/>
  <c r="G69" i="3"/>
  <c r="F76" i="3"/>
  <c r="C85" i="3"/>
  <c r="F90" i="3"/>
  <c r="H100" i="3"/>
  <c r="C103" i="3"/>
  <c r="G111" i="3"/>
  <c r="E120" i="3"/>
  <c r="D103" i="3"/>
  <c r="H113" i="3"/>
  <c r="F120" i="3"/>
  <c r="E9" i="5"/>
  <c r="G17" i="3" s="1"/>
  <c r="G120" i="3"/>
  <c r="B120" i="3"/>
  <c r="C72" i="3"/>
  <c r="D78" i="3"/>
  <c r="F85" i="3"/>
  <c r="H122" i="3"/>
  <c r="H124" i="3"/>
  <c r="G95" i="3"/>
  <c r="F97" i="3"/>
  <c r="G97" i="3"/>
  <c r="H116" i="3"/>
  <c r="E62" i="3"/>
  <c r="D62" i="3"/>
  <c r="H99" i="3"/>
  <c r="H101" i="3"/>
  <c r="H108" i="3"/>
  <c r="C5" i="4"/>
  <c r="F62" i="3"/>
  <c r="D97" i="3"/>
  <c r="H102" i="3"/>
  <c r="H110" i="3"/>
  <c r="C5" i="5"/>
  <c r="H18" i="3"/>
  <c r="D5" i="4"/>
  <c r="G62" i="3"/>
  <c r="E97" i="3"/>
  <c r="G103" i="3"/>
  <c r="H125" i="3"/>
  <c r="E6" i="5"/>
  <c r="B17" i="3" s="1"/>
  <c r="G63" i="3"/>
  <c r="C69" i="3"/>
  <c r="B76" i="3"/>
  <c r="D81" i="3"/>
  <c r="B90" i="3"/>
  <c r="B95" i="3"/>
  <c r="D69" i="3"/>
  <c r="C76" i="3"/>
  <c r="E81" i="3"/>
  <c r="C90" i="3"/>
  <c r="C95" i="3"/>
  <c r="D111" i="3"/>
  <c r="G115" i="3"/>
  <c r="E69" i="3"/>
  <c r="D76" i="3"/>
  <c r="G82" i="3"/>
  <c r="E103" i="3"/>
  <c r="E111" i="3"/>
  <c r="E8" i="5"/>
  <c r="D17" i="3" s="1"/>
  <c r="D15" i="3" s="1"/>
  <c r="C34" i="3"/>
  <c r="E36" i="3"/>
  <c r="G38" i="3"/>
  <c r="B41" i="3"/>
  <c r="D43" i="3"/>
  <c r="F45" i="3"/>
  <c r="C50" i="3"/>
  <c r="E52" i="3"/>
  <c r="G54" i="3"/>
  <c r="B57" i="3"/>
  <c r="D59" i="3"/>
  <c r="F61" i="3"/>
  <c r="C66" i="3"/>
  <c r="E68" i="3"/>
  <c r="G70" i="3"/>
  <c r="B73" i="3"/>
  <c r="D75" i="3"/>
  <c r="F77" i="3"/>
  <c r="C82" i="3"/>
  <c r="E84" i="3"/>
  <c r="G86" i="3"/>
  <c r="B89" i="3"/>
  <c r="D91" i="3"/>
  <c r="F93" i="3"/>
  <c r="H127" i="3"/>
  <c r="D34" i="3"/>
  <c r="F36" i="3"/>
  <c r="C41" i="3"/>
  <c r="E43" i="3"/>
  <c r="G45" i="3"/>
  <c r="B48" i="3"/>
  <c r="D50" i="3"/>
  <c r="F52" i="3"/>
  <c r="C57" i="3"/>
  <c r="E59" i="3"/>
  <c r="G61" i="3"/>
  <c r="D66" i="3"/>
  <c r="F68" i="3"/>
  <c r="C73" i="3"/>
  <c r="E75" i="3"/>
  <c r="G77" i="3"/>
  <c r="B80" i="3"/>
  <c r="D82" i="3"/>
  <c r="F84" i="3"/>
  <c r="C89" i="3"/>
  <c r="E91" i="3"/>
  <c r="G93" i="3"/>
  <c r="H118" i="3"/>
  <c r="E34" i="3"/>
  <c r="G36" i="3"/>
  <c r="D41" i="3"/>
  <c r="F43" i="3"/>
  <c r="C48" i="3"/>
  <c r="E50" i="3"/>
  <c r="G52" i="3"/>
  <c r="B55" i="3"/>
  <c r="D57" i="3"/>
  <c r="F59" i="3"/>
  <c r="E66" i="3"/>
  <c r="G68" i="3"/>
  <c r="D73" i="3"/>
  <c r="F75" i="3"/>
  <c r="C80" i="3"/>
  <c r="E82" i="3"/>
  <c r="G84" i="3"/>
  <c r="B87" i="3"/>
  <c r="D89" i="3"/>
  <c r="F91" i="3"/>
  <c r="B103" i="3"/>
  <c r="D5" i="5"/>
  <c r="F34" i="3"/>
  <c r="E41" i="3"/>
  <c r="G43" i="3"/>
  <c r="B46" i="3"/>
  <c r="D48" i="3"/>
  <c r="F50" i="3"/>
  <c r="C55" i="3"/>
  <c r="E57" i="3"/>
  <c r="G59" i="3"/>
  <c r="B62" i="3"/>
  <c r="F66" i="3"/>
  <c r="E73" i="3"/>
  <c r="G75" i="3"/>
  <c r="B78" i="3"/>
  <c r="D80" i="3"/>
  <c r="F82" i="3"/>
  <c r="C87" i="3"/>
  <c r="E89" i="3"/>
  <c r="G91" i="3"/>
  <c r="B94" i="3"/>
  <c r="G34" i="3"/>
  <c r="B37" i="3"/>
  <c r="F41" i="3"/>
  <c r="C46" i="3"/>
  <c r="E48" i="3"/>
  <c r="G50" i="3"/>
  <c r="B53" i="3"/>
  <c r="D55" i="3"/>
  <c r="F57" i="3"/>
  <c r="C62" i="3"/>
  <c r="C37" i="3"/>
  <c r="G41" i="3"/>
  <c r="B44" i="3"/>
  <c r="D46" i="3"/>
  <c r="F48" i="3"/>
  <c r="C53" i="3"/>
  <c r="E55" i="3"/>
  <c r="G57" i="3"/>
  <c r="B60" i="3"/>
  <c r="B35" i="3"/>
  <c r="D37" i="3"/>
  <c r="C44" i="3"/>
  <c r="E46" i="3"/>
  <c r="G48" i="3"/>
  <c r="D53" i="3"/>
  <c r="F55" i="3"/>
  <c r="C60" i="3"/>
  <c r="F103" i="3"/>
  <c r="H121" i="3"/>
  <c r="C35" i="3"/>
  <c r="E37" i="3"/>
  <c r="B42" i="3"/>
  <c r="D44" i="3"/>
  <c r="F46" i="3"/>
  <c r="E53" i="3"/>
  <c r="G55" i="3"/>
  <c r="B58" i="3"/>
  <c r="D60" i="3"/>
  <c r="H112" i="3"/>
  <c r="D35" i="3"/>
  <c r="F37" i="3"/>
  <c r="C42" i="3"/>
  <c r="E44" i="3"/>
  <c r="G46" i="3"/>
  <c r="B49" i="3"/>
  <c r="F53" i="3"/>
  <c r="C58" i="3"/>
  <c r="E60" i="3"/>
  <c r="E35" i="3"/>
  <c r="G37" i="3"/>
  <c r="B40" i="3"/>
  <c r="D42" i="3"/>
  <c r="F44" i="3"/>
  <c r="C49" i="3"/>
  <c r="G53" i="3"/>
  <c r="D58" i="3"/>
  <c r="F60" i="3"/>
  <c r="F35" i="3"/>
  <c r="C40" i="3"/>
  <c r="E42" i="3"/>
  <c r="G44" i="3"/>
  <c r="D49" i="3"/>
  <c r="E58" i="3"/>
  <c r="G60" i="3"/>
  <c r="B63" i="3"/>
  <c r="G35" i="3"/>
  <c r="B38" i="3"/>
  <c r="D40" i="3"/>
  <c r="F42" i="3"/>
  <c r="E49" i="3"/>
  <c r="B54" i="3"/>
  <c r="F58" i="3"/>
  <c r="C63" i="3"/>
  <c r="C38" i="3"/>
  <c r="E40" i="3"/>
  <c r="G42" i="3"/>
  <c r="B45" i="3"/>
  <c r="F49" i="3"/>
  <c r="C54" i="3"/>
  <c r="G58" i="3"/>
  <c r="B61" i="3"/>
  <c r="D63" i="3"/>
  <c r="C70" i="3"/>
  <c r="E72" i="3"/>
  <c r="G74" i="3"/>
  <c r="B77" i="3"/>
  <c r="F81" i="3"/>
  <c r="C86" i="3"/>
  <c r="G90" i="3"/>
  <c r="B93" i="3"/>
  <c r="D95" i="3"/>
  <c r="B36" i="3"/>
  <c r="D38" i="3"/>
  <c r="F40" i="3"/>
  <c r="C45" i="3"/>
  <c r="G49" i="3"/>
  <c r="B52" i="3"/>
  <c r="D54" i="3"/>
  <c r="C61" i="3"/>
  <c r="E63" i="3"/>
  <c r="B68" i="3"/>
  <c r="D70" i="3"/>
  <c r="F72" i="3"/>
  <c r="C77" i="3"/>
  <c r="G81" i="3"/>
  <c r="B84" i="3"/>
  <c r="D86" i="3"/>
  <c r="C93" i="3"/>
  <c r="E95" i="3"/>
  <c r="C36" i="3"/>
  <c r="E38" i="3"/>
  <c r="G40" i="3"/>
  <c r="B43" i="3"/>
  <c r="D45" i="3"/>
  <c r="C52" i="3"/>
  <c r="E54" i="3"/>
  <c r="B59" i="3"/>
  <c r="D61" i="3"/>
  <c r="F63" i="3"/>
  <c r="C68" i="3"/>
  <c r="E70" i="3"/>
  <c r="G72" i="3"/>
  <c r="B75" i="3"/>
  <c r="D77" i="3"/>
  <c r="C84" i="3"/>
  <c r="E86" i="3"/>
  <c r="B91" i="3"/>
  <c r="D93" i="3"/>
  <c r="F95" i="3"/>
  <c r="B34" i="3"/>
  <c r="D36" i="3"/>
  <c r="F38" i="3"/>
  <c r="C43" i="3"/>
  <c r="E45" i="3"/>
  <c r="B50" i="3"/>
  <c r="D52" i="3"/>
  <c r="F54" i="3"/>
  <c r="C59" i="3"/>
  <c r="E61" i="3"/>
  <c r="B66" i="3"/>
  <c r="D68" i="3"/>
  <c r="F70" i="3"/>
  <c r="C75" i="3"/>
  <c r="E77" i="3"/>
  <c r="B82" i="3"/>
  <c r="D84" i="3"/>
  <c r="F86" i="3"/>
  <c r="C91" i="3"/>
  <c r="E93" i="3"/>
  <c r="F15" i="3" l="1"/>
  <c r="H111" i="3"/>
  <c r="F96" i="3"/>
  <c r="F71" i="3"/>
  <c r="E5" i="4"/>
  <c r="G71" i="3"/>
  <c r="G79" i="3"/>
  <c r="G88" i="3"/>
  <c r="H78" i="3"/>
  <c r="H17" i="3"/>
  <c r="D51" i="3"/>
  <c r="H97" i="3"/>
  <c r="C83" i="3"/>
  <c r="H103" i="3"/>
  <c r="H87" i="3"/>
  <c r="H74" i="3"/>
  <c r="D96" i="3"/>
  <c r="E5" i="5"/>
  <c r="E96" i="3"/>
  <c r="G96" i="3"/>
  <c r="C96" i="3"/>
  <c r="B96" i="3"/>
  <c r="H16" i="3"/>
  <c r="G15" i="3"/>
  <c r="G83" i="3"/>
  <c r="E71" i="3"/>
  <c r="D39" i="3"/>
  <c r="C79" i="3"/>
  <c r="H115" i="3"/>
  <c r="H69" i="3"/>
  <c r="D83" i="3"/>
  <c r="H82" i="3"/>
  <c r="G65" i="3"/>
  <c r="H94" i="3"/>
  <c r="H92" i="3"/>
  <c r="B15" i="3"/>
  <c r="H120" i="3"/>
  <c r="H85" i="3"/>
  <c r="B71" i="3"/>
  <c r="H95" i="3"/>
  <c r="C71" i="3"/>
  <c r="H67" i="3"/>
  <c r="D79" i="3"/>
  <c r="F88" i="3"/>
  <c r="H76" i="3"/>
  <c r="H86" i="3"/>
  <c r="H41" i="3"/>
  <c r="H50" i="3"/>
  <c r="H81" i="3"/>
  <c r="H77" i="3"/>
  <c r="H53" i="3"/>
  <c r="F65" i="3"/>
  <c r="E79" i="3"/>
  <c r="C51" i="3"/>
  <c r="H70" i="3"/>
  <c r="E83" i="3"/>
  <c r="H59" i="3"/>
  <c r="H68" i="3"/>
  <c r="H58" i="3"/>
  <c r="H62" i="3"/>
  <c r="E33" i="3"/>
  <c r="H90" i="3"/>
  <c r="E47" i="3"/>
  <c r="C56" i="3"/>
  <c r="H38" i="3"/>
  <c r="H40" i="3"/>
  <c r="B39" i="3"/>
  <c r="H35" i="3"/>
  <c r="E56" i="3"/>
  <c r="F51" i="3"/>
  <c r="C33" i="3"/>
  <c r="B33" i="3"/>
  <c r="H34" i="3"/>
  <c r="H60" i="3"/>
  <c r="D71" i="3"/>
  <c r="H73" i="3"/>
  <c r="H43" i="3"/>
  <c r="B51" i="3"/>
  <c r="H52" i="3"/>
  <c r="H61" i="3"/>
  <c r="H63" i="3"/>
  <c r="G56" i="3"/>
  <c r="H37" i="3"/>
  <c r="B47" i="3"/>
  <c r="H48" i="3"/>
  <c r="G39" i="3"/>
  <c r="H42" i="3"/>
  <c r="G33" i="3"/>
  <c r="D47" i="3"/>
  <c r="H91" i="3"/>
  <c r="H46" i="3"/>
  <c r="E65" i="3"/>
  <c r="C88" i="3"/>
  <c r="C65" i="3"/>
  <c r="F39" i="3"/>
  <c r="F47" i="3"/>
  <c r="F83" i="3"/>
  <c r="F79" i="3"/>
  <c r="H45" i="3"/>
  <c r="H49" i="3"/>
  <c r="E88" i="3"/>
  <c r="D56" i="3"/>
  <c r="B65" i="3"/>
  <c r="H66" i="3"/>
  <c r="H36" i="3"/>
  <c r="H44" i="3"/>
  <c r="F33" i="3"/>
  <c r="H55" i="3"/>
  <c r="B79" i="3"/>
  <c r="H80" i="3"/>
  <c r="D33" i="3"/>
  <c r="B56" i="3"/>
  <c r="H57" i="3"/>
  <c r="H75" i="3"/>
  <c r="E39" i="3"/>
  <c r="C39" i="3"/>
  <c r="G51" i="3"/>
  <c r="B83" i="3"/>
  <c r="H84" i="3"/>
  <c r="H93" i="3"/>
  <c r="E51" i="3"/>
  <c r="H72" i="3"/>
  <c r="C47" i="3"/>
  <c r="F56" i="3"/>
  <c r="D88" i="3"/>
  <c r="B88" i="3"/>
  <c r="H89" i="3"/>
  <c r="H54" i="3"/>
  <c r="G47" i="3"/>
  <c r="D65" i="3"/>
  <c r="H15" i="3" l="1"/>
  <c r="H20" i="3" s="1"/>
  <c r="G64" i="3"/>
  <c r="H96" i="3"/>
  <c r="F64" i="3"/>
  <c r="E64" i="3"/>
  <c r="D32" i="3"/>
  <c r="H79" i="3"/>
  <c r="H39" i="3"/>
  <c r="C64" i="3"/>
  <c r="H83" i="3"/>
  <c r="H51" i="3"/>
  <c r="F32" i="3"/>
  <c r="F31" i="3" s="1"/>
  <c r="H71" i="3"/>
  <c r="E32" i="3"/>
  <c r="H65" i="3"/>
  <c r="B64" i="3"/>
  <c r="D64" i="3"/>
  <c r="G32" i="3"/>
  <c r="H33" i="3"/>
  <c r="B32" i="3"/>
  <c r="C32" i="3"/>
  <c r="H88" i="3"/>
  <c r="H47" i="3"/>
  <c r="H56" i="3"/>
  <c r="H21" i="3" l="1"/>
  <c r="E31" i="3"/>
  <c r="G31" i="3"/>
  <c r="D31" i="3"/>
  <c r="H64" i="3"/>
  <c r="C31" i="3"/>
  <c r="B31" i="3"/>
  <c r="H32" i="3"/>
  <c r="H3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100-000001000000}">
      <text>
        <r>
          <rPr>
            <sz val="11"/>
            <color theme="1"/>
            <rFont val="Calibri"/>
            <family val="2"/>
            <charset val="1"/>
          </rPr>
          <t>PC:
A: Add
M: Modify
D: Delete</t>
        </r>
      </text>
    </comment>
  </commentList>
</comments>
</file>

<file path=xl/sharedStrings.xml><?xml version="1.0" encoding="utf-8"?>
<sst xmlns="http://schemas.openxmlformats.org/spreadsheetml/2006/main" count="4291" uniqueCount="1534">
  <si>
    <t>Test Report</t>
  </si>
  <si>
    <t>Project Name:</t>
  </si>
  <si>
    <t>DỰ ÁN TRIỂN KHAI BẢN QUYỀN PHẦN MỀM HỆ THỐNG AML MỚI</t>
  </si>
  <si>
    <t>Reviewer:</t>
  </si>
  <si>
    <t xml:space="preserve"> </t>
  </si>
  <si>
    <t>Document Code:</t>
  </si>
  <si>
    <t>MSB_AML_Testcase_KYC_UI_customize</t>
  </si>
  <si>
    <t>Position:</t>
  </si>
  <si>
    <t>Originator:</t>
  </si>
  <si>
    <t>Reviewed Date:</t>
  </si>
  <si>
    <t>Approver:</t>
  </si>
  <si>
    <t>Created Date:</t>
  </si>
  <si>
    <t>Version:</t>
  </si>
  <si>
    <t>1.0</t>
  </si>
  <si>
    <t>Approved Date:</t>
  </si>
  <si>
    <t>TABLE OF CONTENT</t>
  </si>
  <si>
    <t>No</t>
  </si>
  <si>
    <t>Items</t>
  </si>
  <si>
    <t>Content</t>
  </si>
  <si>
    <t>Cover</t>
  </si>
  <si>
    <t>Records</t>
  </si>
  <si>
    <t>Record of changes</t>
  </si>
  <si>
    <t>Function</t>
  </si>
  <si>
    <t>List out all test cases of the application</t>
  </si>
  <si>
    <t>Screen Element</t>
  </si>
  <si>
    <t>Screen Element test cases, which are based on the application's SRS</t>
  </si>
  <si>
    <t>Effective Date</t>
  </si>
  <si>
    <t>A, M, D</t>
  </si>
  <si>
    <t xml:space="preserve">Change Description </t>
  </si>
  <si>
    <t>New Version</t>
  </si>
  <si>
    <t>Author</t>
  </si>
  <si>
    <t>A</t>
  </si>
  <si>
    <t>Create new TC</t>
  </si>
  <si>
    <t>SYSTEM TEST REPORT</t>
  </si>
  <si>
    <t>Project</t>
  </si>
  <si>
    <t>Project manager</t>
  </si>
  <si>
    <t>Application</t>
  </si>
  <si>
    <t>Approved Date</t>
  </si>
  <si>
    <t>Consolidated By</t>
  </si>
  <si>
    <t>Reviewed By</t>
  </si>
  <si>
    <t>Build Versions</t>
  </si>
  <si>
    <t>Reviewed date</t>
  </si>
  <si>
    <t>Test Environment</t>
  </si>
  <si>
    <t>SIT</t>
  </si>
  <si>
    <t>Last Updated Date</t>
  </si>
  <si>
    <t>Test Execution Summary</t>
  </si>
  <si>
    <t>Reported by</t>
  </si>
  <si>
    <t>Date</t>
  </si>
  <si>
    <t>Test Results</t>
  </si>
  <si>
    <t>Passed</t>
  </si>
  <si>
    <t>Failed</t>
  </si>
  <si>
    <t>Pending</t>
  </si>
  <si>
    <t>Next</t>
  </si>
  <si>
    <t>Canel</t>
  </si>
  <si>
    <t>Untested</t>
  </si>
  <si>
    <t>Total</t>
  </si>
  <si>
    <t>Cấu hình điện</t>
  </si>
  <si>
    <t>Cấu hình chủ thể</t>
  </si>
  <si>
    <t>Sàng lọc điện</t>
  </si>
  <si>
    <t>Test coverage</t>
  </si>
  <si>
    <t>Test successful coverage</t>
  </si>
  <si>
    <t>Issues</t>
  </si>
  <si>
    <t>1. Block testing issue</t>
  </si>
  <si>
    <t>2. Critical defects</t>
  </si>
  <si>
    <t>Kết quả test mtr SIT</t>
  </si>
  <si>
    <t>Bàn giao đợt 1</t>
  </si>
  <si>
    <t>MT195</t>
  </si>
  <si>
    <t>MT196</t>
  </si>
  <si>
    <t>MT199</t>
  </si>
  <si>
    <t>MT295</t>
  </si>
  <si>
    <t>MT296</t>
  </si>
  <si>
    <t>Bàn giao đợt 2</t>
  </si>
  <si>
    <t>MT299</t>
  </si>
  <si>
    <t>pacs.008</t>
  </si>
  <si>
    <t>MT499</t>
  </si>
  <si>
    <t>MT711</t>
  </si>
  <si>
    <t>MT799</t>
  </si>
  <si>
    <t>MT999</t>
  </si>
  <si>
    <t>pacs.009</t>
  </si>
  <si>
    <t>Bàn giao đợt 3</t>
  </si>
  <si>
    <t>MT701</t>
  </si>
  <si>
    <t>MT742</t>
  </si>
  <si>
    <t>MT747</t>
  </si>
  <si>
    <t>Bàn giao đợt 4</t>
  </si>
  <si>
    <t>pacs.004</t>
  </si>
  <si>
    <t>pacs.009COV</t>
  </si>
  <si>
    <t>camt.110</t>
  </si>
  <si>
    <t>camt.111</t>
  </si>
  <si>
    <t>Bàn giao đợt 5</t>
  </si>
  <si>
    <t>MT700</t>
  </si>
  <si>
    <t>MT707</t>
  </si>
  <si>
    <t>MT710</t>
  </si>
  <si>
    <t>MT767</t>
  </si>
  <si>
    <t>MT720</t>
  </si>
  <si>
    <t>MT740</t>
  </si>
  <si>
    <t>MT760</t>
  </si>
  <si>
    <t>Done</t>
  </si>
  <si>
    <t>Tuyên 9</t>
  </si>
  <si>
    <t>Lý đang test</t>
  </si>
  <si>
    <t>Functions</t>
  </si>
  <si>
    <t>Config EDQ</t>
  </si>
  <si>
    <t>Build Version</t>
  </si>
  <si>
    <t>v1.0</t>
  </si>
  <si>
    <t>High</t>
  </si>
  <si>
    <t>Medium</t>
  </si>
  <si>
    <t>Low</t>
  </si>
  <si>
    <t>Cancel</t>
  </si>
  <si>
    <t>Accepted</t>
  </si>
  <si>
    <t>Test case Id</t>
  </si>
  <si>
    <t>Test case Title</t>
  </si>
  <si>
    <t>Pre-conditions</t>
  </si>
  <si>
    <t>Test Step</t>
  </si>
  <si>
    <t>Test Datas</t>
  </si>
  <si>
    <t>Expected result</t>
  </si>
  <si>
    <t>Priority</t>
  </si>
  <si>
    <t>Automation Status</t>
  </si>
  <si>
    <t>1st Test Results</t>
  </si>
  <si>
    <t>2nd Test Results</t>
  </si>
  <si>
    <t>3rd Test Result</t>
  </si>
  <si>
    <t>BugID</t>
  </si>
  <si>
    <t>Notes</t>
  </si>
  <si>
    <t>Key</t>
  </si>
  <si>
    <t>Kiểm tra config các trường của điện MT195</t>
  </si>
  <si>
    <t>MT195.01</t>
  </si>
  <si>
    <t>Kiểm tra điện MT195 -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</si>
  <si>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MT195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</si>
  <si>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t>
  </si>
  <si>
    <t>Manual</t>
  </si>
  <si>
    <t>MT195.02</t>
  </si>
  <si>
    <t>Kiểm tra điện MT195 -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</si>
  <si>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MT195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</si>
  <si>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MT195.03</t>
  </si>
  <si>
    <t>Kiểm tra điện MT195 -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</si>
  <si>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MT195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</si>
  <si>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75 - Queries
77A - Narrative
79 - Narrative Description of the Message to Which the Query Relates
Copy of at least the Mandatory Fields of the Original Message</t>
  </si>
  <si>
    <t>MT195.04</t>
  </si>
  <si>
    <t>Kiểm tra điện MT195 -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</si>
  <si>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MT195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</si>
  <si>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MT196</t>
  </si>
  <si>
    <t>MT196.01</t>
  </si>
  <si>
    <t>Kiểm tra điện MT196 -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</si>
  <si>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MT196 trên drop down list 
4. Sau khi bấm nút Save, click liên tiếp 2 lần button mũi tên sang phải (&gt;) ở bên cạnh.
5. Chọn webservice IDENTIFIER trên dropdown list Screening webservice trên màn hình và kiểm tra các tags tương ứng được gán</t>
  </si>
  <si>
    <t>MT196.02</t>
  </si>
  <si>
    <t>Kiểm tra điện MT196 -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</si>
  <si>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MT196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</si>
  <si>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MT196.03</t>
  </si>
  <si>
    <t>Kiểm tra điện MT196 -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</si>
  <si>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MT196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</si>
  <si>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76 - Answers
77A - Narrative
79 - Narrative Description of the Original Message to Which the Answer Relates
Copy of at least the Mandatory Fields of the Original Message</t>
  </si>
  <si>
    <t>MT196.04</t>
  </si>
  <si>
    <t>Kiểm tra điện MT196 -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</si>
  <si>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MT196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</si>
  <si>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MT199</t>
  </si>
  <si>
    <t>MT199.01</t>
  </si>
  <si>
    <t>Kiểm tra điện MT199 -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</si>
  <si>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MT199 trên drop down list 
4. Sau khi bấm nút Save, click liên tiếp 2 lần button mũi tên sang phải (&gt;) ở bên cạnh.
5. Chọn webservice IDENTIFIER trên dropdown list Screening webservice trên màn hình và kiểm tra các tags tương ứng được gán</t>
  </si>
  <si>
    <t>MT199.02</t>
  </si>
  <si>
    <t>Kiểm tra điện MT199 -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</si>
  <si>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</si>
  <si>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MT199.03</t>
  </si>
  <si>
    <t>Kiểm tra điện MT199 -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</si>
  <si>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MT199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</si>
  <si>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79 - Narrative</t>
  </si>
  <si>
    <t>MT199.04</t>
  </si>
  <si>
    <t>Kiểm tra điện MT199 -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</si>
  <si>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MT199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</si>
  <si>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MT295</t>
  </si>
  <si>
    <t>MT295.01</t>
  </si>
  <si>
    <t>Kiểm tra điện MT295 -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</si>
  <si>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MT295 trên drop down list 
4. Sau khi bấm nút Save, click liên tiếp 2 lần button mũi tên sang phải (&gt;) ở bên cạnh.
5. Chọn webservice IDENTIFIER trên dropdown list Screening webservice trên màn hình và kiểm tra các tags tương ứng được gán</t>
  </si>
  <si>
    <t>MT295.02</t>
  </si>
  <si>
    <t>Kiểm tra điện MT295 -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</si>
  <si>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MT295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</si>
  <si>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MT295.03</t>
  </si>
  <si>
    <t>Kiểm tra điện MT295 -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</si>
  <si>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MT295 trên drop down list 
4. Sau khi bấm nút Save, click liên tiếp 2 lần button mũi tên sang phải (&gt;) ở bên cạnh.
5. Chọn webservice NARRATIVE trên dropdown list Screening webservice trên màn hình và kiểm tra các tags tương ứng được gán</t>
  </si>
  <si>
    <t>MT295.04</t>
  </si>
  <si>
    <t>Kiểm tra điện MT295 -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</si>
  <si>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MT295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</si>
  <si>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MT296</t>
  </si>
  <si>
    <t>MT296.01</t>
  </si>
  <si>
    <t>Kiểm tra điện MT296 -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</si>
  <si>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MT296 trên drop down list 
4. Sau khi bấm nút Save, click liên tiếp 2 lần button mũi tên sang phải (&gt;) ở bên cạnh.
5. Chọn webservice IDENTIFIER trên dropdown list Screening webservice trên màn hình và kiểm tra các tags tương ứng được gán</t>
  </si>
  <si>
    <t>MT296.02</t>
  </si>
  <si>
    <t>Kiểm tra điện MT296 -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</si>
  <si>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MT296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</si>
  <si>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MT296.03</t>
  </si>
  <si>
    <t>Kiểm tra điện MT296 -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</si>
  <si>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MT296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</si>
  <si>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76 - Answers
77A - Narrative
79 - Narrative Description of the Message to Which the Query Relates
Copy of at least the Mandatory Fields of the Original Message</t>
  </si>
  <si>
    <t>MT296.04</t>
  </si>
  <si>
    <t>Kiểm tra điện MT296 -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</si>
  <si>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MT296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</si>
  <si>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MT299</t>
  </si>
  <si>
    <t>MT299.01</t>
  </si>
  <si>
    <t>Kiểm tra điện MT299 -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</si>
  <si>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MT299 trên drop down list 
4. Sau khi bấm nút Save, click liên tiếp 2 lần button mũi tên sang phải (&gt;) ở bên cạnh.
5. Chọn webservice IDENTIFIER trên dropdown list Screening webservice trên màn hình và kiểm tra các tags tương ứng được gán</t>
  </si>
  <si>
    <t>MT299.02</t>
  </si>
  <si>
    <t>Kiểm tra điện MT299 -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</si>
  <si>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</si>
  <si>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MT299.03</t>
  </si>
  <si>
    <t>Kiểm tra điện MT299 -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</si>
  <si>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MT299 trên drop down list 
4. Sau khi bấm nút Save, click liên tiếp 2 lần button mũi tên sang phải (&gt;) ở bên cạnh.
5. Chọn webservice NARRATIVE trên dropdown list Screening webservice trên màn hình và kiểm tra các tags tương ứng được gán</t>
  </si>
  <si>
    <t>MT299.04</t>
  </si>
  <si>
    <t>Kiểm tra điện MT299 -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</si>
  <si>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MT299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</si>
  <si>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MT499</t>
  </si>
  <si>
    <t>MT499.01</t>
  </si>
  <si>
    <t>Kiểm tra điện MT499 -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</si>
  <si>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MT499 trên drop down list 
4. Sau khi bấm nút Save, click liên tiếp 2 lần button mũi tên sang phải (&gt;) ở bên cạnh.
5. Chọn webservice IDENTIFIER trên dropdown list Screening webservice trên màn hình và kiểm tra các tags tương ứng được gán</t>
  </si>
  <si>
    <t>MT499.02</t>
  </si>
  <si>
    <t>Kiểm tra điện MT499 -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</si>
  <si>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MT499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</si>
  <si>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MT499.03</t>
  </si>
  <si>
    <t>Kiểm tra điện MT499 -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</si>
  <si>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MT499 trên drop down list 
4. Sau khi bấm nút Save, click liên tiếp 2 lần button mũi tên sang phải (&gt;) ở bên cạnh.
5. Chọn webservice NARRATIVE trên dropdown list Screening webservice trên màn hình và kiểm tra các tags tương ứng được gán</t>
  </si>
  <si>
    <t>MT499.04</t>
  </si>
  <si>
    <t>Kiểm tra điện MT499 -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</si>
  <si>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MT499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</si>
  <si>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MT700</t>
  </si>
  <si>
    <t>MT700.01</t>
  </si>
  <si>
    <t>Kiểm tra điện MT700 -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</si>
  <si>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</si>
  <si>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Party Identifier
51A - Identifier Code
51D - Party Identifier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</si>
  <si>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MT700.02</t>
  </si>
  <si>
    <t>Kiểm tra điện MT700 -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</si>
  <si>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</si>
  <si>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Identifier Code
41A - Identifier Code
42A - Identifier Code
58A - Identifier Code
53A - Identifier Code
57A - Identifier Code</t>
  </si>
  <si>
    <t>MT700.03</t>
  </si>
  <si>
    <t>Kiểm tra điện MT700 -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</si>
  <si>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PORT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</si>
  <si>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44A - Place of Taking in Charge/Dispatch from .../Place of Receipt
44E - Port of Loading/Airport of Departure
44F - Port of Discharge/Airport of Destination
44B - Place of Final Destination/For Transportation to .../Place of Delivery</t>
  </si>
  <si>
    <t>MT700.04</t>
  </si>
  <si>
    <t>Kiểm tra điện MT700 -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</si>
  <si>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</si>
  <si>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45A - Description of Goods and/or Services
46A - Documents Required
47A - Additional Conditions
49G - Special Payment Conditions for Beneficiary
49H - Special Payment Conditions for Bank Only
71D - Charges
78 - Instructions to the Paying/Accepting/Negotiating Bank
72Z - Sender to Receiver Information</t>
  </si>
  <si>
    <t>MT700.05</t>
  </si>
  <si>
    <t>Kiểm tra điện MT700 -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</si>
  <si>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</si>
  <si>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Identifier Code
51D - Name and Address
50 - Applicant
59 - Name and Address
41A - Identifier Code
41D - Name and Address
42A - Identifier Code
42D - Name and Address
58A - Identifier Code
58D - Name and Address
53A - Identifier Code
53D - Name and Address
57A - Identifier Code
57D - Name and Address</t>
  </si>
  <si>
    <t>Kiểm tra config các trường của điện MT701</t>
  </si>
  <si>
    <t>MT701.01</t>
  </si>
  <si>
    <t>Kiểm tra điện MT701 -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</si>
  <si>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MT701 trên drop down list 
4. Sau khi bấm nút Save, click liên tiếp 2 lần button mũi tên sang phải (&gt;) ở bên cạnh.
5. Chọn webservice IDENTIFIER trên dropdown list Screening webservice trên màn hình và kiểm tra các tags tương ứng được gán</t>
  </si>
  <si>
    <t>MT701.02</t>
  </si>
  <si>
    <t>Kiểm tra điện MT701 -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</si>
  <si>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MT701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</si>
  <si>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MT701.03</t>
  </si>
  <si>
    <t>Kiểm tra điện MT701 -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</si>
  <si>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MT701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</si>
  <si>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45A - Description of Goods and/or Services
46A - Documents Required
47A - Additional Conditions
49G - Special Payment Conditions for Beneficiary
49H - Special Payment Conditions for Bank Only</t>
  </si>
  <si>
    <t>MT701.04</t>
  </si>
  <si>
    <t>Kiểm tra điện MT701 -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</si>
  <si>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MT701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</si>
  <si>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MT707</t>
  </si>
  <si>
    <t>MT707.01</t>
  </si>
  <si>
    <t>Kiểm tra điện MT707 -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</si>
  <si>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</si>
  <si>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</si>
  <si>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MT707.02</t>
  </si>
  <si>
    <t>Kiểm tra điện MT707 -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</si>
  <si>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</si>
  <si>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41A - Identifier Code
42A - Identifier Code
58A - Identifier Code
53A - Identifier Code
57A - Identifier Code</t>
  </si>
  <si>
    <t>MT707.03</t>
  </si>
  <si>
    <t>Kiểm tra điện MT707 -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</si>
  <si>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PORT trên dropdown list Screening webservice trên màn hình và kiểm tra các tags tương ứng được gán</t>
  </si>
  <si>
    <t>MT707.04</t>
  </si>
  <si>
    <t>Kiểm tra điện MT707 -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</si>
  <si>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</si>
  <si>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45B - Description of Goods and/or Services
46B - Documents Required
47B - Additional Conditions
49M - Special Payment Conditions for Beneficiary
49N - Special Payment Conditions for Bank Only
71D - Charges
71N - Narrative or Free Text Information
78 - Instructions to the Paying/Accepting/Negotiating Bank
72Z - Sender to Receiver Information</t>
  </si>
  <si>
    <t>MT707.05</t>
  </si>
  <si>
    <t>Kiểm tra điện MT707 -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</si>
  <si>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</si>
  <si>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50B - Non-Bank Issuer
50 - Changed Applicant Details
59 - Name and Address
41A - Identifier Code
41D - Name and Address
42A - Identifier Code
42D - Name and Address
58A - Identifier Code
58D - Name and Address
53A - Identifier Code
53D - Name and Address
57A - Identifier Code
57D - Name and Address</t>
  </si>
  <si>
    <t>Kiểm tra config các trường của điện MT710</t>
  </si>
  <si>
    <t>MT710.01</t>
  </si>
  <si>
    <t>Kiểm tra điện MT710 -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</si>
  <si>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</si>
  <si>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51A - Party Identifier
51A - Identifier Code
51D - Party Identifier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</si>
  <si>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MT710.02</t>
  </si>
  <si>
    <t>Kiểm tra điện MT710 -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</si>
  <si>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</si>
  <si>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51A - Identifier Code
41A - Identifier Code
42A - Identifier Code
58A - Identifier Code
53A - Identifier Code
57A - Identifier Code</t>
  </si>
  <si>
    <t>MT710.03</t>
  </si>
  <si>
    <t>Kiểm tra điện MT710 -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</si>
  <si>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PORT trên dropdown list Screening webservice trên màn hình và kiểm tra các tags tương ứng được gán</t>
  </si>
  <si>
    <t>MT710.04</t>
  </si>
  <si>
    <t>Kiểm tra điện MT710 -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</si>
  <si>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</si>
  <si>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45A - Description of Goods and/or Services
46A - Documents Required
47A - Additional Conditions
49G - Special Payment Conditions for Beneficiary
49H - Special Payment Conditions for Bank Only
71D - Charges
78 - Instructions to the Paying/Accepting/Negotiating Bank
78D - Instructions from Intermediary Bank
72Z - Sender to Receiver Information</t>
  </si>
  <si>
    <t>MT710.05</t>
  </si>
  <si>
    <t>Kiểm tra điện MT710 -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</si>
  <si>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</si>
  <si>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50B - Non-Bank Issuer
51A - Identifier Code
51D - Name and Address
50 - Applicant
59 - Name and Address
41A - Identifier Code
41D - Name and Address
42A - Identifier Code
42D - Name and Address
58A - Identifier Code
58D - Name and Address
53A - Identifier Code
53D - Name and Address
57A - Identifier Code
57D - Name and Address</t>
  </si>
  <si>
    <t>Kiểm tra config các trường của điện MT711</t>
  </si>
  <si>
    <t>MT711.01</t>
  </si>
  <si>
    <t>Kiểm tra điện MT711 -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</si>
  <si>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MT711 trên drop down list 
4. Sau khi bấm nút Save, click liên tiếp 2 lần button mũi tên sang phải (&gt;) ở bên cạnh.
5. Chọn webservice IDENTIFIER trên dropdown list Screening webservice trên màn hình và kiểm tra các tags tương ứng được gán</t>
  </si>
  <si>
    <t>MT711.02</t>
  </si>
  <si>
    <t>Kiểm tra điện MT711 -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</si>
  <si>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MT711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</si>
  <si>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MT711.03</t>
  </si>
  <si>
    <t>Kiểm tra điện MT711 -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</si>
  <si>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MT711 trên drop down list 
4. Sau khi bấm nút Save, click liên tiếp 2 lần button mũi tên sang phải (&gt;) ở bên cạnh.
5. Chọn webservice NARRATIVE trên dropdown list Screening webservice trên màn hình và kiểm tra các tags tương ứng được gán</t>
  </si>
  <si>
    <t>MT711.04</t>
  </si>
  <si>
    <t>Kiểm tra điện MT711 -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</si>
  <si>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MT711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</si>
  <si>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MT720</t>
  </si>
  <si>
    <t>MT720.01</t>
  </si>
  <si>
    <t>Kiểm tra điện MT720 -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</si>
  <si>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</si>
  <si>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41A - Identifier Code
42A - Party Identifier
42A - Identifier Code
42D - Party Identifier
58A - Party Identifier
58A - Identifier Code
58D - Party Identifier
57A - Party Identifier
57A - Identifier Code
57B - Party Identifier
57D - Party Identifier</t>
  </si>
  <si>
    <t>MT720.02</t>
  </si>
  <si>
    <t>Kiểm tra điện MT720 -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</si>
  <si>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</si>
  <si>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41A - Identifier Code
42A - Identifier Code
58A - Identifier Code
57A - Identifier Code</t>
  </si>
  <si>
    <t>MT720.03</t>
  </si>
  <si>
    <t>Kiểm tra điện MT720 -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</si>
  <si>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PORT trên dropdown list Screening webservice trên màn hình và kiểm tra các tags tương ứng được gán</t>
  </si>
  <si>
    <t>MT720.04</t>
  </si>
  <si>
    <t>Kiểm tra điện MT720 -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</si>
  <si>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</si>
  <si>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45A - Description of Goods and/or Services
46A - Documents Required
47A - Additional Conditions
49G - Special Payment Conditions for Beneficiary
49H - Special Payment Conditions for Bank Only
71D - Charges
78 - Instructions to the Paying/Accepting/Negotiating Bank
78D - Instructions from Transferring Bank
72Z - Sender to Receiver Information</t>
  </si>
  <si>
    <t>MT720.05</t>
  </si>
  <si>
    <t>Kiểm tra điện MT720 -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</si>
  <si>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</si>
  <si>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50B - Non-Bank Issuer of the Original Documentary Credit
50 - First Beneficiary
59 - Name and Address
41A - Identifier Code
41D - Name and Address
42A - Identifier Code
42D - Name and Address
58A - Identifier Code
58D - Name and Address
57A - Identifier Code
57D - Name and Address</t>
  </si>
  <si>
    <t>Kiểm tra config các trường của điện MT740</t>
  </si>
  <si>
    <t>MT740.01</t>
  </si>
  <si>
    <t>Kiểm tra điện MT740 -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</si>
  <si>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</si>
  <si>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Party Identifier
58A - Identifier Code
58D - Party Identifier
41A - Identifier Code
42A - Party Identifier
42A - Identifier Code
42D - Party Identifier</t>
  </si>
  <si>
    <t>MT740.02</t>
  </si>
  <si>
    <t>Kiểm tra điện MT740 -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</si>
  <si>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</si>
  <si>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Identifier Code
41A - Identifier Code
42A - Identifier Code</t>
  </si>
  <si>
    <t>MT740.03</t>
  </si>
  <si>
    <t>Kiểm tra điện MT740 -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</si>
  <si>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</si>
  <si>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71D - Other Charges
72Z - Sender to Receiver Information</t>
  </si>
  <si>
    <t>MT740.04</t>
  </si>
  <si>
    <t>Kiểm tra điện MT740 -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</si>
  <si>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</si>
  <si>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Identifier Code
58D - Name and Address
59 - Name and Address
41A - Identifier Code
41D - Name and Address
42A - Identifier Code
42D - Name and Address</t>
  </si>
  <si>
    <t>Kiểm tra config các trường của điện MT742</t>
  </si>
  <si>
    <t>MT742.01</t>
  </si>
  <si>
    <t>Kiểm tra điện MT742 -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</si>
  <si>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MT742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</si>
  <si>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57A - Party Identifier
57A - Identifier Code
57B - Party Identifier
57D - Party Identifier
58A - Party Identifier
58A - Identifier Code
58D - Party Identifier</t>
  </si>
  <si>
    <t>MT742.02</t>
  </si>
  <si>
    <t>Kiểm tra điện MT742 -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</si>
  <si>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MT742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</si>
  <si>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57A - Identifier Code
58A - Identifier Code</t>
  </si>
  <si>
    <t>MT742.03</t>
  </si>
  <si>
    <t>Kiểm tra điện MT742 -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</si>
  <si>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MT742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</si>
  <si>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71D - Charges
72Z - Sender to Receiver Information</t>
  </si>
  <si>
    <t>MT742.04</t>
  </si>
  <si>
    <t>Kiểm tra điện MT742 -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</si>
  <si>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MT742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</si>
  <si>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57A - Identifier Code
57D - Name and Address
58A - Identifier Code
58D - Name and Address</t>
  </si>
  <si>
    <t>Kiểm tra config các trường của điện MT747</t>
  </si>
  <si>
    <t>MT747.01</t>
  </si>
  <si>
    <t>Kiểm tra điện MT747 -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</si>
  <si>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MT747 trên drop down list 
4. Sau khi bấm nút Save, click liên tiếp 2 lần button mũi tên sang phải (&gt;) ở bên cạnh.
5. Chọn webservice IDENTIFIER trên dropdown list Screening webservice trên màn hình và kiểm tra các tags tương ứng được gán</t>
  </si>
  <si>
    <t>MT747.02</t>
  </si>
  <si>
    <t>Kiểm tra điện MT747 -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</si>
  <si>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MT747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</si>
  <si>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MT747.03</t>
  </si>
  <si>
    <t>Kiểm tra điện MT747 -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</si>
  <si>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MT747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</si>
  <si>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72Z - Sender to Receiver Information
77 - Narrative</t>
  </si>
  <si>
    <t>MT747.04</t>
  </si>
  <si>
    <t>Kiểm tra điện MT747 -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</si>
  <si>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MT747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</si>
  <si>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MT760</t>
  </si>
  <si>
    <t>MT760.01</t>
  </si>
  <si>
    <t>Kiểm tra điện MT760 (Sequence)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</si>
  <si>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</si>
  <si>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Party Identifier
52A (Sequence B) - Identifier Code
52D (Sequence B) - Party Identifier
59A (Sequence B) - Identifier Code
56A (Sequence B) - Party Identifier
56A (Sequence B) - Identifier Code
56D (Sequence B) - Party Identifier
57A (Sequence B) - Party Identifier
57A (Sequence B) - Identifier Code
57D (Sequence B) - Party Identifier
41F (Sequence B) - Identifier Code
58A (Sequence B) - Party Identifier
58A (Sequence B) - Identifier Code
58D (Sequence B) - Party Identifier
52A (Sequence B) - Party Identifier
52A (Sequence C) - Identifier Code
52D (Sequence C) - Party Identifier
57A (Sequence C) - Party Identifier
57A (Sequence C) - Identifier Code
57D (Sequence C) - Party Identifier
41F (Sequence C) - Identifier Code</t>
  </si>
  <si>
    <t>MT760.02</t>
  </si>
  <si>
    <t>Kiểm tra điện MT760 (Sequence)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</si>
  <si>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</si>
  <si>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Identifier Code
59A (Sequence B) - Identifier Code
56A (Sequence B) - Identifier Code
57A (Sequence B) - Identifier Code
41F (Sequence B) - Identifier Code
58A (Sequence B) - Identifier Code
52A (Sequence C) - Identifier Code
57A (Sequence C) - Identifier Code
41F (Sequence C) - Identifier Code</t>
  </si>
  <si>
    <t>MT760.03</t>
  </si>
  <si>
    <t>Kiểm tra điện MT760 (Sequence)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</si>
  <si>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</si>
  <si>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72Z (Sequence A) - Sender to Receiver Information
35G (Sequence B) - Expiry Condition/Event
39F (Sequence B) - Supplementary Information About Amount
71D (Sequence B) - Charges
45C (Sequence B) - Document and Presentation Instructions
77U (Sequence B) - Undertaking Terms and Conditions
78 (Sequence B) - Automatic Extension Non-Extension Notification
39E (Sequence B) - Transfer Conditions
45L (Sequence B) - Underlying Transaction Details
35G (Sequence C) - Expiry Condition/Event
39F (Sequence C) - Supplementary Information About Amount
71D (Sequence C) - Charges
45C (Sequence C) - Document and Presentation Instructions
77L (Sequence C) - Requested Local Undertaking Terms and Conditions
78 (Sequence C) - Automatic Extension Non-Extension Notification
39E (Sequence C) - Transfer Conditions
45L (Sequence C) - Underlying Transaction Details</t>
  </si>
  <si>
    <t>MT760.04</t>
  </si>
  <si>
    <t>Kiểm tra điện MT760 (Sequence)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</si>
  <si>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</si>
  <si>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50 (Sequence B) - Applicant
51 (Sequence B) - Obligor/Instructing Party
52A (Sequence B) - Identifier Code
52D (Sequence B) - Name and Address
59 (Sequence B) - Name and Address
59A (Sequence B) - Identifier Code
56A (Sequence B) - Identifier Code
56D (Sequence B) - Name and Address
57A (Sequence B) - Identifier Code
57D (Sequence B) - Name and Address
41F (Sequence B) - Identifier Code
41G (Sequence B) - Name and Address
58A (Sequence B) - Identifier Code
58D (Sequence B) - Name and Address
24G (Sequence B) - Narrative
50 (Sequence C) - Applicant
51 (Sequence C) - Obligor/Instructing Party
52A (Sequence C) - Identifier Code
52D (Sequence C) - Name and Address
59 (Sequence C) - Name and Address
57A (Sequence C) - Identifier Code
57D (Sequence C) - Name and Address
41F (Sequence C) - Identifier Code
41G (Sequence C) - Name and Address
24G (Sequence C) - Narrative</t>
  </si>
  <si>
    <t>Kiểm tra config các trường của điện MT767</t>
  </si>
  <si>
    <t>MT767.01</t>
  </si>
  <si>
    <t>Kiểm tra điện MT767 -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</si>
  <si>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</si>
  <si>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Party Identifier
52A (Sequence B) - Identifier Code
52D (Sequence B) - Party Identifier
59A (Sequence B) - Identifier Code</t>
  </si>
  <si>
    <t>MT767.02</t>
  </si>
  <si>
    <t>Kiểm tra điện MT767 -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</si>
  <si>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</si>
  <si>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Identifier Code
59A (Sequence B) - Identifier Code</t>
  </si>
  <si>
    <t>MT767.03</t>
  </si>
  <si>
    <t>Kiểm tra điện MT767 -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</si>
  <si>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</si>
  <si>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72Z (Sequence A) - Sender to Receiver Information
35G (Sequence B) - Expiry Condition/Event
77U (Sequence B) - Other Amendments to Undertaking
35G (Sequence C) - Expiry Condition/Event
77L (Sequence C) - Other Amendments to Local Undertaking</t>
  </si>
  <si>
    <t>MT767.04</t>
  </si>
  <si>
    <t>Kiểm tra điện MT767 -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</si>
  <si>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</si>
  <si>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Identifier Code
52D (Sequence B) - Name and Address
59 (Sequence B) - Name and Address
59A (Sequence B) - Identifier Code
24G (Sequence B) - Narrative
59 (Sequence C) - Name and Address
24G (Sequence C) - Narrative</t>
  </si>
  <si>
    <t>Kiểm tra config các trường của điện MT799</t>
  </si>
  <si>
    <t>MT799.01</t>
  </si>
  <si>
    <t>Kiểm tra điện MT799 -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</si>
  <si>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MT799 trên drop down list 
4. Sau khi bấm nút Save, click liên tiếp 2 lần button mũi tên sang phải (&gt;) ở bên cạnh.
5. Chọn webservice IDENTIFIER trên dropdown list Screening webservice trên màn hình và kiểm tra các tags tương ứng được gán</t>
  </si>
  <si>
    <t>MT799.02</t>
  </si>
  <si>
    <t>Kiểm tra điện MT799 -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</si>
  <si>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</si>
  <si>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MT799.03</t>
  </si>
  <si>
    <t>Kiểm tra điện MT799 -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</si>
  <si>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MT799 trên drop down list 
4. Sau khi bấm nút Save, click liên tiếp 2 lần button mũi tên sang phải (&gt;) ở bên cạnh.
5. Chọn webservice NARRATIVE trên dropdown list Screening webservice trên màn hình và kiểm tra các tags tương ứng được gán</t>
  </si>
  <si>
    <t>MT799.04</t>
  </si>
  <si>
    <t>Kiểm tra điện MT799 -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</si>
  <si>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</si>
  <si>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MT999</t>
  </si>
  <si>
    <t>MT999.01</t>
  </si>
  <si>
    <t>Kiểm tra điện MT999 -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</si>
  <si>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MT999 trên drop down list 
4. Sau khi bấm nút Save, click liên tiếp 2 lần button mũi tên sang phải (&gt;) ở bên cạnh.
5. Chọn webservice IDENTIFIER trên dropdown list Screening webservice trên màn hình và kiểm tra các tags tương ứng được gán</t>
  </si>
  <si>
    <t>MT999.02</t>
  </si>
  <si>
    <t>Kiểm tra điện MT999 -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</si>
  <si>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MT999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</si>
  <si>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MT999.03</t>
  </si>
  <si>
    <t>Kiểm tra điện MT999 -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</si>
  <si>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MT999 trên drop down list 
4. Sau khi bấm nút Save, click liên tiếp 2 lần button mũi tên sang phải (&gt;) ở bên cạnh.
5. Chọn webservice NARRATIVE trên dropdown list Screening webservice trên màn hình và kiểm tra các tags tương ứng được gán</t>
  </si>
  <si>
    <t>MT999.04</t>
  </si>
  <si>
    <t>Kiểm tra điện MT999 -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</si>
  <si>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MT999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</si>
  <si>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Pacs.008</t>
  </si>
  <si>
    <t>Pacs.008.01</t>
  </si>
  <si>
    <t>Kiểm tra điện pacs.008.001.08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</si>
  <si>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pacs.008.001.08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</si>
  <si>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 xml:space="preserve">5. 'Thông tin hiển thị các Screening Field Name, Screening Field XPath tương ứng theo từng webservice đảm bảo đủ, đúng theo yêu cầu, có trạng thái Enable = Yes, bao gồm:
/Document/FIToFICstmrCdtTrf/GrpHdr/SttlmInf/InstgRmbrsmntAgt/FinInstnId/BICFI
/Document/FIToFICstmrCdtTrf/GrpHdr/SttlmInf/InstgRmbrsmntAgt/FinInstnId/Othr/Id
/Document/FIToFICstmrCdtTrf/GrpHdr/SttlmInf/InstgRmbrsmntAgt/BrnchId/Id
/Document/FIToFICstmrCdtTrf/GrpHdr/SttlmInf/InstdRmbrsmntAgt/FinInstnId/BICFI
/Document/FIToFICstmrCdtTrf/GrpHdr/SttlmInf/InstdRmbrsmntAgt/FinInstnId/Othr/Id
/Document/FIToFICstmrCdtTrf/GrpHdr/SttlmInf/InstdRmbrsmntAgt/BrnchId/Id
/Document/FIToFICstmrCdtTrf/GrpHdr/SttlmInf/ThrdRmbrsmntAgt/FinInstnId/BICFI
/Document/FIToFICstmrCdtTrf/GrpHdr/SttlmInf/ThrdRmbrsmntAgt/FinInstnId/Othr/Id
/Document/FIToFICstmrCdtTrf/GrpHdr/SttlmInf/ThrdRmbrsmntAgt/BrnchId/Id
/Document/FIToFICstmrCdtTrf/GrpHdr/InstgAgt/FinInstnId/BICFI
/Document/FIToFICstmrCdtTrf/GrpHdr/InstgAgt/FinInstnId/Othr/Id
/Document/FIToFICstmrCdtTrf/GrpHdr/InstgAgt/BrnchId/Id
/Document/FIToFICstmrCdtTrf/GrpHdr/InstdAgt/FinInstnId/BICFI
/Document/FIToFICstmrCdtTrf/GrpHdr/InstdAgt/FinInstnId/Othr/Id
/Document/FIToFICstmrCdtTrf/GrpHdr/InstdAgt/BrnchId/Id
/Document/FIToFICstmrCdtTrf/CdtTrfTxInf/PrvsInstgAgt1/FinInstnId/BICFI
/Document/FIToFICstmrCdtTrf/CdtTrfTxInf/PrvsInstgAgt1/FinInstnId/Othr/Id
/Document/FIToFICstmrCdtTrf/CdtTrfTxInf/PrvsInstgAgt1/BrnchId/Id
/Document/FIToFICstmrCdtTrf/CdtTrfTxInf/PrvsInstgAgt2/FinInstnId/BICFI
/Document/FIToFICstmrCdtTrf/CdtTrfTxInf/PrvsInstgAgt2/FinInstnId/Othr/Id
/Document/FIToFICstmrCdtTrf/CdtTrfTxInf/PrvsInstgAgt2/BrnchId/Id
/Document/FIToFICstmrCdtTrf/CdtTrfTxInf/PrvsInstgAgt3/FinInstnId/BICFI
/Document/FIToFICstmrCdtTrf/CdtTrfTxInf/PrvsInstgAgt3/FinInstnId/Othr/Id
/Document/FIToFICstmrCdtTrf/CdtTrfTxInf/PrvsInstgAgt3/BrnchId/Id
/Document/FIToFICstmrCdtTrf/CdtTrfTxInf/IntrmyAgt1/FinInstnId/BICFI
/Document/FIToFICstmrCdtTrf/CdtTrfTxInf/IntrmyAgt1/FinInstnId/Othr/Id
/Document/FIToFICstmrCdtTrf/CdtTrfTxInf/IntrmyAgt1/BrnchId/Id
/Document/FIToFICstmrCdtTrf/CdtTrfTxInf/IntrmyAgt2/FinInstnId/BICFI
/Document/FIToFICstmrCdtTrf/CdtTrfTxInf/IntrmyAgt2/FinInstnId/Othr/Id
/Document/FIToFICstmrCdtTrf/CdtTrfTxInf/IntrmyAgt2/BrnchId/Id
/Document/FIToFICstmrCdtTrf/CdtTrfTxInf/IntrmyAgt3/FinInstnId/BICFI
/Document/FIToFICstmrCdtTrf/CdtTrfTxInf/IntrmyAgt3/FinInstnId/Othr/Id
/Document/FIToFICstmrCdtTrf/CdtTrfTxInf/IntrmyAgt3/BrnchId/Id
/Document/FIToFICstmrCdtTrf/CdtTrfTxInf/DbtrAgt/FinInstnId/BICFI
/Document/FIToFICstmrCdtTrf/CdtTrfTxInf/DbtrAgt/FinInstnId/Othr/Id
/Document/FIToFICstmrCdtTrf/CdtTrfTxInf/DbtrAgt/BrnchId/Id
/Document/FIToFICstmrCdtTrf/CdtTrfTxInf/CdtrAgt/FinInstnId/BICFI
/Document/FIToFICstmrCdtTrf/CdtTrfTxInf/CdtrAgt/FinInstnId/Othr/Id
/Document/FIToFICstmrCdtTrf/CdtTrfTxInf/CdtrAgt/BrnchId/Id
/Document/FIToFICstmrCdtTrf/CdtTrfTxInf/InstgAgt/FinInstnId/BICFI
/Document/FIToFICstmrCdtTrf/CdtTrfTxInf/InstgAgt/FinInstnId/Othr/Id
/Document/FIToFICstmrCdtTrf/CdtTrfTxInf/InstgAgt/BrnchId/Id
/Document/FIToFICstmrCdtTrf/CdtTrfTxInf/InstdAgt/FinInstnId/BICFI
/Document/FIToFICstmrCdtTrf/CdtTrfTxInf/InstdAgt/FinInstnId/Othr/Id
/Document/FIToFICstmrCdtTrf/CdtTrfTxInf/InstdAgt/BrnchId/Id
/Document/FIToFICstmrCdtTrf/CdtTrfTxInf/Cdtr/Id/OrgId/AnyBIC
/Document/FIToFICstmrCdtTrf/CdtTrfTxInf/Cdtr/Id/OrgId/Othr/Id
/Document/FIToFICstmrCdtTrf/CdtTrfTxInf/Cdtr/Id/PrvtId/Othr/Id
/Document/FIToFICstmrCdtTrf/CdtTrfTxInf/UltmtCdtr/Id/OrgId/AnyBIC
/Document/FIToFICstmrCdtTrf/CdtTrfTxInf/UltmtCdtr/Id/OrgId/Othr/Id
/Document/FIToFICstmrCdtTrf/CdtTrfTxInf/UltmtCdtr/Id/PrvtId/Othr/Id
/Document/FIToFICstmrCdtTrf/CdtTrfTxInf/Dbtr/Id/OrgId/AnyBIC
/Document/FIToFICstmrCdtTrf/CdtTrfTxInf/Dbtr/Id/OrgId/Othr/Id
/Document/FIToFICstmrCdtTrf/CdtTrfTxInf/Dbtr/Id/PrvtId/Othr/Id
/Document/FIToFICstmrCdtTrf/CdtTrfTxInf/UltmtDbtr/Id/OrgId/AnyBIC
/Document/FIToFICstmrCdtTrf/CdtTrfTxInf/UltmtDbtr/Id/OrgId/Othr/Id
/Document/FIToFICstmrCdtTrf/CdtTrfTxInf/UltmtDbtr/Id/PrvtId/Othr/Id
/Document/FIToFICstmrCdtTrf/CdtTrfTxInf/InitgPty/Id/OrgId/AnyBIC
/Document/FIToFICstmrCdtTrf/CdtTrfTxInf/InitgPty/Id/OrgId/Othr/Id
/Document/FIToFICstmrCdtTrf/CdtTrfTxInf/InitgPty/Id/PrvtId/Othr/Id
/Document/FIToFICstmrCdtTrf/CdtTrfTxInf/ChrgsInf/Agt/FinInstnId/BICFI
/Document/FIToFICstmrCdtTrf/CdtTrfTxInf/RmtInf/Strd/Invcr/Id/OrgId/AnyBIC
/Document/FIToFICstmrCdtTrf/CdtTrfTxInf/RmtInf/Strd/Invcr/Id/OrgId/Othr/Id
/Document/FIToFICstmrCdtTrf/CdtTrfTxInf/RmtInf/Strd/Invcr/Id/PrvtId/Othr/Id
/Document/FIToFICstmrCdtTrf/CdtTrfTxInf/RmtInf/Strd/Invcee/Id/OrgId/AnyBIC
/Document/FIToFICstmrCdtTrf/CdtTrfTxInf/RmtInf/Strd/Invcee/Id/OrgId/Othr/Id
/Document/FIToFICstmrCdtTrf/CdtTrfTxInf/RmtInf/Strd/Invcee/Id/PrvtId/Othr/Id
/Document/FIToFICstmrCdtTrf/CdtTrfTxInf/RmtInf/Strd/GrnshmtRmt/Grnshee/Id/OrgId/AnyBIC
/Document/FIToFICstmrCdtTrf/CdtTrfTxInf/RmtInf/Strd/GrnshmtRmt/Grnshee/Id/OrgId/Othr/Id
/Document/FIToFICstmrCdtTrf/CdtTrfTxInf/RmtInf/Strd/GrnshmtRmt/Grnshee/Id/PrvtId/Othr/Id
/Document/FIToFICstmrCdtTrf/CdtTrfTxInf/RmtInf/Strd/GrnshmtRmt/GrnshmtAdmstr/Id/OrgId/AnyBIC
/Document/FIToFICstmrCdtTrf/CdtTrfTxInf/RmtInf/Strd/GrnshmtRmt/GrnshmtAdmstr/Id/OrgId/Othr/Id
/Document/FIToFICstmrCdtTrf/CdtTrfTxInf/RmtInf/Strd/GrnshmtRmt/GrnshmtAdmstr/Id/PrvtId/Othr/Id
</t>
  </si>
  <si>
    <t>Pacs.008.02</t>
  </si>
  <si>
    <t>Kiểm tra điện pacs.008.001.08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</si>
  <si>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pacs.008.001.08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</si>
  <si>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/Document/FIToFICstmrCdtTrf/GrpHdr/SttlmInf/InstgRmbrsmntAgt/FinInstnId/BICFI
/Document/FIToFICstmrCdtTrf/GrpHdr/SttlmInf/InstgRmbrsmntAgt/FinInstnId/PstlAdr/Ctry
/Document/FIToFICstmrCdtTrf/GrpHdr/SttlmInf/InstgRmbrsmntAgt/BrnchId/Id
/Document/FIToFICstmrCdtTrf/GrpHdr/SttlmInf/InstgRmbrsmntAgt/BrnchId/PstlAdr/Ctry
/Document/FIToFICstmrCdtTrf/GrpHdr/SttlmInf/InstdRmbrsmntAgt/FinInstnId/BICFI
/Document/FIToFICstmrCdtTrf/GrpHdr/SttlmInf/InstdRmbrsmntAgt/FinInstnId/PstlAdr/Ctry
/Document/FIToFICstmrCdtTrf/GrpHdr/SttlmInf/InstdRmbrsmntAgt/BrnchId/Id
/Document/FIToFICstmrCdtTrf/GrpHdr/SttlmInf/InstdRmbrsmntAgt/BrnchId/PstlAdr/Ctry
/Document/FIToFICstmrCdtTrf/GrpHdr/SttlmInf/ThrdRmbrsmntAgt/FinInstnId/BICFI
/Document/FIToFICstmrCdtTrf/GrpHdr/SttlmInf/ThrdRmbrsmntAgt/FinInstnId/PstlAdr/Ctry
/Document/FIToFICstmrCdtTrf/GrpHdr/SttlmInf/ThrdRmbrsmntAgt/BrnchId/Id
/Document/FIToFICstmrCdtTrf/GrpHdr/SttlmInf/ThrdRmbrsmntAgt/BrnchId/PstlAdr/Ctry
/Document/FIToFICstmrCdtTrf/GrpHdr/InstgAgt/FinInstnId/BICFI
/Document/FIToFICstmrCdtTrf/GrpHdr/InstgAgt/FinInstnId/PstlAdr/Ctry
/Document/FIToFICstmrCdtTrf/GrpHdr/InstgAgt/BrnchId/Id
/Document/FIToFICstmrCdtTrf/GrpHdr/InstgAgt/BrnchId/PstlAdr/Ctry
/Document/FIToFICstmrCdtTrf/GrpHdr/InstdAgt/FinInstnId/BICFI
/Document/FIToFICstmrCdtTrf/GrpHdr/InstdAgt/FinInstnId/PstlAdr/Ctry
/Document/FIToFICstmrCdtTrf/GrpHdr/InstdAgt/BrnchId/Id
/Document/FIToFICstmrCdtTrf/GrpHdr/InstdAgt/BrnchId/PstlAdr/Ctry
/Document/FIToFICstmrCdtTrf/CdtTrfTxInf/PrvsInstgAgt1/FinInstnId/BICFI
/Document/FIToFICstmrCdtTrf/CdtTrfTxInf/PrvsInstgAgt1/FinInstnId/PstlAdr/Ctry
/Document/FIToFICstmrCdtTrf/CdtTrfTxInf/PrvsInstgAgt1/BrnchId/Id
/Document/FIToFICstmrCdtTrf/CdtTrfTxInf/PrvsInstgAgt1/BrnchId/PstlAdr/Ctry
/Document/FIToFICstmrCdtTrf/CdtTrfTxInf/PrvsInstgAgt2/FinInstnId/BICFI
/Document/FIToFICstmrCdtTrf/CdtTrfTxInf/PrvsInstgAgt2/FinInstnId/PstlAdr/Ctry
/Document/FIToFICstmrCdtTrf/CdtTrfTxInf/PrvsInstgAgt2/BrnchId/Id
/Document/FIToFICstmrCdtTrf/CdtTrfTxInf/PrvsInstgAgt2/BrnchId/PstlAdr/Ctry
/Document/FIToFICstmrCdtTrf/CdtTrfTxInf/PrvsInstgAgt3/FinInstnId/BICFI
/Document/FIToFICstmrCdtTrf/CdtTrfTxInf/PrvsInstgAgt3/FinInstnId/PstlAdr/Ctry
/Document/FIToFICstmrCdtTrf/CdtTrfTxInf/PrvsInstgAgt3/BrnchId/Id
/Document/FIToFICstmrCdtTrf/CdtTrfTxInf/PrvsInstgAgt3/BrnchId/PstlAdr/Ctry
/Document/FIToFICstmrCdtTrf/CdtTrfTxInf/IntrmyAgt1/FinInstnId/BICFI
/Document/FIToFICstmrCdtTrf/CdtTrfTxInf/IntrmyAgt1/FinInstnId/PstlAdr/Ctry
/Document/FIToFICstmrCdtTrf/CdtTrfTxInf/IntrmyAgt1/BrnchId/Id
/Document/FIToFICstmrCdtTrf/CdtTrfTxInf/IntrmyAgt1/BrnchId/PstlAdr/Ctry
/Document/FIToFICstmrCdtTrf/CdtTrfTxInf/IntrmyAgt2/FinInstnId/BICFI
/Document/FIToFICstmrCdtTrf/CdtTrfTxInf/IntrmyAgt2/FinInstnId/PstlAdr/Ctry
/Document/FIToFICstmrCdtTrf/CdtTrfTxInf/IntrmyAgt2/BrnchId/Id
/Document/FIToFICstmrCdtTrf/CdtTrfTxInf/IntrmyAgt2/BrnchId/PstlAdr/Ctry
/Document/FIToFICstmrCdtTrf/CdtTrfTxInf/IntrmyAgt3/FinInstnId/BICFI
/Document/FIToFICstmrCdtTrf/CdtTrfTxInf/IntrmyAgt3/FinInstnId/PstlAdr/Ctry
/Document/FIToFICstmrCdtTrf/CdtTrfTxInf/IntrmyAgt3/BrnchId/Id
/Document/FIToFICstmrCdtTrf/CdtTrfTxInf/IntrmyAgt3/BrnchId/PstlAdr/Ctry
/Document/FIToFICstmrCdtTrf/CdtTrfTxInf/DbtrAgt/FinInstnId/BICFI
/Document/FIToFICstmrCdtTrf/CdtTrfTxInf/DbtrAgt/FinInstnId/PstlAdr/Ctry
/Document/FIToFICstmrCdtTrf/CdtTrfTxInf/DbtrAgt/BrnchId/Id
/Document/FIToFICstmrCdtTrf/CdtTrfTxInf/DbtrAgt/BrnchId/PstlAdr/Ctry
/Document/FIToFICstmrCdtTrf/CdtTrfTxInf/CdtrAgt/FinInstnId/BICFI
/Document/FIToFICstmrCdtTrf/CdtTrfTxInf/CdtrAgt/FinInstnId/PstlAdr/Ctry
/Document/FIToFICstmrCdtTrf/CdtTrfTxInf/CdtrAgt/BrnchId/Id
/Document/FIToFICstmrCdtTrf/CdtTrfTxInf/CdtrAgt/BrnchId/PstlAdr/Ctry
/Document/FIToFICstmrCdtTrf/CdtTrfTxInf/InstgAgt/FinInstnId/BICFI
/Document/FIToFICstmrCdtTrf/CdtTrfTxInf/InstgAgt/FinInstnId/PstlAdr/Ctry
/Document/FIToFICstmrCdtTrf/CdtTrfTxInf/InstgAgt/BrnchId/Id
/Document/FIToFICstmrCdtTrf/CdtTrfTxInf/InstgAgt/BrnchId/PstlAdr/Ctry
/Document/FIToFICstmrCdtTrf/CdtTrfTxInf/InstdAgt/FinInstnId/BICFI
/Document/FIToFICstmrCdtTrf/CdtTrfTxInf/InstdAgt/FinInstnId/PstlAdr/Ctry
/Document/FIToFICstmrCdtTrf/CdtTrfTxInf/InstdAgt/BrnchId/Id
/Document/FIToFICstmrCdtTrf/CdtTrfTxInf/InstdAgt/BrnchId/PstlAdr/Ctry
/Document/FIToFICstmrCdtTrf/CdtTrfTxInf/Cdtr/PstlAdr/Ctry
/Document/FIToFICstmrCdtTrf/CdtTrfTxInf/Cdtr/Id/OrgId/AnyBIC
/Document/FIToFICstmrCdtTrf/CdtTrfTxInf/Cdtr/Id/PrvtId/DtAndPlcOfBirth/CtryOfBirth
/Document/FIToFICstmrCdtTrf/CdtTrfTxInf/Cdtr/CtryOfRes
/Document/FIToFICstmrCdtTrf/CdtTrfTxInf/UltmtCdtr/PstlAdr/Ctry
/Document/FIToFICstmrCdtTrf/CdtTrfTxInf/UltmtCdtr/Id/OrgId/AnyBIC
/Document/FIToFICstmrCdtTrf/CdtTrfTxInf/UltmtCdtr/Id/PrvtId/DtAndPlcOfBirth/CtryOfBirth
/Document/FIToFICstmrCdtTrf/CdtTrfTxInf/UltmtCdtr/CtryOfRes
/Document/FIToFICstmrCdtTrf/CdtTrfTxInf/Dbtr/PstlAdr/Ctry
/Document/FIToFICstmrCdtTrf/CdtTrfTxInf/Dbtr/Id/OrgId/AnyBIC
/Document/FIToFICstmrCdtTrf/CdtTrfTxInf/Dbtr/Id/PrvtId/DtAndPlcOfBirth/CtryOfBirth
/Document/FIToFICstmrCdtTrf/CdtTrfTxInf/Dbtr/CtryOfRes
/Document/FIToFICstmrCdtTrf/CdtTrfTxInf/UltmtDbtr/PstlAdr/Ctry
/Document/FIToFICstmrCdtTrf/CdtTrfTxInf/UltmtDbtr/Id/OrgId/AnyBIC
/Document/FIToFICstmrCdtTrf/CdtTrfTxInf/UltmtDbtr/Id/PrvtId/DtAndPlcOfBirth/CtryOfBirth
/Document/FIToFICstmrCdtTrf/CdtTrfTxInf/UltmtDbtr/CtryOfRes
/Document/FIToFICstmrCdtTrf/CdtTrfTxInf/InitgPty/PstlAdr/Ctry
/Document/FIToFICstmrCdtTrf/CdtTrfTxInf/InitgPty/Id/OrgId/AnyBIC
/Document/FIToFICstmrCdtTrf/CdtTrfTxInf/InitgPty/Id/PrvtId/DtAndPlcOfBirth/CtryOfBirth
/Document/FIToFICstmrCdtTrf/CdtTrfTxInf/InitgPty/CtryOfRes
/Document/FIToFICstmrCdtTrf/CdtTrfTxInf/ChrgsInf/Agt/FinInstnId/BICFI
/Document/FIToFICstmrCdtTrf/CdtTrfTxInf/ChrgsInf/Agt/FinInstnId/PstlAdr/Ctry
/Document/FIToFICstmrCdtTrf/CdtTrfTxInf/ChrgsInf/Agt/BrnchId/PstlAdr/Ctry
/Document/FIToFICstmrCdtTrf/CdtTrfTxInf/RltdRmtInf/RmtLctnDtls/PstlAdr/Adr/Ctry
/Document/FIToFICstmrCdtTrf/CdtTrfTxInf/RmtInf/Strd/Invcr/PstlAdr/Ctry
/Document/FIToFICstmrCdtTrf/CdtTrfTxInf/RmtInf/Strd/Invcr/Id/OrgId/AnyBIC
/Document/FIToFICstmrCdtTrf/CdtTrfTxInf/RmtInf/Strd/Invcr/Id/PrvtId/DtAndPlcOfBirth/CtryOfBirth
/Document/FIToFICstmrCdtTrf/CdtTrfTxInf/RmtInf/Strd/Invcr/CtryOfRes
/Document/FIToFICstmrCdtTrf/CdtTrfTxInf/RmtInf/Strd/Invcee/PstlAdr/Ctry
/Document/FIToFICstmrCdtTrf/CdtTrfTxInf/RmtInf/Strd/Invcee/Id/OrgId/AnyBIC
/Document/FIToFICstmrCdtTrf/CdtTrfTxInf/RmtInf/Strd/Invcee/Id/PrvtId/DtAndPlcOfBirth/CtryOfBirth
/Document/FIToFICstmrCdtTrf/CdtTrfTxInf/RmtInf/Strd/Invcee/CtryOfRes
/Document/FIToFICstmrCdtTrf/CdtTrfTxInf/RmtInf/Strd/GrnshmtRmt/Grnshee/PstlAdr/Ctry
/Document/FIToFICstmrCdtTrf/CdtTrfTxInf/RmtInf/Strd/GrnshmtRmt/Grnshee/Id/OrgId/AnyBIC
/Document/FIToFICstmrCdtTrf/CdtTrfTxInf/RmtInf/Strd/GrnshmtRmt/Grnshee/Id/PrvtId/DtAndPlcOfBirth/CtryOfBirth
/Document/FIToFICstmrCdtTrf/CdtTrfTxInf/RmtInf/Strd/GrnshmtRmt/Grnshee/CtryOfRes
/Document/FIToFICstmrCdtTrf/CdtTrfTxInf/RmtInf/Strd/GrnshmtRmt/GrnshmtAdmstr/PstlAdr/Ctry
/Document/FIToFICstmrCdtTrf/CdtTrfTxInf/RmtInf/Strd/GrnshmtRmt/GrnshmtAdmstr/Id/OrgId/AnyBIC
/Document/FIToFICstmrCdtTrf/CdtTrfTxInf/RmtInf/Strd/GrnshmtRmt/GrnshmtAdmstr/Id/PrvtId/DtAndPlcOfBirth/CtryOfBirth
/Document/FIToFICstmrCdtTrf/CdtTrfTxInf/RmtInf/Strd/GrnshmtRmt/GrnshmtAdmstr/CtryOfRes</t>
  </si>
  <si>
    <t>Pacs.008.03</t>
  </si>
  <si>
    <t>Kiểm tra điện pacs.008.001.08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</si>
  <si>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pacs.008.001.08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</si>
  <si>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/Document/FIToFICstmrCdtTrf/CdtTrfTxInf/RmtInf/Ustrd</t>
  </si>
  <si>
    <t>Pacs.008.04</t>
  </si>
  <si>
    <t>Kiểm tra điện pacs.008.001.08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</si>
  <si>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pacs.008.001.08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</si>
  <si>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 xml:space="preserve">5. 'Thông tin hiển thị các Screening Field Name, Screening Field XPath tương ứng theo từng webservice đảm bảo đủ, đúng theo yêu cầu, có trạng thái Enable = Yes, bao gồm:
Document/FIToFICstmrCdtTrf/GrpHdr/SttlmInf/InstgRmbrsmntAgt/FinInstnId/PstlAdr/Ctry
Document/FIToFICstmrCdtTrf/GrpHdr/SttlmInf/InstgRmbrsmntAgt/FinInstnId/Nm
Document/FIToFICstmrCdtTrf/GrpHdr/SttlmInf/InstgRmbrsmntAgt/BrnchId/PstlAdr/Ctry
Document/FIToFICstmrCdtTrf/GrpHdr/SttlmInf/InstgRmbrsmntAgt/BrnchId/Nm
Document/FIToFICstmrCdtTrf/GrpHdr/SttlmInf/InstdRmbrsmntAgt/FinInstnId/PstlAdr/Ctry
Document/FIToFICstmrCdtTrf/GrpHdr/SttlmInf/InstdRmbrsmntAgt/FinInstnId/Nm
Document/FIToFICstmrCdtTrf/GrpHdr/SttlmInf/InstdRmbrsmntAgt/BrnchId/PstlAdr/Ctry
Document/FIToFICstmrCdtTrf/GrpHdr/SttlmInf/InstdRmbrsmntAgt/BrnchId/Nm
Document/FIToFICstmrCdtTrf/GrpHdr/SttlmInf/ThrdRmbrsmntAgt/FinInstnId/PstlAdr/Ctry
Document/FIToFICstmrCdtTrf/GrpHdr/SttlmInf/ThrdRmbrsmntAgt/FinInstnId/Nm
Document/FIToFICstmrCdtTrf/GrpHdr/SttlmInf/ThrdRmbrsmntAgt/BrnchId/PstlAdr/Ctry
Document/FIToFICstmrCdtTrf/GrpHdr/SttlmInf/ThrdRmbrsmntAgt/BrnchId/Nm
Document/FIToFICstmrCdtTrf/GrpHdr/InstgAgt/FinInstnId/PstlAdr/Ctry
Document/FIToFICstmrCdtTrf/GrpHdr/InstgAgt/FinInstnId/Nm
Document/FIToFICstmrCdtTrf/GrpHdr/InstgAgt/BrnchId/PstlAdr/Ctry
Document/FIToFICstmrCdtTrf/GrpHdr/InstgAgt/BrnchId/Nm
Document/FIToFICstmrCdtTrf/GrpHdr/InstdAgt/FinInstnId/PstlAdr/Ctry
Document/FIToFICstmrCdtTrf/GrpHdr/InstdAgt/FinInstnId/Nm
Document/FIToFICstmrCdtTrf/GrpHdr/InstdAgt/BrnchId/PstlAdr/Ctry
Document/FIToFICstmrCdtTrf/GrpHdr/InstdAgt/BrnchId/Nm
Document/FIToFICstmrCdtTrf/CdtTrfTxInf/PrvsInstgAgt1/FinInstnId/PstlAdr/Ctry
Document/FIToFICstmrCdtTrf/CdtTrfTxInf/PrvsInstgAgt1/FinInstnId/Nm
Document/FIToFICstmrCdtTrf/CdtTrfTxInf/PrvsInstgAgt1/BrnchId/PstlAdr/Ctry
Document/FIToFICstmrCdtTrf/CdtTrfTxInf/PrvsInstgAgt1/BrnchId/Nm
Document/FIToFICstmrCdtTrf/CdtTrfTxInf/PrvsInstgAgt2/FinInstnId/PstlAdr/Ctry
Document/FIToFICstmrCdtTrf/CdtTrfTxInf/PrvsInstgAgt2/FinInstnId/Nm
Document/FIToFICstmrCdtTrf/CdtTrfTxInf/PrvsInstgAgt2/BrnchId/PstlAdr/Ctry
Document/FIToFICstmrCdtTrf/CdtTrfTxInf/PrvsInstgAgt2/BrnchId/Nm
Document/FIToFICstmrCdtTrf/CdtTrfTxInf/PrvsInstgAgt3/FinInstnId/PstlAdr/Ctry
Document/FIToFICstmrCdtTrf/CdtTrfTxInf/PrvsInstgAgt3/FinInstnId/Nm
Document/FIToFICstmrCdtTrf/CdtTrfTxInf/PrvsInstgAgt3/BrnchId/PstlAdr/Ctry
Document/FIToFICstmrCdtTrf/CdtTrfTxInf/PrvsInstgAgt3/BrnchId/Nm
Document/FIToFICstmrCdtTrf/CdtTrfTxInf/IntrmyAgt1/FinInstnId/PstlAdr/Ctry
Document/FIToFICstmrCdtTrf/CdtTrfTxInf/IntrmyAgt1/FinInstnId/Nm
Document/FIToFICstmrCdtTrf/CdtTrfTxInf/IntrmyAgt1/BrnchId/PstlAdr/Ctry
Document/FIToFICstmrCdtTrf/CdtTrfTxInf/IntrmyAgt1/BrnchId/Nm
Document/FIToFICstmrCdtTrf/CdtTrfTxInf/IntrmyAgt2/FinInstnId/PstlAdr/Ctry
Document/FIToFICstmrCdtTrf/CdtTrfTxInf/IntrmyAgt2/FinInstnId/Nm
Document/FIToFICstmrCdtTrf/CdtTrfTxInf/IntrmyAgt2/BrnchId/PstlAdr/Ctry
Document/FIToFICstmrCdtTrf/CdtTrfTxInf/IntrmyAgt2/BrnchId/Nm
Document/FIToFICstmrCdtTrf/CdtTrfTxInf/IntrmyAgt3/FinInstnId/PstlAdr/Ctry
Document/FIToFICstmrCdtTrf/CdtTrfTxInf/IntrmyAgt3/FinInstnId/Nm
Document/FIToFICstmrCdtTrf/CdtTrfTxInf/IntrmyAgt3/BrnchId/PstlAdr/Ctry
Document/FIToFICstmrCdtTrf/CdtTrfTxInf/IntrmyAgt3/BrnchId/Nm
Document/FIToFICstmrCdtTrf/CdtTrfTxInf/DbtrAgt/FinInstnId/PstlAdr/Ctry
Document/FIToFICstmrCdtTrf/CdtTrfTxInf/DbtrAgt/FinInstnId/Nm
Document/FIToFICstmrCdtTrf/CdtTrfTxInf/DbtrAgt/BrnchId/PstlAdr/Ctry
Document/FIToFICstmrCdtTrf/CdtTrfTxInf/DbtrAgt/BrnchId/Nm
Document/FIToFICstmrCdtTrf/CdtTrfTxInf/CdtrAgt/FinInstnId/PstlAdr/Ctry
Document/FIToFICstmrCdtTrf/CdtTrfTxInf/CdtrAgt/FinInstnId/Nm
Document/FIToFICstmrCdtTrf/CdtTrfTxInf/CdtrAgt/BrnchId/PstlAdr/Ctry
Document/FIToFICstmrCdtTrf/CdtTrfTxInf/CdtrAgt/BrnchId/Nm
Document/FIToFICstmrCdtTrf/CdtTrfTxInf/InstgAgt/FinInstnId/PstlAdr/Ctry
Document/FIToFICstmrCdtTrf/CdtTrfTxInf/InstgAgt/FinInstnId/Nm
Document/FIToFICstmrCdtTrf/CdtTrfTxInf/InstgAgt/BrnchId/PstlAdr/Ctry
Document/FIToFICstmrCdtTrf/CdtTrfTxInf/InstgAgt/BrnchId/Nm
Document/FIToFICstmrCdtTrf/CdtTrfTxInf/InstdAgt/FinInstnId/PstlAdr/Ctry
Document/FIToFICstmrCdtTrf/CdtTrfTxInf/InstdAgt/FinInstnId/Nm
Document/FIToFICstmrCdtTrf/CdtTrfTxInf/InstdAgt/BrnchId/PstlAdr/Ctry
Document/FIToFICstmrCdtTrf/CdtTrfTxInf/InstdAgt/BrnchId/Nm
Document/FIToFICstmrCdtTrf/CdtTrfTxInf/Cdtr/PstlAdr/Ctry
Document/FIToFICstmrCdtTrf/CdtTrfTxInf/Cdtr/CtryOfRes
Document/FIToFICstmrCdtTrf/CdtTrfTxInf/Cdtr/Nm
Document/FIToFICstmrCdtTrf/CdtTrfTxInf/Cdtr/Id/PrvtId/DtAndPlcOfBirth/CtryOfBirth
Document/FIToFICstmrCdtTrf/CdtTrfTxInf/Cdtr/Id/PrvtId/DtAndPlcOfBirth/BirthDt
Document/FIToFICstmrCdtTrf/CdtTrfTxInf/UltmtCdtr/PstlAdr/Ctry
Document/FIToFICstmrCdtTrf/CdtTrfTxInf/UltmtCdtr/CtryOfRes
Document/FIToFICstmrCdtTrf/CdtTrfTxInf/UltmtCdtr/Nm
Document/FIToFICstmrCdtTrf/CdtTrfTxInf/UltmtCdtr/Id/PrvtId/DtAndPlcOfBirth/CtryOfBirth
Document/FIToFICstmrCdtTrf/CdtTrfTxInf/UltmtCdtr/Id/PrvtId/DtAndPlcOfBirth/BirthDt
Document/FIToFICstmrCdtTrf/CdtTrfTxInf/Dbtr/PstlAdr/Ctry
Document/FIToFICstmrCdtTrf/CdtTrfTxInf/Dbtr/CtryOfRes
Document/FIToFICstmrCdtTrf/CdtTrfTxInf/Dbtr/Nm
Document/FIToFICstmrCdtTrf/CdtTrfTxInf/Dbtr/Id/PrvtId/DtAndPlcOfBirth/CtryOfBirth
Document/FIToFICstmrCdtTrf/CdtTrfTxInf/Dbtr/Id/PrvtId/DtAndPlcOfBirth/BirthDt
Document/FIToFICstmrCdtTrf/CdtTrfTxInf/UltmtDbtr/PstlAdr/Ctry
Document/FIToFICstmrCdtTrf/CdtTrfTxInf/UltmtDbtr/CtryOfRes
Document/FIToFICstmrCdtTrf/CdtTrfTxInf/UltmtDbtr/Nm
Document/FIToFICstmrCdtTrf/CdtTrfTxInf/UltmtDbtr/Id/PrvtId/DtAndPlcOfBirth/CtryOfBirth
Document/FIToFICstmrCdtTrf/CdtTrfTxInf/UltmtDbtr/Id/PrvtId/DtAndPlcOfBirth/BirthDt
Document/FIToFICstmrCdtTrf/CdtTrfTxInf/InitgPty/PstlAdr/Ctry
Document/FIToFICstmrCdtTrf/CdtTrfTxInf/InitgPty/CtryOfRes
Document/FIToFICstmrCdtTrf/CdtTrfTxInf/InitgPty/Nm
Document/FIToFICstmrCdtTrf/CdtTrfTxInf/InitgPty/Id/PrvtId/DtAndPlcOfBirth/CtryOfBirth
Document/FIToFICstmrCdtTrf/CdtTrfTxInf/InitgPty/Id/PrvtId/DtAndPlcOfBirth/BirthDt
Document/FIToFICstmrCdtTrf/CdtTrfTxInf/ChrgsInf/Agt/FinInstnId/PstlAdr/Ctry
Document/FIToFICstmrCdtTrf/CdtTrfTxInf/ChrgsInf/Agt/BrnchId/PstlAdr/Ctry
Document/FIToFICstmrCdtTrf/CdtTrfTxInf/RmtInf/Strd/Invcr/PstlAdr/Ctry
Document/FIToFICstmrCdtTrf/CdtTrfTxInf/RmtInf/Strd/Invcr/CtryOfRes
Document/FIToFICstmrCdtTrf/CdtTrfTxInf/RmtInf/Strd/Invcr/Nm
Document/FIToFICstmrCdtTrf/CdtTrfTxInf/RmtInf/Strd/Invcr/Id/PrvtId/DtAndPlcOfBirth/CtryOfBirth
Document/FIToFICstmrCdtTrf/CdtTrfTxInf/RmtInf/Strd/Invcr/Id/PrvtId/DtAndPlcOfBirth/BirthDt
Document/FIToFICstmrCdtTrf/CdtTrfTxInf/RmtInf/Strd/Invcee/PstlAdr/Ctry
Document/FIToFICstmrCdtTrf/CdtTrfTxInf/RmtInf/Strd/Invcee/CtryOfRes
Document/FIToFICstmrCdtTrf/CdtTrfTxInf/RmtInf/Strd/Invcee/Nm
Document/FIToFICstmrCdtTrf/CdtTrfTxInf/RmtInf/Strd/Invcee/Id/PrvtId/DtAndPlcOfBirth/CtryOfBirth
Document/FIToFICstmrCdtTrf/CdtTrfTxInf/RmtInf/Strd/Invcee/Id/PrvtId/DtAndPlcOfBirth/BirthDt
Document/FIToFICstmrCdtTrf/CdtTrfTxInf/RmtInf/Strd/GrnshmtRmt/Grnshee/PstlAdr/Ctry
Document/FIToFICstmrCdtTrf/CdtTrfTxInf/RmtInf/Strd/GrnshmtRmt/Grnshee/CtryOfRes
Document/FIToFICstmrCdtTrf/CdtTrfTxInf/RmtInf/Strd/GrnshmtRmt/Grnshee/Nm
Document/FIToFICstmrCdtTrf/CdtTrfTxInf/RmtInf/Strd/GrnshmtRmt/Grnshee/Id/PrvtId/DtAndPlcOfBirth/CtryOfBirth
Document/FIToFICstmrCdtTrf/CdtTrfTxInf/RmtInf/Strd/GrnshmtRmt/Grnshee/Id/PrvtId/DtAndPlcOfBirth/BirthDt
Document/FIToFICstmrCdtTrf/CdtTrfTxInf/RmtInf/Strd/GrnshmtRmt/GrnshmtAdmstr/PstlAdr/Ctry
Document/FIToFICstmrCdtTrf/CdtTrfTxInf/RmtInf/Strd/GrnshmtRmt/GrnshmtAdmstr/CtryOfRes
Document/FIToFICstmrCdtTrf/CdtTrfTxInf/RmtInf/Strd/GrnshmtRmt/GrnshmtAdmstr/Nm
Document/FIToFICstmrCdtTrf/CdtTrfTxInf/RmtInf/Strd/GrnshmtRmt/GrnshmtAdmstr/Id/PrvtId/DtAndPlcOfBirth/CtryOfBirth
Document/FIToFICstmrCdtTrf/CdtTrfTxInf/RmtInf/Strd/GrnshmtRmt/GrnshmtAdmstr/Id/PrvtId/DtAndPlcOfBirth/BirthDt
Document/FIToFICstmrCdtTrf/GrpHdr/SttlmInf/InstgRmbrsmntAgt/FinInstnId/BICFI
Document/FIToFICstmrCdtTrf/GrpHdr/SttlmInf/ThrdRmbrsmntAgt/BrnchId/Id
Document/FIToFICstmrCdtTrf/GrpHdr/InstgAgt/FinInstnId/BICFI
Document/FIToFICstmrCdtTrf/GrpHdr/InstgAgt/BrnchId/Id
Document/FIToFICstmrCdtTrf/GrpHdr/InstdAgt/FinInstnId/BICFI
Document/FIToFICstmrCdtTrf/GrpHdr/InstdAgt/BrnchId/Id
Document/FIToFICstmrCdtTrf/CdtTrfTxInf/PrvsInstgAgt1/FinInstnId/BICFI
Document/FIToFICstmrCdtTrf/CdtTrfTxInf/PrvsInstgAgt1/BrnchId/Id
Document/FIToFICstmrCdtTrf/CdtTrfTxInf/PrvsInstgAgt2/FinInstnId/BICFI
Document/FIToFICstmrCdtTrf/CdtTrfTxInf/PrvsInstgAgt2/BrnchId/Id
Document/FIToFICstmrCdtTrf/CdtTrfTxInf/PrvsInstgAgt3/FinInstnId/BICFI
Document/FIToFICstmrCdtTrf/CdtTrfTxInf/PrvsInstgAgt3/BrnchId/Id
Document/FIToFICstmrCdtTrf/CdtTrfTxInf/IntrmyAgt1/FinInstnId/BICFI
Document/FIToFICstmrCdtTrf/CdtTrfTxInf/IntrmyAgt1/BrnchId/Id
Document/FIToFICstmrCdtTrf/CdtTrfTxInf/IntrmyAgt2/FinInstnId/BICFI
Document/FIToFICstmrCdtTrf/CdtTrfTxInf/IntrmyAgt2/BrnchId/Id
Document/FIToFICstmrCdtTrf/CdtTrfTxInf/IntrmyAgt3/FinInstnId/BICFI
Document/FIToFICstmrCdtTrf/CdtTrfTxInf/IntrmyAgt3/BrnchId/Id
Document/FIToFICstmrCdtTrf/CdtTrfTxInf/DbtrAgt/FinInstnId/BICFI
Document/FIToFICstmrCdtTrf/CdtTrfTxInf/InstgAgt/FinInstnId/BICFI
Document/FIToFICstmrCdtTrf/CdtTrfTxInf/InstgAgt/BrnchId/Id
Document/FIToFICstmrCdtTrf/CdtTrfTxInf/InstdAgt/FinInstnId/BICFI
Document/FIToFICstmrCdtTrf/CdtTrfTxInf/InstdAgt/BrnchId/Id
Document/FIToFICstmrCdtTrf/CdtTrfTxInf/DbtrAgt/BrnchId/Id
Document/FIToFICstmrCdtTrf/CdtTrfTxInf/Cdtr/CtctDtls/Nm
Document/FIToFICstmrCdtTrf/CdtTrfTxInf/UltmtCdtr/Id/OrgId/AnyBIC
Document/FIToFICstmrCdtTrf/GrpHdr/SttlmInf/InstdRmbrsmntAgt/FinInstnId/BICFI
Document/FIToFICstmrCdtTrf/GrpHdr/SttlmInf/InstdRmbrsmntAgt/BrnchId/Id
Document/FIToFICstmrCdtTrf/GrpHdr/SttlmInf/InstgRmbrsmntAgt/BrnchId/Id
Document/FIToFICstmrCdtTrf/GrpHdr/SttlmInf/ThrdRmbrsmntAgt/FinInstnId/BICFI
Document/FIToFICstmrCdtTrf/CdtTrfTxInf/CdtrAgt/FinInstnId/BICFI
Document/FIToFICstmrCdtTrf/CdtTrfTxInf/CdtrAgt/BrnchId/Id
Document/FIToFICstmrCdtTrf/CdtTrfTxInf/Cdtr/Id/OrgId/AnyBIC
Document/FIToFICstmrCdtTrf/CdtTrfTxInf/UltmtCdtr/CtctDtls/Nm
Document/FIToFICstmrCdtTrf/CdtTrfTxInf/Dbtr/Id/OrgId/AnyBIC
Document/FIToFICstmrCdtTrf/CdtTrfTxInf/Dbtr/CtctDtls/Nm
Document/FIToFICstmrCdtTrf/CdtTrfTxInf/UltmtDbtr/Id/OrgId/AnyBIC
Document/FIToFICstmrCdtTrf/CdtTrfTxInf/UltmtDbtr/CtctDtls/Nm
Document/FIToFICstmrCdtTrf/CdtTrfTxInf/InitgPty/Id/OrgId/AnyBIC
Document/FIToFICstmrCdtTrf/CdtTrfTxInf/InitgPty/CtctDtls/Nm
Document/FIToFICstmrCdtTrf/CdtTrfTxInf/ChrgsInf/Agt/FinInstnId/BICFI
Document/FIToFICstmrCdtTrf/CdtTrfTxInf/RltdRmtInf/RmtLctnDtls/PstlAdr/Nm
Document/FIToFICstmrCdtTrf/CdtTrfTxInf/RmtInf/Strd/Invcr/Id/OrgId/AnyBIC
Document/FIToFICstmrCdtTrf/CdtTrfTxInf/RmtInf/Strd/Invcr/CtctDtls/Nm
Document/FIToFICstmrCdtTrf/CdtTrfTxInf/RmtInf/Strd/Invcee/Id/OrgId/AnyBIC
Document/FIToFICstmrCdtTrf/CdtTrfTxInf/RmtInf/Strd/Invcee/CtctDtls/Nm
Document/FIToFICstmrCdtTrf/CdtTrfTxInf/RmtInf/Strd/GrnshmtRmt/Grnshee/Id/OrgId/AnyBIC
Document/FIToFICstmrCdtTrf/CdtTrfTxInf/RmtInf/Strd/GrnshmtRmt/Grnshee/CtctDtls/Nm
Document/FIToFICstmrCdtTrf/CdtTrfTxInf/RmtInf/Strd/GrnshmtRmt/GrnshmtAdmstr/Id/OrgId/AnyBIC
Document/FIToFICstmrCdtTrf/CdtTrfTxInf/RmtInf/Strd/GrnshmtRmt/GrnshmtAdmstr/CtctDtls/Nm
/Document/FIToFICstmrCdtTrf/CdtTrfTxInf/RltdRmtInf/RmtLctnDtls/PstlAdr/Adr/Ctry
</t>
  </si>
  <si>
    <t>Kiểm tra config các trường của điện Pacs.009</t>
  </si>
  <si>
    <t>Pacs.009.01</t>
  </si>
  <si>
    <t>Kiểm tra điện pacs.009.001.08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</si>
  <si>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pacs.009.001.08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</si>
  <si>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/Document/FICdtTrf/GrpHdr/SttlmInf/InstgRmbrsmntAgt/FinInstnId/BICFI
/Document/FICdtTrf/GrpHdr/SttlmInf/InstgRmbrsmntAgt/FinInstnId/Othr/Id
/Document/FICdtTrf/GrpHdr/SttlmInf/InstgRmbrsmntAgt/BrnchId/Id
/Document/FICdtTrf/GrpHdr/SttlmInf/InstdRmbrsmntAgt/FinInstnId/BICFI
/Document/FICdtTrf/GrpHdr/SttlmInf/InstdRmbrsmntAgt/FinInstnId/Othr/Id
/Document/FICdtTrf/GrpHdr/SttlmInf/InstdRmbrsmntAgt/BrnchId/Id
/Document/FICdtTrf/GrpHdr/SttlmInf/ThrdRmbrsmntAgt/FinInstnId/BICFI
/Document/FICdtTrf/GrpHdr/SttlmInf/ThrdRmbrsmntAgt/FinInstnId/Othr/Id
/Document/FICdtTrf/GrpHdr/SttlmInf/ThrdRmbrsmntAgt/BrnchId/Id
/Document/FICdtTrf/GrpHdr/InstgAgt/FinInstnId/BICFI
/Document/FICdtTrf/GrpHdr/InstgAgt/FinInstnId/Othr/Id
/Document/FICdtTrf/GrpHdr/InstgAgt/BrnchId/Id
/Document/FICdtTrf/GrpHdr/InstdAgt/FinInstnId/BICFI
/Document/FICdtTrf/GrpHdr/InstdAgt/FinInstnId/Othr/Id
/Document/FICdtTrf/GrpHdr/InstdAgt/BrnchId/Id
/Document/FICdtTrf/CdtTrfTxInf/PrvsInstgAgt1/FinInstnId/BICFI
/Document/FICdtTrf/CdtTrfTxInf/PrvsInstgAgt1/FinInstnId/Othr/Id
/Document/FICdtTrf/CdtTrfTxInf/PrvsInstgAgt1/BrnchId/Id
/Document/FICdtTrf/CdtTrfTxInf/PrvsInstgAgt2/FinInstnId/BICFI
/Document/FICdtTrf/CdtTrfTxInf/PrvsInstgAgt2/FinInstnId/Othr/Id
/Document/FICdtTrf/CdtTrfTxInf/PrvsInstgAgt2/BrnchId/Id
/Document/FICdtTrf/CdtTrfTxInf/PrvsInstgAgt3/FinInstnId/BICFI
/Document/FICdtTrf/CdtTrfTxInf/PrvsInstgAgt3/FinInstnId/Othr/Id
/Document/FICdtTrf/CdtTrfTxInf/PrvsInstgAgt3/BrnchId/Id
/Document/FICdtTrf/CdtTrfTxInf/IntrmyAgt1/FinInstnId/BICFI
/Document/FICdtTrf/CdtTrfTxInf/IntrmyAgt1/FinInstnId/Othr/Id
/Document/FICdtTrf/CdtTrfTxInf/IntrmyAgt1/BrnchId/Id
/Document/FICdtTrf/CdtTrfTxInf/IntrmyAgt2/FinInstnId/BICFI
/Document/FICdtTrf/CdtTrfTxInf/IntrmyAgt2/FinInstnId/Othr/Id
/Document/FICdtTrf/CdtTrfTxInf/IntrmyAgt2/BrnchId/Id
/Document/FICdtTrf/CdtTrfTxInf/IntrmyAgt3/FinInstnId/BICFI
/Document/FICdtTrf/CdtTrfTxInf/IntrmyAgt3/FinInstnId/Othr/Id
/Document/FICdtTrf/CdtTrfTxInf/IntrmyAgt3/BrnchId/Id
/Document/FICdtTrf/CdtTrfTxInf/DbtrAgt/FinInstnId/BICFI
/Document/FICdtTrf/CdtTrfTxInf/DbtrAgt/FinInstnId/Othr/Id
/Document/FICdtTrf/CdtTrfTxInf/DbtrAgt/BrnchId/Id
/Document/FICdtTrf/CdtTrfTxInf/CdtrAgt/FinInstnId/BICFI
/Document/FICdtTrf/CdtTrfTxInf/CdtrAgt/FinInstnId/Othr/Id
/Document/FICdtTrf/CdtTrfTxInf/CdtrAgt/BrnchId/Id
/Document/FICdtTrf/CdtTrfTxInf/InstgAgt/FinInstnId/BICFI
/Document/FICdtTrf/CdtTrfTxInf/InstgAgt/FinInstnId/Othr/Id
/Document/FICdtTrf/CdtTrfTxInf/InstgAgt/BrnchId/Id
/Document/FICdtTrf/CdtTrfTxInf/InstdAgt/FinInstnId/BICFI
/Document/FICdtTrf/CdtTrfTxInf/InstdAgt/FinInstnId/Othr/Id
/Document/FICdtTrf/CdtTrfTxInf/InstdAgt/BrnchId/Id
/Document/FICdtTrf/CdtTrfTxInf/UndrlygCstmrCdtTrf/DbtrAgt/FinInstnId/BICFI
/Document/FICdtTrf/CdtTrfTxInf/UndrlygCstmrCdtTrf/DbtrAgt/FinInstnId/Othr/Id
/Document/FICdtTrf/CdtTrfTxInf/UndrlygCstmrCdtTrf/DbtrAgt/BrnchId/Id
/Document/FICdtTrf/CdtTrfTxInf/UndrlygCstmrCdtTrf/PrvsInstgAgt1/FinInstnId/BICFI
/Document/FICdtTrf/CdtTrfTxInf/UndrlygCstmrCdtTrf/PrvsInstgAgt1/FinInstnId/Othr/Id
/Document/FICdtTrf/CdtTrfTxInf/UndrlygCstmrCdtTrf/PrvsInstgAgt1/BrnchId/Id
/Document/FICdtTrf/CdtTrfTxInf/UndrlygCstmrCdtTrf/PrvsInstgAgt2/FinInstnId/BICFI
/Document/FICdtTrf/CdtTrfTxInf/UndrlygCstmrCdtTrf/PrvsInstgAgt2/FinInstnId/Othr/Id
/Document/FICdtTrf/CdtTrfTxInf/UndrlygCstmrCdtTrf/PrvsInstgAgt2/BrnchId/Id
/Document/FICdtTrf/CdtTrfTxInf/UndrlygCstmrCdtTrf/PrvsInstgAgt3/FinInstnId/BICFI
/Document/FICdtTrf/CdtTrfTxInf/UndrlygCstmrCdtTrf/PrvsInstgAgt3/FinInstnId/Othr/Id
/Document/FICdtTrf/CdtTrfTxInf/UndrlygCstmrCdtTrf/PrvsInstgAgt3/BrnchId/Id
/Document/FICdtTrf/CdtTrfTxInf/UndrlygCstmrCdtTrf/IntrmyAgt1/FinInstnId/BICFI
/Document/FICdtTrf/CdtTrfTxInf/UndrlygCstmrCdtTrf/IntrmyAgt1/FinInstnId/Othr/Id
/Document/FICdtTrf/CdtTrfTxInf/UndrlygCstmrCdtTrf/IntrmyAgt1/BrnchId/Id
/Document/FICdtTrf/CdtTrfTxInf/UndrlygCstmrCdtTrf/IntrmyAgt2/FinInstnId/BICFI
/Document/FICdtTrf/CdtTrfTxInf/UndrlygCstmrCdtTrf/IntrmyAgt2/FinInstnId/Othr/Id
/Document/FICdtTrf/CdtTrfTxInf/UndrlygCstmrCdtTrf/IntrmyAgt2/BrnchId/Id
/Document/FICdtTrf/CdtTrfTxInf/UndrlygCstmrCdtTrf/IntrmyAgt3/FinInstnId/BICFI
/Document/FICdtTrf/CdtTrfTxInf/UndrlygCstmrCdtTrf/IntrmyAgt3/FinInstnId/Othr/Id
/Document/FICdtTrf/CdtTrfTxInf/UndrlygCstmrCdtTrf/IntrmyAgt3/BrnchId/Id
/Document/FICdtTrf/CdtTrfTxInf/UndrlygCstmrCdtTrf/CdtrAgt/FinInstnId/BICFI
/Document/FICdtTrf/CdtTrfTxInf/UndrlygCstmrCdtTrf/CdtrAgt/FinInstnId/Othr/Id
/Document/FICdtTrf/CdtTrfTxInf/UndrlygCstmrCdtTrf/CdtrAgt/BrnchId/Id
/Document/FICdtTrf/CdtTrfTxInf/Cdtr/FinInstnId/BICFI
/Document/FICdtTrf/CdtTrfTxInf/Cdtr/FinInstnId/Othr/Id
/Document/FICdtTrf/CdtTrfTxInf/Cdtr/BrnchId/Id
/Document/FICdtTrf/CdtTrfTxInf/UltmtCdtr/FinInstnId/BICFI
/Document/FICdtTrf/CdtTrfTxInf/UltmtCdtr/FinInstnId/Othr/Id
/Document/FICdtTrf/CdtTrfTxInf/UltmtCdtr/BrnchId/Id
/Document/FICdtTrf/CdtTrfTxInf/UndrlygCstmrCdtTrf/Cdtr/Id/OrgId/AnyBIC
/Document/FICdtTrf/CdtTrfTxInf/UndrlygCstmrCdtTrf/Cdtr/Id/OrgId/Othr/Id
/Document/FICdtTrf/CdtTrfTxInf/UndrlygCstmrCdtTrf/Cdtr/Id/PrvtId/Othr/Id
/Document/FICdtTrf/CdtTrfTxInf/UndrlygCstmrCdtTrf/UltmtCdtr/Id/OrgId/AnyBIC
/Document/FICdtTrf/CdtTrfTxInf/UndrlygCstmrCdtTrf/UltmtCdtr/Id/OrgId/Othr/Id
/Document/FICdtTrf/CdtTrfTxInf/UndrlygCstmrCdtTrf/UltmtCdtr/Id/PrvtId/Othr/Id
/Document/FICdtTrf/CdtTrfTxInf/Dbtr/FinInstnId/BICFI
/Document/FICdtTrf/CdtTrfTxInf/Dbtr/FinInstnId/Othr/Id
/Document/FICdtTrf/CdtTrfTxInf/Dbtr/BrnchId/Id
/Document/FICdtTrf/CdtTrfTxInf/UltmtDbtr/FinInstnId/BICFI
/Document/FICdtTrf/CdtTrfTxInf/UltmtDbtr/FinInstnId/Othr/Id
/Document/FICdtTrf/CdtTrfTxInf/UltmtDbtr/BrnchId/Id
/Document/FICdtTrf/CdtTrfTxInf/UndrlygCstmrCdtTrf/Dbtr/Id/OrgId/AnyBIC
/Document/FICdtTrf/CdtTrfTxInf/UndrlygCstmrCdtTrf/Dbtr/Id/OrgId/Othr/Id
/Document/FICdtTrf/CdtTrfTxInf/UndrlygCstmrCdtTrf/Dbtr/Id/PrvtId/Othr/Id
/Document/FICdtTrf/CdtTrfTxInf/UndrlygCstmrCdtTrf/UltmtDbtr/Id/OrgId/AnyBIC
/Document/FICdtTrf/CdtTrfTxInf/UndrlygCstmrCdtTrf/UltmtDbtr/Id/OrgId/Othr/Id
/Document/FICdtTrf/CdtTrfTxInf/UndrlygCstmrCdtTrf/UltmtDbtr/Id/PrvtId/Othr/Id
/Document/FICdtTrf/CdtTrfTxInf/UndrlygCstmrCdtTrf/InitgPty/Id/OrgId/AnyBIC
/Document/FICdtTrf/CdtTrfTxInf/UndrlygCstmrCdtTrf/InitgPty/Id/OrgId/Othr/Id
/Document/FICdtTrf/CdtTrfTxInf/UndrlygCstmrCdtTrf/InitgPty/Id/PrvtId/Othr/Id
/Document/FICdtTrf/CdtTrfTxInf/UndrlygCstmrCdtTrf/RmtInf/Strd/Invcr/Id/OrgId/AnyBIC
/Document/FICdtTrf/CdtTrfTxInf/UndrlygCstmrCdtTrf/RmtInf/Strd/Invcr/Id/OrgId/Othr/Id
/Document/FICdtTrf/CdtTrfTxInf/UndrlygCstmrCdtTrf/RmtInf/Strd/Invcr/Id/PrvtId/Othr/Id
/Document/FICdtTrf/CdtTrfTxInf/UndrlygCstmrCdtTrf/RmtInf/Strd/Invcee/Id/OrgId/AnyBIC
/Document/FICdtTrf/CdtTrfTxInf/UndrlygCstmrCdtTrf/RmtInf/Strd/Invcee/Id/OrgId/Othr/Id
/Document/FICdtTrf/CdtTrfTxInf/UndrlygCstmrCdtTrf/RmtInf/Strd/Invcee/Id/PrvtId/Othr/Id
/Document/FICdtTrf/CdtTrfTxInf/UndrlygCstmrCdtTrf/RmtInf/Strd/GrnshmtRmt/Grnshee/Id/OrgId/AnyBIC
/Document/FICdtTrf/CdtTrfTxInf/UndrlygCstmrCdtTrf/RmtInf/Strd/GrnshmtRmt/Grnshee/Id/OrgId/Othr/Id
/Document/FICdtTrf/CdtTrfTxInf/UndrlygCstmrCdtTrf/RmtInf/Strd/GrnshmtRmt/Grnshee/Id/PrvtId/Othr/Id
/Document/FICdtTrf/CdtTrfTxInf/UndrlygCstmrCdtTrf/RmtInf/Strd/GrnshmtRmt/GrnshmtAdmstr/Id/OrgId/AnyBIC
/Document/FICdtTrf/CdtTrfTxInf/UndrlygCstmrCdtTrf/RmtInf/Strd/GrnshmtRmt/GrnshmtAdmstr/Id/OrgId/Othr/Id
/Document/FICdtTrf/CdtTrfTxInf/UndrlygCstmrCdtTrf/RmtInf/Strd/GrnshmtRmt/GrnshmtAdmstr/Id/PrvtId/Othr/Id</t>
  </si>
  <si>
    <t>Pacs.009.02</t>
  </si>
  <si>
    <t>Kiểm tra điện pacs.009.001.08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</si>
  <si>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pacs.009.001.08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</si>
  <si>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/Document/FICdtTrf/GrpHdr/SttlmInf/InstgRmbrsmntAgt/FinInstnId/BICFI
/Document/FICdtTrf/GrpHdr/SttlmInf/InstgRmbrsmntAgt/FinInstnId/PstlAdr/Ctry
/Document/FICdtTrf/GrpHdr/SttlmInf/InstgRmbrsmntAgt/BrnchId/Id
/Document/FICdtTrf/GrpHdr/SttlmInf/InstgRmbrsmntAgt/BrnchId/PstlAdr/Ctry
/Document/FICdtTrf/GrpHdr/SttlmInf/InstdRmbrsmntAgt/FinInstnId/BICFI
/Document/FICdtTrf/GrpHdr/SttlmInf/InstdRmbrsmntAgt/FinInstnId/PstlAdr/Ctry
/Document/FICdtTrf/GrpHdr/SttlmInf/InstdRmbrsmntAgt/BrnchId/Id
/Document/FICdtTrf/GrpHdr/SttlmInf/InstdRmbrsmntAgt/BrnchId/PstlAdr/Ctry
/Document/FICdtTrf/GrpHdr/SttlmInf/ThrdRmbrsmntAgt/FinInstnId/BICFI
/Document/FICdtTrf/GrpHdr/SttlmInf/ThrdRmbrsmntAgt/FinInstnId/PstlAdr/Ctry
/Document/FICdtTrf/GrpHdr/SttlmInf/ThrdRmbrsmntAgt/BrnchId/Id
/Document/FICdtTrf/GrpHdr/SttlmInf/ThrdRmbrsmntAgt/BrnchId/PstlAdr/Ctry
/Document/FICdtTrf/GrpHdr/InstgAgt/FinInstnId/BICFI
/Document/FICdtTrf/GrpHdr/InstgAgt/FinInstnId/PstlAdr/Ctry
/Document/FICdtTrf/GrpHdr/InstgAgt/BrnchId/Id
/Document/FICdtTrf/GrpHdr/InstgAgt/BrnchId/PstlAdr/Ctry
/Document/FICdtTrf/GrpHdr/InstdAgt/FinInstnId/BICFI
/Document/FICdtTrf/GrpHdr/InstdAgt/FinInstnId/PstlAdr/Ctry
/Document/FICdtTrf/GrpHdr/InstdAgt/BrnchId/Id
/Document/FICdtTrf/GrpHdr/InstdAgt/BrnchId/PstlAdr/Ctry
/Document/FICdtTrf/CdtTrfTxInf/PrvsInstgAgt1/FinInstnId/BICFI
/Document/FICdtTrf/CdtTrfTxInf/PrvsInstgAgt1/FinInstnId/PstlAdr/Ctry
/Document/FICdtTrf/CdtTrfTxInf/PrvsInstgAgt1/BrnchId/Id
/Document/FICdtTrf/CdtTrfTxInf/PrvsInstgAgt1/BrnchId/PstlAdr/Ctry
/Document/FICdtTrf/CdtTrfTxInf/PrvsInstgAgt2/FinInstnId/BICFI
/Document/FICdtTrf/CdtTrfTxInf/PrvsInstgAgt2/FinInstnId/PstlAdr/Ctry
/Document/FICdtTrf/CdtTrfTxInf/PrvsInstgAgt2/BrnchId/Id
/Document/FICdtTrf/CdtTrfTxInf/PrvsInstgAgt2/BrnchId/PstlAdr/Ctry
/Document/FICdtTrf/CdtTrfTxInf/PrvsInstgAgt3/FinInstnId/BICFI
/Document/FICdtTrf/CdtTrfTxInf/PrvsInstgAgt3/FinInstnId/PstlAdr/Ctry
/Document/FICdtTrf/CdtTrfTxInf/PrvsInstgAgt3/BrnchId/Id
/Document/FICdtTrf/CdtTrfTxInf/PrvsInstgAgt3/BrnchId/PstlAdr/Ctry
/Document/FICdtTrf/CdtTrfTxInf/IntrmyAgt1/FinInstnId/BICFI
/Document/FICdtTrf/CdtTrfTxInf/IntrmyAgt1/FinInstnId/PstlAdr/Ctry
/Document/FICdtTrf/CdtTrfTxInf/IntrmyAgt1/BrnchId/Id
/Document/FICdtTrf/CdtTrfTxInf/IntrmyAgt1/BrnchId/PstlAdr/Ctry
/Document/FICdtTrf/CdtTrfTxInf/IntrmyAgt2/FinInstnId/BICFI
/Document/FICdtTrf/CdtTrfTxInf/IntrmyAgt2/FinInstnId/PstlAdr/Ctry
/Document/FICdtTrf/CdtTrfTxInf/IntrmyAgt2/BrnchId/Id
/Document/FICdtTrf/CdtTrfTxInf/IntrmyAgt2/BrnchId/PstlAdr/Ctry
/Document/FICdtTrf/CdtTrfTxInf/IntrmyAgt3/FinInstnId/BICFI
/Document/FICdtTrf/CdtTrfTxInf/IntrmyAgt3/FinInstnId/PstlAdr/Ctry
/Document/FICdtTrf/CdtTrfTxInf/IntrmyAgt3/BrnchId/Id
/Document/FICdtTrf/CdtTrfTxInf/IntrmyAgt3/BrnchId/PstlAdr/Ctry
/Document/FICdtTrf/CdtTrfTxInf/DbtrAgt/FinInstnId/BICFI
/Document/FICdtTrf/CdtTrfTxInf/DbtrAgt/FinInstnId/PstlAdr/Ctry
/Document/FICdtTrf/CdtTrfTxInf/DbtrAgt/BrnchId/Id
/Document/FICdtTrf/CdtTrfTxInf/DbtrAgt/BrnchId/PstlAdr/Ctry
/Document/FICdtTrf/CdtTrfTxInf/CdtrAgt/FinInstnId/BICFI
/Document/FICdtTrf/CdtTrfTxInf/CdtrAgt/FinInstnId/PstlAdr/Ctry
/Document/FICdtTrf/CdtTrfTxInf/CdtrAgt/BrnchId/Id
/Document/FICdtTrf/CdtTrfTxInf/CdtrAgt/BrnchId/PstlAdr/Ctry
/Document/FICdtTrf/CdtTrfTxInf/InstgAgt/FinInstnId/BICFI
/Document/FICdtTrf/CdtTrfTxInf/InstgAgt/FinInstnId/PstlAdr/Ctry
/Document/FICdtTrf/CdtTrfTxInf/InstgAgt/BrnchId/Id
/Document/FICdtTrf/CdtTrfTxInf/InstgAgt/BrnchId/PstlAdr/Ctry
/Document/FICdtTrf/CdtTrfTxInf/InstdAgt/FinInstnId/BICFI
/Document/FICdtTrf/CdtTrfTxInf/InstdAgt/FinInstnId/PstlAdr/Ctry
/Document/FICdtTrf/CdtTrfTxInf/InstdAgt/BrnchId/Id
/Document/FICdtTrf/CdtTrfTxInf/InstdAgt/BrnchId/PstlAdr/Ctry
/Document/FICdtTrf/CdtTrfTxInf/UndrlygCstmrCdtTrf/DbtrAgt/FinInstnId/BICFI
/Document/FICdtTrf/CdtTrfTxInf/UndrlygCstmrCdtTrf/DbtrAgt/FinInstnId/PstlAdr/Ctry
/Document/FICdtTrf/CdtTrfTxInf/UndrlygCstmrCdtTrf/DbtrAgt/BrnchId/Id
/Document/FICdtTrf/CdtTrfTxInf/UndrlygCstmrCdtTrf/DbtrAgt/BrnchId/PstlAdr/Ctry
/Document/FICdtTrf/CdtTrfTxInf/UndrlygCstmrCdtTrf/PrvsInstgAgt1/FinInstnId/BICFI
/Document/FICdtTrf/CdtTrfTxInf/UndrlygCstmrCdtTrf/PrvsInstgAgt1/FinInstnId/PstlAdr/Ctry
/Document/FICdtTrf/CdtTrfTxInf/UndrlygCstmrCdtTrf/PrvsInstgAgt1/BrnchId/Id
/Document/FICdtTrf/CdtTrfTxInf/UndrlygCstmrCdtTrf/PrvsInstgAgt1/BrnchId/PstlAdr/Ctry
/Document/FICdtTrf/CdtTrfTxInf/UndrlygCstmrCdtTrf/PrvsInstgAgt2/FinInstnId/BICFI
/Document/FICdtTrf/CdtTrfTxInf/UndrlygCstmrCdtTrf/PrvsInstgAgt2/FinInstnId/PstlAdr/Ctry
/Document/FICdtTrf/CdtTrfTxInf/UndrlygCstmrCdtTrf/PrvsInstgAgt2/BrnchId/Id
/Document/FICdtTrf/CdtTrfTxInf/UndrlygCstmrCdtTrf/PrvsInstgAgt2/BrnchId/PstlAdr/Ctry
/Document/FICdtTrf/CdtTrfTxInf/UndrlygCstmrCdtTrf/PrvsInstgAgt3/FinInstnId/BICFI
/Document/FICdtTrf/CdtTrfTxInf/UndrlygCstmrCdtTrf/PrvsInstgAgt3/FinInstnId/PstlAdr/Ctry
/Document/FICdtTrf/CdtTrfTxInf/UndrlygCstmrCdtTrf/PrvsInstgAgt3/BrnchId/Id
/Document/FICdtTrf/CdtTrfTxInf/UndrlygCstmrCdtTrf/PrvsInstgAgt3/BrnchId/PstlAdr/Ctry
/Document/FICdtTrf/CdtTrfTxInf/UndrlygCstmrCdtTrf/IntrmyAgt1/FinInstnId/BICFI
/Document/FICdtTrf/CdtTrfTxInf/UndrlygCstmrCdtTrf/IntrmyAgt1/FinInstnId/PstlAdr/Ctry
/Document/FICdtTrf/CdtTrfTxInf/UndrlygCstmrCdtTrf/IntrmyAgt1/BrnchId/Id
/Document/FICdtTrf/CdtTrfTxInf/UndrlygCstmrCdtTrf/IntrmyAgt1/BrnchId/PstlAdr/Ctry
/Document/FICdtTrf/CdtTrfTxInf/UndrlygCstmrCdtTrf/IntrmyAgt2/FinInstnId/BICFI
/Document/FICdtTrf/CdtTrfTxInf/UndrlygCstmrCdtTrf/IntrmyAgt2/FinInstnId/PstlAdr/Ctry
/Document/FICdtTrf/CdtTrfTxInf/UndrlygCstmrCdtTrf/IntrmyAgt2/BrnchId/Id
/Document/FICdtTrf/CdtTrfTxInf/UndrlygCstmrCdtTrf/IntrmyAgt2/BrnchId/PstlAdr/Ctry
/Document/FICdtTrf/CdtTrfTxInf/UndrlygCstmrCdtTrf/IntrmyAgt3/FinInstnId/BICFI
/Document/FICdtTrf/CdtTrfTxInf/UndrlygCstmrCdtTrf/IntrmyAgt3/FinInstnId/PstlAdr/Ctry
/Document/FICdtTrf/CdtTrfTxInf/UndrlygCstmrCdtTrf/IntrmyAgt3/BrnchId/Id
/Document/FICdtTrf/CdtTrfTxInf/UndrlygCstmrCdtTrf/IntrmyAgt3/BrnchId/PstlAdr/Ctry
/Document/FICdtTrf/CdtTrfTxInf/UndrlygCstmrCdtTrf/CdtrAgt/FinInstnId/BICFI
/Document/FICdtTrf/CdtTrfTxInf/UndrlygCstmrCdtTrf/CdtrAgt/FinInstnId/PstlAdr/Ctry
/Document/FICdtTrf/CdtTrfTxInf/UndrlygCstmrCdtTrf/CdtrAgt/BrnchId/Id
/Document/FICdtTrf/CdtTrfTxInf/UndrlygCstmrCdtTrf/CdtrAgt/BrnchId/PstlAdr/Ctry
/Document/FICdtTrf/CdtTrfTxInf/Cdtr/FinInstnId/BICFI
/Document/FICdtTrf/CdtTrfTxInf/Cdtr/FinInstnId/PstlAdr/Ctry
/Document/FICdtTrf/CdtTrfTxInf/Cdtr/BrnchId/Id
/Document/FICdtTrf/CdtTrfTxInf/Cdtr/BrnchId/PstlAdr/Ctry
/Document/FICdtTrf/CdtTrfTxInf/UltmtCdtr/FinInstnId/BICFI
/Document/FICdtTrf/CdtTrfTxInf/UltmtCdtr/FinInstnId/PstlAdr/Ctry
/Document/FICdtTrf/CdtTrfTxInf/UltmtCdtr/BrnchId/Id
/Document/FICdtTrf/CdtTrfTxInf/UltmtCdtr/BrnchId/PstlAdr/Ctry
/Document/FICdtTrf/CdtTrfTxInf/UndrlygCstmrCdtTrf/Cdtr/PstlAdr/Ctry
/Document/FICdtTrf/CdtTrfTxInf/UndrlygCstmrCdtTrf/Cdtr/Id/OrgId/AnyBIC
/Document/FICdtTrf/CdtTrfTxInf/UndrlygCstmrCdtTrf/Cdtr/Id/PrvtId/DtAndPlcOfBirth/CtryOfBirth
/Document/FICdtTrf/CdtTrfTxInf/UndrlygCstmrCdtTrf/Cdtr/CtryOfRes
/Document/FICdtTrf/CdtTrfTxInf/UndrlygCstmrCdtTrf/UltmtCdtr/PstlAdr/Ctry
/Document/FICdtTrf/CdtTrfTxInf/UndrlygCstmrCdtTrf/UltmtCdtr/Id/OrgId/AnyBIC
/Document/FICdtTrf/CdtTrfTxInf/UndrlygCstmrCdtTrf/UltmtCdtr/Id/PrvtId/DtAndPlcOfBirth/CtryOfBirth
/Document/FICdtTrf/CdtTrfTxInf/UndrlygCstmrCdtTrf/UltmtCdtr/CtryOfRes
/Document/FICdtTrf/CdtTrfTxInf/Dbtr/FinInstnId/BICFI
/Document/FICdtTrf/CdtTrfTxInf/Dbtr/FinInstnId/PstlAdr/Ctry
/Document/FICdtTrf/CdtTrfTxInf/Dbtr/BrnchId/Id
/Document/FICdtTrf/CdtTrfTxInf/Dbtr/BrnchId/PstlAdr/Ctry
/Document/FICdtTrf/CdtTrfTxInf/UltmtDbtr/FinInstnId/BICFI
/Document/FICdtTrf/CdtTrfTxInf/UltmtDbtr/FinInstnId/PstlAdr/Ctry
/Document/FICdtTrf/CdtTrfTxInf/UltmtDbtr/BrnchId/Id
/Document/FICdtTrf/CdtTrfTxInf/UltmtDbtr/BrnchId/PstlAdr/Ctry
/Document/FICdtTrf/CdtTrfTxInf/UndrlygCstmrCdtTrf/Dbtr/PstlAdr/Ctry
/Document/FICdtTrf/CdtTrfTxInf/UndrlygCstmrCdtTrf/Dbtr/Id/OrgId/AnyBIC
/Document/FICdtTrf/CdtTrfTxInf/UndrlygCstmrCdtTrf/Dbtr/Id/PrvtId/DtAndPlcOfBirth/CtryOfBirth
/Document/FICdtTrf/CdtTrfTxInf/UndrlygCstmrCdtTrf/Dbtr/CtryOfRes
/Document/FICdtTrf/CdtTrfTxInf/UndrlygCstmrCdtTrf/UltmtDbtr/PstlAdr/Ctry
/Document/FICdtTrf/CdtTrfTxInf/UndrlygCstmrCdtTrf/UltmtDbtr/Id/OrgId/AnyBIC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/Document/FICdtTrf/CdtTrfTxInf/UndrlygCstmrCdtTrf/InitgPty/Id/OrgId/AnyBIC
/Document/FICdtTrf/CdtTrfTxInf/UndrlygCstmrCdtTrf/InitgPty/CtryOfRes
/Document/FICdtTrf/CdtTrfTxInf/UndrlygCstmrCdtTrf/RmtInf/Strd/Invcr/PstlAdr/Ctry
/Document/FICdtTrf/CdtTrfTxInf/UndrlygCstmrCdtTrf/RmtInf/Strd/Invcr/Id/OrgId/AnyBIC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/Document/FICdtTrf/CdtTrfTxInf/UndrlygCstmrCdtTrf/RmtInf/Strd/Invcee/Id/OrgId/AnyBIC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/Document/FICdtTrf/CdtTrfTxInf/UndrlygCstmrCdtTrf/RmtInf/Strd/GrnshmtRmt/Grnshee/Id/OrgId/AnyBIC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/Document/FICdtTrf/CdtTrfTxInf/UndrlygCstmrCdtTrf/RmtInf/Strd/GrnshmtRmt/GrnshmtAdmstr/Id/OrgId/AnyBIC
/Document/FICdtTrf/CdtTrfTxInf/UndrlygCstmrCdtTrf/RmtInf/Strd/GrnshmtRmt/GrnshmtAdmstr/Id/PrvtId/DtAndPlcOfBirth/CtryOfBirth
/Document/FICdtTrf/CdtTrfTxInf/UndrlygCstmrCdtTrf/RmtInf/Strd/GrnshmtRmt/GrnshmtAdmstr/CtryOfRes</t>
  </si>
  <si>
    <t>Pacs.009.03</t>
  </si>
  <si>
    <t>Kiểm tra điện pacs.009.001.08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</si>
  <si>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pacs.009.001.08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</si>
  <si>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/Document/FICdtTrf/CdtTrfTxInf/InstrForCdtrAgt/InstrInf
/Document/FICdtTrf/CdtTrfTxInf/InstrForNxtAgt/InstrInf
/Document/FICdtTrf/CdtTrfTxInf/RmtInf/Ustrd
/Document/FICdtTrf/CdtTrfTxInf/UndrlygCstmrCdtTrf/InstrForCdtrAgt/InstrInf
/Document/FICdtTrf/CdtTrfTxInf/UndrlygCstmrCdtTrf/InstrForNxtAgt/InstrInf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t>
  </si>
  <si>
    <t>Pacs.009.04</t>
  </si>
  <si>
    <t>Kiểm tra điện pacs.009.001.08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</si>
  <si>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pacs.009.001.08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</si>
  <si>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/Document/FICdtTrf/GrpHdr/SttlmInf/InstgRmbrsmntAgt/FinInstnId/PstlAdr/Ctry
/Document/FICdtTrf/GrpHdr/SttlmInf/InstgRmbrsmntAgt/FinInstnId/Nm
/Document/FICdtTrf/GrpHdr/SttlmInf/InstgRmbrsmntAgt/BrnchId/PstlAdr/Ctry
/Document/FICdtTrf/GrpHdr/SttlmInf/InstgRmbrsmntAgt/BrnchId/Nm
/Document/FICdtTrf/GrpHdr/SttlmInf/InstdRmbrsmntAgt/FinInstnId/PstlAdr/Ctry
/Document/FICdtTrf/GrpHdr/SttlmInf/InstdRmbrsmntAgt/FinInstnId/Nm
/Document/FICdtTrf/GrpHdr/SttlmInf/InstdRmbrsmntAgt/BrnchId/PstlAdr/Ctry
/Document/FICdtTrf/GrpHdr/SttlmInf/InstdRmbrsmntAgt/BrnchId/Nm
/Document/FICdtTrf/GrpHdr/SttlmInf/ThrdRmbrsmntAgt/FinInstnId/PstlAdr/Ctry
/Document/FICdtTrf/GrpHdr/SttlmInf/ThrdRmbrsmntAgt/FinInstnId/Nm
/Document/FICdtTrf/GrpHdr/SttlmInf/ThrdRmbrsmntAgt/BrnchId/PstlAdr/Ctry
/Document/FICdtTrf/GrpHdr/SttlmInf/ThrdRmbrsmntAgt/BrnchId/Nm
/Document/FICdtTrf/GrpHdr/InstgAgt/FinInstnId/PstlAdr/Ctry
/Document/FICdtTrf/GrpHdr/InstgAgt/FinInstnId/Nm
/Document/FICdtTrf/GrpHdr/InstgAgt/BrnchId/PstlAdr/Ctry
/Document/FICdtTrf/GrpHdr/InstgAgt/BrnchId/Nm
/Document/FICdtTrf/GrpHdr/InstdAgt/FinInstnId/PstlAdr/Ctry
/Document/FICdtTrf/GrpHdr/InstdAgt/FinInstnId/Nm
/Document/FICdtTrf/GrpHdr/InstdAgt/BrnchId/PstlAdr/Ctry
/Document/FICdtTrf/GrpHdr/InstdAgt/BrnchId/Nm
/Document/FICdtTrf/CdtTrfTxInf/PrvsInstgAgt1/FinInstnId/PstlAdr/Ctry
/Document/FICdtTrf/CdtTrfTxInf/PrvsInstgAgt1/FinInstnId/Nm
/Document/FICdtTrf/CdtTrfTxInf/PrvsInstgAgt1/BrnchId/PstlAdr/Ctry
/Document/FICdtTrf/CdtTrfTxInf/PrvsInstgAgt1/BrnchId/Nm
/Document/FICdtTrf/CdtTrfTxInf/PrvsInstgAgt2/FinInstnId/PstlAdr/Ctry
/Document/FICdtTrf/CdtTrfTxInf/PrvsInstgAgt2/FinInstnId/Nm
/Document/FICdtTrf/CdtTrfTxInf/PrvsInstgAgt2/BrnchId/PstlAdr/Ctry
/Document/FICdtTrf/CdtTrfTxInf/PrvsInstgAgt2/BrnchId/Nm
/Document/FICdtTrf/CdtTrfTxInf/PrvsInstgAgt3/FinInstnId/PstlAdr/Ctry
/Document/FICdtTrf/CdtTrfTxInf/PrvsInstgAgt3/FinInstnId/Nm
/Document/FICdtTrf/CdtTrfTxInf/PrvsInstgAgt3/BrnchId/PstlAdr/Ctry
/Document/FICdtTrf/CdtTrfTxInf/PrvsInstgAgt3/BrnchId/Nm
/Document/FICdtTrf/CdtTrfTxInf/IntrmyAgt1/FinInstnId/PstlAdr/Ctry
/Document/FICdtTrf/CdtTrfTxInf/IntrmyAgt1/FinInstnId/Nm
/Document/FICdtTrf/CdtTrfTxInf/IntrmyAgt1/BrnchId/PstlAdr/Ctry
/Document/FICdtTrf/CdtTrfTxInf/IntrmyAgt1/BrnchId/Nm
/Document/FICdtTrf/CdtTrfTxInf/IntrmyAgt2/FinInstnId/PstlAdr/Ctry
/Document/FICdtTrf/CdtTrfTxInf/IntrmyAgt2/FinInstnId/Nm
/Document/FICdtTrf/CdtTrfTxInf/IntrmyAgt2/BrnchId/PstlAdr/Ctry
/Document/FICdtTrf/CdtTrfTxInf/IntrmyAgt2/BrnchId/Nm
/Document/FICdtTrf/CdtTrfTxInf/IntrmyAgt3/FinInstnId/PstlAdr/Ctry
/Document/FICdtTrf/CdtTrfTxInf/IntrmyAgt3/FinInstnId/Nm
/Document/FICdtTrf/CdtTrfTxInf/IntrmyAgt3/BrnchId/PstlAdr/Ctry
/Document/FICdtTrf/CdtTrfTxInf/IntrmyAgt3/BrnchId/Nm
/Document/FICdtTrf/CdtTrfTxInf/DbtrAgt/FinInstnId/PstlAdr/Ctry
/Document/FICdtTrf/CdtTrfTxInf/DbtrAgt/FinInstnId/Nm
/Document/FICdtTrf/CdtTrfTxInf/DbtrAgt/BrnchId/PstlAdr/Ctry
/Document/FICdtTrf/CdtTrfTxInf/DbtrAgt/BrnchId/Nm
/Document/FICdtTrf/CdtTrfTxInf/CdtrAgt/FinInstnId/PstlAdr/Ctry
/Document/FICdtTrf/CdtTrfTxInf/CdtrAgt/FinInstnId/Nm
/Document/FICdtTrf/CdtTrfTxInf/CdtrAgt/BrnchId/PstlAdr/Ctry
/Document/FICdtTrf/CdtTrfTxInf/CdtrAgt/BrnchId/Nm
/Document/FICdtTrf/CdtTrfTxInf/InstgAgt/FinInstnId/PstlAdr/Ctry
/Document/FICdtTrf/CdtTrfTxInf/InstgAgt/FinInstnId/Nm
/Document/FICdtTrf/CdtTrfTxInf/InstgAgt/BrnchId/PstlAdr/Ctry
/Document/FICdtTrf/CdtTrfTxInf/InstgAgt/BrnchId/Nm
/Document/FICdtTrf/CdtTrfTxInf/InstdAgt/FinInstnId/PstlAdr/Ctry
/Document/FICdtTrf/CdtTrfTxInf/InstdAgt/FinInstnId/Nm
/Document/FICdtTrf/CdtTrfTxInf/InstdAgt/BrnchId/PstlAdr/Ctry
/Document/FICdtTrf/CdtTrfTxInf/InstdAgt/BrnchId/Nm
/Document/FICdtTrf/CdtTrfTxInf/UndrlygCstmrCdtTrf/DbtrAgt/FinInstnId/PstlAdr/Ctry
/Document/FICdtTrf/CdtTrfTxInf/UndrlygCstmrCdtTrf/DbtrAgt/FinInstnId/Nm
/Document/FICdtTrf/CdtTrfTxInf/UndrlygCstmrCdtTrf/DbtrAgt/BrnchId/PstlAdr/Ctry
/Document/FICdtTrf/CdtTrfTxInf/UndrlygCstmrCdtTrf/DbtrAgt/BrnchId/Nm
/Document/FICdtTrf/CdtTrfTxInf/UndrlygCstmrCdtTrf/PrvsInstgAgt1/FinInstnId/PstlAdr/Ctry
/Document/FICdtTrf/CdtTrfTxInf/UndrlygCstmrCdtTrf/PrvsInstgAgt1/FinInstnId/Nm
/Document/FICdtTrf/CdtTrfTxInf/UndrlygCstmrCdtTrf/PrvsInstgAgt1/BrnchId/PstlAdr/Ctry
/Document/FICdtTrf/CdtTrfTxInf/UndrlygCstmrCdtTrf/PrvsInstgAgt1/BrnchId/Nm
/Document/FICdtTrf/CdtTrfTxInf/UndrlygCstmrCdtTrf/PrvsInstgAgt2/FinInstnId/PstlAdr/Ctry
/Document/FICdtTrf/CdtTrfTxInf/UndrlygCstmrCdtTrf/PrvsInstgAgt2/FinInstnId/Nm
/Document/FICdtTrf/CdtTrfTxInf/UndrlygCstmrCdtTrf/PrvsInstgAgt2/BrnchId/PstlAdr/Ctry
/Document/FICdtTrf/CdtTrfTxInf/UndrlygCstmrCdtTrf/PrvsInstgAgt2/BrnchId/Nm
/Document/FICdtTrf/CdtTrfTxInf/UndrlygCstmrCdtTrf/PrvsInstgAgt3/FinInstnId/PstlAdr/Ctry
/Document/FICdtTrf/CdtTrfTxInf/UndrlygCstmrCdtTrf/PrvsInstgAgt3/FinInstnId/Nm
/Document/FICdtTrf/CdtTrfTxInf/UndrlygCstmrCdtTrf/PrvsInstgAgt3/BrnchId/PstlAdr/Ctry
/Document/FICdtTrf/CdtTrfTxInf/UndrlygCstmrCdtTrf/PrvsInstgAgt3/BrnchId/Nm
/Document/FICdtTrf/CdtTrfTxInf/UndrlygCstmrCdtTrf/IntrmyAgt1/FinInstnId/PstlAdr/Ctry
/Document/FICdtTrf/CdtTrfTxInf/UndrlygCstmrCdtTrf/IntrmyAgt1/FinInstnId/Nm
/Document/FICdtTrf/CdtTrfTxInf/UndrlygCstmrCdtTrf/IntrmyAgt1/BrnchId/PstlAdr/Ctry
/Document/FICdtTrf/CdtTrfTxInf/UndrlygCstmrCdtTrf/IntrmyAgt1/BrnchId/Nm
/Document/FICdtTrf/CdtTrfTxInf/UndrlygCstmrCdtTrf/IntrmyAgt2/FinInstnId/PstlAdr/Ctry
/Document/FICdtTrf/CdtTrfTxInf/UndrlygCstmrCdtTrf/IntrmyAgt2/FinInstnId/Nm
/Document/FICdtTrf/CdtTrfTxInf/UndrlygCstmrCdtTrf/IntrmyAgt2/BrnchId/PstlAdr/Ctry
/Document/FICdtTrf/CdtTrfTxInf/UndrlygCstmrCdtTrf/IntrmyAgt2/BrnchId/Nm
/Document/FICdtTrf/CdtTrfTxInf/UndrlygCstmrCdtTrf/IntrmyAgt3/FinInstnId/PstlAdr/Ctry
/Document/FICdtTrf/CdtTrfTxInf/UndrlygCstmrCdtTrf/IntrmyAgt3/FinInstnId/Nm
/Document/FICdtTrf/CdtTrfTxInf/UndrlygCstmrCdtTrf/IntrmyAgt3/BrnchId/PstlAdr/Ctry
/Document/FICdtTrf/CdtTrfTxInf/UndrlygCstmrCdtTrf/IntrmyAgt3/BrnchId/Nm
/Document/FICdtTrf/CdtTrfTxInf/UndrlygCstmrCdtTrf/CdtrAgt/FinInstnId/PstlAdr/Ctry
/Document/FICdtTrf/CdtTrfTxInf/UndrlygCstmrCdtTrf/CdtrAgt/FinInstnId/Nm
/Document/FICdtTrf/CdtTrfTxInf/UndrlygCstmrCdtTrf/CdtrAgt/BrnchId/PstlAdr/Ctry
/Document/FICdtTrf/CdtTrfTxInf/UndrlygCstmrCdtTrf/CdtrAgt/BrnchId/Nm
/Document/FICdtTrf/CdtTrfTxInf/Cdtr/FinInstnId/PstlAdr/Ctry
/Document/FICdtTrf/CdtTrfTxInf/Cdtr/FinInstnId/Nm
/Document/FICdtTrf/CdtTrfTxInf/Cdtr/BrnchId/PstlAdr/Ctry
/Document/FICdtTrf/CdtTrfTxInf/Cdtr/BrnchId/Nm
/Document/FICdtTrf/CdtTrfTxInf/UltmtCdtr/FinInstnId/PstlAdr/Ctry
/Document/FICdtTrf/CdtTrfTxInf/UltmtCdtr/FinInstnId/Nm
/Document/FICdtTrf/CdtTrfTxInf/UltmtCdtr/BrnchId/PstlAdr/Ctry
/Document/FICdtTrf/CdtTrfTxInf/UltmtCdtr/BrnchId/Nm
/Document/FICdtTrf/CdtTrfTxInf/UndrlygCstmrCdtTrf/Cdtr/PstlAdr/Ctry
/Document/FICdtTrf/CdtTrfTxInf/UndrlygCstmrCdtTrf/Cdtr/CtryOfRes
/Document/FICdtTrf/CdtTrfTxInf/UndrlygCstmrCdtTrf/Cdtr/Nm
/Document/FICdtTrf/CdtTrfTxInf/UndrlygCstmrCdtTrf/Cdtr/Id/PrvtId/DtAndPlcOfBirth/CtryOfBirth
/Document/FICdtTrf/CdtTrfTxInf/UndrlygCstmrCdtTrf/Cdtr/Id/PrvtId/DtAndPlcOfBirth/BirthDt
/Document/FICdtTrf/CdtTrfTxInf/UndrlygCstmrCdtTrf/UltmtCdtr/PstlAdr/Ctry
/Document/FICdtTrf/CdtTrfTxInf/UndrlygCstmrCdtTrf/UltmtCdtr/CtryOfRes
/Document/FICdtTrf/CdtTrfTxInf/UndrlygCstmrCdtTrf/UltmtCdtr/Nm
/Document/FICdtTrf/CdtTrfTxInf/UndrlygCstmrCdtTrf/UltmtCdtr/Id/PrvtId/DtAndPlcOfBirth/CtryOfBirth
/Document/FICdtTrf/CdtTrfTxInf/UndrlygCstmrCdtTrf/UltmtCdtr/Id/PrvtId/DtAndPlcOfBirth/BirthDt
/Document/FICdtTrf/CdtTrfTxInf/Dbtr/FinInstnId/PstlAdr/Ctry
/Document/FICdtTrf/CdtTrfTxInf/Dbtr/FinInstnId/Nm
/Document/FICdtTrf/CdtTrfTxInf/Dbtr/BrnchId/PstlAdr/Ctry
/Document/FICdtTrf/CdtTrfTxInf/Dbtr/BrnchId/Nm
/Document/FICdtTrf/CdtTrfTxInf/UltmtDbtr/FinInstnId/PstlAdr/Ctry
/Document/FICdtTrf/CdtTrfTxInf/UltmtDbtr/FinInstnId/Nm
/Document/FICdtTrf/CdtTrfTxInf/UltmtDbtr/BrnchId/PstlAdr/Ctry
/Document/FICdtTrf/CdtTrfTxInf/UltmtDbtr/BrnchId/Nm
/Document/FICdtTrf/CdtTrfTxInf/UndrlygCstmrCdtTrf/Dbtr/PstlAdr/Ctry
/Document/FICdtTrf/CdtTrfTxInf/UndrlygCstmrCdtTrf/Dbtr/CtryOfRes
/Document/FICdtTrf/CdtTrfTxInf/UndrlygCstmrCdtTrf/Dbtr/Nm
/Document/FICdtTrf/CdtTrfTxInf/UndrlygCstmrCdtTrf/Dbtr/Id/PrvtId/DtAndPlcOfBirth/CtryOfBirth
/Document/FICdtTrf/CdtTrfTxInf/UndrlygCstmrCdtTrf/Dbtr/Id/PrvtId/DtAndPlcOfBirth/BirthDt
/Document/FICdtTrf/CdtTrfTxInf/UndrlygCstmrCdtTrf/UltmtDbtr/PstlAdr/Ctry
/Document/FICdtTrf/CdtTrfTxInf/UndrlygCstmrCdtTrf/UltmtDbtr/CtryOfRes
/Document/FICdtTrf/CdtTrfTxInf/UndrlygCstmrCdtTrf/UltmtDbtr/Nm
/Document/FICdtTrf/CdtTrfTxInf/UndrlygCstmrCdtTrf/UltmtDbtr/Id/PrvtId/DtAndPlcOfBirth/CtryOfBirth
/Document/FICdtTrf/CdtTrfTxInf/UndrlygCstmrCdtTrf/UltmtDbtr/Id/PrvtId/DtAndPlcOfBirth/BirthDt
/Document/FICdtTrf/CdtTrfTxInf/UndrlygCstmrCdtTrf/InitgPty/PstlAdr/Ctry
/Document/FICdtTrf/CdtTrfTxInf/UndrlygCstmrCdtTrf/InitgPty/Nm
/Document/FICdtTrf/CdtTrfTxInf/UndrlygCstmrCdtTrf/InitgPty/Id/PrvtId/DtAndPlcOfBirth/CtryOfBirth
/Document/FICdtTrf/CdtTrfTxInf/UndrlygCstmrCdtTrf/InitgPty/Id/PrvtId/DtAndPlcOfBirth/BirthDt
/Document/FICdtTrf/CdtTrfTxInf/UndrlygCstmrCdtTrf/RmtInf/Strd/Invcr/PstlAdr/Ctry
/Document/FICdtTrf/CdtTrfTxInf/UndrlygCstmrCdtTrf/RmtInf/Strd/Invcr/CtryOfRes
/Document/FICdtTrf/CdtTrfTxInf/UndrlygCstmrCdtTrf/RmtInf/Strd/Invcr/Nm
/Document/FICdtTrf/CdtTrfTxInf/UndrlygCstmrCdtTrf/RmtInf/Strd/Invcr/Id/PrvtId/DtAndPlcOfBirth/CtryOfBirth
/Document/FICdtTrf/CdtTrfTxInf/UndrlygCstmrCdtTrf/RmtInf/Strd/Invcr/Id/PrvtId/DtAndPlcOfBirth/BirthDt
/Document/FICdtTrf/CdtTrfTxInf/UndrlygCstmrCdtTrf/RmtInf/Strd/Invcee/PstlAdr/Ctry
/Document/FICdtTrf/CdtTrfTxInf/UndrlygCstmrCdtTrf/RmtInf/Strd/Invcee/CtryOfRes
/Document/FICdtTrf/CdtTrfTxInf/UndrlygCstmrCdtTrf/RmtInf/Strd/Invcee/Nm
/Document/FICdtTrf/CdtTrfTxInf/UndrlygCstmrCdtTrf/RmtInf/Strd/Invcee/Id/PrvtId/DtAndPlcOfBirth/CtryOfBirth
/Document/FICdtTrf/CdtTrfTxInf/UndrlygCstmrCdtTrf/RmtInf/Strd/Invcee/Id/PrvtId/DtAndPlcOfBirth/BirthDt
/Document/FICdtTrf/CdtTrfTxInf/UndrlygCstmrCdtTrf/RmtInf/Strd/GrnshmtRmt/Grnshee/PstlAdr/Ctry
/Document/FICdtTrf/CdtTrfTxInf/UndrlygCstmrCdtTrf/RmtInf/Strd/GrnshmtRmt/Grnshee/CtryOfRes
/Document/FICdtTrf/CdtTrfTxInf/UndrlygCstmrCdtTrf/RmtInf/Strd/GrnshmtRmt/Grnshee/Nm
/Document/FICdtTrf/CdtTrfTxInf/UndrlygCstmrCdtTrf/RmtInf/Strd/GrnshmtRmt/Grnshee/Id/PrvtId/DtAndPlcOfBirth/CtryOfBirth
/Document/FICdtTrf/CdtTrfTxInf/UndrlygCstmrCdtTrf/RmtInf/Strd/GrnshmtRmt/Grnshee/Id/PrvtId/DtAndPlcOfBirth/BirthDt
/Document/FICdtTrf/CdtTrfTxInf/UndrlygCstmrCdtTrf/RmtInf/Strd/GrnshmtRmt/GrnshmtAdmstr/PstlAdr/Ctry
/Document/FICdtTrf/CdtTrfTxInf/UndrlygCstmrCdtTrf/RmtInf/Strd/GrnshmtRmt/GrnshmtAdmstr/CtryOfRes
/Document/FICdtTrf/CdtTrfTxInf/UndrlygCstmrCdtTrf/RmtInf/Strd/GrnshmtRmt/GrnshmtAdmstr/Nm
/Document/FICdtTrf/CdtTrfTxInf/UndrlygCstmrCdtTrf/RmtInf/Strd/GrnshmtRmt/GrnshmtAdmstr/Id/PrvtId/DtAndPlcOfBirth/CtryOfBirth
/Document/FICdtTrf/CdtTrfTxInf/UndrlygCstmrCdtTrf/RmtInf/Strd/GrnshmtRmt/GrnshmtAdmstr/Id/PrvtId/DtAndPlcOfBirth/BirthDt
/Document/FICdtTrf/CdtTrfTxInf/UndrlygCstmrCdtTrf/InitgPty/CtryOfRes
/Document/FICdtTrf/GrpHdr/SttlmInf/InstgRmbrsmntAgt/FinInstnId/BICFI
/Document/FICdtTrf/GrpHdr/SttlmInf/InstgRmbrsmntAgt/BrnchId/Id
/Document/FICdtTrf/GrpHdr/SttlmInf/InstdRmbrsmntAgt/FinInstnId/BICFI
/Document/FICdtTrf/GrpHdr/SttlmInf/InstdRmbrsmntAgt/BrnchId/Id
/Document/FICdtTrf/GrpHdr/SttlmInf/ThrdRmbrsmntAgt/FinInstnId/BICFI
/Document/FICdtTrf/GrpHdr/SttlmInf/ThrdRmbrsmntAgt/BrnchId/Id
/Document/FICdtTrf/GrpHdr/InstgAgt/FinInstnId/BICFI
/Document/FICdtTrf/GrpHdr/InstgAgt/BrnchId/Id
/Document/FICdtTrf/GrpHdr/InstdAgt/FinInstnId/BICFI
/Document/FICdtTrf/GrpHdr/InstdAgt/BrnchId/Id
/Document/FICdtTrf/CdtTrfTxInf/PrvsInstgAgt1/FinInstnId/BICFI
/Document/FICdtTrf/CdtTrfTxInf/PrvsInstgAgt1/BrnchId/Id
/Document/FICdtTrf/CdtTrfTxInf/PrvsInstgAgt2/FinInstnId/BICFI
/Document/FICdtTrf/CdtTrfTxInf/PrvsInstgAgt2/BrnchId/Id
/Document/FICdtTrf/CdtTrfTxInf/PrvsInstgAgt3/FinInstnId/BICFI
/Document/FICdtTrf/CdtTrfTxInf/PrvsInstgAgt3/BrnchId/Id
/Document/FICdtTrf/CdtTrfTxInf/IntrmyAgt1/FinInstnId/BICFI
/Document/FICdtTrf/CdtTrfTxInf/IntrmyAgt1/BrnchId/Id
/Document/FICdtTrf/CdtTrfTxInf/IntrmyAgt2/FinInstnId/BICFI
/Document/FICdtTrf/CdtTrfTxInf/IntrmyAgt2/BrnchId/Id
/Document/FICdtTrf/CdtTrfTxInf/IntrmyAgt3/FinInstnId/BICFI
/Document/FICdtTrf/CdtTrfTxInf/IntrmyAgt3/BrnchId/Id
/Document/FICdtTrf/CdtTrfTxInf/DbtrAgt/FinInstnId/BICFI
/Document/FICdtTrf/CdtTrfTxInf/DbtrAgt/BrnchId/Id
/Document/FICdtTrf/CdtTrfTxInf/CdtrAgt/FinInstnId/BICFI
/Document/FICdtTrf/CdtTrfTxInf/CdtrAgt/BrnchId/Id
/Document/FICdtTrf/CdtTrfTxInf/InstgAgt/FinInstnId/BICFI
/Document/FICdtTrf/CdtTrfTxInf/InstgAgt/BrnchId/Id
/Document/FICdtTrf/CdtTrfTxInf/InstdAgt/FinInstnId/BICFI
/Document/FICdtTrf/CdtTrfTxInf/InstdAgt/BrnchId/Id
/Document/FICdtTrf/CdtTrfTxInf/UndrlygCstmrCdtTrf/DbtrAgt/FinInstnId/BICFI
/Document/FICdtTrf/CdtTrfTxInf/UndrlygCstmrCdtTrf/DbtrAgt/BrnchId/Id
/Document/FICdtTrf/CdtTrfTxInf/UndrlygCstmrCdtTrf/PrvsInstgAgt1/FinInstnId/BICFI
/Document/FICdtTrf/CdtTrfTxInf/UndrlygCstmrCdtTrf/PrvsInstgAgt1/BrnchId/Id
/Document/FICdtTrf/CdtTrfTxInf/UndrlygCstmrCdtTrf/PrvsInstgAgt2/FinInstnId/BICFI
/Document/FICdtTrf/CdtTrfTxInf/UndrlygCstmrCdtTrf/PrvsInstgAgt2/BrnchId/Id
/Document/FICdtTrf/CdtTrfTxInf/UndrlygCstmrCdtTrf/PrvsInstgAgt3/FinInstnId/BICFI
/Document/FICdtTrf/CdtTrfTxInf/UndrlygCstmrCdtTrf/PrvsInstgAgt3/BrnchId/Id
/Document/FICdtTrf/CdtTrfTxInf/UndrlygCstmrCdtTrf/IntrmyAgt1/FinInstnId/BICFI
/Document/FICdtTrf/CdtTrfTxInf/UndrlygCstmrCdtTrf/IntrmyAgt1/BrnchId/Id
/Document/FICdtTrf/CdtTrfTxInf/UndrlygCstmrCdtTrf/IntrmyAgt2/FinInstnId/BICFI
/Document/FICdtTrf/CdtTrfTxInf/UndrlygCstmrCdtTrf/IntrmyAgt2/BrnchId/Id
/Document/FICdtTrf/CdtTrfTxInf/UndrlygCstmrCdtTrf/IntrmyAgt3/FinInstnId/BICFI
/Document/FICdtTrf/CdtTrfTxInf/UndrlygCstmrCdtTrf/IntrmyAgt3/BrnchId/Id
/Document/FICdtTrf/CdtTrfTxInf/UndrlygCstmrCdtTrf/CdtrAgt/FinInstnId/BICFI
/Document/FICdtTrf/CdtTrfTxInf/UndrlygCstmrCdtTrf/CdtrAgt/BrnchId/Id
/Document/FICdtTrf/CdtTrfTxInf/Cdtr/FinInstnId/BICFI
/Document/FICdtTrf/CdtTrfTxInf/Cdtr/BrnchId/Id
/Document/FICdtTrf/CdtTrfTxInf/UltmtCdtr/FinInstnId/BICFI
/Document/FICdtTrf/CdtTrfTxInf/UltmtCdtr/BrnchId/Id
/Document/FICdtTrf/CdtTrfTxInf/UndrlygCstmrCdtTrf/Cdtr/Id/OrgId/AnyBIC
/Document/FICdtTrf/CdtTrfTxInf/UndrlygCstmrCdtTrf/Cdtr/CtctDtls/Nm
/Document/FICdtTrf/CdtTrfTxInf/UndrlygCstmrCdtTrf/UltmtCdtr/Id/OrgId/AnyBIC
/Document/FICdtTrf/CdtTrfTxInf/UndrlygCstmrCdtTrf/UltmtCdtr/CtctDtls/Nm
/Document/FICdtTrf/CdtTrfTxInf/Dbtr/FinInstnId/BICFI
/Document/FICdtTrf/CdtTrfTxInf/Dbtr/BrnchId/Id
/Document/FICdtTrf/CdtTrfTxInf/UltmtDbtr/FinInstnId/BICFI
/Document/FICdtTrf/CdtTrfTxInf/UltmtDbtr/BrnchId/Id
/Document/FICdtTrf/CdtTrfTxInf/UndrlygCstmrCdtTrf/Dbtr/Id/OrgId/AnyBIC
/Document/FICdtTrf/CdtTrfTxInf/UndrlygCstmrCdtTrf/Dbtr/CtctDtls/Nm
/Document/FICdtTrf/CdtTrfTxInf/UndrlygCstmrCdtTrf/UltmtDbtr/Id/OrgId/AnyBIC
/Document/FICdtTrf/CdtTrfTxInf/UndrlygCstmrCdtTrf/UltmtDbtr/CtctDtls/Nm
/Document/FICdtTrf/CdtTrfTxInf/UndrlygCstmrCdtTrf/InitgPty/Id/OrgId/AnyBIC
/Document/FICdtTrf/CdtTrfTxInf/UndrlygCstmrCdtTrf/RmtInf/Strd/Invcr/Id/OrgId/AnyBIC
/Document/FICdtTrf/CdtTrfTxInf/UndrlygCstmrCdtTrf/RmtInf/Strd/Invcr/CtctDtls/Nm
/Document/FICdtTrf/CdtTrfTxInf/UndrlygCstmrCdtTrf/RmtInf/Strd/Invcee/Id/OrgId/AnyBIC
/Document/FICdtTrf/CdtTrfTxInf/UndrlygCstmrCdtTrf/RmtInf/Strd/Invcee/CtctDtls/Nm
/Document/FICdtTrf/CdtTrfTxInf/UndrlygCstmrCdtTrf/RmtInf/Strd/GrnshmtRmt/Grnshee/Id/OrgId/AnyBIC
/Document/FICdtTrf/CdtTrfTxInf/UndrlygCstmrCdtTrf/RmtInf/Strd/GrnshmtRmt/Grnshee/CtctDtls/Nm
/Document/FICdtTrf/CdtTrfTxInf/UndrlygCstmrCdtTrf/RmtInf/Strd/GrnshmtRmt/GrnshmtAdmstr/Id/OrgId/AnyBIC
/Document/FICdtTrf/CdtTrfTxInf/UndrlygCstmrCdtTrf/RmtInf/Strd/GrnshmtRmt/GrnshmtAdmstr/CtctDtls/Nm
/Document/FICdtTrf/CdtTrfTxInf/UndrlygCstmrCdtTrf/RmtInf/Strd/TaxRmt/Dbtr/Authstn/Nm
/Document/FICdtTrf/CdtTrfTxInf/UndrlygCstmrCdtTrf/RmtInf/Strd/TaxRmt/UltmtDbtr/Authstn/Nm</t>
  </si>
  <si>
    <t>Kiểm tra config các trường của điện Pacs.004</t>
  </si>
  <si>
    <t>Pacs.004.01</t>
  </si>
  <si>
    <t>Kiểm tra điện pacs.004.001.09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</si>
  <si>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pacs.004.001.09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</si>
  <si>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/Document/PmtRtr/TxInf/ChrgsInf/Agt/FinInstnId/BICFI
/Document/PmtRtr/TxInf/InstgAgt/FinInstnId/BICFI
/Document/PmtRtr/TxInf/InstdAgt/FinInstnId/BICFI
/Document/PmtRtr/TxInf/RtrChain/UltmtDbtr/Pty/Id/OrgId/AnyBIC
/Document/PmtRtr/TxInf/RtrChain/UltmtDbtr/Pty/Id/OrgId/Othr/Id
/Document/PmtRtr/TxInf/RtrChain/UltmtDbtr/Pty/Id/PrvtId/Othr/Id
/Document/PmtRtr/TxInf/RtrChain/Dbtr/Pty/Id/OrgId/AnyBIC
/Document/PmtRtr/TxInf/RtrChain/Dbtr/Pty/Id/OrgId/Othr/Id
/Document/PmtRtr/TxInf/RtrChain/Dbtr/Pty/Id/PrvtId/Othr/Id
/Document/PmtRtr/TxInf/RtrChain/Dbtr/Agt/FinInstnId/BICFI
/Document/PmtRtr/TxInf/RtrChain/InitgPty/Pty/Id/OrgId/AnyBIC
/Document/PmtRtr/TxInf/RtrChain/InitgPty/Pty/Id/OrgId/Othr/Id
/Document/PmtRtr/TxInf/RtrChain/InitgPty/Pty/Id/PrvtId/Othr/Id
/Document/PmtRtr/TxInf/RtrChain/DbtrAgt/FinInstnId/BICFI
/Document/PmtRtr/TxInf/RtrChain/PrvsInstgAgt1/FinInstnId/BICFI
/Document/PmtRtr/TxInf/RtrChain/PrvsInstgAgt2/FinInstnId/BICFI
/Document/PmtRtr/TxInf/RtrChain/PrvsInstgAgt3/FinInstnId/BICFI
/Document/PmtRtr/TxInf/RtrChain/IntrmyAgt1/FinInstnId/BICFI
/Document/PmtRtr/TxInf/RtrChain/IntrmyAgt2/FinInstnId/BICFI
/Document/PmtRtr/TxInf/RtrChain/IntrmyAgt3/FinInstnId/BICFI
/Document/PmtRtr/TxInf/RtrChain/CdtrAgt/FinInstnId/BICFI
/Document/PmtRtr/TxInf/RtrChain/Cdtr/Pty/Id/OrgId/AnyBIC
/Document/PmtRtr/TxInf/RtrChain/Cdtr/Pty/Id/OrgId/Othr/Id
/Document/PmtRtr/TxInf/RtrChain/Cdtr/Pty/Id/PrvtId/Othr/Id
/Document/PmtRtr/TxInf/RtrChain/Cdtr/Agt/FinInstnId/BICFI
/Document/PmtRtr/TxInf/RtrChain/UltmtCdtr/Pty/Id/OrgId/AnyBIC
/Document/PmtRtr/TxInf/RtrChain/UltmtCdtr/Pty/Id/OrgId/Othr/Id
/Document/PmtRtr/TxInf/RtrChain/UltmtCdtr/Pty/Id/PrvtId/Othr/Id
/Document/PmtRtr/TxInf/RtrRsnInf/Orgtr/Id/OrgId/AnyBIC
/Document/PmtRtr/TxInf/RtrRsnInf/Orgtr/Id/OrgId/Othr/Id
/Document/PmtRtr/TxInf/RtrRsnInf/Orgtr/Id/PrvtId/Othr/Id
/Document/PmtRtr/TxInf/OrgnlTxRef/CdtrSchmeId/Id/OrgId/AnyBIC
/Document/PmtRtr/TxInf/OrgnlTxRef/CdtrSchmeId/Id/OrgId/Othr/Id
/Document/PmtRtr/TxInf/OrgnlTxRef/CdtrSchmeId/Id/PrvtId/Othr/Id
/Document/PmtRtr/TxInf/OrgnlTxRef/SttlmInf/InstgRmbrsmntAgt/FinInstnId/BICFI
/Document/PmtRtr/TxInf/OrgnlTxRef/SttlmInf/InstdRmbrsmntAgt/FinInstnId/BICFI
/Document/PmtRtr/TxInf/OrgnlTxRef/SttlmInf/ThrdRmbrsmntAgt/FinInstnId/BICFI
/Document/PmtRtr/TxInf/OrgnlTxRef/RmtInf/Strd/Invcr/Id/OrgId/AnyBIC
/Document/PmtRtr/TxInf/OrgnlTxRef/RmtInf/Strd/Invcr/Id/OrgId/Othr/Id
/Document/PmtRtr/TxInf/OrgnlTxRef/RmtInf/Strd/Invcr/Id/PrvtId/Othr/Id
/Document/PmtRtr/TxInf/OrgnlTxRef/RmtInf/Strd/Invcee/Id/OrgId/AnyBIC
/Document/PmtRtr/TxInf/OrgnlTxRef/RmtInf/Strd/Invcee/Id/OrgId/Othr/Id
/Document/PmtRtr/TxInf/OrgnlTxRef/RmtInf/Strd/Invcee/Id/PrvtId/Othr/Id
/Document/PmtRtr/TxInf/OrgnlTxRef/RmtInf/Strd/GrnshmtRmt/Grnshee/Id/OrgId/AnyBIC
/Document/PmtRtr/TxInf/OrgnlTxRef/RmtInf/Strd/GrnshmtRmt/Grnshee/Id/OrgId/Othr/Id
/Document/PmtRtr/TxInf/OrgnlTxRef/RmtInf/Strd/GrnshmtRmt/Grnshee/Id/PrvtId/Othr/Id
/Document/PmtRtr/TxInf/OrgnlTxRef/RmtInf/Strd/GrnshmtRmt/GrnshmtAdmstr/Id/OrgId/AnyBIC
/Document/PmtRtr/TxInf/OrgnlTxRef/RmtInf/Strd/GrnshmtRmt/GrnshmtAdmstr/Id/OrgId/Othr/Id
/Document/PmtRtr/TxInf/OrgnlTxRef/RmtInf/Strd/GrnshmtRmt/GrnshmtAdmstr/Id/PrvtId/Othr/Id
/Document/PmtRtr/TxInf/OrgnlTxRef/UltmtDbtr/Pty/Id/OrgId/AnyBIC
/Document/PmtRtr/TxInf/OrgnlTxRef/UltmtDbtr/Pty/Id/OrgId/Othr/Id
/Document/PmtRtr/TxInf/OrgnlTxRef/UltmtDbtr/Pty/Id/PrvtId/Othr/Id
/Document/PmtRtr/TxInf/OrgnlTxRef/Dbtr/Pty/Id/OrgId/AnyBIC
/Document/PmtRtr/TxInf/OrgnlTxRef/Dbtr/Pty/Id/OrgId/Othr/Id
/Document/PmtRtr/TxInf/OrgnlTxRef/Dbtr/Pty/Id/PrvtId/Othr/Id
/Document/PmtRtr/TxInf/OrgnlTxRef/Dbtr/Agt/FinInstnId/BICFI
/Document/PmtRtr/TxInf/OrgnlTxRef/Dbtr/Agt/FinInstnId/Othr/Id
/Document/PmtRtr/TxInf/OrgnlTxRef/DbtrAgt/FinInstnId/BICFI
/Document/PmtRtr/TxInf/OrgnlTxRef/CdtrAgt/FinInstnId/BICFI
/Document/PmtRtr/TxInf/OrgnlTxRef/Cdtr/Pty/Id/OrgId/AnyBIC
/Document/PmtRtr/TxInf/OrgnlTxRef/Cdtr/Pty/Id/OrgId/Othr/Id
/Document/PmtRtr/TxInf/OrgnlTxRef/Cdtr/Pty/Id/PrvtId/Othr/Id
/Document/PmtRtr/TxInf/OrgnlTxRef/Cdtr/Agt/FinInstnId/BICFI
/Document/PmtRtr/TxInf/OrgnlTxRef/Cdtr/Agt/FinInstnId/Othr/Id
/Document/PmtRtr/TxInf/OrgnlTxRef/UltmtCdtr/Pty/Id/OrgId/AnyBIC
/Document/PmtRtr/TxInf/OrgnlTxRef/UltmtCdtr/Pty/Id/OrgId/Othr/Id
/Document/PmtRtr/TxInf/OrgnlTxRef/UltmtCdtr/Pty/Id/PrvtId/Othr/Id</t>
  </si>
  <si>
    <t>Pacs.004.02</t>
  </si>
  <si>
    <t>Kiểm tra điện pacs.004.001.09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</si>
  <si>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pacs.004.001.09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</si>
  <si>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/Document/PmtRtr/TxInf/ChrgsInf/Agt/FinInstnId/BICFI
/Document/PmtRtr/TxInf/ChrgsInf/Agt/FinInstnId/PstlAdr/Ctry
/Document/PmtRtr/TxInf/InstgAgt/FinInstnId/BICFI
/Document/PmtRtr/TxInf/InstdAgt/FinInstnId/BICFI
/Document/PmtRtr/TxInf/RtrChain/UltmtDbtr/Pty/PstlAdr/Ctry
/Document/PmtRtr/TxInf/RtrChain/UltmtDbtr/Pty/Id/OrgId/AnyBIC
/Document/PmtRtr/TxInf/RtrChain/UltmtDbtr/Pty/Id/PrvtId/DtAndPlcOfBirth/CtryOfBirth
/Document/PmtRtr/TxInf/RtrChain/UltmtDbtr/Pty/CtryOfRes
/Document/PmtRtr/TxInf/RtrChain/Dbtr/Pty/PstlAdr/Ctry
/Document/PmtRtr/TxInf/RtrChain/Dbtr/Pty/Id/OrgId/AnyBIC
/Document/PmtRtr/TxInf/RtrChain/Dbtr/Pty/Id/PrvtId/DtAndPlcOfBirth/CtryOfBirth
/Document/PmtRtr/TxInf/RtrChain/Dbtr/Pty/CtryOfRes
/Document/PmtRtr/TxInf/RtrChain/Dbtr/Agt/FinInstnId/BICFI
/Document/PmtRtr/TxInf/RtrChain/Dbtr/Agt/FinInstnId/PstlAdr/Ctry
/Document/PmtRtr/TxInf/RtrChain/InitgPty/Pty/PstlAdr/Ctry
/Document/PmtRtr/TxInf/RtrChain/InitgPty/Pty/Id/OrgId/AnyBIC
/Document/PmtRtr/TxInf/RtrChain/InitgPty/Pty/Id/PrvtId/DtAndPlcOfBirth/CtryOfBirth
/Document/PmtRtr/TxInf/RtrChain/InitgPty/Pty/CtryOfRes
/Document/PmtRtr/TxInf/RtrChain/DbtrAgt/FinInstnId/BICFI
/Document/PmtRtr/TxInf/RtrChain/DbtrAgt/FinInstnId/PstlAdr/Ctry
/Document/PmtRtr/TxInf/RtrChain/PrvsInstgAgt1/FinInstnId/BICFI
/Document/PmtRtr/TxInf/RtrChain/PrvsInstgAgt1/FinInstnId/PstlAdr/Ctry
/Document/PmtRtr/TxInf/RtrChain/PrvsInstgAgt2/FinInstnId/BICFI
/Document/PmtRtr/TxInf/RtrChain/PrvsInstgAgt2/FinInstnId/PstlAdr/Ctry
/Document/PmtRtr/TxInf/RtrChain/PrvsInstgAgt3/FinInstnId/BICFI
/Document/PmtRtr/TxInf/RtrChain/PrvsInstgAgt3/FinInstnId/PstlAdr/Ctry
/Document/PmtRtr/TxInf/RtrChain/IntrmyAgt1/FinInstnId/BICFI
/Document/PmtRtr/TxInf/RtrChain/IntrmyAgt1/FinInstnId/PstlAdr/Ctry
/Document/PmtRtr/TxInf/RtrChain/IntrmyAgt2/FinInstnId/BICFI
/Document/PmtRtr/TxInf/RtrChain/IntrmyAgt2/FinInstnId/PstlAdr/Ctry
/Document/PmtRtr/TxInf/RtrChain/IntrmyAgt3/FinInstnId/BICFI
/Document/PmtRtr/TxInf/RtrChain/IntrmyAgt3/FinInstnId/PstlAdr/Ctry
/Document/PmtRtr/TxInf/RtrChain/CdtrAgt/FinInstnId/BICFI
/Document/PmtRtr/TxInf/RtrChain/CdtrAgt/FinInstnId/PstlAdr/Ctry
/Document/PmtRtr/TxInf/RtrChain/Cdtr/Pty/PstlAdr/Ctry
/Document/PmtRtr/TxInf/RtrChain/Cdtr/Pty/Id/OrgId/AnyBIC
/Document/PmtRtr/TxInf/RtrChain/Cdtr/Pty/Id/PrvtId/DtAndPlcOfBirth/CtryOfBirth
/Document/PmtRtr/TxInf/RtrChain/Cdtr/Pty/CtryOfRes
/Document/PmtRtr/TxInf/RtrChain/Cdtr/Agt/FinInstnId/BICFI
/Document/PmtRtr/TxInf/RtrChain/Cdtr/Agt/FinInstnId/PstlAdr/Ctry
/Document/PmtRtr/TxInf/RtrChain/UltmtCdtr/Pty/PstlAdr/Ctry
/Document/PmtRtr/TxInf/RtrChain/UltmtCdtr/Pty/Id/OrgId/AnyBIC
/Document/PmtRtr/TxInf/RtrChain/UltmtCdtr/Pty/Id/PrvtId/DtAndPlcOfBirth/CtryOfBirth
/Document/PmtRtr/TxInf/RtrChain/UltmtCdtr/Pty/CtryOfRes
/Document/PmtRtr/TxInf/RtrRsnInf/Orgtr/PstlAdr/Ctry
/Document/PmtRtr/TxInf/RtrRsnInf/Orgtr/Id/OrgId/AnyBIC
/Document/PmtRtr/TxInf/RtrRsnInf/Orgtr/Id/PrvtId/DtAndPlcOfBirth/CtryOfBirth
/Document/PmtRtr/TxInf/RtrRsnInf/Orgtr/CtryOfRes
/Document/PmtRtr/TxInf/OrgnlTxRef/CdtrSchmeId/PstlAdr/Ctry
/Document/PmtRtr/TxInf/OrgnlTxRef/CdtrSchmeId/Id/OrgId/AnyBIC
/Document/PmtRtr/TxInf/OrgnlTxRef/CdtrSchmeId/Id/PrvtId/DtAndPlcOfBirth/CtryOfBirth
/Document/PmtRtr/TxInf/OrgnlTxRef/CdtrSchmeId/CtryOfRes
/Document/PmtRtr/TxInf/OrgnlTxRef/SttlmInf/InstgRmbrsmntAgt/FinInstnId/BICFI
/Document/PmtRtr/TxInf/OrgnlTxRef/SttlmInf/InstgRmbrsmntAgt/FinInstnId/PstlAdr/Ctry
/Document/PmtRtr/TxInf/OrgnlTxRef/SttlmInf/InstdRmbrsmntAgt/FinInstnId/BICFI
/Document/PmtRtr/TxInf/OrgnlTxRef/SttlmInf/InstdRmbrsmntAgt/FinInstnId/PstlAdr/Ctry
/Document/PmtRtr/TxInf/OrgnlTxRef/SttlmInf/ThrdRmbrsmntAgt/FinInstnId/BICFI
/Document/PmtRtr/TxInf/OrgnlTxRef/SttlmInf/ThrdRmbrsmntAgt/FinInstnId/PstlAdr/Ctry
/Document/PmtRtr/TxInf/OrgnlTxRef/RmtInf/Strd/Invcr/PstlAdr/Ctry
/Document/PmtRtr/TxInf/OrgnlTxRef/RmtInf/Strd/Invcr/Id/OrgId/AnyBIC
/Document/PmtRtr/TxInf/OrgnlTxRef/RmtInf/Strd/Invcr/Id/PrvtId/DtAndPlcOfBirth/CtryOfBirth
/Document/PmtRtr/TxInf/OrgnlTxRef/RmtInf/Strd/Invcr/CtryOfRes
/Document/PmtRtr/TxInf/OrgnlTxRef/RmtInf/Strd/Invcee/PstlAdr/Ctry
/Document/PmtRtr/TxInf/OrgnlTxRef/RmtInf/Strd/Invcee/Id/OrgId/AnyBIC
/Document/PmtRtr/TxInf/OrgnlTxRef/RmtInf/Strd/Invcee/Id/PrvtId/DtAndPlcOfBirth/CtryOfBirth
/Document/PmtRtr/TxInf/OrgnlTxRef/RmtInf/Strd/Invcee/CtryOfRes
/Document/PmtRtr/TxInf/OrgnlTxRef/RmtInf/Strd/GrnshmtRmt/Grnshee/PstlAdr/Ctry
/Document/PmtRtr/TxInf/OrgnlTxRef/RmtInf/Strd/GrnshmtRmt/Grnshee/Id/OrgId/AnyBIC
/Document/PmtRtr/TxInf/OrgnlTxRef/RmtInf/Strd/GrnshmtRmt/Grnshee/Id/PrvtId/DtAndPlcOfBirth/CtryOfBirth
/Document/PmtRtr/TxInf/OrgnlTxRef/RmtInf/Strd/GrnshmtRmt/Grnshee/CtryOfRes
/Document/PmtRtr/TxInf/OrgnlTxRef/RmtInf/Strd/GrnshmtRmt/GrnshmtAdmstr/PstlAdr/Ctry
/Document/PmtRtr/TxInf/OrgnlTxRef/RmtInf/Strd/GrnshmtRmt/GrnshmtAdmstr/Id/OrgId/AnyBIC
/Document/PmtRtr/TxInf/OrgnlTxRef/RmtInf/Strd/GrnshmtRmt/GrnshmtAdmstr/Id/PrvtId/DtAndPlcOfBirth/CtryOfBirth
/Document/PmtRtr/TxInf/OrgnlTxRef/RmtInf/Strd/GrnshmtRmt/GrnshmtAdmstr/CtryOfRes
/Document/PmtRtr/TxInf/OrgnlTxRef/UltmtDbtr/Pty/PstlAdr/Ctry
/Document/PmtRtr/TxInf/OrgnlTxRef/UltmtDbtr/Pty/Id/OrgId/AnyBIC
/Document/PmtRtr/TxInf/OrgnlTxRef/UltmtDbtr/Pty/Id/PrvtId/DtAndPlcOfBirth/CtryOfBirth
/Document/PmtRtr/TxInf/OrgnlTxRef/UltmtDbtr/Pty/CtryOfRes
/Document/PmtRtr/TxInf/OrgnlTxRef/Dbtr/Pty/PstlAdr/Ctry
/Document/PmtRtr/TxInf/OrgnlTxRef/Dbtr/Pty/Id/OrgId/AnyBIC
/Document/PmtRtr/TxInf/OrgnlTxRef/Dbtr/Pty/Id/PrvtId/DtAndPlcOfBirth/CtryOfBirth
/Document/PmtRtr/TxInf/OrgnlTxRef/Dbtr/Pty/CtryOfRes
/Document/PmtRtr/TxInf/OrgnlTxRef/Dbtr/Agt/FinInstnId/BICFI
/Document/PmtRtr/TxInf/OrgnlTxRef/Dbtr/Agt/FinInstnId/PstlAdr/Ctry
/Document/PmtRtr/TxInf/OrgnlTxRef/DbtrAgt/FinInstnId/BICFI
/Document/PmtRtr/TxInf/OrgnlTxRef/DbtrAgt/FinInstnId/PstlAdr/Ctry
/Document/PmtRtr/TxInf/OrgnlTxRef/CdtrAgt/FinInstnId/BICFI
/Document/PmtRtr/TxInf/OrgnlTxRef/CdtrAgt/FinInstnId/PstlAdr/Ctry
/Document/PmtRtr/TxInf/OrgnlTxRef/Cdtr/Pty/PstlAdr/Ctry
/Document/PmtRtr/TxInf/OrgnlTxRef/Cdtr/Pty/Id/OrgId/AnyBIC
/Document/PmtRtr/TxInf/OrgnlTxRef/Cdtr/Pty/Id/PrvtId/DtAndPlcOfBirth/CtryOfBirth
/Document/PmtRtr/TxInf/OrgnlTxRef/Cdtr/Pty/CtryOfRes
/Document/PmtRtr/TxInf/OrgnlTxRef/Cdtr/Agt/FinInstnId/BICFI
/Document/PmtRtr/TxInf/OrgnlTxRef/Cdtr/Agt/FinInstnId/PstlAdr/Ctry
/Document/PmtRtr/TxInf/OrgnlTxRef/UltmtCdtr/Pty/PstlAdr/Ctry
/Document/PmtRtr/TxInf/OrgnlTxRef/UltmtCdtr/Pty/Id/OrgId/AnyBIC
/Document/PmtRtr/TxInf/OrgnlTxRef/UltmtCdtr/Pty/Id/PrvtId/DtAndPlcOfBirth/CtryOfBirth
/Document/PmtRtr/TxInf/OrgnlTxRef/UltmtCdtr/Pty/CtryOfRes</t>
  </si>
  <si>
    <t>Pacs.004.03</t>
  </si>
  <si>
    <t>Kiểm tra điện pacs.004.001.09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</si>
  <si>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pacs.004.001.09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</si>
  <si>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/Document/PmtRtr/TxInf/RtrRsnInf/AddtlInf
/Document/PmtRtr/TxInf/OrgnlTxRef/RmtInf/Ustrd
/Document/PmtRtr/TxInf/OrgnlTxRef/RmtInf/Strd/RfrdDocInf/LineDtls/Amt/AdjstmntAmtAndRsn/AddtlInf
/Document/PmtRtr/TxInf/OrgnlTxRef/RmtInf/Strd/RfrdDocAmt/AdjstmntAmtAndRsn/AddtlInf</t>
  </si>
  <si>
    <t>Pacs.004.04</t>
  </si>
  <si>
    <t>Kiểm tra điện pacs.004.001.09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</si>
  <si>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pacs.004.001.09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</si>
  <si>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/Document/PmtRtr/TxInf/ChrgsInf/Agt/FinInstnId/BICFI
/Document/PmtRtr/TxInf/ChrgsInf/Agt/FinInstnId/Nm
/Document/PmtRtr/TxInf/InstgAgt/FinInstnId/BICFI
/Document/PmtRtr/TxInf/InstdAgt/FinInstnId/BICFI
/Document/PmtRtr/TxInf/RtrChain/UltmtDbtr/Pty/Nm
/Document/PmtRtr/TxInf/RtrChain/UltmtDbtr/Pty/Id/OrgId/AnyBIC
/Document/PmtRtr/TxInf/RtrChain/Dbtr/Pty/Nm
/Document/PmtRtr/TxInf/RtrChain/Dbtr/Pty/Id/OrgId/AnyBIC
/Document/PmtRtr/TxInf/RtrChain/Dbtr/Agt/FinInstnId/BICFI
/Document/PmtRtr/TxInf/RtrChain/Dbtr/Agt/FinInstnId/Nm
/Document/PmtRtr/TxInf/RtrChain/InitgPty/Pty/Nm
/Document/PmtRtr/TxInf/RtrChain/InitgPty/Pty/Id/OrgId/AnyBIC
/Document/PmtRtr/TxInf/RtrChain/DbtrAgt/FinInstnId/BICFI
/Document/PmtRtr/TxInf/RtrChain/DbtrAgt/FinInstnId/Nm
/Document/PmtRtr/TxInf/RtrChain/PrvsInstgAgt1/FinInstnId/BICFI
/Document/PmtRtr/TxInf/RtrChain/PrvsInstgAgt1/FinInstnId/Nm
/Document/PmtRtr/TxInf/RtrChain/PrvsInstgAgt2/FinInstnId/BICFI
/Document/PmtRtr/TxInf/RtrChain/PrvsInstgAgt2/FinInstnId/Nm
/Document/PmtRtr/TxInf/RtrChain/PrvsInstgAgt3/FinInstnId/BICFI
/Document/PmtRtr/TxInf/RtrChain/PrvsInstgAgt3/FinInstnId/Nm
/Document/PmtRtr/TxInf/RtrChain/IntrmyAgt1/FinInstnId/BICFI
/Document/PmtRtr/TxInf/RtrChain/IntrmyAgt1/FinInstnId/Nm
/Document/PmtRtr/TxInf/RtrChain/IntrmyAgt2/FinInstnId/BICFI
/Document/PmtRtr/TxInf/RtrChain/IntrmyAgt2/FinInstnId/Nm
/Document/PmtRtr/TxInf/RtrChain/IntrmyAgt3/FinInstnId/BICFI
/Document/PmtRtr/TxInf/RtrChain/IntrmyAgt3/FinInstnId/Nm
/Document/PmtRtr/TxInf/RtrChain/CdtrAgt/FinInstnId/BICFI
/Document/PmtRtr/TxInf/RtrChain/CdtrAgt/FinInstnId/Nm
/Document/PmtRtr/TxInf/RtrChain/Cdtr/Pty/Nm
/Document/PmtRtr/TxInf/RtrChain/Cdtr/Pty/Id/OrgId/AnyBIC
/Document/PmtRtr/TxInf/RtrChain/Cdtr/Agt/FinInstnId/BICFI
/Document/PmtRtr/TxInf/RtrChain/Cdtr/Agt/FinInstnId/Nm
/Document/PmtRtr/TxInf/RtrChain/UltmtCdtr/Pty/Nm
/Document/PmtRtr/TxInf/RtrChain/UltmtCdtr/Pty/Id/OrgId/AnyBIC
/Document/PmtRtr/TxInf/RtrRsnInf/Orgtr/Nm
/Document/PmtRtr/TxInf/RtrRsnInf/Orgtr/Id/OrgId/AnyBIC
/Document/PmtRtr/TxInf/OrgnlTxRef/CdtrSchmeId/Nm
/Document/PmtRtr/TxInf/OrgnlTxRef/CdtrSchmeId/Id/OrgId/AnyBIC
/Document/PmtRtr/TxInf/OrgnlTxRef/SttlmInf/InstgRmbrsmntAgt/FinInstnId/BICFI
/Document/PmtRtr/TxInf/OrgnlTxRef/SttlmInf/InstgRmbrsmntAgt/FinInstnId/Nm
/Document/PmtRtr/TxInf/OrgnlTxRef/SttlmInf/InstdRmbrsmntAgt/FinInstnId/BICFI
/Document/PmtRtr/TxInf/OrgnlTxRef/SttlmInf/InstdRmbrsmntAgt/FinInstnId/Nm
/Document/PmtRtr/TxInf/OrgnlTxRef/SttlmInf/ThrdRmbrsmntAgt/FinInstnId/BICFI
/Document/PmtRtr/TxInf/OrgnlTxRef/SttlmInf/ThrdRmbrsmntAgt/FinInstnId/Nm
/Document/PmtRtr/TxInf/OrgnlTxRef/RmtInf/Strd/Invcr/Nm
/Document/PmtRtr/TxInf/OrgnlTxRef/RmtInf/Strd/Invcr/Id/OrgId/AnyBIC
/Document/PmtRtr/TxInf/OrgnlTxRef/RmtInf/Strd/Invcee/Nm
/Document/PmtRtr/TxInf/OrgnlTxRef/RmtInf/Strd/Invcee/Id/OrgId/AnyBIC
/Document/PmtRtr/TxInf/OrgnlTxRef/RmtInf/Strd/TaxRmt/Dbtr/Authstn/Nm
/Document/PmtRtr/TxInf/OrgnlTxRef/RmtInf/Strd/TaxRmt/UltmtDbtr/Authstn/Nm
/Document/PmtRtr/TxInf/OrgnlTxRef/RmtInf/Strd/GrnshmtRmt/Grnshee/Nm
/Document/PmtRtr/TxInf/OrgnlTxRef/RmtInf/Strd/GrnshmtRmt/Grnshee/Id/OrgId/AnyBIC
/Document/PmtRtr/TxInf/OrgnlTxRef/RmtInf/Strd/GrnshmtRmt/GrnshmtAdmstr/Nm
/Document/PmtRtr/TxInf/OrgnlTxRef/RmtInf/Strd/GrnshmtRmt/GrnshmtAdmstr/Id/OrgId/AnyBIC
/Document/PmtRtr/TxInf/OrgnlTxRef/UltmtDbtr/Pty/Nm
/Document/PmtRtr/TxInf/OrgnlTxRef/UltmtDbtr/Pty/Id/OrgId/AnyBIC
/Document/PmtRtr/TxInf/OrgnlTxRef/Dbtr/Pty/Nm
/Document/PmtRtr/TxInf/OrgnlTxRef/Dbtr/Pty/Id/OrgId/AnyBIC
/Document/PmtRtr/TxInf/OrgnlTxRef/Dbtr/Agt/FinInstnId/BICFI
/Document/PmtRtr/TxInf/OrgnlTxRef/Dbtr/Agt/FinInstnId/Nm
/Document/PmtRtr/TxInf/OrgnlTxRef/DbtrAgt/FinInstnId/BICFI
/Document/PmtRtr/TxInf/OrgnlTxRef/DbtrAgt/FinInstnId/Nm
/Document/PmtRtr/TxInf/OrgnlTxRef/CdtrAgt/FinInstnId/BICFI
/Document/PmtRtr/TxInf/OrgnlTxRef/CdtrAgt/FinInstnId/Nm
/Document/PmtRtr/TxInf/OrgnlTxRef/Cdtr/Pty/Nm
/Document/PmtRtr/TxInf/OrgnlTxRef/Cdtr/Pty/Id/OrgId/AnyBIC
/Document/PmtRtr/TxInf/OrgnlTxRef/Cdtr/Agt/FinInstnId/BICFI
/Document/PmtRtr/TxInf/OrgnlTxRef/Cdtr/Agt/FinInstnId/Nm
/Document/PmtRtr/TxInf/OrgnlTxRef/UltmtCdtr/Pty/Nm
/Document/PmtRtr/TxInf/OrgnlTxRef/UltmtCdtr/Pty/Id/OrgId/AnyBIC</t>
  </si>
  <si>
    <t>Kiểm tra config các trường của điện Camt.110</t>
  </si>
  <si>
    <t>Camt.110.01</t>
  </si>
  <si>
    <t>Kiểm tra điện camt.110.001.01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</si>
  <si>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camt.110.001.01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</si>
  <si>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/Document/InvstgtnReq/InvstgtnReq/Rqstr/Agt/FinInstnId/BICFI
/Document/InvstgtnReq/InvstgtnReq/Rspndr/Agt/FinInstnId/BICFI
/Document/InvstgtnReq/InvstgtnReq/ReqOrgtr/Agt/FinInstnId/BICFI</t>
  </si>
  <si>
    <t>Camt.110.02</t>
  </si>
  <si>
    <t>Kiểm tra điện camt.110.001.01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</si>
  <si>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camt.110.001.01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</si>
  <si>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Camt.110.03</t>
  </si>
  <si>
    <t>Kiểm tra điện camt.110.001.01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</si>
  <si>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camt.110.001.01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</si>
  <si>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/Document/InvstgtnReq/InvstgtnReq/ReqActn/ActnRsn/AddtlInf</t>
  </si>
  <si>
    <t>Camt.110.04</t>
  </si>
  <si>
    <t>Kiểm tra điện camt.110.001.01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</si>
  <si>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camt.110.001.01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</si>
  <si>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Kiểm tra config các trường của điện Camt.111</t>
  </si>
  <si>
    <t>Camt.111.01</t>
  </si>
  <si>
    <t>Kiểm tra điện camt.111.001.01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</si>
  <si>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camt.111.001.01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</si>
  <si>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/Document/InvstgtnRspn/InvstgtnRspn/InvstgtnData/RspnOrgtr/Agt/FinInstnId/BICFI
/Document/InvstgtnRspn/OrgnlInvstgtnReq/Rqstr/Agt/FinInstnId/BICFI
/Document/InvstgtnRspn/OrgnlInvstgtnReq/Rspndr/Agt/FinInstnId/BICFI</t>
  </si>
  <si>
    <t>Camt.111.02</t>
  </si>
  <si>
    <t>Kiểm tra điện camt.111.001.01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</si>
  <si>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camt.111.001.01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</si>
  <si>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Camt.111.03</t>
  </si>
  <si>
    <t>Kiểm tra điện camt.111.001.01
- webservice NARRATIVE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</si>
  <si>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camt.111.001.01 trên màn hình Configuration Screen
4. Chọn webservice NARRATIVE  trên dropdown list Screening Type trên màn hình 
5. Tích chọn vào Xpath tương ứng ở mục Screening XPath Configuration List và kiểm tra Screening Field XPath tương ứng ở mục Screening XPath Field Configuration List được gán</t>
  </si>
  <si>
    <t>5. 'Thông tin hiển thị các Screening Field Name, Screening Field XPath tương ứng theo từng webservice đảm bảo đủ, đúng theo yêu cầu, có trạng thái Enable = Yes, bao gồm:
/Document/InvstgtnRspn/InvstgtnRspn/InvstgtnData/RspnData/TxSts/StsRsnInf/AddtlInf
/Document/InvstgtnRspn/OrgnlInvstgtnReq/ReqActn/ActnRsn/AddtlInf</t>
  </si>
  <si>
    <t>Camt.111.04</t>
  </si>
  <si>
    <t>Kiểm tra điện camt.111.001.01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</si>
  <si>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camt.111.001.01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</si>
  <si>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Kiểm tra config các trường của điện MTC01</t>
  </si>
  <si>
    <t>GĐ 2.2</t>
  </si>
  <si>
    <t>MTC01.01</t>
  </si>
  <si>
    <t>Kiểm tra điện MTC01 -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</si>
  <si>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MTC01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</si>
  <si>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20H - SenderIdNumber1
20I - SenderIdNumber2
20J - SenderIdNumber3
20K - SenderIdNumber4
20X - ReceiverIdNumber1
20Y - ReceiverIdNumber2
20Z - ReceiverIdNumber3
21A - ReceiverIdNumber4
21L - SenderDocumentNumber1
21M - SenderDocumentNumber2
21N - SenderDocumentNumber3
21O - SenderDocumentNumber4
21V - ReceiverDocumentNumber1
21X - ReceiverDocumentNumber2
21Y - ReceiverDocumentNumber3
21Z - ReceiverDocumentNumber4
22B - BeneficiaryBankBicCode
22F - RemittingBankBicCode</t>
  </si>
  <si>
    <t>MTC01.02</t>
  </si>
  <si>
    <t>Kiểm tra điện MTC01 -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</si>
  <si>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MTC01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</si>
  <si>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20C - SenderCitizenship1
20D - SenderCitizenship2
20E - SenderCitizenship3
20F - SenderCitizenship4
20G - SenderCitizenship5
20M - SenderCountry1
20O - SenderCountry2
20R - ReceiverCitizenship1
20S - ReceiverCitizenship2
20T - ReceiverCitizenship3
20U - ReceiverCitizenship4
20V - ReceiverCitizenship5
21C - ReceiverCountry1
21E - ReceiverCountry2
21J - SenderHeadquartersCountry
21T - ReceiverHeadquartersCountry
22D - BeneficiaryBankCountry
22H - RemittingBankCountry</t>
  </si>
  <si>
    <t>MTC01.03</t>
  </si>
  <si>
    <t>Kiểm tra điện MTC01 -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</si>
  <si>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MTC01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</si>
  <si>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20A - SenderFullName
20P - ReceiverFullName
21F - SenderOrgVnName
21G - SenderOrgEngName
21H - SenderOrgShortName
21P - ReceiverOrgVnName
21Q - ReceiverOrgEngName
21R - ReceiverOrgShortName
22A - BeneficiaryBankName
22E - RemittingBankName</t>
  </si>
  <si>
    <t>Kiểm tra config các trường của điện MTC02</t>
  </si>
  <si>
    <t>MTC02.01</t>
  </si>
  <si>
    <t>Kiểm tra điện MTC02 -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</si>
  <si>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MTC02 trên drop down list 
4. Sau khi bấm nút Save, click liên tiếp 2 lần button mũi tên sang phải (&gt;) ở bên cạnh.
5. Chọn webservice IDENTIFIER trên dropdown list Screening webservice trên màn hình và kiểm tra các tags tương ứng được gán</t>
  </si>
  <si>
    <t>MTC02.02</t>
  </si>
  <si>
    <t>Kiểm tra điện MTC02 -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</si>
  <si>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MTC02 trên drop down list 
4. Sau khi bấm nút Save, click liên tiếp 2 lần button mũi tên sang phải (&gt;) ở bên cạnh.
5. Chọn webservice COUNTRY AND CITY trên dropdown list Screening webservice trên màn hình và kiểm tra các tags tương ứng được gán</t>
  </si>
  <si>
    <t>MTC02.03</t>
  </si>
  <si>
    <t>Kiểm tra điện MTC02 -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</si>
  <si>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MTC02 trên drop down list 
4. Sau khi bấm nút Save, click liên tiếp 2 lần button mũi tên sang phải (&gt;) ở bên cạnh.
5. Chọn webservice NAME AND ADDRESS trên dropdown list Screening webservice trên màn hình và kiểm tra các tags tương ứng được gán</t>
  </si>
  <si>
    <t>Kiểm tra config các trường của điện MTC99</t>
  </si>
  <si>
    <t>MTC99.01</t>
  </si>
  <si>
    <t>Kiểm tra điện MTC99 -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</si>
  <si>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</si>
  <si>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52U - ID 1
52V - ID 2
52X - ID 3
52Y - ID 4
52Z - ID 5
53A - ID 6
53B - ID 7
53C - ID 8
53D - ID 9
53E - ID 10</t>
  </si>
  <si>
    <t>MTC99.02</t>
  </si>
  <si>
    <t>Kiểm tra điện MTC99 -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</si>
  <si>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PORT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</si>
  <si>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54K - Port 1
54L - Port 2
54M - Port 3
54N - Port 4
54O - Port 5
54P - Port 6
54Q - Port 7
54R - Port 8
54S - Port 9
54T - Port 10</t>
  </si>
  <si>
    <t>MTC99.03</t>
  </si>
  <si>
    <t>Kiểm tra điện MTC99 -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</si>
  <si>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</si>
  <si>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54U - Narrative 1
54V - Narrative 2
54X - Narrative 3
54Y - Narrative 4
54Z - Narrative 5
55A - Narrative 6
55B - Narrative 7
55C - Narrative 8
55D - Narrative 9
55E - Narrative 10</t>
  </si>
  <si>
    <t>MTC99.04</t>
  </si>
  <si>
    <t>Kiểm tra điện MTC99 -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</si>
  <si>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</si>
  <si>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53F - Country 1
53G - Country 2
53H - Country 3
53I - Country 4
53J - Country 5
53K - Country 6
53L - Country 7
53M - Country 8
53N - Country 9
53O - Country 10</t>
  </si>
  <si>
    <t>MTC99.05</t>
  </si>
  <si>
    <t>Kiểm tra điện MTC99 -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</si>
  <si>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MTC99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</si>
  <si>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54G - Entity 1
52B - Entity 2
52C - Entity 3
52D - Entity 4
52E - Entity 5
52F - Entity 6
52G - Entity 7
52H - Entity 8
52I - Entity 9
52J - Entity 10
52K - Individual 1
52L - Individual 2
52M - Individual 3
52N - Individual 4
52O - Individual 5
52P - Individual 6
52Q - Individual 7
52R - Individual 8
52S - Individual 9
52T - Individual 10
53P - Vessel 1
53Q - Vessel 2
53R - Vessel 3
53S - Vessel 4
53T - Vessel 5
53U - Vessel 6
53V - Vessel 7
53X - Vessel 8
53Y - Vessel 9
53Z - Vessel 10
54A - Aircraft 1
54B - Aircraft 2
54C - Aircraft 3
54D - Aircraft 4
54E - Aircraft 5
54F - Aircraft 6
54G - Aircraft 7
54H - Aircraft 8
54I - Aircraft 9
54J - Aircraft 10</t>
  </si>
  <si>
    <t>Kiểm tra config các trường của điện custom.999.001.05</t>
  </si>
  <si>
    <t>custom.999.001.05.01</t>
  </si>
  <si>
    <t>Kiểm tra điện custom.999.001.05
- webservice IDENTIFIER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</si>
  <si>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custom.999.001.05 trên màn hình Configuration Screen
4. Chọn webservice IDENTIFIER  trên dropdown list Screening Type trên màn hình 
5. Tích chọn vào Xpath tương ứng ở mục Screening XPath Configuration List và kiểm tra Screening Field XPath tương ứng ở mục Screening XPath Field Configuration List được gán</t>
  </si>
  <si>
    <t>Thông tin hiển thị các Screening Field Name, Screening Field XPath tương ứng theo từng webservice đảm bảo đủ, đúng theo yêu cầu, có trạng thái Enable = Yes, bao gồm:
/Document/CstMsg/TxInf/Debtor/Identifier
/Document/CstMsg/TxInf/Creditor/Identifier
/Document/CstMsg/TxInf/InvolvedParty[..]/Identifier
/Document/CstMsg/TxInf/BeneficiaryBank/BIC
/Document/CstMsg/TxInf/InvolvedBank[..]/BIC
/Document/CstMsg/TxInf/Transportation/Identifier</t>
  </si>
  <si>
    <t>custom.999.001.05.02</t>
  </si>
  <si>
    <t>Kiểm tra điện custom.999.001.05
- webservice COUNTRY AND CITY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</si>
  <si>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custom.999.001.05 trên màn hình Configuration Screen
4. Chọn webservice COUNTRY AND CITY  trên dropdown list Screening Type trên màn hình 
5. Tích chọn vào Xpath tương ứng ở mục Screening XPath Configuration List và kiểm tra Screening Field XPath tương ứng ở mục Screening XPath Field Configuration List được gán</t>
  </si>
  <si>
    <t>Thông tin hiển thị các Screening Field Name, Screening Field XPath tương ứng theo từng webservice đảm bảo đủ, đúng theo yêu cầu, có trạng thái Enable = Yes, bao gồm:
/Document/CstMsg/TxInf/Debtor/Address/CountryOfBirth
/Document/CstMsg/TxInf/Creditor/Address/CountryInAddress
/Document/CstMsg/TxInf/InvolvedParty[..]/Address/CountryInAddress
/Document/CstMsg/TxInf/BeneficiaryBank/Address/CountryInAddress
/Document/CstMsg/TxInf/InvolvedBank[..]/Address/CountryInAddress
/Document/CstMsg/TxInf/InvolvedPort[..]/Country
/Document/CstMsg/TxInf/PlaceOfLoading
/Document/CstMsg/TxInf/PlaceOfDischarge
/Document/CstMsg/TxInf/Transportation/Flag
/Document/CstMsg/TxInf/Goods/ImportCountry
/Document/CstMsg/TxInf/Goods/ExportCountry</t>
  </si>
  <si>
    <t>custom.999.001.05.03</t>
  </si>
  <si>
    <t>Kiểm tra điện custom.999.001.05
- webservice PORT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</si>
  <si>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custom.999.001.05 trên màn hình Configuration Screen
4. Chọn webservice PORT  trên dropdown list Screening Type trên màn hình 
5. Tích chọn vào Xpath tương ứng ở mục Screening XPath Configuration List và kiểm tra Screening Field XPath tương ứng ở mục Screening XPath Field Configuration List được gán</t>
  </si>
  <si>
    <t>Thông tin hiển thị các Screening Field Name, Screening Field XPath tương ứng theo từng webservice đảm bảo đủ, đúng theo yêu cầu, có trạng thái Enable = Yes, bao gồm:
/Document/CstMsg/TxInf/InvolvedPort[..]/Name</t>
  </si>
  <si>
    <t>custom.999.001.05.04</t>
  </si>
  <si>
    <t>Kiểm tra điện custom.999.001.05
- webservice NAME AND ADDRESS được gán tương ứng với các trường trong điện (nếu có)</t>
  </si>
  <si>
    <t>1. Login hệ thống TF bằng user admin
2. Truy cập theo đường dẫn 
Financial Services Analytical Applications Transactions Filtering/ Financial Services Sanctions Pack/ ISO20022/XML Configuraton Admin
3. Chọn điện custom.999.001.05 trên màn hình Configuration Screen
4. Chọn webservice NAME AND ADDRESS  trên dropdown list Screening Type trên màn hình 
5. Tích chọn vào Xpath tương ứng ở mục Screening XPath Configuration List và kiểm tra Screening Field XPath tương ứng ở mục Screening XPath Field Configuration List được gán</t>
  </si>
  <si>
    <t>Thông tin hiển thị các Screening Field Name, Screening Field XPath tương ứng theo từng webservice đảm bảo đủ, đúng theo yêu cầu, có trạng thái Enable = Yes, bao gồm:
/Document/CstMsg/TxInf/Debtor/Name
/Document/CstMsg/TxInf/Creditor/Name
/Document/CstMsg/TxInf/InvolvedParty[..]/Name
/Document/CstMsg/TxInf/BeneficiaryBank/Name
/Document/CstMsg/TxInf/InvolvedBank[..]/Name
/Document/CstMsg/TxInf/Transportation/Name</t>
  </si>
  <si>
    <t>3rd Test Results</t>
  </si>
  <si>
    <t>Kiểm tra cấu hình sàng lọc trường dữ liệu với chủ thể đối với điện MT195</t>
  </si>
  <si>
    <t>MT195_Config_EDQ.01</t>
  </si>
  <si>
    <t>Kiểm tra các trường sàng lọc Narrative theo tất cả chủ thể</t>
  </si>
  <si>
    <t>1. NSD đăng nhập EDQ Director bằng user được phân quyền
2. NSD truy cập theo đường dẫn Project/Transaction_Screening/ Reference Data/ MSB_TYPE_FOR_OBJ
3. Kiểm tra danh sách các trường được config với Type = "MT195" Webservice_Name = 4 và ENTITY = 'ALL'</t>
  </si>
  <si>
    <t>3. Các trường config bao gồm:
75
77A
79
Additional data</t>
  </si>
  <si>
    <t>MT195_Config_EDQ.02</t>
  </si>
  <si>
    <t>Kiểm tra các trường sàng lọc Name and Address theo chủ thể Entity</t>
  </si>
  <si>
    <t>1. NSD đăng nhập EDQ Director bằng user được phân quyền
2. NSD truy cập theo đường dẫn Project/Transaction_Screening/ Reference Data/ MSB_TYPE_FOR_OBJ
3. Kiểm tra danh sách các trường được config với Type = "MT195" Webservice_Name = 1 và ENTITY = 'ENT'</t>
  </si>
  <si>
    <t>3. Các trường config bao gồm:
Basic Header Block
Application Header - Input
Application Header - Output</t>
  </si>
  <si>
    <t>MT195_Config_EDQ.03</t>
  </si>
  <si>
    <t>Kiểm tra các trường sàng lọc Identifier theo chủ thể Entity</t>
  </si>
  <si>
    <t>1. NSD đăng nhập EDQ Director bằng user được phân quyền
2. NSD truy cập theo đường dẫn Project/Transaction_Screening/ Reference Data/ MSB_TYPE_FOR_OBJ
3. Kiểm tra danh sách các trường được config với Type = "MT195" Webservice_Name = 2 và ENTITY = 'ENT'</t>
  </si>
  <si>
    <t>MT195_Config_EDQ.04</t>
  </si>
  <si>
    <t>Kiểm tra các trường sàng lọc Country</t>
  </si>
  <si>
    <t>1. NSD đăng nhập EDQ Director bằng user được phân quyền
2. NSD truy cập theo đường dẫn Project/Transaction_Screening/ Reference Data/ MSB_TYPE_FOR_OBJ
3. Kiểm tra danh sách các trường được config với Type = "MT195" Webservice_Name = 3 và ENTITY = 'All'</t>
  </si>
  <si>
    <t>Kiểm tra cấu hình sàng lọc trường dữ liệu với chủ thể đối với điện MT196</t>
  </si>
  <si>
    <t>MT196_Config_EDQ.01</t>
  </si>
  <si>
    <t>1. NSD đăng nhập EDQ Director bằng user được phân quyền
2. NSD truy cập theo đường dẫn Project/Transaction_Screening/ Reference Data/ MSB_TYPE_FOR_OBJ
3. Kiểm tra danh sách các trường được config với Type = "MT196" Webservice_Name = 4 và ENTITY = 'ALL'</t>
  </si>
  <si>
    <t>3. Các trường config bao gồm:
76
77A
79
Additional data</t>
  </si>
  <si>
    <t>MT196_Config_EDQ.02</t>
  </si>
  <si>
    <t>1. NSD đăng nhập EDQ Director bằng user được phân quyền
2. NSD truy cập theo đường dẫn Project/Transaction_Screening/ Reference Data/ MSB_TYPE_FOR_OBJ
3. Kiểm tra danh sách các trường được config với Type = "MT196" Webservice_Name = 1 và ENTITY = 'ENT'</t>
  </si>
  <si>
    <t>MT196_Config_EDQ.03</t>
  </si>
  <si>
    <t>1. NSD đăng nhập EDQ Director bằng user được phân quyền
2. NSD truy cập theo đường dẫn Project/Transaction_Screening/ Reference Data/ MSB_TYPE_FOR_OBJ
3. Kiểm tra danh sách các trường được config với Type = "MT196" Webservice_Name = 2 và ENTITY = 'ENT'</t>
  </si>
  <si>
    <t>MT196_Config_EDQ.04</t>
  </si>
  <si>
    <t>1. NSD đăng nhập EDQ Director bằng user được phân quyền
2. NSD truy cập theo đường dẫn Project/Transaction_Screening/ Reference Data/ MSB_TYPE_FOR_OBJ
3. Kiểm tra danh sách các trường được config với Type = "MT196" Webservice_Name = 3 và ENTITY = 'All'</t>
  </si>
  <si>
    <t>Kiểm tra cấu hình sàng lọc trường dữ liệu với chủ thể đối với điện MT199</t>
  </si>
  <si>
    <t>MT199_Config_EDQ.01</t>
  </si>
  <si>
    <t>1. NSD đăng nhập EDQ Director bằng user được phân quyền
2. NSD truy cập theo đường dẫn Project/Transaction_Screening/ Reference Data/ MSB_TYPE_FOR_OBJ
3. Kiểm tra danh sách các trường được config với Type = "MT199" Webservice_Name = 4 và ENTITY = 'ALL'</t>
  </si>
  <si>
    <t>3. Các trường config bao gồm:
79
Additional data</t>
  </si>
  <si>
    <t>MT199_Config_EDQ.02</t>
  </si>
  <si>
    <t>1. NSD đăng nhập EDQ Director bằng user được phân quyền
2. NSD truy cập theo đường dẫn Project/Transaction_Screening/ Reference Data/ MSB_TYPE_FOR_OBJ
3. Kiểm tra danh sách các trường được config với Type = "MT199" Webservice_Name = 1 và ENTITY = 'ENT'</t>
  </si>
  <si>
    <t>MT199_Config_EDQ.03</t>
  </si>
  <si>
    <t>1. NSD đăng nhập EDQ Director bằng user được phân quyền
2. NSD truy cập theo đường dẫn Project/Transaction_Screening/ Reference Data/ MSB_TYPE_FOR_OBJ
3. Kiểm tra danh sách các trường được config với Type = "MT199" Webservice_Name = 2 và ENTITY = 'ENT'</t>
  </si>
  <si>
    <t>MT199_Config_EDQ.04</t>
  </si>
  <si>
    <t>1. NSD đăng nhập EDQ Director bằng user được phân quyền
2. NSD truy cập theo đường dẫn Project/Transaction_Screening/ Reference Data/ MSB_TYPE_FOR_OBJ
3. Kiểm tra danh sách các trường được config với Type = "MT760" Webservice_Name = 3 và ENTITY = 'All'</t>
  </si>
  <si>
    <t>Kiểm tra cấu hình sàng lọc trường dữ liệu với chủ thể đối với điện MT295</t>
  </si>
  <si>
    <t>MT295_Config_EDQ.01</t>
  </si>
  <si>
    <t>1. NSD đăng nhập EDQ Director bằng user được phân quyền
2. NSD truy cập theo đường dẫn Project/Transaction_Screening/ Reference Data/ MSB_TYPE_FOR_OBJ
3. Kiểm tra danh sách các trường được config với Type = "MT295" Webservice_Name = 4 và ENTITY = 'ALL'</t>
  </si>
  <si>
    <t>MT295_Config_EDQ.02</t>
  </si>
  <si>
    <t>1. NSD đăng nhập EDQ Director bằng user được phân quyền
2. NSD truy cập theo đường dẫn Project/Transaction_Screening/ Reference Data/ MSB_TYPE_FOR_OBJ
3. Kiểm tra danh sách các trường được config với Type = "MT295" Webservice_Name = 1 và ENTITY = 'ENT'</t>
  </si>
  <si>
    <t>MT295_Config_EDQ.03</t>
  </si>
  <si>
    <t>1. NSD đăng nhập EDQ Director bằng user được phân quyền
2. NSD truy cập theo đường dẫn Project/Transaction_Screening/ Reference Data/ MSB_TYPE_FOR_OBJ
3. Kiểm tra danh sách các trường được config với Type = "MT295" Webservice_Name = 2 và ENTITY = 'ENT'</t>
  </si>
  <si>
    <t>MT295_Config_EDQ.04</t>
  </si>
  <si>
    <t>1. NSD đăng nhập EDQ Director bằng user được phân quyền
2. NSD truy cập theo đường dẫn Project/Transaction_Screening/ Reference Data/ MSB_TYPE_FOR_OBJ
3. Kiểm tra danh sách các trường được config với Type = "MT295" Webservice_Name = 3 và ENTITY = 'All'</t>
  </si>
  <si>
    <t>Kiểm tra cấu hình sàng lọc trường dữ liệu với chủ thể đối với điện MT296</t>
  </si>
  <si>
    <t>MT296_Config_EDQ.01</t>
  </si>
  <si>
    <t>1. NSD đăng nhập EDQ Director bằng user được phân quyền
2. NSD truy cập theo đường dẫn Project/Transaction_Screening/ Reference Data/ MSB_TYPE_FOR_OBJ
3. Kiểm tra danh sách các trường được config với Type = "MT296" Webservice_Name = 4 và ENTITY = 'ALL'</t>
  </si>
  <si>
    <t>MT296_Config_EDQ.02</t>
  </si>
  <si>
    <t>1. NSD đăng nhập EDQ Director bằng user được phân quyền
2. NSD truy cập theo đường dẫn Project/Transaction_Screening/ Reference Data/ MSB_TYPE_FOR_OBJ
3. Kiểm tra danh sách các trường được config với Type = "MT296" Webservice_Name = 1 và ENTITY = 'ENT'</t>
  </si>
  <si>
    <t>MT296_Config_EDQ.03</t>
  </si>
  <si>
    <t>1. NSD đăng nhập EDQ Director bằng user được phân quyền
2. NSD truy cập theo đường dẫn Project/Transaction_Screening/ Reference Data/ MSB_TYPE_FOR_OBJ
3. Kiểm tra danh sách các trường được config với Type = "MT296" Webservice_Name = 2 và ENTITY = 'ENT'</t>
  </si>
  <si>
    <t>MT296_Config_EDQ.04</t>
  </si>
  <si>
    <t>1. NSD đăng nhập EDQ Director bằng user được phân quyền
2. NSD truy cập theo đường dẫn Project/Transaction_Screening/ Reference Data/ MSB_TYPE_FOR_OBJ
3. Kiểm tra danh sách các trường được config với Type = "MT296" Webservice_Name = 3 và ENTITY = 'All'</t>
  </si>
  <si>
    <t>Kiểm tra cấu hình sàng lọc trường dữ liệu với chủ thể đối với điện MT299</t>
  </si>
  <si>
    <t>MT299_Config_EDQ.01</t>
  </si>
  <si>
    <t>1. NSD đăng nhập EDQ Director bằng user được phân quyền
2. NSD truy cập theo đường dẫn Project/Transaction_Screening/ Reference Data/ MSB_TYPE_FOR_OBJ
3. Kiểm tra danh sách các trường được config với Type = "MT299" Webservice_Name = 4 và ENTITY = 'ALL'</t>
  </si>
  <si>
    <t>3. Các trường config bao gồm:
79</t>
  </si>
  <si>
    <t>MT299_Config_EDQ.02</t>
  </si>
  <si>
    <t>1. NSD đăng nhập EDQ Director bằng user được phân quyền
2. NSD truy cập theo đường dẫn Project/Transaction_Screening/ Reference Data/ MSB_TYPE_FOR_OBJ
3. Kiểm tra danh sách các trường được config với Type = "MT299" Webservice_Name = 1 và ENTITY = 'ENT'</t>
  </si>
  <si>
    <t>MT299_Config_EDQ.03</t>
  </si>
  <si>
    <t>1. NSD đăng nhập EDQ Director bằng user được phân quyền
2. NSD truy cập theo đường dẫn Project/Transaction_Screening/ Reference Data/ MSB_TYPE_FOR_OBJ
3. Kiểm tra danh sách các trường được config với Type = "MT299" Webservice_Name = 2 và ENTITY = 'ENT'</t>
  </si>
  <si>
    <t>MT299_Config_EDQ.04</t>
  </si>
  <si>
    <t>1. NSD đăng nhập EDQ Director bằng user được phân quyền
2. NSD truy cập theo đường dẫn Project/Transaction_Screening/ Reference Data/ MSB_TYPE_FOR_OBJ
3. Kiểm tra danh sách các trường được config với Type = "MT299" Webservice_Name = 3 và ENTITY = 'All'</t>
  </si>
  <si>
    <t>Kiểm tra cấu hình sàng lọc trường dữ liệu với chủ thể đối với điện MT499</t>
  </si>
  <si>
    <t>MT499_Config_EDQ.01</t>
  </si>
  <si>
    <t>1. NSD đăng nhập EDQ Director bằng user được phân quyền
2. NSD truy cập theo đường dẫn Project/Transaction_Screening/ Reference Data/ MSB_TYPE_FOR_OBJ
3. Kiểm tra danh sách các trường được config với Type = "MT499" Webservice_Name = 4 và ENTITY = 'ALL'</t>
  </si>
  <si>
    <t>MT499_Config_EDQ.02</t>
  </si>
  <si>
    <t>1. NSD đăng nhập EDQ Director bằng user được phân quyền
2. NSD truy cập theo đường dẫn Project/Transaction_Screening/ Reference Data/ MSB_TYPE_FOR_OBJ
3. Kiểm tra danh sách các trường được config với Type = "MT499" Webservice_Name = 1 và ENTITY = 'ENT'</t>
  </si>
  <si>
    <t>MT499_Config_EDQ.03</t>
  </si>
  <si>
    <t>1. NSD đăng nhập EDQ Director bằng user được phân quyền
2. NSD truy cập theo đường dẫn Project/Transaction_Screening/ Reference Data/ MSB_TYPE_FOR_OBJ
3. Kiểm tra danh sách các trường được config với Type = "MT499" Webservice_Name = 2 và ENTITY = 'ENT'</t>
  </si>
  <si>
    <t>MT499_Config_EDQ.04</t>
  </si>
  <si>
    <t>1. NSD đăng nhập EDQ Director bằng user được phân quyền
2. NSD truy cập theo đường dẫn Project/Transaction_Screening/ Reference Data/ MSB_TYPE_FOR_OBJ
3. Kiểm tra danh sách các trường được config với Type = "MT499" Webservice_Name = 3 và ENTITY = 'All'</t>
  </si>
  <si>
    <t>Kiểm tra cấu hình sàng lọc trường dữ liệu với chủ thể đối với điện MT799</t>
  </si>
  <si>
    <t>MT799_Config_EDQ.01</t>
  </si>
  <si>
    <t>1. NSD đăng nhập EDQ Director bằng user được phân quyền
2. NSD truy cập theo đường dẫn Project/Transaction_Screening/ Reference Data/ MSB_TYPE_FOR_OBJ
3. Kiểm tra danh sách các trường được config với Type = "MT799" Webservice_Name = 4 và ENTITY = 'ALL'</t>
  </si>
  <si>
    <t>MT799_Config_EDQ.02</t>
  </si>
  <si>
    <t>1. NSD đăng nhập EDQ Director bằng user được phân quyền
2. NSD truy cập theo đường dẫn Project/Transaction_Screening/ Reference Data/ MSB_TYPE_FOR_OBJ
3. Kiểm tra danh sách các trường được config với Type = "MT799" Webservice_Name = 1 và ENTITY = 'ENT'</t>
  </si>
  <si>
    <t>MT799_Config_EDQ.03</t>
  </si>
  <si>
    <t>1. NSD đăng nhập EDQ Director bằng user được phân quyền
2. NSD truy cập theo đường dẫn Project/Transaction_Screening/ Reference Data/ MSB_TYPE_FOR_OBJ
3. Kiểm tra danh sách các trường được config với Type = "MT799" Webservice_Name = 2 và ENTITY = 'ENT'</t>
  </si>
  <si>
    <t>MT799_Config_EDQ.04</t>
  </si>
  <si>
    <t>1. NSD đăng nhập EDQ Director bằng user được phân quyền
2. NSD truy cập theo đường dẫn Project/Transaction_Screening/ Reference Data/ MSB_TYPE_FOR_OBJ
3. Kiểm tra danh sách các trường được config với Type = "MT799" Webservice_Name = 3 và ENTITY = 'All'</t>
  </si>
  <si>
    <t>Kiểm tra cấu hình sàng lọc trường dữ liệu với chủ thể đối với điện MT700</t>
  </si>
  <si>
    <t>MT700_Config_EDQ.01</t>
  </si>
  <si>
    <t>1. NSD đăng nhập EDQ Director bằng user được phân quyền
2. NSD truy cập theo đường dẫn Project/Transaction_Screening/ Reference Data/ MSB_TYPE_FOR_OBJ
3. Kiểm tra danh sách các trường được config với Type = "MT700" Webservice_Name = 1 và ENTITY = 'ENT'</t>
  </si>
  <si>
    <t>3. Các trường config bao gồm:
Basic Header Block
Application Header - Input
Application Header - Output
41A
41D
42A
42D
50
51A
51D
53A
53D
57A
57D
58A
58D
59</t>
  </si>
  <si>
    <t>MT700_Config_EDQ.02</t>
  </si>
  <si>
    <t>1. NSD đăng nhập EDQ Director bằng user được phân quyền
2. NSD truy cập theo đường dẫn Project/Transaction_Screening/ Reference Data/ MSB_TYPE_FOR_OBJ
3. Kiểm tra danh sách các trường được config với Type = "MT700" Webservice_Name = 2 và ENTITY = 'ENT'</t>
  </si>
  <si>
    <t>3. Các trường config bao gồm:
Basic Header Block
Application Header - Input
Application Header - Output
41A
42A
42D
51A
51D
53A
53D
57A
57B
57D
58A
58D</t>
  </si>
  <si>
    <t>MT700_Config_EDQ.04</t>
  </si>
  <si>
    <t>Kiểm tra các trường sàng lọc Narrative theo chủ thể Port</t>
  </si>
  <si>
    <t>1. NSD đăng nhập EDQ Director bằng user được phân quyền
2. NSD truy cập theo đường dẫn Project/Transaction_Screening/ Reference Data/ MSB_TYPE_FOR_OBJ
3. Kiểm tra danh sách các trường được config với Type = "MT700" Webservice_Name = 4 và ENTITY = 'POR'</t>
  </si>
  <si>
    <t>3. Các trường config bao gồm:
44A
44B
44E
44F</t>
  </si>
  <si>
    <t>MT700_Config_EDQ.05</t>
  </si>
  <si>
    <t>1. NSD đăng nhập EDQ Director bằng user được phân quyền
2. NSD truy cập theo đường dẫn Project/Transaction_Screening/ Reference Data/ MSB_TYPE_FOR_OBJ
3. Kiểm tra danh sách các trường được config với Type = "MT700" Webservice_Name = 4 và ENTITY = 'ALL'</t>
  </si>
  <si>
    <t>3. Các trường config bao gồm:
42M
42P
46A
47A
49G
49H
71D
72Z
78
45A</t>
  </si>
  <si>
    <t>MT700_Config_EDQ.06</t>
  </si>
  <si>
    <t>Kiểm tra các trường sàng lọc Port</t>
  </si>
  <si>
    <t>1. NSD đăng nhập EDQ Director bằng user được phân quyền
2. NSD truy cập theo đường dẫn Project/Transaction_Screening/ Reference Data/ MSB_TYPE_FOR_OBJ
3. Kiểm tra danh sách các trường được config với Type = "MT700" Webservice_Name = 5 và ENTITY = 'All'</t>
  </si>
  <si>
    <t>Kiểm tra cấu hình sàng lọc trường dữ liệu với chủ thể đối với điện MT701</t>
  </si>
  <si>
    <t>MT701_Config_EDQ.02</t>
  </si>
  <si>
    <t>1. NSD đăng nhập EDQ Director bằng user được phân quyền
2. NSD truy cập theo đường dẫn Project/Transaction_Screening/ Reference Data/ MSB_TYPE_FOR_OBJ
3. Kiểm tra danh sách các trường được config với Type = "MT701" Webservice_Name = 4 và ENTITY = 'ALL'</t>
  </si>
  <si>
    <t>3. Các trường config bao gồm:
46A
47A
49G
49H
45A</t>
  </si>
  <si>
    <t>MT701_Config_EDQ.03</t>
  </si>
  <si>
    <t>1. NSD đăng nhập EDQ Director bằng user được phân quyền
2. NSD truy cập theo đường dẫn Project/Transaction_Screening/ Reference Data/ MSB_TYPE_FOR_OBJ
3. Kiểm tra danh sách các trường được config với Type = "MT701" Webservice_Name = 1 và ENTITY = 'ENT'</t>
  </si>
  <si>
    <t>MT701_Config_EDQ.04</t>
  </si>
  <si>
    <t>1. NSD đăng nhập EDQ Director bằng user được phân quyền
2. NSD truy cập theo đường dẫn Project/Transaction_Screening/ Reference Data/ MSB_TYPE_FOR_OBJ
3. Kiểm tra danh sách các trường được config với Type = "MT701" Webservice_Name = 2 và ENTITY = 'ENT'</t>
  </si>
  <si>
    <t>MT701_Config_EDQ.05</t>
  </si>
  <si>
    <t>1. NSD đăng nhập EDQ Director bằng user được phân quyền
2. NSD truy cập theo đường dẫn Project/Transaction_Screening/ Reference Data/ MSB_TYPE_FOR_OBJ
3. Kiểm tra danh sách các trường được config với Type = "MT701" Webservice_Name = 3 và ENTITY = 'All'</t>
  </si>
  <si>
    <t>Kiểm tra cấu hình sàng lọc trường dữ liệu với chủ thể đối với điện MT707</t>
  </si>
  <si>
    <t>MT707_Config_EDQ.01</t>
  </si>
  <si>
    <t>1. NSD đăng nhập EDQ Director bằng user được phân quyền
2. NSD truy cập theo đường dẫn Project/Transaction_Screening/ Reference Data/ MSB_TYPE_FOR_OBJ
3. Kiểm tra danh sách các trường được config với Type = "MT707" Webservice_Name = 1 và ENTITY = 'ENT'</t>
  </si>
  <si>
    <t>3. Các trường config bao gồm:
Basic Header Block
Application Header - Input
Application Header - Output
41A
41D
42A
42D
50
50B
52A
52D
53A
53D
57A
57D
58A
58D
59</t>
  </si>
  <si>
    <t>MT707_Config_EDQ.02</t>
  </si>
  <si>
    <t>1. NSD đăng nhập EDQ Director bằng user được phân quyền
2. NSD truy cập theo đường dẫn Project/Transaction_Screening/ Reference Data/ MSB_TYPE_FOR_OBJ
3. Kiểm tra danh sách các trường được config với Type = "MT707" Webservice_Name = 2 và ENTITY = 'ENT'</t>
  </si>
  <si>
    <t>3. Các trường config bao gồm:
Basic Header Block
Application Header - Input
Application Header - Output
41A
42A
42D
52A
52D
53A
53D
57A
57B
57D
58A
58D</t>
  </si>
  <si>
    <t>MT707_Config_EDQ.04</t>
  </si>
  <si>
    <t>1. NSD đăng nhập EDQ Director bằng user được phân quyền
2. NSD truy cập theo đường dẫn Project/Transaction_Screening/ Reference Data/ MSB_TYPE_FOR_OBJ
3. Kiểm tra danh sách các trường được config với Type = "MT707" Webservice_Name = 4 và ENTITY = 'POR'</t>
  </si>
  <si>
    <t>MT707_Config_EDQ.05</t>
  </si>
  <si>
    <t>1. NSD đăng nhập EDQ Director bằng user được phân quyền
2. NSD truy cập theo đường dẫn Project/Transaction_Screening/ Reference Data/ MSB_TYPE_FOR_OBJ
3. Kiểm tra danh sách các trường được config với Type = "MT707" Webservice_Name = 4 và ENTITY = 'ALL'</t>
  </si>
  <si>
    <t>3. Các trường config bao gồm:
42M
42P
46B
47B
49M
49N
71D
71N
72Z
78
45B</t>
  </si>
  <si>
    <t>MT707_Config_EDQ.06</t>
  </si>
  <si>
    <t>1. NSD đăng nhập EDQ Director bằng user được phân quyền
2. NSD truy cập theo đường dẫn Project/Transaction_Screening/ Reference Data/ MSB_TYPE_FOR_OBJ
3. Kiểm tra danh sách các trường được config với Type = "MT707" Webservice_Name = 5 và ENTITY = 'All'</t>
  </si>
  <si>
    <t>Kiểm tra cấu hình sàng lọc trường dữ liệu với chủ thể đối với điện MT710</t>
  </si>
  <si>
    <t>MT710_Config_EDQ.01</t>
  </si>
  <si>
    <t>1. NSD đăng nhập EDQ Director bằng user được phân quyền
2. NSD truy cập theo đường dẫn Project/Transaction_Screening/ Reference Data/ MSB_TYPE_FOR_OBJ
3. Kiểm tra danh sách các trường được config với Type = "MT710" Webservice_Name = 1 và ENTITY = 'ENT'</t>
  </si>
  <si>
    <t>3. Các trường config bao gồm:
Basic Header Block
Application Header - Input
Application Header - Output
41A
41D
42A
42D
50
50B
51A
51D
52A
52D
53A
53D
57A
57D
58A
58D
59</t>
  </si>
  <si>
    <t>MT710_Config_EDQ.02</t>
  </si>
  <si>
    <t>1. NSD đăng nhập EDQ Director bằng user được phân quyền
2. NSD truy cập theo đường dẫn Project/Transaction_Screening/ Reference Data/ MSB_TYPE_FOR_OBJ
3. Kiểm tra danh sách các trường được config với Type = "MT710" Webservice_Name = 2 và ENTITY = 'ENT'</t>
  </si>
  <si>
    <t>3. Các trường config bao gồm:
Basic Header Block
Application Header - Input
Application Header - Output
41A
42A
42D
51A
51D
52A
52D
53A
53D
57A
57B
57D
58A
58D</t>
  </si>
  <si>
    <t>MT710_Config_EDQ.04</t>
  </si>
  <si>
    <t>1. NSD đăng nhập EDQ Director bằng user được phân quyền
2. NSD truy cập theo đường dẫn Project/Transaction_Screening/ Reference Data/ MSB_TYPE_FOR_OBJ
3. Kiểm tra danh sách các trường được config với Type = "MT710" Webservice_Name = 4 và ENTITY = 'POR'</t>
  </si>
  <si>
    <t>MT710_Config_EDQ.05</t>
  </si>
  <si>
    <t>1. NSD đăng nhập EDQ Director bằng user được phân quyền
2. NSD truy cập theo đường dẫn Project/Transaction_Screening/ Reference Data/ MSB_TYPE_FOR_OBJ
3. Kiểm tra danh sách các trường được config với Type = "MT710" Webservice_Name = 4 và ENTITY = 'ALL'</t>
  </si>
  <si>
    <t>3. Các trường config bao gồm:
42M
42P
46A
47A
49G
49H
71D
72Z
78
78D
45A</t>
  </si>
  <si>
    <t>MT710_Config_EDQ.06</t>
  </si>
  <si>
    <t>1. NSD đăng nhập EDQ Director bằng user được phân quyền
2. NSD truy cập theo đường dẫn Project/Transaction_Screening/ Reference Data/ MSB_TYPE_FOR_OBJ
3. Kiểm tra danh sách các trường được config với Type = "MT710" Webservice_Name = 5 và ENTITY = 'All'</t>
  </si>
  <si>
    <t>Kiểm tra cấu hình sàng lọc trường dữ liệu với chủ thể đối với điện MT711</t>
  </si>
  <si>
    <t>MT711_Config_EDQ.02</t>
  </si>
  <si>
    <t>1. NSD đăng nhập EDQ Director bằng user được phân quyền
2. NSD truy cập theo đường dẫn Project/Transaction_Screening/ Reference Data/ MSB_TYPE_FOR_OBJ
3. Kiểm tra danh sách các trường được config với Type = "MT711" Webservice_Name = 4 và ENTITY = 'ALL'</t>
  </si>
  <si>
    <t>MT711_Config_EDQ.03</t>
  </si>
  <si>
    <t>1. NSD đăng nhập EDQ Director bằng user được phân quyền
2. NSD truy cập theo đường dẫn Project/Transaction_Screening/ Reference Data/ MSB_TYPE_FOR_OBJ
3. Kiểm tra danh sách các trường được config với Type = "MT711" Webservice_Name = 1 và ENTITY = 'ENT'</t>
  </si>
  <si>
    <t>MT711_Config_EDQ.04</t>
  </si>
  <si>
    <t>1. NSD đăng nhập EDQ Director bằng user được phân quyền
2. NSD truy cập theo đường dẫn Project/Transaction_Screening/ Reference Data/ MSB_TYPE_FOR_OBJ
3. Kiểm tra danh sách các trường được config với Type = "MT711" Webservice_Name = 2 và ENTITY = 'ENT'</t>
  </si>
  <si>
    <t>Kiểm tra cấu hình sàng lọc trường dữ liệu với chủ thể đối với điện MT720</t>
  </si>
  <si>
    <t>MT720_Config_EDQ.01</t>
  </si>
  <si>
    <t>1. NSD đăng nhập EDQ Director bằng user được phân quyền
2. NSD truy cập theo đường dẫn Project/Transaction_Screening/ Reference Data/ MSB_TYPE_FOR_OBJ
3. Kiểm tra danh sách các trường được config với Type = "MT720" Webservice_Name = 1 và ENTITY = 'ENT'</t>
  </si>
  <si>
    <t>3. Các trường config bao gồm:
Basic Header Block
Application Header - Input
Application Header - Output
41A
41D
42A
42D
50
50B
52A
52D
57A
57D
58A
58D
59</t>
  </si>
  <si>
    <t>CẤU HÌNH THIẾU TAG '59'</t>
  </si>
  <si>
    <t>MT720_Config_EDQ.02</t>
  </si>
  <si>
    <t>1. NSD đăng nhập EDQ Director bằng user được phân quyền
2. NSD truy cập theo đường dẫn Project/Transaction_Screening/ Reference Data/ MSB_TYPE_FOR_OBJ
3. Kiểm tra danh sách các trường được config với Type = "MT720" Webservice_Name = 2 và ENTITY = 'ENT'</t>
  </si>
  <si>
    <t>3. Các trường config bao gồm:
Basic Header Block
Application Header - Input
Application Header - Output
41A
42A
42D
52A
52D
57A
57B
57D
58A
58D</t>
  </si>
  <si>
    <t>MT720_Config_EDQ.04</t>
  </si>
  <si>
    <t>1. NSD đăng nhập EDQ Director bằng user được phân quyền
2. NSD truy cập theo đường dẫn Project/Transaction_Screening/ Reference Data/ MSB_TYPE_FOR_OBJ
3. Kiểm tra danh sách các trường được config với Type = "MT720" Webservice_Name = 4 và ENTITY = 'POR'</t>
  </si>
  <si>
    <t>MT720_Config_EDQ.05</t>
  </si>
  <si>
    <t>1. NSD đăng nhập EDQ Director bằng user được phân quyền
2. NSD truy cập theo đường dẫn Project/Transaction_Screening/ Reference Data/ MSB_TYPE_FOR_OBJ
3. Kiểm tra danh sách các trường được config với Type = "MT720" Webservice_Name = 4 và ENTITY = 'ALL'</t>
  </si>
  <si>
    <t>MT720_Config_EDQ.06</t>
  </si>
  <si>
    <t>1. NSD đăng nhập EDQ Director bằng user được phân quyền
2. NSD truy cập theo đường dẫn Project/Transaction_Screening/ Reference Data/ MSB_TYPE_FOR_OBJ
3. Kiểm tra danh sách các trường được config với Type = "MT720" Webservice_Name = 5 và ENTITY = 'All'</t>
  </si>
  <si>
    <t>Kiểm tra cấu hình sàng lọc trường dữ liệu với chủ thể đối với điện MT740</t>
  </si>
  <si>
    <t>MT740_Config_EDQ.01</t>
  </si>
  <si>
    <t>1. NSD đăng nhập EDQ Director bằng user được phân quyền
2. NSD truy cập theo đường dẫn Project/Transaction_Screening/ Reference Data/ MSB_TYPE_FOR_OBJ
3. Kiểm tra danh sách các trường được config với Type = "MT740" Webservice_Name = 1 và ENTITY = 'ENT'</t>
  </si>
  <si>
    <t>3. Các trường config bao gồm:
Basic Header Block
Application Header - Input
Application Header - Output
41A
41D
42A
42D
58A
58D
59</t>
  </si>
  <si>
    <t>MT740_Config_EDQ.02</t>
  </si>
  <si>
    <t>1. NSD đăng nhập EDQ Director bằng user được phân quyền
2. NSD truy cập theo đường dẫn Project/Transaction_Screening/ Reference Data/ MSB_TYPE_FOR_OBJ
3. Kiểm tra danh sách các trường được config với Type = "MT740" Webservice_Name = 2 và ENTITY = 'ENT'</t>
  </si>
  <si>
    <t>3. Các trường config bao gồm:
Basic Header Block
Application Header - Input
Application Header - Output
41A
42A
42D
58A
58D</t>
  </si>
  <si>
    <t>MT740_Config_EDQ.03</t>
  </si>
  <si>
    <t>1. NSD đăng nhập EDQ Director bằng user được phân quyền
2. NSD truy cập theo đường dẫn Project/Transaction_Screening/ Reference Data/ MSB_TYPE_FOR_OBJ
3. Kiểm tra danh sách các trường được config với Type = "MT740" Webservice_Name = 4 và ENTITY = 'ALL'</t>
  </si>
  <si>
    <t>3. Các trường config bao gồm:
42M
42P
71D
72Z</t>
  </si>
  <si>
    <t>Kiểm tra cấu hình sàng lọc trường dữ liệu với chủ thể đối với điện MT742</t>
  </si>
  <si>
    <t>MT742_Config_EDQ.01</t>
  </si>
  <si>
    <t>1. NSD đăng nhập EDQ Director bằng user được phân quyền
2. NSD truy cập theo đường dẫn Project/Transaction_Screening/ Reference Data/ MSB_TYPE_FOR_OBJ
3. Kiểm tra danh sách các trường được config với Type = "MT742" Webservice_Name = 1 và ENTITY = 'ENT'</t>
  </si>
  <si>
    <t>3. Các trường config bao gồm:
Basic Header Block
Application Header - Input
Application Header - Output
52A
52D
57A
57D
58A
58D</t>
  </si>
  <si>
    <t>MT742_Config_EDQ.02</t>
  </si>
  <si>
    <t>1. NSD đăng nhập EDQ Director bằng user được phân quyền
2. NSD truy cập theo đường dẫn Project/Transaction_Screening/ Reference Data/ MSB_TYPE_FOR_OBJ
3. Kiểm tra danh sách các trường được config với Type = "MT742" Webservice_Name = 2 và ENTITY = 'ENT'</t>
  </si>
  <si>
    <t>3. Các trường config bao gồm:
Basic Header Block
Application Header - Input
Application Header - Output
52A
52D
57A
57B
57D
58A
58D</t>
  </si>
  <si>
    <t>MT742_Config_EDQ.03</t>
  </si>
  <si>
    <t>1. NSD đăng nhập EDQ Director bằng user được phân quyền
2. NSD truy cập theo đường dẫn Project/Transaction_Screening/ Reference Data/ MSB_TYPE_FOR_OBJ
3. Kiểm tra danh sách các trường được config với Type = "MT742" Webservice_Name = 4 và ENTITY = 'ALL'</t>
  </si>
  <si>
    <t>3. Các trường config bao gồm:
71D
72Z</t>
  </si>
  <si>
    <t>Kiểm tra cấu hình sàng lọc trường dữ liệu với chủ thể đối với điện MT747</t>
  </si>
  <si>
    <t>MT747_Config_EDQ.01</t>
  </si>
  <si>
    <t>1. NSD đăng nhập EDQ Director bằng user được phân quyền
2. NSD truy cập theo đường dẫn Project/Transaction_Screening/ Reference Data/ MSB_TYPE_FOR_OBJ
3. Kiểm tra danh sách các trường được config với Type = "MT747" Webservice_Name = 4 và ENTITY = 'ALL'</t>
  </si>
  <si>
    <t>3. Các trường config bao gồm:
72Z
77</t>
  </si>
  <si>
    <t>MT747_Config_EDQ.02</t>
  </si>
  <si>
    <t>1. NSD đăng nhập EDQ Director bằng user được phân quyền
2. NSD truy cập theo đường dẫn Project/Transaction_Screening/ Reference Data/ MSB_TYPE_FOR_OBJ
3. Kiểm tra danh sách các trường được config với Type = "MT747" Webservice_Name = 1 và ENTITY = 'ENT'</t>
  </si>
  <si>
    <t>MT747_Config_EDQ.03</t>
  </si>
  <si>
    <t>1. NSD đăng nhập EDQ Director bằng user được phân quyền
2. NSD truy cập theo đường dẫn Project/Transaction_Screening/ Reference Data/ MSB_TYPE_FOR_OBJ
3. Kiểm tra danh sách các trường được config với Type = "MT747" Webservice_Name = 2 và ENTITY = 'ENT'</t>
  </si>
  <si>
    <t>Kiểm tra cấu hình sàng lọc trường dữ liệu với chủ thể đối với điện MT760</t>
  </si>
  <si>
    <t>MT760_Config_EDQ.01</t>
  </si>
  <si>
    <t>1. NSD đăng nhập EDQ Director bằng user được phân quyền
2. NSD truy cập theo đường dẫn Project/Transaction_Screening/ Reference Data/ MSB_TYPE_FOR_OBJ
3. Kiểm tra danh sách các trường được config với Type = "MT760" Webservice_Name = 1 và ENTITY = 'ENT'</t>
  </si>
  <si>
    <t>3. Các trường config bao gồm:
Basic Header Block
Application Header - Input
Application Header - Output
24G(Sequence B)
24G(Sequence C)
41F(Sequence B)
41F(Sequence C)
41G(Sequence B)
41G(Sequence C)
50(Sequence B)
50(Sequence C)
51(Sequence B)
51(Sequence C)
52A(Sequence B)
52A(Sequence C)
52D(Sequence B)
52D(Sequence C)
56A(Sequence B)
56D(Sequence B)
57A(Sequence B)
57A(Sequence C)
57D(Sequence B)
57D(Sequence C)
58A(Sequence B)
58D(Sequence B)
59A(Sequence B)
59(Sequence B)
59(Sequence C)</t>
  </si>
  <si>
    <t>MT760_Config_EDQ.02</t>
  </si>
  <si>
    <t>Kiểm tra các trường sàng lọc Name and Address theo chủ thể Individual</t>
  </si>
  <si>
    <t>1. NSD đăng nhập EDQ Director bằng user được phân quyền
2. NSD truy cập theo đường dẫn Project/Transaction_Screening/ Reference Data/ MSB_TYPE_FOR_OBJ
3. Kiểm tra danh sách các trường được config với Type = "MT760" Webservice_Name = 1 và ENTITY = 'IND'</t>
  </si>
  <si>
    <t>3. Các trường config bao gồm:
24G(Sequence B)
24G(Sequence C)</t>
  </si>
  <si>
    <t>MT760_Config_EDQ.03</t>
  </si>
  <si>
    <t>1. NSD đăng nhập EDQ Director bằng user được phân quyền
2. NSD truy cập theo đường dẫn Project/Transaction_Screening/ Reference Data/ MSB_TYPE_FOR_OBJ
3. Kiểm tra danh sách các trường được config với Type = "MT760" Webservice_Name = 2 và ENTITY = 'ENT'</t>
  </si>
  <si>
    <t>3. Các trường config bao gồm:
Basic Header Block
Application Header - Input
Application Header - Output
41F(Sequence B)
41F(Sequence C)
52A(Sequence B)
52A(Sequence C)
52D(Sequence B)
52D(Sequence C)
56A(Sequence B)
56D(Sequence B)
57A(Sequence B)
57A(Sequence C)
57D(Sequence B)
57D(Sequence C)
58A(Sequence B)
58D(Sequence B)
59A(Sequence B)</t>
  </si>
  <si>
    <t>MT760_Config_EDQ.04</t>
  </si>
  <si>
    <t>1. NSD đăng nhập EDQ Director bằng user được phân quyền
2. NSD truy cập theo đường dẫn Project/Transaction_Screening/ Reference Data/ MSB_TYPE_FOR_OBJ
3. Kiểm tra danh sách các trường được config với Type = "MT760" Webservice_Name = 4 và ENTITY = 'ALL'</t>
  </si>
  <si>
    <t>3. Các trường config bao gồm:
35G(Sequence B)
35G(Sequence C)
39E(Sequence B)
39E(Sequence C)
39F(Sequence B)
39F(Sequence C)
45C(Sequence B)
45C(Sequence C)
45L(Sequence B)
45L(Sequence C)
71D(Sequence B)
71D(Sequence C)
72Z(Sequence A)
77L(Sequence C)
77U(Sequence B)
78(Sequence B)
78(Sequence C)</t>
  </si>
  <si>
    <t>Kiểm tra cấu hình sàng lọc trường dữ liệu với chủ thể đối với điện MT767</t>
  </si>
  <si>
    <t>MT767_Config_EDQ.01</t>
  </si>
  <si>
    <t>1. NSD đăng nhập EDQ Director bằng user được phân quyền
2. NSD truy cập theo đường dẫn Project/Transaction_Screening/ Reference Data/ MSB_TYPE_FOR_OBJ
3. Kiểm tra danh sách các trường được config với Type = "MT767" Webservice_Name = 1 và ENTITY = 'ENT'</t>
  </si>
  <si>
    <t>3. Các trường config bao gồm:
Basic Header Block
Application Header - Input
Application Header - Output
24G(Sequence B)
24G(Sequence C)
52A(Sequence B)
52D(Sequence B)
59(Sequence B)
59(Sequence C)
59A(Sequence B)</t>
  </si>
  <si>
    <t>MT767_Config_EDQ.02</t>
  </si>
  <si>
    <t>1. NSD đăng nhập EDQ Director bằng user được phân quyền
2. NSD truy cập theo đường dẫn Project/Transaction_Screening/ Reference Data/ MSB_TYPE_FOR_OBJ
3. Kiểm tra danh sách các trường được config với Type = "MT767" Webservice_Name = 1 và ENTITY = 'IND'</t>
  </si>
  <si>
    <t>MT767_Config_EDQ.03</t>
  </si>
  <si>
    <t>1. NSD đăng nhập EDQ Director bằng user được phân quyền
2. NSD truy cập theo đường dẫn Project/Transaction_Screening/ Reference Data/ MSB_TYPE_FOR_OBJ
3. Kiểm tra danh sách các trường được config với Type = "MT767" Webservice_Name = 2 và ENTITY = 'ENT'</t>
  </si>
  <si>
    <t>3. Các trường config bao gồm:
Basic Header Block
Application Header - Input
Application Header - Output
52A(Sequence B)
52D(Sequence B)
59A(Sequence B)</t>
  </si>
  <si>
    <t>MT767_Config_EDQ.04</t>
  </si>
  <si>
    <t>1. NSD đăng nhập EDQ Director bằng user được phân quyền
2. NSD truy cập theo đường dẫn Project/Transaction_Screening/ Reference Data/ MSB_TYPE_FOR_OBJ
3. Kiểm tra danh sách các trường được config với Type = "MT767" Webservice_Name = 4 và ENTITY = 'ALL'</t>
  </si>
  <si>
    <t>3. Các trường config bao gồm:
35G(Sequence B)
35G(Sequence C)
72Z(Sequence A)
77L(Sequence C)
77U(Sequence B)</t>
  </si>
  <si>
    <t>Kiểm tra cấu hình sàng lọc trường dữ liệu với chủ thể đối với điện MT999</t>
  </si>
  <si>
    <t>MT999_Config_EDQ.01</t>
  </si>
  <si>
    <t>1. NSD đăng nhập EDQ Director bằng user được phân quyền
2. NSD truy cập theo đường dẫn Project/Transaction_Screening/ Reference Data/ MSB_TYPE_FOR_OBJ
3. Kiểm tra danh sách các trường được config với Type = "MT999" Webservice_Name = 4 và ENTITY = 'ALL'</t>
  </si>
  <si>
    <t>MT999_Config_EDQ.02</t>
  </si>
  <si>
    <t>1. NSD đăng nhập EDQ Director bằng user được phân quyền
2. NSD truy cập theo đường dẫn Project/Transaction_Screening/ Reference Data/ MSB_TYPE_FOR_OBJ
3. Kiểm tra danh sách các trường được config với Type = "MT999" Webservice_Name = 1 và ENTITY = 'ENT'</t>
  </si>
  <si>
    <t>MT999_Config_EDQ.03</t>
  </si>
  <si>
    <t>1. NSD đăng nhập EDQ Director bằng user được phân quyền
2. NSD truy cập theo đường dẫn Project/Transaction_Screening/ Reference Data/ MSB_TYPE_FOR_OBJ
3. Kiểm tra danh sách các trường được config với Type = "MT999" Webservice_Name = 2 và ENTITY = 'ENT'</t>
  </si>
  <si>
    <t>MT999_Config_EDQ.04</t>
  </si>
  <si>
    <t>1. NSD đăng nhập EDQ Director bằng user được phân quyền
2. NSD truy cập theo đường dẫn Project/Transaction_Screening/ Reference Data/ MSB_TYPE_FOR_OBJ
3. Kiểm tra danh sách các trường được config với Type = "MT999" Webservice_Name = 3 và ENTITY = 'All'</t>
  </si>
  <si>
    <t>Kiểm tra cấu hình sàng lọc trường dữ liệu với chủ thể đối với điện pacs.008</t>
  </si>
  <si>
    <t>pacs.008_Config_EDQ.01</t>
  </si>
  <si>
    <t>1. NSD đăng nhập EDQ Director bằng user được phân quyền
2. NSD truy cập theo đường dẫn Project/Transaction_Screening/ Reference Data/ MSB_TYPE_FOR_OBJ
3. Kiểm tra danh sách các trường được config với Type = "pacs.008.001.08" Webservice_Name = 1 và ENTITY = 'ENT'</t>
  </si>
  <si>
    <t>3. Các trường config bao gồm:
/Document/FIToFICstmrCdtTrf/GrpHdr/SttlmInf/InstgRmbrsmntAgt/FinInstnId/BICFI
/Document/FIToFICstmrCdtTrf/GrpHdr/SttlmInf/InstgRmbrsmntAgt/FinInstnId/Nm
/Document/FIToFICstmrCdtTrf/GrpHdr/SttlmInf/InstgRmbrsmntAgt/BrnchId/Id
/Document/FIToFICstmrCdtTrf/GrpHdr/SttlmInf/InstgRmbrsmntAgt/BrnchId/Nm
/Document/FIToFICstmrCdtTrf/GrpHdr/SttlmInf/InstdRmbrsmntAgt/FinInstnId/BICFI
/Document/FIToFICstmrCdtTrf/GrpHdr/SttlmInf/InstdRmbrsmntAgt/FinInstnId/Nm
/Document/FIToFICstmrCdtTrf/GrpHdr/SttlmInf/InstdRmbrsmntAgt/BrnchId/Id
/Document/FIToFICstmrCdtTrf/GrpHdr/SttlmInf/InstdRmbrsmntAgt/BrnchId/Nm
/Document/FIToFICstmrCdtTrf/GrpHdr/SttlmInf/ThrdRmbrsmntAgt/FinInstnId/BICFI
/Document/FIToFICstmrCdtTrf/GrpHdr/SttlmInf/ThrdRmbrsmntAgt/FinInstnId/Nm
/Document/FIToFICstmrCdtTrf/GrpHdr/SttlmInf/ThrdRmbrsmntAgt/BrnchId/Id
/Document/FIToFICstmrCdtTrf/GrpHdr/SttlmInf/ThrdRmbrsmntAgt/BrnchId/Nm
/Document/FIToFICstmrCdtTrf/GrpHdr/InstgAgt/FinInstnId/BICFI
/Document/FIToFICstmrCdtTrf/GrpHdr/InstgAgt/FinInstnId/Nm
/Document/FIToFICstmrCdtTrf/GrpHdr/InstgAgt/BrnchId/Id
/Document/FIToFICstmrCdtTrf/GrpHdr/InstgAgt/BrnchId/Nm
/Document/FIToFICstmrCdtTrf/GrpHdr/InstdAgt/FinInstnId/BICFI
/Document/FIToFICstmrCdtTrf/GrpHdr/InstdAgt/FinInstnId/Nm
/Document/FIToFICstmrCdtTrf/GrpHdr/InstdAgt/BrnchId/Id
/Document/FIToFICstmrCdtTrf/GrpHdr/InstdAgt/BrnchId/Nm
/Document/FIToFICstmrCdtTrf/CdtTrfTxInf/PrvsInstgAgt1/FinInstnId/BICFI
/Document/FIToFICstmrCdtTrf/CdtTrfTxInf/PrvsInstgAgt1/FinInstnId/Nm
/Document/FIToFICstmrCdtTrf/CdtTrfTxInf/PrvsInstgAgt1/BrnchId/Id
/Document/FIToFICstmrCdtTrf/CdtTrfTxInf/PrvsInstgAgt1/BrnchId/Nm
/Document/FIToFICstmrCdtTrf/CdtTrfTxInf/PrvsInstgAgt2/FinInstnId/BICFI
/Document/FIToFICstmrCdtTrf/CdtTrfTxInf/PrvsInstgAgt2/FinInstnId/Nm
/Document/FIToFICstmrCdtTrf/CdtTrfTxInf/PrvsInstgAgt2/BrnchId/Id
/Document/FIToFICstmrCdtTrf/CdtTrfTxInf/PrvsInstgAgt2/BrnchId/Nm
/Document/FIToFICstmrCdtTrf/CdtTrfTxInf/PrvsInstgAgt3/FinInstnId/BICFI
/Document/FIToFICstmrCdtTrf/CdtTrfTxInf/PrvsInstgAgt3/FinInstnId/Nm
/Document/FIToFICstmrCdtTrf/CdtTrfTxInf/PrvsInstgAgt3/BrnchId/Id
/Document/FIToFICstmrCdtTrf/CdtTrfTxInf/PrvsInstgAgt3/BrnchId/Nm
/Document/FIToFICstmrCdtTrf/CdtTrfTxInf/IntrmyAgt1/FinInstnId/BICFI
/Document/FIToFICstmrCdtTrf/CdtTrfTxInf/IntrmyAgt1/FinInstnId/Nm
/Document/FIToFICstmrCdtTrf/CdtTrfTxInf/IntrmyAgt1/BrnchId/Id
/Document/FIToFICstmrCdtTrf/CdtTrfTxInf/IntrmyAgt1/BrnchId/Nm
/Document/FIToFICstmrCdtTrf/CdtTrfTxInf/IntrmyAgt2/FinInstnId/BICFI
/Document/FIToFICstmrCdtTrf/CdtTrfTxInf/IntrmyAgt2/FinInstnId/Nm
/Document/FIToFICstmrCdtTrf/CdtTrfTxInf/IntrmyAgt2/BrnchId/Id
/Document/FIToFICstmrCdtTrf/CdtTrfTxInf/IntrmyAgt2/BrnchId/Nm
/Document/FIToFICstmrCdtTrf/CdtTrfTxInf/IntrmyAgt3/FinInstnId/BICFI
/Document/FIToFICstmrCdtTrf/CdtTrfTxInf/IntrmyAgt3/FinInstnId/Nm
/Document/FIToFICstmrCdtTrf/CdtTrfTxInf/IntrmyAgt3/BrnchId/Id
/Document/FIToFICstmrCdtTrf/CdtTrfTxInf/IntrmyAgt3/BrnchId/Nm
/Document/FIToFICstmrCdtTrf/CdtTrfTxInf/DbtrAgt/FinInstnId/BICFI
/Document/FIToFICstmrCdtTrf/CdtTrfTxInf/DbtrAgt/FinInstnId/Nm
/Document/FIToFICstmrCdtTrf/CdtTrfTxInf/DbtrAgt/BrnchId/Id
/Document/FIToFICstmrCdtTrf/CdtTrfTxInf/DbtrAgt/BrnchId/Nm
/Document/FIToFICstmrCdtTrf/CdtTrfTxInf/CdtrAgt/FinInstnId/BICFI
/Document/FIToFICstmrCdtTrf/CdtTrfTxInf/CdtrAgt/FinInstnId/Nm
/Document/FIToFICstmrCdtTrf/CdtTrfTxInf//CdtrAgt/BrnchId/Id
/Document/FIToFICstmrCdtTrf/CdtTrfTxInf/CdtrAgt/BrnchId/Nm
/Document/FIToFICstmrCdtTrf/CdtTrfTxInf/InstgAgt/FinInstnId/BICFI
/Document/FIToFICstmrCdtTrf/CdtTrfTxInf/InstgAgt/FinInstnId/Nm
/Document/FIToFICstmrCdtTrf/CdtTrfTxInf/InstgAgt/BrnchId/Id
/Document/FIToFICstmrCdtTrf/CdtTrfTxInf/InstgAgt/BrnchId/Nm
/Document/FIToFICstmrCdtTrf/CdtTrfTxInf/InstdAgt/FinInstnId/BICFI
/Document/FIToFICstmrCdtTrf/CdtTrfTxInf/InstdAgt/FinInstnId/Nm
/Document/FIToFICstmrCdtTrf/CdtTrfTxInf/InstdAgt/BrnchId/Id
/Document/FIToFICstmrCdtTrf/CdtTrfTxInf/InstdAgt/BrnchId/Nm
/Document/FIToFICstmrCdtTrf/CdtTrfTxInf/Cdtr/Nm
/Document/FIToFICstmrCdtTrf/CdtTrfTxInf/Cdtr/Id/OrgId/AnyBIC
/Document/FIToFICstmrCdtTrf/CdtTrfTxInf/Cdtr/CtctDtls/Nm
/Document/FIToFICstmrCdtTrf/CdtTrfTxInf/UltmtCdtr/Nm
/Document/FIToFICstmrCdtTrf/CdtTrfTxInf/UltmtCdtr/Id/OrgId/AnyBIC
/Document/FIToFICstmrCdtTrf/CdtTrfTxInf/UltmtCdtr/CtctDtls/Nm
/Document/FIToFICstmrCdtTrf/CdtTrfTxInf/Dbtr/Nm
/Document/FIToFICstmrCdtTrf/CdtTrfTxInf/Dbtr/Id/OrgId/AnyBIC
/Document/FIToFICstmrCdtTrf/CdtTrfTxInf/Dbtr/CtctDtls/Nm
/Document/FIToFICstmrCdtTrf/CdtTrfTxInf/UltmtDbtr/Nm
/Document/FIToFICstmrCdtTrf/CdtTrfTxInf/UltmtDbtr/Id/OrgId/AnyBIC
/Document/FIToFICstmrCdtTrf/CdtTrfTxInf/UltmtDbtr/CtctDtls/Nm
/Document/FIToFICstmrCdtTrf/CdtTrfTxInf/InitgPty/Nm
/Document/FIToFICstmrCdtTrf/CdtTrfTxInf/InitgPty/Id/OrgId/AnyBIC
/Document/FIToFICstmrCdtTrf/CdtTrfTxInf/InitgPty/CtctDtls/Nm
/Document/FIToFICstmrCdtTrf/CdtTrfTxInf/ChrgsInf/Agt/FinInstnId/BICFI
/Document/FIToFICstmrCdtTrf/CdtTrfTxInf/RltdRmtInf/RmtLctnDtls/PstlAdr/Nm
/Document/FIToFICstmrCdtTrf/CdtTrfTxInf/RmtInf/Strd/Invcr/Nm
/Document/FIToFICstmrCdtTrf/CdtTrfTxInf/RmtInf/Strd/Invcr/Id/OrgId/AnyBIC
/Document/FIToFICstmrCdtTrf/CdtTrfTxInf/RmtInf/Strd/Invcr/CtctDtls/Nm
/Document/FIToFICstmrCdtTrf/CdtTrfTxInf/RmtInf/Strd/Invcee/Nm
/Document/FIToFICstmrCdtTrf/CdtTrfTxInf/RmtInf/Strd/Invcee/Id/OrgId/AnyBIC
/Document/FIToFICstmrCdtTrf/CdtTrfTxInf/RmtInf/Strd/Invcee/CtctDtls/Nm
/Document/FIToFICstmrCdtTrf/CdtTrfTxInf/RmtInf/Strd/GrnshmtRmt/Grnshee/Nm
/Document/FIToFICstmrCdtTrf/CdtTrfTxInf/RmtInf/Strd/GrnshmtRmt/Grnshee/Id/OrgId/AnyBIC
/Document/FIToFICstmrCdtTrf/CdtTrfTxInf/RmtInf/Strd/GrnshmtRmt/Grnshee/CtctDtls/Nm
/Document/FIToFICstmrCdtTrf/CdtTrfTxInf/RmtInf/Strd/GrnshmtRmt/GrnshmtAdmstr/Nm
/Document/FIToFICstmrCdtTrf/CdtTrfTxInf/RmtInf/Strd/GrnshmtRmt/GrnshmtAdmstr/Id/OrgId/AnyBIC
/Document/FIToFICstmrCdtTrf/CdtTrfTxInf/RmtInf/Strd/GrnshmtRmt/GrnshmtAdmstr/CtctDtls/Nm</t>
  </si>
  <si>
    <t>pacs.008_Config_EDQ.02</t>
  </si>
  <si>
    <t>1. NSD đăng nhập EDQ Director bằng user được phân quyền
2. NSD truy cập theo đường dẫn Project/Transaction_Screening/ Reference Data/ MSB_TYPE_FOR_OBJ
3. Kiểm tra danh sách các trường được config với Type = "pacs.008.001.08" Webservice_Name = 1 và ENTITY = 'IND'</t>
  </si>
  <si>
    <t>3. Các trường config bao gồm:
/Document/FIToFICstmrCdtTrf/CdtTrfTxInf/Cdtr/Nm
/Document/FIToFICstmrCdtTrf/CdtTrfTxInf/Cdtr/CtctDtls/Nm
/Document/FIToFICstmrCdtTrf/CdtTrfTxInf/UltmtCdtr/Nm
/Document/FIToFICstmrCdtTrf/CdtTrfTxInf/UltmtCdtr/CtctDtls/Nm
/Document/FIToFICstmrCdtTrf/CdtTrfTxInf/Dbtr/Nm
/Document/FIToFICstmrCdtTrf/CdtTrfTxInf/Dbtr/CtctDtls/Nm
/Document/FIToFICstmrCdtTrf/CdtTrfTxInf/UltmtDbtr/Nm
/Document/FIToFICstmrCdtTrf/CdtTrfTxInf/UltmtDbtr/CtctDtls/Nm
/Document/FIToFICstmrCdtTrf/CdtTrfTxInf/InitgPty/Nm
/Document/FIToFICstmrCdtTrf/CdtTrfTxInf/InitgPty/CtctDtls/Nm
/Document/FIToFICstmrCdtTrf/CdtTrfTxInf/RltdRmtInf/RmtLctnDtls/PstlAdr/Nm
/Document/FIToFICstmrCdtTrf/CdtTrfTxInf/RmtInf/Strd/Invcr/Nm
/Document/FIToFICstmrCdtTrf/CdtTrfTxInf/RmtInf/Strd/Invcr/CtctDtls/Nm
/Document/FIToFICstmrCdtTrf/CdtTrfTxInf/RmtInf/Strd/Invcee/Nm
/Document/FIToFICstmrCdtTrf/CdtTrfTxInf/RmtInf/Strd/Invcee/CtctDtls/Nm
/Document/FIToFICstmrCdtTrf/CdtTrfTxInf/RmtInf/Strd/GrnshmtRmt/Grnshee/Nm
/Document/FIToFICstmrCdtTrf/CdtTrfTxInf/RmtInf/Strd/GrnshmtRmt/Grnshee/CtctDtls/Nm
/Document/FIToFICstmrCdtTrf/CdtTrfTxInf/RmtInf/Strd/GrnshmtRmt/GrnshmtAdmstr/Nm
/Document/FIToFICstmrCdtTrf/CdtTrfTxInf/RmtInf/Strd/GrnshmtRmt/GrnshmtAdmstr/CtctDtls/Nm</t>
  </si>
  <si>
    <t>pacs.008_Config_EDQ.03</t>
  </si>
  <si>
    <t>1. NSD đăng nhập EDQ Director bằng user được phân quyền
2. NSD truy cập theo đường dẫn Project/Transaction_Screening/ Reference Data/ MSB_TYPE_FOR_OBJ
3. Kiểm tra danh sách các trường được config với Type = "pacs.008.001.08" Webservice_Name = 2 và ENTITY = 'ENT'</t>
  </si>
  <si>
    <t>3. Các trường config bao gồm:
/Document/FIToFICstmrCdtTrf/GrpHdr/SttlmInf/InstgRmbrsmntAgt/FinInstnId/BICFI
/Document/FIToFICstmrCdtTrf/GrpHdr/SttlmInf/InstgRmbrsmntAgt/FinInstnId/Othr/Id
/Document/FIToFICstmrCdtTrf/GrpHdr/SttlmInf/InstgRmbrsmntAgt/BrnchId/Id
/Document/FIToFICstmrCdtTrf/GrpHdr/SttlmInf/InstdRmbrsmntAgt/FinInstnId/BICFI
/Document/FIToFICstmrCdtTrf/GrpHdr/SttlmInf/InstdRmbrsmntAgt/FinInstnId/Othr/Id
/Document/FIToFICstmrCdtTrf/GrpHdr/SttlmInf/InstdRmbrsmntAgt/BrnchId/Id
/Document/FIToFICstmrCdtTrf/GrpHdr/SttlmInf/ThrdRmbrsmntAgt/FinInstnId/BICFI
/Document/FIToFICstmrCdtTrf/GrpHdr/SttlmInf/ThrdRmbrsmntAgt/FinInstnId/Othr/Id
/Document/FIToFICstmrCdtTrf/GrpHdr/SttlmInf/ThrdRmbrsmntAgt/BrnchId/Id
/Document/FIToFICstmrCdtTrf/GrpHdr/InstgAgt/FinInstnId/BICFI
/Document/FIToFICstmrCdtTrf/GrpHdr/InstgAgt/FinInstnId/Othr/Id
/Document/FIToFICstmrCdtTrf/GrpHdr/InstgAgt/BrnchId/Id
/Document/FIToFICstmrCdtTrf/GrpHdr/InstdAgt/FinInstnId/BICFI
/Document/FIToFICstmrCdtTrf/GrpHdr/InstdAgt/FinInstnId/Othr/Id
/Document/FIToFICstmrCdtTrf/GrpHdr/InstdAgt/BrnchId/Id
/Document/FIToFICstmrCdtTrf/CdtTrfTxInf/PrvsInstgAgt1/FinInstnId/BICFI
/Document/FIToFICstmrCdtTrf/CdtTrfTxInf/PrvsInstgAgt1/FinInstnId/Othr/Id
/Document/FIToFICstmrCdtTrf/CdtTrfTxInf/PrvsInstgAgt1/BrnchId/Id
/Document/FIToFICstmrCdtTrf/CdtTrfTxInf/PrvsInstgAgt2/FinInstnId/BICFI
/Document/FIToFICstmrCdtTrf/CdtTrfTxInf/PrvsInstgAgt2/FinInstnId/Othr/Id
/Document/FIToFICstmrCdtTrf/CdtTrfTxInf/PrvsInstgAgt2/BrnchId/Id
/Document/FIToFICstmrCdtTrf/CdtTrfTxInf/PrvsInstgAgt3/FinInstnId/BICFI
/Document/FIToFICstmrCdtTrf/CdtTrfTxInf/PrvsInstgAgt3/FinInstnId/Othr/Id
/Document/FIToFICstmrCdtTrf/CdtTrfTxInf/PrvsInstgAgt3/BrnchId/Id
/Document/FIToFICstmrCdtTrf/CdtTrfTxInf/IntrmyAgt1/FinInstnId/BICFI
/Document/FIToFICstmrCdtTrf/CdtTrfTxInf/IntrmyAgt1/FinInstnId/Othr/Id
/Document/FIToFICstmrCdtTrf/CdtTrfTxInf/IntrmyAgt1/BrnchId/Id
/Document/FIToFICstmrCdtTrf/CdtTrfTxInf/IntrmyAgt2/FinInstnId/BICFI
/Document/FIToFICstmrCdtTrf/CdtTrfTxInf/IntrmyAgt2/FinInstnId/Othr/Id
/Document/FIToFICstmrCdtTrf/CdtTrfTxInf/IntrmyAgt2/BrnchId/Id
/Document/FIToFICstmrCdtTrf/CdtTrfTxInf/IntrmyAgt3/FinInstnId/BICFI
/Document/FIToFICstmrCdtTrf/CdtTrfTxInf/IntrmyAgt3/FinInstnId/Othr/Id
/Document/FIToFICstmrCdtTrf/CdtTrfTxInf/IntrmyAgt3/BrnchId/Id
/Document/FIToFICstmrCdtTrf/CdtTrfTxInf/DbtrAgt/FinInstnId/BICFI
/Document/FIToFICstmrCdtTrf/CdtTrfTxInf/DbtrAgt/FinInstnId/Othr/Id
/Document/FIToFICstmrCdtTrf/CdtTrfTxInf/DbtrAgt/BrnchId/Id
/Document/FIToFICstmrCdtTrf/CdtTrfTxInf/CdtrAgt/FinInstnId/BICFI
/Document/FIToFICstmrCdtTrf/CdtTrfTxInf/CdtrAgt/FinInstnId/Othr/Id
/Document/FIToFICstmrCdtTrf/CdtTrfTxInf//CdtrAgt/BrnchId/Id
/Document/FIToFICstmrCdtTrf/CdtTrfTxInf/InstgAgt/FinInstnId/BICFI
/Document/FIToFICstmrCdtTrf/CdtTrfTxInf/InstgAgt/FinInstnId/Othr/Id
/Document/FIToFICstmrCdtTrf/CdtTrfTxInf/InstgAgt/BrnchId/Id
/Document/FIToFICstmrCdtTrf/CdtTrfTxInf/InstdAgt/FinInstnId/BICFI
/Document/FIToFICstmrCdtTrf/CdtTrfTxInf/InstdAgt/FinInstnId/Othr/Id
/Document/FIToFICstmrCdtTrf/CdtTrfTxInf/InstdAgt/BrnchId/Id
/Document/FIToFICstmrCdtTrf/CdtTrfTxInf/Cdtr/Id/OrgId/AnyBIC
/Document/FIToFICstmrCdtTrf/CdtTrfTxInf/Cdtr/Id/OrgId/Othr/Id
/Document/FIToFICstmrCdtTrf/CdtTrfTxInf/UltmtCdtr/Id/OrgId/AnyBIC
/Document/FIToFICstmrCdtTrf/CdtTrfTxInf/UltmtCdtr/Id/OrgId/Othr/Id
/Document/FIToFICstmrCdtTrf/CdtTrfTxInf/Dbtr/Id/OrgId/AnyBIC
/Document/FIToFICstmrCdtTrf/CdtTrfTxInf/Dbtr/Id/OrgId/Othr/Id
/Document/FIToFICstmrCdtTrf/CdtTrfTxInf/UltmtDbtr/Id/OrgId/AnyBIC
/Document/FIToFICstmrCdtTrf/CdtTrfTxInf/UltmtDbtr/Id/OrgId/Othr/Id
/Document/FIToFICstmrCdtTrf/CdtTrfTxInf/InitgPty/Id/OrgId/AnyBIC
/Document/FIToFICstmrCdtTrf/CdtTrfTxInf/InitgPty/Id/OrgId/Othr/Id
/Document/FIToFICstmrCdtTrf/CdtTrfTxInf/ChrgsInf/Agt/FinInstnId/BICFI
/Document/FIToFICstmrCdtTrf/CdtTrfTxInf/RmtInf/Strd/Invcr/Id/OrgId/AnyBIC
/Document/FIToFICstmrCdtTrf/CdtTrfTxInf/RmtInf/Strd/Invcr/Id/OrgId/Othr/Id
/Document/FIToFICstmrCdtTrf/CdtTrfTxInf/RmtInf/Strd/Invcee/Id/OrgId/AnyBIC
/Document/FIToFICstmrCdtTrf/CdtTrfTxInf/RmtInf/Strd/Invcee/Id/OrgId/Othr/Id
/Document/FIToFICstmrCdtTrf/CdtTrfTxInf/RmtInf/Strd/GrnshmtRmt/Grnshee/Id/OrgId/AnyBIC
/Document/FIToFICstmrCdtTrf/CdtTrfTxInf/RmtInf/Strd/GrnshmtRmt/Grnshee/Id/OrgId/Othr/Id
/Document/FIToFICstmrCdtTrf/CdtTrfTxInf/RmtInf/Strd/GrnshmtRmt/GrnshmtAdmstr/Id/OrgId/AnyBIC
/Document/FIToFICstmrCdtTrf/CdtTrfTxInf/RmtInf/Strd/GrnshmtRmt/GrnshmtAdmstr/Id/OrgId/Othr/Id</t>
  </si>
  <si>
    <t>pacs.008_Config_EDQ.04</t>
  </si>
  <si>
    <t>Kiểm tra các trường sàng lọc Identifier theo chủ thể Individual</t>
  </si>
  <si>
    <t>1. NSD đăng nhập EDQ Director bằng user được phân quyền
2. NSD truy cập theo đường dẫn Project/Transaction_Screening/ Reference Data/ MSB_TYPE_FOR_OBJ
3. Kiểm tra danh sách các trường được config với Type = "pacs.008.001.08" Webservice_Name = 2 và ENTITY = 'IND'</t>
  </si>
  <si>
    <t>3. Các trường config bao gồm:
/Document/FIToFICstmrCdtTrf/CdtTrfTxInf/Cdtr/Id/PrvtId/Othr/Id
/Document/FIToFICstmrCdtTrf/CdtTrfTxInf/UltmtCdtr/Id/PrvtId/Othr/Id
/Document/FIToFICstmrCdtTrf/CdtTrfTxInf/Dbtr/Id/PrvtId/Othr/Id
/Document/FIToFICstmrCdtTrf/CdtTrfTxInf/UltmtDbtr/Id/PrvtId/Othr/Id
/Document/FIToFICstmrCdtTrf/CdtTrfTxInf/InitgPty/Id/PrvtId/Othr/Id
/Document/FIToFICstmrCdtTrf/CdtTrfTxInf/RmtInf/Strd/Invcr/Id/PrvtId/Othr/Id
/Document/FIToFICstmrCdtTrf/CdtTrfTxInf/RmtInf/Strd/Invcee/Id/PrvtId/Othr/Id
/Document/FIToFICstmrCdtTrf/CdtTrfTxInf/RmtInf/Strd/GrnshmtRmt/Grnshee/Id/PrvtId/Othr/Id
/Document/FIToFICstmrCdtTrf/CdtTrfTxInf/RmtInf/Strd/GrnshmtRmt/GrnshmtAdmstr/Id/PrvtId/Othr/Id</t>
  </si>
  <si>
    <t>pacs.008_Config_EDQ.05</t>
  </si>
  <si>
    <t>1. NSD đăng nhập EDQ Director bằng user được phân quyền
2. NSD truy cập theo đường dẫn Project/Transaction_Screening/ Reference Data/ MSB_TYPE_FOR_OBJ
3. Kiểm tra danh sách các trường được config với Type = "pacs.008.001.08" Webservice_Name = 3 và ENTITY = 'ALL'</t>
  </si>
  <si>
    <t>3. Các trường config bao gồm:
/Document/FIToFICstmrCdtTrf/GrpHdr/SttlmInf/InstgRmbrsmntAgt/FinInstnId/BICFI
/Document/FIToFICstmrCdtTrf/GrpHdr/SttlmInf/InstgRmbrsmntAgt/FinInstnId/PstlAdr/Ctry
/Document/FIToFICstmrCdtTrf/GrpHdr/SttlmInf/InstgRmbrsmntAgt/BrnchId/Id
/Document/FIToFICstmrCdtTrf/GrpHdr/SttlmInf/InstgRmbrsmntAgt/BrnchId/PstlAdr/Ctry
/Document/FIToFICstmrCdtTrf/GrpHdr/SttlmInf/InstdRmbrsmntAgt/FinInstnId/BICFI
/Document/FIToFICstmrCdtTrf/GrpHdr/SttlmInf/InstdRmbrsmntAgt/FinInstnId/PstlAdr/Ctry
/Document/FIToFICstmrCdtTrf/GrpHdr/SttlmInf/InstdRmbrsmntAgt/BrnchId/Id
/Document/FIToFICstmrCdtTrf/GrpHdr/SttlmInf/InstdRmbrsmntAgt/BrnchId/PstlAdr/Ctry
/Document/FIToFICstmrCdtTrf/GrpHdr/SttlmInf/ThrdRmbrsmntAgt/FinInstnId/BICFI
/Document/FIToFICstmrCdtTrf/GrpHdr/SttlmInf/ThrdRmbrsmntAgt/FinInstnId/PstlAdr/Ctry
/Document/FIToFICstmrCdtTrf/GrpHdr/SttlmInf/ThrdRmbrsmntAgt/BrnchId/Id
/Document/FIToFICstmrCdtTrf/GrpHdr/SttlmInf/ThrdRmbrsmntAgt/BrnchId/PstlAdr/Ctry
/Document/FIToFICstmrCdtTrf/GrpHdr/InstgAgt/FinInstnId/BICFI
/Document/FIToFICstmrCdtTrf/GrpHdr/InstgAgt/FinInstnId/PstlAdr/Ctry
/Document/FIToFICstmrCdtTrf/GrpHdr/InstgAgt/BrnchId/Id
/Document/FIToFICstmrCdtTrf/GrpHdr/InstgAgt/BrnchId/PstlAdr/Ctry
/Document/FIToFICstmrCdtTrf/GrpHdr/InstdAgt/FinInstnId/BICFI
/Document/FIToFICstmrCdtTrf/GrpHdr/InstdAgt/FinInstnId/PstlAdr/Ctry
/Document/FIToFICstmrCdtTrf/GrpHdr/InstdAgt/BrnchId/Id
/Document/FIToFICstmrCdtTrf/GrpHdr/InstdAgt/BrnchId/PstlAdr/Ctry
/Document/FIToFICstmrCdtTrf/CdtTrfTxInf/PrvsInstgAgt1/FinInstnId/BICFI
/Document/FIToFICstmrCdtTrf/CdtTrfTxInf/PrvsInstgAgt1/FinInstnId/PstlAdr/Ctry
/Document/FIToFICstmrCdtTrf/CdtTrfTxInf/PrvsInstgAgt1/BrnchId/Id
/Document/FIToFICstmrCdtTrf/CdtTrfTxInf/PrvsInstgAgt1/BrnchId/PstlAdr/Ctry
/Document/FIToFICstmrCdtTrf/CdtTrfTxInf/PrvsInstgAgt2/FinInstnId/BICFI
/Document/FIToFICstmrCdtTrf/CdtTrfTxInf/PrvsInstgAgt2/FinInstnId/PstlAdr/Ctry
/Document/FIToFICstmrCdtTrf/CdtTrfTxInf/PrvsInstgAgt2/BrnchId/Id
/Document/FIToFICstmrCdtTrf/CdtTrfTxInf/PrvsInstgAgt2/BrnchId/PstlAdr/Ctry
/Document/FIToFICstmrCdtTrf/CdtTrfTxInf/PrvsInstgAgt3/FinInstnId/BICFI
/Document/FIToFICstmrCdtTrf/CdtTrfTxInf/PrvsInstgAgt3/FinInstnId/PstlAdr/Ctry
/Document/FIToFICstmrCdtTrf/CdtTrfTxInf/PrvsInstgAgt3/BrnchId/Id
/Document/FIToFICstmrCdtTrf/CdtTrfTxInf/PrvsInstgAgt3/BrnchId/PstlAdr/Ctry
/Document/FIToFICstmrCdtTrf/CdtTrfTxInf/IntrmyAgt1/FinInstnId/BICFI
/Document/FIToFICstmrCdtTrf/CdtTrfTxInf/IntrmyAgt1/FinInstnId/PstlAdr/Ctry
/Document/FIToFICstmrCdtTrf/CdtTrfTxInf/IntrmyAgt1/BrnchId/Id
/Document/FIToFICstmrCdtTrf/CdtTrfTxInf/IntrmyAgt1/BrnchId/PstlAdr/Ctry
/Document/FIToFICstmrCdtTrf/CdtTrfTxInf/IntrmyAgt2/FinInstnId/BICFI
/Document/FIToFICstmrCdtTrf/CdtTrfTxInf/IntrmyAgt2/FinInstnId/PstlAdr/Ctry
/Document/FIToFICstmrCdtTrf/CdtTrfTxInf/IntrmyAgt2/BrnchId/Id
/Document/FIToFICstmrCdtTrf/CdtTrfTxInf/IntrmyAgt2/BrnchId/PstlAdr/Ctry
/Document/FIToFICstmrCdtTrf/CdtTrfTxInf/IntrmyAgt3/FinInstnId/BICFI
/Document/FIToFICstmrCdtTrf/CdtTrfTxInf/IntrmyAgt3/FinInstnId/PstlAdr/Ctry
/Document/FIToFICstmrCdtTrf/CdtTrfTxInf/IntrmyAgt3/BrnchId/Id
/Document/FIToFICstmrCdtTrf/CdtTrfTxInf/IntrmyAgt3/BrnchId/PstlAdr/Ctry
/Document/FIToFICstmrCdtTrf/CdtTrfTxInf/DbtrAgt/FinInstnId/BICFI
/Document/FIToFICstmrCdtTrf/CdtTrfTxInf/DbtrAgt/FinInstnId/PstlAdr/Ctry
/Document/FIToFICstmrCdtTrf/CdtTrfTxInf/DbtrAgt/BrnchId/Id
/Document/FIToFICstmrCdtTrf/CdtTrfTxInf/DbtrAgt/BrnchId/PstlAdr/Ctry
/Document/FIToFICstmrCdtTrf/CdtTrfTxInf/CdtrAgt/FinInstnId/BICFI
/Document/FIToFICstmrCdtTrf/CdtTrfTxInf/CdtrAgt/FinInstnId/PstlAdr/Ctry
/Document/FIToFICstmrCdtTrf/CdtTrfTxInf//CdtrAgt/BrnchId/Id
/Document/FIToFICstmrCdtTrf/CdtTrfTxInf/CdtrAgt/BrnchId/PstlAdr/Ctry
/Document/FIToFICstmrCdtTrf/CdtTrfTxInf/InstgAgt/FinInstnId/BICFI
/Document/FIToFICstmrCdtTrf/CdtTrfTxInf/InstgAgt/FinInstnId/PstlAdr/Ctry
/Document/FIToFICstmrCdtTrf/CdtTrfTxInf/InstgAgt/BrnchId/Id
/Document/FIToFICstmrCdtTrf/CdtTrfTxInf/InstgAgt/BrnchId/PstlAdr/Ctry
/Document/FIToFICstmrCdtTrf/CdtTrfTxInf/InstdAgt/FinInstnId/BICFI
/Document/FIToFICstmrCdtTrf/CdtTrfTxInf/InstdAgt/FinInstnId/PstlAdr/Ctry
/Document/FIToFICstmrCdtTrf/CdtTrfTxInf/InstdAgt/BrnchId/Id
/Document/FIToFICstmrCdtTrf/CdtTrfTxInf/InstdAgt/BrnchId/PstlAdr/Ctry
/Document/FIToFICstmrCdtTrf/CdtTrfTxInf/Cdtr/PstlAdr/Ctry
/Document/FIToFICstmrCdtTrf/CdtTrfTxInf/Cdtr/Id/OrgId/AnyBIC
/Document/FIToFICstmrCdtTrf/CdtTrfTxInf/Cdtr/Id/PrvtId/DtAndPlcOfBirth/CtryOfBirth
/Document/FIToFICstmrCdtTrf/CdtTrfTxInf/Cdtr/CtryOfRes
/Document/FIToFICstmrCdtTrf/CdtTrfTxInf/UltmtCdtr/PstlAdr/Ctry
/Document/FIToFICstmrCdtTrf/CdtTrfTxInf/UltmtCdtr/Id/OrgId/AnyBIC
/Document/FIToFICstmrCdtTrf/CdtTrfTxInf/UltmtCdtr/Id/PrvtId/DtAndPlcOfBirth/CtryOfBirth
/Document/FIToFICstmrCdtTrf/CdtTrfTxInf/UltmtCdtr/CtryOfRes
/Document/FIToFICstmrCdtTrf/CdtTrfTxInf/Dbtr/PstlAdr/Ctry
/Document/FIToFICstmrCdtTrf/CdtTrfTxInf/Dbtr/Id/OrgId/AnyBIC
/Document/FIToFICstmrCdtTrf/CdtTrfTxInf/Dbtr/Id/PrvtId/DtAndPlcOfBirth/CtryOfBirth
/Document/FIToFICstmrCdtTrf/CdtTrfTxInf/Dbtr/CtryOfRes
/Document/FIToFICstmrCdtTrf/CdtTrfTxInf/UltmtDbtr/PstlAdr/Ctry
/Document/FIToFICstmrCdtTrf/CdtTrfTxInf/UltmtDbtr/Id/OrgId/AnyBIC
/Document/FIToFICstmrCdtTrf/CdtTrfTxInf/UltmtDbtr/Id/PrvtId/DtAndPlcOfBirth/CtryOfBirth
/Document/FIToFICstmrCdtTrf/CdtTrfTxInf/UltmtDbtr/CtryOfRes
/Document/FIToFICstmrCdtTrf/CdtTrfTxInf/InitgPty/PstlAdr/Ctry
/Document/FIToFICstmrCdtTrf/CdtTrfTxInf/InitgPty/Id/OrgId/AnyBIC
/Document/FIToFICstmrCdtTrf/CdtTrfTxInf/InitgPty/Id/PrvtId/DtAndPlcOfBirth/CtryOfBirth
/Document/FIToFICstmrCdtTrf/CdtTrfTxInf/InitgPty/CtryOfRes
/Document/FIToFICstmrCdtTrf/CdtTrfTxInf/ChrgsInf/Agt/FinInstnId/BICFI
/Document/FIToFICstmrCdtTrf/CdtTrfTxInf/ChrgsInf/Agt/FinInstnId/PstlAdr/Ctry
/Document/FIToFICstmrCdtTrf/CdtTrfTxInf/ChrgsInf/Agt/BrnchId/PstlAdr/Ctry
/Document/FIToFICstmrCdtTrf/CdtTrfTxInf/RltdRmtInf/RmtLctnDtls/PstlAdr/Adr/Ctry
/Document/FIToFICstmrCdtTrf/CdtTrfTxInf/RmtInf/Strd/Invcr/PstlAdr/Ctry
/Document/FIToFICstmrCdtTrf/CdtTrfTxInf/RmtInf/Strd/Invcr/Id/OrgId/AnyBIC
/Document/FIToFICstmrCdtTrf/CdtTrfTxInf/RmtInf/Strd/Invcr/Id/PrvtId/DtAndPlcOfBirth/CtryOfBirth
/Document/FIToFICstmrCdtTrf/CdtTrfTxInf/RmtInf/Strd/Invcr/CtryOfRes
/Document/FIToFICstmrCdtTrf/CdtTrfTxInf/RmtInf/Strd/Invcee/PstlAdr/Ctry
/Document/FIToFICstmrCdtTrf/CdtTrfTxInf/RmtInf/Strd/Invcee/Id/OrgId/AnyBIC
/Document/FIToFICstmrCdtTrf/CdtTrfTxInf/RmtInf/Strd/Invcee/Id/PrvtId/DtAndPlcOfBirth/CtryOfBirth
/Document/FIToFICstmrCdtTrf/CdtTrfTxInf/RmtInf/Strd/Invcee/CtryOfRes
/Document/FIToFICstmrCdtTrf/CdtTrfTxInf/RmtInf/Strd/GrnshmtRmt/Grnshee/PstlAdr/Ctry
/Document/FIToFICstmrCdtTrf/CdtTrfTxInf/RmtInf/Strd/GrnshmtRmt/Grnshee/Id/OrgId/AnyBIC
/Document/FIToFICstmrCdtTrf/CdtTrfTxInf/RmtInf/Strd/GrnshmtRmt/Grnshee/Id/PrvtId/DtAndPlcOfBirth/CtryOfBirth
/Document/FIToFICstmrCdtTrf/CdtTrfTxInf/RmtInf/Strd/GrnshmtRmt/Grnshee/CtryOfRes
/Document/FIToFICstmrCdtTrf/CdtTrfTxInf/RmtInf/Strd/GrnshmtRmt/GrnshmtAdmstr/PstlAdr/Ctry
/Document/FIToFICstmrCdtTrf/CdtTrfTxInf/RmtInf/Strd/GrnshmtRmt/GrnshmtAdmstr/Id/OrgId/AnyBIC
/Document/FIToFICstmrCdtTrf/CdtTrfTxInf/RmtInf/Strd/GrnshmtRmt/GrnshmtAdmstr/Id/PrvtId/DtAndPlcOfBirth/CtryOfBirth
/Document/FIToFICstmrCdtTrf/CdtTrfTxInf/RmtInf/Strd/GrnshmtRmt/GrnshmtAdmstr/CtryOfRes</t>
  </si>
  <si>
    <t>pacs.008_Config_EDQ.06</t>
  </si>
  <si>
    <t>1. NSD đăng nhập EDQ Director bằng user được phân quyền
2. NSD truy cập theo đường dẫn Project/Transaction_Screening/ Reference Data/ MSB_TYPE_FOR_OBJ
3. Kiểm tra danh sách các trường được config với Type = "pacs.008.001.08" Webservice_Name = 4 và ENTITY = 'ALL'</t>
  </si>
  <si>
    <t>3. Các trường config bao gồm:
/Document/FIToFICstmrCdtTrf/CdtTrfTxInf/RmtInf/Ustrd</t>
  </si>
  <si>
    <t>Kiểm tra cấu hình sàng lọc trường dữ liệu với chủ thể đối với điện pacs.009</t>
  </si>
  <si>
    <t>pacs.009_Config_EDQ.01</t>
  </si>
  <si>
    <t>1. NSD đăng nhập EDQ Director bằng user được phân quyền
2. NSD truy cập theo đường dẫn Project/Transaction_Screening/ Reference Data/ MSB_TYPE_FOR_OBJ
3. Kiểm tra danh sách các trường được config với Type = "pacs.009.001.08" Webservice_Name = 1 và ENTITY = 'ENT'</t>
  </si>
  <si>
    <t>3. Các trường config bao gồm:
/Document/FICdtTrf/GrpHdr/SttlmInf/InstgRmbrsmntAgt/FinInstnId/BICFI
/Document/FICdtTrf/GrpHdr/SttlmInf/InstgRmbrsmntAgt/FinInstnId/Nm
/Document/FICdtTrf/GrpHdr/SttlmInf/InstgRmbrsmntAgt/BrnchId/Id
/Document/FICdtTrf/GrpHdr/SttlmInf/InstgRmbrsmntAgt/BrnchId/Nm
/Document/FICdtTrf/GrpHdr/SttlmInf/InstdRmbrsmntAgt/FinInstnId/BICFI
/Document/FICdtTrf/GrpHdr/SttlmInf/InstdRmbrsmntAgt/FinInstnId/Nm
/Document/FICdtTrf/GrpHdr/SttlmInf/InstdRmbrsmntAgt/BrnchId/Id
/Document/FICdtTrf/GrpHdr/SttlmInf/InstdRmbrsmntAgt/BrnchId/Nm
/Document/FICdtTrf/GrpHdr/SttlmInf/ThrdRmbrsmntAgt/FinInstnId/BICFI
/Document/FICdtTrf/GrpHdr/SttlmInf/ThrdRmbrsmntAgt/FinInstnId/Nm
/Document/FICdtTrf/GrpHdr/SttlmInf/ThrdRmbrsmntAgt/BrnchId/Id
/Document/FICdtTrf/GrpHdr/SttlmInf/ThrdRmbrsmntAgt/BrnchId/Nm
/Document/FICdtTrf/GrpHdr/InstgAgt/FinInstnId/BICFI
/Document/FICdtTrf/GrpHdr/InstgAgt/FinInstnId/Nm
/Document/FICdtTrf/GrpHdr/InstgAgt/BrnchId/Id
/Document/FICdtTrf/GrpHdr/InstgAgt/BrnchId/Nm
/Document/FICdtTrf/GrpHdr/InstdAgt/FinInstnId/BICFI
/Document/FICdtTrf/GrpHdr/InstdAgt/FinInstnId/Nm
/Document/FICdtTrf/GrpHdr/InstdAgt/BrnchId/Id
/Document/FICdtTrf/GrpHdr/InstdAgt/BrnchId/Nm
/Document/FICdtTrf/CdtTrfTxInf/PrvsInstgAgt1/FinInstnId/BICFI
/Document/FICdtTrf/CdtTrfTxInf/PrvsInstgAgt1/FinInstnId/Nm
/Document/FICdtTrf/CdtTrfTxInf/PrvsInstgAgt1/BrnchId/Id
/Document/FICdtTrf/CdtTrfTxInf/PrvsInstgAgt1/BrnchId/Nm
/Document/FICdtTrf/CdtTrfTxInf/PrvsInstgAgt2/FinInstnId/BICFI
/Document/FICdtTrf/CdtTrfTxInf/PrvsInstgAgt2/FinInstnId/Nm
/Document/FICdtTrf/CdtTrfTxInf/PrvsInstgAgt2/BrnchId/Id
/Document/FICdtTrf/CdtTrfTxInf/PrvsInstgAgt2/BrnchId/Nm
/Document/FICdtTrf/CdtTrfTxInf/PrvsInstgAgt3/FinInstnId/BICFI
/Document/FICdtTrf/CdtTrfTxInf/PrvsInstgAgt3/FinInstnId/Nm
/Document/FICdtTrf/CdtTrfTxInf/PrvsInstgAgt3/BrnchId/Id
/Document/FICdtTrf/CdtTrfTxInf/PrvsInstgAgt3/BrnchId/Nm
/Document/FICdtTrf/CdtTrfTxInf/IntrmyAgt1/FinInstnId/BICFI
/Document/FICdtTrf/CdtTrfTxInf/IntrmyAgt1/FinInstnId/Nm
/Document/FICdtTrf/CdtTrfTxInf/IntrmyAgt1/BrnchId/Id
/Document/FICdtTrf/CdtTrfTxInf/IntrmyAgt1/BrnchId/Nm
/Document/FICdtTrf/CdtTrfTxInf/IntrmyAgt2/FinInstnId/BICFI
/Document/FICdtTrf/CdtTrfTxInf/IntrmyAgt2/FinInstnId/Nm
/Document/FICdtTrf/CdtTrfTxInf/IntrmyAgt2/BrnchId/Id
/Document/FICdtTrf/CdtTrfTxInf/IntrmyAgt2/BrnchId/Nm
/Document/FICdtTrf/CdtTrfTxInf/IntrmyAgt3/FinInstnId/BICFI
/Document/FICdtTrf/CdtTrfTxInf/IntrmyAgt3/FinInstnId/Nm
/Document/FICdtTrf/CdtTrfTxInf/IntrmyAgt3/BrnchId/Id
/Document/FICdtTrf/CdtTrfTxInf/IntrmyAgt3/BrnchId/Nm
/Document/FICdtTrf/CdtTrfTxInf/DbtrAgt/FinInstnId/BICFI
/Document/FICdtTrf/CdtTrfTxInf/DbtrAgt/FinInstnId/Nm
/Document/FICdtTrf/CdtTrfTxInf/DbtrAgt/BrnchId/Id
/Document/FICdtTrf/CdtTrfTxInf/DbtrAgt/BrnchId/Nm
/Document/FICdtTrf/CdtTrfTxInf/CdtrAgt/FinInstnId/BICFI
/Document/FICdtTrf/CdtTrfTxInf/CdtrAgt/FinInstnId/Nm
/Document/FICdtTrf/CdtTrfTxInf/CdtrAgt/BrnchId/Id
/Document/FICdtTrf/CdtTrfTxInf/CdtrAgt/BrnchId/Nm
/Document/FICdtTrf/CdtTrfTxInf/InstgAgt/FinInstnId/BICFI
/Document/FICdtTrf/CdtTrfTxInf/InstgAgt/FinInstnId/Nm
/Document/FICdtTrf/CdtTrfTxInf/InstgAgt/BrnchId/Id
/Document/FICdtTrf/CdtTrfTxInf/InstgAgt/BrnchId/Nm
/Document/FICdtTrf/CdtTrfTxInf/InstdAgt/FinInstnId/BICFI
/Document/FICdtTrf/CdtTrfTxInf/InstdAgt/FinInstnId/Nm
/Document/FICdtTrf/CdtTrfTxInf/InstdAgt/BrnchId/Id
/Document/FICdtTrf/CdtTrfTxInf/InstdAgt/BrnchId/Nm
/Document/FICdtTrf/CdtTrfTxInf/UndrlygCstmrCdtTrf/DbtrAgt/FinInstnId/BICFI
/Document/FICdtTrf/CdtTrfTxInf/UndrlygCstmrCdtTrf/DbtrAgt/FinInstnId/Nm
/Document/FICdtTrf/CdtTrfTxInf/UndrlygCstmrCdtTrf/DbtrAgt/BrnchId/Id
/Document/FICdtTrf/CdtTrfTxInf/UndrlygCstmrCdtTrf/DbtrAgt/BrnchId/Nm
/Document/FICdtTrf/CdtTrfTxInf/UndrlygCstmrCdtTrf/PrvsInstgAgt1/FinInstnId/BICFI
/Document/FICdtTrf/CdtTrfTxInf/UndrlygCstmrCdtTrf/PrvsInstgAgt1/FinInstnId/Nm
/Document/FICdtTrf/CdtTrfTxInf/UndrlygCstmrCdtTrf/PrvsInstgAgt1/BrnchId/Id
/Document/FICdtTrf/CdtTrfTxInf/UndrlygCstmrCdtTrf/PrvsInstgAgt1/BrnchId/Nm
/Document/FICdtTrf/CdtTrfTxInf/UndrlygCstmrCdtTrf/PrvsInstgAgt2/FinInstnId/BICFI
/Document/FICdtTrf/CdtTrfTxInf/UndrlygCstmrCdtTrf/PrvsInstgAgt2/FinInstnId/Nm
/Document/FICdtTrf/CdtTrfTxInf/UndrlygCstmrCdtTrf/PrvsInstgAgt2/BrnchId/Id
/Document/FICdtTrf/CdtTrfTxInf/UndrlygCstmrCdtTrf/PrvsInstgAgt2/BrnchId/Nm
/Document/FICdtTrf/CdtTrfTxInf/UndrlygCstmrCdtTrf/PrvsInstgAgt3/FinInstnId/BICFI
/Document/FICdtTrf/CdtTrfTxInf/UndrlygCstmrCdtTrf/PrvsInstgAgt3/FinInstnId/Nm
/Document/FICdtTrf/CdtTrfTxInf/UndrlygCstmrCdtTrf/PrvsInstgAgt3/BrnchId/Id
/Document/FICdtTrf/CdtTrfTxInf/UndrlygCstmrCdtTrf/PrvsInstgAgt3/BrnchId/Nm
/Document/FICdtTrf/CdtTrfTxInf/UndrlygCstmrCdtTrf/IntrmyAgt1/FinInstnId/BICFI
/Document/FICdtTrf/CdtTrfTxInf/UndrlygCstmrCdtTrf/IntrmyAgt1/FinInstnId/Nm
/Document/FICdtTrf/CdtTrfTxInf/UndrlygCstmrCdtTrf/IntrmyAgt1/BrnchId/Id
/Document/FICdtTrf/CdtTrfTxInf/UndrlygCstmrCdtTrf/IntrmyAgt1/BrnchId/Nm
/Document/FICdtTrf/CdtTrfTxInf/UndrlygCstmrCdtTrf/IntrmyAgt2/FinInstnId/BICFI
/Document/FICdtTrf/CdtTrfTxInf/UndrlygCstmrCdtTrf/IntrmyAgt2/FinInstnId/Nm
/Document/FICdtTrf/CdtTrfTxInf/UndrlygCstmrCdtTrf/IntrmyAgt2/BrnchId/Id
/Document/FICdtTrf/CdtTrfTxInf/UndrlygCstmrCdtTrf/IntrmyAgt2/BrnchId/Nm
/Document/FICdtTrf/CdtTrfTxInf/UndrlygCstmrCdtTrf/IntrmyAgt3/FinInstnId/BICFI
/Document/FICdtTrf/CdtTrfTxInf/UndrlygCstmrCdtTrf/IntrmyAgt3/FinInstnId/Nm
/Document/FICdtTrf/CdtTrfTxInf/UndrlygCstmrCdtTrf/IntrmyAgt3/BrnchId/Id
/Document/FICdtTrf/CdtTrfTxInf/UndrlygCstmrCdtTrf/IntrmyAgt3/BrnchId/Nm
/Document/FICdtTrf/CdtTrfTxInf/UndrlygCstmrCdtTrf/CdtrAgt/FinInstnId/BICFI
/Document/FICdtTrf/CdtTrfTxInf/UndrlygCstmrCdtTrf/CdtrAgt/FinInstnId/Nm
/Document/FICdtTrf/CdtTrfTxInf/UndrlygCstmrCdtTrf/CdtrAgt/BrnchId/Id
/Document/FICdtTrf/CdtTrfTxInf/UndrlygCstmrCdtTrf/CdtrAgt/BrnchId/Nm
/Document/FICdtTrf/CdtTrfTxInf/Cdtr/FinInstnId/BICFI
/Document/FICdtTrf/CdtTrfTxInf/Cdtr/FinInstnId/Nm
/Document/FICdtTrf/CdtTrfTxInf/Cdtr/BrnchId/Id
/Document/FICdtTrf/CdtTrfTxInf/Cdtr/BrnchId/Nm
/Document/FICdtTrf/CdtTrfTxInf/UltmtCdtr/FinInstnId/BICFI
/Document/FICdtTrf/CdtTrfTxInf/UltmtCdtr/FinInstnId/Nm
/Document/FICdtTrf/CdtTrfTxInf/UltmtCdtr/BrnchId/Id
/Document/FICdtTrf/CdtTrfTxInf/UltmtCdtr/BrnchId/Nm
/Document/FICdtTrf/CdtTrfTxInf/UndrlygCstmrCdtTrf/Cdtr/Nm
/Document/FICdtTrf/CdtTrfTxInf/UndrlygCstmrCdtTrf/Cdtr/Id/OrgId/AnyBIC
/Document/FICdtTrf/CdtTrfTxInf/UndrlygCstmrCdtTrf/Cdtr/CtctDtls/Nm
/Document/FICdtTrf/CdtTrfTxInf/UndrlygCstmrCdtTrf/UltmtCdtr/Nm
/Document/FICdtTrf/CdtTrfTxInf/UndrlygCstmrCdtTrf/UltmtCdtr/Id/OrgId/AnyBIC
/Document/FICdtTrf/CdtTrfTxInf/UndrlygCstmrCdtTrf/UltmtCdtr/CtctDtls/Nm
/Document/FICdtTrf/CdtTrfTxInf/Dbtr/FinInstnId/BICFI
/Document/FICdtTrf/CdtTrfTxInf/Dbtr/BrnchId/Id
/Document/FICdtTrf/CdtTrfTxInf/Dbtr/BrnchId/Nm
/Document/FICdtTrf/CdtTrfTxInf/UltmtDbtr/FinInstnId/BICFI
/Document/FICdtTrf/CdtTrfTxInf/UltmtDbtr/FinInstnId/Nm
/Document/FICdtTrf/CdtTrfTxInf/UltmtDbtr/BrnchId/Id
/Document/FICdtTrf/CdtTrfTxInf/UltmtDbtr/BrnchId/Nm
/Document/FICdtTrf/CdtTrfTxInf/UndrlygCstmrCdtTrf/Dbtr/Nm
/Document/FICdtTrf/CdtTrfTxInf/UndrlygCstmrCdtTrf/Dbtr/Id/OrgId/AnyBIC
/Document/FICdtTrf/CdtTrfTxInf/UndrlygCstmrCdtTrf/Dbtr/CtctDtls/Nm
/Document/FICdtTrf/CdtTrfTxInf/UndrlygCstmrCdtTrf/UltmtDbtr/Nm
/Document/FICdtTrf/CdtTrfTxInf/UndrlygCstmrCdtTrf/UltmtDbtr/Id/OrgId/AnyBIC
/Document/FICdtTrf/CdtTrfTxInf/UndrlygCstmrCdtTrf/UltmtDbtr/CtctDtls/Nm
/Document/FICdtTrf/CdtTrfTxInf/UndrlygCstmrCdtTrf/InitgPty/Nm
/Document/FICdtTrf/CdtTrfTxInf/UndrlygCstmrCdtTrf/InitgPty/Id/OrgId/AnyBIC
/Document/FICdtTrf/CdtTrfTxInf/UndrlygCstmrCdtTrf/RmtInf/Strd/Invcr/Nm
/Document/FICdtTrf/CdtTrfTxInf/UndrlygCstmrCdtTrf/RmtInf/Strd/Invcr/Id/OrgId/AnyBIC
/Document/FICdtTrf/CdtTrfTxInf/UndrlygCstmrCdtTrf/RmtInf/Strd/Invcr/CtctDtls/Nm
/Document/FICdtTrf/CdtTrfTxInf/UndrlygCstmrCdtTrf/RmtInf/Strd/Invcee/Nm
/Document/FICdtTrf/CdtTrfTxInf/UndrlygCstmrCdtTrf/RmtInf/Strd/Invcee/Id/OrgId/AnyBIC
/Document/FICdtTrf/CdtTrfTxInf/UndrlygCstmrCdtTrf/RmtInf/Strd/Invcee/CtctDtls/Nm
/Document/FICdtTrf/CdtTrfTxInf/UndrlygCstmrCdtTrf/RmtInf/Strd/GrnshmtRmt/Grnshee/Nm
/Document/FICdtTrf/CdtTrfTxInf/UndrlygCstmrCdtTrf/RmtInf/Strd/GrnshmtRmt/Grnshee/Id/OrgId/AnyBIC
/Document/FICdtTrf/CdtTrfTxInf/UndrlygCstmrCdtTrf/RmtInf/Strd/GrnshmtRmt/Grnshee/CtctDtls/Nm
/Document/FICdtTrf/CdtTrfTxInf/UndrlygCstmrCdtTrf/RmtInf/Strd/GrnshmtRmt/GrnshmtAdmstr/Nm
/Document/FICdtTrf/CdtTrfTxInf/UndrlygCstmrCdtTrf/RmtInf/Strd/GrnshmtRmt/GrnshmtAdmstr/Id/OrgId/AnyBIC
/Document/FICdtTrf/CdtTrfTxInf/UndrlygCstmrCdtTrf/RmtInf/Strd/GrnshmtRmt/GrnshmtAdmstr/CtctDtls/Nm
Document/FICdtTrf/CdtTrfTxInf/UndrlygCstmrCdtTrf/RmtInf/Strd/TaxRmt/Dbtr/Authstn/Nm
Document/FICdtTrf/CdtTrfTxInf/UndrlygCstmrCdtTrf/RmtInf/Strd/TaxRmt/UltmtDbtr/Authstn/Nm</t>
  </si>
  <si>
    <t>pacs.009_Config_EDQ.02</t>
  </si>
  <si>
    <t>1. NSD đăng nhập EDQ Director bằng user được phân quyền
2. NSD truy cập theo đường dẫn Project/Transaction_Screening/ Reference Data/ MSB_TYPE_FOR_OBJ
3. Kiểm tra danh sách các trường được config với Type = "pacs.009.001.08" Webservice_Name = 1 và ENTITY = 'IND'</t>
  </si>
  <si>
    <t>3. Các trường config bao gồm:
/Document/FICdtTrf/CdtTrfTxInf/UndrlygCstmrCdtTrf/Cdtr/Nm
/Document/FICdtTrf/CdtTrfTxInf/UndrlygCstmrCdtTrf/Cdtr/CtctDtls/Nm
/Document/FICdtTrf/CdtTrfTxInf/UndrlygCstmrCdtTrf/UltmtCdtr/Nm
/Document/FICdtTrf/CdtTrfTxInf/UndrlygCstmrCdtTrf/UltmtCdtr/CtctDtls/Nm
/Document/FICdtTrf/CdtTrfTxInf/UndrlygCstmrCdtTrf/Dbtr/Nm
/Document/FICdtTrf/CdtTrfTxInf/UndrlygCstmrCdtTrf/Dbtr/CtctDtls/Nm
/Document/FICdtTrf/CdtTrfTxInf/UndrlygCstmrCdtTrf/UltmtDbtr/Nm
/Document/FICdtTrf/CdtTrfTxInf/UndrlygCstmrCdtTrf/UltmtDbtr/CtctDtls/Nm
/Document/FICdtTrf/CdtTrfTxInf/UndrlygCstmrCdtTrf/InitgPty/Nm
/Document/FICdtTrf/CdtTrfTxInf/UndrlygCstmrCdtTrf/RmtInf/Strd/Invcr/Nm
/Document/FICdtTrf/CdtTrfTxInf/UndrlygCstmrCdtTrf/RmtInf/Strd/Invcr/CtctDtls/Nm
/Document/FICdtTrf/CdtTrfTxInf/UndrlygCstmrCdtTrf/RmtInf/Strd/Invcee/Nm
/Document/FICdtTrf/CdtTrfTxInf/UndrlygCstmrCdtTrf/RmtInf/Strd/Invcee/CtctDtls/Nm
/Document/FICdtTrf/CdtTrfTxInf/UndrlygCstmrCdtTrf/RmtInf/Strd/GrnshmtRmt/Grnshee/Nm
/Document/FICdtTrf/CdtTrfTxInf/UndrlygCstmrCdtTrf/RmtInf/Strd/GrnshmtRmt/Grnshee/CtctDtls/Nm
/Document/FICdtTrf/CdtTrfTxInf/UndrlygCstmrCdtTrf/RmtInf/Strd/GrnshmtRmt/GrnshmtAdmstr/Nm
/Document/FICdtTrf/CdtTrfTxInf/UndrlygCstmrCdtTrf/RmtInf/Strd/GrnshmtRmt/GrnshmtAdmstr/CtctDtls/Nm
/Document/FICdtTrf/CdtTrfTxInf/Dbtr/FinInstnId/Nm
/Document/FICdtTrf/CdtTrfTxInf/UndrlygCstmrCdtTrf/RmtInf/Strd/TaxRmt/Dbtr/Authstn/Nm
/Document/FICdtTrf/CdtTrfTxInf/UndrlygCstmrCdtTrf/RmtInf/Strd/TaxRmt/UltmtDbtr/Authstn/Nm</t>
  </si>
  <si>
    <t>pacs.009_Config_EDQ.03</t>
  </si>
  <si>
    <t>1. NSD đăng nhập EDQ Director bằng user được phân quyền
2. NSD truy cập theo đường dẫn Project/Transaction_Screening/ Reference Data/ MSB_TYPE_FOR_OBJ
3. Kiểm tra danh sách các trường được config với Type = "pacs.009.001.08" Webservice_Name = 2 và ENTITY = 'ENT'</t>
  </si>
  <si>
    <t>3. Các trường config bao gồm:
/Document/FICdtTrf/GrpHdr/SttlmInf/InstgRmbrsmntAgt/FinInstnId/BICFI
/Document/FICdtTrf/GrpHdr/SttlmInf/InstgRmbrsmntAgt/FinInstnId/Othr/Id
/Document/FICdtTrf/GrpHdr/SttlmInf/InstgRmbrsmntAgt/BrnchId/Id
/Document/FICdtTrf/GrpHdr/SttlmInf/InstdRmbrsmntAgt/FinInstnId/BICFI
/Document/FICdtTrf/GrpHdr/SttlmInf/InstdRmbrsmntAgt/FinInstnId/Othr/Id
/Document/FICdtTrf/GrpHdr/SttlmInf/InstdRmbrsmntAgt/BrnchId/Id
/Document/FICdtTrf/GrpHdr/SttlmInf/ThrdRmbrsmntAgt/FinInstnId/BICFI
/Document/FICdtTrf/GrpHdr/SttlmInf/ThrdRmbrsmntAgt/FinInstnId/Othr/Id
/Document/FICdtTrf/GrpHdr/SttlmInf/ThrdRmbrsmntAgt/BrnchId/Id
/Document/FICdtTrf/GrpHdr/InstgAgt/FinInstnId/BICFI
/Document/FICdtTrf/GrpHdr/InstgAgt/FinInstnId/Othr/Id
/Document/FICdtTrf/GrpHdr/InstgAgt/BrnchId/Id
/Document/FICdtTrf/GrpHdr/InstdAgt/FinInstnId/BICFI
/Document/FICdtTrf/GrpHdr/InstdAgt/FinInstnId/Othr/Id
/Document/FICdtTrf/GrpHdr/InstdAgt/BrnchId/Id
/Document/FICdtTrf/CdtTrfTxInf/PrvsInstgAgt1/FinInstnId/BICFI
/Document/FICdtTrf/CdtTrfTxInf/PrvsInstgAgt1/FinInstnId/Othr/Id
/Document/FICdtTrf/CdtTrfTxInf/PrvsInstgAgt1/BrnchId/Id
/Document/FICdtTrf/CdtTrfTxInf/PrvsInstgAgt2/FinInstnId/BICFI
/Document/FICdtTrf/CdtTrfTxInf/PrvsInstgAgt2/FinInstnId/Othr/Id
/Document/FICdtTrf/CdtTrfTxInf/PrvsInstgAgt2/BrnchId/Id
/Document/FICdtTrf/CdtTrfTxInf/PrvsInstgAgt3/FinInstnId/BICFI
/Document/FICdtTrf/CdtTrfTxInf/PrvsInstgAgt3/FinInstnId/Othr/Id
/Document/FICdtTrf/CdtTrfTxInf/PrvsInstgAgt3/BrnchId/Id
/Document/FICdtTrf/CdtTrfTxInf/IntrmyAgt1/FinInstnId/BICFI
/Document/FICdtTrf/CdtTrfTxInf/IntrmyAgt1/FinInstnId/Othr/Id
/Document/FICdtTrf/CdtTrfTxInf/IntrmyAgt1/BrnchId/Id
/Document/FICdtTrf/CdtTrfTxInf/IntrmyAgt2/FinInstnId/BICFI
/Document/FICdtTrf/CdtTrfTxInf/IntrmyAgt2/FinInstnId/Othr/Id
/Document/FICdtTrf/CdtTrfTxInf/IntrmyAgt2/BrnchId/Id
/Document/FICdtTrf/CdtTrfTxInf/IntrmyAgt3/FinInstnId/BICFI
/Document/FICdtTrf/CdtTrfTxInf/IntrmyAgt3/FinInstnId/Othr/Id
/Document/FICdtTrf/CdtTrfTxInf/IntrmyAgt3/BrnchId/Id
/Document/FICdtTrf/CdtTrfTxInf/DbtrAgt/FinInstnId/BICFI
/Document/FICdtTrf/CdtTrfTxInf/DbtrAgt/FinInstnId/Othr/Id
/Document/FICdtTrf/CdtTrfTxInf/DbtrAgt/BrnchId/Id
/Document/FICdtTrf/CdtTrfTxInf/CdtrAgt/FinInstnId/BICFI
/Document/FICdtTrf/CdtTrfTxInf/CdtrAgt/FinInstnId/Othr/Id
/Document/FICdtTrf/CdtTrfTxInf/CdtrAgt/BrnchId/Id
/Document/FICdtTrf/CdtTrfTxInf/InstgAgt/FinInstnId/BICFI
/Document/FICdtTrf/CdtTrfTxInf/InstgAgt/FinInstnId/Othr/Id
/Document/FICdtTrf/CdtTrfTxInf/InstgAgt/BrnchId/Id
/Document/FICdtTrf/CdtTrfTxInf/InstdAgt/FinInstnId/BICFI
/Document/FICdtTrf/CdtTrfTxInf/InstdAgt/FinInstnId/Othr/Id
/Document/FICdtTrf/CdtTrfTxInf/InstdAgt/BrnchId/Id
/Document/FICdtTrf/CdtTrfTxInf/UndrlygCstmrCdtTrf/DbtrAgt/FinInstnId/BICFI
/Document/FICdtTrf/CdtTrfTxInf/UndrlygCstmrCdtTrf/DbtrAgt/FinInstnId/Othr/Id
/Document/FICdtTrf/CdtTrfTxInf/UndrlygCstmrCdtTrf/DbtrAgt/BrnchId/Id
/Document/FICdtTrf/CdtTrfTxInf/UndrlygCstmrCdtTrf/PrvsInstgAgt1/FinInstnId/BICFI
/Document/FICdtTrf/CdtTrfTxInf/UndrlygCstmrCdtTrf/PrvsInstgAgt1/FinInstnId/Othr/Id
/Document/FICdtTrf/CdtTrfTxInf/UndrlygCstmrCdtTrf/PrvsInstgAgt1/BrnchId/Id
/Document/FICdtTrf/CdtTrfTxInf/UndrlygCstmrCdtTrf/PrvsInstgAgt2/FinInstnId/BICFI
/Document/FICdtTrf/CdtTrfTxInf/UndrlygCstmrCdtTrf/PrvsInstgAgt2/FinInstnId/Othr/Id
/Document/FICdtTrf/CdtTrfTxInf/UndrlygCstmrCdtTrf/PrvsInstgAgt2/BrnchId/Id
/Document/FICdtTrf/CdtTrfTxInf/UndrlygCstmrCdtTrf/PrvsInstgAgt3/FinInstnId/BICFI
/Document/FICdtTrf/CdtTrfTxInf/UndrlygCstmrCdtTrf/PrvsInstgAgt3/FinInstnId/Othr/Id
/Document/FICdtTrf/CdtTrfTxInf/UndrlygCstmrCdtTrf/PrvsInstgAgt3/BrnchId/Id
/Document/FICdtTrf/CdtTrfTxInf/UndrlygCstmrCdtTrf/IntrmyAgt1/FinInstnId/BICFI
/Document/FICdtTrf/CdtTrfTxInf/UndrlygCstmrCdtTrf/IntrmyAgt1/FinInstnId/Othr/Id
/Document/FICdtTrf/CdtTrfTxInf/UndrlygCstmrCdtTrf/IntrmyAgt1/BrnchId/Id
/Document/FICdtTrf/CdtTrfTxInf/UndrlygCstmrCdtTrf/IntrmyAgt2/FinInstnId/BICFI
/Document/FICdtTrf/CdtTrfTxInf/UndrlygCstmrCdtTrf/IntrmyAgt2/FinInstnId/Othr/Id
/Document/FICdtTrf/CdtTrfTxInf/UndrlygCstmrCdtTrf/IntrmyAgt2/BrnchId/Id
/Document/FICdtTrf/CdtTrfTxInf/UndrlygCstmrCdtTrf/IntrmyAgt3/FinInstnId/BICFI
/Document/FICdtTrf/CdtTrfTxInf/UndrlygCstmrCdtTrf/IntrmyAgt3/FinInstnId/Othr/Id
/Document/FICdtTrf/CdtTrfTxInf/UndrlygCstmrCdtTrf/IntrmyAgt3/BrnchId/Id
/Document/FICdtTrf/CdtTrfTxInf/UndrlygCstmrCdtTrf/CdtrAgt/FinInstnId/BICFI
/Document/FICdtTrf/CdtTrfTxInf/UndrlygCstmrCdtTrf/CdtrAgt/FinInstnId/Othr/Id
/Document/FICdtTrf/CdtTrfTxInf/UndrlygCstmrCdtTrf/CdtrAgt/BrnchId/Id
/Document/FICdtTrf/CdtTrfTxInf/Cdtr/FinInstnId/BICFI
/Document/FICdtTrf/CdtTrfTxInf/Cdtr/FinInstnId/Othr/Id
/Document/FICdtTrf/CdtTrfTxInf/Cdtr/BrnchId/Id
/Document/FICdtTrf/CdtTrfTxInf/UltmtCdtr/FinInstnId/BICFI
/Document/FICdtTrf/CdtTrfTxInf/UltmtCdtr/FinInstnId/Othr/Id
/Document/FICdtTrf/CdtTrfTxInf/UltmtCdtr/BrnchId/Id
/Document/FICdtTrf/CdtTrfTxInf/UndrlygCstmrCdtTrf/Cdtr/Id/OrgId/AnyBIC
/Document/FICdtTrf/CdtTrfTxInf/UndrlygCstmrCdtTrf/Cdtr/Id/OrgId/Othr/Id
/Document/FICdtTrf/CdtTrfTxInf/UndrlygCstmrCdtTrf/UltmtCdtr/Id/OrgId/AnyBIC
/Document/FICdtTrf/CdtTrfTxInf/UndrlygCstmrCdtTrf/UltmtCdtr/Id/OrgId/Othr/Id
/Document/FICdtTrf/CdtTrfTxInf/Dbtr/FinInstnId/BICFI
/Document/FICdtTrf/CdtTrfTxInf/Dbtr/FinInstnId/Othr/Id
/Document/FICdtTrf/CdtTrfTxInf/Dbtr/BrnchId/Id
/Document/FICdtTrf/CdtTrfTxInf/UltmtDbtr/FinInstnId/BICFI
/Document/FICdtTrf/CdtTrfTxInf/UltmtDbtr/FinInstnId/Othr/Id
/Document/FICdtTrf/CdtTrfTxInf/UltmtDbtr/BrnchId/Id
/Document/FICdtTrf/CdtTrfTxInf/UndrlygCstmrCdtTrf/Dbtr/Id/OrgId/AnyBIC
/Document/FICdtTrf/CdtTrfTxInf/UndrlygCstmrCdtTrf/Dbtr/Id/OrgId/Othr/Id
/Document/FICdtTrf/CdtTrfTxInf/UndrlygCstmrCdtTrf/UltmtDbtr/Id/OrgId/AnyBIC
/Document/FICdtTrf/CdtTrfTxInf/UndrlygCstmrCdtTrf/UltmtDbtr/Id/OrgId/Othr/Id
/Document/FICdtTrf/CdtTrfTxInf/UndrlygCstmrCdtTrf/InitgPty/Id/OrgId/AnyBIC
/Document/FICdtTrf/CdtTrfTxInf/UndrlygCstmrCdtTrf/InitgPty/Id/OrgId/Othr/Id
/Document/FICdtTrf/CdtTrfTxInf/UndrlygCstmrCdtTrf/RmtInf/Strd/Invcr/Id/OrgId/AnyBIC
/Document/FICdtTrf/CdtTrfTxInf/UndrlygCstmrCdtTrf/RmtInf/Strd/Invcr/Id/OrgId/Othr/Id
/Document/FICdtTrf/CdtTrfTxInf/UndrlygCstmrCdtTrf/RmtInf/Strd/Invcee/Id/OrgId/AnyBIC
/Document/FICdtTrf/CdtTrfTxInf/UndrlygCstmrCdtTrf/RmtInf/Strd/Invcee/Id/OrgId/Othr/Id
/Document/FICdtTrf/CdtTrfTxInf/UndrlygCstmrCdtTrf/RmtInf/Strd/GrnshmtRmt/Grnshee/Id/OrgId/AnyBIC
/Document/FICdtTrf/CdtTrfTxInf/UndrlygCstmrCdtTrf/RmtInf/Strd/GrnshmtRmt/Grnshee/Id/OrgId/Othr/Id
/Document/FICdtTrf/CdtTrfTxInf/UndrlygCstmrCdtTrf/RmtInf/Strd/GrnshmtRmt/GrnshmtAdmstr/Id/OrgId/AnyBIC
/Document/FICdtTrf/CdtTrfTxInf/UndrlygCstmrCdtTrf/RmtInf/Strd/GrnshmtRmt/GrnshmtAdmstr/Id/OrgId/Othr/Id</t>
  </si>
  <si>
    <t>pacs.009_Config_EDQ.04</t>
  </si>
  <si>
    <t>1. NSD đăng nhập EDQ Director bằng user được phân quyền
2. NSD truy cập theo đường dẫn Project/Transaction_Screening/ Reference Data/ MSB_TYPE_FOR_OBJ
3. Kiểm tra danh sách các trường được config với Type = "pacs.009.001.08" Webservice_Name = 2 và ENTITY = 'IND'</t>
  </si>
  <si>
    <t>3. Các trường config bao gồm:
/Document/FICdtTrf/CdtTrfTxInf/UndrlygCstmrCdtTrf/Cdtr/Id/PrvtId/Othr/Id
/Document/FICdtTrf/CdtTrfTxInf/UndrlygCstmrCdtTrf/UltmtCdtr/Id/PrvtId/Othr/Id
/Document/FICdtTrf/CdtTrfTxInf/UndrlygCstmrCdtTrf/Dbtr/Id/PrvtId/Othr/Id
/Document/FICdtTrf/CdtTrfTxInf/UndrlygCstmrCdtTrf/UltmtDbtr/Id/PrvtId/Othr/Id
/Document/FICdtTrf/CdtTrfTxInf/UndrlygCstmrCdtTrf/InitgPty/Id/PrvtId/Othr/Id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t>
  </si>
  <si>
    <t>pacs.009_Config_EDQ.05</t>
  </si>
  <si>
    <t>1. NSD đăng nhập EDQ Director bằng user được phân quyền
2. NSD truy cập theo đường dẫn Project/Transaction_Screening/ Reference Data/ MSB_TYPE_FOR_OBJ
3. Kiểm tra danh sách các trường được config với Type = "pacs.009.001.08" Webservice_Name = 3 và ENTITY = 'ALL'</t>
  </si>
  <si>
    <t>3. Các trường config bao gồm:
/Document/FICdtTrf/GrpHdr/SttlmInf/InstgRmbrsmntAgt/FinInstnId/BICFI
/Document/FICdtTrf/GrpHdr/SttlmInf/InstgRmbrsmntAgt/FinInstnId/PstlAdr/Ctry
/Document/FICdtTrf/GrpHdr/SttlmInf/InstgRmbrsmntAgt/BrnchId/Id
/Document/FICdtTrf/GrpHdr/SttlmInf/InstgRmbrsmntAgt/BrnchId/PstlAdr/Ctry
/Document/FICdtTrf/GrpHdr/SttlmInf/InstdRmbrsmntAgt/FinInstnId/BICFI
/Document/FICdtTrf/GrpHdr/SttlmInf/InstdRmbrsmntAgt/FinInstnId/PstlAdr/Ctry
/Document/FICdtTrf/GrpHdr/SttlmInf/InstdRmbrsmntAgt/BrnchId/Id
/Document/FICdtTrf/GrpHdr/SttlmInf/InstdRmbrsmntAgt/BrnchId/PstlAdr/Ctry
/Document/FICdtTrf/GrpHdr/SttlmInf/ThrdRmbrsmntAgt/FinInstnId/BICFI
/Document/FICdtTrf/GrpHdr/SttlmInf/ThrdRmbrsmntAgt/FinInstnId/PstlAdr/Ctry
/Document/FICdtTrf/GrpHdr/SttlmInf/ThrdRmbrsmntAgt/BrnchId/Id
/Document/FICdtTrf/GrpHdr/SttlmInf/ThrdRmbrsmntAgt/BrnchId/PstlAdr/Ctry
/Document/FICdtTrf/GrpHdr/InstgAgt/FinInstnId/BICFI
/Document/FICdtTrf/GrpHdr/InstgAgt/FinInstnId/PstlAdr/Ctry
/Document/FICdtTrf/GrpHdr/InstgAgt/BrnchId/Id
/Document/FICdtTrf/GrpHdr/InstgAgt/BrnchId/PstlAdr/Ctry
/Document/FICdtTrf/GrpHdr/InstdAgt/FinInstnId/BICFI
/Document/FICdtTrf/GrpHdr/InstdAgt/FinInstnId/PstlAdr/Ctry
/Document/FICdtTrf/GrpHdr/InstdAgt/BrnchId/Id
/Document/FICdtTrf/GrpHdr/InstdAgt/BrnchId/PstlAdr/Ctry
/Document/FICdtTrf/CdtTrfTxInf/PrvsInstgAgt1/FinInstnId/BICFI
/Document/FICdtTrf/CdtTrfTxInf/PrvsInstgAgt1/FinInstnId/PstlAdr/Ctry
/Document/FICdtTrf/CdtTrfTxInf/PrvsInstgAgt1/BrnchId/Id
/Document/FICdtTrf/CdtTrfTxInf/PrvsInstgAgt1/BrnchId/PstlAdr/Ctry
/Document/FICdtTrf/CdtTrfTxInf/PrvsInstgAgt2/FinInstnId/BICFI
/Document/FICdtTrf/CdtTrfTxInf/PrvsInstgAgt2/FinInstnId/PstlAdr/Ctry
/Document/FICdtTrf/CdtTrfTxInf/PrvsInstgAgt2/BrnchId/Id
/Document/FICdtTrf/CdtTrfTxInf/PrvsInstgAgt2/BrnchId/PstlAdr/Ctry
/Document/FICdtTrf/CdtTrfTxInf/PrvsInstgAgt3/FinInstnId/BICFI
/Document/FICdtTrf/CdtTrfTxInf/PrvsInstgAgt3/FinInstnId/PstlAdr/Ctry
/Document/FICdtTrf/CdtTrfTxInf/PrvsInstgAgt3/BrnchId/Id
/Document/FICdtTrf/CdtTrfTxInf/PrvsInstgAgt3/BrnchId/PstlAdr/Ctry
/Document/FICdtTrf/CdtTrfTxInf/IntrmyAgt1/FinInstnId/BICFI
/Document/FICdtTrf/CdtTrfTxInf/IntrmyAgt1/FinInstnId/PstlAdr/Ctry
/Document/FICdtTrf/CdtTrfTxInf/IntrmyAgt1/BrnchId/Id
/Document/FICdtTrf/CdtTrfTxInf/IntrmyAgt1/BrnchId/PstlAdr/Ctry
/Document/FICdtTrf/CdtTrfTxInf/IntrmyAgt2/FinInstnId/BICFI
/Document/FICdtTrf/CdtTrfTxInf/IntrmyAgt2/FinInstnId/PstlAdr/Ctry
/Document/FICdtTrf/CdtTrfTxInf/IntrmyAgt2/BrnchId/Id
/Document/FICdtTrf/CdtTrfTxInf/IntrmyAgt2/BrnchId/PstlAdr/Ctry
/Document/FICdtTrf/CdtTrfTxInf/IntrmyAgt3/FinInstnId/BICFI
/Document/FICdtTrf/CdtTrfTxInf/IntrmyAgt3/FinInstnId/PstlAdr/Ctry
/Document/FICdtTrf/CdtTrfTxInf/IntrmyAgt3/BrnchId/Id
/Document/FICdtTrf/CdtTrfTxInf/IntrmyAgt3/BrnchId/PstlAdr/Ctry
/Document/FICdtTrf/CdtTrfTxInf/DbtrAgt/FinInstnId/BICFI
/Document/FICdtTrf/CdtTrfTxInf/DbtrAgt/FinInstnId/PstlAdr/Ctry
/Document/FICdtTrf/CdtTrfTxInf/DbtrAgt/BrnchId/Id
/Document/FICdtTrf/CdtTrfTxInf/DbtrAgt/BrnchId/PstlAdr/Ctry
/Document/FICdtTrf/CdtTrfTxInf/CdtrAgt/FinInstnId/BICFI
/Document/FICdtTrf/CdtTrfTxInf/CdtrAgt/FinInstnId/PstlAdr/Ctry
/Document/FICdtTrf/CdtTrfTxInf/CdtrAgt/BrnchId/Id
/Document/FICdtTrf/CdtTrfTxInf/CdtrAgt/BrnchId/PstlAdr/Ctry
/Document/FICdtTrf/CdtTrfTxInf/InstgAgt/FinInstnId/BICFI
/Document/FICdtTrf/CdtTrfTxInf/InstgAgt/FinInstnId/PstlAdr/Ctry
/Document/FICdtTrf/CdtTrfTxInf/InstgAgt/BrnchId/Id
/Document/FICdtTrf/CdtTrfTxInf/InstgAgt/BrnchId/PstlAdr/Ctry
/Document/FICdtTrf/CdtTrfTxInf/InstdAgt/FinInstnId/BICFI
/Document/FICdtTrf/CdtTrfTxInf/InstdAgt/FinInstnId/PstlAdr/Ctry
/Document/FICdtTrf/CdtTrfTxInf/InstdAgt/BrnchId/Id
/Document/FICdtTrf/CdtTrfTxInf/InstdAgt/BrnchId/PstlAdr/Ctry
/Document/FICdtTrf/CdtTrfTxInf/UndrlygCstmrCdtTrf/DbtrAgt/FinInstnId/BICFI
/Document/FICdtTrf/CdtTrfTxInf/UndrlygCstmrCdtTrf/DbtrAgt/FinInstnId/PstlAdr/Ctry
/Document/FICdtTrf/CdtTrfTxInf/UndrlygCstmrCdtTrf/DbtrAgt/BrnchId/Id
/Document/FICdtTrf/CdtTrfTxInf/UndrlygCstmrCdtTrf/DbtrAgt/BrnchId/PstlAdr/Ctry
/Document/FICdtTrf/CdtTrfTxInf/UndrlygCstmrCdtTrf/PrvsInstgAgt1/FinInstnId/BICFI
/Document/FICdtTrf/CdtTrfTxInf/UndrlygCstmrCdtTrf/PrvsInstgAgt1/FinInstnId/PstlAdr/Ctry
/Document/FICdtTrf/CdtTrfTxInf/UndrlygCstmrCdtTrf/PrvsInstgAgt1/BrnchId/Id
/Document/FICdtTrf/CdtTrfTxInf/UndrlygCstmrCdtTrf/PrvsInstgAgt1/BrnchId/PstlAdr/Ctry
/Document/FICdtTrf/CdtTrfTxInf/UndrlygCstmrCdtTrf/PrvsInstgAgt2/FinInstnId/BICFI
/Document/FICdtTrf/CdtTrfTxInf/UndrlygCstmrCdtTrf/PrvsInstgAgt2/FinInstnId/PstlAdr/Ctry
/Document/FICdtTrf/CdtTrfTxInf/UndrlygCstmrCdtTrf/PrvsInstgAgt2/BrnchId/Id
/Document/FICdtTrf/CdtTrfTxInf/UndrlygCstmrCdtTrf/PrvsInstgAgt2/BrnchId/PstlAdr/Ctry
/Document/FICdtTrf/CdtTrfTxInf/UndrlygCstmrCdtTrf/PrvsInstgAgt3/FinInstnId/BICFI
/Document/FICdtTrf/CdtTrfTxInf/UndrlygCstmrCdtTrf/PrvsInstgAgt3/FinInstnId/PstlAdr/Ctry
/Document/FICdtTrf/CdtTrfTxInf/UndrlygCstmrCdtTrf/PrvsInstgAgt3/BrnchId/Id
/Document/FICdtTrf/CdtTrfTxInf/UndrlygCstmrCdtTrf/PrvsInstgAgt3/BrnchId/PstlAdr/Ctry
/Document/FICdtTrf/CdtTrfTxInf/UndrlygCstmrCdtTrf/IntrmyAgt1/FinInstnId/BICFI
/Document/FICdtTrf/CdtTrfTxInf/UndrlygCstmrCdtTrf/IntrmyAgt1/FinInstnId/PstlAdr/Ctry
/Document/FICdtTrf/CdtTrfTxInf/UndrlygCstmrCdtTrf/IntrmyAgt1/BrnchId/Id
/Document/FICdtTrf/CdtTrfTxInf/UndrlygCstmrCdtTrf/IntrmyAgt1/BrnchId/PstlAdr/Ctry
/Document/FICdtTrf/CdtTrfTxInf/UndrlygCstmrCdtTrf/IntrmyAgt2/FinInstnId/BICFI
/Document/FICdtTrf/CdtTrfTxInf/UndrlygCstmrCdtTrf/IntrmyAgt2/FinInstnId/PstlAdr/Ctry
/Document/FICdtTrf/CdtTrfTxInf/UndrlygCstmrCdtTrf/IntrmyAgt2/BrnchId/Id
/Document/FICdtTrf/CdtTrfTxInf/UndrlygCstmrCdtTrf/IntrmyAgt2/BrnchId/PstlAdr/Ctry
/Document/FICdtTrf/CdtTrfTxInf/UndrlygCstmrCdtTrf/IntrmyAgt3/FinInstnId/BICFI
/Document/FICdtTrf/CdtTrfTxInf/UndrlygCstmrCdtTrf/IntrmyAgt3/FinInstnId/PstlAdr/Ctry
/Document/FICdtTrf/CdtTrfTxInf/UndrlygCstmrCdtTrf/IntrmyAgt3/BrnchId/Id
/Document/FICdtTrf/CdtTrfTxInf/UndrlygCstmrCdtTrf/IntrmyAgt3/BrnchId/PstlAdr/Ctry
/Document/FICdtTrf/CdtTrfTxInf/UndrlygCstmrCdtTrf/CdtrAgt/FinInstnId/BICFI
/Document/FICdtTrf/CdtTrfTxInf/UndrlygCstmrCdtTrf/CdtrAgt/FinInstnId/PstlAdr/Ctry
/Document/FICdtTrf/CdtTrfTxInf/UndrlygCstmrCdtTrf/CdtrAgt/BrnchId/Id
/Document/FICdtTrf/CdtTrfTxInf/UndrlygCstmrCdtTrf/CdtrAgt/BrnchId/PstlAdr/Ctry
/Document/FICdtTrf/CdtTrfTxInf/Cdtr/FinInstnId/BICFI
/Document/FICdtTrf/CdtTrfTxInf/Cdtr/FinInstnId/PstlAdr/Ctry
/Document/FICdtTrf/CdtTrfTxInf/Cdtr/BrnchId/Id
/Document/FICdtTrf/CdtTrfTxInf/Cdtr/BrnchId/PstlAdr/Ctry
/Document/FICdtTrf/CdtTrfTxInf/UltmtCdtr/FinInstnId/BICFI
/Document/FICdtTrf/CdtTrfTxInf/UltmtCdtr/FinInstnId/PstlAdr/Ctry
/Document/FICdtTrf/CdtTrfTxInf/UltmtCdtr/BrnchId/Id
/Document/FICdtTrf/CdtTrfTxInf/UltmtCdtr/BrnchId/PstlAdr/Ctry
/Document/FICdtTrf/CdtTrfTxInf/UndrlygCstmrCdtTrf/Cdtr/PstlAdr/Ctry
/Document/FICdtTrf/CdtTrfTxInf/UndrlygCstmrCdtTrf/Cdtr/Id/OrgId/AnyBIC
/Document/FICdtTrf/CdtTrfTxInf/UndrlygCstmrCdtTrf/Cdtr/Id/PrvtId/DtAndPlcOfBirth/CtryOfBirth
/Document/FICdtTrf/CdtTrfTxInf/UndrlygCstmrCdtTrf/Cdtr/CtryOfRes
/Document/FICdtTrf/CdtTrfTxInf/UndrlygCstmrCdtTrf/UltmtCdtr/PstlAdr/Ctry
/Document/FICdtTrf/CdtTrfTxInf/UndrlygCstmrCdtTrf/UltmtCdtr/Id/OrgId/AnyBIC
/Document/FICdtTrf/CdtTrfTxInf/UndrlygCstmrCdtTrf/UltmtCdtr/Id/PrvtId/DtAndPlcOfBirth/CtryOfBirth
/Document/FICdtTrf/CdtTrfTxInf/UndrlygCstmrCdtTrf/UltmtCdtr/CtryOfRes
/Document/FICdtTrf/CdtTrfTxInf/Dbtr/FinInstnId/BICFI
/Document/FICdtTrf/CdtTrfTxInf/Dbtr/FinInstnId/PstlAdr/Ctry
/Document/FICdtTrf/CdtTrfTxInf/Dbtr/BrnchId/Id
/Document/FICdtTrf/CdtTrfTxInf/Dbtr/BrnchId/PstlAdr/Ctry
/Document/FICdtTrf/CdtTrfTxInf/UltmtDbtr/FinInstnId/BICFI
/Document/FICdtTrf/CdtTrfTxInf/UltmtDbtr/FinInstnId/PstlAdr/Ctry
/Document/FICdtTrf/CdtTrfTxInf/UltmtDbtr/BrnchId/Id
/Document/FICdtTrf/CdtTrfTxInf/UltmtDbtr/BrnchId/PstlAdr/Ctry
/Document/FICdtTrf/CdtTrfTxInf/UndrlygCstmrCdtTrf/Dbtr/PstlAdr/Ctry
/Document/FICdtTrf/CdtTrfTxInf/UndrlygCstmrCdtTrf/Dbtr/Id/OrgId/AnyBIC
/Document/FICdtTrf/CdtTrfTxInf/UndrlygCstmrCdtTrf/Dbtr/Id/PrvtId/DtAndPlcOfBirth/CtryOfBirth
/Document/FICdtTrf/CdtTrfTxInf/UndrlygCstmrCdtTrf/Dbtr/CtryOfRes
/Document/FICdtTrf/CdtTrfTxInf/UndrlygCstmrCdtTrf/UltmtDbtr/PstlAdr/Ctry
/Document/FICdtTrf/CdtTrfTxInf/UndrlygCstmrCdtTrf/UltmtDbtr/Id/OrgId/AnyBIC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/Document/FICdtTrf/CdtTrfTxInf/UndrlygCstmrCdtTrf/InitgPty/Id/OrgId/AnyBIC
/Document/FICdtTrf/CdtTrfTxInf/UndrlygCstmrCdtTrf/InitgPty/CtryOfRes
/Document/FICdtTrf/CdtTrfTxInf/UndrlygCstmrCdtTrf/RmtInf/Strd/Invcr/PstlAdr/Ctry
/Document/FICdtTrf/CdtTrfTxInf/UndrlygCstmrCdtTrf/RmtInf/Strd/Invcr/Id/OrgId/AnyBIC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/Document/FICdtTrf/CdtTrfTxInf/UndrlygCstmrCdtTrf/RmtInf/Strd/Invcee/Id/OrgId/AnyBIC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/Document/FICdtTrf/CdtTrfTxInf/UndrlygCstmrCdtTrf/RmtInf/Strd/GrnshmtRmt/Grnshee/Id/OrgId/AnyBIC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/Document/FICdtTrf/CdtTrfTxInf/UndrlygCstmrCdtTrf/RmtInf/Strd/GrnshmtRmt/GrnshmtAdmstr/Id/OrgId/AnyBIC
/Document/FICdtTrf/CdtTrfTxInf/UndrlygCstmrCdtTrf/RmtInf/Strd/GrnshmtRmt/GrnshmtAdmstr/Id/PrvtId/DtAndPlcOfBirth/CtryOfBirth
/Document/FICdtTrf/CdtTrfTxInf/UndrlygCstmrCdtTrf/RmtInf/Strd/GrnshmtRmt/GrnshmtAdmstr/CtryOfRes</t>
  </si>
  <si>
    <t>pacs.009_Config_EDQ.06</t>
  </si>
  <si>
    <t>1. NSD đăng nhập EDQ Director bằng user được phân quyền
2. NSD truy cập theo đường dẫn Project/Transaction_Screening/ Reference Data/ MSB_TYPE_FOR_OBJ
3. Kiểm tra danh sách các trường được config với Type = "pacs.009.001.08" Webservice_Name = 4 và ENTITY = 'ALL'</t>
  </si>
  <si>
    <t>3. Các trường config bao gồm:
/Document/FICdtTrf/CdtTrfTxInf/InstrForCdtrAgt/InstrInf
/Document/FICdtTrf/CdtTrfTxInf/InstrForNxtAgt/InstrInf
/Document/FICdtTrf/CdtTrfTxInf/RmtInf/Ustrd
/Document/FICdtTrf/CdtTrfTxInf/UndrlygCstmrCdtTrf/InstrForCdtrAgt/InstrInf
/Document/FICdtTrf/CdtTrfTxInf/UndrlygCstmrCdtTrf/InstrForNxtAgt/InstrInf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t>
  </si>
  <si>
    <t>Kiểm tra cấu hình sàng lọc trường dữ liệu với chủ thể đối với điện pacs.004</t>
  </si>
  <si>
    <t>pacs.004_Config_EDQ.01</t>
  </si>
  <si>
    <t>1. NSD đăng nhập EDQ Director bằng user được phân quyền
2. NSD truy cập theo đường dẫn Project/Transaction_Screening/ Reference Data/ MSB_TYPE_FOR_OBJ
3. Kiểm tra danh sách các trường được config với Type = "pacs.004.001.09" Webservice_Name = 1 và ENTITY = 'ENT'</t>
  </si>
  <si>
    <t>3. Các trường config bao gồm:
/Document/PmtRtr/TxInf/ChrgsInf/Agt/FinInstnId/BICFI
/Document/PmtRtr/TxInf/ChrgsInf/Agt/FinInstnId/Nm
/Document/PmtRtr/TxInf/InstgAgt/FinInstnId/BICFI
/Document/PmtRtr/TxInf/InstdAgt/FinInstnId/BICFI
/Document/PmtRtr/TxInf/RtrChain/UltmtDbtr/Pty/Nm
/Document/PmtRtr/TxInf/RtrChain/UltmtDbtr/Pty/Id/OrgId/AnyBIC
/Document/PmtRtr/TxInf/RtrChain/Dbtr/Pty/Nm
/Document/PmtRtr/TxInf/RtrChain/Dbtr/Pty/Id/OrgId/AnyBIC
/Document/PmtRtr/TxInf/RtrChain/Dbtr/Agt/FinInstnId/BICFI
/Document/PmtRtr/TxInf/RtrChain/Dbtr/Agt/FinInstnId/Nm
/Document/PmtRtr/TxInf/RtrChain/InitgPty/Pty/Nm
/Document/PmtRtr/TxInf/RtrChain/InitgPty/Pty/Id/OrgId/AnyBIC
/Document/PmtRtr/TxInf/RtrChain/DbtrAgt/FinInstnId/BICFI
/Document/PmtRtr/TxInf/RtrChain/DbtrAgt/FinInstnId/Nm
/Document/PmtRtr/TxInf/RtrChain/PrvsInstgAgt1/FinInstnId/BICFI
/Document/PmtRtr/TxInf/RtrChain/PrvsInstgAgt1/FinInstnId/Nm
/Document/PmtRtr/TxInf/RtrChain/PrvsInstgAgt2/FinInstnId/BICFI
/Document/PmtRtr/TxInf/RtrChain/PrvsInstgAgt2/FinInstnId/Nm
/Document/PmtRtr/TxInf/RtrChain/PrvsInstgAgt3/FinInstnId/BICFI
/Document/PmtRtr/TxInf/RtrChain/PrvsInstgAgt3/FinInstnId/Nm
/Document/PmtRtr/TxInf/RtrChain/IntrmyAgt1/FinInstnId/BICFI
/Document/PmtRtr/TxInf/RtrChain/IntrmyAgt1/FinInstnId/Nm
/Document/PmtRtr/TxInf/RtrChain/IntrmyAgt2/FinInstnId/BICFI
/Document/PmtRtr/TxInf/RtrChain/IntrmyAgt2/FinInstnId/Nm
/Document/PmtRtr/TxInf/RtrChain/IntrmyAgt3/FinInstnId/BICFI
/Document/PmtRtr/TxInf/RtrChain/IntrmyAgt3/FinInstnId/Nm
/Document/PmtRtr/TxInf/RtrChain/CdtrAgt/FinInstnId/BICFI
/Document/PmtRtr/TxInf/RtrChain/CdtrAgt/FinInstnId/Nm
/Document/PmtRtr/TxInf/RtrChain/Cdtr/Pty/Nm
/Document/PmtRtr/TxInf/RtrChain/Cdtr/Pty/Id/OrgId/AnyBIC
/Document/PmtRtr/TxInf/RtrChain/Cdtr/Agt/FinInstnId/BICFI
/Document/PmtRtr/TxInf/RtrChain/Cdtr/Agt/FinInstnId/Nm
/Document/PmtRtr/TxInf/RtrChain/UltmtCdtr/Pty/Nm
/Document/PmtRtr/TxInf/RtrChain/UltmtCdtr/Pty/Id/OrgId/AnyBIC
/Document/PmtRtr/TxInf/RtrRsnInf/Orgtr/Nm
/Document/PmtRtr/TxInf/RtrRsnInf/Orgtr/Id/OrgId/AnyBIC
/Document/PmtRtr/TxInf/OrgnlTxRef/CdtrSchmeId/Nm
/Document/PmtRtr/TxInf/OrgnlTxRef/CdtrSchmeId/Id/OrgId/AnyBIC
/Document/PmtRtr/TxInf/OrgnlTxRef/SttlmInf/InstgRmbrsmntAgt/FinInstnId/BICFI
/Document/PmtRtr/TxInf/OrgnlTxRef/SttlmInf/InstgRmbrsmntAgt/FinInstnId/Nm
/Document/PmtRtr/TxInf/OrgnlTxRef/SttlmInf/InstdRmbrsmntAgt/FinInstnId/BICFI
/Document/PmtRtr/TxInf/OrgnlTxRef/SttlmInf/InstdRmbrsmntAgt/FinInstnId/Nm
/Document/PmtRtr/TxInf/OrgnlTxRef/SttlmInf/ThrdRmbrsmntAgt/FinInstnId/BICFI
/Document/PmtRtr/TxInf/OrgnlTxRef/SttlmInf/ThrdRmbrsmntAgt/FinInstnId/Nm
/Document/PmtRtr/TxInf/OrgnlTxRef/RmtInf/Strd/Invcr/Nm
/Document/PmtRtr/TxInf/OrgnlTxRef/RmtInf/Strd/Invcr/Id/OrgId/AnyBIC
/Document/PmtRtr/TxInf/OrgnlTxRef/RmtInf/Strd/Invcee/Nm
/Document/PmtRtr/TxInf/OrgnlTxRef/RmtInf/Strd/Invcee/Id/OrgId/AnyBIC
/Document/PmtRtr/TxInf/OrgnlTxRef/RmtInf/Strd/TaxRmt/Dbtr/Authstn/Nm
/Document/PmtRtr/TxInf/OrgnlTxRef/RmtInf/Strd/TaxRmt/UltmtDbtr/Authstn/Nm
/Document/PmtRtr/TxInf/OrgnlTxRef/RmtInf/Strd/GrnshmtRmt/Grnshee/Nm
/Document/PmtRtr/TxInf/OrgnlTxRef/RmtInf/Strd/GrnshmtRmt/Grnshee/Id/OrgId/AnyBIC
/Document/PmtRtr/TxInf/OrgnlTxRef/RmtInf/Strd/GrnshmtRmt/GrnshmtAdmstr/Nm
/Document/PmtRtr/TxInf/OrgnlTxRef/RmtInf/Strd/GrnshmtRmt/GrnshmtAdmstr/Id/OrgId/AnyBIC
/Document/PmtRtr/TxInf/OrgnlTxRef/UltmtDbtr/Pty/Nm
/Document/PmtRtr/TxInf/OrgnlTxRef/UltmtDbtr/Pty/Id/OrgId/AnyBIC
/Document/PmtRtr/TxInf/OrgnlTxRef/Dbtr/Pty/Nm
/Document/PmtRtr/TxInf/OrgnlTxRef/Dbtr/Pty/Id/OrgId/AnyBIC
/Document/PmtRtr/TxInf/OrgnlTxRef/Dbtr/Agt/FinInstnId/BICFI
/Document/PmtRtr/TxInf/OrgnlTxRef/Dbtr/Agt/FinInstnId/Nm
/Document/PmtRtr/TxInf/OrgnlTxRef/DbtrAgt/FinInstnId/BICFI
/Document/PmtRtr/TxInf/OrgnlTxRef/DbtrAgt/FinInstnId/Nm
/Document/PmtRtr/TxInf/OrgnlTxRef/CdtrAgt/FinInstnId/BICFI
/Document/PmtRtr/TxInf/OrgnlTxRef/CdtrAgt/FinInstnId/Nm
/Document/PmtRtr/TxInf/OrgnlTxRef/Cdtr/Pty/Nm
/Document/PmtRtr/TxInf/OrgnlTxRef/Cdtr/Pty/Id/OrgId/AnyBIC
/Document/PmtRtr/TxInf/OrgnlTxRef/Cdtr/Agt/FinInstnId/BICFI
/Document/PmtRtr/TxInf/OrgnlTxRef/Cdtr/Agt/FinInstnId/Nm
/Document/PmtRtr/TxInf/OrgnlTxRef/UltmtCdtr/Pty/Nm
/Document/PmtRtr/TxInf/OrgnlTxRef/UltmtCdtr/Pty/Id/OrgId/AnyBIC</t>
  </si>
  <si>
    <t>pacs.004_Config_EDQ.02</t>
  </si>
  <si>
    <t>1. NSD đăng nhập EDQ Director bằng user được phân quyền
2. NSD truy cập theo đường dẫn Project/Transaction_Screening/ Reference Data/ MSB_TYPE_FOR_OBJ
3. Kiểm tra danh sách các trường được config với Type = "pacs.004.001.09" Webservice_Name = 1 và ENTITY = 'IND'</t>
  </si>
  <si>
    <t>3. Các trường config bao gồm:
/Document/PmtRtr/TxInf/RtrChain/UltmtDbtr/Pty/Nm
/Document/PmtRtr/TxInf/RtrChain/Dbtr/Pty/Nm
/Document/PmtRtr/TxInf/RtrChain/InitgPty/Pty/Nm
/Document/PmtRtr/TxInf/RtrChain/Cdtr/Pty/Nm
/Document/PmtRtr/TxInf/RtrChain/UltmtCdtr/Pty/Nm
/Document/PmtRtr/TxInf/RtrRsnInf/Orgtr/Nm
/Document/PmtRtr/TxInf/OrgnlTxRef/RmtInf/Strd/Invcr/Nm
/Document/PmtRtr/TxInf/OrgnlTxRef/RmtInf/Strd/Invcee/Nm
/Document/PmtRtr/TxInf/OrgnlTxRef/RmtInf/Strd/TaxRmt/Dbtr/Authstn/Nm
/Document/PmtRtr/TxInf/OrgnlTxRef/RmtInf/Strd/TaxRmt/UltmtDbtr/Authstn/Nm
/Document/PmtRtr/TxInf/OrgnlTxRef/RmtInf/Strd/GrnshmtRmt/Grnshee/Nm
/Document/PmtRtr/TxInf/OrgnlTxRef/RmtInf/Strd/GrnshmtRmt/GrnshmtAdmstr/Nm
/Document/PmtRtr/TxInf/OrgnlTxRef/UltmtDbtr/Pty/Nm
/Document/PmtRtr/TxInf/OrgnlTxRef/Dbtr/Pty/Nm
/Document/PmtRtr/TxInf/OrgnlTxRef/Dbtr/Agt/FinInstnId/Nm
/Document/PmtRtr/TxInf/OrgnlTxRef/CdtrAgt/FinInstnId/Nm
/Document/PmtRtr/TxInf/OrgnlTxRef/Cdtr/Pty/Nm
/Document/PmtRtr/TxInf/OrgnlTxRef/UltmtCdtr/Pty/Nm</t>
  </si>
  <si>
    <t>pacs.004_Config_EDQ.03</t>
  </si>
  <si>
    <t>1. NSD đăng nhập EDQ Director bằng user được phân quyền
2. NSD truy cập theo đường dẫn Project/Transaction_Screening/ Reference Data/ MSB_TYPE_FOR_OBJ
3. Kiểm tra danh sách các trường được config với Type = "pacs.004.001.09" Webservice_Name = 2 và ENTITY = 'ENT'</t>
  </si>
  <si>
    <t>3. Các trường config bao gồm:
/Document/PmtRtr/TxInf/ChrgsInf/Agt/FinInstnId/BICFI
/Document/PmtRtr/TxInf/InstgAgt/FinInstnId/BICFI
/Document/PmtRtr/TxInf/InstdAgt/FinInstnId/BICFI
/Document/PmtRtr/TxInf/RtrChain/UltmtDbtr/Pty/Id/OrgId/AnyBIC
/Document/PmtRtr/TxInf/RtrChain/UltmtDbtr/Pty/Id/OrgId/Othr/Id
/Document/PmtRtr/TxInf/RtrChain/Dbtr/Pty/Id/OrgId/AnyBIC
/Document/PmtRtr/TxInf/RtrChain/Dbtr/Pty/Id/OrgId/Othr/Id
/Document/PmtRtr/TxInf/RtrChain/Dbtr/Agt/FinInstnId/BICFI
/Document/PmtRtr/TxInf/RtrChain/InitgPty/Pty/Id/OrgId/AnyBIC
/Document/PmtRtr/TxInf/RtrChain/InitgPty/Pty/Id/OrgId/Othr/Id
/Document/PmtRtr/TxInf/RtrChain/DbtrAgt/FinInstnId/BICFI
/Document/PmtRtr/TxInf/RtrChain/PrvsInstgAgt1/FinInstnId/BICFI
/Document/PmtRtr/TxInf/RtrChain/PrvsInstgAgt2/FinInstnId/BICFI
/Document/PmtRtr/TxInf/RtrChain/PrvsInstgAgt3/FinInstnId/BICFI
/Document/PmtRtr/TxInf/RtrChain/IntrmyAgt1/FinInstnId/BICFI
/Document/PmtRtr/TxInf/RtrChain/IntrmyAgt2/FinInstnId/BICFI
/Document/PmtRtr/TxInf/RtrChain/IntrmyAgt3/FinInstnId/BICFI
/Document/PmtRtr/TxInf/RtrChain/CdtrAgt/FinInstnId/BICFI
/Document/PmtRtr/TxInf/RtrChain/Cdtr/Pty/Id/OrgId/AnyBIC
/Document/PmtRtr/TxInf/RtrChain/Cdtr/Pty/Id/OrgId/Othr/Id
/Document/PmtRtr/TxInf/RtrChain/Cdtr/Agt/FinInstnId/BICFI
/Document/PmtRtr/TxInf/RtrChain/UltmtCdtr/Pty/Id/OrgId/AnyBIC
/Document/PmtRtr/TxInf/RtrChain/UltmtCdtr/Pty/Id/OrgId/Othr/Id
/Document/PmtRtr/TxInf/RtrRsnInf/Orgtr/Id/OrgId/AnyBIC
/Document/PmtRtr/TxInf/RtrRsnInf/Orgtr/Id/OrgId/Othr/Id
/Document/PmtRtr/TxInf/OrgnlTxRef/CdtrSchmeId/Id/OrgId/AnyBIC
/Document/PmtRtr/TxInf/OrgnlTxRef/CdtrSchmeId/Id/OrgId/Othr/Id
/Document/PmtRtr/TxInf/OrgnlTxRef/SttlmInf/InstgRmbrsmntAgt/FinInstnId/BICFI
/Document/PmtRtr/TxInf/OrgnlTxRef/SttlmInf/InstdRmbrsmntAgt/FinInstnId/BICFI
/Document/PmtRtr/TxInf/OrgnlTxRef/SttlmInf/ThrdRmbrsmntAgt/FinInstnId/BICFI
/Document/PmtRtr/TxInf/OrgnlTxRef/RmtInf/Strd/Invcr/Id/OrgId/AnyBIC
/Document/PmtRtr/TxInf/OrgnlTxRef/RmtInf/Strd/Invcr/Id/OrgId/Othr/Id
/Document/PmtRtr/TxInf/OrgnlTxRef/RmtInf/Strd/Invcee/Id/OrgId/AnyBIC
/Document/PmtRtr/TxInf/OrgnlTxRef/RmtInf/Strd/Invcee/Id/OrgId/Othr/Id
/Document/PmtRtr/TxInf/OrgnlTxRef/RmtInf/Strd/GrnshmtRmt/Grnshee/Id/OrgId/AnyBIC
/Document/PmtRtr/TxInf/OrgnlTxRef/RmtInf/Strd/GrnshmtRmt/Grnshee/Id/OrgId/Othr/Id
/Document/PmtRtr/TxInf/OrgnlTxRef/RmtInf/Strd/GrnshmtRmt/GrnshmtAdmstr/Id/OrgId/AnyBIC
/Document/PmtRtr/TxInf/OrgnlTxRef/RmtInf/Strd/GrnshmtRmt/GrnshmtAdmstr/Id/OrgId/Othr/Id
/Document/PmtRtr/TxInf/OrgnlTxRef/UltmtDbtr/Pty/Id/OrgId/AnyBIC
/Document/PmtRtr/TxInf/OrgnlTxRef/UltmtDbtr/Pty/Id/OrgId/Othr/Id
/Document/PmtRtr/TxInf/OrgnlTxRef/Dbtr/Pty/Id/OrgId/AnyBIC
/Document/PmtRtr/TxInf/OrgnlTxRef/Dbtr/Pty/Id/OrgId/Othr/Id
/Document/PmtRtr/TxInf/OrgnlTxRef/Dbtr/Agt/FinInstnId/BICFI
/Document/PmtRtr/TxInf/OrgnlTxRef/Dbtr/Agt/FinInstnId/Othr/Id
/Document/PmtRtr/TxInf/OrgnlTxRef/DbtrAgt/FinInstnId/BICFI
/Document/PmtRtr/TxInf/OrgnlTxRef/CdtrAgt/FinInstnId/BICFI
/Document/PmtRtr/TxInf/OrgnlTxRef/Cdtr/Pty/Id/OrgId/AnyBIC
/Document/PmtRtr/TxInf/OrgnlTxRef/Cdtr/Pty/Id/OrgId/Othr/Id
/Document/PmtRtr/TxInf/OrgnlTxRef/Cdtr/Agt/FinInstnId/BICFI
/Document/PmtRtr/TxInf/OrgnlTxRef/Cdtr/Agt/FinInstnId/Othr/Id
/Document/PmtRtr/TxInf/OrgnlTxRef/UltmtCdtr/Pty/Id/OrgId/AnyBIC
/Document/PmtRtr/TxInf/OrgnlTxRef/UltmtCdtr/Pty/Id/OrgId/Othr/Id</t>
  </si>
  <si>
    <t>pacs.004_Config_EDQ.04</t>
  </si>
  <si>
    <t>1. NSD đăng nhập EDQ Director bằng user được phân quyền
2. NSD truy cập theo đường dẫn Project/Transaction_Screening/ Reference Data/ MSB_TYPE_FOR_OBJ
3. Kiểm tra danh sách các trường được config với Type = "pacs.004.001.09" Webservice_Name = 2 và ENTITY = 'IND'</t>
  </si>
  <si>
    <t>3. Các trường config bao gồm:
/Document/PmtRtr/TxInf/RtrChain/UltmtDbtr/Pty/Id/PrvtId/Othr/Id
/Document/PmtRtr/TxInf/RtrChain/Dbtr/Pty/Id/PrvtId/Othr/Id
/Document/PmtRtr/TxInf/RtrChain/InitgPty/Pty/Id/PrvtId/Othr/Id
/Document/PmtRtr/TxInf/RtrChain/Cdtr/Pty/Id/PrvtId/Othr/Id
/Document/PmtRtr/TxInf/RtrChain/UltmtCdtr/Pty/Id/PrvtId/Othr/Id
/Document/PmtRtr/TxInf/RtrRsnInf/Orgtr/Id/PrvtId/Othr/Id
/Document/PmtRtr/TxInf/OrgnlTxRef/CdtrSchmeId/Id/PrvtId/Othr/Id
/Document/PmtRtr/TxInf/OrgnlTxRef/RmtInf/Strd/Invcr/Id/PrvtId/Othr/Id
/Document/PmtRtr/TxInf/OrgnlTxRef/RmtInf/Strd/Invcee/Id/PrvtId/Othr/Id
/Document/PmtRtr/TxInf/OrgnlTxRef/RmtInf/Strd/GrnshmtRmt/Grnshee/Id/PrvtId/Othr/Id
/Document/PmtRtr/TxInf/OrgnlTxRef/RmtInf/Strd/GrnshmtRmt/GrnshmtAdmstr/Id/PrvtId/Othr/Id
/Document/PmtRtr/TxInf/OrgnlTxRef/UltmtDbtr/Pty/Id/PrvtId/Othr/Id
/Document/PmtRtr/TxInf/OrgnlTxRef/Dbtr/Pty/Id/PrvtId/Othr/Id
/Document/PmtRtr/TxInf/OrgnlTxRef/Cdtr/Pty/Id/PrvtId/Othr/Id
/Document/PmtRtr/TxInf/OrgnlTxRef/UltmtCdtr/Pty/Id/PrvtId/Othr/Id</t>
  </si>
  <si>
    <t>pacs.004_Config_EDQ.05</t>
  </si>
  <si>
    <t>1. NSD đăng nhập EDQ Director bằng user được phân quyền
2. NSD truy cập theo đường dẫn Project/Transaction_Screening/ Reference Data/ MSB_TYPE_FOR_OBJ
3. Kiểm tra danh sách các trường được config với Type = "pacs.004.001.09" Webservice_Name = 3 và ENTITY = 'ALL'</t>
  </si>
  <si>
    <t>3. Các trường config bao gồm:
/Document/PmtRtr/TxInf/ChrgsInf/Agt/FinInstnId/BICFI
/Document/PmtRtr/TxInf/ChrgsInf/Agt/FinInstnId/PstlAdr/Ctry
/Document/PmtRtr/TxInf/InstgAgt/FinInstnId/BICFI
/Document/PmtRtr/TxInf/InstdAgt/FinInstnId/BICFI
/Document/PmtRtr/TxInf/RtrChain/UltmtDbtr/Pty/PstlAdr/Ctry
/Document/PmtRtr/TxInf/RtrChain/UltmtDbtr/Pty/Id/OrgId/AnyBIC
/Document/PmtRtr/TxInf/RtrChain/UltmtDbtr/Pty/Id/PrvtId/DtAndPlcOfBirth/CtryOfBirth
/Document/PmtRtr/TxInf/RtrChain/UltmtDbtr/Pty/CtryOfRes
/Document/PmtRtr/TxInf/RtrChain/Dbtr/Pty/PstlAdr/Ctry
/Document/PmtRtr/TxInf/RtrChain/Dbtr/Pty/Id/OrgId/AnyBIC
/Document/PmtRtr/TxInf/RtrChain/Dbtr/Pty/Id/PrvtId/DtAndPlcOfBirth/CtryOfBirth
/Document/PmtRtr/TxInf/RtrChain/Dbtr/Pty/CtryOfRes
/Document/PmtRtr/TxInf/RtrChain/Dbtr/Agt/FinInstnId/BICFI
/Document/PmtRtr/TxInf/RtrChain/Dbtr/Agt/FinInstnId/PstlAdr/Ctry
/Document/PmtRtr/TxInf/RtrChain/InitgPty/Pty/PstlAdr/Ctry
/Document/PmtRtr/TxInf/RtrChain/InitgPty/Pty/Id/OrgId/AnyBIC
/Document/PmtRtr/TxInf/RtrChain/InitgPty/Pty/Id/PrvtId/DtAndPlcOfBirth/CtryOfBirth
/Document/PmtRtr/TxInf/RtrChain/InitgPty/Pty/CtryOfRes
/Document/PmtRtr/TxInf/RtrChain/DbtrAgt/FinInstnId/BICFI
/Document/PmtRtr/TxInf/RtrChain/DbtrAgt/FinInstnId/PstlAdr/Ctry
/Document/PmtRtr/TxInf/RtrChain/PrvsInstgAgt1/FinInstnId/BICFI
/Document/PmtRtr/TxInf/RtrChain/PrvsInstgAgt1/FinInstnId/PstlAdr/Ctry
/Document/PmtRtr/TxInf/RtrChain/PrvsInstgAgt2/FinInstnId/BICFI
/Document/PmtRtr/TxInf/RtrChain/PrvsInstgAgt2/FinInstnId/PstlAdr/Ctry
/Document/PmtRtr/TxInf/RtrChain/PrvsInstgAgt3/FinInstnId/BICFI
/Document/PmtRtr/TxInf/RtrChain/PrvsInstgAgt3/FinInstnId/PstlAdr/Ctry
/Document/PmtRtr/TxInf/RtrChain/IntrmyAgt1/FinInstnId/BICFI
/Document/PmtRtr/TxInf/RtrChain/IntrmyAgt1/FinInstnId/PstlAdr/Ctry
/Document/PmtRtr/TxInf/RtrChain/IntrmyAgt2/FinInstnId/BICFI
/Document/PmtRtr/TxInf/RtrChain/IntrmyAgt2/FinInstnId/PstlAdr/Ctry
/Document/PmtRtr/TxInf/RtrChain/IntrmyAgt3/FinInstnId/BICFI
/Document/PmtRtr/TxInf/RtrChain/IntrmyAgt3/FinInstnId/PstlAdr/Ctry
/Document/PmtRtr/TxInf/RtrChain/CdtrAgt/FinInstnId/BICFI
/Document/PmtRtr/TxInf/RtrChain/CdtrAgt/FinInstnId/PstlAdr/Ctry
/Document/PmtRtr/TxInf/RtrChain/Cdtr/Pty/PstlAdr/Ctry
/Document/PmtRtr/TxInf/RtrChain/Cdtr/Pty/Id/OrgId/AnyBIC
/Document/PmtRtr/TxInf/RtrChain/Cdtr/Pty/Id/PrvtId/DtAndPlcOfBirth/CtryOfBirth
/Document/PmtRtr/TxInf/RtrChain/Cdtr/Pty/CtryOfRes
/Document/PmtRtr/TxInf/RtrChain/Cdtr/Agt/FinInstnId/BICFI
/Document/PmtRtr/TxInf/RtrChain/Cdtr/Agt/FinInstnId/PstlAdr/Ctry
/Document/PmtRtr/TxInf/RtrChain/UltmtCdtr/Pty/PstlAdr/Ctry
/Document/PmtRtr/TxInf/RtrChain/UltmtCdtr/Pty/Id/OrgId/AnyBIC
/Document/PmtRtr/TxInf/RtrChain/UltmtCdtr/Pty/Id/PrvtId/DtAndPlcOfBirth/CtryOfBirth
/Document/PmtRtr/TxInf/RtrChain/UltmtCdtr/Pty/CtryOfRes
/Document/PmtRtr/TxInf/RtrRsnInf/Orgtr/PstlAdr/Ctry
/Document/PmtRtr/TxInf/RtrRsnInf/Orgtr/Id/OrgId/AnyBIC
/Document/PmtRtr/TxInf/RtrRsnInf/Orgtr/Id/PrvtId/DtAndPlcOfBirth/CtryOfBirth
/Document/PmtRtr/TxInf/RtrRsnInf/Orgtr/CtryOfRes
/Document/PmtRtr/TxInf/OrgnlTxRef/CdtrSchmeId/PstlAdr/Ctry
/Document/PmtRtr/TxInf/OrgnlTxRef/CdtrSchmeId/Id/OrgId/AnyBIC
/Document/PmtRtr/TxInf/OrgnlTxRef/CdtrSchmeId/Id/PrvtId/DtAndPlcOfBirth/CtryOfBirth
/Document/PmtRtr/TxInf/OrgnlTxRef/CdtrSchmeId/CtryOfRes
/Document/PmtRtr/TxInf/OrgnlTxRef/SttlmInf/InstgRmbrsmntAgt/FinInstnId/BICFI
/Document/PmtRtr/TxInf/OrgnlTxRef/SttlmInf/InstgRmbrsmntAgt/FinInstnId/PstlAdr/Ctry
/Document/PmtRtr/TxInf/OrgnlTxRef/SttlmInf/InstdRmbrsmntAgt/FinInstnId/BICFI
/Document/PmtRtr/TxInf/OrgnlTxRef/SttlmInf/InstdRmbrsmntAgt/FinInstnId/PstlAdr/Ctry
/Document/PmtRtr/TxInf/OrgnlTxRef/SttlmInf/ThrdRmbrsmntAgt/FinInstnId/BICFI
/Document/PmtRtr/TxInf/OrgnlTxRef/SttlmInf/ThrdRmbrsmntAgt/FinInstnId/PstlAdr/Ctry
/Document/PmtRtr/TxInf/OrgnlTxRef/RmtInf/Strd/Invcr/PstlAdr/Ctry
/Document/PmtRtr/TxInf/OrgnlTxRef/RmtInf/Strd/Invcr/Id/OrgId/AnyBIC
/Document/PmtRtr/TxInf/OrgnlTxRef/RmtInf/Strd/Invcr/Id/PrvtId/DtAndPlcOfBirth/CtryOfBirth
/Document/PmtRtr/TxInf/OrgnlTxRef/RmtInf/Strd/Invcr/CtryOfRes
/Document/PmtRtr/TxInf/OrgnlTxRef/RmtInf/Strd/Invcee/PstlAdr/Ctry
/Document/PmtRtr/TxInf/OrgnlTxRef/RmtInf/Strd/Invcee/Id/OrgId/AnyBIC
/Document/PmtRtr/TxInf/OrgnlTxRef/RmtInf/Strd/Invcee/Id/PrvtId/DtAndPlcOfBirth/CtryOfBirth
/Document/PmtRtr/TxInf/OrgnlTxRef/RmtInf/Strd/Invcee/CtryOfRes
/Document/PmtRtr/TxInf/OrgnlTxRef/RmtInf/Strd/GrnshmtRmt/Grnshee/PstlAdr/Ctry
/Document/PmtRtr/TxInf/OrgnlTxRef/RmtInf/Strd/GrnshmtRmt/Grnshee/Id/OrgId/AnyBIC
/Document/PmtRtr/TxInf/OrgnlTxRef/RmtInf/Strd/GrnshmtRmt/Grnshee/Id/PrvtId/DtAndPlcOfBirth/CtryOfBirth
/Document/PmtRtr/TxInf/OrgnlTxRef/RmtInf/Strd/GrnshmtRmt/Grnshee/CtryOfRes
/Document/PmtRtr/TxInf/OrgnlTxRef/RmtInf/Strd/GrnshmtRmt/GrnshmtAdmstr/PstlAdr/Ctry
/Document/PmtRtr/TxInf/OrgnlTxRef/RmtInf/Strd/GrnshmtRmt/GrnshmtAdmstr/Id/OrgId/AnyBIC
/Document/PmtRtr/TxInf/OrgnlTxRef/RmtInf/Strd/GrnshmtRmt/GrnshmtAdmstr/Id/PrvtId/DtAndPlcOfBirth/CtryOfBirth
/Document/PmtRtr/TxInf/OrgnlTxRef/RmtInf/Strd/GrnshmtRmt/GrnshmtAdmstr/CtryOfRes
/Document/PmtRtr/TxInf/OrgnlTxRef/UltmtDbtr/Pty/PstlAdr/Ctry
/Document/PmtRtr/TxInf/OrgnlTxRef/UltmtDbtr/Pty/Id/OrgId/AnyBIC
/Document/PmtRtr/TxInf/OrgnlTxRef/UltmtDbtr/Pty/Id/PrvtId/DtAndPlcOfBirth/CtryOfBirth
/Document/PmtRtr/TxInf/OrgnlTxRef/UltmtDbtr/Pty/CtryOfRes
/Document/PmtRtr/TxInf/OrgnlTxRef/Dbtr/Pty/PstlAdr/Ctry
/Document/PmtRtr/TxInf/OrgnlTxRef/Dbtr/Pty/Id/OrgId/AnyBIC
/Document/PmtRtr/TxInf/OrgnlTxRef/Dbtr/Pty/Id/PrvtId/DtAndPlcOfBirth/CtryOfBirth
/Document/PmtRtr/TxInf/OrgnlTxRef/Dbtr/Pty/CtryOfRes
/Document/PmtRtr/TxInf/OrgnlTxRef/Dbtr/Agt/FinInstnId/BICFI
/Document/PmtRtr/TxInf/OrgnlTxRef/Dbtr/Agt/FinInstnId/PstlAdr/Ctry
/Document/PmtRtr/TxInf/OrgnlTxRef/DbtrAgt/FinInstnId/BICFI
/Document/PmtRtr/TxInf/OrgnlTxRef/DbtrAgt/FinInstnId/PstlAdr/Ctry
/Document/PmtRtr/TxInf/OrgnlTxRef/CdtrAgt/FinInstnId/BICFI
/Document/PmtRtr/TxInf/OrgnlTxRef/CdtrAgt/FinInstnId/PstlAdr/Ctry
/Document/PmtRtr/TxInf/OrgnlTxRef/Cdtr/Pty/PstlAdr/Ctry
/Document/PmtRtr/TxInf/OrgnlTxRef/Cdtr/Pty/Id/OrgId/AnyBIC
/Document/PmtRtr/TxInf/OrgnlTxRef/Cdtr/Pty/Id/PrvtId/DtAndPlcOfBirth/CtryOfBirth
/Document/PmtRtr/TxInf/OrgnlTxRef/Cdtr/Pty/CtryOfRes
/Document/PmtRtr/TxInf/OrgnlTxRef/Cdtr/Agt/FinInstnId/BICFI
/Document/PmtRtr/TxInf/OrgnlTxRef/Cdtr/Agt/FinInstnId/PstlAdr/Ctry
/Document/PmtRtr/TxInf/OrgnlTxRef/UltmtCdtr/Pty/PstlAdr/Ctry
/Document/PmtRtr/TxInf/OrgnlTxRef/UltmtCdtr/Pty/Id/OrgId/AnyBIC
/Document/PmtRtr/TxInf/OrgnlTxRef/UltmtCdtr/Pty/Id/PrvtId/DtAndPlcOfBirth/CtryOfBirth
/Document/PmtRtr/TxInf/OrgnlTxRef/UltmtCdtr/Pty/CtryOfRes</t>
  </si>
  <si>
    <t>pacs.004_Config_EDQ.06</t>
  </si>
  <si>
    <t>1. NSD đăng nhập EDQ Director bằng user được phân quyền
2. NSD truy cập theo đường dẫn Project/Transaction_Screening/ Reference Data/ MSB_TYPE_FOR_OBJ
3. Kiểm tra danh sách các trường được config với Type = "pacs.004.001.09" Webservice_Name = 4 và ENTITY = 'ALL'</t>
  </si>
  <si>
    <t>3. Các trường config bao gồm:
/Document/PmtRtr/TxInf/RtrRsnInf/AddtlInf
/Document/PmtRtr/TxInf/OrgnlTxRef/RmtInf/Ustrd
/Document/PmtRtr/TxInf/OrgnlTxRef/RmtInf/Strd/RfrdDocInf/LineDtls/Amt/AdjstmntAmtAndRsn/AddtlInf
/Document/PmtRtr/TxInf/OrgnlTxRef/RmtInf/Strd/RfrdDocAmt/AdjstmntAmtAndRsn/AddtlInf</t>
  </si>
  <si>
    <t>Kiểm tra cấu hình sàng lọc trường dữ liệu với chủ thể đối với điện camt.110</t>
  </si>
  <si>
    <t>camt.110_Config_EDQ.01</t>
  </si>
  <si>
    <t>1. NSD đăng nhập EDQ Director bằng user được phân quyền
2. NSD truy cập theo đường dẫn Project/Transaction_Screening/ Reference Data/ MSB_TYPE_FOR_OBJ
3. Kiểm tra danh sách các trường được config với Type = "camt.110.001.01" Webservice_Name = 1 và ENTITY = 'ENT'</t>
  </si>
  <si>
    <t>3. Các trường config bao gồm:
/Document/InvstgtnReq/InvstgtnReq/Rqstr/Agt/FinInstnId/BICFI
/Document/InvstgtnReq/InvstgtnReq/Rspndr/Agt/FinInstnId/BICFI
/Document/InvstgtnReq/InvstgtnReq/ReqOrgtr/Agt/FinInstnId/BICFI</t>
  </si>
  <si>
    <t>camt.110_Config_EDQ.02</t>
  </si>
  <si>
    <t>1. NSD đăng nhập EDQ Director bằng user được phân quyền
2. NSD truy cập theo đường dẫn Project/Transaction_Screening/ Reference Data/ MSB_TYPE_FOR_OBJ
3. Kiểm tra danh sách các trường được config với Type = "camt.110.001.01" Webservice_Name = 2 và ENTITY = 'ENT'</t>
  </si>
  <si>
    <t>camt.110_Config_EDQ.03</t>
  </si>
  <si>
    <t>1. NSD đăng nhập EDQ Director bằng user được phân quyền
2. NSD truy cập theo đường dẫn Project/Transaction_Screening/ Reference Data/ MSB_TYPE_FOR_OBJ
3. Kiểm tra danh sách các trường được config với Type = "camt.110.001.01" Webservice_Name = 3 và ENTITY = 'ALL'</t>
  </si>
  <si>
    <t>camt.110_Config_EDQ.04</t>
  </si>
  <si>
    <t>1. NSD đăng nhập EDQ Director bằng user được phân quyền
2. NSD truy cập theo đường dẫn Project/Transaction_Screening/ Reference Data/ MSB_TYPE_FOR_OBJ
3. Kiểm tra danh sách các trường được config với Type = "camt.110.001.01" Webservice_Name = 4 và ENTITY = 'ALL'</t>
  </si>
  <si>
    <t>3. Các trường config bao gồm:
/Document/InvstgtnReq/InvstgtnReq/ReqActn/ActnRsn/AddtlInf</t>
  </si>
  <si>
    <t>Kiểm tra cấu hình sàng lọc trường dữ liệu với chủ thể đối với điện camt.111</t>
  </si>
  <si>
    <t>camt.111_Config_EDQ.01</t>
  </si>
  <si>
    <t>1. NSD đăng nhập EDQ Director bằng user được phân quyền
2. NSD truy cập theo đường dẫn Project/Transaction_Screening/ Reference Data/ MSB_TYPE_FOR_OBJ
3. Kiểm tra danh sách các trường được config với Type = "camt.111.001.02" Webservice_Name = 1 và ENTITY = 'ENT'</t>
  </si>
  <si>
    <t>3. Các trường config bao gồm:
/Document/InvstgtnRspn/InvstgtnRspn/InvstgtnData/RspnOrgtr/Agt/FinInstnId/BICFI
/Document/InvstgtnRspn/OrgnlInvstgtnReq/Rqstr/Agt/FinInstnId/BICFI
/Document/InvstgtnRspn/OrgnlInvstgtnReq/Rspndr/Agt/FinInstnId/BICFI</t>
  </si>
  <si>
    <t>camt.111_Config_EDQ.02</t>
  </si>
  <si>
    <t>1. NSD đăng nhập EDQ Director bằng user được phân quyền
2. NSD truy cập theo đường dẫn Project/Transaction_Screening/ Reference Data/ MSB_TYPE_FOR_OBJ
3. Kiểm tra danh sách các trường được config với Type = "camt.111.001.02" Webservice_Name = 2 và ENTITY = 'ENT'</t>
  </si>
  <si>
    <t>camt.111_Config_EDQ.03</t>
  </si>
  <si>
    <t>1. NSD đăng nhập EDQ Director bằng user được phân quyền
2. NSD truy cập theo đường dẫn Project/Transaction_Screening/ Reference Data/ MSB_TYPE_FOR_OBJ
3. Kiểm tra danh sách các trường được config với Type = "camt.111.001.02" Webservice_Name = 3 và ENTITY = 'ALL'</t>
  </si>
  <si>
    <t>camt.111_Config_EDQ.04</t>
  </si>
  <si>
    <t>1. NSD đăng nhập EDQ Director bằng user được phân quyền
2. NSD truy cập theo đường dẫn Project/Transaction_Screening/ Reference Data/ MSB_TYPE_FOR_OBJ
3. Kiểm tra danh sách các trường được config với Type = "camt.111.001.02" Webservice_Name = 4 và ENTITY = 'ALL'</t>
  </si>
  <si>
    <t>3. Các trường config bao gồm:
/Document/InvstgtnRspn/InvstgtnRspn/InvstgtnData/RspnData/TxSts/StsRsnInf/AddtlInf
/Document/InvstgtnRspn/OrgnlInvstgtnReq/ReqActn/ActnRsn/AddtlInf</t>
  </si>
  <si>
    <t>Kiểm tra cấu hình sàng lọc trường dữ liệu với chủ thể đối với điện MTC01</t>
  </si>
  <si>
    <t>GĐ2.2</t>
  </si>
  <si>
    <t>MTC01_Config_EDQ.01</t>
  </si>
  <si>
    <t>1. NSD đăng nhập EDQ Director bằng user được phân quyền
2. NSD truy cập theo đường dẫn Project/Transaction_Screening/ Reference Data/ MSB_TYPE_FOR_OBJ
3. Kiểm tra danh sách các trường được config với Type = "MTC01" Webservice_Name = 1 và ENTITY = 'ENT'</t>
  </si>
  <si>
    <t>3. Các trường config bao gồm:
21F
21G
21H
21P
21Q
21R
22A
22E</t>
  </si>
  <si>
    <t>MTC01_Config_EDQ.02</t>
  </si>
  <si>
    <t>1. NSD đăng nhập EDQ Director bằng user được phân quyền
2. NSD truy cập theo đường dẫn Project/Transaction_Screening/ Reference Data/ MSB_TYPE_FOR_OBJ
3. Kiểm tra danh sách các trường được config với Type = "MTC01" Webservice_Name = 1 và ENTITY = 'IND'</t>
  </si>
  <si>
    <t>3. Các trường config bao gồm:
20A
20P</t>
  </si>
  <si>
    <t>MTC01_Config_EDQ.03</t>
  </si>
  <si>
    <t>1. NSD đăng nhập EDQ Director bằng user được phân quyền
2. NSD truy cập theo đường dẫn Project/Transaction_Screening/ Reference Data/ MSB_TYPE_FOR_OBJ
3. Kiểm tra danh sách các trường được config với Type = "MTC01" Webservice_Name = 2 và ENTITY = 'ENT'</t>
  </si>
  <si>
    <t>3. Các trường config bao gồm:
21L
21M
21N
21O
21V
21X
21Y
21Z
22B
22F</t>
  </si>
  <si>
    <t>MTC01_Config_EDQ.04</t>
  </si>
  <si>
    <t>1. NSD đăng nhập EDQ Director bằng user được phân quyền
2. NSD truy cập theo đường dẫn Project/Transaction_Screening/ Reference Data/ MSB_TYPE_FOR_OBJ
3. Kiểm tra danh sách các trường được config với Type = "MTC01" Webservice_Name = 2 và ENTITY = 'IND'</t>
  </si>
  <si>
    <t>3. Các trường config bao gồm:
20H
20I
20J
20K
20X
20Y
20Z
21A</t>
  </si>
  <si>
    <t>MTC01_Config_EDQ.05</t>
  </si>
  <si>
    <t>1. NSD đăng nhập EDQ Director bằng user được phân quyền
2. NSD truy cập theo đường dẫn Project/Transaction_Screening/ Reference Data/ MSB_TYPE_FOR_OBJ
3. Kiểm tra danh sách các trường được config với Type = "MTC01" Webservice_Name = 3 và ENTITY = 'ALL'</t>
  </si>
  <si>
    <t>3. Các trường config bao gồm:
20C
20D
20E
20F
20G
20M
20O
20R
20S
20T
20U
20V
21C
21E
21J
21T
22D
22H</t>
  </si>
  <si>
    <t>Kiểm tra cấu hình sàng lọc trường dữ liệu với chủ thể đối với điện MTC02</t>
  </si>
  <si>
    <t>MTC02_Config_EDQ.01</t>
  </si>
  <si>
    <t>1. NSD đăng nhập EDQ Director bằng user được phân quyền
2. NSD truy cập theo đường dẫn Project/Transaction_Screening/ Reference Data/ MSB_TYPE_FOR_OBJ
3. Kiểm tra danh sách các trường được config với Type = "MTC02" Webservice_Name = 1 và ENTITY = 'ENT'</t>
  </si>
  <si>
    <t>MTC02_Config_EDQ.02</t>
  </si>
  <si>
    <t>1. NSD đăng nhập EDQ Director bằng user được phân quyền
2. NSD truy cập theo đường dẫn Project/Transaction_Screening/ Reference Data/ MSB_TYPE_FOR_OBJ
3. Kiểm tra danh sách các trường được config với Type = "MTC02" Webservice_Name = 1 và ENTITY = 'IND'</t>
  </si>
  <si>
    <t>MTC02_Config_EDQ.03</t>
  </si>
  <si>
    <t>1. NSD đăng nhập EDQ Director bằng user được phân quyền
2. NSD truy cập theo đường dẫn Project/Transaction_Screening/ Reference Data/ MSB_TYPE_FOR_OBJ
3. Kiểm tra danh sách các trường được config với Type = "MTC02" Webservice_Name = 2 và ENTITY = 'ENT'</t>
  </si>
  <si>
    <t>MTC02_Config_EDQ.04</t>
  </si>
  <si>
    <t>1. NSD đăng nhập EDQ Director bằng user được phân quyền
2. NSD truy cập theo đường dẫn Project/Transaction_Screening/ Reference Data/ MSB_TYPE_FOR_OBJ
3. Kiểm tra danh sách các trường được config với Type = "MTC02" Webservice_Name = 2 và ENTITY = 'IND'</t>
  </si>
  <si>
    <t>MTC02_Config_EDQ.05</t>
  </si>
  <si>
    <t>1. NSD đăng nhập EDQ Director bằng user được phân quyền
2. NSD truy cập theo đường dẫn Project/Transaction_Screening/ Reference Data/ MSB_TYPE_FOR_OBJ
3. Kiểm tra danh sách các trường được config với Type = "MTC02" Webservice_Name = 3 và ENTITY = 'ALL'</t>
  </si>
  <si>
    <t>Kiểm tra cấu hình sàng lọc trường dữ liệu với chủ thể đối với điện MTC99</t>
  </si>
  <si>
    <t>MTC99_Config_EDQ.01</t>
  </si>
  <si>
    <t>1. NSD đăng nhập EDQ Director bằng user được phân quyền
2. NSD truy cập theo đường dẫn Project/Transaction_Screening/ Reference Data/ MSB_TYPE_FOR_OBJ
3. Kiểm tra danh sách các trường được config với Type = "MTC99" Webservice_Name = 1 và ENTITY = 'ENT'</t>
  </si>
  <si>
    <t>3. Các trường config bao gồm:
52A
52B
52C
52D
52E
52F
52G
52H
52I
52J</t>
  </si>
  <si>
    <t>MTC99_Config_EDQ.02</t>
  </si>
  <si>
    <t>1. NSD đăng nhập EDQ Director bằng user được phân quyền
2. NSD truy cập theo đường dẫn Project/Transaction_Screening/ Reference Data/ MSB_TYPE_FOR_OBJ
3. Kiểm tra danh sách các trường được config với Type = "MTC99" Webservice_Name = 1 và ENTITY = 'IND'</t>
  </si>
  <si>
    <t>3. Các trường config bao gồm:
52K
52L
52M
52N
52O
52P
52Q
52R
52S
52T</t>
  </si>
  <si>
    <t>MTC99_Config_EDQ.03</t>
  </si>
  <si>
    <t>Kiểm tra các trường sàng lọc Name and Address theo chủ thể Vessel</t>
  </si>
  <si>
    <t>1. NSD đăng nhập EDQ Director bằng user được phân quyền
2. NSD truy cập theo đường dẫn Project/Transaction_Screening/ Reference Data/ MSB_TYPE_FOR_OBJ
3. Kiểm tra danh sách các trường được config với Type = "MTC99" Webservice_Name = 1 và ENTITY = 'VES'</t>
  </si>
  <si>
    <t>3. Các trường config bao gồm:
53P
53Q
53R
53S
53T
53U
53V
53X
53Y
53Z</t>
  </si>
  <si>
    <t>MTC99_Config_EDQ.04</t>
  </si>
  <si>
    <t>Kiểm tra các trường sàng lọc Name and Address theo chủ thể Aircraft</t>
  </si>
  <si>
    <t>1. NSD đăng nhập EDQ Director bằng user được phân quyền
2. NSD truy cập theo đường dẫn Project/Transaction_Screening/ Reference Data/ MSB_TYPE_FOR_OBJ
3. Kiểm tra danh sách các trường được config với Type = "MTC99" Webservice_Name = 1 và ENTITY = 'AIR'</t>
  </si>
  <si>
    <t>3. Các trường config bao gồm:
54A
54B
54C
54D
54E
54F
54G
54H
54I
54J</t>
  </si>
  <si>
    <t>MTC99_Config_EDQ.05</t>
  </si>
  <si>
    <t>Kiểm tra các trường sàng lọc Identifier theo tất cả chủ thể</t>
  </si>
  <si>
    <t>1. NSD đăng nhập EDQ Director bằng user được phân quyền
2. NSD truy cập theo đường dẫn Project/Transaction_Screening/ Reference Data/ MSB_TYPE_FOR_OBJ
3. Kiểm tra danh sách các trường được config với Type = "MTC99" Webservice_Name = 2 và ENTITY = 'ALL'</t>
  </si>
  <si>
    <t>3. Các trường config bao gồm:
52U
52V
52X
52Y
52Z
53A
53B
53C
53D
53E</t>
  </si>
  <si>
    <t>MTC99_Config_EDQ.06</t>
  </si>
  <si>
    <t>1. NSD đăng nhập EDQ Director bằng user được phân quyền
2. NSD truy cập theo đường dẫn Project/Transaction_Screening/ Reference Data/ MSB_TYPE_FOR_OBJ
3. Kiểm tra danh sách các trường được config với Type = "MTC99" Webservice_Name = 3 và ENTITY = 'ALL'</t>
  </si>
  <si>
    <t>3. Các trường config bao gồm:
53F
53G
53H
53I
53J
53K
53L
53M
53N
53O</t>
  </si>
  <si>
    <t>MTC99_Config_EDQ.07</t>
  </si>
  <si>
    <t>1. NSD đăng nhập EDQ Director bằng user được phân quyền
2. NSD truy cập theo đường dẫn Project/Transaction_Screening/ Reference Data/ MSB_TYPE_FOR_OBJ
3. Kiểm tra danh sách các trường được config với Type = "MTC99" Webservice_Name = 4 và ENTITY = 'ALL'</t>
  </si>
  <si>
    <t>3. Các trường config bao gồm:
54U
54V
54X
54Y
54Z
55A
55B
55C
55D
55E</t>
  </si>
  <si>
    <t>MTC99_Config_EDQ.08</t>
  </si>
  <si>
    <t>1. NSD đăng nhập EDQ Director bằng user được phân quyền
2. NSD truy cập theo đường dẫn Project/Transaction_Screening/ Reference Data/ MSB_TYPE_FOR_OBJ
3. Kiểm tra danh sách các trường được config với Type = "MTC99" Webservice_Name = 5 và ENTITY = 'ALL'</t>
  </si>
  <si>
    <t>3. Các trường config bao gồm:
54K
54L
54M
54N
54O
54P
54Q
54R
54S
54T</t>
  </si>
  <si>
    <t>Kiểm tra cấu hình sàng lọc trường dữ liệu với chủ thể đối với điện NonSwift3</t>
  </si>
  <si>
    <t>NonSwift3_Config_EDQ.01</t>
  </si>
  <si>
    <t>1. NSD đăng nhập EDQ Director bằng user được phân quyền
2. NSD truy cập theo đường dẫn Project/Transaction_Screening/ Reference Data/ MSB_TYPE_FOR_OBJ
3. Kiểm tra danh sách các trường được config với Type = "NonSwift3" Webservice_Name = 1 và ENTITY = 'ENT'</t>
  </si>
  <si>
    <t>3. Các trường config bao gồm:
/Document/CstMsg/TxInf/Debtor/Name
/Document/CstMsg/TxInf/Creditor/Name
/Document/CstMsg/TxInf/InvolvedParty[..]/Name
/Document/CstMsg/TxInf/BeneficiaryBank/Name
/Document/CstMsg/TxInf/InvolvedBank[..]/Name</t>
  </si>
  <si>
    <t>NonSwift3_Config_EDQ.02</t>
  </si>
  <si>
    <t>1. NSD đăng nhập EDQ Director bằng user được phân quyền
2. NSD truy cập theo đường dẫn Project/Transaction_Screening/ Reference Data/ MSB_TYPE_FOR_OBJ
3. Kiểm tra danh sách các trường được config với Type = "NonSwift3" Webservice_Name = 1 và ENTITY = 'IND'</t>
  </si>
  <si>
    <t>3. Các trường config bao gồm:
/Document/CstMsg/TxInf/Debtor/Name
/Document/CstMsg/TxInf/Creditor/Name
/Document/CstMsg/TxInf/InvolvedParty[..]/Name</t>
  </si>
  <si>
    <t>NonSwift3_Config_EDQ.03</t>
  </si>
  <si>
    <t>1. NSD đăng nhập EDQ Director bằng user được phân quyền
2. NSD truy cập theo đường dẫn Project/Transaction_Screening/ Reference Data/ MSB_TYPE_FOR_OBJ
3. Kiểm tra danh sách các trường được config với Type = "NonSwift3" Webservice_Name = 1 và ENTITY = 'VES'</t>
  </si>
  <si>
    <t>3. Các trường config bao gồm:
/Document/CstMsg/TxInf/Transportation/Name</t>
  </si>
  <si>
    <t>NonSwift3_Config_EDQ.04</t>
  </si>
  <si>
    <t>1. NSD đăng nhập EDQ Director bằng user được phân quyền
2. NSD truy cập theo đường dẫn Project/Transaction_Screening/ Reference Data/ MSB_TYPE_FOR_OBJ
3. Kiểm tra danh sách các trường được config với Type = "NonSwift3" Webservice_Name = 1 và ENTITY = 'AIR'</t>
  </si>
  <si>
    <t>NonSwift3_Config_EDQ.05</t>
  </si>
  <si>
    <t>1. NSD đăng nhập EDQ Director bằng user được phân quyền
2. NSD truy cập theo đường dẫn Project/Transaction_Screening/ Reference Data/ MSB_TYPE_FOR_OBJ
3. Kiểm tra danh sách các trường được config với Type = "NonSwift3" Webservice_Name = 2 và ENTITY = 'ENT'</t>
  </si>
  <si>
    <t>3. Các trường config bao gồm:
/Document/CstMsg/TxInf/Debtor/Identifier
/Document/CstMsg/TxInf/Creditor/Identifier
/Document/CstMsg/TxInf/InvolvedParty[..]/Identifier
/Document/CstMsg/TxInf/BeneficiaryBank/BIC
/Document/CstMsg/TxInf/InvolvedBank[..]/BIC</t>
  </si>
  <si>
    <t>NonSwift3_Config_EDQ.06</t>
  </si>
  <si>
    <t>1. NSD đăng nhập EDQ Director bằng user được phân quyền
2. NSD truy cập theo đường dẫn Project/Transaction_Screening/ Reference Data/ MSB_TYPE_FOR_OBJ
3. Kiểm tra danh sách các trường được config với Type = "NonSwift3" Webservice_Name = 2 và ENTITY = 'IND'</t>
  </si>
  <si>
    <t>3. Các trường config bao gồm:
/Document/CstMsg/TxInf/Debtor/Identifier
/Document/CstMsg/TxInf/Creditor/Identifier
/Document/CstMsg/TxInf/InvolvedParty[..]/Identifier</t>
  </si>
  <si>
    <t>NonSwift3_Config_EDQ.07</t>
  </si>
  <si>
    <t>Kiểm tra các trường sàng lọc Identifier theo chủ thể Vessel</t>
  </si>
  <si>
    <t>1. NSD đăng nhập EDQ Director bằng user được phân quyền
2. NSD truy cập theo đường dẫn Project/Transaction_Screening/ Reference Data/ MSB_TYPE_FOR_OBJ
3. Kiểm tra danh sách các trường được config với Type = "NonSwift3" Webservice_Name = 2 và ENTITY = 'VES'</t>
  </si>
  <si>
    <t>3. Các trường config bao gồm:
/Document/CstMsg/TxInf/Transportation/Identifier</t>
  </si>
  <si>
    <t>NonSwift3_Config_EDQ.08</t>
  </si>
  <si>
    <t>Kiểm tra các trường sàng lọc Identifier theo chủ thể Aircraft</t>
  </si>
  <si>
    <t>1. NSD đăng nhập EDQ Director bằng user được phân quyền
2. NSD truy cập theo đường dẫn Project/Transaction_Screening/ Reference Data/ MSB_TYPE_FOR_OBJ
3. Kiểm tra danh sách các trường được config với Type = "NonSwift3" Webservice_Name = 2 và ENTITY = 'AIR'</t>
  </si>
  <si>
    <t>NonSwift3_Config_EDQ.09</t>
  </si>
  <si>
    <t>1. NSD đăng nhập EDQ Director bằng user được phân quyền
2. NSD truy cập theo đường dẫn Project/Transaction_Screening/ Reference Data/ MSB_TYPE_FOR_OBJ
3. Kiểm tra danh sách các trường được config với Type = "NonSwift3" Webservice_Name = 3 và ENTITY = 'ALL'</t>
  </si>
  <si>
    <t>3. Các trường config bao gồm:
/Document/CstMsg/TxInf/Debtor/Address/CountryOfBirth
/Document/CstMsg/TxInf/Creditor/Address/CountryInAddress
/Document/CstMsg/TxInf/InvolvedParty[..]/Address/CountryInAddress
/Document/CstMsg/TxInf/BeneficiaryBank/Address/CountryInAddress
/Document/CstMsg/TxInf/InvolvedBank[..]/Address/CountryInAddress
/Document/CstMsg/TxInf/InvolvedPort[..]/Country
/Document/CstMsg/TxInf/PlaceOfLoading
/Document/CstMsg/TxInf/PlaceOfDischarge
/Document/CstMsg/TxInf/Transportation/Flag
/Document/CstMsg/TxInf/Goods/ImportCountry
/Document/CstMsg/TxInf/Goods/ExportCountry</t>
  </si>
  <si>
    <t>NonSwift3_Config_EDQ.10</t>
  </si>
  <si>
    <t>1. NSD đăng nhập EDQ Director bằng user được phân quyền
2. NSD truy cập theo đường dẫn Project/Transaction_Screening/ Reference Data/ MSB_TYPE_FOR_OBJ
3. Kiểm tra danh sách các trường được config với Type = "NonSwift3" Webservice_Name = 5 và ENTITY = 'ALL'</t>
  </si>
  <si>
    <t>3. Các trường config bao gồm:
/Document/CstMsg/TxInf/InvolvedPort[..]/Name</t>
  </si>
  <si>
    <t>MT700_Config_EDQ.09</t>
  </si>
  <si>
    <t>Kiểm tra field 45A của điện MT700 được cấu hình trong Narrative theo tất cả chủ thể</t>
  </si>
  <si>
    <t>1. NSD đăng nhập EDQ Director bằng user được phân quyền.
2. Truy cập Project/Transaction_Screening/Reference Data/MSB_TYPE_FOR_OBJ.
3. Tìm Type = "MT700", Webservice_Name = 4 và ENTITY = 'ALL'.
4. Kiểm tra field 45A được cấu hình trong danh sách.</t>
  </si>
  <si>
    <t>Các trường config của Type = "MT700", Webservice_Name = 4, ENTITY = 'ALL' bao gồm field 45A; field 45A được map vào Webservice Narrative or Free Text Information.</t>
  </si>
  <si>
    <t>09/09: Bổ sung mapping 45A vào Narrative - All.</t>
  </si>
  <si>
    <t>MT701_Config_EDQ.06</t>
  </si>
  <si>
    <t>Kiểm tra field 45A của điện MT701 được cấu hình trong Narrative theo tất cả chủ thể</t>
  </si>
  <si>
    <t>1. NSD đăng nhập EDQ Director bằng user được phân quyền.
2. Truy cập Project/Transaction_Screening/Reference Data/MSB_TYPE_FOR_OBJ.
3. Tìm Type = "MT701", Webservice_Name = 4 và ENTITY = 'ALL'.
4. Kiểm tra field 45A được cấu hình trong danh sách.</t>
  </si>
  <si>
    <t>Các trường config của Type = "MT701", Webservice_Name = 4, ENTITY = 'ALL' bao gồm field 45A; field 45A được map vào Webservice Narrative or Free Text Information.</t>
  </si>
  <si>
    <t>MT707_Config_EDQ.09</t>
  </si>
  <si>
    <t>Kiểm tra field 45B của điện MT707 được cấu hình trong Narrative theo tất cả chủ thể</t>
  </si>
  <si>
    <t>1. NSD đăng nhập EDQ Director bằng user được phân quyền.
2. Truy cập Project/Transaction_Screening/Reference Data/MSB_TYPE_FOR_OBJ.
3. Tìm Type = "MT707", Webservice_Name = 4 và ENTITY = 'ALL'.
4. Kiểm tra field 45B được cấu hình trong danh sách.</t>
  </si>
  <si>
    <t>Các trường config của Type = "MT707", Webservice_Name = 4, ENTITY = 'ALL' bao gồm field 45B; field 45B được map vào Webservice Narrative or Free Text Information.</t>
  </si>
  <si>
    <t>09/09: Bổ sung mapping 45B vào Narrative - All.</t>
  </si>
  <si>
    <t>MT710_Config_EDQ.09</t>
  </si>
  <si>
    <t>Kiểm tra field 45A của điện MT710 được cấu hình trong Narrative theo tất cả chủ thể</t>
  </si>
  <si>
    <t>1. NSD đăng nhập EDQ Director bằng user được phân quyền.
2. Truy cập Project/Transaction_Screening/Reference Data/MSB_TYPE_FOR_OBJ.
3. Tìm Type = "MT710", Webservice_Name = 4 và ENTITY = 'ALL'.
4. Kiểm tra field 45A được cấu hình trong danh sách.</t>
  </si>
  <si>
    <t>Các trường config của Type = "MT710", Webservice_Name = 4, ENTITY = 'ALL' bao gồm field 45A; field 45A được map vào Webservice Narrative or Free Text Information.</t>
  </si>
  <si>
    <t>MT711_Config_EDQ.06</t>
  </si>
  <si>
    <t>Kiểm tra field 45A của điện MT711 được cấu hình trong Narrative theo tất cả chủ thể</t>
  </si>
  <si>
    <t>1. NSD đăng nhập EDQ Director bằng user được phân quyền.
2. Truy cập Project/Transaction_Screening/Reference Data/MSB_TYPE_FOR_OBJ.
3. Tìm Type = "MT711", Webservice_Name = 4 và ENTITY = 'ALL'.
4. Kiểm tra field 45A được cấu hình trong danh sách.</t>
  </si>
  <si>
    <t>Các trường config của Type = "MT711", Webservice_Name = 4, ENTITY = 'ALL' bao gồm field 45A; field 45A được map vào Webservice Narrative or Free Text Information.</t>
  </si>
  <si>
    <t>MT720_Config_EDQ.09</t>
  </si>
  <si>
    <t>Kiểm tra field 45A của điện MT720 được cấu hình trong Narrative theo tất cả chủ thể</t>
  </si>
  <si>
    <t>1. NSD đăng nhập EDQ Director bằng user được phân quyền.
2. Truy cập Project/Transaction_Screening/Reference Data/MSB_TYPE_FOR_OBJ.
3. Tìm Type = "MT720", Webservice_Name = 4 và ENTITY = 'ALL'.
4. Kiểm tra field 45A được cấu hình trong danh sách.</t>
  </si>
  <si>
    <t>Các trường config của Type = "MT720", Webservice_Name = 4, ENTITY = 'ALL' bao gồm field 45A; field 45A được map vào Webservice Narrative or Free Text Information.</t>
  </si>
  <si>
    <t>Sàng lọc giao dịch (Tổng hợp MT + MX)</t>
  </si>
  <si>
    <t>Trạng thái</t>
  </si>
  <si>
    <t xml:space="preserve">Next </t>
  </si>
  <si>
    <t>Loại điện</t>
  </si>
  <si>
    <t>Sàng lọc giao dịch MT 196</t>
  </si>
  <si>
    <t>Sàng lọc giao dịch MT 196 - Identifier, Name and Address, Country and City - Entity</t>
  </si>
  <si>
    <t>1. Đẩy giao dịch vào API Post Message với trường thông tin Basic Header Block, Application Header - Input có dữ liệu nằm trong các danh sách theo dõi 
- Upload file thông tin giao dịch có chứa các nội dung điện giao dịch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</si>
  <si>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{2:I196BFICCUHHXXXXN}
{3:{108:MT196TEST0001}}
{4:
:20:ANS2607240001
:21:NONREF
:76:AMENDMENT ACCEPTED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</si>
  <si>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GROUP BY T.N_WEBSERVICE_ID
    HAVING COUNT(DISTINCT T.V_TAG_NAME) = 2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</si>
  <si>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t>
  </si>
  <si>
    <t>1. Đẩy giao dịch vào API Post Message với trường thông tin Application Header - Output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</si>
  <si>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{2:O1961201260724BFICCUHHAXXX00010000012607241201N}
{3:{108:MT196TEST0003}}
{4:
:20:ANS2607240003
:21:NONREF
:76:AMENDMENT ACCEPTED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</si>
  <si>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('Application Header - Output')
    GROUP BY T.N_WEBSERVICE_ID
    HAVING COUNT(DISTINCT T.V_TAG_NAME) = 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</si>
  <si>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Sàng lọc giao dịch MT 196 - Narrative - All</t>
  </si>
  <si>
    <t>1. Đẩy giao dịch vào API Post Message với trường thông tin 76, 77A, 79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</si>
  <si>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{2:I196MCOBVNVXXXXXN}
{3:{108:MT196TEST0002}}
{4:
:20:ANS2607240002
:21:NONREF
:76:0099887766
:77A:0099887766
:79:0099887766
-}{5:{MAC:00000000}{CHK:1A2B3C4D5E6F}}</t>
  </si>
  <si>
    <t xml:space="preserve">
2. Hệ thống trả kết quả: HIT với Webservice Narrative loại chủ thể Individual, Entity, Port, Vessel, Aircraft và danh sách Stop Keywords
Câu query kiểm tra kết quả (KET_QUA = HIT):
SELECT CASE
         WHEN COUNT(*) = 3 THEN 'HIT'
         ELSE 'NO HIT'
       END AS KET_QUA
FROM (
    SELECT T.V_TAG_NAME
    FROM FSI_RT_AL_WLS_RESPONSE T
    WHERE T.N_GRP_MSG_ID = :N_GRP_MSG_ID
      AND T.N_WEBSERVICE_ID = 4
      AND T.V_TAG_NAME IN ('76', '77A', '79')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</si>
  <si>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76, 77A, 79</t>
  </si>
  <si>
    <t>MT196.09</t>
  </si>
  <si>
    <t>Sàng lọc giao dịch MT 196 - Copy of at least the Mandatory Fields of the Original Message - Narrative - All</t>
  </si>
  <si>
    <t>1. Môi trường SIT hoạt động và API Post Message có thể truy cập.
2. Điện được cấu hình screening.
3. Có quyền tra cứu N_GRP_MSG_ID trên Database.</t>
  </si>
  <si>
    <t>1. Mở API Post Message.
2. Gửi điện tại cột Test Datas.
3. Ghi nhận N_GRP_MSG_ID/AlertID.
4. Query FSI_RT_AL_WLS_RESPONSE theo N_GRP_MSG_ID.
5. Kiểm tra V_TAG_NAME đúng field mới mapping và giá trị đúng dữ liệu gửi.</t>
  </si>
  <si>
    <t>{1:F01MCOBVNVXAXXX0000000000}
{2:I196SCBLUS33XXXXN}
{3:{108:MT196TEST0909}}
{4:
:20:NZ126032502701
:21:S1626084GHMFKKHF
:76:ATTN PAYMENTS INVESTIGATIONS
:77A:PLEASE BE ADVISED.
:11R:103
260325
:20:S1626084GHMFKKHF
:76:0099887766
:79:0099887766
-}{5:{MAC:00000000}{CHK:123456789ABC}}</t>
  </si>
  <si>
    <t xml:space="preserve">
2. Hệ thống trả kết quả: HIT với Webservice Narrative loại chủ thể Individual, Entity, Port, Vessel, Aircraft và danh sách Stop Keywords
Câu query kiểm tra kết quả (KET_QUA = HIT):
 SELECT CASE
         WHEN COUNT(*) = 1 THEN 'HIT'
         ELSE 'NO HIT'
       END AS KET_QUA
FROM (
    SELECT T.V_TAG_NAME
    FROM FSI_RT_AL_WLS_RESPONSE T
    WHERE T.N_GRP_MSG_ID = :N_GRP_MSG_ID
      AND T.N_WEBSERVICE_ID = 4
      AND T.V_TAG_NAME IN ('Additional Data')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</si>
  <si>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09/09: Bổ sung trường Copy of at least the Mandatory Fields of the Original Message.</t>
  </si>
  <si>
    <t>Sàng lọc giao dịch MT 195 - Identifier, Name and Address, Country and City - Entity</t>
  </si>
  <si>
    <t>1. Đẩy giao dịch vào API Post Message với trường thông tin Basic Header Block, Application Header - Input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</si>
  <si>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{2:I195BFICCUHHXXXXN}
{3:{108:MT195TEST0001}}
{4:
:20:QRY2607240001
:21:NONREF
:75:PLEASE CONFIRM
-}{5:{MAC:00000000}{CHK:1A2B3C4D5E6F}}</t>
  </si>
  <si>
    <t>{1:F01MCOBVNVXAXXX0000000000}
{2:O1951201260724BFICCUHHAXXX00010000012607241201N}
{3:{108:MT195TEST0003}}
{4:
:20:QRY2607240003
:21:NONREF
:75:PLEASE CONFIRM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</si>
  <si>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('Application Header - Output')
    GROUP BY T.N_WEBSERVICE_ID
    HAVING COUNT(DISTINCT T.V_TAG_NAME) = 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</si>
  <si>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Application Header - Output</t>
  </si>
  <si>
    <t>Sàng lọc giao dịch MT 195 - Narrative - All</t>
  </si>
  <si>
    <t>1. Đẩy giao dịch vào API Post Message với trường thông tin 75, 77A, 79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</si>
  <si>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{2:I195MCOBVNVXXXXXN}
{3:{108:MT195TEST0002}}
{4:
:20:QRY2607240002
:21:NONREF
:75:0099887766
:77A:0099887766
:79:0099887766
-}{5:{MAC:00000000}{CHK:1A2B3C4D5E6F}}</t>
  </si>
  <si>
    <t>2. Hệ thống trả kết quả: HIT với Webservice Narrative loại chủ thể Individual, Entity, Port, Vessel, Aircraft và danh sách Stop Keywords
Câu query kiểm tra kết quả (KET_QUA = HIT):
SELECT CASE
         WHEN COUNT(*) = 3 THEN 'HIT'
         ELSE 'NO HIT'
       END AS KET_QUA
FROM (
    SELECT T.V_TAG_NAME
    FROM FSI_RT_AL_WLS_RESPONSE T
    WHERE T.N_GRP_MSG_ID = :N_GRP_MSG_ID
      AND T.N_WEBSERVICE_ID = 4
      AND T.V_TAG_NAME IN ('75', '77A', '79')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</si>
  <si>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75, 77A, 79</t>
  </si>
  <si>
    <t>MT195.09</t>
  </si>
  <si>
    <t>Sàng lọc giao dịch MT 195 - Copy of at least the Mandatory Fields of the Original Message - Narrative - All</t>
  </si>
  <si>
    <t>{1:F01MCOBVNVXAXXX.SN...ISN.}{2:I195SCBLUS33XXXXN}{3:{108:262315GRVX61483}{121:f6706b2b-rrrr-444f-9ee8-0304037814c2}}{4:
:20:TESTMT195V1
:21:S1626084GHMFKKHF
:75:5555555
:77A:66666666
:11R:103
260325
:20:S1626084GHMFKKHF
:75:0099887766
:79:0099887766
-}{5:{MAC: :00000000}{CHK:D2826EE1B645}}{S:{SAC:}{COP:S}}</t>
  </si>
  <si>
    <t>Sàng lọc giao dịch MT 296</t>
  </si>
  <si>
    <t>Sàng lọc giao dịch MT 296 - Identifier, Name and Address, Country and City - Entity</t>
  </si>
  <si>
    <t>{1:F01BFICCUHHAXXX0000000000}
{2:I296BFICCUHHXXXXN}
{3:{108:MT296TEST0001}}
{4:
:20:ANS2607240001
:21:NONREF
:76:AMENDMENT ACCEPTED
-}{5:{MAC:00000000}{CHK:1A2B3C4D5E6F}}</t>
  </si>
  <si>
    <t>{1:F01MCOBVNVXAXXX0000000000}
{2:O2961201260724BFICCUHHAXXX00010000012607241201N}
{3:{108:MT296TEST0003}}
{4:
:20:ANS2607240003
:21:NONREF
:76:AMENDMENT ACCEPTED
-}{5:{MAC:00000000}{CHK:1A2B3C4D5E6F}}</t>
  </si>
  <si>
    <t>Sàng lọc giao dịch MT 296 - Narrative - All</t>
  </si>
  <si>
    <t>{1:F01SCBLSGSGAXXX0000000000}
{2:I296MCOBVNVXXXXXN}
{3:{108:MT296TEST0002}}
{4:
:20:ANS2607240002
:21:NONREF
:76:0099887766
:77A:0099887766
:79:0099887766
-}{5:{MAC:00000000}{CHK:1A2B3C4D5E6F}}</t>
  </si>
  <si>
    <t>2. Hệ thống trả kết quả: HIT với Webservice Narrative loại chủ thể Individual, Entity, Port, Vessel, Aircraft và danh sách Stop Keywords
Câu query kiểm tra kết quả (KET_QUA = HIT):
SELECT CASE
         WHEN COUNT(*) = 3 THEN 'HIT'
         ELSE 'NO HIT'
       END AS KET_QUA
FROM (
    SELECT T.V_TAG_NAME
    FROM FSI_RT_AL_WLS_RESPONSE T
    WHERE T.N_GRP_MSG_ID = :N_GRP_MSG_ID
      AND T.N_WEBSERVICE_ID = 4
      AND T.V_TAG_NAME IN ('76', '77A', '79')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</si>
  <si>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MT296.09</t>
  </si>
  <si>
    <t>Copy of at least the Mandatory Fields of the Original Message</t>
  </si>
  <si>
    <t>{1:F01MCOBVNVXAXXX0000000000}
{2:I296SCBLUS33XXXXN}
{3:{108:MT296TEST0909}}
{4:
:20:TESTMT296UPDATE
:21:S1626084GHMFKKHF
:76:ATTN PAYMENTS INVESTIGATIONS
:77A:PLEASE BE ADVISED
:20:S1626084GHMFKKHF
:76:0099887766
:79:0099887766
-}{5:{MAC:00000000}{CHK:123456789ABE}}</t>
  </si>
  <si>
    <t>Sàng lọc giao dịch MT 295</t>
  </si>
  <si>
    <t>Sàng lọc giao dịch MT 295 - Identifier, Name and Address, Country and City - Entity</t>
  </si>
  <si>
    <t>{1:F01BFICCUHHAXXX0000000000}
{2:I295BFICCUHHXXXXN}
{3:{108:MT295TEST0001}}
{4:
:20:QRY2607240001
:21:NONREF
:75:PLEASE CONFIRM STATUS OF THIS TRANSACTION
-}{5:{MAC:00000000}{CHK:1A2B3C4D5E6F}}</t>
  </si>
  <si>
    <t>{1:F01MCOBVNVXAXXX0000000000}
{2:O2951201260724BFICCUHHAXXX00010000012607241201N}
{3:{108:MT295TEST0003}}
{4:
:20:QRY2607240003
:21:NONREF
:75:PLEASE CONFIRM STATUS OF THIS TRANSACTION
-}{5:{MAC:00000000}{CHK:1A2B3C4D5E6F}}</t>
  </si>
  <si>
    <t>Sàng lọc giao dịch MT 295 - Narrative - All</t>
  </si>
  <si>
    <t>{1:F01SCBLSGSGAXXX0000000000}
{2:I295MCOBVNVXXXXXN}
{3:{108:MT295TEST0002}}
{4:
:20:QRY2607240002
:21:NONREF
:75:0099887766
:77A:0099887766
:79:0099887766
-}{5:{MAC:00000000}{CHK:1A2B3C4D5E6F}}</t>
  </si>
  <si>
    <t>MT295.09</t>
  </si>
  <si>
    <t>Sàng lọc giao dịch MT 295 - Copy of at least the Mandatory Fields of the Original Message - Narrative - All</t>
  </si>
  <si>
    <t>{1:F01MCOBVNVXAXXX0000000000}
{2:I295SCBLUS33XXXXN}
{3:{108:MT295TEST0909}}
{4:
:20:TEST295UPDATE
:21:S1626084GHMFKKHF
:75:ATTN PAYMENTS INVESTIGATIONS
:77A:PLEASE BE ADVISED
:20:S1626084GHMFKKHF
:75:0099887766
:79:0099887766
-}{5:{MAC:00000000}{CHK:123456789ABD}}</t>
  </si>
  <si>
    <t>Sàng lọc giao dịch MT 199</t>
  </si>
  <si>
    <t>Sàng lọc giao dịch MT 199 - Identifier, Name and Address, Country and City - Entity</t>
  </si>
  <si>
    <t>{1:F01BFICCUHHAXXX0000000000}
{2:I199BFICCUHHXXXXN}
{3:{108:MT199TEST0001}}
{4:
:20:FRF2607240001
:79:FREE FORMAT MESSAGE FOR SANCTION SCREENING
-}{5:{MAC:00000000}{CHK:1A2B3C4D5E6F}}</t>
  </si>
  <si>
    <t>{1:F01MCOBVNVXAXXX0000000000}
{2:O1991201260724BFICCUHHAXXX00010000012607241201N}
{3:{108:MT199TEST0003}}
{4:
:20:FRF2607240003
:79:FREE FORMAT MESSAGE FOR SANCTION SCREENING
-}{5:{MAC:00000000}{CHK:1A2B3C4D5E6F}}</t>
  </si>
  <si>
    <t>Sàng lọc giao dịch MT 199 - Narrative - All</t>
  </si>
  <si>
    <t>1. Đẩy giao dịch vào API Post Message với trường thông tin 79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</si>
  <si>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{2:I199MCOBVNVXXXXXN}
{3:{108:MT199TEST0002}}
{4:
:20:FRF2607240002
:79:0099887766
-}{5:{MAC:00000000}{CHK:1A2B3C4D5E6F}}</t>
  </si>
  <si>
    <t>2. Hệ thống trả kết quả: HIT với Webservice Narrative loại chủ thể Individual, Entity, Port, Vessel, Aircraft và danh sách Stop Keywords
Câu query kiểm tra kết quả (KET_QUA = HIT):
SELECT CASE
         WHEN COUNT(*) = 1 THEN 'HIT'
         ELSE 'NO HIT'
       END AS KET_QUA
FROM (
    SELECT T.V_TAG_NAME
    FROM FSI_RT_AL_WLS_RESPONSE T
    WHERE T.N_GRP_MSG_ID = :N_GRP_MSG_ID
      AND T.N_WEBSERVICE_ID = 4
      AND T.V_TAG_NAME = '79'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</si>
  <si>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79</t>
  </si>
  <si>
    <t>Sàng lọc giao dịch MT 299</t>
  </si>
  <si>
    <t>Sàng lọc giao dịch MT 299 - Identifier, Name and Address, Country and City - Entity</t>
  </si>
  <si>
    <t xml:space="preserve">{1:F01BFICCUHHAXXX0000000000}
{2:I299BFICCUHHXXXXN}
{3:{108:MT299TEST0001}}
{4:
:20:FRF2607240001
:21:NONREF
:79:FREE FORMAT MESSAGE FOR SANCTION SCREENING
-}{5:{MAC:00000000}{CHK:1A2B3C4D5E6F}}
</t>
  </si>
  <si>
    <t>{1:F01MCOBVNVXAXXX0000000000}
{2:O2991201260724BFICCUHHAXXX00010000012607241201N}
{3:{108:MT299TEST0003}}
{4:
:20:FRF2607240003
:21:NONREF
:79:FREE FORMAT MESSAGE FOR SANCTION SCREENING
-}{5:{MAC:00000000}{CHK:1A2B3C4D5E6F}}</t>
  </si>
  <si>
    <t>Sàng lọc giao dịch MT 299 - Narrative - All</t>
  </si>
  <si>
    <t>{1:F01SCBLSGSGAXXX0000000000}
{2:I299MCOBVNVXXXXXN}
{3:{108:MT299TEST0002}}
{4:
:20:FRF2607240002
:21:NONREF
:79:0099887766
-}{5:{MAC:00000000}{CHK:1A2B3C4D5E6F}}</t>
  </si>
  <si>
    <t>Sàng lọc giao dịch MT 499</t>
  </si>
  <si>
    <t>Sàng lọc giao dịch MT 499 - Identifier, Name and Address, Country and City - Entity</t>
  </si>
  <si>
    <t>{1:F01BFICCUHHAXXX0000000000}
{2:I499BFICCUHHXXXXN}
{3:{108:MT499TEST0001}}
{4:
:20:FRF2607240001
:21:NONREF
:79:FREE FORMAT MESSAGE FOR SANCTION SCREENING
-}{5:{MAC:00000000}{CHK:1A2B3C4D5E6F}}</t>
  </si>
  <si>
    <t>{1:F01MCOBVNVXAXXX0000000000}
{2:O4991201260724BFICCUHHAXXX00010000012607241201N}
{3:{108:MT499TEST0003}}
{4:
:20:FRF2607240003
:21:NONREF
:79:FREE FORMAT MESSAGE FOR SANCTION SCREENING
-}{5:{MAC:00000000}{CHK:1A2B3C4D5E6F}}</t>
  </si>
  <si>
    <t>Sàng lọc giao dịch MT 499 - Narrative - All</t>
  </si>
  <si>
    <t>{1:F01SCBLSGSGAXXX0000000000}
{2:I499MCOBVNVXXXXXN}
{3:{108:MT499TEST0002}}
{4:
:20:FRF2607240002
:21:NONREF
:79:0099887766
-}{5:{MAC:00000000}{CHK:1A2B3C4D5E6F}}</t>
  </si>
  <si>
    <t>Sàng lọc giao dịch MT 799</t>
  </si>
  <si>
    <t>Sàng lọc giao dịch MT 799 - Identifier, Name and Address, Country and City - Entity</t>
  </si>
  <si>
    <t>{1:F01BFICCUHHAXXX0000000000}
{2:I799BFICCUHHXXXXN}
{3:{108:MT799TEST0001}}
{4:
:20:FRF2607240001
:21:NONREF
:79:FREE FORMAT MESSAGE FOR SANCTION SCREENING
-}{5:{MAC:00000000}{CHK:1A2B3C4D5E6F}}</t>
  </si>
  <si>
    <t>{1:F01MCOBVNVXAXXX0000000000}
{2:O7991201260724BFICCUHHAXXX00010000012607241201N}
{3:{108:MT799TEST0003}}
{4:
:20:FRF2607240003
:21:NONREF
:79:FREE FORMAT MESSAGE FOR SANCTION SCREENING
-}{5:{MAC:00000000}{CHK:1A2B3C4D5E6F}}</t>
  </si>
  <si>
    <t>Sàng lọc giao dịch MT 799 - Narrative - All</t>
  </si>
  <si>
    <t>{1:F01SCBLSGSGAXXX0000000000}
{2:I799MCOBVNVXXXXXN}
{3:{108:MT799TEST0002}}
{4:
:20:FRF2607240002
:79:0099887766
-}{5:{MAC:00000000}{CHK:1A2B3C4D5E6F}}</t>
  </si>
  <si>
    <t>Sàng lọc giao dịch MT 999</t>
  </si>
  <si>
    <t>Sàng lọc giao dịch MT 999 - Identifier, Name and Address, Country and City - Entity</t>
  </si>
  <si>
    <t>{1:F01BFICCUHHAXXX0000000000}
{2:I999BFICCUHHXXXXN}
{3:{108:MT999TEST0001}}
{4:
:20:FRF2607240001
:21:NONREF
:79:FREE FORMAT MESSAGE FOR SANCTION SCREENING
-}{5:{MAC:00000000}{CHK:1A2B3C4D5E6F}}</t>
  </si>
  <si>
    <t>{1:F01MCOBVNVXAXXX0000000000}
{2:O9991201260724BFICCUHHAXXX00010000012607241201N}
{3:{108:MT999TEST0003}}
{4:
:20:FRF2607240003
:21:NONREF
:79:FREE FORMAT MESSAGE FOR SANCTION SCREENING
-}{5:{MAC:00000000}{CHK:1A2B3C4D5E6F}}</t>
  </si>
  <si>
    <t>Sàng lọc giao dịch MT 999 - Narrative - All</t>
  </si>
  <si>
    <t>{1:F01SCBLSGSGAXXX0000000000}
{2:I999MCOBVNVXXXXXN}
{3:{108:MT999TEST0002}}
{4:
:20:FRF2607240002
:21:NONREF
:79:0099887766
-}{5:{MAC:00000000}{CHK:1A2B3C4D5E6F}}</t>
  </si>
  <si>
    <t>Sàng lọc giao dịch MT 700</t>
  </si>
  <si>
    <t>Sàng lọc giao dịch MT 700 - Identifier, Name and Address, Country and City - Entity</t>
  </si>
  <si>
    <t>1. Đẩy giao dịch vào API Post Message với trường thông tin Basic Header Block, Application Header - Input, 51A, 41A,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</si>
  <si>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{2:I700BFICCUHHXXXXN}
{3:{108:MT700TEST0001}}
{4:
:27:1/1
:40A:IRREVOCABLE
:20:REF000000001
:31C:260101
:40E:UCP LATEST VERSION
:31D:261231SINGAPORE
:51A:BFICCUHH
:50:MEKONG TRADING CO LTD
12 NGUYEN HUE
HO CHI MINH
VN
:59:SUNRISE PTE LTD
18 MARINA BLVD
SINGAPORE
SG
:32B:USD100000,
:41A:BFICCUHH
BY PAYMENT
:42A:BFICCUHH
:49:WITHOUT
:58A:BFICCUHH
:53A:BFICCUHH
:57A:BFICCUHH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</si>
  <si>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'51A',
            '41A',
            '42A',
            '58A',
            '53A',
            '57A'
          )
    GROUP BY T.N_WEBSERVICE_ID
    HAVING COUNT(DISTINCT T.V_TAG_NAME) = 8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</si>
  <si>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51A, 41A, 42A, 58A, 53A, 57A</t>
  </si>
  <si>
    <t>{1:F01MCOBVNVXAXXX0000000000}
{2:O7001200260101BFICCUHHAXXX00000000002601011200N}
{3:{108:MT700TEST0002}}
{4:
:27:1/1
:40A:IRREVOCABLE
:20:REF000000001
:31C:260101
:40E:UCP LATEST VERSION
:31D:261231SINGAPORE
:50:MEKONG TRADING CO LTD
12 NGUYEN HUE
HO CHI MINH
VN
:59:SUNRISE PTE LTD
18 MARINA BLVD
SINGAPORE
SG
:32B:USD100000,
:41A:SCBLSGSG
BY PAYMENT
:49:WITHOUT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</si>
  <si>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 'Application Header - Output'
    GROUP BY T.N_WEBSERVICE_ID
    HAVING COUNT(DISTINCT T.V_TAG_NAME) = 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</si>
  <si>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Sàng lọc giao dịch MT 700 - Name and Address - Entity</t>
  </si>
  <si>
    <t>1. Đẩy giao dịch vào API Post Message với trường thông tin 51D, 50, 59, 41D,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</si>
  <si>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:51D:SUMMIT EMBER
:50:SUMMIT EMBER
12 NGUYEN HUE
HO CHI MINH
VN
:59:SUMMIT EMBER
18 MARINA BLVD
SINGAPORE
SG
:32B:USD100000,
:41D:SUMMIT EMBER
BY PAYMENT
:42D:SUMMIT EMBER
:49:WITHOUT
:58D:SUMMIT EMBER
:53D:SUMMIT EMBER
:57D:SUMMIT EMBER
-}
{5:{MAC:00000000}{CHK:123456789ABC}}</t>
  </si>
  <si>
    <t>2. Hệ thống trả kết quả: HIT với Webservice Name and Address loại chủ thể Entity và không HIT với chủ thể Individual, Vessel, Aircraft
Câu query kiểm tra kết quả (KET_QUA = HIT):
SELECT CASE
         WHEN COUNT(*) = 8 THEN 'HIT'
         ELSE 'NO HIT'
       END AS KET_QUA
FROM (
    SELECT T.V_TAG_NAME
    FROM FSI_RT_AL_WLS_RESPONSE T
    WHERE T.N_GRP_MSG_ID = :N_GRP_MSG_ID
      AND T.N_WEBSERVICE_ID = 1
      AND T.V_TAG_NAME IN (
            '51D',
            '50',
            '59',
            '41D',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</si>
  <si>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tag 59 đang không hit =&gt; phải hit với rule [E001D] Part-standardized name exact only =&gt; GRmessage VD: 52993</t>
  </si>
  <si>
    <t>Nhóm tag quét giống nhau (Name and Address - Entity): 51D, 50N, 59N, 41D, 42D, 58D, 53D, 57D</t>
  </si>
  <si>
    <t>Sàng lọc giao dịch MT 700 - Identifier - Entity</t>
  </si>
  <si>
    <t>1. Đẩy giao dịch vào API Post Message với trường thông tin 51A,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</si>
  <si>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:51A:/0099887766
SCBLSGSG
:50:MEKONG TRADING CO LTD
12 NGUYEN HUE
HO CHI MINH
VN
:59:SUNRISE PTE LTD
18 MARINA BLVD
SINGAPORE
SG
:32B:USD100000,
:41A:SCBLSGSG
BY PAYMENT
:42A:/0099887766
SCBLSGSG
:49:WITHOUT
:58A:/0099887766
SCBLSGSG
:53A:/0099887766
SCBLSGSG
:57A:/0099887766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</si>
  <si>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('51A', '42A', '58A', '53A', '57A')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</si>
  <si>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51A, 42A, 58A, 53A, 57A</t>
  </si>
  <si>
    <t>1. Đẩy giao dịch vào API Post Message với trường thông tin 51A, 42A, 58A, 53A, 57B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</si>
  <si>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:51A:/0099887766
SCBLSGSG
:50:MEKONG TRADING CO LTD
12 NGUYEN HUE
HO CHI MINH
VN
:59:SUNRISE PTE LTD
18 MARINA BLVD
SINGAPORE
SG
:32B:USD100000,
:41A:SCBLSGSG
BY PAYMENT
:42A:/0099887766
SCBLSGSG
:49:WITHOUT
:58A:/0099887766
SCBLSGSG
:53A:/0099887766
SCBLSGSG
:57B:/0099887766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</si>
  <si>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('51A', '42A', '58A', '53A', '57B')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</si>
  <si>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 Đẩy giao dịch vào API Post Message với trường thông tin 51D,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</si>
  <si>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:51D:/0099887766
MEKONG TRADING CO LTD
:50:MEKONG TRADING CO LTD
12 NGUYEN HUE
HO CHI MINH
VN
:59:SUNRISE PTE LTD
18 MARINA BLVD
SINGAPORE
SG
:32B:USD100000,
:41A:SCBLSGSG
BY PAYMENT
:42D:/0099887766
MEKONG TRADING CO LTD
:49:WITHOUT
:58D:/0099887766
MEKONG TRADING CO LTD
:53D:/0099887766
MEKONG TRADING CO LTD
:57D:/0099887766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</si>
  <si>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('51D', '42D', '58D', '53D',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</si>
  <si>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MT700.06</t>
  </si>
  <si>
    <t>Sàng lọc giao dịch MT 700 - Port, Narrative - Port</t>
  </si>
  <si>
    <t>1. Đẩy giao dịch vào API Post Message với trường thông tin 44A, 44E, 44F, 44B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</si>
  <si>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:50:MEKONG TRADING CO LTD
12 NGUYEN HUE
HO CHI MINH
VN
:59:SUNRISE PTE LTD
18 MARINA BLVD
SINGAPORE
SG
:32B:USD100000,
:41A:SCBLSGSG
BY PAYMENT
:44A:EMBER SUMMIT
:44E:EMBER SUMMIT
:44F:EMBER SUMMIT
:44B:EMBER SUMMIT
:49:WITHOUT
-}
{5:{MAC:00000000}{CHK:123456789ABC}}</t>
  </si>
  <si>
    <t>2. Hệ thống trả kết quả: HIT với Webservice Port và Narrative loại chủ thể Port và không HIT với chủ thể Individual, Entity, Vessel, Aircraft
Câu query kiểm tra kết quả (KET_QUA = HIT):
SELECT CASE
         WHEN COUNT(*) = 2 THEN 'HIT'
         ELSE 'NO HIT'
       END AS KET_QUA
FROM (
    SELECT T.N_WEBSERVICE_ID
    FROM FSI_RT_AL_WLS_RESPONSE T
    WHERE T.N_GRP_MSG_ID = :N_GRP_MSG_ID
      AND T.N_WEBSERVICE_ID IN (4, 5)
      AND T.V_TAG_NAME IN (
            '44A',
            '44E',
            '44F',
            '44B'
          )
    GROUP BY T.N_WEBSERVICE_ID
    HAVING COUNT(DISTINCT T.V_TAG_NAME) = 4
       AND COUNT(CASE WHEN UPPER(T.V_MATCHED_TYPE) like '%PORT%' THEN 1 END) &gt; 0
       AND COUNT(CASE WHEN UPPER(T.V_MATCHED_TYPE) = 'ENTITY' THEN 1 END) = 0
       AND COUNT(CASE WHEN UPPER(T.V_MATCHED_TYPE) = 'INDIVIDUAL' THEN 1 END) = 0
       AND COUNT(CASE WHEN UPPER(T.V_MATCHED_TYPE) = 'VESSEL' THEN 1 END) = 0
       AND COUNT(CASE WHEN UPPER(T.V_MATCHED_TYPE) = 'AIRCRAFT' THEN 1 END) = 0
);</t>
  </si>
  <si>
    <t>Nhóm tag quét giống nhau (Port, Narrative or Free Text Information - Port): 44A, 44E, 44F, 44B</t>
  </si>
  <si>
    <t>MT700.07</t>
  </si>
  <si>
    <t>Sàng lọc giao dịch MT 700 - Narrative - All</t>
  </si>
  <si>
    <t>1. Đẩy giao dịch vào API Post Message với trường thông tin 45A, 42M, 42P, 46A, 47A, 49G, 49H, 71D, 78,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</si>
  <si>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{2:I700SCBLSGSGXXXXN}
{3:{108:MT700TEST0001}}
{4:
:27:1/1
:40A:IRREVOCABLE
:20:REF000000001
:31C:260101
:40E:UCP LATEST VERSION
:31D:261231SINGAPORE
:50:MEKONG TRADING CO LTD
12 NGUYEN HUE
HO CHI MINH
VN
:59:SUNRISE PTE LTD
18 MARINA BLVD
SINGAPORE
SG
:32B:USD100000,
:41A:SCBLSGSG
BY PAYMENT
:42M:0099887766
:42P:0099887766
:45A:0099887766
:46A:0099887766
:47A:0099887766
:49G:0099887766
:49H:0099887766
:71D:0099887766
:49:WITHOUT
:78:0099887766
:72Z:0099887766
-}
{5:{MAC:00000000}{CHK:123456789ABC}}</t>
  </si>
  <si>
    <t>2. Hệ thống trả kết quả: HIT với Webservice Narrative loại chủ thể Individual, Entity, Port, Vessel, Aircraft và danh sách Stop Keywords
Câu query kiểm tra kết quả (KET_QUA = HIT):
SELECT CASE
         WHEN COUNT(*) = 10 THEN 'HIT'
         ELSE 'NO HIT'
       END AS KET_QUA
FROM (
    SELECT T.V_TAG_NAME
    FROM FSI_RT_AL_WLS_RESPONSE T
    WHERE T.N_GRP_MSG_ID = :N_GRP_MSG_ID
      AND T.N_WEBSERVICE_ID = 4
      AND T.V_TAG_NAME IN (
            '42M',
            '42P',
            '46A',
            '47A',
            '49G',
            '49H',
            '71D',
            '78',
            '72Z' ,
            '45A')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</si>
  <si>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46A, 47A, 49G, 49H, 71D, 78K, 72Z,45A</t>
  </si>
  <si>
    <t>Sàng lọc giao dịch MT 701</t>
  </si>
  <si>
    <t>Sàng lọc giao dịch MT 701 - Identifier, Name and Address, Country and City - Entity</t>
  </si>
  <si>
    <t>{1:F01BFICCUHHAXXX0000000000}
{2:I701BFICCUHHXXXXN}
{3:{108:MT701TEST0001}}
{4:
:27:1/1
:20:DCI2607240001
-}{5:{MAC:00000000}{CHK:1A2B3C4D5E6F}}</t>
  </si>
  <si>
    <t>{1:F01MCOBVNVXAXXX0000000000}
{2:O7011201260724BFICCUHHAXXX00010000012607241201N}
{3:{108:MT701TEST0004}}
{4:
:27:1/1
:20:DCI2607240004
-}{5:{MAC:00000000}{CHK:1A2B3C4D5E6F}}</t>
  </si>
  <si>
    <t>Sàng lọc giao dịch MT 701 - Narrative - All</t>
  </si>
  <si>
    <t>1. Đẩy giao dịch vào API Post Message với trường thông tin 45A, 46A, 47A, 49G, 49H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</si>
  <si>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{2:I701MCOBVNVXXXXXN}
{3:{108:MT701TEST0002}}
{4:
:27:1/1
:20:DCI2607240002
:45A:0099887766
:46A:0099887766
:47A:0099887766
:49G:0099887766
:49H:0099887766
-}{5:{MAC:00000000}{CHK:1A2B3C4D5E6F}}</t>
  </si>
  <si>
    <t>2. Hệ thống trả kết quả: HIT với Webservice Narrative loại chủ thể Individual, Entity, Port, Vessel, Aircraft và danh sách Stop Keywords
Câu query kiểm tra kết quả (KET_QUA = HIT):
SELECT CASE
         WHEN COUNT(*) = 5 THEN 'HIT'
         ELSE 'NO HIT'
       END AS KET_QUA
FROM (
    SELECT T.V_TAG_NAME
    FROM FSI_RT_AL_WLS_RESPONSE T
    WHERE T.N_GRP_MSG_ID = :N_GRP_MSG_ID
      AND T.N_WEBSERVICE_ID = 4
      AND T.V_TAG_NAME IN ('46A', '47A', '49G', '49H',
            '45A')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</si>
  <si>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46A, 47A, 49G, 49H</t>
  </si>
  <si>
    <t>Sàng lọc giao dịch MT 707</t>
  </si>
  <si>
    <t>Sàng lọc giao dịch MT 707 - Identifier, Name and Address, Country and City - Entity</t>
  </si>
  <si>
    <t>1. Đẩy giao dịch vào API Post Message với trường thông tin Basic Header Block, Application Header - Input, 52A, 41A,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</si>
  <si>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{2:I707BFICCUHHXXXXN}
{3:{108:MT707TEST0001}}
{4:
:27:1/1
:20:REF000000001
:21:DCN000000001
:23:IBR000000001
:52A:BFICCUHH
:31C:260101
:26E:001
:30:260101
:22A:ISSU
:41A:BFICCUHH
BY PAYMENT
:42A:BFICCUHH
:58A:BFICCUHH
:53A:BFICCUHH
:57A:BFICCUHH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</si>
  <si>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
            '41A',
            '42A',
            '58A',
            '53A',
            '57A'
          )
    GROUP BY T.N_WEBSERVICE_ID
    HAVING COUNT(DISTINCT T.V_TAG_NAME) = 8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</si>
  <si>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41A, 42A, 58A, 53A, 57A</t>
  </si>
  <si>
    <t>Basic Header Block đang không quét với Identifer, Name and Address</t>
  </si>
  <si>
    <t>{1:F01MCOBVNVXAXXX0000000000}
{2:O7071200260101BFICCUHHAXXX00000000002601011200N}
{3:{108:MT707TEST0002}}
{4:
:27:1/1
:20:REF000000001
:21:DCN000000001
:23:IBR000000001
:31C:260101
:26E:001
:30:260101
:22A:ISSU
-}
{5:{MAC:00000000}{CHK:123456789ABC}}</t>
  </si>
  <si>
    <t>Sàng lọc giao dịch MT 707 - Name and Address - Entity</t>
  </si>
  <si>
    <t>1. Đẩy giao dịch vào API Post Message với trường thông tin 52D, 50B, 50, 59, 41D,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</si>
  <si>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{2:I707SCBLSGSGXXXXN}
{3:{108:MT707TEST0001}}
{4:
:27:1/1
:20:REF000000001
:21:DCN000000001
:23:IBR000000001
:52D:SUMMIT EMBER
:50B:SUMMIT EMBER
:31C:260101
:26E:001
:30:260101
:22A:ISSU
:50:SUMMIT EMBER
12 NGUYEN HUE
HO CHI MINH
VN
:59:SUMMIT EMBER
18 MARINA BLVD
SINGAPORE
SG
:41D:SUMMIT EMBER
BY PAYMENT
:42D:SUMMIT EMBER
:58D:SUMMIT EMBER
:53D:SUMMIT EMBER
:57D:SUMMIT EMBER
-}
{5:{MAC:00000000}{CHK:123456789ABC}}</t>
  </si>
  <si>
    <t>2. Hệ thống trả kết quả: HIT với Webservice Name and Address loại chủ thể Entity và không HIT với chủ thể Individual, Vessel, Aircraft
Câu query kiểm tra kết quả (KET_QUA = HIT):
SELECT CASE
         WHEN COUNT(*) = 9 THEN 'HIT'
         ELSE 'NO HIT'
       END AS KET_QUA
FROM (
    SELECT T.V_TAG_NAME
    FROM FSI_RT_AL_WLS_RESPONSE T
    WHERE T.N_GRP_MSG_ID = :N_GRP_MSG_ID
      AND T.N_WEBSERVICE_ID = 1
      AND T.V_TAG_NAME IN (
            '52D',
            '50B',
            '50',
            '59',
            '41D',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</si>
  <si>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50E, 50N, 59N, 41D, 42D, 58D, 53D, 57D</t>
  </si>
  <si>
    <t>Sàng lọc giao dịch MT 707 - Identifier - Entity</t>
  </si>
  <si>
    <t>1. Đẩy giao dịch vào API Post Message với trường thông tin 52A,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</si>
  <si>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{2:I707SCBLSGSGXXXXN}
{3:{108:MT707TEST0001}}
{4:
:27:1/1
:20:REF000000001
:21:DCN000000001
:23:IBR000000001
:52A:/0099887766
SCBLSGSG
:31C:260101
:26E:001
:30:260101
:22A:ISSU
:42A:/0099887766
SCBLSGSG
:58A:/0099887766
SCBLSGSG
:53A:/0099887766
SCBLSGSG
:57A:/0099887766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</si>
  <si>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
            '52A',
            '42A',
            '58A',
            '53A',
            '57A'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</si>
  <si>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42A, 58A, 53A, 57A</t>
  </si>
  <si>
    <t>1. Đẩy giao dịch vào API Post Message với trường thông tin 52D,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</si>
  <si>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{2:I707SCBLSGSGXXXXN}
{3:{108:MT707TEST0001}}
{4:
:27:1/1
:20:REF000000001
:21:DCN000000001
:23:IBR000000001
:52D:/0099887766
MEKONG TRADING CO LTD
:31C:260101
:26E:001
:30:260101
:22A:ISSU
:42D:/0099887766
MEKONG TRADING CO LTD
:58D:/0099887766
MEKONG TRADING CO LTD
:53D:/0099887766
MEKONG TRADING CO LTD
:57D:/0099887766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</si>
  <si>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
            '52D',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</si>
  <si>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(Country and city - Danh sách Quốc gia Knock-out): 50W, 50R, 59R</t>
  </si>
  <si>
    <t>1. Đẩy giao dịch vào API Post Message với trường thông tin 57B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</si>
  <si>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{2:I707SCBLSGSGXXXXN}
{3:{108:MT707TEST0001}}
{4:
:27:1/1
:20:REF000000001
:21:DCN000000001
:23:IBR000000001
:31C:260101
:26E:001
:30:260101
:22A:ISSU
:57B:/0099887766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</si>
  <si>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IN (
            '57B'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</si>
  <si>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MT707.06</t>
  </si>
  <si>
    <t>Sàng lọc giao dịch MT 707 - Port, Narrative - Port</t>
  </si>
  <si>
    <t>{1:F01MCOBVNVXAXXX0000000000}
{2:I707SCBLSGSGXXXXN}
{3:{108:MT707TEST0001}}
{4:
:27:1/1
:20:REF000000001
:21:DCN000000001
:23:IBR000000001
:31C:260101
:26E:001
:30:260101
:22A:ISSU
:44A:EMBER SUMMIT
:44E:EMBER SUMMIT
:44F:EMBER SUMMIT
:44B:EMBER SUMMIT
-}
{5:{MAC:00000000}{CHK:123456789ABC}}</t>
  </si>
  <si>
    <t>MT707.07</t>
  </si>
  <si>
    <t>Sàng lọc giao dịch MT 707 - Narrative - All</t>
  </si>
  <si>
    <t>1. Đẩy giao dịch vào API Post Message với trường thông tin  45B, 42M, 42P, 46B, 47B, 49M, 49N, 71D, 71N, 78,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</si>
  <si>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{1:F01MCOBVNVXAXXX0000000000}
{2:I707SCBLSGSGXXXXN}
{3:{108:MT707TEST0001}}
{4:
:27:1/1
:20:REF000000001
:21:DCN000000001
:23:IBR000000001
:31C:260101
:26E:001
:30:260101
:22A:ISSU
:42M:0099887766
:42P:0099887766
</t>
    </r>
    <r>
      <rPr>
        <sz val="11"/>
        <color rgb="FFFF0000"/>
        <rFont val="Times New Roman"/>
      </rPr>
      <t xml:space="preserve">:45B:0099887766
</t>
    </r>
    <r>
      <rPr>
        <sz val="11"/>
        <color rgb="FF000000"/>
        <rFont val="Times New Roman"/>
      </rPr>
      <t>:46B:0099887766
:47B:0099887766
:49M:0099887766
:49N:0099887766
:71D:0099887766
:71N:AAAA
0099887766
:78:0099887766
:72Z:0099887766
-}
{5:{MAC:00000000}{CHK:123456789ABC}}</t>
    </r>
  </si>
  <si>
    <t>2. Hệ thống trả kết quả: HIT với Webservice Narrative loại chủ thể Individual, Entity, Port, Vessel, Aircraft và danh sách Stop Keywords
Câu query kiểm tra kết quả (KET_QUA = HIT):
SELECT CASE
         WHEN COUNT(*) = 11 THEN 'HIT'
         ELSE 'NO HIT'
       END AS KET_QUA
FROM (
    SELECT T.V_TAG_NAME
    FROM FSI_RT_AL_WLS_RESPONSE T
    WHERE T.N_GRP_MSG_ID = :N_GRP_MSG_ID
      AND T.N_WEBSERVICE_ID = 4
      AND T.V_TAG_NAME IN (
            '42M',
            '42P',
            '46B',
            '47B',
            '49M',
            '49N',
            '71D',
            '71N',
            '78',
            '72Z',
            '45B')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</si>
  <si>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46B, 47B, 49M, 49N, 71D, 71N, 78K, 72Z</t>
  </si>
  <si>
    <t>lỗi quét trường 71N</t>
  </si>
  <si>
    <t>Sàng lọc giao dịch MT 710</t>
  </si>
  <si>
    <t>Sàng lọc giao dịch MT 710 - Identifier, Name and Address, Country and City - Entity</t>
  </si>
  <si>
    <t>1. Đẩy giao dịch vào API Post Message với trường thông tin Basic Header Block, Application Header - Input, 52A, 51A, 41A,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</si>
  <si>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{2:I710BFICCUHHXXXXN}
{3:{108:MT710TEST0001}}
{4:
:27:1/1
:40B:DOCUMENTARY CREDIT
IRREVOCABLE
:20:REF000000001
:21:AJAJA
:31C:260101
:40E:UCP LATEST VERSION
:31D:261231SINGAPORE
:52A:BFICCUHH
:51A:BFICCUHH
:50:MEKONG TRADING CO LTD
12 NGUYEN HUE
HO CHI MINH
VN
:59:SUNRISE PTE LTD
18 MARINA BLVD
SINGAPORE
SG
:32B:USD100000,
:41A:BFICCUHH
BY PAYMENT
:42A:BFICCUHH
:49:WITHOUT
:58A:BFICCUHH
:53A:BFICCUHH
:57A:BFICCUHH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</si>
  <si>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
            '51A',
            '41A',
            '42A',
            '58A',
            '53A',
            '57A'
          )
    GROUP BY T.N_WEBSERVICE_ID
    HAVING COUNT(DISTINCT T.V_TAG_NAME) = 9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</si>
  <si>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51A, 41A, 42A, 58A, 53A, 57A</t>
  </si>
  <si>
    <t>{1:F01MCOBVNVXAXXX0000000000}
{2:O7101200260101BFICCUHHAXXX00000000002601011200N}
{3:{108:MT710TEST0002}}
{4:
:27:1/1
:40B:DOCUMENTARY CREDIT
IRREVOCABLE
:20:REF000000001
:21:AAAA
:31C:260101
:40E:UCP LATEST VERSION
:31D:261231SINGAPORE
:50:MEKONG TRADING CO LTD
12 NGUYEN HUE
HO CHI MINH
VN
:59:SUNRISE PTE LTD
18 MARINA BLVD
SINGAPORE
SG
:32B:USD100000,
:41A:SCBLSGSG
BY PAYMENT
:49:WITHOUT
-}
{5:{MAC:00000000}{CHK:123456789ABC}}</t>
  </si>
  <si>
    <t>Sàng lọc giao dịch MT 710 - Name and Address - Entity</t>
  </si>
  <si>
    <t>1. Đẩy giao dịch vào API Post Message với trường thông tin 52D, 50B, 51D, 50, 59, 41D,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</si>
  <si>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{2:I710SCBLSGSGXXXXN}
{3:{108:MT710TEST0001}}
{4:
:27:1/1
:40B:DOCUMENTARY CREDIT
IRREVOCABLE
:20:REF000000001
:21:BANNNSNS
:31C:260101
:40E:UCP LATEST VERSION
:31D:261231SINGAPORE
:52D:SUMMIT EMBER
:50B:SUMMIT EMBER
:51D:SUMMIT EMBER
:50:SUMMIT EMBER
12 NGUYEN HUE
HO CHI MINH
VN
:59:SUMMIT EMBER
18 MARINA BLVD
SINGAPORE
SG
:32B:USD100000,
:41D:SUMMIT EMBER
BY PAYMENT
:42D:SUMMIT EMBER
:49:WITHOUT
:58D:SUMMIT EMBER
:53D:SUMMIT EMBER
:57D:SUMMIT EMBER
-}
{5:{MAC:00000000}{CHK:123456789ABC}}</t>
  </si>
  <si>
    <t>2. Hệ thống trả kết quả: HIT với Webservice Name and Address loại chủ thể Entity và không HIT với chủ thể Individual, Vessel, Aircraft
Câu query kiểm tra kết quả (KET_QUA = HIT):
SELECT CASE
         WHEN COUNT(*) = 10 THEN 'HIT'
         ELSE 'NO HIT'
       END AS KET_QUA
FROM (
    SELECT T.V_TAG_NAME
    FROM FSI_RT_AL_WLS_RESPONSE T
    WHERE T.N_GRP_MSG_ID = :N_GRP_MSG_ID
      AND T.N_WEBSERVICE_ID = 1
      AND T.V_TAG_NAME IN (
            '52D',
            '50B',
            '51D',
            '50',
            '59',
            '41D',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</si>
  <si>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50E, 51D, 50N, 59N, 41D, 42D, 58D, 53D, 57D</t>
  </si>
  <si>
    <t>Sàng lọc giao dịch MT 710 - Identifier - Entity</t>
  </si>
  <si>
    <t>1. Đẩy giao dịch vào API Post Message với trường thông tin 52A, 51A,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</si>
  <si>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{2:I710SCBLSGSGXXXXN}
{3:{108:MT710TEST0001}}
{4:
:27:1/1
:40B:DOCUMENTARY CREDIT
IRREVOCABLE
:20:REF000000001
:21:BDBDB
:31C:260101
:40E:UCP LATEST VERSION
:31D:261231SINGAPORE
:52A:/0099887766
SCBLSGSG
:51A:/0099887766
SCBLSGSG
:50:MEKONG TRADING CO LTD
12 NGUYEN HUE
HO CHI MINH
VN
:59:SUNRISE PTE LTD
18 MARINA BLVD
SINGAPORE
SG
:32B:USD100000,
:41A:SCBLSGSG
BY PAYMENT
:42A:/0099887766
SCBLSGSG
:49:WITHOUT
:58A:/0099887766
SCBLSGSG
:53A:/0099887766
SCBLSGSG
:57A:/0099887766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</si>
  <si>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'52A',
            '51A',
            '42A',
            '58A',
            '53A',
            '57A'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</si>
  <si>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51A, 42A, 58A, 53A, 57A</t>
  </si>
  <si>
    <t>1. Đẩy giao dịch vào API Post Message với trường thông tin 52D, 51D,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</si>
  <si>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{2:I710SCBLSGSGXXXXN}
{3:{108:MT710TEST0001}}
{4:
:27:1/1
:40B:DOCUMENTARY CREDIT
IRREVOCABLE
:20:REF000000001
:21:NSNSMMS
:31C:260101
:40E:UCP LATEST VERSION
:31D:261231SINGAPORE
:52D:/0099887766
MEKONG TRADING CO LTD
:51D:/0099887766
MEKONG TRADING CO LTD
:50:MEKONG TRADING CO LTD
12 NGUYEN HUE
HO CHI MINH
VN
:59:SUNRISE PTE LTD
18 MARINA BLVD
SINGAPORE
SG
:32B:USD100000,
:41A:SCBLSGSG
BY PAYMENT
:42D:/0099887766
MEKONG TRADING CO LTD
:49:WITHOUT
:58D:/0099887766
MEKONG TRADING CO LTD
:53D:/0099887766
MEKONG TRADING CO LTD
:57D:/0099887766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</si>
  <si>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'52D',
            '51D',
            '42D',
            '58D',
            '53D',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</si>
  <si>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 Đẩy giao dịch vào API Post Message với trường thông tin 52D, 51D, 42D, 58D, 53D, 57B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</si>
  <si>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{2:I710SCBLSGSGXXXXN}
{3:{108:MT710TEST0001}}
{4:
:27:1/1
:40B:DOCUMENTARY CREDIT
IRREVOCABLE
:20:REF000000001
:21:NSNSMMS
:31C:260101
:40E:UCP LATEST VERSION
:31D:261231SINGAPORE
:52D:/0099887766
MEKONG TRADING CO LTD
:51D:/0099887766
MEKONG TRADING CO LTD
:50:MEKONG TRADING CO LTD
12 NGUYEN HUE
HO CHI MINH
VN
:59:SUNRISE PTE LTD
18 MARINA BLVD
SINGAPORE
SG
:32B:USD100000,
:41A:SCBLSGSG
BY PAYMENT
:42D:/0099887766
MEKONG TRADING CO LTD
:49:WITHOUT
:58D:/0099887766
MEKONG TRADING CO LTD
:53D:/0099887766
MEKONG TRADING CO LTD
:57B:/0099887766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</si>
  <si>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'52D',
            '51D',
            '42D',
            '58D',
            '53D',
            '57B'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</si>
  <si>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MT710.06</t>
  </si>
  <si>
    <t>Sàng lọc giao dịch MT 710 - Port, Narrative - Port</t>
  </si>
  <si>
    <t>{1:F01MCOBVNVXAXXX0000000000}
{2:I710SCBLSGSGXXXXN}
{3:{108:MT710TEST0001}}
{4:
:27:1/1
:40B:DOCUMENTARY CREDIT
IRREVOCABLE
:20:REF000000001
:21:AKKKSS
:31C:260101
:40E:UCP LATEST VERSION
:31D:261231SINGAPORE
:50:MEKONG TRADING CO LTD
12 NGUYEN HUE
HO CHI MINH
VN
:59:SUNRISE PTE LTD
18 MARINA BLVD
SINGAPORE
SG
:32B:USD100000,
:41A:SCBLSGSG
BY PAYMENT
:44A:EMBER SUMMIT
:44E:EMBER SUMMIT
:44F:EMBER SUMMIT
:44B:EMBER SUMMIT
:49:WITHOUT
-}
{5:{MAC:00000000}{CHK:123456789ABC}}</t>
  </si>
  <si>
    <t>MT710.07</t>
  </si>
  <si>
    <t>Sàng lọc giao dịch MT 710 - Narrative - All</t>
  </si>
  <si>
    <t>1. Đẩy giao dịch vào API Post Message với trường thông tin 45A, 42M, 42P, 46A, 47A, 49G, 49H, 71D, 78, 78D,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</si>
  <si>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{1:F01MCOBVNVXAXXX0000000000}
{2:I710SCBLSGSGXXXXN}
{3:{108:MT710TEST0001}}
{4:
:27:1/1
:40B:DOCUMENTARY CREDIT
IRREVOCABLE
:20:REF000000001
:21:JSJJS
:31C:260101
:40E:UCP LATEST VERSION
:31D:261231SINGAPORE
:50:MEKONG TRADING CO LTD
12 NGUYEN HUE
HO CHI MINH
VN
:59:SUNRISE PTE LTD
18 MARINA BLVD
SINGAPORE
SG
:32B:USD100000,
:41A:SCBLSGSG
BY PAYMENT
:42M:0099887766
:42P:0099887766
</t>
    </r>
    <r>
      <rPr>
        <sz val="11"/>
        <color rgb="FFFF0000"/>
        <rFont val="Times New Roman"/>
      </rPr>
      <t xml:space="preserve">:45A:0099887766
</t>
    </r>
    <r>
      <rPr>
        <sz val="11"/>
        <color rgb="FF000000"/>
        <rFont val="Times New Roman"/>
      </rPr>
      <t>:46A:0099887766
:47A:0099887766
:49G:0099887766
:49H:0099887766
:71D:0099887766
:49:WITHOUT
:78:0099887766
:78D:0099887766
:72Z:0099887766
-}
{5:{MAC:00000000}{CHK:123456789ABC}}</t>
    </r>
  </si>
  <si>
    <t>2. Hệ thống trả kết quả: HIT với Webservice Narrative loại chủ thể Individual, Entity, Port, Vessel, Aircraft và danh sách Stop Keywords
Câu query kiểm tra kết quả (KET_QUA = HIT):
SELECT CASE
         WHEN COUNT(*) = 11 THEN 'HIT'
         ELSE 'NO HIT'
       END AS KET_QUA
FROM (
    SELECT T.V_TAG_NAME
    FROM FSI_RT_AL_WLS_RESPONSE T
    WHERE T.N_GRP_MSG_ID = :N_GRP_MSG_ID
      AND T.N_WEBSERVICE_ID = 4
      AND T.V_TAG_NAME IN (
            '42M',
            '42P',
            '46A',
            '47A',
            '49G',
            '49H',
            '71D',
            '78',
            '78D',
            '72Z',
            '45A')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</si>
  <si>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46A, 47A, 49G, 49H, 71D, 78K, 78D, 72Z</t>
  </si>
  <si>
    <t>Sàng lọc giao dịch MT 711</t>
  </si>
  <si>
    <t>Sàng lọc giao dịch MT 711 - Identifier, Name and Address, Country and City - Entity</t>
  </si>
  <si>
    <t>{1:F01BFICCUHHAXXX0000000000}
{2:I711BFICCUHHXXXXN}
{3:{108:MT711TEST0001}}
{4:
:27:1/1
:20:ADV2607240001
:21:LC26001234567890
-}{5:{MAC:00000000}{CHK:1A2B3C4D5E6F}}</t>
  </si>
  <si>
    <t>{1:F01MCOBVNVXAXXX0000000000}
{2:O7111201260724BFICCUHHAXXX00010000012607241201N}
{3:{108:MT711TEST0004}}
{4:
:27:1/1
:20:ADV2607240004
:21:LC26001234567890
-}{5:{MAC:00000000}{CHK:1A2B3C4D5E6F}}</t>
  </si>
  <si>
    <t>Sàng lọc giao dịch MT 711 - Narrative - All</t>
  </si>
  <si>
    <t>{1:F01SCBLSGSGAXXX0000000000}
{2:I711MCOBVNVXXXXXN}
{3:{108:MT711TEST0002}}
{4:
:27:1/1
:20:ADV2607240002
:21:LC26001234567890
:45A:0099887766
:46A:0099887766
:47A:0099887766
:49G:0099887766
:49H:0099887766
-}{5:{MAC:00000000}{CHK:1A2B3C4D5E6F}}</t>
  </si>
  <si>
    <t>Sàng lọc giao dịch MT 720</t>
  </si>
  <si>
    <t>Sàng lọc giao dịch MT 720 - Identifier, Name and Address, Country and City - Entity</t>
  </si>
  <si>
    <t>1. Đẩy giao dịch vào API Post Message với trường thông tin Basic Header Block, Application Header - Input, 52A, 41A, 42A, 58A,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</si>
  <si>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{2:I720BFICCUHHXXXXN}
{3:{108:MT720TEST0001}}
{4:
:27:1/1
:40B:DOCUMENTARY CREDIT
IRREVOCABLE
:20:REF000000001
:21:DCN000000001
:31C:260101
:40E:UCP LATEST VERSION
:31D:261231SINGAPORE
:52A:BFICCUHH
:50:MEKONG TRADING CO LTD
12 NGUYEN HUE
HO CHI MINH
VN
:59:SUNRISE PTE LTD
18 MARINA BLVD
SINGAPORE
SG
:32B:USD100000,
:41A:BFICCUHH
BY PAYMENT
:42A:BFICCUHH
:49:WITHOUT
:58A:BFICCUHH
:57A:BFICCUHH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</si>
  <si>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
            '41A',
            '42A',
            '58A',
            '57A'
          )
    GROUP BY T.N_WEBSERVICE_ID
    HAVING COUNT(DISTINCT T.V_TAG_NAME) = 7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</si>
  <si>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41A, 42A, 58A, 57A</t>
  </si>
  <si>
    <t>{1:F01MCOBVNVXAXXX0000000000}
{2:O7201200260101BFICCUHHAXXX00000000002601011200N}
{3:{108:MT720TEST0002}}
{4:
:27:1/1
:40B:DOCUMENTARY CREDIT
IRREVOCABLE
:20:REF000000001
:21:DCN000000001
:31C:260101
:40E:UCP LATEST VERSION
:31D:261231SINGAPORE
:50:MEKONG TRADING CO LTD
12 NGUYEN HUE
HO CHI MINH
VN
:59:SUNRISE PTE LTD
18 MARINA BLVD
SINGAPORE
SG
:32B:USD100000,
:41A:SCBLSGSG
BY PAYMENT
:49:WITHOUT
-}
{5:{MAC:00000000}{CHK:123456789ABC}}</t>
  </si>
  <si>
    <t>Sàng lọc giao dịch MT 720 - Name and Address - Entity</t>
  </si>
  <si>
    <t>1. Đẩy giao dịch vào API Post Message với trường thông tin 52D, 50B, 50, 59, 41D, 42D, 58D,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</si>
  <si>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{2:I720SCBLSGSGXXXXN}
{3:{108:MT720TEST0001}}
{4:
:27:1/1
:40B:DOCUMENTARY CREDIT
IRREVOCABLE
:20:REF000000001
:21:DCN000000001
:31C:260101
:40E:UCP LATEST VERSION
:31D:261231SINGAPORE
:52D:SUMMIT EMBER
:50B:SUMMIT EMBER 
:50:SUMMIT EMBER
12 NGUYEN HUE
HO CHI MINH
VN
:59:SUMMIT EMBER
18 MARINA BLVD
SINGAPORE
SG
:32B:USD100000,
:41D:SUMMIT EMBER
BY PAYMENT
:42D:SUMMIT EMBER
:49:WITHOUT
:58D:SUMMIT EMBER
:57D:SUMMIT EMBER
-}
{5:{MAC:00000000}{CHK:123456789ABC}}</t>
  </si>
  <si>
    <t>2. Hệ thống trả kết quả: HIT với Webservice Name and Address loại chủ thể Entity và không HIT với chủ thể Individual, Vessel, Aircraft
Câu query kiểm tra kết quả (KET_QUA = HIT):
SELECT CASE
         WHEN COUNT(*) = 8 THEN 'HIT'
         ELSE 'NO HIT'
       END AS KET_QUA
FROM (
    SELECT T.V_TAG_NAME
    FROM FSI_RT_AL_WLS_RESPONSE T
    WHERE T.N_GRP_MSG_ID = :N_GRP_MSG_ID
      AND T.N_WEBSERVICE_ID = 1
      AND T.V_TAG_NAME IN (
            '52D',
            '50B',
            '50',
            '59',
            '41D',
            '42D',
            '58D',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</si>
  <si>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50E, 50N, 59N, 41D, 42D, 58D, 57D</t>
  </si>
  <si>
    <t>Sàng lọc giao dịch MT 720 - Identifier - Entity</t>
  </si>
  <si>
    <t>1. Đẩy giao dịch vào API Post Message với trường thông tin 52A, 42A, 58A,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</si>
  <si>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{2:I720SCBLSGSGXXXXN}
{3:{108:MT720TEST0001}}
{4:
:27:1/1
:40B:DOCUMENTARY CREDIT
IRREVOCABLE
:20:REF000000001
:21:DCN000000001
:31C:260101
:40E:UCP LATEST VERSION
:31D:261231SINGAPORE
:52A:/0099887766
SCBLSGSG
:50:MEKONG TRADING CO LTD
12 NGUYEN HUE
HO CHI MINH
VN
:59:SUNRISE PTE LTD
18 MARINA BLVD
SINGAPORE
SG
:32B:USD100000,
:41A:SCBLSGSG
BY PAYMENT
:42A:/0099887766
SCBLSGSG
:49:WITHOUT
:58A:/0099887766
SCBLSGSG
:57A:/0099887766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</si>
  <si>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4 THEN 'HIT'
         ELSE 'NO HIT'
       END AS KET_QUA
FROM (
    SELECT T.V_TAG_NAME
    FROM FSI_RT_AL_WLS_RESPONSE T
    WHERE T.N_GRP_MSG_ID = :N_GRP_MSG_ID
      AND T.N_WEBSERVICE_ID = 2
      AND T.V_TAG_NAME IN (
            '52A',
            '42A',
            '58A',
            '57A'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</si>
  <si>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42A, 58A, 57A</t>
  </si>
  <si>
    <t>1. Đẩy giao dịch vào API Post Message với trường thông tin 52D, 42D, 58D,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</si>
  <si>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{2:I720SCBLSGSGXXXXN}
{3:{108:MT720TEST0001}}
{4:
:27:1/1
:40B:DOCUMENTARY CREDIT
IRREVOCABLE
:20:REF000000001
:21:DCN000000001
:31C:260101
:40E:UCP LATEST VERSION
:31D:261231SINGAPORE
:52D:/0099887766
MEKONG TRADING CO LTD
:50:MEKONG TRADING CO LTD
12 NGUYEN HUE
HO CHI MINH
VN
:59:SUNRISE PTE LTD
18 MARINA BLVD
SINGAPORE
SG
:32B:USD100000,
:41A:SCBLSGSG
BY PAYMENT
:42D:/0099887766
MEKONG TRADING CO LTD
:49:WITHOUT
:58D:/0099887766
MEKONG TRADING CO LTD
:57D:/0099887766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</si>
  <si>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4 THEN 'HIT'
         ELSE 'NO HIT'
       END AS KET_QUA
FROM (
    SELECT T.V_TAG_NAME
    FROM FSI_RT_AL_WLS_RESPONSE T
    WHERE T.N_GRP_MSG_ID = :N_GRP_MSG_ID
      AND T.N_WEBSERVICE_ID = 2
      AND T.V_TAG_NAME IN (
            '52D',
            '42D',
            '58D',
            '57D'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</si>
  <si>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 Đẩy giao dịch vào API Post Message với trường thông tin 52D, 42D, 58D, 57B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</si>
  <si>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{2:I720SCBLSGSGXXXXN}
{3:{108:MT720TEST0001}}
{4:
:27:1/1
:40B:DOCUMENTARY CREDIT
IRREVOCABLE
:20:REF000000001
:21:DCN000000001
:31C:260101
:40E:UCP LATEST VERSION
:31D:261231SINGAPORE
:52D:/0099887766
MEKONG TRADING CO LTD
:50:MEKONG TRADING CO LTD
12 NGUYEN HUE
HO CHI MINH
VN
:59:SUNRISE PTE LTD
18 MARINA BLVD
SINGAPORE
SG
:32B:USD100000,
:41A:SCBLSGSG
BY PAYMENT
:42D:/0099887766
MEKONG TRADING CO LTD
:49:WITHOUT
:58D:/0099887766
MEKONG TRADING CO LTD
:57B:/0099887766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</si>
  <si>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4 THEN 'HIT'
         ELSE 'NO HIT'
       END AS KET_QUA
FROM (
    SELECT T.V_TAG_NAME
    FROM FSI_RT_AL_WLS_RESPONSE T
    WHERE T.N_GRP_MSG_ID = :N_GRP_MSG_ID
      AND T.N_WEBSERVICE_ID = 2
      AND T.V_TAG_NAME IN (
            '52D',
            '42D',
            '58D',
            '57B'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</si>
  <si>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MT720.06</t>
  </si>
  <si>
    <t>Sàng lọc giao dịch MT 720 - Port, Narrative - Port</t>
  </si>
  <si>
    <t>{1:F01MCOBVNVXAXXX0000000000}
{2:I720SCBLSGSGXXXXN}
{3:{108:MT720TEST0001}}
{4:
:27:1/1
:40B:DOCUMENTARY CREDIT
IRREVOCABLE
:20:REF000000001
:21:DCN000000001
:31C:260101
:40E:UCP LATEST VERSION
:31D:261231SINGAPORE
:50:MEKONG TRADING CO LTD
12 NGUYEN HUE
HO CHI MINH
VN
:59:SUNRISE PTE LTD
18 MARINA BLVD
SINGAPORE
SG
:32B:USD100000,
:41A:SCBLSGSG
BY PAYMENT
:44A:EMBER SUMMIT
:44E:EMBER SUMMIT
:44F:EMBER SUMMIT
:44B:EMBER SUMMIT
:49:WITHOUT
-}
{5:{MAC:00000000}{CHK:123456789ABC}}</t>
  </si>
  <si>
    <t>MT720.07</t>
  </si>
  <si>
    <t>Sàng lọc giao dịch MT 720 - Narrative - All</t>
  </si>
  <si>
    <t>{1:F01MCOBVNVXAXXX0000000000}
{2:I720SCBLSGSGXXXXN}
{3:{108:MT720TEST0001}}
{4:
:27:1/1
:40B:DOCUMENTARY CREDIT
IRREVOCABLE
:20:REF000000001
:21:DCN000000001
:31C:260101
:40E:UCP LATEST VERSION
:31D:261231SINGAPORE
:50:MEKONG TRADING CO LTD
12 NGUYEN HUE
HO CHI MINH
VN
:59:SUNRISE PTE LTD
18 MARINA BLVD
SINGAPORE
SG
:32B:USD100000,
:41A:SCBLSGSG
BY PAYMENT
:42M:0099887766
:42P:0099887766
:45A:0099887766
:46A:0099887766
:47A:0099887766
:49G:0099887766
:49H:0099887766
:71D:0099887766
:49:WITHOUT
:78:0099887766
:78D:0099887766
:72Z:0099887766
-}
{5:{MAC:00000000}{CHK:123456789ABC}}</t>
  </si>
  <si>
    <t xml:space="preserve">2. Hệ thống trả kết quả: HIT với Webservice Narrative loại chủ thể Individual, Entity, Port, Vessel, Aircraft và danh sách Stop Keywords
Câu query kiểm tra kết quả (KET_QUA = HIT):
SELECT CASE
         WHEN COUNT(*) = 11 THEN 'HIT'
         ELSE 'NO HIT'
       END AS KET_QUA
FROM (
    SELECT T.V_TAG_NAME
    FROM FSI_RT_AL_WLS_RESPONSE T
    WHERE T.N_GRP_MSG_ID = :N_GRP_MSG_ID
      AND T.N_WEBSERVICE_ID = 4
      AND T.V_TAG_NAME IN (
            '42M',
            '42P',
            '46A',
            '47A',
            '49G',
            '49H',
            '71D',
            '78',
            '78D',
            '72Z' ,
            '45A')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 </t>
  </si>
  <si>
    <t>Sàng lọc giao dịch MT 740</t>
  </si>
  <si>
    <t>Sàng lọc giao dịch MT 740 - Identifier, Name and Address, Country and City - Entity</t>
  </si>
  <si>
    <t>1. Đẩy giao dịch vào API Post Message với trường thông tin Basic Header Block, Application Header - Input, 58A, 41A, 42A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</si>
  <si>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{2:I740BFICCUHHXXXXN}
{3:{108:MT740TEST0001}}
{4:
:20:REF000000001
:40F:UCP LATEST VERSION
:58A:BFICCUHH
:32B:USD100000,
:41A:BFICCUHH
BY PAYMENT
:42A:BFICCUHH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</si>
  <si>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'58A',
            '41A',
            '42A'
          )
    GROUP BY T.N_WEBSERVICE_ID
    HAVING COUNT(DISTINCT T.V_TAG_NAME) = 5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</si>
  <si>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58A, 41A, 42A</t>
  </si>
  <si>
    <t>{1:F01MCOBVNVXAXXX0000000000}
{2:O7401200260101BFICCUHHAXXX00000000002601011200N}
{3:{108:MT740TEST0002}}
{4:
:20:REF000000001
:40F:UCP LATEST VERSION
:32B:USD100000,
:41A:SCBLSGSG
BY PAYMENT
-}
{5:{MAC:00000000}{CHK:123456789ABC}}</t>
  </si>
  <si>
    <t>Sàng lọc giao dịch MT 740 - Name and Address - Entity</t>
  </si>
  <si>
    <t>1. Đẩy giao dịch vào API Post Message với trường thông tin 58D, 59, 41D, 42D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</si>
  <si>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{2:I740SCBLSGSGXXXXN}
{3:{108:MT740TEST0001}}
{4:
:20:REF000000001
:40F:UCP LATEST VERSION
:58D:SUMMIT EMBER
:59:SUMMIT EMBER
18 MARINA BLVD
SINGAPORE
SG
:32B:USD100000,
:41D:SUMMIT EMBER
BY PAYMENT
:42D:SUMMIT EMBER
-}
{5:{MAC:00000000}{CHK:123456789ABC}}</t>
  </si>
  <si>
    <t>2. Hệ thống trả kết quả: HIT với Webservice Name and Address loại chủ thể Entity và không HIT với chủ thể Individual, Vessel, Aircraft
Câu query kiểm tra kết quả (KET_QUA = HIT):
SELECT CASE
         WHEN COUNT(*) = 4 THEN 'HIT'
         ELSE 'NO HIT'
       END AS KET_QUA
FROM (
    SELECT T.V_TAG_NAME
    FROM FSI_RT_AL_WLS_RESPONSE T
    WHERE T.N_GRP_MSG_ID = :N_GRP_MSG_ID
      AND T.N_WEBSERVICE_ID = 1
      AND T.V_TAG_NAME IN (
            '58D',
            '59',
            '41D',
            '42D'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</si>
  <si>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58D, 59N, 41D, 42D</t>
  </si>
  <si>
    <t>Sàng lọc giao dịch MT 740 - Identifier - Entity</t>
  </si>
  <si>
    <t>1. Đẩy giao dịch vào API Post Message với trường thông tin 58A, 42A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</si>
  <si>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{2:I740SCBLSGSGXXXXN}
{3:{108:MT740TEST0001}}
{4:
:20:REF000000001
:40F:UCP LATEST VERSION
:58A:/0099887766
SCBLSGSG
:32B:USD100000,
:41A:SCBLSGSG
BY PAYMENT
:42A:/0099887766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</si>
  <si>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2 THEN 'HIT'
         ELSE 'NO HIT'
       END AS KET_QUA
FROM (
    SELECT T.V_TAG_NAME
    FROM FSI_RT_AL_WLS_RESPONSE T
    WHERE T.N_GRP_MSG_ID = :N_GRP_MSG_ID
      AND T.N_WEBSERVICE_ID = 2
      AND T.V_TAG_NAME IN (
            '58A',
            '42A'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</si>
  <si>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58A, 42A</t>
  </si>
  <si>
    <t>MT740.05</t>
  </si>
  <si>
    <t>1. Đẩy giao dịch vào API Post Message với trường thông tin 58D, 42D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</si>
  <si>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{2:I740SCBLSGSGXXXXN}
{3:{108:MT740TEST0001}}
{4:
:20:REF000000001
:40F:UCP LATEST VERSION
:58D:/0099887766
MEKONG TRADING CO LTD
:32B:USD100000,
:41A:SCBLSGSG
BY PAYMENT
:42D:/0099887766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</si>
  <si>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2 THEN 'HIT'
         ELSE 'NO HIT'
       END AS KET_QUA
FROM (
    SELECT T.V_TAG_NAME
    FROM FSI_RT_AL_WLS_RESPONSE T
    WHERE T.N_GRP_MSG_ID = :N_GRP_MSG_ID
      AND T.N_WEBSERVICE_ID = 2
      AND T.V_TAG_NAME IN (
            '58D',
            '42D'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</si>
  <si>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(Country and city - Danh sách Quốc gia Knock-out): 59R</t>
  </si>
  <si>
    <t>MT740.06</t>
  </si>
  <si>
    <t>Sàng lọc giao dịch MT 740 - Narrative - All</t>
  </si>
  <si>
    <t>1. Đẩy giao dịch vào API Post Message với trường thông tin 42M, 42P, 71D,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</si>
  <si>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{2:I740SCBLSGSGXXXXN}
{3:{108:MT740TEST0001}}
{4:
:20:REF000000001
:40F:UCP LATEST VERSION
:32B:USD100000,
:41A:SCBLSGSG
BY PAYMENT
:42M:0099887766
:42P:0099887766
:71D:0099887766
:72Z:0099887766
-}
{5:{MAC:00000000}{CHK:123456789ABC}}</t>
  </si>
  <si>
    <t>2. Hệ thống trả kết quả: HIT với Webservice Narrative loại chủ thể Individual, Entity, Port, Vessel, Aircraft và danh sách Stop Keywords
Câu query kiểm tra kết quả (KET_QUA = HIT):
SELECT CASE
         WHEN COUNT(*) = 4 THEN 'HIT'
         ELSE 'NO HIT'
       END AS KET_QUA
FROM (
    SELECT T.V_TAG_NAME
    FROM FSI_RT_AL_WLS_RESPONSE T
    WHERE T.N_GRP_MSG_ID = :N_GRP_MSG_ID
      AND T.N_WEBSERVICE_ID = 4
      AND T.V_TAG_NAME IN (
            '42M',
            '42P',
            '71D',
            '72Z'
          )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</si>
  <si>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71D, 72Z</t>
  </si>
  <si>
    <t>Sàng lọc giao dịch MT 742</t>
  </si>
  <si>
    <t>Sàng lọc giao dịch MT 742 - Identifier, Name and Address, Country and City - Entity</t>
  </si>
  <si>
    <t>1. Đẩy giao dịch vào API Post Message với trường thông tin Basic Header Block, Application Header - Input, 52A, 57A, 58A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</si>
  <si>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{2:I742BFICCUHHXXXXN}
{3:{108:MT742TEST0001}}
{4:
:20:RCL2607240001
:21:LC26001234567890
:52A:BFICCUHH
:32B:USD50000,
:34B:USD50000,
:57A:BFICCUHH
:58A:BFICCUHH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</si>
  <si>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'52A', '57A', '58A')
    GROUP BY T.N_WEBSERVICE_ID
    HAVING COUNT(DISTINCT T.V_TAG_NAME) = 5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</si>
  <si>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57A, 58A</t>
  </si>
  <si>
    <t>{1:F01MCOBVNVXAXXX0000000000}
{2:O7421201260724BFICCUHHAXXX00010000012607241201N}
{3:{108:MT742TEST0005}}
{4:
:20:RCL2607240005
:21:LC26001234567890
:52A:SCBLSGSG
:32B:USD50000,
:34B:USD50000,
:57A:SCBLSGSG
:58A:SCBLSGSG
-}{5:{MAC:00000000}{CHK:1A2B3C4D5E6F}}</t>
  </si>
  <si>
    <t>Sàng lọc giao dịch MT 742 - Name and Address - Entity</t>
  </si>
  <si>
    <t>1. Đẩy giao dịch vào API Post Message với trường thông tin 52D, 57D, 58D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</si>
  <si>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{2:I742MCOBVNVXXXXXN}
{3:{108:MT742TEST0002}}
{4:
:20:RCL2607240002
:21:LC26001234567890
:52D:SUMMIT EMBER
:32B:USD50000,
:34B:USD50000,
:57D:SUMMIT EMBER
:58D:SUMMIT EMBER
-}{5:{MAC:00000000}{CHK:1A2B3C4D5E6F}}</t>
  </si>
  <si>
    <t>2. Hệ thống trả kết quả: HIT với Webservice Name and Address loại chủ thể Entity và không HIT với chủ thể Individual, Vessel, Aircraft
Câu query kiểm tra kết quả (KET_QUA = HIT):
SELECT CASE
         WHEN COUNT(*) = 3 THEN 'HIT'
         ELSE 'NO HIT'
       END AS KET_QUA
FROM (
    SELECT T.V_TAG_NAME
    FROM FSI_RT_AL_WLS_RESPONSE T
    WHERE T.N_GRP_MSG_ID = :N_GRP_MSG_ID
      AND T.N_WEBSERVICE_ID = 1
      AND T.V_TAG_NAME IN ('52D', '57D', '58D')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</si>
  <si>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57D, 58D</t>
  </si>
  <si>
    <t>Sàng lọc giao dịch MT 742 - Identifier - Entity</t>
  </si>
  <si>
    <t>1. Đẩy giao dịch vào API Post Message với trường thông tin 52A, 57A, 58A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</si>
  <si>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{2:I742MCOBVNVXXXXXN}
{3:{108:MT742TEST0003}}
{4:
:20:RCL2607240003
:21:LC26001234567890
:52A:/BFICCUHH
SCBLSGSG
:32B:USD50000,
:34B:USD50000,
:57A:/BFICCUHH
SCBLSGSG
:58A:/BFICCUHH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</si>
  <si>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3 THEN 'HIT'
         ELSE 'NO HIT'
       END AS KET_QUA
FROM (
    SELECT T.V_TAG_NAME
    FROM FSI_RT_AL_WLS_RESPONSE T
    WHERE T.N_GRP_MSG_ID = :N_GRP_MSG_ID
      AND T.N_WEBSERVICE_ID = 2
      AND T.V_TAG_NAME IN ('52A', '57A', '58A')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</si>
  <si>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57A, 58A</t>
  </si>
  <si>
    <t>MT742.05</t>
  </si>
  <si>
    <t>Sàng lọc giao dịch MT 742 - Narrative - All</t>
  </si>
  <si>
    <t>1. Đẩy giao dịch vào API Post Message với trường thông tin 71D,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</si>
  <si>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{2:I742MCOBVNVXXXXXN}
{3:{108:MT742TEST0004}}
{4:
:20:RCL2607240004
:21:LC26001234567890
:52A:SCBLSGSG
:32B:USD50000,
:71D:0099887766
:34B:USD50000,
:72Z:0099887766
-}{5:{MAC:00000000}{CHK:1A2B3C4D5E6F}}</t>
  </si>
  <si>
    <t>2. Hệ thống trả kết quả: HIT với Webservice Narrative loại chủ thể Individual, Entity, Port, Vessel, Aircraft và danh sách Stop Keywords
Câu query kiểm tra kết quả (KET_QUA = HIT):
SELECT CASE
         WHEN COUNT(*) = 2 THEN 'HIT'
         ELSE 'NO HIT'
       END AS KET_QUA
FROM (
    SELECT T.V_TAG_NAME
    FROM FSI_RT_AL_WLS_RESPONSE T
    WHERE T.N_GRP_MSG_ID = :N_GRP_MSG_ID
      AND T.N_WEBSERVICE_ID = 4
      AND T.V_TAG_NAME IN ('71D', '72Z')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</si>
  <si>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71D, 72Z</t>
  </si>
  <si>
    <t>Sàng lọc giao dịch MT 747</t>
  </si>
  <si>
    <t>Sàng lọc giao dịch MT 747 - Identifier, Name and Address, Country and City - Entity</t>
  </si>
  <si>
    <t>{1:F01BFICCUHHAXXX0000000000}
{2:I747BFICCUHHXXXXN}
{3:{108:MT747TEST0001}}
{4:
:20:AMR2607240001
:30:260415
:31E:261231
-}{5:{MAC:00000000}{CHK:1A2B3C4D5E6F}}</t>
  </si>
  <si>
    <t>{1:F01MCOBVNVXAXXX0000000000}
{2:O7471201260724BFICCUHHAXXX00010000012607241201N}
{3:{108:MT747TEST0003}}
{4:
:20:AMR2607240003
:30:260415
:31E:261231
-}{5:{MAC:00000000}{CHK:1A2B3C4D5E6F}}</t>
  </si>
  <si>
    <t>Sàng lọc giao dịch MT 747 - Narrative - All</t>
  </si>
  <si>
    <t>1. Đẩy giao dịch vào API Post Message với trường thông tin 72Z, 77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</si>
  <si>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{2:I747MCOBVNVXXXXXN}
{3:{108:MT747TEST0002}}
{4:
:20:AMR2607240002
:30:260415
:72Z:0099887766
:77:0099887766
-}{5:{MAC:00000000}{CHK:1A2B3C4D5E6F}}</t>
  </si>
  <si>
    <t>2. Hệ thống trả kết quả: HIT với Webservice Narrative loại chủ thể Individual, Entity, Port, Vessel, Aircraft và danh sách Stop Keywords
Câu query kiểm tra kết quả (KET_QUA = HIT):
SELECT CASE
         WHEN COUNT(*) = 2 THEN 'HIT'
         ELSE 'NO HIT'
       END AS KET_QUA
FROM (
    SELECT T.V_TAG_NAME
    FROM FSI_RT_AL_WLS_RESPONSE T
    WHERE T.N_GRP_MSG_ID = :N_GRP_MSG_ID
      AND T.N_WEBSERVICE_ID = 4
      AND T.V_TAG_NAME IN ('72Z', '77')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</si>
  <si>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72Z, 77</t>
  </si>
  <si>
    <t>Sàng lọc giao dịch MT 760</t>
  </si>
  <si>
    <t>Sàng lọc giao dịch MT 760 - Identifier, Name and Address, Country and City - Entity</t>
  </si>
  <si>
    <t>1. Đẩy giao dịch vào API Post Message với trường thông tin Basic Header Block, Application Header - Input, 52A (Sequence B), 52A (Sequence C), 59A (Sequence B), 56A (Sequence B), 57A (Sequence B), 57A (Sequence C), 41F (Sequence B), 41F (Sequence C), 58A (Sequence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</si>
  <si>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{2:I760BFICCUHHXXXXN}
{3:{108:MT760TEST0001}}
{4:
:15A:
:27:1/1
:22A:ISSU
:15B:
:20:REF000000001
:30:260101
:22D:DGAR
:40C:URDG
:23B:FIXD
:52A:BFICCUHH
:59:SUNRISE PTE LTD
18 MARINA BLVD
SINGAPORE
SG
:59A:BFICCUHH
:56A:BFICCUHH
:57A:BFICCUHH
:32B:USD100000,
:41F:BFICCUHH
:77U:UNDERTAKING TERMS AND CONDITIONS
:58A:BFICCUHH
:15C:
:22D:DGAR
:40C:URDG
:23B:FIXD
:50:MEKONG TRADING CO LTD
12 NGUYEN HUE
HO CHI MINH
VN
:52A:BFICCUHH
:59:SUNRISE PTE LTD
18 MARINA BLVD
SINGAPORE
SG
:32B:USD100000,
:57A:BFICCUHH
:41F:BFICCUHH
:45L:NARRATIVE INFORMATION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</si>
  <si>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'52A(Sequence B)',
            '52A(Sequence C)',
            '59A(Sequence B)',
            '56A(Sequence B)',
            '57A(Sequence B)',
            '57A(Sequence C)',
            '41F(Sequence B)',
            '41F(Sequence C)',
            '58A(Sequence B)'
          )
    GROUP BY T.N_WEBSERVICE_ID
    HAVING COUNT(DISTINCT T.V_TAG_NAME) = 11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</si>
  <si>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52A(Sequence B), 59E(Sequence B), 56A(Sequence B), 57A(Sequence B), 41F(Sequence B), 58A(Sequence B), 52A(Sequence C), 57A(Sequence C), 41F(Sequence C)</t>
  </si>
  <si>
    <t>{1:F01MCOBVNVXAXXX0000000000}
{2:O7601200260101BFICCUHHAXXX00000000002601011200N}
{3:{108:MT760TEST0002}}
{4:
:15A:
:27:1/1
:22A:ISSU
:15B:
:20:REF000000001
:30:260101
:22D:DGAR
:40C:URDG
:23B:FIXD
:52A:SCBLSGSG
:59:SUNRISE PTE LTD
18 MARINA BLVD
SINGAPORE
SG
:32B:USD100000,
:77U:UNDERTAKING TERMS AND CONDITIONS
:15C:
:22D:DGAR
:40C:URDG
:23B:FIXD
:50:MEKONG TRADING CO LTD
12 NGUYEN HUE
HO CHI MINH
VN
:59:SUNRISE PTE LTD
18 MARINA BLVD
SINGAPORE
SG
:32B:USD100000,
:41F:SCBLSGSG
:45L:NARRATIVE INFORMATION
-}
{5:{MAC:00000000}{CHK:123456789ABC}}</t>
  </si>
  <si>
    <t>Sàng lọc giao dịch MT 760 - Name and Address - Entity</t>
  </si>
  <si>
    <t>1. Đẩy giao dịch vào API Post Message với trường thông tin 50 (Sequence B), 50 (Sequence C), 51 (Sequence B), 51 (Sequence C), 52D (Sequence B), 52D (Sequence C), 59 (Sequence B), 59 (Sequence C), 56D (Sequence B), 57D (Sequence B), 57D (Sequence C), 41G (Sequence B), 41G (Sequence C), 58D (Sequence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</si>
  <si>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:15B:
:20:TESTMT760VVV13
:30:260101
:22D:DGAR
:40C:URDG
:23B:FIXD
:50:SUMMIT EMBER
12 NGUYEN HUE
HO CHI MINH
VN
:51:SUMMIT EMBER
12 NGUYEN HUE
HO CHI MINH
VN
:52D:SUMMIT EMBER
:59:SUMMIT EMBER
18 MARINA BLVD
SINGAPORE
SG
:56D:SUMMIT EMBER
:57D:SUMMIT EMBER
:32B:USD100000,
:41G:SUMMIT EMBER
:77U:UNDERTAKING TERMS AND CONDITIONS
:58D:SUMMIT EMBER
:15C:
:22D:DGAR
:40C:URDG
:23B:FIXD
:50:SUMMIT EMBER
12 NGUYEN HUE
HO CHI MINH
VN
:51:SUMMIT EMBER
12 NGUYEN HUE
HO CHI MINH
VN
:52D:SUMMIT EMBER
:59:SUMMIT EMBER
18 MARINA BLVD
SINGAPORE
SG
:32B:USD100000,
:57D:SUMMIT EMBER
:41G:SUMMIT EMBER
:45L:NARRATIVE INFORMATION
-}
{5:{MAC:00000000}{CHK:123456789ABC}}</t>
  </si>
  <si>
    <t>2. Hệ thống trả kết quả: HIT với Webservice Name and Address loại chủ thể Entity và không HIT với chủ thể Individual, Vessel, Aircraft
Câu query kiểm tra kết quả (KET_QUA = HIT):
SELECT CASE
         WHEN COUNT(*) = 14 THEN 'HIT'
         ELSE 'NO HIT'
       END AS KET_QUA
FROM (
    SELECT T.V_TAG_NAME
    FROM FSI_RT_AL_WLS_RESPONSE T
    WHERE T.N_GRP_MSG_ID = :N_GRP_MSG_ID
      AND T.N_WEBSERVICE_ID = 1
      AND T.V_TAG_NAME IN (
            '50(Sequence B)',
            '50(Sequence C)',
            '51(Sequence B)',
            '51(Sequence C)',
            '52D(Sequence B)',
            '52D(Sequence C)',
            '59(Sequence B)',
            '59(Sequence C)',
            '56D(Sequence B)',
            '57D(Sequence B)',
            '57D(Sequence C)',
            '41G(Sequence B)',
            '41G(Sequence C)',
            '58D(Sequence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</si>
  <si>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50N(Sequence B), 51N(Sequence B), 52D(Sequence B), 59N(Sequence B), 56D(Sequence B), 57D(Sequence B), 41G(Sequence B), 58D(Sequence B), 50N(Sequence C), 51N(Sequence C), 52D(Sequence C), 59N(Sequence C), 57D(Sequence C), 41G(Sequence C)</t>
  </si>
  <si>
    <t>Sàng lọc giao dịch MT 760 - Name and Address - Entity, Individual</t>
  </si>
  <si>
    <t>1. Đẩy giao dịch vào API Post Message với trường thông tin 24G (Sequence B), 24G (Sequence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</si>
  <si>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:15B:
:20:REF000000001
:30:260101
:22D:DGAR
:40C:URDG
:23B:FIXD
:50:SUMMIT EMBER
12 NGUYEN HUE
HO CHI MINH
VN
:51:SUMMIT EMBER
12 NGUYEN HUE
HO CHI MINH
VN
:52A:SCBLSGSG
:52D:SUMMIT EMBER
:59:SUMMIT EMBER
18 MARINA BLVD
SINGAPORE
SG
:56D:SUMMIT EMBER
:57D:SUMMIT EMBER
:32B:USD100000,
:41G:SUMMIT EMBER
:77U:UNDERTAKING TERMS AND CONDITIONS
:58D:SUMMIT EMBER
:24G:OTHR
SUMMIT EMBER
:15C:
:22D:DGAR
:40C:URDG
:23B:FIXD
:50:SUMMIT EMBER
12 NGUYEN HUE
HO CHI MINH
VN
:51:SUMMIT EMBER
12 NGUYEN HUE
HO CHI MINH
VN
:52D:SUMMIT EMBER
:59:SUMMIT EMBER
18 MARINA BLVD
SINGAPORE
SG 
:32B:USD100000,
:57D:SUMMIT EMBER
:41F:SCBLSGSG
:41G:SUMMIT EMBER
:45L:NARRATIVE INFORMATION
:24G:OTHR
SUMMIT EMBER
-}
{5:{MAC:00000000}{CHK:123456789ABC}}</t>
  </si>
  <si>
    <t>2. Hệ thống trả kết quả: HIT với Webservice Name and Address loại chủ thể Entity và không HIT với chủ thể Individual, Vessel, Aircraft
Câu query kiểm tra kết quả (KET_QUA = HIT):
SELECT CASE
         WHEN COUNT(*) = 2 THEN 'HIT'
         ELSE 'NO HIT'
       END AS KET_QUA
FROM (
    SELECT T.V_TAG_NAME
    FROM FSI_RT_AL_WLS_RESPONSE T
    WHERE T.N_GRP_MSG_ID = :N_GRP_MSG_ID
      AND T.N_WEBSERVICE_ID = 1
      AND T.V_TAG_NAME IN (
            '24G(Sequence B)',
            '24G(Sequence C)',
          )
    GROUP BY T.V_TAG_NAME
    HAVING COUNT(CASE WHEN UPPER(T.V_MATCHED_TYPE) = 'ENTITY' THEN 1 END) &gt; 0
       AND COUNT(CASE WHEN UPPER(T.V_MATCHED_TYPE) = 'INDIVIDUAL' THEN 1 END) &gt; 0
       AND COUNT(CASE WHEN UPPER(T.V_MATCHED_TYPE) = 'VESSEL' THEN 1 END) = 0
       AND COUNT(CASE WHEN UPPER(T.V_MATCHED_TYPE) = 'AIRCRAFT' THEN 1 END) = 0
);</t>
  </si>
  <si>
    <t>MT760.05</t>
  </si>
  <si>
    <t>Sàng lọc giao dịch MT 760 - Identifier - Entity</t>
  </si>
  <si>
    <t>1. Đẩy giao dịch vào API Post Message với trường thông tin 52A (Sequence B), 52A (Sequence C), 56A (Sequence B), 57A (Sequence B), 57A (Sequence C), 58A (Sequence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</si>
  <si>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:15B:
:20:REF000000001
:30:260101
:22D:DGAR
:40C:URDG
:23B:FIXD
:52A:/0099887766
SCBLSGSG
:59:SUNRISE PTE LTD
18 MARINA BLVD
SINGAPORE
SG
:56A:/0099887766
SCBLSGSG
:57A:/0099887766
SCBLSGSG
:32B:USD100000,
:77U:UNDERTAKING TERMS AND CONDITIONS
:58A:/0099887766
SCBLSGSG
:15C:
:22D:DGAR
:40C:URDG
:23B:FIXD
:50:MEKONG TRADING CO LTD
12 NGUYEN HUE
HO CHI MINH
VN
:52A:/0099887766
SCBLSGSG
:59:SUNRISE PTE LTD
18 MARINA BLVD
SINGAPORE
SG
:32B:USD100000,
:57A:/0099887766
SCBLSGSG
:41F:SCBLSGSG
:45L:NARRATIVE INFORMATION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</si>
  <si>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'52A(Sequence B)',
            '52A(Sequence C)',
            '56A(Sequence B)',
            '57A(Sequence B)',
            '57A(Sequence C)',
            '58A(Sequence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</si>
  <si>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(Name and Address - Individual, Entity): 24G(Sequence B), 24G(Sequence C)</t>
  </si>
  <si>
    <t>MT760.06</t>
  </si>
  <si>
    <t>1. Đẩy giao dịch vào API Post Message với trường thông tin 52D (Sequence B), 52D (Sequence C), 56D (Sequence B), 57D (Sequence B), 57D (Sequence C), 58D (Sequence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</si>
  <si>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:15B:
:20:REF000000001
:30:260101
:22D:DGAR
:40C:URDG
:23B:FIXD
:52A:SCBLSGSG
:52D:/0099887766
MEKONG TRADING CO LTD
:59:SUNRISE PTE LTD
18 MARINA BLVD
SINGAPORE
SG
:56D:/0099887766
MEKONG TRADING CO LTD
:57D:/0099887766
MEKONG TRADING CO LTD
:32B:USD100000,
:77U:UNDERTAKING TERMS AND CONDITIONS
:58D:/0099887766
MEKONG TRADING CO LTD
:15C:
:22D:DGAR
:40C:URDG
:23B:FIXD
:50:MEKONG TRADING CO LTD
12 NGUYEN HUE
HO CHI MINH
VN
:52D:/0099887766
MEKONG TRADING CO LTD
:59:SUNRISE PTE LTD
18 MARINA BLVD
SINGAPORE
SG
:32B:USD100000,
:57D:/0099887766
MEKONG TRADING CO LTD
:41F:SCBLSGSG
:45L:NARRATIVE INFORMATION
-}
{5:{MAC:00000000}{CHK:123456789ABC}}</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</si>
  <si>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'52D(Sequence B)',
            '52D(Sequence C)',
            '56D(Sequence B)',
            '57D(Sequence B)',
            '57D(Sequence C)',
            '58D(Sequence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</si>
  <si>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52A(Sequence B), 56A(Sequence B), 57A(Sequence B), 58A(Sequence B), 52A(Sequence C), 57A(Sequence C)</t>
  </si>
  <si>
    <t>MT760.07</t>
  </si>
  <si>
    <t>Sàng lọc giao dịch MT 760 - Narrative - All</t>
  </si>
  <si>
    <t>1. Đẩy giao dịch vào API Post Message với trường thông tin 72Z (Sequence A), 35G (Sequence B), 35G (Sequence C), 39F (Sequence B), 39F (Sequence C), 71D (Sequence B), 71D (Sequence C), 45C (Sequence B), 45C (Sequence C), 77U (Sequence B), 78 (Sequence B), 78 (Sequence C), 39E (Sequence B), 39E (Sequence C), 45L (Sequence B), 45L (Sequence C), 77L (Sequence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</si>
  <si>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{2:I760SCBLSGSGXXXXN}
{3:{108:MT760TEST0001}}
{4:
:15A:
:27:1/1
:22A:ISSU
:72Z:0099887766
:15B:
:20:REF000000001
:30:260101
:22D:DGAR
:40C:URDG
:23B:FIXD
:35G:0099887766
:52A:SCBLSGSG
:59:SUNRISE PTE LTD
18 MARINA BLVD
SINGAPORE
SG
:32B:USD100000,
:39F:0099887766
:71D:0099887766
:45C:0099887766
:77U:0099887766
:78:0099887766
:39E:0099887766
:45L:0099887766
:15C:
:22D:DGAR
:40C:URDG
:23B:FIXD
:35G:0099887766
:50:MEKONG TRADING CO LTD
12 NGUYEN HUE
HO CHI MINH
VN
:59:SUNRISE PTE LTD
18 MARINA BLVD
SINGAPORE
SG
:32B:USD100000,
:39F:0099887766
:41F:SCBLSGSG
:71D:0099887766
:45C:0099887766
:77L:0099887766
:78:0099887766
:39E:0099887766
:45L:0099887766
-}
{5:{MAC:00000000}{CHK:123456789ABC}}</t>
  </si>
  <si>
    <t>2. Hệ thống trả kết quả: HIT với Webservice Narrative loại chủ thể Individual, Entity, Port, Vessel, Aircraft và danh sách Stop Keywords
Câu query kiểm tra kết quả (KET_QUA = HIT):
SELECT CASE
         WHEN COUNT(*) = 17 THEN 'HIT'
         ELSE 'NO HIT'
       END AS KET_QUA
FROM (
    SELECT T.V_TAG_NAME
    FROM FSI_RT_AL_WLS_RESPONSE T
    WHERE T.N_GRP_MSG_ID = :N_GRP_MSG_ID
      AND T.N_WEBSERVICE_ID = 4
      AND T.V_TAG_NAME IN (
            '72Z(Sequence A)',
            '35G(Sequence B)',
            '35G(Sequence C)',
            '39F(Sequence B)',
            '39F(Sequence C)',
            '71D(Sequence B)',
            '71D(Sequence C)',
            '45C(Sequence B)',
            '45C(Sequence C)',
            '77U(Sequence B)',
            '78(Sequence B)',
            '78(Sequence C)',
            '39E(Sequence B)',
            '39E(Sequence C)',
            '45L(Sequence B)',
            '45L(Sequence C)',
            '77L(Sequence C)'
          )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</si>
  <si>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(Country and city - Danh sách Quốc gia Knock-out): 50R(Sequence B), 51R(Sequence B), 59R(Sequence B), 50R(Sequence C), 51R(Sequence C), 59R(Sequence C)</t>
  </si>
  <si>
    <t>Sàng lọc giao dịch MT 767</t>
  </si>
  <si>
    <t>Sàng lọc giao dịch MT 767 - Identifier, Name and Address, Country and City - Entity</t>
  </si>
  <si>
    <t>1. Đẩy giao dịch vào API Post Message với trường thông tin Basic Header Block, Application Header - Input, 52A (Sequence B), 59A (Sequence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</si>
  <si>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{2:I767BFICCUHHXXXXN}
{3:{108:MT767TEST0001}}
{4:
:15A:
:27:1/1
:21:DCN000000001
:22A:ISSU
:15B:
:20:REF000000001
:26E:001
:30:260101
:52A:BFICCUHH
:59A:BFICCUHH
-}
{5:{MAC:00000000}{CHK:123456789ABC}}</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</si>
  <si>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'52A(Sequence B)',
            '59A(Sequence B)'
          )
    GROUP BY T.N_WEBSERVICE_ID
    HAVING COUNT(DISTINCT T.V_TAG_NAME) = 4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</si>
  <si>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{1:F01MCOBVNVXAXXX0000000000}
{2:O7671200260101BFICCUHHAXXX00000000002601011200N}
{3:{108:MT767TEST0002}}
{4:
:15A:
:27:1/1
:21:DCN000000001
:22A:ISSU
:15B:
:20:REF000000001
:26E:001
:30:260101
:52A:SCBLSGSG
-}
{5:{MAC:00000000}{CHK:123456789ABC}}</t>
  </si>
  <si>
    <t>Sàng lọc giao dịch MT 767 - Name and Address - Entity</t>
  </si>
  <si>
    <t>1. Đẩy giao dịch vào API Post Message với trường thông tin 52D (Sequence B), 59 (Sequence B), 59 (Sequence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</si>
  <si>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{2:I767SCBLSGSGXXXXN}
{3:{108:MT767TEST0001}}
{4:
:15A:
:27:1/1
:21:DCN000000001
:22A:ISSU
:15B:
:20:REF000000001
:26E:001
:30:260101
:52A:SCBLSGSG
:52D:SUMMIT EMBER
:59:SUMMIT EMBER
18 MARINA BLVD
SINGAPORE
SG
:15C:
:59:SUMMIT EMBER
18 MARINA BLVD
SINGAPORE
SG
-}
{5:{MAC:00000000}{CHK:123456789ABC}}</t>
  </si>
  <si>
    <t>2. Hệ thống trả kết quả: HIT với Webservice Name and Address loại chủ thể Entity và không HIT với chủ thể Individual, Vessel, Aircraft
Câu query kiểm tra kết quả (KET_QUA = HIT):
SELECT CASE
         WHEN COUNT(*) = 3 THEN 'HIT'
         ELSE 'NO HIT'
       END AS KET_QUA
FROM (
    SELECT T.V_TAG_NAME
    FROM FSI_RT_AL_WLS_RESPONSE T
    WHERE T.N_GRP_MSG_ID = 53111
      AND T.N_WEBSERVICE_ID = 1
      AND T.V_TAG_NAME IN (
            '52D(Sequence B)',
            '59(Sequence B)',
            '59(Sequence C)'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</si>
  <si>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Sàng lọc giao dịch MT 767 - Name and Address - Entity, Individual</t>
  </si>
  <si>
    <t>{1:F01MCOBVNVXAXXX0000000000}
{2:I767SCBLSGSGXXXXN}
{3:{108:MT767TEST0001}}
{4:
:15A:
:27:1/1
:21:DCN000000001
:22A:ISSU
:15B:
:20:REF000000001
:26E:001
:30:260101
:52A:SCBLSGSG
:52D:AAAAAA
:59:AAAAAAA
18 MARINA BLVD
SINGAPORE
SG
:24G:OTHR
SUMMIT EMBER
:15C:
:59:AAAAAAA
18 MARINA BLVD
SINGAPORE
SG
:24G:OTHR
SUMMIT EMBER
-}
{5:{MAC:00000000}{CHK:123456789ABC}}</t>
  </si>
  <si>
    <t>2. Hệ thống trả kết quả: HIT với Webservice Name and Address loại chủ thể Entity và không HIT với chủ thể Individual, Vessel, Aircraft
Câu query kiểm tra kết quả (KET_QUA = HIT):
SELECT CASE
         WHEN COUNT(*) = 2 THEN 'HIT'
         ELSE 'NO HIT'
       END AS KET_QUA
FROM (
    SELECT T.V_TAG_NAME
    FROM FSI_RT_AL_WLS_RESPONSE T
    WHERE T.N_GRP_MSG_ID = :N_GRP_MSG_ID
      AND T.N_WEBSERVICE_ID = 1
      AND T.V_TAG_NAME IN (
            '24G (Sequence B)',
            '24G (Sequence C)'
          )
    GROUP BY T.V_TAG_NAME
    HAVING COUNT(CASE WHEN UPPER(T.V_MATCHED_TYPE) = 'ENTITY' THEN 1 END) &gt; 0
       AND COUNT(CASE WHEN UPPER(T.V_MATCHED_TYPE) = 'INDIVIDUAL' THEN 1 END) &gt; 0
       AND COUNT(CASE WHEN UPPER(T.V_MATCHED_TYPE) = 'VESSEL' THEN 1 END) = 0
       AND COUNT(CASE WHEN UPPER(T.V_MATCHED_TYPE) = 'AIRCRAFT' THEN 1 END) = 0
);</t>
  </si>
  <si>
    <t>Sàng lọc giao dịch MT 767 - Identifier - Entity</t>
  </si>
  <si>
    <t>1. Đẩy giao dịch vào API Post Message với trường thông tin 52A (Sequence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</si>
  <si>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{2:I767SCBLSGSGXXXXN}
{3:{108:MT767TEST0001}}
{4:
:15A:
:27:1/1
:21:DCN000000001
:22A:ISSU
:15B:
:20:REF000000001
:26E:001
:30:260101
:52A:/0099887766
SCBLSGSG
-}
{5:{MAC:00000000}{CHK:123456789ABC}}</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</si>
  <si>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IN (
            '52A(Sequence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</si>
  <si>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 Đẩy giao dịch vào API Post Message với trường thông tin 52D (Sequence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</si>
  <si>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{2:I767SCBLSGSGXXXXN}
{3:{108:MT767TEST0001}}
{4:
:15A:
:27:1/1
:21:DCN000000001
:22A:ISSU
:15B:
:20:REF000000001
:26E:001
:30:260101
:52A:SCBLSGSG
:52D:/0099887766
MEKONG TRADING CO LTD
-}
{5:{MAC:00000000}{CHK:123456789ABC}}</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</si>
  <si>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IN (
            '52D(Sequence B)'
          )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</si>
  <si>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MT767.07</t>
  </si>
  <si>
    <t>Sàng lọc giao dịch MT 767 - Narrative - All</t>
  </si>
  <si>
    <t>1. Đẩy giao dịch vào API Post Message với trường thông tin 72Z (Sequence A), 35G (Sequence B), 35G (Sequence C), 77U (Sequence B), 77L (Sequence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</si>
  <si>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{2:I767SCBLSGSGXXXXN}
{3:{108:MT767TEST0001}}
{4:
:15A:
:27:1/1
:21:DCN000000001
:22A:ISSU
:72Z:0099887766
:15B:
:20:REF000000001
:26E:001
:30:260101
:52A:SCBLSGSG
:35G:0099887766
:77U:0099887766
:15C:
:35G:0099887766
:77L:0099887766
-}
{5:{MAC:00000000}{CHK:123456789ABC}}</t>
  </si>
  <si>
    <t>2. Hệ thống trả kết quả: HIT với Webservice Narrative loại chủ thể Individual, Entity, Port, Vessel, Aircraft và danh sách Stop Keywords
Câu query kiểm tra kết quả (KET_QUA = HIT):
SELECT CASE
         WHEN COUNT(*) = 5 THEN 'HIT'
         ELSE 'NO HIT'
       END AS KET_QUA
FROM (
    SELECT T.V_TAG_NAME
    FROM FSI_RT_AL_WLS_RESPONSE T
    WHERE T.N_GRP_MSG_ID = :N_GRP_MSG_ID
      AND T.N_WEBSERVICE_ID = 4
      AND T.V_TAG_NAME IN (
            '72Z(Sequence A)',
            '35G(Sequence B)',
            '35G(Sequence C)',
            '77U(Sequence B)',
            '77L(Sequence C)'
          )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</si>
  <si>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Pacs.008</t>
  </si>
  <si>
    <t>Pacs.008</t>
  </si>
  <si>
    <t>Pacs008.01</t>
  </si>
  <si>
    <t>Sàng lọc giao dịch Pacs.008 - Identifier, Name and Address, Country and City - Entity</t>
  </si>
  <si>
    <t>1. Đẩy giao dịch vào API Post Message với trường thông tin có XML path 
/Document/FIToFICstmrCdtTrf/GrpHdr/SttlmInf/InstgRmbrsmntAgt/FinInstnId/BICFI
/Document/FIToFICstmrCdtTrf/GrpHdr/SttlmInf/InstgRmbrsmntAgt/BrnchId/Id
/Document/FIToFICstmrCdtTrf/GrpHdr/SttlmInf/InstdRmbrsmntAgt/FinInstnId/BICFI
/Document/FIToFICstmrCdtTrf/GrpHdr/SttlmInf/InstdRmbrsmntAgt/BrnchId/Id
/Document/FIToFICstmrCdtTrf/GrpHdr/SttlmInf/ThrdRmbrsmntAgt/FinInstnId/BICFI
/Document/FIToFICstmrCdtTrf/GrpHdr/SttlmInf/ThrdRmbrsmntAgt/BrnchId/Id
/Document/FIToFICstmrCdtTrf/GrpHdr/InstgAgt/FinInstnId/BICFI
/Document/FIToFICstmrCdtTrf/GrpHdr/InstgAgt/BrnchId/Id
/Document/FIToFICstmrCdtTrf/GrpHdr/InstdAgt/FinInstnId/BICFI
/Document/FIToFICstmrCdtTrf/GrpHdr/InstdAgt/BrnchId/Id
/Document/FIToFICstmrCdtTrf/CdtTrfTxInf/PrvsInstgAgt1/FinInstnId/BICFI
/Document/FIToFICstmrCdtTrf/CdtTrfTxInf/PrvsInstgAgt1/BrnchId/Id
/Document/FIToFICstmrCdtTrf/CdtTrfTxInf/PrvsInstgAgt2/FinInstnId/BICFI
/Document/FIToFICstmrCdtTrf/CdtTrfTxInf/PrvsInstgAgt2/BrnchId/Id
/Document/FIToFICstmrCdtTrf/CdtTrfTxInf/PrvsInstgAgt3/FinInstnId/BICFI
/Document/FIToFICstmrCdtTrf/CdtTrfTxInf/PrvsInstgAgt3/BrnchId/Id
/Document/FIToFICstmrCdtTrf/CdtTrfTxInf/IntrmyAgt1/FinInstnId/BICFI
/Document/FIToFICstmrCdtTrf/CdtTrfTxInf/IntrmyAgt1/BrnchId/Id
/Document/FIToFICstmrCdtTrf/CdtTrfTxInf/IntrmyAgt2/FinInstnId/BICFI
/Document/FIToFICstmrCdtTrf/CdtTrfTxInf/IntrmyAgt2/BrnchId/Id
/Document/FIToFICstmrCdtTrf/CdtTrfTxInf/IntrmyAgt3/FinInstnId/BICFI
/Document/FIToFICstmrCdtTrf/CdtTrfTxInf/IntrmyAgt3/BrnchId/Id
/Document/FIToFICstmrCdtTrf/CdtTrfTxInf/DbtrAgt/FinInstnId/BICFI
/Document/FIToFICstmrCdtTrf/CdtTrfTxInf/DbtrAgt/BrnchId/Id
/Document/FIToFICstmrCdtTrf/CdtTrfTxInf/CdtrAgt/FinInstnId/BICFI
/Document/FIToFICstmrCdtTrf/CdtTrfTxInf//CdtrAgt/BrnchId/Id
/Document/FIToFICstmrCdtTrf/CdtTrfTxInf/InstgAgt/FinInstnId/BICFI
/Document/FIToFICstmrCdtTrf/CdtTrfTxInf/InstgAgt/BrnchId/Id
/Document/FIToFICstmrCdtTrf/CdtTrfTxInf/InstdAgt/FinInstnId/BICFI
/Document/FIToFICstmrCdtTrf/CdtTrfTxInf/InstdAgt/BrnchId/Id
/Document/FIToFICstmrCdtTrf/CdtTrfTxInf/Cdtr/Id/OrgId/AnyBIC
/Document/FIToFICstmrCdtTrf/CdtTrfTxInf/UltmtCdtr/Id/OrgId/AnyBIC
/Document/FIToFICstmrCdtTrf/CdtTrfTxInf/Dbtr/Id/OrgId/AnyBIC
/Document/FIToFICstmrCdtTrf/CdtTrfTxInf/UltmtDbtr/Id/OrgId/AnyBIC
/Document/FIToFICstmrCdtTrf/CdtTrfTxInf/InitgPty/Id/OrgId/AnyBIC
/Document/FIToFICstmrCdtTrf/CdtTrfTxInf/ChrgsInf/Agt/FinInstnId/BICFI
/Document/FIToFICstmrCdtTrf/CdtTrfTxInf/RmtInf/Strd/Invcr/Id/OrgId/AnyBIC
/Document/FIToFICstmrCdtTrf/CdtTrfTxInf/RmtInf/Strd/Invcee/Id/OrgId/AnyBIC
/Document/FIToFICstmrCdtTrf/CdtTrfTxInf/RmtInf/Strd/GrnshmtRmt/Grnshee/Id/OrgId/AnyBIC
/Document/FIToFICstmrCdtTrf/CdtTrfTxInf/RmtInf/Strd/GrnshmtRmt/GrnshmtAdmstr/Id/OrgId/AnyBIC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</si>
  <si>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&lt;MsgId&gt;SE-MSG-008B&lt;/MsgId&gt;
      &lt;CreDtTm&gt;2026-07-28T13:31:41&lt;/CreDtTm&gt;
      &lt;NbOfTxs&gt;1&lt;/NbOfTxs&gt;
      &lt;SttlmInf&gt;
        &lt;SttlmMtd&gt;INDA&lt;/SttlmMtd&gt;
        &lt;InstgRmbrsmntAgt&gt;
          &lt;FinInstnId&gt;
            &lt;BICFI&gt;BFICCUHH&lt;/BICFI&gt;
          &lt;/FinInstnId&gt;
          &lt;BrnchId&gt;
            &lt;Id&gt;BFICCUHH&lt;/Id&gt;
          &lt;/BrnchId&gt;
        &lt;/InstgRmbrsmntAgt&gt;
        &lt;InstdRmbrsmntAgt&gt;
          &lt;FinInstnId&gt;
            &lt;BICFI&gt;BFICCUHH&lt;/BICFI&gt;
          &lt;/FinInstnId&gt;
          &lt;BrnchId&gt;
            &lt;Id&gt;BFICCUHH&lt;/Id&gt;
          &lt;/BrnchId&gt;
        &lt;/InstdRmbrsmntAgt&gt;
        &lt;ThrdRmbrsmntAgt&gt;
          &lt;FinInstnId&gt;
            &lt;BICFI&gt;BFICCUHH&lt;/BICFI&gt;
          &lt;/FinInstnId&gt;
          &lt;BrnchId&gt;
            &lt;Id&gt;BFICCUHH&lt;/Id&gt;
          &lt;/BrnchId&gt;
        &lt;/ThrdRmbrsmntAgt&gt;
      &lt;/SttlmInf&gt;
      &lt;InstgAgt&gt;
        &lt;FinInstnId&gt;
          &lt;BICFI&gt;BFICCUHH&lt;/BICFI&gt;
        &lt;/FinInstnId&gt;
        &lt;BrnchId&gt;
          &lt;Id&gt;BFICCUHH&lt;/Id&gt;
        &lt;/BrnchId&gt;
      &lt;/InstgAgt&gt;
      &lt;InstdAgt&gt;
        &lt;FinInstnId&gt;
          &lt;BICFI&gt;BFICCUHH&lt;/BICFI&gt;
        &lt;/FinInstnId&gt;
        &lt;BrnchId&gt;
          &lt;Id&gt;BFICCUHH&lt;/Id&gt;
        &lt;/BrnchId&gt;
      &lt;/InstdAgt&gt;
    &lt;/GrpHdr&gt;
    &lt;CdtTrfTxInf&gt;
      &lt;PmtId&gt;
        &lt;EndToEndId&gt;SE-E2E-008B&lt;/EndToEndId&gt;
      &lt;/PmtId&gt;
      &lt;IntrBkSttlmAmt Ccy="USD"&gt;1000.00&lt;/IntrBkSttlmAmt&gt;
      &lt;ChrgBr&gt;SHAR&lt;/ChrgBr&gt;
      &lt;ChrgsInf&gt;
        &lt;Amt Ccy="USD"&gt;10.00&lt;/Amt&gt;
        &lt;Agt&gt;
          &lt;FinInstnId&gt;
            &lt;BICFI&gt;BFICCUHH&lt;/BICFI&gt;
          &lt;/FinInstnId&gt;
        &lt;/Agt&gt;
      &lt;/ChrgsInf&gt;
      &lt;PrvsInstgAgt1&gt;
        &lt;FinInstnId&gt;
          &lt;BICFI&gt;BFICCUHH&lt;/BICFI&gt;
        &lt;/FinInstnId&gt;
        &lt;BrnchId&gt;
          &lt;Id&gt;BFICCUHH&lt;/Id&gt;
        &lt;/BrnchId&gt;
      &lt;/PrvsInstgAgt1&gt;
      &lt;PrvsInstgAgt2&gt;
        &lt;FinInstnId&gt;
          &lt;BICFI&gt;BFICCUHH&lt;/BICFI&gt;
        &lt;/FinInstnId&gt;
        &lt;BrnchId&gt;
          &lt;Id&gt;BFICCUHH&lt;/Id&gt;
        &lt;/BrnchId&gt;
      &lt;/PrvsInstgAgt2&gt;
      &lt;PrvsInstgAgt3&gt;
        &lt;FinInstnId&gt;
          &lt;BICFI&gt;BFICCUHH&lt;/BICFI&gt;
        &lt;/FinInstnId&gt;
        &lt;BrnchId&gt;
          &lt;Id&gt;BFICCUHH&lt;/Id&gt;
        &lt;/BrnchId&gt;
      &lt;/PrvsInstgAgt3&gt;
      &lt;InstgAgt&gt;
        &lt;FinInstnId&gt;
          &lt;BICFI&gt;BFICCUHH&lt;/BICFI&gt;
        &lt;/FinInstnId&gt;
        &lt;BrnchId&gt;
          &lt;Id&gt;BFICCUHH&lt;/Id&gt;
        &lt;/BrnchId&gt;
      &lt;/InstgAgt&gt;
      &lt;InstdAgt&gt;
        &lt;FinInstnId&gt;
          &lt;BICFI&gt;BFICCUHH&lt;/BICFI&gt;
        &lt;/FinInstnId&gt;
        &lt;BrnchId&gt;
          &lt;Id&gt;BFICCUHH&lt;/Id&gt;
        &lt;/BrnchId&gt;
      &lt;/InstdAgt&gt;
      &lt;IntrmyAgt1&gt;
        &lt;FinInstnId&gt;
          &lt;BICFI&gt;BFICCUHH&lt;/BICFI&gt;
        &lt;/FinInstnId&gt;
        &lt;BrnchId&gt;
          &lt;Id&gt;BFICCUHH&lt;/Id&gt;
        &lt;/BrnchId&gt;
      &lt;/IntrmyAgt1&gt;
      &lt;IntrmyAgt2&gt;
        &lt;FinInstnId&gt;
          &lt;BICFI&gt;BFICCUHH&lt;/BICFI&gt;
        &lt;/FinInstnId&gt;
        &lt;BrnchId&gt;
          &lt;Id&gt;BFICCUHH&lt;/Id&gt;
        &lt;/BrnchId&gt;
      &lt;/IntrmyAgt2&gt;
      &lt;IntrmyAgt3&gt;
        &lt;FinInstnId&gt;
          &lt;BICFI&gt;BFICCUHH&lt;/BICFI&gt;
        &lt;/FinInstnId&gt;
        &lt;BrnchId&gt;
          &lt;Id&gt;BFICCUHH&lt;/Id&gt;
        &lt;/BrnchId&gt;
      &lt;/IntrmyAgt3&gt;
      &lt;UltmtDbtr&gt;
        &lt;Id&gt;
          &lt;OrgId&gt;
            &lt;AnyBIC&gt;BFICCUHH&lt;/AnyBIC&gt;
          &lt;/OrgId&gt;
        &lt;/Id&gt;
      &lt;/UltmtDbtr&gt;
      &lt;InitgPty&gt;
        &lt;Id&gt;
          &lt;OrgId&gt;
            &lt;AnyBIC&gt;BFICCUHH&lt;/AnyBIC&gt;
          &lt;/OrgId&gt;
        &lt;/Id&gt;
      &lt;/InitgPty&gt;
      &lt;Dbtr&gt;
        &lt;Id&gt;
          &lt;OrgId&gt;
            &lt;AnyBIC&gt;BFICCUHH&lt;/AnyBIC&gt;
          &lt;/OrgId&gt;
        &lt;/Id&gt;
      &lt;/Dbtr&gt;
      &lt;DbtrAgt&gt;
        &lt;FinInstnId&gt;
          &lt;BICFI&gt;BFICCUHH&lt;/BICFI&gt;
        &lt;/FinInstnId&gt;
        &lt;BrnchId&gt;
          &lt;Id&gt;BFICCUHH&lt;/Id&gt;
        &lt;/BrnchId&gt;
      &lt;/DbtrAgt&gt;
      &lt;CdtrAgt&gt;
        &lt;FinInstnId&gt;
          &lt;BICFI&gt;BFICCUHH&lt;/BICFI&gt;
        &lt;/FinInstnId&gt;
        &lt;BrnchId&gt;
          &lt;Id&gt;BFICCUHH&lt;/Id&gt;
        &lt;/BrnchId&gt;
      &lt;/CdtrAgt&gt;
      &lt;Cdtr&gt;
        &lt;Id&gt;
          &lt;OrgId&gt;
            &lt;AnyBIC&gt;BFICCUHH&lt;/AnyBIC&gt;
          &lt;/OrgId&gt;
        &lt;/Id&gt;
      &lt;/Cdtr&gt;
      &lt;UltmtCdtr&gt;
        &lt;Id&gt;
          &lt;OrgId&gt;
            &lt;AnyBIC&gt;BFICCUHH&lt;/AnyBIC&gt;
          &lt;/OrgId&gt;
        &lt;/Id&gt;
      &lt;/UltmtCdtr&gt;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&lt;/CdtTrfTxInf&gt;
  &lt;/FIToFICstmrCdtTrf&gt;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</si>
  <si>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120 THEN 'HIT'
         ELSE 'NO HIT'
       END AS KET_QUA
FROM (
    SELECT T.N_WEBSERVICE_ID,
           REGEXP_REPLACE(TO_CHAR(T.X_PATH), '\[\d+\]', '') AS X_PATH
    FROM FSI_RT_XML_WLS_RESPONSE T
    WHERE T.N_GRP_MSG_ID = :N_GRP_MSG_ID
      AND T.N_WEBSERVICE_ID IN (1, 2, 3)
      AND REGEXP_REPLACE(TO_CHAR(T.X_PATH), '\[\d+\]', '') IN (
'Document/FIToFICstmrCdtTrf/GrpHdr/SttlmInf/InstgRmbrsmntAgt/FinInstnId/BICFI',
'Document/FIToFICstmrCdtTrf/GrpHdr/SttlmInf/InstgRmbrsmntAgt/BrnchId/Id',
'Document/FIToFICstmrCdtTrf/GrpHdr/SttlmInf/InstdRmbrsmntAgt/FinInstnId/BICFI',
'Document/FIToFICstmrCdtTrf/GrpHdr/SttlmInf/InstdRmbrsmntAgt/BrnchId/Id',
'Document/FIToFICstmrCdtTrf/GrpHdr/SttlmInf/ThrdRmbrsmntAgt/FinInstnId/BICFI',
'Document/FIToFICstmrCdtTrf/GrpHdr/SttlmInf/ThrdRmbrsmntAgt/BrnchId/Id',
'Document/FIToFICstmrCdtTrf/GrpHdr/InstgAgt/FinInstnId/BICFI',
'Document/FIToFICstmrCdtTrf/GrpHdr/InstgAgt/BrnchId/Id',
'Document/FIToFICstmrCdtTrf/GrpHdr/InstdAgt/FinInstnId/BICFI',
'Document/FIToFICstmrCdtTrf/GrpHdr/InstdAgt/BrnchId/Id',
'Document/FIToFICstmrCdtTrf/CdtTrfTxInf/PrvsInstgAgt1/FinInstnId/BICFI',
'Document/FIToFICstmrCdtTrf/CdtTrfTxInf/PrvsInstgAgt1/BrnchId/Id',
'Document/FIToFICstmrCdtTrf/CdtTrfTxInf/PrvsInstgAgt2/FinInstnId/BICFI',
'Document/FIToFICstmrCdtTrf/CdtTrfTxInf/PrvsInstgAgt2/BrnchId/Id',
'Document/FIToFICstmrCdtTrf/CdtTrfTxInf/PrvsInstgAgt3/FinInstnId/BICFI',
'Document/FIToFICstmrCdtTrf/CdtTrfTxInf/PrvsInstgAgt3/BrnchId/Id',
'Document/FIToFICstmrCdtTrf/CdtTrfTxInf/IntrmyAgt1/FinInstnId/BICFI',
'Document/FIToFICstmrCdtTrf/CdtTrfTxInf/IntrmyAgt1/BrnchId/Id',
'Document/FIToFICstmrCdtTrf/CdtTrfTxInf/IntrmyAgt2/FinInstnId/BICFI',
'Document/FIToFICstmrCdtTrf/CdtTrfTxInf/IntrmyAgt2/BrnchId/Id',
'Document/FIToFICstmrCdtTrf/CdtTrfTxInf/IntrmyAgt3/FinInstnId/BICFI',
'Document/FIToFICstmrCdtTrf/CdtTrfTxInf/IntrmyAgt3/BrnchId/Id',
'Document/FIToFICstmrCdtTrf/CdtTrfTxInf/DbtrAgt/FinInstnId/BICFI',
'Document/FIToFICstmrCdtTrf/CdtTrfTxInf/DbtrAgt/BrnchId/Id',
'Document/FIToFICstmrCdtTrf/CdtTrfTxInf/CdtrAgt/FinInstnId/BICFI',
'Document/FIToFICstmrCdtTrf/CdtTrfTxInf/CdtrAgt/BrnchId/Id',
'Document/FIToFICstmrCdtTrf/CdtTrfTxInf/InstgAgt/FinInstnId/BICFI',
'Document/FIToFICstmrCdtTrf/CdtTrfTxInf/InstgAgt/BrnchId/Id',
'Document/FIToFICstmrCdtTrf/CdtTrfTxInf/InstdAgt/FinInstnId/BICFI',
'Document/FIToFICstmrCdtTrf/CdtTrfTxInf/InstdAgt/BrnchId/Id',
'Document/FIToFICstmrCdtTrf/CdtTrfTxInf/Cdtr/Id/OrgId/AnyBIC',
'Document/FIToFICstmrCdtTrf/CdtTrfTxInf/UltmtCdtr/Id/OrgId/AnyBIC',
'Document/FIToFICstmrCdtTrf/CdtTrfTxInf/Dbtr/Id/OrgId/AnyBIC',
'Document/FIToFICstmrCdtTrf/CdtTrfTxInf/UltmtDbtr/Id/OrgId/AnyBIC',
'Document/FIToFICstmrCdtTrf/CdtTrfTxInf/InitgPty/Id/OrgId/AnyBIC',
'Document/FIToFICstmrCdtTrf/CdtTrfTxInf/ChrgsInf/Agt/FinInstnId/BICFI',
'Document/FIToFICstmrCdtTrf/CdtTrfTxInf/RmtInf/Strd/Invcr/Id/OrgId/AnyBIC',
'Document/FIToFICstmrCdtTrf/CdtTrfTxInf/RmtInf/Strd/Invcee/Id/OrgId/AnyBIC',
'Document/FIToFICstmrCdtTrf/CdtTrfTxInf/RmtInf/Strd/GrnshmtRmt/Grnshee/Id/OrgId/AnyBIC',
'Document/FIToFICstmrCdtTrf/CdtTrfTxInf/RmtInf/Strd/GrnshmtRmt/GrnshmtAdmstr/Id/OrgId/AnyBIC'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</si>
  <si>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Pacs008.02</t>
  </si>
  <si>
    <t>Sàng lọc giao dịch Pacs.008 - Name and Address - Entity</t>
  </si>
  <si>
    <t>1. Đẩy giao dịch vào API Post Message với trường thông tin có XML path 
/Document/FIToFICstmrCdtTrf/GrpHdr/SttlmInf/InstgRmbrsmntAgt/FinInstnId/Nm
/Document/FIToFICstmrCdtTrf/GrpHdr/SttlmInf/InstgRmbrsmntAgt/BrnchId/Nm
/Document/FIToFICstmrCdtTrf/GrpHdr/SttlmInf/InstdRmbrsmntAgt/FinInstnId/Nm
/Document/FIToFICstmrCdtTrf/GrpHdr/SttlmInf/InstdRmbrsmntAgt/BrnchId/Nm
/Document/FIToFICstmrCdtTrf/GrpHdr/SttlmInf/ThrdRmbrsmntAgt/FinInstnId/Nm
/Document/FIToFICstmrCdtTrf/GrpHdr/SttlmInf/ThrdRmbrsmntAgt/BrnchId/Nm
/Document/FIToFICstmrCdtTrf/GrpHdr/InstgAgt/FinInstnId/Nm
/Document/FIToFICstmrCdtTrf/GrpHdr/InstgAgt/BrnchId/Nm
/Document/FIToFICstmrCdtTrf/GrpHdr/InstdAgt/FinInstnId/Nm
/Document/FIToFICstmrCdtTrf/GrpHdr/InstdAgt/BrnchId/Nm
/Document/FIToFICstmrCdtTrf/CdtTrfTxInf/PrvsInstgAgt1/FinInstnId/Nm
/Document/FIToFICstmrCdtTrf/CdtTrfTxInf/PrvsInstgAgt1/BrnchId/Nm
/Document/FIToFICstmrCdtTrf/CdtTrfTxInf/PrvsInstgAgt2/FinInstnId/Nm
/Document/FIToFICstmrCdtTrf/CdtTrfTxInf/PrvsInstgAgt2/BrnchId/Nm
/Document/FIToFICstmrCdtTrf/CdtTrfTxInf/PrvsInstgAgt3/FinInstnId/Nm
/Document/FIToFICstmrCdtTrf/CdtTrfTxInf/PrvsInstgAgt3/BrnchId/Nm
/Document/FIToFICstmrCdtTrf/CdtTrfTxInf/IntrmyAgt1/FinInstnId/Nm
/Document/FIToFICstmrCdtTrf/CdtTrfTxInf/IntrmyAgt1/BrnchId/Nm
/Document/FIToFICstmrCdtTrf/CdtTrfTxInf/IntrmyAgt2/FinInstnId/Nm
/Document/FIToFICstmrCdtTrf/CdtTrfTxInf/IntrmyAgt2/BrnchId/Nm
/Document/FIToFICstmrCdtTrf/CdtTrfTxInf/IntrmyAgt3/FinInstnId/Nm
/Document/FIToFICstmrCdtTrf/CdtTrfTxInf/IntrmyAgt3/BrnchId/Nm
/Document/FIToFICstmrCdtTrf/CdtTrfTxInf/DbtrAgt/FinInstnId/Nm
/Document/FIToFICstmrCdtTrf/CdtTrfTxInf/DbtrAgt/BrnchId/Nm
/Document/FIToFICstmrCdtTrf/CdtTrfTxInf/CdtrAgt/FinInstnId/Nm
/Document/FIToFICstmrCdtTrf/CdtTrfTxInf/CdtrAgt/BrnchId/Nm
/Document/FIToFICstmrCdtTrf/CdtTrfTxInf/InstgAgt/FinInstnId/Nm
/Document/FIToFICstmrCdtTrf/CdtTrfTxInf/InstgAgt/BrnchId/Nm
/Document/FIToFICstmrCdtTrf/CdtTrfTxInf/InstdAgt/FinInstnId/Nm
/Document/FIToFICstmrCdtTrf/CdtTrfTxInf/InstdAgt/BrnchId/Nm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</si>
  <si>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&lt;MsgId&gt;SUMMITEMBER-MSG-AGT&lt;/MsgId&gt;
      &lt;CreDtTm&gt;2026-07-28T13:31:41&lt;/CreDtTm&gt;
      &lt;NbOfTxs&gt;1&lt;/NbOfTxs&gt;
      &lt;SttlmInf&gt;
        &lt;SttlmMtd&gt;INDA&lt;/SttlmMtd&gt;
        &lt;InstgRmbrsmntAgt&gt;
          &lt;FinInstnId&gt;
            &lt;Nm&gt;SUMMIT EMBER&lt;/Nm&gt;
          &lt;/FinInstnId&gt;
          &lt;BrnchId&gt;
            &lt;Nm&gt;SUMMIT EMBER&lt;/Nm&gt;
          &lt;/BrnchId&gt;
        &lt;/InstgRmbrsmntAgt&gt;
        &lt;InstdRmbrsmntAgt&gt;
          &lt;FinInstnId&gt;
            &lt;Nm&gt;SUMMIT EMBER&lt;/Nm&gt;
          &lt;/FinInstnId&gt;
          &lt;BrnchId&gt;
            &lt;Nm&gt;SUMMIT EMBER&lt;/Nm&gt;
          &lt;/BrnchId&gt;
        &lt;/InstdRmbrsmntAgt&gt;
        &lt;ThrdRmbrsmntAgt&gt;
          &lt;FinInstnId&gt;
            &lt;Nm&gt;SUMMIT EMBER&lt;/Nm&gt;
          &lt;/FinInstnId&gt;
          &lt;BrnchId&gt;
            &lt;Nm&gt;SUMMIT EMBER&lt;/Nm&gt;
          &lt;/BrnchId&gt;
        &lt;/ThrdRmbrsmntAgt&gt;
      &lt;/SttlmInf&gt;
      &lt;InstgAgt&gt;
        &lt;FinInstnId&gt;
          &lt;Nm&gt;SUMMIT EMBER&lt;/Nm&gt;
        &lt;/FinInstnId&gt;
        &lt;BrnchId&gt;
          &lt;Nm&gt;SUMMIT EMBER&lt;/Nm&gt;
        &lt;/BrnchId&gt;
      &lt;/InstgAgt&gt;
      &lt;InstdAgt&gt;
        &lt;FinInstnId&gt;
          &lt;Nm&gt;SUMMIT EMBER&lt;/Nm&gt;
        &lt;/FinInstnId&gt;
        &lt;BrnchId&gt;
          &lt;Nm&gt;SUMMIT EMBER&lt;/Nm&gt;
        &lt;/BrnchId&gt;
      &lt;/InstdAgt&gt;
    &lt;/GrpHdr&gt;
    &lt;CdtTrfTxInf&gt;
      &lt;PmtId&gt;
        &lt;EndToEndId&gt;SE-E2E-AGT&lt;/EndToEndId&gt;
      &lt;/PmtId&gt;
      &lt;IntrBkSttlmAmt Ccy="USD"&gt;1000.00&lt;/IntrBkSttlmAmt&gt;
      &lt;ChrgBr&gt;SHAR&lt;/ChrgBr&gt;
      &lt;PrvsInstgAgt1&gt;
        &lt;FinInstnId&gt;
          &lt;Nm&gt;SUMMIT EMBER&lt;/Nm&gt;
        &lt;/FinInstnId&gt;
        &lt;BrnchId&gt;
          &lt;Nm&gt;SUMMIT EMBER&lt;/Nm&gt;
        &lt;/BrnchId&gt;
      &lt;/PrvsInstgAgt1&gt;
      &lt;PrvsInstgAgt2&gt;
        &lt;FinInstnId&gt;
          &lt;Nm&gt;SUMMIT EMBER&lt;/Nm&gt;
        &lt;/FinInstnId&gt;
        &lt;BrnchId&gt;
          &lt;Nm&gt;SUMMIT EMBER&lt;/Nm&gt;
        &lt;/BrnchId&gt;
      &lt;/PrvsInstgAgt2&gt;
      &lt;PrvsInstgAgt3&gt;
        &lt;FinInstnId&gt;
          &lt;Nm&gt;SUMMIT EMBER&lt;/Nm&gt;
        &lt;/FinInstnId&gt;
        &lt;BrnchId&gt;
          &lt;Nm&gt;SUMMIT EMBER&lt;/Nm&gt;
        &lt;/BrnchId&gt;
      &lt;/PrvsInstgAgt3&gt;
      &lt;InstgAgt&gt;
        &lt;FinInstnId&gt;
          &lt;Nm&gt;SUMMIT EMBER&lt;/Nm&gt;
        &lt;/FinInstnId&gt;
        &lt;BrnchId&gt;
          &lt;Nm&gt;SUMMIT EMBER&lt;/Nm&gt;
        &lt;/BrnchId&gt;
      &lt;/InstgAgt&gt;
      &lt;InstdAgt&gt;
        &lt;FinInstnId&gt;
          &lt;Nm&gt;SUMMIT EMBER&lt;/Nm&gt;
        &lt;/FinInstnId&gt;
        &lt;BrnchId&gt;
          &lt;Nm&gt;SUMMIT EMBER&lt;/Nm&gt;
        &lt;/BrnchId&gt;
      &lt;/InstdAgt&gt;
      &lt;IntrmyAgt1&gt;
        &lt;FinInstnId&gt;
          &lt;Nm&gt;SUMMIT EMBER&lt;/Nm&gt;
        &lt;/FinInstnId&gt;
        &lt;BrnchId&gt;
          &lt;Nm&gt;SUMMIT EMBER&lt;/Nm&gt;
        &lt;/BrnchId&gt;
      &lt;/IntrmyAgt1&gt;
      &lt;IntrmyAgt2&gt;
        &lt;FinInstnId&gt;
          &lt;Nm&gt;SUMMIT EMBER&lt;/Nm&gt;
        &lt;/FinInstnId&gt;
        &lt;BrnchId&gt;
          &lt;Nm&gt;SUMMIT EMBER&lt;/Nm&gt;
        &lt;/BrnchId&gt;
      &lt;/IntrmyAgt2&gt;
      &lt;IntrmyAgt3&gt;
        &lt;FinInstnId&gt;
          &lt;Nm&gt;SUMMIT EMBER&lt;/Nm&gt;
        &lt;/FinInstnId&gt;
        &lt;BrnchId&gt;
          &lt;Nm&gt;SUMMIT EMBER&lt;/Nm&gt;
        &lt;/BrnchId&gt;
      &lt;/IntrmyAgt3&gt;
      &lt;Dbtr&gt;
        &lt;Nm&gt;SUMMIT EMBER&lt;/Nm&gt;
      &lt;/Dbtr&gt;
      &lt;DbtrAgt&gt;
        &lt;FinInstnId&gt;
          &lt;Nm&gt;SUMMIT EMBER&lt;/Nm&gt;
        &lt;/FinInstnId&gt;
        &lt;BrnchId&gt;
          &lt;Nm&gt;SUMMIT EMBER&lt;/Nm&gt;
        &lt;/BrnchId&gt;
      &lt;/DbtrAgt&gt;
      &lt;CdtrAgt&gt;
        &lt;FinInstnId&gt;
          &lt;Nm&gt;SUMMIT EMBER&lt;/Nm&gt;
        &lt;/FinInstnId&gt;
        &lt;BrnchId&gt;
          &lt;Nm&gt;SUMMIT EMBER&lt;/Nm&gt;
        &lt;/BrnchId&gt;
      &lt;/CdtrAgt&gt;
      &lt;Cdtr&gt;
        &lt;Nm&gt;SUMMIT EMBER&lt;/Nm&gt;
      &lt;/Cdtr&gt;
    &lt;/CdtTrfTxInf&gt;
  &lt;/FIToFICstmrCdtTrf&gt;
&lt;/Document&gt;</t>
  </si>
  <si>
    <t>2. Hệ thống trả kết quả: HIT với Webservice Name and Address loại chủ thể Entity và không HIT với chủ thể Individual, Vessel, Aircraft
Câu query kiểm tra kết quả (KET_QUA = HIT):
SELECT CASE
         WHEN COUNT(*) = 30 THEN 'HIT'
         ELSE 'NO HIT'
       END AS KET_QUA
FROM (
    SELECT T.N_WEBSERVICE_ID,
           REGEXP_REPLACE(TO_CHAR(T.X_PATH), '\[\d+\]', '') AS X_PATH
    FROM FSI_RT_XML_WLS_RESPONSE T
    WHERE T.N_GRP_MSG_ID = :N_GRP_MSG_ID
      AND T.N_WEBSERVICE_ID = 1
      AND REGEXP_REPLACE(TO_CHAR(T.X_PATH), '\[\d+\]', '') IN (
'Document/FIToFICstmrCdtTrf/GrpHdr/SttlmInf/InstgRmbrsmntAgt/FinInstnId/Nm',
'Document/FIToFICstmrCdtTrf/GrpHdr/SttlmInf/InstgRmbrsmntAgt/BrnchId/Nm',
'Document/FIToFICstmrCdtTrf/GrpHdr/SttlmInf/InstdRmbrsmntAgt/FinInstnId/Nm',
'Document/FIToFICstmrCdtTrf/GrpHdr/SttlmInf/InstdRmbrsmntAgt/BrnchId/Nm',
'Document/FIToFICstmrCdtTrf/GrpHdr/SttlmInf/ThrdRmbrsmntAgt/FinInstnId/Nm',
'Document/FIToFICstmrCdtTrf/GrpHdr/SttlmInf/ThrdRmbrsmntAgt/BrnchId/Nm',
'Document/FIToFICstmrCdtTrf/GrpHdr/InstgAgt/FinInstnId/Nm',
'Document/FIToFICstmrCdtTrf/GrpHdr/InstgAgt/BrnchId/Nm',
'Document/FIToFICstmrCdtTrf/GrpHdr/InstdAgt/FinInstnId/Nm',
'Document/FIToFICstmrCdtTrf/GrpHdr/InstdAgt/BrnchId/Nm',
'Document/FIToFICstmrCdtTrf/CdtTrfTxInf/PrvsInstgAgt1/FinInstnId/Nm',
'Document/FIToFICstmrCdtTrf/CdtTrfTxInf/PrvsInstgAgt1/BrnchId/Nm',
'Document/FIToFICstmrCdtTrf/CdtTrfTxInf/PrvsInstgAgt2/FinInstnId/Nm',
'Document/FIToFICstmrCdtTrf/CdtTrfTxInf/PrvsInstgAgt2/BrnchId/Nm',
'Document/FIToFICstmrCdtTrf/CdtTrfTxInf/PrvsInstgAgt3/FinInstnId/Nm',
'Document/FIToFICstmrCdtTrf/CdtTrfTxInf/PrvsInstgAgt3/BrnchId/Nm',
'Document/FIToFICstmrCdtTrf/CdtTrfTxInf/IntrmyAgt1/FinInstnId/Nm',
'Document/FIToFICstmrCdtTrf/CdtTrfTxInf/IntrmyAgt1/BrnchId/Nm',
'Document/FIToFICstmrCdtTrf/CdtTrfTxInf/IntrmyAgt2/FinInstnId/Nm',
'Document/FIToFICstmrCdtTrf/CdtTrfTxInf/IntrmyAgt2/BrnchId/Nm',
'Document/FIToFICstmrCdtTrf/CdtTrfTxInf/IntrmyAgt3/FinInstnId/Nm',
'Document/FIToFICstmrCdtTrf/CdtTrfTxInf/IntrmyAgt3/BrnchId/Nm',
'Document/FIToFICstmrCdtTrf/CdtTrfTxInf/DbtrAgt/FinInstnId/Nm',
'Document/FIToFICstmrCdtTrf/CdtTrfTxInf/DbtrAgt/BrnchId/Nm',
'Document/FIToFICstmrCdtTrf/CdtTrfTxInf/CdtrAgt/FinInstnId/Nm',
'Document/FIToFICstmrCdtTrf/CdtTrfTxInf/CdtrAgt/BrnchId/Nm',
'Document/FIToFICstmrCdtTrf/CdtTrfTxInf/InstgAgt/FinInstnId/Nm',
'Document/FIToFICstmrCdtTrf/CdtTrfTxInf/InstgAgt/BrnchId/Nm',
'Document/FIToFICstmrCdtTrf/CdtTrfTxInf/InstdAgt/FinInstnId/Nm',
'Document/FIToFICstmrCdtTrf/CdtTrfTxInf/InstdAgt/BrnchId/Nm'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</si>
  <si>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Pacs008.03</t>
  </si>
  <si>
    <t>Sàng lọc giao dịch Pacs.008 - Country and City</t>
  </si>
  <si>
    <t>1. Đẩy giao dịch vào API Post Message với trường thông tin có XML path 
/Document/FIToFICstmrCdtTrf/GrpHdr/SttlmInf/InstgRmbrsmntAgt/FinInstnId/PstlAdr/Ctry
/Document/FIToFICstmrCdtTrf/GrpHdr/SttlmInf/InstgRmbrsmntAgt/BrnchId/PstlAdr/Ctry
/Document/FIToFICstmrCdtTrf/GrpHdr/SttlmInf/InstdRmbrsmntAgt/FinInstnId/PstlAdr/Ctry
/Document/FIToFICstmrCdtTrf/GrpHdr/SttlmInf/InstdRmbrsmntAgt/BrnchId/PstlAdr/Ctry
/Document/FIToFICstmrCdtTrf/GrpHdr/SttlmInf/ThrdRmbrsmntAgt/FinInstnId/PstlAdr/Ctry
/Document/FIToFICstmrCdtTrf/GrpHdr/SttlmInf/ThrdRmbrsmntAgt/BrnchId/PstlAdr/Ctry
/Document/FIToFICstmrCdtTrf/GrpHdr/InstgAgt/FinInstnId/PstlAdr/Ctry
/Document/FIToFICstmrCdtTrf/GrpHdr/InstgAgt/BrnchId/PstlAdr/Ctry
/Document/FIToFICstmrCdtTrf/GrpHdr/InstdAgt/FinInstnId/PstlAdr/Ctry
/Document/FIToFICstmrCdtTrf/GrpHdr/InstdAgt/BrnchId/PstlAdr/Ctry
/Document/FIToFICstmrCdtTrf/CdtTrfTxInf/PrvsInstgAgt1/FinInstnId/PstlAdr/Ctry
/Document/FIToFICstmrCdtTrf/CdtTrfTxInf/PrvsInstgAgt1/BrnchId/PstlAdr/Ctry
/Document/FIToFICstmrCdtTrf/CdtTrfTxInf/IntrmyAgt1/FinInstnId/PstlAdr/Ctry
/Document/FIToFICstmrCdtTrf/CdtTrfTxInf/IntrmyAgt1/BrnchId/PstlAdr/Ctry
/Document/FIToFICstmrCdtTrf/CdtTrfTxInf/DbtrAgt/FinInstnId/PstlAdr/Ctry
/Document/FIToFICstmrCdtTrf/CdtTrfTxInf/DbtrAgt/BrnchId/PstlAdr/Ctry
/Document/FIToFICstmrCdtTrf/CdtTrfTxInf/CdtrAgt/FinInstnId/PstlAdr/Ctry
/Document/FIToFICstmrCdtTrf/CdtTrfTxInf/CdtrAgt/BrnchId/PstlAdr/Ctry
/Document/FIToFICstmrCdtTrf/CdtTrfTxInf/InstgAgt/FinInstnId/PstlAdr/Ctry
/Document/FIToFICstmrCdtTrf/CdtTrfTxInf/InstgAgt/BrnchId/PstlAdr/Ctry
/Document/FIToFICstmrCdtTrf/CdtTrfTxInf/InstdAgt/FinInstnId/PstlAdr/Ctry
/Document/FIToFICstmrCdtTrf/CdtTrfTxInf/InstdAgt/BrnchId/PstlAdr/Ctry
/Document/FIToFICstmrCdtTrf/CdtTrfTxInf/Cdtr/PstlAdr/Ctry
/Document/FIToFICstmrCdtTrf/CdtTrfTxInf/Cdtr/Id/PrvtId/DtAndPlcOfBirth/CtryOfBirth
/Document/FIToFICstmrCdtTrf/CdtTrfTxInf/Cdtr/CtryOfRes
/Document/FIToFICstmrCdtTrf/CdtTrfTxInf/UltmtCdtr/PstlAdr/Ctry
/Document/FIToFICstmrCdtTrf/CdtTrfTxInf/UltmtCdtr/Id/PrvtId/DtAndPlcOfBirth/CtryOfBirth
/Document/FIToFICstmrCdtTrf/CdtTrfTxInf/UltmtCdtr/CtryOfRes
/Document/FIToFICstmrCdtTrf/CdtTrfTxInf/Dbtr/PstlAdr/Ctry
/Document/FIToFICstmrCdtTrf/CdtTrfTxInf/Dbtr/Id/PrvtId/DtAndPlcOfBirth/CtryOfBirth
/Document/FIToFICstmrCdtTrf/CdtTrfTxInf/Dbtr/CtryOfRes
/Document/FIToFICstmrCdtTrf/CdtTrfTxInf/UltmtDbtr/PstlAdr/Ctry
/Document/FIToFICstmrCdtTrf/CdtTrfTxInf/UltmtDbtr/Id/PrvtId/DtAndPlcOfBirth/CtryOfBirth
/Document/FIToFICstmrCdtTrf/CdtTrfTxInf/UltmtDbtr/CtryOfRes
/Document/FIToFICstmrCdtTrf/CdtTrfTxInf/InitgPty/PstlAdr/Ctry
/Document/FIToFICstmrCdtTrf/CdtTrfTxInf/InitgPty/Id/PrvtId/DtAndPlcOfBirth/CtryOfBirth
/Document/FIToFICstmrCdtTrf/CdtTrfTxInf/InitgPty/CtryOfRes
/Document/FIToFICstmrCdtTrf/CdtTrfTxInf/ChrgsInf/Agt/FinInstnId/PstlAdr/Ctry
/Document/FIToFICstmrCdtTrf/CdtTrfTxInf/ChrgsInf/Agt/BrnchId/PstlAdr/Ctry
/Document/FIToFICstmrCdtTrf/CdtTrfTxInf/RltdRmtInf/RmtLctnDtls/PstlAdr/Adr/Ctry
/Document/FIToFICstmrCdtTrf/CdtTrfTxInf/RmtInf/Strd/Invcr/PstlAdr/Ctry
/Document/FIToFICstmrCdtTrf/CdtTrfTxInf/RmtInf/Strd/Invcr/Id/PrvtId/DtAndPlcOfBirth/CtryOfBirth
/Document/FIToFICstmrCdtTrf/CdtTrfTxInf/RmtInf/Strd/Invcr/CtryOfRes
/Document/FIToFICstmrCdtTrf/CdtTrfTxInf/RmtInf/Strd/Invcee/PstlAdr/Ctry
/Document/FIToFICstmrCdtTrf/CdtTrfTxInf/RmtInf/Strd/Invcee/Id/PrvtId/DtAndPlcOfBirth/CtryOfBirth
/Document/FIToFICstmrCdtTrf/CdtTrfTxInf/RmtInf/Strd/Invcee/CtryOfRes
/Document/FIToFICstmrCdtTrf/CdtTrfTxInf/RmtInf/Strd/GrnshmtRmt/Grnshee/PstlAdr/Ctry
/Document/FIToFICstmrCdtTrf/CdtTrfTxInf/RmtInf/Strd/GrnshmtRmt/Grnshee/Id/PrvtId/DtAndPlcOfBirth/CtryOfBirth
/Document/FIToFICstmrCdtTrf/CdtTrfTxInf/RmtInf/Strd/GrnshmtRmt/Grnshee/CtryOfRes
/Document/FIToFICstmrCdtTrf/CdtTrfTxInf/RmtInf/Strd/GrnshmtRmt/GrnshmtAdmstr/PstlAdr/Ctry
/Document/FIToFICstmrCdtTrf/CdtTrfTxInf/RmtInf/Strd/GrnshmtRmt/GrnshmtAdmstr/Id/PrvtId/DtAndPlcOfBirth/CtryOfBirth
/Document/FIToFICstmrCdtTrf/CdtTrfTxInf/RmtInf/Strd/GrnshmtRmt/GrnshmtAdmstr/CtryOfRes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</si>
  <si>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&lt;MsgId&gt;SE-MSG-008C&lt;/MsgId&gt;
      &lt;CreDtTm&gt;2026-07-28T13:31:41&lt;/CreDtTm&gt;
      &lt;NbOfTxs&gt;1&lt;/NbOfTxs&gt;
      &lt;SttlmInf&gt;
        &lt;SttlmMtd&gt;INDA&lt;/SttlmMtd&gt;
        &lt;InstgRmbrsmntAgt&gt;
          &lt;FinInstnId&gt;
            &lt;PstlAdr&gt;
              &lt;Ctry&gt;IR&lt;/Ctry&gt;
            &lt;/PstlAdr&gt;
          &lt;/FinInstnId&gt;
          &lt;BrnchId&gt;
            &lt;PstlAdr&gt;
              &lt;Ctry&gt;IR&lt;/Ctry&gt;
            &lt;/PstlAdr&gt;
          &lt;/BrnchId&gt;
        &lt;/InstgRmbrsmntAgt&gt;
        &lt;InstdRmbrsmntAgt&gt;
          &lt;FinInstnId&gt;
            &lt;PstlAdr&gt;
              &lt;Ctry&gt;IR&lt;/Ctry&gt;
            &lt;/PstlAdr&gt;
          &lt;/FinInstnId&gt;
          &lt;BrnchId&gt;
            &lt;PstlAdr&gt;
              &lt;Ctry&gt;IR&lt;/Ctry&gt;
            &lt;/PstlAdr&gt;
          &lt;/BrnchId&gt;
        &lt;/InstdRmbrsmntAgt&gt;
        &lt;ThrdRmbrsmntAgt&gt;
          &lt;FinInstnId&gt;
            &lt;PstlAdr&gt;
              &lt;Ctry&gt;IR&lt;/Ctry&gt;
            &lt;/PstlAdr&gt;
          &lt;/FinInstnId&gt;
          &lt;BrnchId&gt;
            &lt;PstlAdr&gt;
              &lt;Ctry&gt;IR&lt;/Ctry&gt;
            &lt;/PstlAdr&gt;
          &lt;/BrnchId&gt;
        &lt;/ThrdRmbrsmntAgt&gt;
      &lt;/SttlmInf&gt;
      &lt;InstgAgt&gt;
        &lt;FinInstnId&gt;
          &lt;PstlAdr&gt;
            &lt;Ctry&gt;IR&lt;/Ctry&gt;
          &lt;/PstlAdr&gt;
        &lt;/FinInstnId&gt;
        &lt;BrnchId&gt;
          &lt;PstlAdr&gt;
            &lt;Ctry&gt;IR&lt;/Ctry&gt;
          &lt;/PstlAdr&gt;
        &lt;/BrnchId&gt;
      &lt;/InstgAgt&gt;
      &lt;InstdAgt&gt;
        &lt;FinInstnId&gt;
          &lt;PstlAdr&gt;
            &lt;Ctry&gt;IR&lt;/Ctry&gt;
          &lt;/PstlAdr&gt;
        &lt;/FinInstnId&gt;
        &lt;BrnchId&gt;
          &lt;PstlAdr&gt;
            &lt;Ctry&gt;IR&lt;/Ctry&gt;
          &lt;/PstlAdr&gt;
        &lt;/BrnchId&gt;
      &lt;/InstdAgt&gt;
    &lt;/GrpHdr&gt;
    &lt;CdtTrfTxInf&gt;
      &lt;PmtId&gt;
        &lt;EndToEndId&gt;SE-E2E-008C&lt;/EndToEndId&gt;
      &lt;/PmtId&gt;
      &lt;IntrBkSttlmAmt Ccy="USD"&gt;1000.00&lt;/IntrBkSttlmAmt&gt;
      &lt;ChrgBr&gt;SHAR&lt;/ChrgBr&gt;
      &lt;ChrgsInf&gt;
        &lt;Amt Ccy="USD"&gt;10.00&lt;/Amt&gt;
        &lt;Agt&gt;
          &lt;FinInstnId&gt;
            &lt;PstlAdr&gt;
              &lt;Ctry&gt;IR&lt;/Ctry&gt;
            &lt;/PstlAdr&gt;
          &lt;/FinInstnId&gt;
          &lt;BrnchId&gt;
            &lt;PstlAdr&gt;
              &lt;Ctry&gt;IR&lt;/Ctry&gt;
            &lt;/PstlAdr&gt;
          &lt;/BrnchId&gt;
        &lt;/Agt&gt;
      &lt;/ChrgsInf&gt;
      &lt;PrvsInstgAgt1&gt;
        &lt;FinInstnId&gt;
          &lt;PstlAdr&gt;
            &lt;Ctry&gt;IR&lt;/Ctry&gt;
          &lt;/PstlAdr&gt;
        &lt;/FinInstnId&gt;
        &lt;BrnchId&gt;
          &lt;PstlAdr&gt;
            &lt;Ctry&gt;IR&lt;/Ctry&gt;
          &lt;/PstlAdr&gt;
        &lt;/BrnchId&gt;
      &lt;/PrvsInstgAgt1&gt;
      &lt;PrvsInstgAgt2&gt;
        &lt;FinInstnId&gt;
          &lt;PstlAdr&gt;
            &lt;Ctry&gt;IR&lt;/Ctry&gt;
          &lt;/PstlAdr&gt;
        &lt;/FinInstnId&gt;
        &lt;BrnchId&gt;
          &lt;PstlAdr&gt;
            &lt;Ctry&gt;IR&lt;/Ctry&gt;
          &lt;/PstlAdr&gt;
        &lt;/BrnchId&gt;
      &lt;/PrvsInstgAgt2&gt;
      &lt;PrvsInstgAgt3&gt;
        &lt;FinInstnId&gt;
          &lt;PstlAdr&gt;
            &lt;Ctry&gt;IR&lt;/Ctry&gt;
          &lt;/PstlAdr&gt;
        &lt;/FinInstnId&gt;
        &lt;BrnchId&gt;
          &lt;PstlAdr&gt;
            &lt;Ctry&gt;IR&lt;/Ctry&gt;
          &lt;/PstlAdr&gt;
        &lt;/BrnchId&gt;
      &lt;/PrvsInstgAgt3&gt;
      &lt;InstgAgt&gt;
        &lt;FinInstnId&gt;
          &lt;PstlAdr&gt;
            &lt;Ctry&gt;IR&lt;/Ctry&gt;
          &lt;/PstlAdr&gt;
        &lt;/FinInstnId&gt;
        &lt;BrnchId&gt;
          &lt;PstlAdr&gt;
            &lt;Ctry&gt;IR&lt;/Ctry&gt;
          &lt;/PstlAdr&gt;
        &lt;/BrnchId&gt;
      &lt;/InstgAgt&gt;
      &lt;InstdAgt&gt;
        &lt;FinInstnId&gt;
          &lt;PstlAdr&gt;
            &lt;Ctry&gt;IR&lt;/Ctry&gt;
          &lt;/PstlAdr&gt;
        &lt;/FinInstnId&gt;
        &lt;BrnchId&gt;
          &lt;PstlAdr&gt;
            &lt;Ctry&gt;IR&lt;/Ctry&gt;
          &lt;/PstlAdr&gt;
        &lt;/BrnchId&gt;
      &lt;/InstdAgt&gt;
      &lt;IntrmyAgt1&gt;
        &lt;FinInstnId&gt;
          &lt;PstlAdr&gt;
            &lt;Ctry&gt;IR&lt;/Ctry&gt;
          &lt;/PstlAdr&gt;
        &lt;/FinInstnId&gt;
        &lt;BrnchId&gt;
          &lt;PstlAdr&gt;
            &lt;Ctry&gt;IR&lt;/Ctry&gt;
          &lt;/PstlAdr&gt;
        &lt;/BrnchId&gt;
      &lt;/IntrmyAgt1&gt;
      &lt;IntrmyAgt2&gt;
        &lt;FinInstnId&gt;
          &lt;PstlAdr&gt;
            &lt;Ctry&gt;IR&lt;/Ctry&gt;
          &lt;/PstlAdr&gt;
        &lt;/FinInstnId&gt;
        &lt;BrnchId&gt;
          &lt;PstlAdr&gt;
            &lt;Ctry&gt;IR&lt;/Ctry&gt;
          &lt;/PstlAdr&gt;
        &lt;/BrnchId&gt;
      &lt;/IntrmyAgt2&gt;
      &lt;IntrmyAgt3&gt;
        &lt;FinInstnId&gt;
          &lt;PstlAdr&gt;
            &lt;Ctry&gt;IR&lt;/Ctry&gt;
          &lt;/PstlAdr&gt;
        &lt;/FinInstnId&gt;
        &lt;BrnchId&gt;
          &lt;PstlAdr&gt;
            &lt;Ctry&gt;IR&lt;/Ctry&gt;
          &lt;/PstlAdr&gt;
        &lt;/BrnchId&gt;
      &lt;/IntrmyAgt3&gt;
      &lt;UltmtDbtr&gt;
        &lt;PstlAdr&gt;
          &lt;Ctry&gt;IR&lt;/Ctry&gt;
        &lt;/PstlAdr&gt;
        &lt;Id&gt;
          &lt;PrvtId&gt;
            &lt;DtAndPlcOfBirth&gt;
              &lt;BirthDt&gt;1990-01-01&lt;/BirthDt&gt;
              &lt;CityOfBirth&gt;ABCD1234 CITY&lt;/CityOfBirth&gt;
              &lt;CtryOfBirth&gt;IR&lt;/CtryOfBirth&gt;
            &lt;/DtAndPlcOfBirth&gt;
          &lt;/PrvtId&gt;
        &lt;/Id&gt;
        &lt;CtryOfRes&gt;IR&lt;/CtryOfRes&gt;
      &lt;/UltmtDbtr&gt;
      &lt;InitgPty&gt;
        &lt;PstlAdr&gt;
          &lt;Ctry&gt;IR&lt;/Ctry&gt;
        &lt;/PstlAdr&gt;
        &lt;Id&gt;
          &lt;PrvtId&gt;
            &lt;DtAndPlcOfBirth&gt;
              &lt;BirthDt&gt;1990-01-01&lt;/BirthDt&gt;
              &lt;CityOfBirth&gt;ABCD1234 CITY&lt;/CityOfBirth&gt;
              &lt;CtryOfBirth&gt;IR&lt;/CtryOfBirth&gt;
            &lt;/DtAndPlcOfBirth&gt;
          &lt;/PrvtId&gt;
        &lt;/Id&gt;
        &lt;CtryOfRes&gt;IR&lt;/CtryOfRes&gt;
      &lt;/InitgPty&gt;
      &lt;Dbtr&gt;
        &lt;PstlAdr&gt;
          &lt;Ctry&gt;IR&lt;/Ctry&gt;
        &lt;/PstlAdr&gt;
        &lt;Id&gt;
          &lt;PrvtId&gt;
            &lt;DtAndPlcOfBirth&gt;
              &lt;BirthDt&gt;1990-01-01&lt;/BirthDt&gt;
              &lt;CityOfBirth&gt;ABCD1234 CITY&lt;/CityOfBirth&gt;
              &lt;CtryOfBirth&gt;IR&lt;/CtryOfBirth&gt;
            &lt;/DtAndPlcOfBirth&gt;
          &lt;/PrvtId&gt;
        &lt;/Id&gt;
        &lt;CtryOfRes&gt;IR&lt;/CtryOfRes&gt;
      &lt;/Dbtr&gt;
      &lt;DbtrAgt&gt;
        &lt;FinInstnId&gt;
          &lt;PstlAdr&gt;
            &lt;Ctry&gt;IR&lt;/Ctry&gt;
          &lt;/PstlAdr&gt;
        &lt;/FinInstnId&gt;
        &lt;BrnchId&gt;
          &lt;PstlAdr&gt;
            &lt;Ctry&gt;IR&lt;/Ctry&gt;
          &lt;/PstlAdr&gt;
        &lt;/BrnchId&gt;
      &lt;/DbtrAgt&gt;
      &lt;CdtrAgt&gt;
        &lt;FinInstnId&gt;
          &lt;PstlAdr&gt;
            &lt;Ctry&gt;IR&lt;/Ctry&gt;
          &lt;/PstlAdr&gt;
        &lt;/FinInstnId&gt;
        &lt;BrnchId&gt;
          &lt;PstlAdr&gt;
            &lt;Ctry&gt;IR&lt;/Ctry&gt;
          &lt;/PstlAdr&gt;
        &lt;/BrnchId&gt;
      &lt;/CdtrAgt&gt;
      &lt;Cdtr&gt;
        &lt;PstlAdr&gt;
          &lt;Ctry&gt;IR&lt;/Ctry&gt;
        &lt;/PstlAdr&gt;
        &lt;Id&gt;
          &lt;PrvtId&gt;
            &lt;DtAndPlcOfBirth&gt;
              &lt;BirthDt&gt;1990-01-01&lt;/BirthDt&gt;
              &lt;CityOfBirth&gt;ABCD1234 CITY&lt;/CityOfBirth&gt;
              &lt;CtryOfBirth&gt;IR&lt;/CtryOfBirth&gt;
            &lt;/DtAndPlcOfBirth&gt;
          &lt;/PrvtId&gt;
        &lt;/Id&gt;
        &lt;CtryOfRes&gt;IR&lt;/CtryOfRes&gt;
      &lt;/Cdtr&gt;
      &lt;UltmtCdtr&gt;
        &lt;PstlAdr&gt;
          &lt;Ctry&gt;IR&lt;/Ctry&gt;
        &lt;/PstlAdr&gt;
        &lt;Id&gt;
          &lt;PrvtId&gt;
            &lt;DtAndPlcOfBirth&gt;
              &lt;BirthDt&gt;1990-01-01&lt;/BirthDt&gt;
              &lt;CityOfBirth&gt;ABCD1234 CITY&lt;/CityOfBirth&gt;
              &lt;CtryOfBirth&gt;IR&lt;/CtryOfBirth&gt;
            &lt;/DtAndPlcOfBirth&gt;
          &lt;/PrvtId&gt;
        &lt;/Id&gt;
        &lt;CtryOfRes&gt;IR&lt;/CtryOfRes&gt;
      &lt;/UltmtCdtr&gt;
      &lt;RltdRmtInf&gt;
        &lt;RmtLctnDtls&gt;
          &lt;Mtd&gt;POST&lt;/Mtd&gt;
          &lt;PstlAdr&gt;
            &lt;Nm&gt;ABCD1234 NAME&lt;/Nm&gt;
            &lt;Adr&gt;
              &lt;Ctry&gt;IR&lt;/Ctry&gt;
            &lt;/Adr&gt;
          &lt;/PstlAdr&gt;
        &lt;/RmtLctnDtls&gt;
      &lt;/RltdRmtInf&gt;
      &lt;RmtInf&gt;
        &lt;Strd&gt;
          &lt;Invcr&gt;
            &lt;PstlAdr&gt;
              &lt;Ctry&gt;IR&lt;/Ctry&gt;
            &lt;/PstlAdr&gt;
            &lt;Id&gt;
              &lt;PrvtId&gt;
                &lt;DtAndPlcOfBirth&gt;
                  &lt;BirthDt&gt;1990-01-01&lt;/BirthDt&gt;
                  &lt;CityOfBirth&gt;ABCD1234 CITY&lt;/CityOfBirth&gt;
                  &lt;CtryOfBirth&gt;IR&lt;/CtryOfBirth&gt;
                &lt;/DtAndPlcOfBirth&gt;
              &lt;/PrvtId&gt;
            &lt;/Id&gt;
            &lt;CtryOfRes&gt;IR&lt;/CtryOfRes&gt;
          &lt;/Invcr&gt;
          &lt;Invcee&gt;
            &lt;PstlAdr&gt;
              &lt;Ctry&gt;IR&lt;/Ctry&gt;
            &lt;/PstlAdr&gt;
            &lt;Id&gt;
              &lt;PrvtId&gt;
                &lt;DtAndPlcOfBirth&gt;
                  &lt;BirthDt&gt;1990-01-01&lt;/BirthDt&gt;
                  &lt;CityOfBirth&gt;ABCD1234 CITY&lt;/CityOfBirth&gt;
                  &lt;CtryOfBirth&gt;IR&lt;/CtryOfBirth&gt;
                &lt;/DtAndPlcOfBirth&gt;
              &lt;/PrvtId&gt;
            &lt;/Id&gt;
            &lt;CtryOfRes&gt;IR&lt;/CtryOfRes&gt;
          &lt;/Invcee&gt;
          &lt;GrnshmtRmt&gt;
            &lt;Tp&gt;
              &lt;CdOrPrtry&gt;
                &lt;Prtry&gt;GARNISHMENT&lt;/Prtry&gt;
              &lt;/CdOrPrtry&gt;
            &lt;/Tp&gt;
            &lt;Grnshee&gt;
              &lt;PstlAdr&gt;
                &lt;Ctry&gt;IR&lt;/Ctry&gt;
              &lt;/PstlAdr&gt;
              &lt;Id&gt;
                &lt;PrvtId&gt;
                  &lt;DtAndPlcOfBirth&gt;
                    &lt;BirthDt&gt;1990-01-01&lt;/BirthDt&gt;
                    &lt;CityOfBirth&gt;ABCD1234 CITY&lt;/CityOfBirth&gt;
                    &lt;CtryOfBirth&gt;IR&lt;/CtryOfBirth&gt;
                  &lt;/DtAndPlcOfBirth&gt;
                &lt;/PrvtId&gt;
              &lt;/Id&gt;
              &lt;CtryOfRes&gt;IR&lt;/CtryOfRes&gt;
            &lt;/Grnshee&gt;
            &lt;GrnshmtAdmstr&gt;
              &lt;PstlAdr&gt;
                &lt;Ctry&gt;IR&lt;/Ctry&gt;
              &lt;/PstlAdr&gt;
              &lt;Id&gt;
                &lt;PrvtId&gt;
                  &lt;DtAndPlcOfBirth&gt;
                    &lt;BirthDt&gt;1990-01-01&lt;/BirthDt&gt;
                    &lt;CityOfBirth&gt;ABCD1234 CITY&lt;/CityOfBirth&gt;
                    &lt;CtryOfBirth&gt;IR&lt;/CtryOfBirth&gt;
                  &lt;/DtAndPlcOfBirth&gt;
                &lt;/PrvtId&gt;
              &lt;/Id&gt;
              &lt;CtryOfRes&gt;IR&lt;/CtryOfRes&gt;
            &lt;/GrnshmtAdmstr&gt;
          &lt;/GrnshmtRmt&gt;
        &lt;/Strd&gt;
      &lt;/RmtInf&gt;
    &lt;/CdtTrfTxInf&gt;
  &lt;/FIToFICstmrCdtTrf&gt;
&lt;/Document&gt;</t>
  </si>
  <si>
    <t>2. Hệ thống trả kết quả: HIT với Webservice Country and City
Câu query kiểm tra kết quả (KET_QUA = HIT):
SELECT CASE
         WHEN COUNT(*) = 60 THEN 'HIT'
         ELSE 'NO HIT'
       END AS KET_QUA
FROM (
    SELECT T.N_WEBSERVICE_ID,
           REGEXP_REPLACE(TO_CHAR(T.X_PATH), '\[\d+\]', '') AS X_PATH
    FROM FSI_RT_XML_WLS_RESPONSE T
    WHERE T.N_GRP_MSG_ID = :N_GRP_MSG_ID
      AND T.N_WEBSERVICE_ID = 3
      AND REGEXP_REPLACE(TO_CHAR(T.X_PATH), '\[\d+\]', '') IN (
'Document/FIToFICstmrCdtTrf/GrpHdr/SttlmInf/InstgRmbrsmntAgt/FinInstnId/PstlAdr/Ctry',
'Document/FIToFICstmrCdtTrf/GrpHdr/SttlmInf/InstgRmbrsmntAgt/BrnchId/PstlAdr/Ctry',
'Document/FIToFICstmrCdtTrf/GrpHdr/SttlmInf/InstdRmbrsmntAgt/FinInstnId/PstlAdr/Ctry',
'Document/FIToFICstmrCdtTrf/GrpHdr/SttlmInf/InstdRmbrsmntAgt/BrnchId/PstlAdr/Ctry',
'Document/FIToFICstmrCdtTrf/GrpHdr/SttlmInf/ThrdRmbrsmntAgt/FinInstnId/PstlAdr/Ctry',
'Document/FIToFICstmrCdtTrf/GrpHdr/SttlmInf/ThrdRmbrsmntAgt/BrnchId/PstlAdr/Ctry',
'Document/FIToFICstmrCdtTrf/GrpHdr/InstgAgt/FinInstnId/PstlAdr/Ctry',
'Document/FIToFICstmrCdtTrf/GrpHdr/InstgAgt/BrnchId/PstlAdr/Ctry',
'Document/FIToFICstmrCdtTrf/GrpHdr/InstdAgt/FinInstnId/PstlAdr/Ctry',
'Document/FIToFICstmrCdtTrf/GrpHdr/InstdAgt/BrnchId/PstlAdr/Ctry',
'Document/FIToFICstmrCdtTrf/CdtTrfTxInf/PrvsInstgAgt1/FinInstnId/PstlAdr/Ctry',
'Document/FIToFICstmrCdtTrf/CdtTrfTxInf/PrvsInstgAgt1/BrnchId/PstlAdr/Ctry',
'Document/FIToFICstmrCdtTrf/CdtTrfTxInf/PrvsInstgAgt2/FinInstnId/PstlAdr/Ctry',
'Document/FIToFICstmrCdtTrf/CdtTrfTxInf/PrvsInstgAgt2/BrnchId/PstlAdr/Ctry',
'Document/FIToFICstmrCdtTrf/CdtTrfTxInf/PrvsInstgAgt3/FinInstnId/PstlAdr/Ctry',
'Document/FIToFICstmrCdtTrf/CdtTrfTxInf/PrvsInstgAgt3/BrnchId/PstlAdr/Ctry',
'Document/FIToFICstmrCdtTrf/CdtTrfTxInf/IntrmyAgt1/FinInstnId/PstlAdr/Ctry',
'Document/FIToFICstmrCdtTrf/CdtTrfTxInf/IntrmyAgt1/BrnchId/PstlAdr/Ctry',
'Document/FIToFICstmrCdtTrf/CdtTrfTxInf/IntrmyAgt2/FinInstnId/PstlAdr/Ctry',
'Document/FIToFICstmrCdtTrf/CdtTrfTxInf/IntrmyAgt2/BrnchId/PstlAdr/Ctry',
'Document/FIToFICstmrCdtTrf/CdtTrfTxInf/IntrmyAgt3/FinInstnId/PstlAdr/Ctry',
'Document/FIToFICstmrCdtTrf/CdtTrfTxInf/IntrmyAgt3/BrnchId/PstlAdr/Ctry',
'Document/FIToFICstmrCdtTrf/CdtTrfTxInf/DbtrAgt/FinInstnId/PstlAdr/Ctry',
'Document/FIToFICstmrCdtTrf/CdtTrfTxInf/DbtrAgt/BrnchId/PstlAdr/Ctry',
'Document/FIToFICstmrCdtTrf/CdtTrfTxInf/CdtrAgt/FinInstnId/PstlAdr/Ctry',
'Document/FIToFICstmrCdtTrf/CdtTrfTxInf/CdtrAgt/BrnchId/PstlAdr/Ctry',
'Document/FIToFICstmrCdtTrf/CdtTrfTxInf/InstgAgt/FinInstnId/PstlAdr/Ctry',
'Document/FIToFICstmrCdtTrf/CdtTrfTxInf/InstgAgt/BrnchId/PstlAdr/Ctry',
'Document/FIToFICstmrCdtTrf/CdtTrfTxInf/InstdAgt/FinInstnId/PstlAdr/Ctry',
'Document/FIToFICstmrCdtTrf/CdtTrfTxInf/InstdAgt/BrnchId/PstlAdr/Ctry',
'Document/FIToFICstmrCdtTrf/CdtTrfTxInf/Cdtr/PstlAdr/Ctry',
'Document/FIToFICstmrCdtTrf/CdtTrfTxInf/Cdtr/Id/PrvtId/DtAndPlcOfBirth/CtryOfBirth',
'Document/FIToFICstmrCdtTrf/CdtTrfTxInf/Cdtr/CtryOfRes',
'Document/FIToFICstmrCdtTrf/CdtTrfTxInf/UltmtCdtr/PstlAdr/Ctry',
'Document/FIToFICstmrCdtTrf/CdtTrfTxInf/UltmtCdtr/Id/PrvtId/DtAndPlcOfBirth/CtryOfBirth',
'Document/FIToFICstmrCdtTrf/CdtTrfTxInf/UltmtCdtr/CtryOfRes',
'Document/FIToFICstmrCdtTrf/CdtTrfTxInf/Dbtr/PstlAdr/Ctry',
'Document/FIToFICstmrCdtTrf/CdtTrfTxInf/Dbtr/Id/PrvtId/DtAndPlcOfBirth/CtryOfBirth',
'Document/FIToFICstmrCdtTrf/CdtTrfTxInf/Dbtr/CtryOfRes',
'Document/FIToFICstmrCdtTrf/CdtTrfTxInf/UltmtDbtr/PstlAdr/Ctry',
'Document/FIToFICstmrCdtTrf/CdtTrfTxInf/UltmtDbtr/Id/PrvtId/DtAndPlcOfBirth/CtryOfBirth',
'Document/FIToFICstmrCdtTrf/CdtTrfTxInf/UltmtDbtr/CtryOfRes',
'Document/FIToFICstmrCdtTrf/CdtTrfTxInf/InitgPty/PstlAdr/Ctry',
'Document/FIToFICstmrCdtTrf/CdtTrfTxInf/InitgPty/Id/PrvtId/DtAndPlcOfBirth/CtryOfBirth',
'Document/FIToFICstmrCdtTrf/CdtTrfTxInf/InitgPty/CtryOfRes',
'Document/FIToFICstmrCdtTrf/CdtTrfTxInf/ChrgsInf/Agt/FinInstnId/PstlAdr/Ctry',
'Document/FIToFICstmrCdtTrf/CdtTrfTxInf/ChrgsInf/Agt/BrnchId/PstlAdr/Ctry',
'Document/FIToFICstmrCdtTrf/CdtTrfTxInf/RltdRmtInf/RmtLctnDtls/PstlAdr/Adr/Ctry',
'Document/FIToFICstmrCdtTrf/CdtTrfTxInf/RmtInf/Strd/Invcr/PstlAdr/Ctry',
'Document/FIToFICstmrCdtTrf/CdtTrfTxInf/RmtInf/Strd/Invcr/Id/PrvtId/DtAndPlcOfBirth/CtryOfBirth',
'Document/FIToFICstmrCdtTrf/CdtTrfTxInf/RmtInf/Strd/Invcr/CtryOfRes',
'Document/FIToFICstmrCdtTrf/CdtTrfTxInf/RmtInf/Strd/Invcee/PstlAdr/Ctry',
'Document/FIToFICstmrCdtTrf/CdtTrfTxInf/RmtInf/Strd/Invcee/Id/PrvtId/DtAndPlcOfBirth/CtryOfBirth',
'Document/FIToFICstmrCdtTrf/CdtTrfTxInf/RmtInf/Strd/Invcee/CtryOfRes',
'Document/FIToFICstmrCdtTrf/CdtTrfTxInf/RmtInf/Strd/GrnshmtRmt/Grnshee/PstlAdr/Ctry',
'Document/FIToFICstmrCdtTrf/CdtTrfTxInf/RmtInf/Strd/GrnshmtRmt/Grnshee/Id/PrvtId/DtAndPlcOfBirth/CtryOfBirth',
'Document/FIToFICstmrCdtTrf/CdtTrfTxInf/RmtInf/Strd/GrnshmtRmt/Grnshee/CtryOfRes',
'Document/FIToFICstmrCdtTrf/CdtTrfTxInf/RmtInf/Strd/GrnshmtRmt/GrnshmtAdmstr/PstlAdr/Ctry',
'Document/FIToFICstmrCdtTrf/CdtTrfTxInf/RmtInf/Strd/GrnshmtRmt/GrnshmtAdmstr/Id/PrvtId/DtAndPlcOfBirth/CtryOfBirth',
'Document/FIToFICstmrCdtTrf/CdtTrfTxInf/RmtInf/Strd/GrnshmtRmt/GrnshmtAdmstr/CtryOfRes'
)
    GROUP BY T.N_WEBSERVICE_ID,
             REGEXP_REPLACE(TO_CHAR(T.X_PATH), '\[\d+\]', '')
    HAVING COUNT(CASE WHEN T.V_MATCHED_LIST_NAME = 'Blacklisted Country' THEN 1 END) &gt; 0
);</t>
  </si>
  <si>
    <t>Pacs008.04</t>
  </si>
  <si>
    <t>Sàng lọc giao dịch Pacs.008 - Identifier - Entity</t>
  </si>
  <si>
    <t>1. Đẩy giao dịch vào API Post Message với trường thông tin có XML path 
/Document/FIToFICstmrCdtTrf/GrpHdr/SttlmInf/InstgRmbrsmntAgt/FinInstnId/Othr/Id
/Document/FIToFICstmrCdtTrf/GrpHdr/SttlmInf/InstdRmbrsmntAgt/FinInstnId/Othr/Id
/Document/FIToFICstmrCdtTrf/GrpHdr/SttlmInf/ThrdRmbrsmntAgt/FinInstnId/Othr/Id
/Document/FIToFICstmrCdtTrf/GrpHdr/InstgAgt/FinInstnId/Othr/Id
/Document/FIToFICstmrCdtTrf/GrpHdr/InstdAgt/FinInstnId/Othr/Id
/Document/FIToFICstmrCdtTrf/CdtTrfTxInf/PrvsInstgAgt1/FinInstnId/Othr/Id
/Document/FIToFICstmrCdtTrf/CdtTrfTxInf/PrvsInstgAgt2/FinInstnId/Othr/Id
/Document/FIToFICstmrCdtTrf/CdtTrfTxInf/PrvsInstgAgt3/FinInstnId/Othr/Id
/Document/FIToFICstmrCdtTrf/CdtTrfTxInf/IntrmyAgt1/FinInstnId/Othr/Id
/Document/FIToFICstmrCdtTrf/CdtTrfTxInf/IntrmyAgt2/FinInstnId/Othr/Id
/Document/FIToFICstmrCdtTrf/CdtTrfTxInf/IntrmyAgt3/FinInstnId/Othr/Id
/Document/FIToFICstmrCdtTrf/CdtTrfTxInf/DbtrAgt/FinInstnId/Othr/Id
/Document/FIToFICstmrCdtTrf/CdtTrfTxInf/CdtrAgt/FinInstnId/Othr/Id
/Document/FIToFICstmrCdtTrf/CdtTrfTxInf/InstgAgt/FinInstnId/Othr/Id
/Document/FIToFICstmrCdtTrf/CdtTrfTxInf/InstdAgt/FinInstnId/Othr/Id
/Document/FIToFICstmrCdtTrf/CdtTrfTxInf/Cdtr/Id/OrgId/Othr/Id
/Document/FIToFICstmrCdtTrf/CdtTrfTxInf/UltmtCdtr/Id/OrgId/Othr/Id
/Document/FIToFICstmrCdtTrf/CdtTrfTxInf/Dbtr/Id/OrgId/Othr/Id
/Document/FIToFICstmrCdtTrf/CdtTrfTxInf/UltmtDbtr/Id/OrgId/Othr/Id
/Document/FIToFICstmrCdtTrf/CdtTrfTxInf/InitgPty/Id/OrgId/Othr/Id
/Document/FIToFICstmrCdtTrf/CdtTrfTxInf/RmtInf/Strd/Invcr/Id/OrgId/Othr/Id
/Document/FIToFICstmrCdtTrf/CdtTrfTxInf/RmtInf/Strd/Invcee/Id/OrgId/Othr/Id
/Document/FIToFICstmrCdtTrf/CdtTrfTxInf/RmtInf/Strd/GrnshmtRmt/Grnshee/Id/OrgId/Othr/Id
/Document/FIToFICstmrCdtTrf/CdtTrfTxInf/RmtInf/Strd/GrnshmtRmt/GrnshmtAdmstr/Id/OrgId/Othr/Id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</si>
  <si>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&lt;MsgId&gt;SUMMITEMBER-MSG-ORG&lt;/MsgId&gt;
      &lt;CreDtTm&gt;2026-07-28T13:31:41&lt;/CreDtTm&gt;
      &lt;NbOfTxs&gt;1&lt;/NbOfTxs&gt;
      &lt;SttlmInf&gt;
        &lt;SttlmMtd&gt;INDA&lt;/SttlmMtd&gt;
        &lt;InstgRmbrsmntAgt&gt;
          &lt;FinInstnId&gt;
            &lt;Othr&gt;
              &lt;Id&gt;0099887766&lt;/Id&gt;
            &lt;/Othr&gt;
          &lt;/FinInstnId&gt;
        &lt;/InstgRmbrsmntAgt&gt;
        &lt;InstdRmbrsmntAgt&gt;
          &lt;FinInstnId&gt;
            &lt;Othr&gt;
              &lt;Id&gt;0099887766&lt;/Id&gt;
            &lt;/Othr&gt;
          &lt;/FinInstnId&gt;
        &lt;/InstdRmbrsmntAgt&gt;
        &lt;ThrdRmbrsmntAgt&gt;
          &lt;FinInstnId&gt;
            &lt;Othr&gt;
              &lt;Id&gt;0099887766&lt;/Id&gt;
            &lt;/Othr&gt;
          &lt;/FinInstnId&gt;
        &lt;/ThrdRmbrsmntAgt&gt;
      &lt;/SttlmInf&gt;
      &lt;InstgAgt&gt;
        &lt;FinInstnId&gt;
          &lt;Othr&gt;
            &lt;Id&gt;0099887766&lt;/Id&gt;
          &lt;/Othr&gt;
        &lt;/FinInstnId&gt;
      &lt;/InstgAgt&gt;
      &lt;InstdAgt&gt;
        &lt;FinInstnId&gt;
          &lt;Othr&gt;
            &lt;Id&gt;0099887766&lt;/Id&gt;
          &lt;/Othr&gt;
        &lt;/FinInstnId&gt;
      &lt;/InstdAgt&gt;
    &lt;/GrpHdr&gt;
    &lt;CdtTrfTxInf&gt;
      &lt;PmtId&gt;
        &lt;EndToEndId&gt;SE-E2E-ORG&lt;/EndToEndId&gt;
      &lt;/PmtId&gt;
      &lt;IntrBkSttlmAmt Ccy="USD"&gt;1000.00&lt;/IntrBkSttlmAmt&gt;
      &lt;ChrgBr&gt;SHAR&lt;/ChrgBr&gt;
      &lt;PrvsInstgAgt1&gt;
        &lt;FinInstnId&gt;
          &lt;Othr&gt;
            &lt;Id&gt;0099887766&lt;/Id&gt;
          &lt;/Othr&gt;
        &lt;/FinInstnId&gt;
      &lt;/PrvsInstgAgt1&gt;
      &lt;PrvsInstgAgt2&gt;
        &lt;FinInstnId&gt;
          &lt;Othr&gt;
            &lt;Id&gt;0099887766&lt;/Id&gt;
          &lt;/Othr&gt;
        &lt;/FinInstnId&gt;
      &lt;/PrvsInstgAgt2&gt;
      &lt;PrvsInstgAgt3&gt;
        &lt;FinInstnId&gt;
          &lt;Othr&gt;
            &lt;Id&gt;0099887766&lt;/Id&gt;
          &lt;/Othr&gt;
        &lt;/FinInstnId&gt;
      &lt;/PrvsInstgAgt3&gt;
      &lt;InstgAgt&gt;
        &lt;FinInstnId&gt;
          &lt;Othr&gt;
            &lt;Id&gt;0099887766&lt;/Id&gt;
          &lt;/Othr&gt;
        &lt;/FinInstnId&gt;
      &lt;/InstgAgt&gt;
      &lt;InstdAgt&gt;
        &lt;FinInstnId&gt;
          &lt;Othr&gt;
            &lt;Id&gt;0099887766&lt;/Id&gt;
          &lt;/Othr&gt;
        &lt;/FinInstnId&gt;
      &lt;/InstdAgt&gt;
      &lt;IntrmyAgt1&gt;
        &lt;FinInstnId&gt;
          &lt;Othr&gt;
            &lt;Id&gt;0099887766&lt;/Id&gt;
          &lt;/Othr&gt;
        &lt;/FinInstnId&gt;
      &lt;/IntrmyAgt1&gt;
      &lt;IntrmyAgt2&gt;
        &lt;FinInstnId&gt;
          &lt;Othr&gt;
            &lt;Id&gt;0099887766&lt;/Id&gt;
          &lt;/Othr&gt;
        &lt;/FinInstnId&gt;
      &lt;/IntrmyAgt2&gt;
      &lt;IntrmyAgt3&gt;
        &lt;FinInstnId&gt;
          &lt;Othr&gt;
            &lt;Id&gt;0099887766&lt;/Id&gt;
          &lt;/Othr&gt;
        &lt;/FinInstnId&gt;
      &lt;/IntrmyAgt3&gt;
      &lt;UltmtDbtr&gt;
        &lt;Id&gt;
          &lt;OrgId&gt;
            &lt;Othr&gt;
              &lt;Id&gt;0099887766&lt;/Id&gt;
            &lt;/Othr&gt;
          &lt;/OrgId&gt;
        &lt;/Id&gt;
      &lt;/UltmtDbtr&gt;
      &lt;InitgPty&gt;
        &lt;Id&gt;
          &lt;OrgId&gt;
            &lt;Othr&gt;
              &lt;Id&gt;0099887766&lt;/Id&gt;
            &lt;/Othr&gt;
          &lt;/OrgId&gt;
        &lt;/Id&gt;
      &lt;/InitgPty&gt;
      &lt;Dbtr&gt;
        &lt;Id&gt;
          &lt;OrgId&gt;
            &lt;Othr&gt;
              &lt;Id&gt;0099887766&lt;/Id&gt;
            &lt;/Othr&gt;
          &lt;/OrgId&gt;
        &lt;/Id&gt;
      &lt;/Dbtr&gt;
      &lt;DbtrAgt&gt;
        &lt;FinInstnId&gt;
          &lt;Othr&gt;
            &lt;Id&gt;0099887766&lt;/Id&gt;
          &lt;/Othr&gt;
        &lt;/FinInstnId&gt;
      &lt;/DbtrAgt&gt;
      &lt;CdtrAgt&gt;
        &lt;FinInstnId&gt;
          &lt;Othr&gt;
            &lt;Id&gt;0099887766&lt;/Id&gt;
          &lt;/Othr&gt;
        &lt;/FinInstnId&gt;
      &lt;/CdtrAgt&gt;
      &lt;Cdtr&gt;
        &lt;Id&gt;
          &lt;OrgId&gt;
            &lt;Othr&gt;
              &lt;Id&gt;0099887766&lt;/Id&gt;
            &lt;/Othr&gt;
          &lt;/OrgId&gt;
        &lt;/Id&gt;
      &lt;/Cdtr&gt;
      &lt;UltmtCdtr&gt;
        &lt;Id&gt;
          &lt;OrgId&gt;
            &lt;Othr&gt;
              &lt;Id&gt;0099887766&lt;/Id&gt;
            &lt;/Othr&gt;
          &lt;/OrgId&gt;
        &lt;/Id&gt;
      &lt;/UltmtCdtr&gt;
      &lt;RmtInf&gt;
        &lt;Strd&gt;
          &lt;Invcr&gt;
            &lt;Id&gt;
              &lt;OrgId&gt;
                &lt;Othr&gt;
                  &lt;Id&gt;0099887766&lt;/Id&gt;
                &lt;/Othr&gt;
              &lt;/OrgId&gt;
            &lt;/Id&gt;
          &lt;/Invcr&gt;
          &lt;Invcee&gt;
            &lt;Id&gt;
              &lt;OrgId&gt;
                &lt;Othr&gt;
                  &lt;Id&gt;0099887766&lt;/Id&gt;
                &lt;/Othr&gt;
              &lt;/OrgId&gt;
            &lt;/Id&gt;
          &lt;/Invcee&gt;
          &lt;GrnshmtRmt&gt;
            &lt;Tp&gt;
              &lt;CdOrPrtry&gt;
                &lt;Prtry&gt;GARNISHMENT&lt;/Prtry&gt;
              &lt;/CdOrPrtry&gt;
            &lt;/Tp&gt;
            &lt;Grnshee&gt;
              &lt;Id&gt;
                &lt;OrgId&gt;
                  &lt;Othr&gt;
                    &lt;Id&gt;0099887766&lt;/Id&gt;
                  &lt;/Othr&gt;
                &lt;/OrgId&gt;
              &lt;/Id&gt;
            &lt;/Grnshee&gt;
            &lt;GrnshmtAdmstr&gt;
              &lt;Id&gt;
                &lt;OrgId&gt;
                  &lt;Othr&gt;
                    &lt;Id&gt;0099887766&lt;/Id&gt;
                  &lt;/Othr&gt;
                &lt;/OrgId&gt;
              &lt;/Id&gt;
            &lt;/GrnshmtAdmstr&gt;
          &lt;/GrnshmtRmt&gt;
        &lt;/Strd&gt;
      &lt;/RmtInf&gt;
    &lt;/CdtTrfTxInf&gt;
  &lt;/FIToFICstmrCdtTrf&gt;
&lt;/Document&gt;</t>
  </si>
  <si>
    <t>2. Hệ thống trả kết quả: HIT với Webservice Identifier loại chủ thể Entity và không HIT với chủ thể Individual, Vessel, Aircraft, Port
Câu query kiểm tra kết quả (KET_QUA = HIT):
SELECT CASE
         WHEN COUNT(*) = 24 THEN 'HIT'
         ELSE 'NO HIT'
       END AS KET_QUA
FROM (
    SELECT T.N_WEBSERVICE_ID,
           REGEXP_REPLACE(TO_CHAR(T.X_PATH), '\[\d+\]', '') AS X_PATH
    FROM FSI_RT_XML_WLS_RESPONSE T
    WHERE T.N_GRP_MSG_ID = :N_GRP_MSG_ID
      AND T.N_WEBSERVICE_ID = 2
      AND REGEXP_REPLACE(TO_CHAR(T.X_PATH), '\[\d+\]', '') IN (
'Document/FIToFICstmrCdtTrf/GrpHdr/SttlmInf/InstgRmbrsmntAgt/FinInstnId/Othr/Id',
'Document/FIToFICstmrCdtTrf/GrpHdr/SttlmInf/InstdRmbrsmntAgt/FinInstnId/Othr/Id',
'Document/FIToFICstmrCdtTrf/GrpHdr/SttlmInf/ThrdRmbrsmntAgt/FinInstnId/Othr/Id',
'Document/FIToFICstmrCdtTrf/GrpHdr/InstgAgt/FinInstnId/Othr/Id',
'Document/FIToFICstmrCdtTrf/GrpHdr/InstdAgt/FinInstnId/Othr/Id',
'Document/FIToFICstmrCdtTrf/CdtTrfTxInf/PrvsInstgAgt1/FinInstnId/Othr/Id',
'Document/FIToFICstmrCdtTrf/CdtTrfTxInf/PrvsInstgAgt2/FinInstnId/Othr/Id',
'Document/FIToFICstmrCdtTrf/CdtTrfTxInf/PrvsInstgAgt3/FinInstnId/Othr/Id',
'Document/FIToFICstmrCdtTrf/CdtTrfTxInf/IntrmyAgt1/FinInstnId/Othr/Id',
'Document/FIToFICstmrCdtTrf/CdtTrfTxInf/IntrmyAgt2/FinInstnId/Othr/Id',
'Document/FIToFICstmrCdtTrf/CdtTrfTxInf/IntrmyAgt3/FinInstnId/Othr/Id',
'Document/FIToFICstmrCdtTrf/CdtTrfTxInf/DbtrAgt/FinInstnId/Othr/Id',
'Document/FIToFICstmrCdtTrf/CdtTrfTxInf/CdtrAgt/FinInstnId/Othr/Id',
'Document/FIToFICstmrCdtTrf/CdtTrfTxInf/InstgAgt/FinInstnId/Othr/Id',
'Document/FIToFICstmrCdtTrf/CdtTrfTxInf/InstdAgt/FinInstnId/Othr/Id',
'Document/FIToFICstmrCdtTrf/CdtTrfTxInf/Cdtr/Id/OrgId/Othr/Id',
'Document/FIToFICstmrCdtTrf/CdtTrfTxInf/UltmtCdtr/Id/OrgId/Othr/Id',
'Document/FIToFICstmrCdtTrf/CdtTrfTxInf/Dbtr/Id/OrgId/Othr/Id',
'Document/FIToFICstmrCdtTrf/CdtTrfTxInf/UltmtDbtr/Id/OrgId/Othr/Id',
'Document/FIToFICstmrCdtTrf/CdtTrfTxInf/InitgPty/Id/OrgId/Othr/Id',
'Document/FIToFICstmrCdtTrf/CdtTrfTxInf/RmtInf/Strd/Invcr/Id/OrgId/Othr/Id',
'Document/FIToFICstmrCdtTrf/CdtTrfTxInf/RmtInf/Strd/Invcee/Id/OrgId/Othr/Id',
'Document/FIToFICstmrCdtTrf/CdtTrfTxInf/RmtInf/Strd/GrnshmtRmt/Grnshee/Id/OrgId/Othr/Id',
'Document/FIToFICstmrCdtTrf/CdtTrfTxInf/RmtInf/Strd/GrnshmtRmt/GrnshmtAdmstr/Id/OrgId/Othr/Id'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</si>
  <si>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Pacs008.05</t>
  </si>
  <si>
    <t>Sàng lọc giao dịch Pacs.008 - Name and Address - Individual, Entity</t>
  </si>
  <si>
    <t>1. Đẩy giao dịch vào API Post Message với trường thông tin có XML path 
/Document/FIToFICstmrCdtTrf/CdtTrfTxInf/Cdtr/Nm
/Document/FIToFICstmrCdtTrf/CdtTrfTxInf/Cdtr/CtctDtls/Nm
/Document/FIToFICstmrCdtTrf/CdtTrfTxInf/UltmtCdtr/Nm
/Document/FIToFICstmrCdtTrf/CdtTrfTxInf/UltmtCdtr/CtctDtls/Nm
/Document/FIToFICstmrCdtTrf/CdtTrfTxInf/Dbtr/Nm
/Document/FIToFICstmrCdtTrf/CdtTrfTxInf/Dbtr/CtctDtls/Nm
/Document/FIToFICstmrCdtTrf/CdtTrfTxInf/UltmtDbtr/Nm
/Document/FIToFICstmrCdtTrf/CdtTrfTxInf/UltmtDbtr/CtctDtls/Nm
/Document/FIToFICstmrCdtTrf/CdtTrfTxInf/InitgPty/Nm
/Document/FIToFICstmrCdtTrf/CdtTrfTxInf/InitgPty/CtctDtls/Nm
/Document/FIToFICstmrCdtTrf/CdtTrfTxInf/RltdRmtInf/RmtLctnDtls/PstlAdr/Nm
/Document/FIToFICstmrCdtTrf/CdtTrfTxInf/RmtInf/Strd/Invcr/Nm
/Document/FIToFICstmrCdtTrf/CdtTrfTxInf/RmtInf/Strd/Invcr/CtctDtls/Nm
/Document/FIToFICstmrCdtTrf/CdtTrfTxInf/RmtInf/Strd/Invcee/Nm
/Document/FIToFICstmrCdtTrf/CdtTrfTxInf/RmtInf/Strd/Invcee/CtctDtls/Nm
/Document/FIToFICstmrCdtTrf/CdtTrfTxInf/RmtInf/Strd/GrnshmtRmt/Grnshee/Nm
/Document/FIToFICstmrCdtTrf/CdtTrfTxInf/RmtInf/Strd/GrnshmtRmt/Grnshee/CtctDtls/Nm
/Document/FIToFICstmrCdtTrf/CdtTrfTxInf/RmtInf/Strd/GrnshmtRmt/GrnshmtAdmstr/Nm
/Document/FIToFICstmrCdtTrf/CdtTrfTxInf/RmtInf/Strd/GrnshmtRmt/GrnshmtAdmstr/CtctDtls/Nm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</si>
  <si>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&lt;MsgId&gt;SUMMITEMBER-MSG-PTY&lt;/MsgId&gt;
      &lt;CreDtTm&gt;2026-07-28T13:31:41&lt;/CreDtTm&gt;
      &lt;NbOfTxs&gt;1&lt;/NbOfTxs&gt;
      &lt;SttlmInf&gt;
        &lt;SttlmMtd&gt;INDA&lt;/SttlmMtd&gt;
      &lt;/SttlmInf&gt;
    &lt;/GrpHdr&gt;
    &lt;CdtTrfTxInf&gt;
      &lt;PmtId&gt;
        &lt;EndToEndId&gt;SE-E2E-PTY&lt;/EndToEndId&gt;
      &lt;/PmtId&gt;
      &lt;IntrBkSttlmAmt Ccy="USD"&gt;1000.00&lt;/IntrBkSttlmAmt&gt;
      &lt;ChrgBr&gt;SHAR&lt;/ChrgBr&gt;
      &lt;UltmtDbtr&gt;
        &lt;Nm&gt;SUMMIT EMBER&lt;/Nm&gt;
        &lt;CtctDtls&gt;
          &lt;Nm&gt;SUMMIT EMBER&lt;/Nm&gt;
        &lt;/CtctDtls&gt;
      &lt;/UltmtDbtr&gt;
      &lt;InitgPty&gt;
        &lt;Nm&gt;SUMMIT EMBER&lt;/Nm&gt;
        &lt;CtctDtls&gt;
          &lt;Nm&gt;SUMMIT EMBER&lt;/Nm&gt;
        &lt;/CtctDtls&gt;
      &lt;/InitgPty&gt;
      &lt;Dbtr&gt;
        &lt;Nm&gt;SUMMIT EMBER&lt;/Nm&gt;
        &lt;CtctDtls&gt;
          &lt;Nm&gt;SUMMIT EMBER&lt;/Nm&gt;
        &lt;/CtctDtls&gt;
      &lt;/Dbtr&gt;
      &lt;DbtrAgt&gt;
        &lt;FinInstnId/&gt;
      &lt;/DbtrAgt&gt;
      &lt;CdtrAgt&gt;
        &lt;FinInstnId/&gt;
      &lt;/CdtrAgt&gt;
      &lt;Cdtr&gt;
        &lt;Nm&gt;SUMMIT EMBER&lt;/Nm&gt;
        &lt;CtctDtls&gt;
          &lt;Nm&gt;SUMMIT EMBER&lt;/Nm&gt;
        &lt;/CtctDtls&gt;
      &lt;/Cdtr&gt;
      &lt;UltmtCdtr&gt;
        &lt;Nm&gt;SUMMIT EMBER&lt;/Nm&gt;
        &lt;CtctDtls&gt;
          &lt;Nm&gt;SUMMIT EMBER&lt;/Nm&gt;
        &lt;/CtctDtls&gt;
      &lt;/UltmtCdtr&gt;
      &lt;RltdRmtInf&gt;
        &lt;RmtLctnDtls&gt;
          &lt;Mtd&gt;POST&lt;/Mtd&gt;
          &lt;PstlAdr&gt;
            &lt;Nm&gt;SUMMIT EMBER&lt;/Nm&gt;
            &lt;Adr&gt;
              &lt;Ctry&gt;US&lt;/Ctry&gt;
            &lt;/Adr&gt;
          &lt;/PstlAdr&gt;
        &lt;/RmtLctnDtls&gt;
      &lt;/RltdRmtInf&gt;
      &lt;RmtInf&gt;
        &lt;Strd&gt;
          &lt;Invcr&gt;
            &lt;Nm&gt;SUMMIT EMBER&lt;/Nm&gt;
            &lt;CtctDtls&gt;
              &lt;Nm&gt;SUMMIT EMBER&lt;/Nm&gt;
            &lt;/CtctDtls&gt;
          &lt;/Invcr&gt;
          &lt;Invcee&gt;
            &lt;Nm&gt;SUMMIT EMBER&lt;/Nm&gt;
            &lt;CtctDtls&gt;
              &lt;Nm&gt;SUMMIT EMBER&lt;/Nm&gt;
            &lt;/CtctDtls&gt;
          &lt;/Invcee&gt;
          &lt;GrnshmtRmt&gt;
            &lt;Tp&gt;
              &lt;CdOrPrtry&gt;
                &lt;Prtry&gt;GARNISHMENT&lt;/Prtry&gt;
              &lt;/CdOrPrtry&gt;
            &lt;/Tp&gt;
            &lt;Grnshee&gt;
              &lt;Nm&gt;SUMMIT EMBER&lt;/Nm&gt;
              &lt;CtctDtls&gt;
                &lt;Nm&gt;SUMMIT EMBER&lt;/Nm&gt;
              &lt;/CtctDtls&gt;
            &lt;/Grnshee&gt;
            &lt;GrnshmtAdmstr&gt;
              &lt;Nm&gt;SUMMIT EMBER&lt;/Nm&gt;
              &lt;CtctDtls&gt;
                &lt;Nm&gt;SUMMIT EMBER&lt;/Nm&gt;
              &lt;/CtctDtls&gt;
            &lt;/GrnshmtAdmstr&gt;
          &lt;/GrnshmtRmt&gt;
        &lt;/Strd&gt;
      &lt;/RmtInf&gt;
    &lt;/CdtTrfTxInf&gt;
  &lt;/FIToFICstmrCdtTrf&gt;
&lt;/Document&gt;</t>
  </si>
  <si>
    <t>2. Hệ thống trả kết quả: HIT với Webservice Name and Address loại chủ thể Individual, Entity và không HIT với chủ thể Vessel, Aircraft, Port
Câu query kiểm tra kết quả (KET_QUA = HIT):
SELECT CASE
         WHEN COUNT(*) = 19 THEN 'HIT'
         ELSE 'NO HIT'
       END AS KET_QUA
FROM (
    SELECT T.N_WEBSERVICE_ID,
           REGEXP_REPLACE(TO_CHAR(T.X_PATH), '\[\d+\]', '') AS X_PATH
    FROM FSI_RT_XML_WLS_RESPONSE T
    WHERE T.N_GRP_MSG_ID = :N_GRP_MSG_ID
      AND T.N_WEBSERVICE_ID = 1
      AND REGEXP_REPLACE(TO_CHAR(T.X_PATH), '\[\d+\]', '') IN (
'Document/FIToFICstmrCdtTrf/CdtTrfTxInf/Cdtr/Nm',
'Document/FIToFICstmrCdtTrf/CdtTrfTxInf/Cdtr/CtctDtls/Nm',
'Document/FIToFICstmrCdtTrf/CdtTrfTxInf/UltmtCdtr/Nm',
'Document/FIToFICstmrCdtTrf/CdtTrfTxInf/UltmtCdtr/CtctDtls/Nm',
'Document/FIToFICstmrCdtTrf/CdtTrfTxInf/Dbtr/Nm',
'Document/FIToFICstmrCdtTrf/CdtTrfTxInf/Dbtr/CtctDtls/Nm',
'Document/FIToFICstmrCdtTrf/CdtTrfTxInf/UltmtDbtr/Nm',
'Document/FIToFICstmrCdtTrf/CdtTrfTxInf/UltmtDbtr/CtctDtls/Nm',
'Document/FIToFICstmrCdtTrf/CdtTrfTxInf/InitgPty/Nm',
'Document/FIToFICstmrCdtTrf/CdtTrfTxInf/InitgPty/CtctDtls/Nm',
'Document/FIToFICstmrCdtTrf/CdtTrfTxInf/RltdRmtInf/RmtLctnDtls/PstlAdr/Nm',
'Document/FIToFICstmrCdtTrf/CdtTrfTxInf/RmtInf/Strd/Invcr/Nm',
'Document/FIToFICstmrCdtTrf/CdtTrfTxInf/RmtInf/Strd/Invcr/CtctDtls/Nm',
'Document/FIToFICstmrCdtTrf/CdtTrfTxInf/RmtInf/Strd/Invcee/Nm',
'Document/FIToFICstmrCdtTrf/CdtTrfTxInf/RmtInf/Strd/Invcee/CtctDtls/Nm',
'Document/FIToFICstmrCdtTrf/CdtTrfTxInf/RmtInf/Strd/GrnshmtRmt/Grnshee/Nm',
'Document/FIToFICstmrCdtTrf/CdtTrfTxInf/RmtInf/Strd/GrnshmtRmt/Grnshee/CtctDtls/Nm',
'Document/FIToFICstmrCdtTrf/CdtTrfTxInf/RmtInf/Strd/GrnshmtRmt/GrnshmtAdmstr/Nm',
'Document/FIToFICstmrCdtTrf/CdtTrfTxInf/RmtInf/Strd/GrnshmtRmt/GrnshmtAdmstr/CtctDtls/Nm'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</si>
  <si>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Pacs008.06</t>
  </si>
  <si>
    <t>Sàng lọc giao dịch Pacs.008 - Identifier - Individual</t>
  </si>
  <si>
    <t>1. Đẩy giao dịch vào API Post Message với trường thông tin có XML path 
/Document/FIToFICstmrCdtTrf/CdtTrfTxInf/Cdtr/Id/PrvtId/Othr/Id
/Document/FIToFICstmrCdtTrf/CdtTrfTxInf/UltmtCdtr/Id/PrvtId/Othr/Id
/Document/FIToFICstmrCdtTrf/CdtTrfTxInf/Dbtr/Id/PrvtId/Othr/Id
/Document/FIToFICstmrCdtTrf/CdtTrfTxInf/UltmtDbtr/Id/PrvtId/Othr/Id
/Document/FIToFICstmrCdtTrf/CdtTrfTxInf/InitgPty/Id/PrvtId/Othr/Id
/Document/FIToFICstmrCdtTrf/CdtTrfTxInf/RmtInf/Strd/Invcr/Id/PrvtId/Othr/Id
/Document/FIToFICstmrCdtTrf/CdtTrfTxInf/RmtInf/Strd/Invcee/Id/PrvtId/Othr/Id
/Document/FIToFICstmrCdtTrf/CdtTrfTxInf/RmtInf/Strd/GrnshmtRmt/Grnshee/Id/PrvtId/Othr/Id
/Document/FIToFICstmrCdtTrf/CdtTrfTxInf/RmtInf/Strd/GrnshmtRmt/GrnshmtAdmstr/Id/PrvtId/Othr/Id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</si>
  <si>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&lt;MsgId&gt;SUMMITEMBER-MSG-PRV&lt;/MsgId&gt;
      &lt;CreDtTm&gt;2026-07-28T13:31:41&lt;/CreDtTm&gt;
      &lt;NbOfTxs&gt;1&lt;/NbOfTxs&gt;
      &lt;SttlmInf&gt;
        &lt;SttlmMtd&gt;INDA&lt;/SttlmMtd&gt;
      &lt;/SttlmInf&gt;
    &lt;/GrpHdr&gt;
    &lt;CdtTrfTxInf&gt;
      &lt;PmtId&gt;
        &lt;EndToEndId&gt;SE-E2E-PRV&lt;/EndToEndId&gt;
      &lt;/PmtId&gt;
      &lt;IntrBkSttlmAmt Ccy="USD"&gt;1000.00&lt;/IntrBkSttlmAmt&gt;
      &lt;ChrgBr&gt;SHAR&lt;/ChrgBr&gt;
      &lt;UltmtDbtr&gt;
        &lt;Id&gt;
          &lt;PrvtId&gt;
            &lt;Othr&gt;
              &lt;Id&gt;0099887766&lt;/Id&gt;
            &lt;/Othr&gt;
          &lt;/PrvtId&gt;
        &lt;/Id&gt;
      &lt;/UltmtDbtr&gt;
      &lt;InitgPty&gt;
        &lt;Id&gt;
          &lt;PrvtId&gt;
            &lt;Othr&gt;
              &lt;Id&gt;0099887766&lt;/Id&gt;
            &lt;/Othr&gt;
          &lt;/PrvtId&gt;
        &lt;/Id&gt;
      &lt;/InitgPty&gt;
      &lt;Dbtr&gt;
        &lt;Id&gt;
          &lt;PrvtId&gt;
            &lt;Othr&gt;
              &lt;Id&gt;0099887766&lt;/Id&gt;
            &lt;/Othr&gt;
          &lt;/PrvtId&gt;
        &lt;/Id&gt;
      &lt;/Dbtr&gt;
      &lt;DbtrAgt&gt;
        &lt;FinInstnId/&gt;
      &lt;/DbtrAgt&gt;
      &lt;CdtrAgt&gt;
        &lt;FinInstnId/&gt;
      &lt;/CdtrAgt&gt;
      &lt;Cdtr&gt;
        &lt;Id&gt;
          &lt;PrvtId&gt;
            &lt;Othr&gt;
              &lt;Id&gt;0099887766&lt;/Id&gt;
            &lt;/Othr&gt;
          &lt;/PrvtId&gt;
        &lt;/Id&gt;
      &lt;/Cdtr&gt;
      &lt;UltmtCdtr&gt;
        &lt;Id&gt;
          &lt;PrvtId&gt;
            &lt;Othr&gt;
              &lt;Id&gt;0099887766&lt;/Id&gt;
            &lt;/Othr&gt;
          &lt;/PrvtId&gt;
        &lt;/Id&gt;
      &lt;/UltmtCdtr&gt;
      &lt;RmtInf&gt;
        &lt;Strd&gt;
          &lt;Invcr&gt;
            &lt;Id&gt;
              &lt;PrvtId&gt;
                &lt;Othr&gt;
                  &lt;Id&gt;0099887766&lt;/Id&gt;
                &lt;/Othr&gt;
              &lt;/PrvtId&gt;
            &lt;/Id&gt;
          &lt;/Invcr&gt;
          &lt;Invcee&gt;
            &lt;Id&gt;
              &lt;PrvtId&gt;
                &lt;Othr&gt;
                  &lt;Id&gt;0099887766&lt;/Id&gt;
                &lt;/Othr&gt;
              &lt;/PrvtId&gt;
            &lt;/Id&gt;
          &lt;/Invcee&gt;
          &lt;GrnshmtRmt&gt;
            &lt;Tp&gt;
              &lt;CdOrPrtry&gt;
                &lt;Prtry&gt;GARNISHMENT&lt;/Prtry&gt;
              &lt;/CdOrPrtry&gt;
            &lt;/Tp&gt;
            &lt;Grnshee&gt;
              &lt;Id&gt;
                &lt;PrvtId&gt;
                  &lt;Othr&gt;
                    &lt;Id&gt;0099887766&lt;/Id&gt;
                  &lt;/Othr&gt;
                &lt;/PrvtId&gt;
              &lt;/Id&gt;
            &lt;/Grnshee&gt;
            &lt;GrnshmtAdmstr&gt;
              &lt;Id&gt;
                &lt;PrvtId&gt;
                  &lt;Othr&gt;
                    &lt;Id&gt;0099887766&lt;/Id&gt;
                  &lt;/Othr&gt;
                &lt;/PrvtId&gt;
              &lt;/Id&gt;
            &lt;/GrnshmtAdmstr&gt;
          &lt;/GrnshmtRmt&gt;
        &lt;/Strd&gt;
      &lt;/RmtInf&gt;
    &lt;/CdtTrfTxInf&gt;
  &lt;/FIToFICstmrCdtTrf&gt;
&lt;/Document&gt;</t>
  </si>
  <si>
    <t>2. Hệ thống trả kết quả: HIT với Webservice Identifier loại chủ thể Individual và không HIT với chủ thể Entity, Vessel, Aircraft, Port
Câu query kiểm tra kết quả (KET_QUA = HIT):
SELECT CASE
         WHEN COUNT(*) = 9 THEN 'HIT'
         ELSE 'NO HIT'
       END AS KET_QUA
FROM (
    SELECT T.N_WEBSERVICE_ID,
           REGEXP_REPLACE(TO_CHAR(T.X_PATH), '\[\d+\]', '') AS X_PATH
    FROM FSI_RT_XML_WLS_RESPONSE T
    WHERE T.N_GRP_MSG_ID = :N_GRP_MSG_ID
      AND T.N_WEBSERVICE_ID = 2
      AND REGEXP_REPLACE(TO_CHAR(T.X_PATH), '\[\d+\]', '') IN (
'Document/FIToFICstmrCdtTrf/CdtTrfTxInf/Cdtr/Id/PrvtId/Othr/Id',
'Document/FIToFICstmrCdtTrf/CdtTrfTxInf/UltmtCdtr/Id/PrvtId/Othr/Id',
'Document/FIToFICstmrCdtTrf/CdtTrfTxInf/Dbtr/Id/PrvtId/Othr/Id',
'Document/FIToFICstmrCdtTrf/CdtTrfTxInf/UltmtDbtr/Id/PrvtId/Othr/Id',
'Document/FIToFICstmrCdtTrf/CdtTrfTxInf/InitgPty/Id/PrvtId/Othr/Id',
'Document/FIToFICstmrCdtTrf/CdtTrfTxInf/RmtInf/Strd/Invcr/Id/PrvtId/Othr/Id',
'Document/FIToFICstmrCdtTrf/CdtTrfTxInf/RmtInf/Strd/Invcee/Id/PrvtId/Othr/Id',
'Document/FIToFICstmrCdtTrf/CdtTrfTxInf/RmtInf/Strd/GrnshmtRmt/Grnshee/Id/PrvtId/Othr/Id',
'Document/FIToFICstmrCdtTrf/CdtTrfTxInf/RmtInf/Strd/GrnshmtRmt/GrnshmtAdmstr/Id/PrvtId/Othr/Id'
)
    GROUP BY T.N_WEBSERVICE_ID,
             REGEXP_REPLACE(TO_CHAR(T.X_PATH), '\[\d+\]', '')
    HAVING COUNT(CASE WHEN UPPER(T.V_MATCHED_TYPE) = 'ENTITY' THEN 1 END) = 0
       AND COUNT(CASE WHEN UPPER(T.V_MATCHED_TYPE) = 'INDIVIDUAL' THEN 1 END) &gt; 0
       AND COUNT(CASE WHEN UPPER(T.V_MATCHED_TYPE) = 'VESSEL' THEN 1 END) = 0
       AND COUNT(CASE WHEN UPPER(T.V_MATCHED_TYPE) = 'AIRCRAFT' THEN 1 END) = 0
       AND COUNT(CASE WHEN UPPER(T.V_MATCHED_TYPE) = 'PORT' THEN 1 END) = 0
);</t>
  </si>
  <si>
    <t>Pacs008.07</t>
  </si>
  <si>
    <t>Sàng lọc giao dịch Pacs.008 - Narrative - All</t>
  </si>
  <si>
    <t>1. Đẩy giao dịch vào API Post Message với trường thông tin có XML path /Document/FIToFICstmrCdtTrf/CdtTrfTxInf/RmtInf/Ustrd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</si>
  <si>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xmlns="urn:iso:std:iso:20022:tech:xsd:pacs.008.001.08"&gt;
  &lt;FIToFICstmrCdtTrf&gt;
    &lt;GrpHdr&gt;
      &lt;MsgId&gt;REF2607240001&lt;/MsgId&gt;
      &lt;CreDtTm&gt;2026-07-24T10:00:00&lt;/CreDtTm&gt;
      &lt;NbOfTxs&gt;1&lt;/NbOfTxs&gt;
      &lt;SttlmInf&gt;
        &lt;SttlmMtd&gt;INDA&lt;/SttlmMtd&gt;
      &lt;/SttlmInf&gt;
    &lt;/GrpHdr&gt;
    &lt;CdtTrfTxInf&gt;
      &lt;PmtId&gt;
        &lt;EndToEndId&gt;REF2607240001&lt;/EndToEndId&gt;
      &lt;/PmtId&gt;
      &lt;IntrBkSttlmAmt Ccy="USD"&gt;50000.00&lt;/IntrBkSttlmAmt&gt;
      &lt;ChrgBr&gt;DEBT&lt;/ChrgBr&gt;
      &lt;Dbtr&gt;
        &lt;Nm&gt;MEKONG TRADING JOINT STOCK CO&lt;/Nm&gt;
      &lt;/Dbtr&gt;
      &lt;DbtrAgt&gt;
        &lt;FinInstnId&gt;
          &lt;BICFI&gt;MCOBVNVX&lt;/BICFI&gt;
        &lt;/FinInstnId&gt;
      &lt;/DbtrAgt&gt;
      &lt;CdtrAgt&gt;
        &lt;FinInstnId&gt;
          &lt;BICFI&gt;SCBLSGSG&lt;/BICFI&gt;
        &lt;/FinInstnId&gt;
      &lt;/CdtrAgt&gt;
      &lt;Cdtr&gt;
        &lt;Nm&gt;SUNRISE IMPORT EXPORT PTE LTD&lt;/Nm&gt;
      &lt;/Cdtr&gt;
      &lt;RmtInf&gt;
        &lt;Ustrd&gt;0099887766&lt;/Ustrd&gt;
      &lt;/RmtInf&gt;
    &lt;/CdtTrfTxInf&gt;
  &lt;/FIToFICstmrCdtTrf&gt;
&lt;/Document&gt;</t>
  </si>
  <si>
    <t>2. Hệ thống trả kết quả: HIT với Webservice Narrative loại chủ thể Individual, Entity, Port, Vessel, Aircraft và danh sách Stop Keywords
Câu query kiểm tra kết quả (KET_QUA = HIT):
SELECT CASE
         WHEN COUNT(*) = 1 THEN 'HIT'
         ELSE 'NO HIT'
       END AS KET_QUA
FROM (
    SELECT T.N_WEBSERVICE_ID,
           REGEXP_REPLACE(TO_CHAR(T.X_PATH), '\[\d+\]', '') AS X_PATH
    FROM FSI_RT_XML_WLS_RESPONSE T
    WHERE T.N_GRP_MSG_ID = :N_GRP_MSG_ID
      AND T.N_WEBSERVICE_ID = 4
      AND REGEXP_REPLACE(TO_CHAR(T.X_PATH), '\[\d+\]', '') IN (
'Document/FIToFICstmrCdtTrf/CdtTrfTxInf/RmtInf/Ustrd'
)
    GROUP BY T.N_WEBSERVICE_ID,
             REGEXP_REPLACE(TO_CHAR(T.X_PATH),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</si>
  <si>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Pacs.009</t>
  </si>
  <si>
    <t>Pacs.009</t>
  </si>
  <si>
    <t>Pacs009.01</t>
  </si>
  <si>
    <t>Sàng lọc giao dịch Pacs.009 - Identifier, Name and Address, Country and City - Entity</t>
  </si>
  <si>
    <t>1. Đẩy giao dịch vào API Post Message với trường thông tin có XML path 
/Document/FICdtTrf/GrpHdr/SttlmInf/InstgRmbrsmntAgt/FinInstnId/BICFI
/Document/FICdtTrf/GrpHdr/SttlmInf/InstgRmbrsmntAgt/BrnchId/Id
/Document/FICdtTrf/GrpHdr/SttlmInf/InstdRmbrsmntAgt/FinInstnId/BICFI
/Document/FICdtTrf/GrpHdr/SttlmInf/InstdRmbrsmntAgt/BrnchId/Id
/Document/FICdtTrf/GrpHdr/SttlmInf/ThrdRmbrsmntAgt/FinInstnId/BICFI
/Document/FICdtTrf/GrpHdr/SttlmInf/ThrdRmbrsmntAgt/BrnchId/Id
/Document/FICdtTrf/GrpHdr/InstgAgt/FinInstnId/BICFI
/Document/FICdtTrf/GrpHdr/InstgAgt/BrnchId/Id
/Document/FICdtTrf/GrpHdr/InstdAgt/FinInstnId/BICFI
/Document/FICdtTrf/GrpHdr/InstdAgt/BrnchId/Id
/Document/FICdtTrf/CdtTrfTxInf/PrvsInstgAgt1/FinInstnId/BICFI
/Document/FICdtTrf/CdtTrfTxInf/PrvsInstgAgt1/BrnchId/Id
/Document/FICdtTrf/CdtTrfTxInf/PrvsInstgAgt2/FinInstnId/BICFI
/Document/FICdtTrf/CdtTrfTxInf/PrvsInstgAgt2/BrnchId/Id
/Document/FICdtTrf/CdtTrfTxInf/PrvsInstgAgt3/FinInstnId/BICFI
/Document/FICdtTrf/CdtTrfTxInf/PrvsInstgAgt3/BrnchId/Id
/Document/FICdtTrf/CdtTrfTxInf/IntrmyAgt1/FinInstnId/BICFI
/Document/FICdtTrf/CdtTrfTxInf/IntrmyAgt1/BrnchId/Id
/Document/FICdtTrf/CdtTrfTxInf/IntrmyAgt2/FinInstnId/BICFI
/Document/FICdtTrf/CdtTrfTxInf/IntrmyAgt2/BrnchId/Id
/Document/FICdtTrf/CdtTrfTxInf/IntrmyAgt3/FinInstnId/BICFI
/Document/FICdtTrf/CdtTrfTxInf/IntrmyAgt3/BrnchId/Id
/Document/FICdtTrf/CdtTrfTxInf/DbtrAgt/FinInstnId/BICFI
/Document/FICdtTrf/CdtTrfTxInf/DbtrAgt/BrnchId/Id
/Document/FICdtTrf/CdtTrfTxInf/CdtrAgt/FinInstnId/BICFI
/Document/FICdtTrf/CdtTrfTxInf/CdtrAgt/BrnchId/Id
/Document/FICdtTrf/CdtTrfTxInf/InstgAgt/FinInstnId/BICFI
/Document/FICdtTrf/CdtTrfTxInf/InstgAgt/BrnchId/Id
/Document/FICdtTrf/CdtTrfTxInf/InstdAgt/FinInstnId/BICFI
/Document/FICdtTrf/CdtTrfTxInf/InstdAgt/BrnchId/Id
/Document/FICdtTrf/CdtTrfTxInf/UndrlygCstmrCdtTrf/DbtrAgt/FinInstnId/BICFI
/Document/FICdtTrf/CdtTrfTxInf/UndrlygCstmrCdtTrf/DbtrAgt/BrnchId/Id
/Document/FICdtTrf/CdtTrfTxInf/UndrlygCstmrCdtTrf/PrvsInstgAgt1/FinInstnId/BICFI
/Document/FICdtTrf/CdtTrfTxInf/UndrlygCstmrCdtTrf/PrvsInstgAgt1/BrnchId/Id
/Document/FICdtTrf/CdtTrfTxInf/UndrlygCstmrCdtTrf/PrvsInstgAgt2/FinInstnId/BICFI
/Document/FICdtTrf/CdtTrfTxInf/UndrlygCstmrCdtTrf/PrvsInstgAgt2/BrnchId/Id
/Document/FICdtTrf/CdtTrfTxInf/UndrlygCstmrCdtTrf/PrvsInstgAgt3/FinInstnId/BICFI
/Document/FICdtTrf/CdtTrfTxInf/UndrlygCstmrCdtTrf/PrvsInstgAgt3/BrnchId/Id
/Document/FICdtTrf/CdtTrfTxInf/UndrlygCstmrCdtTrf/IntrmyAgt1/FinInstnId/BICFI
/Document/FICdtTrf/CdtTrfTxInf/UndrlygCstmrCdtTrf/IntrmyAgt1/BrnchId/Id
/Document/FICdtTrf/CdtTrfTxInf/UndrlygCstmrCdtTrf/IntrmyAgt2/FinInstnId/BICFI
/Document/FICdtTrf/CdtTrfTxInf/UndrlygCstmrCdtTrf/IntrmyAgt2/BrnchId/Id
/Document/FICdtTrf/CdtTrfTxInf/UndrlygCstmrCdtTrf/IntrmyAgt3/FinInstnId/BICFI
/Document/FICdtTrf/CdtTrfTxInf/UndrlygCstmrCdtTrf/IntrmyAgt3/BrnchId/Id
/Document/FICdtTrf/CdtTrfTxInf/UndrlygCstmrCdtTrf/CdtrAgt/FinInstnId/BICFI
/Document/FICdtTrf/CdtTrfTxInf/UndrlygCstmrCdtTrf/CdtrAgt/BrnchId/Id
/Document/FICdtTrf/CdtTrfTxInf/Cdtr/FinInstnId/BICFI
/Document/FICdtTrf/CdtTrfTxInf/Cdtr/BrnchId/Id
/Document/FICdtTrf/CdtTrfTxInf/UltmtCdtr/FinInstnId/BICFI
/Document/FICdtTrf/CdtTrfTxInf/UltmtCdtr/BrnchId/Id
/Document/FICdtTrf/CdtTrfTxInf/UndrlygCstmrCdtTrf/Cdtr/Id/OrgId/AnyBIC
/Document/FICdtTrf/CdtTrfTxInf/UndrlygCstmrCdtTrf/UltmtCdtr/Id/OrgId/AnyBIC
/Document/FICdtTrf/CdtTrfTxInf/Dbtr/FinInstnId/BICFI
/Document/FICdtTrf/CdtTrfTxInf/Dbtr/BrnchId/Id
/Document/FICdtTrf/CdtTrfTxInf/UltmtDbtr/FinInstnId/BICFI
/Document/FICdtTrf/CdtTrfTxInf/UltmtDbtr/BrnchId/Id
/Document/FICdtTrf/CdtTrfTxInf/UndrlygCstmrCdtTrf/Dbtr/Id/OrgId/AnyBIC
/Document/FICdtTrf/CdtTrfTxInf/UndrlygCstmrCdtTrf/UltmtDbtr/Id/OrgId/AnyBIC
/Document/FICdtTrf/CdtTrfTxInf/UndrlygCstmrCdtTrf/InitgPty/Id/OrgId/AnyBIC
/Document/FICdtTrf/CdtTrfTxInf/UndrlygCstmrCdtTrf/RmtInf/Strd/Invcr/Id/OrgId/AnyBIC
/Document/FICdtTrf/CdtTrfTxInf/UndrlygCstmrCdtTrf/RmtInf/Strd/Invcee/Id/OrgId/AnyBIC
/Document/FICdtTrf/CdtTrfTxInf/UndrlygCstmrCdtTrf/RmtInf/Strd/GrnshmtRmt/Grnshee/Id/OrgId/AnyBIC
/Document/FICdtTrf/CdtTrfTxInf/UndrlygCstmrCdtTrf/RmtInf/Strd/GrnshmtRmt/GrnshmtAdmstr/Id/OrgId/AnyBIC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</si>
  <si>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&lt;MsgId&gt;SUMMITEMBER-MSG-009&lt;/MsgId&gt;
      &lt;CreDtTm&gt;2026-07-28T13:31:41&lt;/CreDtTm&gt;
      &lt;NbOfTxs&gt;1&lt;/NbOfTxs&gt;
      &lt;SttlmInf&gt;
        &lt;SttlmMtd&gt;INDA&lt;/SttlmMtd&gt;
        &lt;InstgRmbrsmntAgt&gt;
          &lt;FinInstnId&gt;
            &lt;BICFI&gt;BFICCUHH&lt;/BICFI&gt;
          &lt;/FinInstnId&gt;
          &lt;BrnchId&gt;
            &lt;Id&gt;BFICCUHH&lt;/Id&gt;
          &lt;/BrnchId&gt;
        &lt;/InstgRmbrsmntAgt&gt;
        &lt;InstdRmbrsmntAgt&gt;
          &lt;FinInstnId&gt;
            &lt;BICFI&gt;BFICCUHH&lt;/BICFI&gt;
          &lt;/FinInstnId&gt;
          &lt;BrnchId&gt;
            &lt;Id&gt;BFICCUHH&lt;/Id&gt;
          &lt;/BrnchId&gt;
        &lt;/InstdRmbrsmntAgt&gt;
        &lt;ThrdRmbrsmntAgt&gt;
          &lt;FinInstnId&gt;
            &lt;BICFI&gt;BFICCUHH&lt;/BICFI&gt;
          &lt;/FinInstnId&gt;
          &lt;BrnchId&gt;
            &lt;Id&gt;BFICCUHH&lt;/Id&gt;
          &lt;/BrnchId&gt;
        &lt;/ThrdRmbrsmntAgt&gt;
      &lt;/SttlmInf&gt;
      &lt;InstgAgt&gt;
        &lt;FinInstnId&gt;
          &lt;BICFI&gt;BFICCUHH&lt;/BICFI&gt;
        &lt;/FinInstnId&gt;
        &lt;BrnchId&gt;
          &lt;Id&gt;BFICCUHH&lt;/Id&gt;
        &lt;/BrnchId&gt;
      &lt;/InstgAgt&gt;
      &lt;InstdAgt&gt;
        &lt;FinInstnId&gt;
          &lt;BICFI&gt;BFICCUHH&lt;/BICFI&gt;
        &lt;/FinInstnId&gt;
        &lt;BrnchId&gt;
          &lt;Id&gt;BFICCUHH&lt;/Id&gt;
        &lt;/BrnchId&gt;
      &lt;/InstdAgt&gt;
    &lt;/GrpHdr&gt;
    &lt;CdtTrfTxInf&gt;
      &lt;PmtId&gt;
        &lt;EndToEndId&gt;SE-E2E-009&lt;/EndToEndId&gt;
      &lt;/PmtId&gt;
      &lt;IntrBkSttlmAmt Ccy="USD"&gt;1000.00&lt;/IntrBkSttlmAmt&gt;
      &lt;PrvsInstgAgt1&gt;
        &lt;FinInstnId&gt;
          &lt;BICFI&gt;BFICCUHH&lt;/BICFI&gt;
        &lt;/FinInstnId&gt;
        &lt;BrnchId&gt;
          &lt;Id&gt;BFICCUHH&lt;/Id&gt;
        &lt;/BrnchId&gt;
      &lt;/PrvsInstgAgt1&gt;
      &lt;PrvsInstgAgt2&gt;
        &lt;FinInstnId&gt;
          &lt;BICFI&gt;BFICCUHH&lt;/BICFI&gt;
        &lt;/FinInstnId&gt;
        &lt;BrnchId&gt;
          &lt;Id&gt;BFICCUHH&lt;/Id&gt;
        &lt;/BrnchId&gt;
      &lt;/PrvsInstgAgt2&gt;
      &lt;PrvsInstgAgt3&gt;
        &lt;FinInstnId&gt;
          &lt;BICFI&gt;BFICCUHH&lt;/BICFI&gt;
        &lt;/FinInstnId&gt;
        &lt;BrnchId&gt;
          &lt;Id&gt;BFICCUHH&lt;/Id&gt;
        &lt;/BrnchId&gt;
      &lt;/PrvsInstgAgt3&gt;
      &lt;InstgAgt&gt;
        &lt;FinInstnId&gt;
          &lt;BICFI&gt;BFICCUHH&lt;/BICFI&gt;
        &lt;/FinInstnId&gt;
        &lt;BrnchId&gt;
          &lt;Id&gt;BFICCUHH&lt;/Id&gt;
        &lt;/BrnchId&gt;
      &lt;/InstgAgt&gt;
      &lt;InstdAgt&gt;
        &lt;FinInstnId&gt;
          &lt;BICFI&gt;BFICCUHH&lt;/BICFI&gt;
        &lt;/FinInstnId&gt;
        &lt;BrnchId&gt;
          &lt;Id&gt;BFICCUHH&lt;/Id&gt;
        &lt;/BrnchId&gt;
      &lt;/InstdAgt&gt;
      &lt;IntrmyAgt1&gt;
        &lt;FinInstnId&gt;
          &lt;BICFI&gt;BFICCUHH&lt;/BICFI&gt;
        &lt;/FinInstnId&gt;
        &lt;BrnchId&gt;
          &lt;Id&gt;BFICCUHH&lt;/Id&gt;
        &lt;/BrnchId&gt;
      &lt;/IntrmyAgt1&gt;
      &lt;IntrmyAgt2&gt;
        &lt;FinInstnId&gt;
          &lt;BICFI&gt;BFICCUHH&lt;/BICFI&gt;
        &lt;/FinInstnId&gt;
        &lt;BrnchId&gt;
          &lt;Id&gt;BFICCUHH&lt;/Id&gt;
        &lt;/BrnchId&gt;
      &lt;/IntrmyAgt2&gt;
      &lt;IntrmyAgt3&gt;
        &lt;FinInstnId&gt;
          &lt;BICFI&gt;BFICCUHH&lt;/BICFI&gt;
        &lt;/FinInstnId&gt;
        &lt;BrnchId&gt;
          &lt;Id&gt;BFICCUHH&lt;/Id&gt;
        &lt;/BrnchId&gt;
      &lt;/IntrmyAgt3&gt;
      &lt;UltmtDbtr&gt;
        &lt;FinInstnId&gt;
          &lt;BICFI&gt;BFICCUHH&lt;/BICFI&gt;
        &lt;/FinInstnId&gt;
        &lt;BrnchId&gt;
          &lt;Id&gt;BFICCUHH&lt;/Id&gt;
        &lt;/BrnchId&gt;
      &lt;/UltmtDbtr&gt;
      &lt;Dbtr&gt;
        &lt;FinInstnId&gt;
          &lt;BICFI&gt;BFICCUHH&lt;/BICFI&gt;
        &lt;/FinInstnId&gt;
        &lt;BrnchId&gt;
          &lt;Id&gt;BFICCUHH&lt;/Id&gt;
        &lt;/BrnchId&gt;
      &lt;/Dbtr&gt;
      &lt;DbtrAgt&gt;
        &lt;FinInstnId&gt;
          &lt;BICFI&gt;BFICCUHH&lt;/BICFI&gt;
        &lt;/FinInstnId&gt;
        &lt;BrnchId&gt;
          &lt;Id&gt;BFICCUHH&lt;/Id&gt;
        &lt;/BrnchId&gt;
      &lt;/DbtrAgt&gt;
      &lt;CdtrAgt&gt;
        &lt;FinInstnId&gt;
          &lt;BICFI&gt;BFICCUHH&lt;/BICFI&gt;
        &lt;/FinInstnId&gt;
        &lt;BrnchId&gt;
          &lt;Id&gt;BFICCUHH&lt;/Id&gt;
        &lt;/BrnchId&gt;
      &lt;/CdtrAgt&gt;
      &lt;Cdtr&gt;
        &lt;FinInstnId&gt;
          &lt;BICFI&gt;BFICCUHH&lt;/BICFI&gt;
        &lt;/FinInstnId&gt;
        &lt;BrnchId&gt;
          &lt;Id&gt;BFICCUHH&lt;/Id&gt;
        &lt;/BrnchId&gt;
      &lt;/Cdtr&gt;
      &lt;UltmtCdtr&gt;
        &lt;FinInstnId&gt;
          &lt;BICFI&gt;BFICCUHH&lt;/BICFI&gt;
        &lt;/FinInstnId&gt;
        &lt;BrnchId&gt;
          &lt;Id&gt;BFICCUHH&lt;/Id&gt;
        &lt;/BrnchId&gt;
      &lt;/UltmtCdtr&gt;
      &lt;UndrlygCstmrCdtTrf&gt;
        &lt;UltmtDbtr&gt;
          &lt;Id&gt;
            &lt;OrgId&gt;
              &lt;AnyBIC&gt;BFICCUHH&lt;/AnyBIC&gt;
            &lt;/OrgId&gt;
          &lt;/Id&gt;
        &lt;/UltmtDbtr&gt;
        &lt;InitgPty&gt;
          &lt;Id&gt;
            &lt;OrgId&gt;
              &lt;AnyBIC&gt;BFICCUHH&lt;/AnyBIC&gt;
            &lt;/OrgId&gt;
          &lt;/Id&gt;
        &lt;/InitgPty&gt;
        &lt;Dbtr&gt;
          &lt;Id&gt;
            &lt;OrgId&gt;
              &lt;AnyBIC&gt;BFICCUHH&lt;/AnyBIC&gt;
            &lt;/OrgId&gt;
          &lt;/Id&gt;
        &lt;/Dbtr&gt;
        &lt;DbtrAgt&gt;
          &lt;FinInstnId&gt;
            &lt;BICFI&gt;BFICCUHH&lt;/BICFI&gt;
          &lt;/FinInstnId&gt;
          &lt;BrnchId&gt;
            &lt;Id&gt;BFICCUHH&lt;/Id&gt;
          &lt;/BrnchId&gt;
        &lt;/DbtrAgt&gt;
        &lt;PrvsInstgAgt1&gt;
          &lt;FinInstnId&gt;
            &lt;BICFI&gt;BFICCUHH&lt;/BICFI&gt;
          &lt;/FinInstnId&gt;
          &lt;BrnchId&gt;
            &lt;Id&gt;BFICCUHH&lt;/Id&gt;
          &lt;/BrnchId&gt;
        &lt;/PrvsInstgAgt1&gt;
        &lt;PrvsInstgAgt2&gt;
          &lt;FinInstnId&gt;
            &lt;BICFI&gt;BFICCUHH&lt;/BICFI&gt;
          &lt;/FinInstnId&gt;
          &lt;BrnchId&gt;
            &lt;Id&gt;BFICCUHH&lt;/Id&gt;
          &lt;/BrnchId&gt;
        &lt;/PrvsInstgAgt2&gt;
        &lt;PrvsInstgAgt3&gt;
          &lt;FinInstnId&gt;
            &lt;BICFI&gt;BFICCUHH&lt;/BICFI&gt;
          &lt;/FinInstnId&gt;
          &lt;BrnchId&gt;
            &lt;Id&gt;BFICCUHH&lt;/Id&gt;
          &lt;/BrnchId&gt;
        &lt;/PrvsInstgAgt3&gt;
        &lt;IntrmyAgt1&gt;
          &lt;FinInstnId&gt;
            &lt;BICFI&gt;BFICCUHH&lt;/BICFI&gt;
          &lt;/FinInstnId&gt;
          &lt;BrnchId&gt;
            &lt;Id&gt;BFICCUHH&lt;/Id&gt;
          &lt;/BrnchId&gt;
        &lt;/IntrmyAgt1&gt;
        &lt;IntrmyAgt2&gt;
          &lt;FinInstnId&gt;
            &lt;BICFI&gt;BFICCUHH&lt;/BICFI&gt;
          &lt;/FinInstnId&gt;
          &lt;BrnchId&gt;
            &lt;Id&gt;BFICCUHH&lt;/Id&gt;
          &lt;/BrnchId&gt;
        &lt;/IntrmyAgt2&gt;
        &lt;IntrmyAgt3&gt;
          &lt;FinInstnId&gt;
            &lt;BICFI&gt;BFICCUHH&lt;/BICFI&gt;
          &lt;/FinInstnId&gt;
          &lt;BrnchId&gt;
            &lt;Id&gt;BFICCUHH&lt;/Id&gt;
          &lt;/BrnchId&gt;
        &lt;/IntrmyAgt3&gt;
        &lt;CdtrAgt&gt;
          &lt;FinInstnId&gt;
            &lt;BICFI&gt;BFICCUHH&lt;/BICFI&gt;
          &lt;/FinInstnId&gt;
          &lt;BrnchId&gt;
            &lt;Id&gt;BFICCUHH&lt;/Id&gt;
          &lt;/BrnchId&gt;
        &lt;/CdtrAgt&gt;
        &lt;Cdtr&gt;
          &lt;Id&gt;
            &lt;OrgId&gt;
              &lt;AnyBIC&gt;BFICCUHH&lt;/AnyBIC&gt;
            &lt;/OrgId&gt;
          &lt;/Id&gt;
        &lt;/Cdtr&gt;
        &lt;UltmtCdtr&gt;
          &lt;Id&gt;
            &lt;OrgId&gt;
              &lt;AnyBIC&gt;BFICCUHH&lt;/AnyBIC&gt;
            &lt;/OrgId&gt;
          &lt;/Id&gt;
        &lt;/UltmtCdtr&gt;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&lt;/UndrlygCstmrCdtTrf&gt;
    &lt;/CdtTrfTxInf&gt;
  &lt;/FICdtTrf&gt;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</si>
  <si>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189 THEN 'HIT'
         ELSE 'NO HIT'
       END AS KET_QUA
FROM (
    SELECT T.N_WEBSERVICE_ID,
           REGEXP_REPLACE(TO_CHAR(T.X_PATH), '\[\d+\]', '') AS X_PATH
    FROM FSI_RT_XML_WLS_RESPONSE T
    WHERE T.N_GRP_MSG_ID = :N_GRP_MSG_ID
      AND T.N_WEBSERVICE_ID IN (1, 2, 3)
      AND REGEXP_REPLACE(TO_CHAR(T.X_PATH), '\[\d+\]', '') IN (
'Document/FICdtTrf/GrpHdr/SttlmInf/InstgRmbrsmntAgt/FinInstnId/BICFI',
'Document/FICdtTrf/GrpHdr/SttlmInf/InstgRmbrsmntAgt/BrnchId/Id',
'Document/FICdtTrf/GrpHdr/SttlmInf/InstdRmbrsmntAgt/FinInstnId/BICFI',
'Document/FICdtTrf/GrpHdr/SttlmInf/InstdRmbrsmntAgt/BrnchId/Id',
'Document/FICdtTrf/GrpHdr/SttlmInf/ThrdRmbrsmntAgt/FinInstnId/BICFI',
'Document/FICdtTrf/GrpHdr/SttlmInf/ThrdRmbrsmntAgt/BrnchId/Id',
'Document/FICdtTrf/GrpHdr/InstgAgt/FinInstnId/BICFI',
'Document/FICdtTrf/GrpHdr/InstgAgt/BrnchId/Id',
'Document/FICdtTrf/GrpHdr/InstdAgt/FinInstnId/BICFI',
'Document/FICdtTrf/GrpHdr/InstdAgt/BrnchId/Id',
'Document/FICdtTrf/CdtTrfTxInf/PrvsInstgAgt1/FinInstnId/BICFI',
'Document/FICdtTrf/CdtTrfTxInf/PrvsInstgAgt1/BrnchId/Id',
'Document/FICdtTrf/CdtTrfTxInf/PrvsInstgAgt2/FinInstnId/BICFI',
'Document/FICdtTrf/CdtTrfTxInf/PrvsInstgAgt2/BrnchId/Id',
'Document/FICdtTrf/CdtTrfTxInf/PrvsInstgAgt3/FinInstnId/BICFI',
'Document/FICdtTrf/CdtTrfTxInf/PrvsInstgAgt3/BrnchId/Id',
'Document/FICdtTrf/CdtTrfTxInf/IntrmyAgt1/FinInstnId/BICFI',
'Document/FICdtTrf/CdtTrfTxInf/IntrmyAgt1/BrnchId/Id',
'Document/FICdtTrf/CdtTrfTxInf/IntrmyAgt2/FinInstnId/BICFI',
'Document/FICdtTrf/CdtTrfTxInf/IntrmyAgt2/BrnchId/Id',
'Document/FICdtTrf/CdtTrfTxInf/IntrmyAgt3/FinInstnId/BICFI',
'Document/FICdtTrf/CdtTrfTxInf/IntrmyAgt3/BrnchId/Id',
'Document/FICdtTrf/CdtTrfTxInf/DbtrAgt/FinInstnId/BICFI',
'Document/FICdtTrf/CdtTrfTxInf/DbtrAgt/BrnchId/Id',
'Document/FICdtTrf/CdtTrfTxInf/CdtrAgt/FinInstnId/BICFI',
'Document/FICdtTrf/CdtTrfTxInf/CdtrAgt/BrnchId/Id',
'Document/FICdtTrf/CdtTrfTxInf/InstgAgt/FinInstnId/BICFI',
'Document/FICdtTrf/CdtTrfTxInf/InstgAgt/BrnchId/Id',
'Document/FICdtTrf/CdtTrfTxInf/InstdAgt/FinInstnId/BICFI',
'Document/FICdtTrf/CdtTrfTxInf/InstdAgt/BrnchId/Id',
'Document/FICdtTrf/CdtTrfTxInf/UndrlygCstmrCdtTrf/DbtrAgt/FinInstnId/BICFI',
'Document/FICdtTrf/CdtTrfTxInf/UndrlygCstmrCdtTrf/DbtrAgt/BrnchId/Id',
'Document/FICdtTrf/CdtTrfTxInf/UndrlygCstmrCdtTrf/PrvsInstgAgt1/FinInstnId/BICFI',
'Document/FICdtTrf/CdtTrfTxInf/UndrlygCstmrCdtTrf/PrvsInstgAgt1/BrnchId/Id',
'Document/FICdtTrf/CdtTrfTxInf/UndrlygCstmrCdtTrf/PrvsInstgAgt2/FinInstnId/BICFI',
'Document/FICdtTrf/CdtTrfTxInf/UndrlygCstmrCdtTrf/PrvsInstgAgt2/BrnchId/Id',
'Document/FICdtTrf/CdtTrfTxInf/UndrlygCstmrCdtTrf/PrvsInstgAgt3/FinInstnId/BICFI',
'Document/FICdtTrf/CdtTrfTxInf/UndrlygCstmrCdtTrf/PrvsInstgAgt3/BrnchId/Id',
'Document/FICdtTrf/CdtTrfTxInf/UndrlygCstmrCdtTrf/IntrmyAgt1/FinInstnId/BICFI',
'Document/FICdtTrf/CdtTrfTxInf/UndrlygCstmrCdtTrf/IntrmyAgt1/BrnchId/Id',
'Document/FICdtTrf/CdtTrfTxInf/UndrlygCstmrCdtTrf/IntrmyAgt2/FinInstnId/BICFI',
'Document/FICdtTrf/CdtTrfTxInf/UndrlygCstmrCdtTrf/IntrmyAgt2/BrnchId/Id',
'Document/FICdtTrf/CdtTrfTxInf/UndrlygCstmrCdtTrf/IntrmyAgt3/FinInstnId/BICFI',
'Document/FICdtTrf/CdtTrfTxInf/UndrlygCstmrCdtTrf/IntrmyAgt3/BrnchId/Id',
'Document/FICdtTrf/CdtTrfTxInf/UndrlygCstmrCdtTrf/CdtrAgt/FinInstnId/BICFI',
'Document/FICdtTrf/CdtTrfTxInf/UndrlygCstmrCdtTrf/CdtrAgt/BrnchId/Id',
'Document/FICdtTrf/CdtTrfTxInf/Cdtr/FinInstnId/BICFI',
'Document/FICdtTrf/CdtTrfTxInf/Cdtr/BrnchId/Id',
'Document/FICdtTrf/CdtTrfTxInf/UltmtCdtr/FinInstnId/BICFI',
'Document/FICdtTrf/CdtTrfTxInf/UltmtCdtr/BrnchId/Id',
'Document/FICdtTrf/CdtTrfTxInf/UndrlygCstmrCdtTrf/Cdtr/Id/OrgId/AnyBIC',
'Document/FICdtTrf/CdtTrfTxInf/UndrlygCstmrCdtTrf/UltmtCdtr/Id/OrgId/AnyBIC',
'Document/FICdtTrf/CdtTrfTxInf/Dbtr/FinInstnId/BICFI',
'Document/FICdtTrf/CdtTrfTxInf/Dbtr/BrnchId/Id',
'Document/FICdtTrf/CdtTrfTxInf/UltmtDbtr/FinInstnId/BICFI',
'Document/FICdtTrf/CdtTrfTxInf/UltmtDbtr/BrnchId/Id',
'Document/FICdtTrf/CdtTrfTxInf/UndrlygCstmrCdtTrf/Dbtr/Id/OrgId/AnyBIC',
'Document/FICdtTrf/CdtTrfTxInf/UndrlygCstmrCdtTrf/UltmtDbtr/Id/OrgId/AnyBIC',
'Document/FICdtTrf/CdtTrfTxInf/UndrlygCstmrCdtTrf/InitgPty/Id/OrgId/AnyBIC',
'Document/FICdtTrf/CdtTrfTxInf/UndrlygCstmrCdtTrf/RmtInf/Strd/Invcr/Id/OrgId/AnyBIC',
'Document/FICdtTrf/CdtTrfTxInf/UndrlygCstmrCdtTrf/RmtInf/Strd/Invcee/Id/OrgId/AnyBIC',
'Document/FICdtTrf/CdtTrfTxInf/UndrlygCstmrCdtTrf/RmtInf/Strd/GrnshmtRmt/Grnshee/Id/OrgId/AnyBIC',
'Document/FICdtTrf/CdtTrfTxInf/UndrlygCstmrCdtTrf/RmtInf/Strd/GrnshmtRmt/GrnshmtAdmstr/Id/OrgId/AnyBIC'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</si>
  <si>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Pacs009.02</t>
  </si>
  <si>
    <t>Sàng lọc giao dịch Pacs.009 - Name and Address - Entity</t>
  </si>
  <si>
    <t>1. Đẩy giao dịch vào API Post Message với trường thông tin có XML path 
/Document/FICdtTrf/GrpHdr/SttlmInf/InstgRmbrsmntAgt/FinInstnId/Nm
/Document/FICdtTrf/GrpHdr/SttlmInf/InstgRmbrsmntAgt/BrnchId/Nm
/Document/FICdtTrf/GrpHdr/SttlmInf/InstdRmbrsmntAgt/FinInstnId/Nm
/Document/FICdtTrf/GrpHdr/SttlmInf/InstdRmbrsmntAgt/BrnchId/Nm
/Document/FICdtTrf/GrpHdr/SttlmInf/ThrdRmbrsmntAgt/FinInstnId/Nm
/Document/FICdtTrf/GrpHdr/SttlmInf/ThrdRmbrsmntAgt/BrnchId/Nm
/Document/FICdtTrf/GrpHdr/InstgAgt/FinInstnId/Nm
/Document/FICdtTrf/GrpHdr/InstgAgt/BrnchId/Nm
/Document/FICdtTrf/GrpHdr/InstdAgt/FinInstnId/Nm
/Document/FICdtTrf/GrpHdr/InstdAgt/BrnchId/Nm
/Document/FICdtTrf/CdtTrfTxInf/PrvsInstgAgt1/FinInstnId/Nm
/Document/FICdtTrf/CdtTrfTxInf/PrvsInstgAgt1/BrnchId/Nm
/Document/FICdtTrf/CdtTrfTxInf/PrvsInstgAgt2/FinInstnId/Nm
/Document/FICdtTrf/CdtTrfTxInf/PrvsInstgAgt2/BrnchId/Nm
/Document/FICdtTrf/CdtTrfTxInf/PrvsInstgAgt3/FinInstnId/Nm
/Document/FICdtTrf/CdtTrfTxInf/PrvsInstgAgt3/BrnchId/Nm
/Document/FICdtTrf/CdtTrfTxInf/IntrmyAgt1/FinInstnId/Nm
/Document/FICdtTrf/CdtTrfTxInf/IntrmyAgt1/BrnchId/Nm
/Document/FICdtTrf/CdtTrfTxInf/IntrmyAgt2/FinInstnId/Nm
/Document/FICdtTrf/CdtTrfTxInf/IntrmyAgt2/BrnchId/Nm
/Document/FICdtTrf/CdtTrfTxInf/IntrmyAgt3/FinInstnId/Nm
/Document/FICdtTrf/CdtTrfTxInf/IntrmyAgt3/BrnchId/Nm
/Document/FICdtTrf/CdtTrfTxInf/DbtrAgt/FinInstnId/Nm
/Document/FICdtTrf/CdtTrfTxInf/DbtrAgt/BrnchId/Nm
/Document/FICdtTrf/CdtTrfTxInf/CdtrAgt/FinInstnId/Nm
/Document/FICdtTrf/CdtTrfTxInf/CdtrAgt/BrnchId/Nm
/Document/FICdtTrf/CdtTrfTxInf/InstgAgt/FinInstnId/Nm
/Document/FICdtTrf/CdtTrfTxInf/InstgAgt/BrnchId/Nm
/Document/FICdtTrf/CdtTrfTxInf/InstdAgt/FinInstnId/Nm
/Document/FICdtTrf/CdtTrfTxInf/InstdAgt/BrnchId/Nm
/Document/FICdtTrf/CdtTrfTxInf/UndrlygCstmrCdtTrf/DbtrAgt/FinInstnId/Nm
/Document/FICdtTrf/CdtTrfTxInf/UndrlygCstmrCdtTrf/DbtrAgt/BrnchId/Nm
/Document/FICdtTrf/CdtTrfTxInf/UndrlygCstmrCdtTrf/PrvsInstgAgt1/FinInstnId/Nm
/Document/FICdtTrf/CdtTrfTxInf/UndrlygCstmrCdtTrf/PrvsInstgAgt1/BrnchId/Nm
/Document/FICdtTrf/CdtTrfTxInf/UndrlygCstmrCdtTrf/PrvsInstgAgt2/FinInstnId/Nm
/Document/FICdtTrf/CdtTrfTxInf/UndrlygCstmrCdtTrf/PrvsInstgAgt2/BrnchId/Nm
/Document/FICdtTrf/CdtTrfTxInf/UndrlygCstmrCdtTrf/PrvsInstgAgt3/FinInstnId/Nm
/Document/FICdtTrf/CdtTrfTxInf/UndrlygCstmrCdtTrf/PrvsInstgAgt3/BrnchId/Nm
/Document/FICdtTrf/CdtTrfTxInf/UndrlygCstmrCdtTrf/IntrmyAgt1/FinInstnId/Nm
/Document/FICdtTrf/CdtTrfTxInf/UndrlygCstmrCdtTrf/IntrmyAgt1/BrnchId/Nm
/Document/FICdtTrf/CdtTrfTxInf/UndrlygCstmrCdtTrf/IntrmyAgt2/FinInstnId/Nm
/Document/FICdtTrf/CdtTrfTxInf/UndrlygCstmrCdtTrf/IntrmyAgt2/BrnchId/Nm
/Document/FICdtTrf/CdtTrfTxInf/UndrlygCstmrCdtTrf/IntrmyAgt3/FinInstnId/Nm
/Document/FICdtTrf/CdtTrfTxInf/UndrlygCstmrCdtTrf/IntrmyAgt3/BrnchId/Nm
/Document/FICdtTrf/CdtTrfTxInf/UndrlygCstmrCdtTrf/CdtrAgt/FinInstnId/Nm
/Document/FICdtTrf/CdtTrfTxInf/UndrlygCstmrCdtTrf/CdtrAgt/BrnchId/Nm
/Document/FICdtTrf/CdtTrfTxInf/Cdtr/FinInstnId/Nm
/Document/FICdtTrf/CdtTrfTxInf/Cdtr/BrnchId/Nm
/Document/FICdtTrf/CdtTrfTxInf/UltmtCdtr/FinInstnId/Nm
/Document/FICdtTrf/CdtTrfTxInf/UltmtCdtr/BrnchId/Nm
/Document/FICdtTrf/CdtTrfTxInf/Dbtr/FinInstnId/Nm
/Document/FICdtTrf/CdtTrfTxInf/Dbtr/BrnchId/Nm
/Document/FICdtTrf/CdtTrfTxInf/UltmtDbtr/FinInstnId/Nm
/Document/FICdtTrf/CdtTrfTxInf/UltmtDbtr/BrnchId/Nm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</si>
  <si>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?&gt;
&lt;Document xmlns="urn:iso:std:iso:20022:tech:xsd:pacs.009.001.08"&gt;
  &lt;FICdtTrf&gt;
    &lt;GrpHdr&gt;
      &lt;MsgId&gt;SE-009COV-FULL&lt;/MsgId&gt;
      &lt;CreDtTm&gt;2026-07-29T09:00:00&lt;/CreDtTm&gt;
      &lt;NbOfTxs&gt;1&lt;/NbOfTxs&gt;
      &lt;IntrBkSttlmDt&gt;2026-07-29&lt;/IntrBkSttlmDt&gt;
      &lt;SttlmInf&gt;
        &lt;SttlmMtd&gt;COVE&lt;/SttlmMtd&gt;
        &lt;InstgRmbrsmntAgt&gt;
          &lt;FinInstnId&gt;
            &lt;Nm&gt;SUMMIT EMBER&lt;/Nm&gt;
          &lt;/FinInstnId&gt;
          &lt;BrnchId&gt;
            &lt;Nm&gt;SUMMIT EMBER&lt;/Nm&gt;
          &lt;/BrnchId&gt;
        &lt;/InstgRmbrsmntAgt&gt;
        &lt;InstdRmbrsmntAgt&gt;
          &lt;FinInstnId&gt;
            &lt;Nm&gt;SUMMIT EMBER&lt;/Nm&gt;
          &lt;/FinInstnId&gt;
          &lt;BrnchId&gt;
            &lt;Nm&gt;SUMMIT EMBER&lt;/Nm&gt;
          &lt;/BrnchId&gt;
        &lt;/InstdRmbrsmntAgt&gt;
        &lt;ThrdRmbrsmntAgt&gt;
          &lt;FinInstnId&gt;
            &lt;Nm&gt;SUMMIT EMBER&lt;/Nm&gt;
          &lt;/FinInstnId&gt;
          &lt;BrnchId&gt;
            &lt;Nm&gt;SUMMIT EMBER&lt;/Nm&gt;
          &lt;/BrnchId&gt;
        &lt;/ThrdRmbrsmntAgt&gt;
      &lt;/SttlmInf&gt;
      &lt;InstgAgt&gt;
        &lt;FinInstnId&gt;
          &lt;Nm&gt;SUMMIT EMBER&lt;/Nm&gt;
        &lt;/FinInstnId&gt;
        &lt;BrnchId&gt;
          &lt;Nm&gt;SUMMIT EMBER&lt;/Nm&gt;
        &lt;/BrnchId&gt;
      &lt;/InstgAgt&gt;
      &lt;InstdAgt&gt;
        &lt;FinInstnId&gt;
          &lt;Nm&gt;SUMMIT EMBER&lt;/Nm&gt;
        &lt;/FinInstnId&gt;
        &lt;BrnchId&gt;
          &lt;Nm&gt;SUMMIT EMBER&lt;/Nm&gt;
        &lt;/BrnchId&gt;
      &lt;/InstdAgt&gt;
    &lt;/GrpHdr&gt;
    &lt;CdtTrfTxInf&gt;
      &lt;PmtId&gt;
        &lt;EndToEndId&gt;SE-E2E&lt;/EndToEndId&gt;
      &lt;/PmtId&gt;
      &lt;IntrBkSttlmAmt Ccy="USD"&gt;1000.00&lt;/IntrBkSttlmAmt&gt;
      &lt;IntrBkSttlmDt&gt;2026-07-29&lt;/IntrBkSttlmDt&gt;
      &lt;PrvsInstgAgt1&gt;
        &lt;FinInstnId&gt;
          &lt;Nm&gt;SUMMIT EMBER&lt;/Nm&gt;
        &lt;/FinInstnId&gt;
        &lt;BrnchId&gt;
          &lt;Nm&gt;SUMMIT EMBER&lt;/Nm&gt;
        &lt;/BrnchId&gt;
      &lt;/PrvsInstgAgt1&gt;
      &lt;PrvsInstgAgt2&gt;
        &lt;FinInstnId&gt;
          &lt;Nm&gt;SUMMIT EMBER&lt;/Nm&gt;
        &lt;/FinInstnId&gt;
        &lt;BrnchId&gt;
          &lt;Nm&gt;SUMMIT EMBER&lt;/Nm&gt;
        &lt;/BrnchId&gt;
      &lt;/PrvsInstgAgt2&gt;
      &lt;PrvsInstgAgt3&gt;
        &lt;FinInstnId&gt;
          &lt;Nm&gt;SUMMIT EMBER&lt;/Nm&gt;
        &lt;/FinInstnId&gt;
        &lt;BrnchId&gt;
          &lt;Nm&gt;SUMMIT EMBER&lt;/Nm&gt;
        &lt;/BrnchId&gt;
      &lt;/PrvsInstgAgt3&gt;
      &lt;InstgAgt&gt;
        &lt;FinInstnId&gt;
          &lt;Nm&gt;SUMMIT EMBER&lt;/Nm&gt;
        &lt;/FinInstnId&gt;
        &lt;BrnchId&gt;
          &lt;Nm&gt;SUMMIT EMBER&lt;/Nm&gt;
        &lt;/BrnchId&gt;
      &lt;/InstgAgt&gt;
      &lt;InstdAgt&gt;
        &lt;FinInstnId&gt;
          &lt;Nm&gt;SUMMIT EMBER&lt;/Nm&gt;
        &lt;/FinInstnId&gt;
        &lt;BrnchId&gt;
          &lt;Nm&gt;SUMMIT EMBER&lt;/Nm&gt;
        &lt;/BrnchId&gt;
      &lt;/InstdAgt&gt;
      &lt;IntrmyAgt1&gt;
        &lt;FinInstnId&gt;
          &lt;Nm&gt;SUMMIT EMBER&lt;/Nm&gt;
        &lt;/FinInstnId&gt;
        &lt;BrnchId&gt;
          &lt;Nm&gt;SUMMIT EMBER&lt;/Nm&gt;
        &lt;/BrnchId&gt;
      &lt;/IntrmyAgt1&gt;
      &lt;IntrmyAgt2&gt;
        &lt;FinInstnId&gt;
          &lt;Nm&gt;SUMMIT EMBER&lt;/Nm&gt;
        &lt;/FinInstnId&gt;
        &lt;BrnchId&gt;
          &lt;Nm&gt;SUMMIT EMBER&lt;/Nm&gt;
        &lt;/BrnchId&gt;
      &lt;/IntrmyAgt2&gt;
      &lt;IntrmyAgt3&gt;
        &lt;FinInstnId&gt;
          &lt;Nm&gt;SUMMIT EMBER&lt;/Nm&gt;
        &lt;/FinInstnId&gt;
        &lt;BrnchId&gt;
          &lt;Nm&gt;SUMMIT EMBER&lt;/Nm&gt;
        &lt;/BrnchId&gt;
      &lt;/IntrmyAgt3&gt;
      &lt;UltmtDbtr&gt;
        &lt;FinInstnId&gt;
          &lt;Nm&gt;SUMMIT EMBER&lt;/Nm&gt;
        &lt;/FinInstnId&gt;
        &lt;BrnchId&gt;
          &lt;Nm&gt;SUMMIT EMBER&lt;/Nm&gt;
        &lt;/BrnchId&gt;
      &lt;/UltmtDbtr&gt;
      &lt;Dbtr&gt;
        &lt;FinInstnId&gt;
          &lt;Nm&gt;SUMMIT EMBER&lt;/Nm&gt;
        &lt;/FinInstnId&gt;
        &lt;BrnchId&gt;
          &lt;Nm&gt;SUMMIT EMBER&lt;/Nm&gt;
        &lt;/BrnchId&gt;
      &lt;/Dbtr&gt;
      &lt;DbtrAgt&gt;
        &lt;FinInstnId&gt;
          &lt;Nm&gt;SUMMIT EMBER&lt;/Nm&gt;
        &lt;/FinInstnId&gt;
        &lt;BrnchId&gt;
          &lt;Nm&gt;SUMMIT EMBER&lt;/Nm&gt;
        &lt;/BrnchId&gt;
      &lt;/DbtrAgt&gt;
      &lt;CdtrAgt&gt;
        &lt;FinInstnId&gt;
          &lt;Nm&gt;SUMMIT EMBER&lt;/Nm&gt;
        &lt;/FinInstnId&gt;
        &lt;BrnchId&gt;
          &lt;Nm&gt;SUMMIT EMBER&lt;/Nm&gt;
        &lt;/BrnchId&gt;
      &lt;/CdtrAgt&gt;
      &lt;Cdtr&gt;
        &lt;FinInstnId&gt;
          &lt;Nm&gt;SUMMIT EMBER&lt;/Nm&gt;
        &lt;/FinInstnId&gt;
        &lt;BrnchId&gt;
          &lt;Nm&gt;SUMMIT EMBER&lt;/Nm&gt;
        &lt;/BrnchId&gt;
      &lt;/Cdtr&gt;
      &lt;UltmtCdtr&gt;
        &lt;FinInstnId&gt;
          &lt;Nm&gt;SUMMIT EMBER&lt;/Nm&gt;
        &lt;/FinInstnId&gt;
        &lt;BrnchId&gt;
          &lt;Nm&gt;SUMMIT EMBER&lt;/Nm&gt;
        &lt;/BrnchId&gt;
      &lt;/UltmtCdtr&gt;
      &lt;UndrlygCstmrCdtTrf&gt;
        &lt;Dbtr&gt;
          &lt;Nm&gt;NEUTRAL DEBTOR&lt;/Nm&gt;
        &lt;/Dbtr&gt;
        &lt;DbtrAgt&gt;
          &lt;FinInstnId&gt;
            &lt;Nm&gt;SUMMIT EMBER&lt;/Nm&gt;
          &lt;/FinInstnId&gt;
          &lt;BrnchId&gt;
            &lt;Nm&gt;SUMMIT EMBER&lt;/Nm&gt;
          &lt;/BrnchId&gt;
        &lt;/DbtrAgt&gt;
        &lt;PrvsInstgAgt1&gt;
          &lt;FinInstnId&gt;
            &lt;Nm&gt;SUMMIT EMBER&lt;/Nm&gt;
          &lt;/FinInstnId&gt;
          &lt;BrnchId&gt;
            &lt;Nm&gt;SUMMIT EMBER&lt;/Nm&gt;
          &lt;/BrnchId&gt;
        &lt;/PrvsInstgAgt1&gt;
        &lt;PrvsInstgAgt2&gt;
          &lt;FinInstnId&gt;
            &lt;Nm&gt;SUMMIT EMBER&lt;/Nm&gt;
          &lt;/FinInstnId&gt;
          &lt;BrnchId&gt;
            &lt;Nm&gt;SUMMIT EMBER&lt;/Nm&gt;
          &lt;/BrnchId&gt;
        &lt;/PrvsInstgAgt2&gt;
        &lt;PrvsInstgAgt3&gt;
          &lt;FinInstnId&gt;
            &lt;Nm&gt;SUMMIT EMBER&lt;/Nm&gt;
          &lt;/FinInstnId&gt;
          &lt;BrnchId&gt;
            &lt;Nm&gt;SUMMIT EMBER&lt;/Nm&gt;
          &lt;/BrnchId&gt;
        &lt;/PrvsInstgAgt3&gt;
        &lt;IntrmyAgt1&gt;
          &lt;FinInstnId&gt;
            &lt;Nm&gt;SUMMIT EMBER&lt;/Nm&gt;
          &lt;/FinInstnId&gt;
          &lt;BrnchId&gt;
            &lt;Nm&gt;SUMMIT EMBER&lt;/Nm&gt;
          &lt;/BrnchId&gt;
        &lt;/IntrmyAgt1&gt;
        &lt;IntrmyAgt2&gt;
          &lt;FinInstnId&gt;
            &lt;Nm&gt;SUMMIT EMBER&lt;/Nm&gt;
          &lt;/FinInstnId&gt;
          &lt;BrnchId&gt;
            &lt;Nm&gt;SUMMIT EMBER&lt;/Nm&gt;
          &lt;/BrnchId&gt;
        &lt;/IntrmyAgt2&gt;
        &lt;IntrmyAgt3&gt;
          &lt;FinInstnId&gt;
            &lt;Nm&gt;SUMMIT EMBER&lt;/Nm&gt;
          &lt;/FinInstnId&gt;
          &lt;BrnchId&gt;
            &lt;Nm&gt;SUMMIT EMBER&lt;/Nm&gt;
          &lt;/BrnchId&gt;
        &lt;/IntrmyAgt3&gt;
        &lt;CdtrAgt&gt;
          &lt;FinInstnId&gt;
            &lt;Nm&gt;SUMMIT EMBER&lt;/Nm&gt;
          &lt;/FinInstnId&gt;
          &lt;BrnchId&gt;
            &lt;Nm&gt;SUMMIT EMBER&lt;/Nm&gt;
          &lt;/BrnchId&gt;
        &lt;/CdtrAgt&gt;
        &lt;Cdtr&gt;
          &lt;Nm&gt;NEUTRAL CREDITOR&lt;/Nm&gt;
        &lt;/Cdtr&gt;
      &lt;/UndrlygCstmrCdtTrf&gt;
    &lt;/CdtTrfTxInf&gt;
  &lt;/FICdtTrf&gt;
&lt;/Document&gt;</t>
  </si>
  <si>
    <t>2. Hệ thống trả kết quả: HIT với Webservice Name and Address loại chủ thể Entity và không HIT với chủ thể Individual, Vessel, Aircraft
Câu query kiểm tra kết quả (KET_QUA = HIT):
SELECT CASE
         WHEN COUNT(*) = 54 THEN 'HIT'
         ELSE 'NO HIT'
       END AS KET_QUA
FROM (
    SELECT T.N_WEBSERVICE_ID,
           REGEXP_REPLACE(TO_CHAR(T.X_PATH), '\[\d+\]', '') AS X_PATH
    FROM FSI_RT_XML_WLS_RESPONSE T
    WHERE T.N_GRP_MSG_ID = :N_GRP_MSG_ID
      AND T.N_WEBSERVICE_ID = 1
      AND REGEXP_REPLACE(TO_CHAR(T.X_PATH), '\[\d+\]', '') IN (
'/Document/FICdtTrf/GrpHdr/SttlmInf/InstgRmbrsmntAgt/FinInstnId/Nm',
'/Document/FICdtTrf/GrpHdr/SttlmInf/InstgRmbrsmntAgt/BrnchId/Nm',
'/Document/FICdtTrf/GrpHdr/SttlmInf/InstdRmbrsmntAgt/FinInstnId/Nm',
'/Document/FICdtTrf/GrpHdr/SttlmInf/InstdRmbrsmntAgt/BrnchId/Nm',
'/Document/FICdtTrf/GrpHdr/SttlmInf/ThrdRmbrsmntAgt/FinInstnId/Nm',
'/Document/FICdtTrf/GrpHdr/SttlmInf/ThrdRmbrsmntAgt/BrnchId/Nm',
'/Document/FICdtTrf/GrpHdr/InstgAgt/FinInstnId/Nm',
'/Document/FICdtTrf/GrpHdr/InstgAgt/BrnchId/Nm',
'/Document/FICdtTrf/GrpHdr/InstdAgt/FinInstnId/Nm',
'/Document/FICdtTrf/GrpHdr/InstdAgt/BrnchId/Nm',
'/Document/FICdtTrf/CdtTrfTxInf/PrvsInstgAgt1/FinInstnId/Nm',
'/Document/FICdtTrf/CdtTrfTxInf/PrvsInstgAgt1/BrnchId/Nm',
'/Document/FICdtTrf/CdtTrfTxInf/PrvsInstgAgt2/FinInstnId/Nm',
'/Document/FICdtTrf/CdtTrfTxInf/PrvsInstgAgt2/BrnchId/Nm',
'/Document/FICdtTrf/CdtTrfTxInf/PrvsInstgAgt3/FinInstnId/Nm',
'/Document/FICdtTrf/CdtTrfTxInf/PrvsInstgAgt3/BrnchId/Nm',
'/Document/FICdtTrf/CdtTrfTxInf/IntrmyAgt1/FinInstnId/Nm',
'/Document/FICdtTrf/CdtTrfTxInf/IntrmyAgt1/BrnchId/Nm',
'/Document/FICdtTrf/CdtTrfTxInf/IntrmyAgt2/FinInstnId/Nm',
'/Document/FICdtTrf/CdtTrfTxInf/IntrmyAgt2/BrnchId/Nm',
'/Document/FICdtTrf/CdtTrfTxInf/IntrmyAgt3/FinInstnId/Nm',
'/Document/FICdtTrf/CdtTrfTxInf/IntrmyAgt3/BrnchId/Nm',
'/Document/FICdtTrf/CdtTrfTxInf/DbtrAgt/FinInstnId/Nm',
'/Document/FICdtTrf/CdtTrfTxInf/DbtrAgt/BrnchId/Nm',
'/Document/FICdtTrf/CdtTrfTxInf/CdtrAgt/FinInstnId/Nm',
'/Document/FICdtTrf/CdtTrfTxInf/CdtrAgt/BrnchId/Nm',
'/Document/FICdtTrf/CdtTrfTxInf/InstgAgt/FinInstnId/Nm',
'/Document/FICdtTrf/CdtTrfTxInf/InstgAgt/BrnchId/Nm',
'/Document/FICdtTrf/CdtTrfTxInf/InstdAgt/FinInstnId/Nm',
'/Document/FICdtTrf/CdtTrfTxInf/InstdAgt/BrnchId/Nm',
'/Document/FICdtTrf/CdtTrfTxInf/UndrlygCstmrCdtTrf/DbtrAgt/FinInstnId/Nm',
'/Document/FICdtTrf/CdtTrfTxInf/UndrlygCstmrCdtTrf/DbtrAgt/BrnchId/Nm',
'/Document/FICdtTrf/CdtTrfTxInf/UndrlygCstmrCdtTrf/PrvsInstgAgt1/FinInstnId/Nm',
'/Document/FICdtTrf/CdtTrfTxInf/UndrlygCstmrCdtTrf/PrvsInstgAgt1/BrnchId/Nm',
'/Document/FICdtTrf/CdtTrfTxInf/UndrlygCstmrCdtTrf/PrvsInstgAgt2/FinInstnId/Nm',
'/Document/FICdtTrf/CdtTrfTxInf/UndrlygCstmrCdtTrf/PrvsInstgAgt2/BrnchId/Nm',
'/Document/FICdtTrf/CdtTrfTxInf/UndrlygCstmrCdtTrf/PrvsInstgAgt3/FinInstnId/Nm',
'/Document/FICdtTrf/CdtTrfTxInf/UndrlygCstmrCdtTrf/PrvsInstgAgt3/BrnchId/Nm',
'/Document/FICdtTrf/CdtTrfTxInf/UndrlygCstmrCdtTrf/IntrmyAgt1/FinInstnId/Nm',
'/Document/FICdtTrf/CdtTrfTxInf/UndrlygCstmrCdtTrf/IntrmyAgt1/BrnchId/Nm',
'/Document/FICdtTrf/CdtTrfTxInf/UndrlygCstmrCdtTrf/IntrmyAgt2/FinInstnId/Nm',
'/Document/FICdtTrf/CdtTrfTxInf/UndrlygCstmrCdtTrf/IntrmyAgt2/BrnchId/Nm',
'/Document/FICdtTrf/CdtTrfTxInf/UndrlygCstmrCdtTrf/IntrmyAgt3/FinInstnId/Nm',
'/Document/FICdtTrf/CdtTrfTxInf/UndrlygCstmrCdtTrf/IntrmyAgt3/BrnchId/Nm',
'/Document/FICdtTrf/CdtTrfTxInf/UndrlygCstmrCdtTrf/CdtrAgt/FinInstnId/Nm',
'/Document/FICdtTrf/CdtTrfTxInf/UndrlygCstmrCdtTrf/CdtrAgt/BrnchId/Nm',
'/Document/FICdtTrf/CdtTrfTxInf/Cdtr/FinInstnId/Nm',
'/Document/FICdtTrf/CdtTrfTxInf/Cdtr/BrnchId/Nm',
'/Document/FICdtTrf/CdtTrfTxInf/UltmtCdtr/FinInstnId/Nm',
'/Document/FICdtTrf/CdtTrfTxInf/UltmtCdtr/BrnchId/Nm',
'/Document/FICdtTrf/CdtTrfTxInf/Dbtr/FinInstnId/Nm',
'/Document/FICdtTrf/CdtTrfTxInf/Dbtr/BrnchId/Nm',
'/Document/FICdtTrf/CdtTrfTxInf/UltmtDbtr/FinInstnId/Nm',
'/Document/FICdtTrf/CdtTrfTxInf/UltmtDbtr/BrnchId/Nm'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</si>
  <si>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Pacs009.03</t>
  </si>
  <si>
    <t>Sàng lọc giao dịch Pacs.009 - Country and City</t>
  </si>
  <si>
    <t>1. Đẩy giao dịch vào API Post Message với trường thông tin có XML path 
/Document/FICdtTrf/GrpHdr/SttlmInf/InstgRmbrsmntAgt/FinInstnId/PstlAdr/Ctry
/Document/FICdtTrf/GrpHdr/SttlmInf/InstgRmbrsmntAgt/BrnchId/PstlAdr/Ctry
/Document/FICdtTrf/GrpHdr/SttlmInf/InstdRmbrsmntAgt/FinInstnId/PstlAdr/Ctry
/Document/FICdtTrf/GrpHdr/SttlmInf/InstdRmbrsmntAgt/BrnchId/PstlAdr/Ctry
/Document/FICdtTrf/GrpHdr/SttlmInf/ThrdRmbrsmntAgt/FinInstnId/PstlAdr/Ctry
/Document/FICdtTrf/GrpHdr/SttlmInf/ThrdRmbrsmntAgt/BrnchId/PstlAdr/Ctry
/Document/FICdtTrf/GrpHdr/InstgAgt/FinInstnId/PstlAdr/Ctry
/Document/FICdtTrf/GrpHdr/InstgAgt/BrnchId/PstlAdr/Ctry
/Document/FICdtTrf/GrpHdr/InstdAgt/FinInstnId/PstlAdr/Ctry
/Document/FICdtTrf/GrpHdr/InstdAgt/BrnchId/PstlAdr/Ctry
/Document/FICdtTrf/CdtTrfTxInf/PrvsInstgAgt1/FinInstnId/PstlAdr/Ctry
/Document/FICdtTrf/CdtTrfTxInf/PrvsInstgAgt1/BrnchId/PstlAdr/Ctry
/Document/FICdtTrf/CdtTrfTxInf/PrvsInstgAgt2/FinInstnId/PstlAdr/Ctry
/Document/FICdtTrf/CdtTrfTxInf/PrvsInstgAgt2/BrnchId/PstlAdr/Ctry
/Document/FICdtTrf/CdtTrfTxInf/PrvsInstgAgt3/FinInstnId/PstlAdr/Ctry
/Document/FICdtTrf/CdtTrfTxInf/PrvsInstgAgt3/BrnchId/PstlAdr/Ctry
/Document/FICdtTrf/CdtTrfTxInf/IntrmyAgt1/FinInstnId/PstlAdr/Ctry
/Document/FICdtTrf/CdtTrfTxInf/IntrmyAgt1/BrnchId/PstlAdr/Ctry
/Document/FICdtTrf/CdtTrfTxInf/IntrmyAgt2/FinInstnId/PstlAdr/Ctry
/Document/FICdtTrf/CdtTrfTxInf/IntrmyAgt2/BrnchId/PstlAdr/Ctry
/Document/FICdtTrf/CdtTrfTxInf/IntrmyAgt3/FinInstnId/PstlAdr/Ctry
/Document/FICdtTrf/CdtTrfTxInf/IntrmyAgt3/BrnchId/PstlAdr/Ctry
/Document/FICdtTrf/CdtTrfTxInf/DbtrAgt/FinInstnId/PstlAdr/Ctry
/Document/FICdtTrf/CdtTrfTxInf/DbtrAgt/BrnchId/PstlAdr/Ctry
/Document/FICdtTrf/CdtTrfTxInf/CdtrAgt/FinInstnId/PstlAdr/Ctry
/Document/FICdtTrf/CdtTrfTxInf/CdtrAgt/BrnchId/PstlAdr/Ctry
/Document/FICdtTrf/CdtTrfTxInf/InstgAgt/FinInstnId/PstlAdr/Ctry
/Document/FICdtTrf/CdtTrfTxInf/InstgAgt/BrnchId/PstlAdr/Ctry
/Document/FICdtTrf/CdtTrfTxInf/InstdAgt/FinInstnId/PstlAdr/Ctry
/Document/FICdtTrf/CdtTrfTxInf/InstdAgt/BrnchId/PstlAdr/Ctry
/Document/FICdtTrf/CdtTrfTxInf/UndrlygCstmrCdtTrf/DbtrAgt/FinInstnId/PstlAdr/Ctry
/Document/FICdtTrf/CdtTrfTxInf/UndrlygCstmrCdtTrf/DbtrAgt/BrnchId/PstlAdr/Ctry
/Document/FICdtTrf/CdtTrfTxInf/UndrlygCstmrCdtTrf/PrvsInstgAgt1/FinInstnId/PstlAdr/Ctry
/Document/FICdtTrf/CdtTrfTxInf/UndrlygCstmrCdtTrf/PrvsInstgAgt1/BrnchId/PstlAdr/Ctry
/Document/FICdtTrf/CdtTrfTxInf/UndrlygCstmrCdtTrf/PrvsInstgAgt2/FinInstnId/PstlAdr/Ctry
/Document/FICdtTrf/CdtTrfTxInf/UndrlygCstmrCdtTrf/PrvsInstgAgt2/BrnchId/PstlAdr/Ctry
/Document/FICdtTrf/CdtTrfTxInf/UndrlygCstmrCdtTrf/PrvsInstgAgt3/FinInstnId/PstlAdr/Ctry
/Document/FICdtTrf/CdtTrfTxInf/UndrlygCstmrCdtTrf/PrvsInstgAgt3/BrnchId/PstlAdr/Ctry
/Document/FICdtTrf/CdtTrfTxInf/UndrlygCstmrCdtTrf/IntrmyAgt1/FinInstnId/PstlAdr/Ctry
/Document/FICdtTrf/CdtTrfTxInf/UndrlygCstmrCdtTrf/IntrmyAgt1/BrnchId/PstlAdr/Ctry
/Document/FICdtTrf/CdtTrfTxInf/UndrlygCstmrCdtTrf/IntrmyAgt2/FinInstnId/PstlAdr/Ctry
/Document/FICdtTrf/CdtTrfTxInf/UndrlygCstmrCdtTrf/IntrmyAgt2/BrnchId/PstlAdr/Ctry
/Document/FICdtTrf/CdtTrfTxInf/UndrlygCstmrCdtTrf/IntrmyAgt3/FinInstnId/PstlAdr/Ctry
/Document/FICdtTrf/CdtTrfTxInf/UndrlygCstmrCdtTrf/IntrmyAgt3/BrnchId/PstlAdr/Ctry
/Document/FICdtTrf/CdtTrfTxInf/UndrlygCstmrCdtTrf/CdtrAgt/FinInstnId/PstlAdr/Ctry
/Document/FICdtTrf/CdtTrfTxInf/UndrlygCstmrCdtTrf/CdtrAgt/BrnchId/PstlAdr/Ctry
/Document/FICdtTrf/CdtTrfTxInf/Cdtr/FinInstnId/PstlAdr/Ctry
/Document/FICdtTrf/CdtTrfTxInf/Cdtr/BrnchId/PstlAdr/Ctry
/Document/FICdtTrf/CdtTrfTxInf/UltmtCdtr/FinInstnId/PstlAdr/Ctry
/Document/FICdtTrf/CdtTrfTxInf/UltmtCdtr/BrnchId/PstlAdr/Ctry
/Document/FICdtTrf/CdtTrfTxInf/UndrlygCstmrCdtTrf/Cdtr/PstlAdr/Ctry
/Document/FICdtTrf/CdtTrfTxInf/UndrlygCstmrCdtTrf/Cdtr/Id/PrvtId/DtAndPlcOfBirth/CtryOfBirth
/Document/FICdtTrf/CdtTrfTxInf/UndrlygCstmrCdtTrf/Cdtr/CtryOfRes
/Document/FICdtTrf/CdtTrfTxInf/UndrlygCstmrCdtTrf/UltmtCdtr/PstlAdr/Ctry
/Document/FICdtTrf/CdtTrfTxInf/UndrlygCstmrCdtTrf/UltmtCdtr/Id/PrvtId/DtAndPlcOfBirth/CtryOfBirth
/Document/FICdtTrf/CdtTrfTxInf/UndrlygCstmrCdtTrf/UltmtCdtr/CtryOfRes
/Document/FICdtTrf/CdtTrfTxInf/Dbtr/FinInstnId/PstlAdr/Ctry
/Document/FICdtTrf/CdtTrfTxInf/Dbtr/BrnchId/PstlAdr/Ctry
/Document/FICdtTrf/CdtTrfTxInf/UltmtDbtr/FinInstnId/PstlAdr/Ctry
/Document/FICdtTrf/CdtTrfTxInf/UltmtDbtr/BrnchId/PstlAdr/Ctry
/Document/FICdtTrf/CdtTrfTxInf/UndrlygCstmrCdtTrf/Dbtr/PstlAdr/Ctry
/Document/FICdtTrf/CdtTrfTxInf/UndrlygCstmrCdtTrf/Dbtr/Id/PrvtId/DtAndPlcOfBirth/CtryOfBirth
/Document/FICdtTrf/CdtTrfTxInf/UndrlygCstmrCdtTrf/Dbtr/CtryOfRes
/Document/FICdtTrf/CdtTrfTxInf/UndrlygCstmrCdtTrf/UltmtDbtr/PstlAdr/Ctry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/Document/FICdtTrf/CdtTrfTxInf/UndrlygCstmrCdtTrf/InitgPty/CtryOfRes
/Document/FICdtTrf/CdtTrfTxInf/UndrlygCstmrCdtTrf/RmtInf/Strd/Invcr/PstlAdr/Ctry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/Document/FICdtTrf/CdtTrfTxInf/UndrlygCstmrCdtTrf/RmtInf/Strd/GrnshmtRmt/GrnshmtAdmstr/Id/PrvtId/DtAndPlcOfBirth/CtryOfBirth
/Document/FICdtTrf/CdtTrfTxInf/UndrlygCstmrCdtTrf/RmtInf/Strd/GrnshmtRmt/GrnshmtAdmstr/CtryOfRes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</si>
  <si>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&lt;MsgId&gt;SUMMITEMBER-MSG-009C&lt;/MsgId&gt;
      &lt;CreDtTm&gt;2026-07-28T13:31:41&lt;/CreDtTm&gt;
      &lt;NbOfTxs&gt;1&lt;/NbOfTxs&gt;
      &lt;SttlmInf&gt;
        &lt;SttlmMtd&gt;INDA&lt;/SttlmMtd&gt;
        &lt;InstgRmbrsmntAgt&gt;
          &lt;FinInstnId&gt;
            &lt;PstlAdr&gt;
              &lt;Ctry&gt;IR&lt;/Ctry&gt;
            &lt;/PstlAdr&gt;
          &lt;/FinInstnId&gt;
          &lt;BrnchId&gt;
            &lt;PstlAdr&gt;
              &lt;Ctry&gt;IR&lt;/Ctry&gt;
            &lt;/PstlAdr&gt;
          &lt;/BrnchId&gt;
        &lt;/InstgRmbrsmntAgt&gt;
        &lt;InstdRmbrsmntAgt&gt;
          &lt;FinInstnId&gt;
            &lt;PstlAdr&gt;
              &lt;Ctry&gt;IR&lt;/Ctry&gt;
            &lt;/PstlAdr&gt;
          &lt;/FinInstnId&gt;
          &lt;BrnchId&gt;
            &lt;PstlAdr&gt;
              &lt;Ctry&gt;IR&lt;/Ctry&gt;
            &lt;/PstlAdr&gt;
          &lt;/BrnchId&gt;
        &lt;/InstdRmbrsmntAgt&gt;
        &lt;ThrdRmbrsmntAgt&gt;
          &lt;FinInstnId&gt;
            &lt;PstlAdr&gt;
              &lt;Ctry&gt;IR&lt;/Ctry&gt;
            &lt;/PstlAdr&gt;
          &lt;/FinInstnId&gt;
          &lt;BrnchId&gt;
            &lt;PstlAdr&gt;
              &lt;Ctry&gt;IR&lt;/Ctry&gt;
            &lt;/PstlAdr&gt;
          &lt;/BrnchId&gt;
        &lt;/ThrdRmbrsmntAgt&gt;
      &lt;/SttlmInf&gt;
      &lt;InstgAgt&gt;
        &lt;FinInstnId&gt;
          &lt;PstlAdr&gt;
            &lt;Ctry&gt;IR&lt;/Ctry&gt;
          &lt;/PstlAdr&gt;
        &lt;/FinInstnId&gt;
        &lt;BrnchId&gt;
          &lt;PstlAdr&gt;
            &lt;Ctry&gt;IR&lt;/Ctry&gt;
          &lt;/PstlAdr&gt;
        &lt;/BrnchId&gt;
      &lt;/InstgAgt&gt;
      &lt;InstdAgt&gt;
        &lt;FinInstnId&gt;
          &lt;PstlAdr&gt;
            &lt;Ctry&gt;IR&lt;/Ctry&gt;
          &lt;/PstlAdr&gt;
        &lt;/FinInstnId&gt;
        &lt;BrnchId&gt;
          &lt;PstlAdr&gt;
            &lt;Ctry&gt;IR&lt;/Ctry&gt;
          &lt;/PstlAdr&gt;
        &lt;/BrnchId&gt;
      &lt;/InstdAgt&gt;
    &lt;/GrpHdr&gt;
    &lt;CdtTrfTxInf&gt;
      &lt;PmtId&gt;
        &lt;EndToEndId&gt;SE-E2E-009C&lt;/EndToEndId&gt;
      &lt;/PmtId&gt;
      &lt;IntrBkSttlmAmt Ccy="USD"&gt;1000.00&lt;/IntrBkSttlmAmt&gt;
      &lt;PrvsInstgAgt1&gt;
        &lt;FinInstnId&gt;
          &lt;PstlAdr&gt;
            &lt;Ctry&gt;IR&lt;/Ctry&gt;
          &lt;/PstlAdr&gt;
        &lt;/FinInstnId&gt;
        &lt;BrnchId&gt;
          &lt;PstlAdr&gt;
            &lt;Ctry&gt;IR&lt;/Ctry&gt;
          &lt;/PstlAdr&gt;
        &lt;/BrnchId&gt;
      &lt;/PrvsInstgAgt1&gt;
      &lt;PrvsInstgAgt2&gt;
        &lt;FinInstnId&gt;
          &lt;PstlAdr&gt;
            &lt;Ctry&gt;IR&lt;/Ctry&gt;
          &lt;/PstlAdr&gt;
        &lt;/FinInstnId&gt;
        &lt;BrnchId&gt;
          &lt;PstlAdr&gt;
            &lt;Ctry&gt;IR&lt;/Ctry&gt;
          &lt;/PstlAdr&gt;
        &lt;/BrnchId&gt;
      &lt;/PrvsInstgAgt2&gt;
      &lt;PrvsInstgAgt3&gt;
        &lt;FinInstnId&gt;
          &lt;PstlAdr&gt;
            &lt;Ctry&gt;IR&lt;/Ctry&gt;
          &lt;/PstlAdr&gt;
        &lt;/FinInstnId&gt;
        &lt;BrnchId&gt;
          &lt;PstlAdr&gt;
            &lt;Ctry&gt;IR&lt;/Ctry&gt;
          &lt;/PstlAdr&gt;
        &lt;/BrnchId&gt;
      &lt;/PrvsInstgAgt3&gt;
      &lt;InstgAgt&gt;
        &lt;FinInstnId&gt;
          &lt;PstlAdr&gt;
            &lt;Ctry&gt;IR&lt;/Ctry&gt;
          &lt;/PstlAdr&gt;
        &lt;/FinInstnId&gt;
        &lt;BrnchId&gt;
          &lt;PstlAdr&gt;
            &lt;Ctry&gt;IR&lt;/Ctry&gt;
          &lt;/PstlAdr&gt;
        &lt;/BrnchId&gt;
      &lt;/InstgAgt&gt;
      &lt;InstdAgt&gt;
        &lt;FinInstnId&gt;
          &lt;PstlAdr&gt;
            &lt;Ctry&gt;IR&lt;/Ctry&gt;
          &lt;/PstlAdr&gt;
        &lt;/FinInstnId&gt;
        &lt;BrnchId&gt;
          &lt;PstlAdr&gt;
            &lt;Ctry&gt;IR&lt;/Ctry&gt;
          &lt;/PstlAdr&gt;
        &lt;/BrnchId&gt;
      &lt;/InstdAgt&gt;
      &lt;IntrmyAgt1&gt;
        &lt;FinInstnId&gt;
          &lt;PstlAdr&gt;
            &lt;Ctry&gt;IR&lt;/Ctry&gt;
          &lt;/PstlAdr&gt;
        &lt;/FinInstnId&gt;
        &lt;BrnchId&gt;
          &lt;PstlAdr&gt;
            &lt;Ctry&gt;IR&lt;/Ctry&gt;
          &lt;/PstlAdr&gt;
        &lt;/BrnchId&gt;
      &lt;/IntrmyAgt1&gt;
      &lt;IntrmyAgt2&gt;
        &lt;FinInstnId&gt;
          &lt;PstlAdr&gt;
            &lt;Ctry&gt;IR&lt;/Ctry&gt;
          &lt;/PstlAdr&gt;
        &lt;/FinInstnId&gt;
        &lt;BrnchId&gt;
          &lt;PstlAdr&gt;
            &lt;Ctry&gt;IR&lt;/Ctry&gt;
          &lt;/PstlAdr&gt;
        &lt;/BrnchId&gt;
      &lt;/IntrmyAgt2&gt;
      &lt;IntrmyAgt3&gt;
        &lt;FinInstnId&gt;
          &lt;PstlAdr&gt;
            &lt;Ctry&gt;IR&lt;/Ctry&gt;
          &lt;/PstlAdr&gt;
        &lt;/FinInstnId&gt;
        &lt;BrnchId&gt;
          &lt;PstlAdr&gt;
            &lt;Ctry&gt;IR&lt;/Ctry&gt;
          &lt;/PstlAdr&gt;
        &lt;/BrnchId&gt;
      &lt;/IntrmyAgt3&gt;
      &lt;UltmtDbtr&gt;
        &lt;FinInstnId&gt;
          &lt;PstlAdr&gt;
            &lt;Ctry&gt;IR&lt;/Ctry&gt;
          &lt;/PstlAdr&gt;
        &lt;/FinInstnId&gt;
        &lt;BrnchId&gt;
          &lt;PstlAdr&gt;
            &lt;Ctry&gt;IR&lt;/Ctry&gt;
          &lt;/PstlAdr&gt;
        &lt;/BrnchId&gt;
      &lt;/UltmtDbtr&gt;
      &lt;Dbtr&gt;
        &lt;FinInstnId&gt;
          &lt;PstlAdr&gt;
            &lt;Ctry&gt;IR&lt;/Ctry&gt;
          &lt;/PstlAdr&gt;
        &lt;/FinInstnId&gt;
        &lt;BrnchId&gt;
          &lt;PstlAdr&gt;
            &lt;Ctry&gt;IR&lt;/Ctry&gt;
          &lt;/PstlAdr&gt;
        &lt;/BrnchId&gt;
      &lt;/Dbtr&gt;
      &lt;DbtrAgt&gt;
        &lt;FinInstnId&gt;
          &lt;PstlAdr&gt;
            &lt;Ctry&gt;IR&lt;/Ctry&gt;
          &lt;/PstlAdr&gt;
        &lt;/FinInstnId&gt;
        &lt;BrnchId&gt;
          &lt;PstlAdr&gt;
            &lt;Ctry&gt;IR&lt;/Ctry&gt;
          &lt;/PstlAdr&gt;
        &lt;/BrnchId&gt;
      &lt;/DbtrAgt&gt;
      &lt;CdtrAgt&gt;
        &lt;FinInstnId&gt;
          &lt;PstlAdr&gt;
            &lt;Ctry&gt;IR&lt;/Ctry&gt;
          &lt;/PstlAdr&gt;
        &lt;/FinInstnId&gt;
        &lt;BrnchId&gt;
          &lt;PstlAdr&gt;
            &lt;Ctry&gt;IR&lt;/Ctry&gt;
          &lt;/PstlAdr&gt;
        &lt;/BrnchId&gt;
      &lt;/CdtrAgt&gt;
      &lt;Cdtr&gt;
        &lt;FinInstnId&gt;
          &lt;PstlAdr&gt;
            &lt;Ctry&gt;IR&lt;/Ctry&gt;
          &lt;/PstlAdr&gt;
        &lt;/FinInstnId&gt;
        &lt;BrnchId&gt;
          &lt;PstlAdr&gt;
            &lt;Ctry&gt;IR&lt;/Ctry&gt;
          &lt;/PstlAdr&gt;
        &lt;/BrnchId&gt;
      &lt;/Cdtr&gt;
      &lt;UltmtCdtr&gt;
        &lt;FinInstnId&gt;
          &lt;PstlAdr&gt;
            &lt;Ctry&gt;IR&lt;/Ctry&gt;
          &lt;/PstlAdr&gt;
        &lt;/FinInstnId&gt;
        &lt;BrnchId&gt;
          &lt;PstlAdr&gt;
            &lt;Ctry&gt;IR&lt;/Ctry&gt;
          &lt;/PstlAdr&gt;
        &lt;/BrnchId&gt;
      &lt;/UltmtCdtr&gt;
      &lt;UndrlygCstmrCdtTrf&gt;
        &lt;UltmtDbtr&gt;
          &lt;PstlAdr&gt;
            &lt;Ctry&gt;IR&lt;/Ctry&gt;
          &lt;/PstlAdr&gt;
          &lt;Id&gt;
            &lt;PrvtId&gt;
              &lt;DtAndPlcOfBirth&gt;
                &lt;BirthDt&gt;1990-01-01&lt;/BirthDt&gt;
                &lt;CityOfBirth&gt;SUMMIT EMBER&lt;/CityOfBirth&gt;
                &lt;CtryOfBirth&gt;IR&lt;/CtryOfBirth&gt;
              &lt;/DtAndPlcOfBirth&gt;
            &lt;/PrvtId&gt;
          &lt;/Id&gt;
          &lt;CtryOfRes&gt;IR&lt;/CtryOfRes&gt;
        &lt;/UltmtDbtr&gt;
        &lt;InitgPty&gt;
          &lt;PstlAdr&gt;
            &lt;Ctry&gt;IR&lt;/Ctry&gt;
          &lt;/PstlAdr&gt;
          &lt;Id&gt;
            &lt;PrvtId&gt;
              &lt;DtAndPlcOfBirth&gt;
                &lt;BirthDt&gt;1990-01-01&lt;/BirthDt&gt;
                &lt;CityOfBirth&gt;SUMMIT EMBER&lt;/CityOfBirth&gt;
                &lt;CtryOfBirth&gt;IR&lt;/CtryOfBirth&gt;
              &lt;/DtAndPlcOfBirth&gt;
            &lt;/PrvtId&gt;
          &lt;/Id&gt;
          &lt;CtryOfRes&gt;IR&lt;/CtryOfRes&gt;
        &lt;/InitgPty&gt;
        &lt;Dbtr&gt;
          &lt;PstlAdr&gt;
            &lt;Ctry&gt;IR&lt;/Ctry&gt;
          &lt;/PstlAdr&gt;
          &lt;Id&gt;
            &lt;PrvtId&gt;
              &lt;DtAndPlcOfBirth&gt;
                &lt;BirthDt&gt;1990-01-01&lt;/BirthDt&gt;
                &lt;CityOfBirth&gt;SUMMIT EMBER&lt;/CityOfBirth&gt;
                &lt;CtryOfBirth&gt;IR&lt;/CtryOfBirth&gt;
              &lt;/DtAndPlcOfBirth&gt;
            &lt;/PrvtId&gt;
          &lt;/Id&gt;
          &lt;CtryOfRes&gt;IR&lt;/CtryOfRes&gt;
        &lt;/Dbtr&gt;
        &lt;DbtrAgt&gt;
          &lt;FinInstnId&gt;
            &lt;PstlAdr&gt;
              &lt;Ctry&gt;IR&lt;/Ctry&gt;
            &lt;/PstlAdr&gt;
          &lt;/FinInstnId&gt;
          &lt;BrnchId&gt;
            &lt;PstlAdr&gt;
              &lt;Ctry&gt;IR&lt;/Ctry&gt;
            &lt;/PstlAdr&gt;
          &lt;/BrnchId&gt;
        &lt;/DbtrAgt&gt;
        &lt;PrvsInstgAgt1&gt;
          &lt;FinInstnId&gt;
            &lt;PstlAdr&gt;
              &lt;Ctry&gt;IR&lt;/Ctry&gt;
            &lt;/PstlAdr&gt;
          &lt;/FinInstnId&gt;
          &lt;BrnchId&gt;
            &lt;PstlAdr&gt;
              &lt;Ctry&gt;IR&lt;/Ctry&gt;
            &lt;/PstlAdr&gt;
          &lt;/BrnchId&gt;
        &lt;/PrvsInstgAgt1&gt;
        &lt;PrvsInstgAgt2&gt;
          &lt;FinInstnId&gt;
            &lt;PstlAdr&gt;
              &lt;Ctry&gt;IR&lt;/Ctry&gt;
            &lt;/PstlAdr&gt;
          &lt;/FinInstnId&gt;
          &lt;BrnchId&gt;
            &lt;PstlAdr&gt;
              &lt;Ctry&gt;IR&lt;/Ctry&gt;
            &lt;/PstlAdr&gt;
          &lt;/BrnchId&gt;
        &lt;/PrvsInstgAgt2&gt;
        &lt;PrvsInstgAgt3&gt;
          &lt;FinInstnId&gt;
            &lt;PstlAdr&gt;
              &lt;Ctry&gt;IR&lt;/Ctry&gt;
            &lt;/PstlAdr&gt;
          &lt;/FinInstnId&gt;
          &lt;BrnchId&gt;
            &lt;PstlAdr&gt;
              &lt;Ctry&gt;IR&lt;/Ctry&gt;
            &lt;/PstlAdr&gt;
          &lt;/BrnchId&gt;
        &lt;/PrvsInstgAgt3&gt;
        &lt;IntrmyAgt1&gt;
          &lt;FinInstnId&gt;
            &lt;PstlAdr&gt;
              &lt;Ctry&gt;IR&lt;/Ctry&gt;
            &lt;/PstlAdr&gt;
          &lt;/FinInstnId&gt;
          &lt;BrnchId&gt;
            &lt;PstlAdr&gt;
              &lt;Ctry&gt;IR&lt;/Ctry&gt;
            &lt;/PstlAdr&gt;
          &lt;/BrnchId&gt;
        &lt;/IntrmyAgt1&gt;
        &lt;IntrmyAgt2&gt;
          &lt;FinInstnId&gt;
            &lt;PstlAdr&gt;
              &lt;Ctry&gt;IR&lt;/Ctry&gt;
            &lt;/PstlAdr&gt;
          &lt;/FinInstnId&gt;
          &lt;BrnchId&gt;
            &lt;PstlAdr&gt;
              &lt;Ctry&gt;IR&lt;/Ctry&gt;
            &lt;/PstlAdr&gt;
          &lt;/BrnchId&gt;
        &lt;/IntrmyAgt2&gt;
        &lt;IntrmyAgt3&gt;
          &lt;FinInstnId&gt;
            &lt;PstlAdr&gt;
              &lt;Ctry&gt;IR&lt;/Ctry&gt;
            &lt;/PstlAdr&gt;
          &lt;/FinInstnId&gt;
          &lt;BrnchId&gt;
            &lt;PstlAdr&gt;
              &lt;Ctry&gt;IR&lt;/Ctry&gt;
            &lt;/PstlAdr&gt;
          &lt;/BrnchId&gt;
        &lt;/IntrmyAgt3&gt;
        &lt;CdtrAgt&gt;
          &lt;FinInstnId&gt;
            &lt;PstlAdr&gt;
              &lt;Ctry&gt;IR&lt;/Ctry&gt;
            &lt;/PstlAdr&gt;
          &lt;/FinInstnId&gt;
          &lt;BrnchId&gt;
            &lt;PstlAdr&gt;
              &lt;Ctry&gt;IR&lt;/Ctry&gt;
            &lt;/PstlAdr&gt;
          &lt;/BrnchId&gt;
        &lt;/CdtrAgt&gt;
        &lt;Cdtr&gt;
          &lt;PstlAdr&gt;
            &lt;Ctry&gt;IR&lt;/Ctry&gt;
          &lt;/PstlAdr&gt;
          &lt;Id&gt;
            &lt;PrvtId&gt;
              &lt;DtAndPlcOfBirth&gt;
                &lt;BirthDt&gt;1990-01-01&lt;/BirthDt&gt;
                &lt;CityOfBirth&gt;SUMMIT EMBER&lt;/CityOfBirth&gt;
                &lt;CtryOfBirth&gt;IR&lt;/CtryOfBirth&gt;
              &lt;/DtAndPlcOfBirth&gt;
            &lt;/PrvtId&gt;
          &lt;/Id&gt;
          &lt;CtryOfRes&gt;IR&lt;/CtryOfRes&gt;
        &lt;/Cdtr&gt;
        &lt;UltmtCdtr&gt;
          &lt;PstlAdr&gt;
            &lt;Ctry&gt;IR&lt;/Ctry&gt;
          &lt;/PstlAdr&gt;
          &lt;Id&gt;
            &lt;PrvtId&gt;
              &lt;DtAndPlcOfBirth&gt;
                &lt;BirthDt&gt;1990-01-01&lt;/BirthDt&gt;
                &lt;CityOfBirth&gt;SUMMIT EMBER&lt;/CityOfBirth&gt;
                &lt;CtryOfBirth&gt;IR&lt;/CtryOfBirth&gt;
              &lt;/DtAndPlcOfBirth&gt;
            &lt;/PrvtId&gt;
          &lt;/Id&gt;
          &lt;CtryOfRes&gt;IR&lt;/CtryOfRes&gt;
        &lt;/UltmtCdtr&gt;
        &lt;RmtInf&gt;
          &lt;Strd&gt;
            &lt;Invcr&gt;
              &lt;PstlAdr&gt;
                &lt;Ctry&gt;IR&lt;/Ctry&gt;
              &lt;/PstlAdr&gt;
              &lt;Id&gt;
                &lt;PrvtId&gt;
                  &lt;DtAndPlcOfBirth&gt;
                    &lt;BirthDt&gt;1990-01-01&lt;/BirthDt&gt;
                    &lt;CityOfBirth&gt;SUMMIT EMBER&lt;/CityOfBirth&gt;
                    &lt;CtryOfBirth&gt;IR&lt;/CtryOfBirth&gt;
                  &lt;/DtAndPlcOfBirth&gt;
                &lt;/PrvtId&gt;
              &lt;/Id&gt;
              &lt;CtryOfRes&gt;IR&lt;/CtryOfRes&gt;
            &lt;/Invcr&gt;
            &lt;Invcee&gt;
              &lt;PstlAdr&gt;
                &lt;Ctry&gt;IR&lt;/Ctry&gt;
              &lt;/PstlAdr&gt;
              &lt;Id&gt;
                &lt;PrvtId&gt;
                  &lt;DtAndPlcOfBirth&gt;
                    &lt;BirthDt&gt;1990-01-01&lt;/BirthDt&gt;
                    &lt;CityOfBirth&gt;SUMMIT EMBER&lt;/CityOfBirth&gt;
                    &lt;CtryOfBirth&gt;IR&lt;/CtryOfBirth&gt;
                  &lt;/DtAndPlcOfBirth&gt;
                &lt;/PrvtId&gt;
              &lt;/Id&gt;
              &lt;CtryOfRes&gt;IR&lt;/CtryOfRes&gt;
            &lt;/Invcee&gt;
            &lt;GrnshmtRmt&gt;
              &lt;Tp&gt;
                &lt;CdOrPrtry&gt;
                  &lt;Prtry&gt;GARNISHMENT&lt;/Prtry&gt;
                &lt;/CdOrPrtry&gt;
              &lt;/Tp&gt;
              &lt;Grnshee&gt;
                &lt;PstlAdr&gt;
                  &lt;Ctry&gt;IR&lt;/Ctry&gt;
                &lt;/PstlAdr&gt;
                &lt;Id&gt;
                  &lt;PrvtId&gt;
                    &lt;DtAndPlcOfBirth&gt;
                      &lt;BirthDt&gt;1990-01-01&lt;/BirthDt&gt;
                      &lt;CityOfBirth&gt;SUMMIT EMBER&lt;/CityOfBirth&gt;
                      &lt;CtryOfBirth&gt;IR&lt;/CtryOfBirth&gt;
                    &lt;/DtAndPlcOfBirth&gt;
                  &lt;/PrvtId&gt;
                &lt;/Id&gt;
                &lt;CtryOfRes&gt;IR&lt;/CtryOfRes&gt;
              &lt;/Grnshee&gt;
              &lt;GrnshmtAdmstr&gt;
                &lt;PstlAdr&gt;
                  &lt;Ctry&gt;IR&lt;/Ctry&gt;
                &lt;/PstlAdr&gt;
                &lt;Id&gt;
                  &lt;PrvtId&gt;
                    &lt;DtAndPlcOfBirth&gt;
                      &lt;BirthDt&gt;1990-01-01&lt;/BirthDt&gt;
                      &lt;CityOfBirth&gt;SUMMIT EMBER&lt;/CityOfBirth&gt;
                      &lt;CtryOfBirth&gt;IR&lt;/CtryOfBirth&gt;
                    &lt;/DtAndPlcOfBirth&gt;
                  &lt;/PrvtId&gt;
                &lt;/Id&gt;
                &lt;CtryOfRes&gt;IR&lt;/CtryOfRes&gt;
              &lt;/GrnshmtAdmstr&gt;
            &lt;/GrnshmtRmt&gt;
          &lt;/Strd&gt;
        &lt;/RmtInf&gt;
      &lt;/UndrlygCstmrCdtTrf&gt;
    &lt;/CdtTrfTxInf&gt;
  &lt;/FICdtTrf&gt;
&lt;/Document&gt;</t>
  </si>
  <si>
    <t>2. Hệ thống trả kết quả: HIT với Webservice Country and City
Câu query kiểm tra kết quả (KET_QUA = HIT):
SELECT CASE
         WHEN COUNT(*) = 81 THEN 'HIT'
         ELSE 'NO HIT'
       END AS KET_QUA
FROM (
    SELECT T.N_WEBSERVICE_ID,
           REGEXP_REPLACE(TRIM(X.X_PATH_SPLIT), '\[\d+\]', '') AS X_PATH
    FROM FSI_RT_XML_WLS_RESPONSE T
    CROSS APPLY (
        SELECT REGEXP_SUBSTR(TO_CHAR(T.X_PATH), '[^,]+', 1, LEVEL) AS X_PATH_SPLIT
        FROM DUAL
        CONNECT BY LEVEL &lt;= REGEXP_COUNT(TO_CHAR(T.X_PATH), ',') + 1
    ) X
    WHERE T.N_GRP_MSG_ID = :N_GRP_MSG_ID
      AND T.N_WEBSERVICE_ID = 3
      AND REGEXP_REPLACE(TRIM(X.X_PATH_SPLIT), '\[\d+\]', '') IN (
'Document/FICdtTrf/GrpHdr/SttlmInf/InstgRmbrsmntAgt/FinInstnId/PstlAdr/Ctry',
'Document/FICdtTrf/GrpHdr/SttlmInf/InstgRmbrsmntAgt/BrnchId/PstlAdr/Ctry',
'Document/FICdtTrf/GrpHdr/SttlmInf/InstdRmbrsmntAgt/FinInstnId/PstlAdr/Ctry',
'Document/FICdtTrf/GrpHdr/SttlmInf/InstdRmbrsmntAgt/BrnchId/PstlAdr/Ctry',
'Document/FICdtTrf/GrpHdr/SttlmInf/ThrdRmbrsmntAgt/FinInstnId/PstlAdr/Ctry',
'Document/FICdtTrf/GrpHdr/SttlmInf/ThrdRmbrsmntAgt/BrnchId/PstlAdr/Ctry',
'Document/FICdtTrf/GrpHdr/InstgAgt/FinInstnId/PstlAdr/Ctry',
'Document/FICdtTrf/GrpHdr/InstgAgt/BrnchId/PstlAdr/Ctry',
'Document/FICdtTrf/GrpHdr/InstdAgt/FinInstnId/PstlAdr/Ctry',
'Document/FICdtTrf/GrpHdr/InstdAgt/BrnchId/PstlAdr/Ctry',
'Document/FICdtTrf/CdtTrfTxInf/PrvsInstgAgt1/FinInstnId/PstlAdr/Ctry',
'Document/FICdtTrf/CdtTrfTxInf/PrvsInstgAgt1/BrnchId/PstlAdr/Ctry',
'Document/FICdtTrf/CdtTrfTxInf/PrvsInstgAgt2/FinInstnId/PstlAdr/Ctry',
'Document/FICdtTrf/CdtTrfTxInf/PrvsInstgAgt2/BrnchId/PstlAdr/Ctry',
'Document/FICdtTrf/CdtTrfTxInf/PrvsInstgAgt3/FinInstnId/PstlAdr/Ctry',
'Document/FICdtTrf/CdtTrfTxInf/PrvsInstgAgt3/BrnchId/PstlAdr/Ctry',
'Document/FICdtTrf/CdtTrfTxInf/IntrmyAgt1/FinInstnId/PstlAdr/Ctry',
'Document/FICdtTrf/CdtTrfTxInf/IntrmyAgt1/BrnchId/PstlAdr/Ctry',
'Document/FICdtTrf/CdtTrfTxInf/IntrmyAgt2/FinInstnId/PstlAdr/Ctry',
'Document/FICdtTrf/CdtTrfTxInf/IntrmyAgt2/BrnchId/PstlAdr/Ctry',
'Document/FICdtTrf/CdtTrfTxInf/IntrmyAgt3/FinInstnId/PstlAdr/Ctry',
'Document/FICdtTrf/CdtTrfTxInf/IntrmyAgt3/BrnchId/PstlAdr/Ctry',
'Document/FICdtTrf/CdtTrfTxInf/DbtrAgt/FinInstnId/PstlAdr/Ctry',
'Document/FICdtTrf/CdtTrfTxInf/DbtrAgt/BrnchId/PstlAdr/Ctry',
'Document/FICdtTrf/CdtTrfTxInf/CdtrAgt/FinInstnId/PstlAdr/Ctry',
'Document/FICdtTrf/CdtTrfTxInf/CdtrAgt/BrnchId/PstlAdr/Ctry',
'Document/FICdtTrf/CdtTrfTxInf/InstgAgt/FinInstnId/PstlAdr/Ctry',
'Document/FICdtTrf/CdtTrfTxInf/InstgAgt/BrnchId/PstlAdr/Ctry',
'Document/FICdtTrf/CdtTrfTxInf/InstdAgt/FinInstnId/PstlAdr/Ctry',
'Document/FICdtTrf/CdtTrfTxInf/InstdAgt/BrnchId/PstlAdr/Ctry',
'Document/FICdtTrf/CdtTrfTxInf/UndrlygCstmrCdtTrf/DbtrAgt/FinInstnId/PstlAdr/Ctry',
'Document/FICdtTrf/CdtTrfTxInf/UndrlygCstmrCdtTrf/DbtrAgt/BrnchId/PstlAdr/Ctry',
'Document/FICdtTrf/CdtTrfTxInf/UndrlygCstmrCdtTrf/PrvsInstgAgt1/FinInstnId/PstlAdr/Ctry',
'Document/FICdtTrf/CdtTrfTxInf/UndrlygCstmrCdtTrf/PrvsInstgAgt1/BrnchId/PstlAdr/Ctry',
'Document/FICdtTrf/CdtTrfTxInf/UndrlygCstmrCdtTrf/PrvsInstgAgt2/FinInstnId/PstlAdr/Ctry',
'Document/FICdtTrf/CdtTrfTxInf/UndrlygCstmrCdtTrf/PrvsInstgAgt2/BrnchId/PstlAdr/Ctry',
'Document/FICdtTrf/CdtTrfTxInf/UndrlygCstmrCdtTrf/PrvsInstgAgt3/FinInstnId/PstlAdr/Ctry',
'Document/FICdtTrf/CdtTrfTxInf/UndrlygCstmrCdtTrf/PrvsInstgAgt3/BrnchId/PstlAdr/Ctry',
'Document/FICdtTrf/CdtTrfTxInf/UndrlygCstmrCdtTrf/IntrmyAgt1/FinInstnId/PstlAdr/Ctry',
'Document/FICdtTrf/CdtTrfTxInf/UndrlygCstmrCdtTrf/IntrmyAgt1/BrnchId/PstlAdr/Ctry',
'Document/FICdtTrf/CdtTrfTxInf/UndrlygCstmrCdtTrf/IntrmyAgt2/FinInstnId/PstlAdr/Ctry',
'Document/FICdtTrf/CdtTrfTxInf/UndrlygCstmrCdtTrf/IntrmyAgt2/BrnchId/PstlAdr/Ctry',
'Document/FICdtTrf/CdtTrfTxInf/UndrlygCstmrCdtTrf/IntrmyAgt3/FinInstnId/PstlAdr/Ctry',
'Document/FICdtTrf/CdtTrfTxInf/UndrlygCstmrCdtTrf/IntrmyAgt3/BrnchId/PstlAdr/Ctry',
'Document/FICdtTrf/CdtTrfTxInf/UndrlygCstmrCdtTrf/CdtrAgt/FinInstnId/PstlAdr/Ctry',
'Document/FICdtTrf/CdtTrfTxInf/UndrlygCstmrCdtTrf/CdtrAgt/BrnchId/PstlAdr/Ctry',
'Document/FICdtTrf/CdtTrfTxInf/Cdtr/FinInstnId/PstlAdr/Ctry',
'Document/FICdtTrf/CdtTrfTxInf/Cdtr/BrnchId/PstlAdr/Ctry',
'Document/FICdtTrf/CdtTrfTxInf/UltmtCdtr/FinInstnId/PstlAdr/Ctry',
'Document/FICdtTrf/CdtTrfTxInf/UltmtCdtr/BrnchId/PstlAdr/Ctry',
'Document/FICdtTrf/CdtTrfTxInf/UndrlygCstmrCdtTrf/Cdtr/PstlAdr/Ctry',
'Document/FICdtTrf/CdtTrfTxInf/UndrlygCstmrCdtTrf/Cdtr/Id/PrvtId/DtAndPlcOfBirth/CtryOfBirth',
'Document/FICdtTrf/CdtTrfTxInf/UndrlygCstmrCdtTrf/Cdtr/CtryOfRes',
'Document/FICdtTrf/CdtTrfTxInf/UndrlygCstmrCdtTrf/UltmtCdtr/PstlAdr/Ctry',
'Document/FICdtTrf/CdtTrfTxInf/UndrlygCstmrCdtTrf/UltmtCdtr/Id/PrvtId/DtAndPlcOfBirth/CtryOfBirth',
'Document/FICdtTrf/CdtTrfTxInf/UndrlygCstmrCdtTrf/UltmtCdtr/CtryOfRes',
'Document/FICdtTrf/CdtTrfTxInf/Dbtr/FinInstnId/PstlAdr/Ctry',
'Document/FICdtTrf/CdtTrfTxInf/Dbtr/BrnchId/PstlAdr/Ctry',
'Document/FICdtTrf/CdtTrfTxInf/UltmtDbtr/FinInstnId/PstlAdr/Ctry',
'Document/FICdtTrf/CdtTrfTxInf/UltmtDbtr/BrnchId/PstlAdr/Ctry',
'Document/FICdtTrf/CdtTrfTxInf/UndrlygCstmrCdtTrf/Dbtr/PstlAdr/Ctry',
'Document/FICdtTrf/CdtTrfTxInf/UndrlygCstmrCdtTrf/Dbtr/Id/PrvtId/DtAndPlcOfBirth/CtryOfBirth',
'Document/FICdtTrf/CdtTrfTxInf/UndrlygCstmrCdtTrf/Dbtr/CtryOfRes',
'Document/FICdtTrf/CdtTrfTxInf/UndrlygCstmrCdtTrf/UltmtDbtr/PstlAdr/Ctry',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'Document/FICdtTrf/CdtTrfTxInf/UndrlygCstmrCdtTrf/InitgPty/CtryOfRes',
'Document/FICdtTrf/CdtTrfTxInf/UndrlygCstmrCdtTrf/RmtInf/Strd/Invcr/PstlAdr/Ctry',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'Document/FICdtTrf/CdtTrfTxInf/UndrlygCstmrCdtTrf/RmtInf/Strd/GrnshmtRmt/GrnshmtAdmstr/Id/PrvtId/DtAndPlcOfBirth/CtryOfBirth',
'Document/FICdtTrf/CdtTrfTxInf/UndrlygCstmrCdtTrf/RmtInf/Strd/GrnshmtRmt/GrnshmtAdmstr/CtryOfRes'
)
    GROUP BY T.N_WEBSERVICE_ID,
             REGEXP_REPLACE(TRIM(X.X_PATH_SPLIT), '\[\d+\]', '')
    HAVING COUNT(CASE WHEN T.V_MATCHED_LIST_NAME = 'Blacklisted Country' THEN 1 END) &gt; 0
);</t>
  </si>
  <si>
    <t>Pacs009.04</t>
  </si>
  <si>
    <t>Sàng lọc giao dịch Pacs.009 - Identifier - Entity</t>
  </si>
  <si>
    <t>1. Đẩy giao dịch vào API Post Message với trường thông tin có XML path 
/Document/FICdtTrf/GrpHdr/SttlmInf/InstgRmbrsmntAgt/FinInstnId/Othr/Id
/Document/FICdtTrf/GrpHdr/SttlmInf/InstdRmbrsmntAgt/FinInstnId/Othr/Id
/Document/FICdtTrf/GrpHdr/SttlmInf/ThrdRmbrsmntAgt/FinInstnId/Othr/Id
/Document/FICdtTrf/GrpHdr/InstgAgt/FinInstnId/Othr/Id
/Document/FICdtTrf/GrpHdr/InstdAgt/FinInstnId/Othr/Id
/Document/FICdtTrf/CdtTrfTxInf/PrvsInstgAgt1/FinInstnId/Othr/Id
/Document/FICdtTrf/CdtTrfTxInf/PrvsInstgAgt2/FinInstnId/Othr/Id
/Document/FICdtTrf/CdtTrfTxInf/PrvsInstgAgt3/FinInstnId/Othr/Id
/Document/FICdtTrf/CdtTrfTxInf/IntrmyAgt1/FinInstnId/Othr/Id
/Document/FICdtTrf/CdtTrfTxInf/IntrmyAgt2/FinInstnId/Othr/Id
/Document/FICdtTrf/CdtTrfTxInf/IntrmyAgt3/FinInstnId/Othr/Id
/Document/FICdtTrf/CdtTrfTxInf/DbtrAgt/FinInstnId/Othr/Id
/Document/FICdtTrf/CdtTrfTxInf/CdtrAgt/FinInstnId/Othr/Id
/Document/FICdtTrf/CdtTrfTxInf/InstgAgt/FinInstnId/Othr/Id
/Document/FICdtTrf/CdtTrfTxInf/InstdAgt/FinInstnId/Othr/Id
/Document/FICdtTrf/CdtTrfTxInf/UndrlygCstmrCdtTrf/DbtrAgt/FinInstnId/Othr/Id
/Document/FICdtTrf/CdtTrfTxInf/UndrlygCstmrCdtTrf/PrvsInstgAgt1/FinInstnId/Othr/Id
/Document/FICdtTrf/CdtTrfTxInf/UndrlygCstmrCdtTrf/PrvsInstgAgt2/FinInstnId/Othr/Id
/Document/FICdtTrf/CdtTrfTxInf/UndrlygCstmrCdtTrf/PrvsInstgAgt3/FinInstnId/Othr/Id
/Document/FICdtTrf/CdtTrfTxInf/UndrlygCstmrCdtTrf/IntrmyAgt1/FinInstnId/Othr/Id
/Document/FICdtTrf/CdtTrfTxInf/UndrlygCstmrCdtTrf/IntrmyAgt2/FinInstnId/Othr/Id
/Document/FICdtTrf/CdtTrfTxInf/UndrlygCstmrCdtTrf/IntrmyAgt3/FinInstnId/Othr/Id
/Document/FICdtTrf/CdtTrfTxInf/UndrlygCstmrCdtTrf/CdtrAgt/FinInstnId/Othr/Id
/Document/FICdtTrf/CdtTrfTxInf/Cdtr/FinInstnId/Othr/Id
/Document/FICdtTrf/CdtTrfTxInf/UltmtCdtr/FinInstnId/Othr/Id
/Document/FICdtTrf/CdtTrfTxInf/UndrlygCstmrCdtTrf/Cdtr/Id/OrgId/Othr/Id
/Document/FICdtTrf/CdtTrfTxInf/UndrlygCstmrCdtTrf/UltmtCdtr/Id/OrgId/Othr/Id
/Document/FICdtTrf/CdtTrfTxInf/Dbtr/FinInstnId/Othr/Id
/Document/FICdtTrf/CdtTrfTxInf/UltmtDbtr/FinInstnId/Othr/Id
/Document/FICdtTrf/CdtTrfTxInf/UndrlygCstmrCdtTrf/Dbtr/Id/OrgId/Othr/Id
/Document/FICdtTrf/CdtTrfTxInf/UndrlygCstmrCdtTrf/UltmtDbtr/Id/OrgId/Othr/Id
/Document/FICdtTrf/CdtTrfTxInf/UndrlygCstmrCdtTrf/InitgPty/Id/OrgId/Othr/Id
/Document/FICdtTrf/CdtTrfTxInf/UndrlygCstmrCdtTrf/RmtInf/Strd/Invcr/Id/OrgId/Othr/Id
/Document/FICdtTrf/CdtTrfTxInf/UndrlygCstmrCdtTrf/RmtInf/Strd/Invcee/Id/OrgId/Othr/Id
/Document/FICdtTrf/CdtTrfTxInf/UndrlygCstmrCdtTrf/RmtInf/Strd/GrnshmtRmt/Grnshee/Id/OrgId/Othr/Id
/Document/FICdtTrf/CdtTrfTxInf/UndrlygCstmrCdtTrf/RmtInf/Strd/GrnshmtRmt/GrnshmtAdmstr/Id/OrgId/Othr/Id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</si>
  <si>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&lt;MsgId&gt;SUMMITEMBER-MSG-009O&lt;/MsgId&gt;
      &lt;CreDtTm&gt;2026-07-28T13:31:41&lt;/CreDtTm&gt;
      &lt;NbOfTxs&gt;1&lt;/NbOfTxs&gt;
      &lt;SttlmInf&gt;
        &lt;SttlmMtd&gt;INDA&lt;/SttlmMtd&gt;
        &lt;InstgRmbrsmntAgt&gt;
          &lt;FinInstnId&gt;
            &lt;Othr&gt;
              &lt;Id&gt;0099887766&lt;/Id&gt;
            &lt;/Othr&gt;
          &lt;/FinInstnId&gt;
        &lt;/InstgRmbrsmntAgt&gt;
        &lt;InstdRmbrsmntAgt&gt;
          &lt;FinInstnId&gt;
            &lt;Othr&gt;
              &lt;Id&gt;0099887766&lt;/Id&gt;
            &lt;/Othr&gt;
          &lt;/FinInstnId&gt;
        &lt;/InstdRmbrsmntAgt&gt;
        &lt;ThrdRmbrsmntAgt&gt;
          &lt;FinInstnId&gt;
            &lt;Othr&gt;
              &lt;Id&gt;0099887766&lt;/Id&gt;
            &lt;/Othr&gt;
          &lt;/FinInstnId&gt;
        &lt;/ThrdRmbrsmntAgt&gt;
      &lt;/SttlmInf&gt;
      &lt;InstgAgt&gt;
        &lt;FinInstnId&gt;
          &lt;Othr&gt;
            &lt;Id&gt;0099887766&lt;/Id&gt;
          &lt;/Othr&gt;
        &lt;/FinInstnId&gt;
      &lt;/InstgAgt&gt;
      &lt;InstdAgt&gt;
        &lt;FinInstnId&gt;
          &lt;Othr&gt;
            &lt;Id&gt;0099887766&lt;/Id&gt;
          &lt;/Othr&gt;
        &lt;/FinInstnId&gt;
      &lt;/InstdAgt&gt;
    &lt;/GrpHdr&gt;
    &lt;CdtTrfTxInf&gt;
      &lt;PmtId&gt;
        &lt;EndToEndId&gt;SE-E2E-009O&lt;/EndToEndId&gt;
      &lt;/PmtId&gt;
      &lt;IntrBkSttlmAmt Ccy="USD"&gt;1000.00&lt;/IntrBkSttlmAmt&gt;
      &lt;PrvsInstgAgt1&gt;
        &lt;FinInstnId&gt;
          &lt;Othr&gt;
            &lt;Id&gt;0099887766&lt;/Id&gt;
          &lt;/Othr&gt;
        &lt;/FinInstnId&gt;
      &lt;/PrvsInstgAgt1&gt;
      &lt;PrvsInstgAgt2&gt;
        &lt;FinInstnId&gt;
          &lt;Othr&gt;
            &lt;Id&gt;0099887766&lt;/Id&gt;
          &lt;/Othr&gt;
        &lt;/FinInstnId&gt;
      &lt;/PrvsInstgAgt2&gt;
      &lt;PrvsInstgAgt3&gt;
        &lt;FinInstnId&gt;
          &lt;Othr&gt;
            &lt;Id&gt;0099887766&lt;/Id&gt;
          &lt;/Othr&gt;
        &lt;/FinInstnId&gt;
      &lt;/PrvsInstgAgt3&gt;
      &lt;InstgAgt&gt;
        &lt;FinInstnId&gt;
          &lt;Othr&gt;
            &lt;Id&gt;0099887766&lt;/Id&gt;
          &lt;/Othr&gt;
        &lt;/FinInstnId&gt;
      &lt;/InstgAgt&gt;
      &lt;InstdAgt&gt;
        &lt;FinInstnId&gt;
          &lt;Othr&gt;
            &lt;Id&gt;0099887766&lt;/Id&gt;
          &lt;/Othr&gt;
        &lt;/FinInstnId&gt;
      &lt;/InstdAgt&gt;
      &lt;IntrmyAgt1&gt;
        &lt;FinInstnId&gt;
          &lt;Othr&gt;
            &lt;Id&gt;0099887766&lt;/Id&gt;
          &lt;/Othr&gt;
        &lt;/FinInstnId&gt;
      &lt;/IntrmyAgt1&gt;
      &lt;IntrmyAgt2&gt;
        &lt;FinInstnId&gt;
          &lt;Othr&gt;
            &lt;Id&gt;0099887766&lt;/Id&gt;
          &lt;/Othr&gt;
        &lt;/FinInstnId&gt;
      &lt;/IntrmyAgt2&gt;
      &lt;IntrmyAgt3&gt;
        &lt;FinInstnId&gt;
          &lt;Othr&gt;
            &lt;Id&gt;0099887766&lt;/Id&gt;
          &lt;/Othr&gt;
        &lt;/FinInstnId&gt;
      &lt;/IntrmyAgt3&gt;
      &lt;UltmtDbtr&gt;
        &lt;FinInstnId&gt;
          &lt;Othr&gt;
            &lt;Id&gt;0099887766&lt;/Id&gt;
          &lt;/Othr&gt;
        &lt;/FinInstnId&gt;
      &lt;/UltmtDbtr&gt;
      &lt;Dbtr&gt;
        &lt;FinInstnId&gt;
          &lt;Othr&gt;
            &lt;Id&gt;0099887766&lt;/Id&gt;
          &lt;/Othr&gt;
        &lt;/FinInstnId&gt;
      &lt;/Dbtr&gt;
      &lt;DbtrAgt&gt;
        &lt;FinInstnId&gt;
          &lt;Othr&gt;
            &lt;Id&gt;0099887766&lt;/Id&gt;
          &lt;/Othr&gt;
        &lt;/FinInstnId&gt;
      &lt;/DbtrAgt&gt;
      &lt;CdtrAgt&gt;
        &lt;FinInstnId&gt;
          &lt;Othr&gt;
            &lt;Id&gt;0099887766&lt;/Id&gt;
          &lt;/Othr&gt;
        &lt;/FinInstnId&gt;
      &lt;/CdtrAgt&gt;
      &lt;Cdtr&gt;
        &lt;FinInstnId&gt;
          &lt;Othr&gt;
            &lt;Id&gt;0099887766&lt;/Id&gt;
          &lt;/Othr&gt;
        &lt;/FinInstnId&gt;
      &lt;/Cdtr&gt;
      &lt;UltmtCdtr&gt;
        &lt;FinInstnId&gt;
          &lt;Othr&gt;
            &lt;Id&gt;0099887766&lt;/Id&gt;
          &lt;/Othr&gt;
        &lt;/FinInstnId&gt;
      &lt;/UltmtCdtr&gt;
      &lt;UndrlygCstmrCdtTrf&gt;
        &lt;UltmtDbtr&gt;
          &lt;Id&gt;
            &lt;OrgId&gt;
              &lt;Othr&gt;
                &lt;Id&gt;0099887766&lt;/Id&gt;
              &lt;/Othr&gt;
            &lt;/OrgId&gt;
          &lt;/Id&gt;
        &lt;/UltmtDbtr&gt;
        &lt;InitgPty&gt;
          &lt;Id&gt;
            &lt;OrgId&gt;
              &lt;Othr&gt;
                &lt;Id&gt;0099887766&lt;/Id&gt;
              &lt;/Othr&gt;
            &lt;/OrgId&gt;
          &lt;/Id&gt;
        &lt;/InitgPty&gt;
        &lt;Dbtr&gt;
          &lt;Id&gt;
            &lt;OrgId&gt;
              &lt;Othr&gt;
                &lt;Id&gt;0099887766&lt;/Id&gt;
              &lt;/Othr&gt;
            &lt;/OrgId&gt;
          &lt;/Id&gt;
        &lt;/Dbtr&gt;
        &lt;DbtrAgt&gt;
          &lt;FinInstnId&gt;
            &lt;Othr&gt;
              &lt;Id&gt;0099887766&lt;/Id&gt;
            &lt;/Othr&gt;
          &lt;/FinInstnId&gt;
        &lt;/DbtrAgt&gt;
        &lt;PrvsInstgAgt1&gt;
          &lt;FinInstnId&gt;
            &lt;Othr&gt;
              &lt;Id&gt;0099887766&lt;/Id&gt;
            &lt;/Othr&gt;
          &lt;/FinInstnId&gt;
        &lt;/PrvsInstgAgt1&gt;
        &lt;PrvsInstgAgt2&gt;
          &lt;FinInstnId&gt;
            &lt;Othr&gt;
              &lt;Id&gt;0099887766&lt;/Id&gt;
            &lt;/Othr&gt;
          &lt;/FinInstnId&gt;
        &lt;/PrvsInstgAgt2&gt;
        &lt;PrvsInstgAgt3&gt;
          &lt;FinInstnId&gt;
            &lt;Othr&gt;
              &lt;Id&gt;0099887766&lt;/Id&gt;
            &lt;/Othr&gt;
          &lt;/FinInstnId&gt;
        &lt;/PrvsInstgAgt3&gt;
        &lt;IntrmyAgt1&gt;
          &lt;FinInstnId&gt;
            &lt;Othr&gt;
              &lt;Id&gt;0099887766&lt;/Id&gt;
            &lt;/Othr&gt;
          &lt;/FinInstnId&gt;
        &lt;/IntrmyAgt1&gt;
        &lt;IntrmyAgt2&gt;
          &lt;FinInstnId&gt;
            &lt;Othr&gt;
              &lt;Id&gt;0099887766&lt;/Id&gt;
            &lt;/Othr&gt;
          &lt;/FinInstnId&gt;
        &lt;/IntrmyAgt2&gt;
        &lt;IntrmyAgt3&gt;
          &lt;FinInstnId&gt;
            &lt;Othr&gt;
              &lt;Id&gt;0099887766&lt;/Id&gt;
            &lt;/Othr&gt;
          &lt;/FinInstnId&gt;
        &lt;/IntrmyAgt3&gt;
        &lt;CdtrAgt&gt;
          &lt;FinInstnId&gt;
            &lt;Othr&gt;
              &lt;Id&gt;0099887766&lt;/Id&gt;
            &lt;/Othr&gt;
          &lt;/FinInstnId&gt;
        &lt;/CdtrAgt&gt;
        &lt;Cdtr&gt;
          &lt;Id&gt;
            &lt;OrgId&gt;
              &lt;Othr&gt;
                &lt;Id&gt;0099887766&lt;/Id&gt;
              &lt;/Othr&gt;
            &lt;/OrgId&gt;
          &lt;/Id&gt;
        &lt;/Cdtr&gt;
        &lt;UltmtCdtr&gt;
          &lt;Id&gt;
            &lt;OrgId&gt;
              &lt;Othr&gt;
                &lt;Id&gt;0099887766&lt;/Id&gt;
              &lt;/Othr&gt;
            &lt;/OrgId&gt;
          &lt;/Id&gt;
        &lt;/UltmtCdtr&gt;
        &lt;RmtInf&gt;
          &lt;Strd&gt;
            &lt;Invcr&gt;
              &lt;Id&gt;
                &lt;OrgId&gt;
                  &lt;Othr&gt;
                    &lt;Id&gt;0099887766&lt;/Id&gt;
                  &lt;/Othr&gt;
                &lt;/OrgId&gt;
              &lt;/Id&gt;
            &lt;/Invcr&gt;
            &lt;Invcee&gt;
              &lt;Id&gt;
                &lt;OrgId&gt;
                  &lt;Othr&gt;
                    &lt;Id&gt;0099887766&lt;/Id&gt;
                  &lt;/Othr&gt;
                &lt;/OrgId&gt;
              &lt;/Id&gt;
            &lt;/Invcee&gt;
            &lt;GrnshmtRmt&gt;
              &lt;Tp&gt;
                &lt;CdOrPrtry&gt;
                  &lt;Prtry&gt;GARNISHMENT&lt;/Prtry&gt;
                &lt;/CdOrPrtry&gt;
              &lt;/Tp&gt;
              &lt;Grnshee&gt;
                &lt;Id&gt;
                  &lt;OrgId&gt;
                    &lt;Othr&gt;
                      &lt;Id&gt;0099887766&lt;/Id&gt;
                    &lt;/Othr&gt;
                  &lt;/OrgId&gt;
                &lt;/Id&gt;
              &lt;/Grnshee&gt;
              &lt;GrnshmtAdmstr&gt;
                &lt;Id&gt;
                  &lt;OrgId&gt;
                    &lt;Othr&gt;
                      &lt;Id&gt;0099887766&lt;/Id&gt;
                    &lt;/Othr&gt;
                  &lt;/OrgId&gt;
                &lt;/Id&gt;
              &lt;/GrnshmtAdmstr&gt;
            &lt;/GrnshmtRmt&gt;
          &lt;/Strd&gt;
        &lt;/RmtInf&gt;
      &lt;/UndrlygCstmrCdtTrf&gt;
    &lt;/CdtTrfTxInf&gt;
  &lt;/FICdtTrf&gt;
&lt;/Document&gt;</t>
  </si>
  <si>
    <t>2. Hệ thống trả kết quả: HIT với Webservice Identifier loại chủ thể Entity và không HIT với chủ thể Individual, Vessel, Aircraft, Port
Câu query kiểm tra kết quả (KET_QUA = HIT):
SELECT CASE
         WHEN COUNT(*) = 36 THEN 'HIT'
         ELSE 'NO HIT'
       END AS KET_QUA
FROM (
    SELECT T.N_WEBSERVICE_ID,
           REGEXP_REPLACE(TO_CHAR(T.X_PATH), '\[\d+\]', '') AS X_PATH
    FROM FSI_RT_XML_WLS_RESPONSE T
    WHERE T.N_GRP_MSG_ID = :N_GRP_MSG_ID
      AND T.N_WEBSERVICE_ID = 2
      AND REGEXP_REPLACE(TO_CHAR(T.X_PATH), '\[\d+\]', '') IN (
'Document/FICdtTrf/GrpHdr/SttlmInf/InstgRmbrsmntAgt/FinInstnId/Othr/Id',
'Document/FICdtTrf/GrpHdr/SttlmInf/InstdRmbrsmntAgt/FinInstnId/Othr/Id',
'Document/FICdtTrf/GrpHdr/SttlmInf/ThrdRmbrsmntAgt/FinInstnId/Othr/Id',
'Document/FICdtTrf/GrpHdr/InstgAgt/FinInstnId/Othr/Id',
'Document/FICdtTrf/GrpHdr/InstdAgt/FinInstnId/Othr/Id',
'Document/FICdtTrf/CdtTrfTxInf/PrvsInstgAgt1/FinInstnId/Othr/Id',
'Document/FICdtTrf/CdtTrfTxInf/PrvsInstgAgt2/FinInstnId/Othr/Id',
'Document/FICdtTrf/CdtTrfTxInf/PrvsInstgAgt3/FinInstnId/Othr/Id',
'Document/FICdtTrf/CdtTrfTxInf/IntrmyAgt1/FinInstnId/Othr/Id',
'Document/FICdtTrf/CdtTrfTxInf/IntrmyAgt2/FinInstnId/Othr/Id',
'Document/FICdtTrf/CdtTrfTxInf/IntrmyAgt3/FinInstnId/Othr/Id',
'Document/FICdtTrf/CdtTrfTxInf/DbtrAgt/FinInstnId/Othr/Id',
'Document/FICdtTrf/CdtTrfTxInf/CdtrAgt/FinInstnId/Othr/Id',
'Document/FICdtTrf/CdtTrfTxInf/InstgAgt/FinInstnId/Othr/Id',
'Document/FICdtTrf/CdtTrfTxInf/InstdAgt/FinInstnId/Othr/Id',
'Document/FICdtTrf/CdtTrfTxInf/UndrlygCstmrCdtTrf/DbtrAgt/FinInstnId/Othr/Id',
'Document/FICdtTrf/CdtTrfTxInf/UndrlygCstmrCdtTrf/PrvsInstgAgt1/FinInstnId/Othr/Id',
'Document/FICdtTrf/CdtTrfTxInf/UndrlygCstmrCdtTrf/PrvsInstgAgt2/FinInstnId/Othr/Id',
'Document/FICdtTrf/CdtTrfTxInf/UndrlygCstmrCdtTrf/PrvsInstgAgt3/FinInstnId/Othr/Id',
'Document/FICdtTrf/CdtTrfTxInf/UndrlygCstmrCdtTrf/IntrmyAgt1/FinInstnId/Othr/Id',
'Document/FICdtTrf/CdtTrfTxInf/UndrlygCstmrCdtTrf/IntrmyAgt2/FinInstnId/Othr/Id',
'Document/FICdtTrf/CdtTrfTxInf/UndrlygCstmrCdtTrf/IntrmyAgt3/FinInstnId/Othr/Id',
'Document/FICdtTrf/CdtTrfTxInf/UndrlygCstmrCdtTrf/CdtrAgt/FinInstnId/Othr/Id',
'Document/FICdtTrf/CdtTrfTxInf/Cdtr/FinInstnId/Othr/Id',
'Document/FICdtTrf/CdtTrfTxInf/UltmtCdtr/FinInstnId/Othr/Id',
'Document/FICdtTrf/CdtTrfTxInf/UndrlygCstmrCdtTrf/Cdtr/Id/OrgId/Othr/Id',
'Document/FICdtTrf/CdtTrfTxInf/UndrlygCstmrCdtTrf/UltmtCdtr/Id/OrgId/Othr/Id',
'Document/FICdtTrf/CdtTrfTxInf/Dbtr/FinInstnId/Othr/Id',
'Document/FICdtTrf/CdtTrfTxInf/UltmtDbtr/FinInstnId/Othr/Id',
'Document/FICdtTrf/CdtTrfTxInf/UndrlygCstmrCdtTrf/Dbtr/Id/OrgId/Othr/Id',
'Document/FICdtTrf/CdtTrfTxInf/UndrlygCstmrCdtTrf/UltmtDbtr/Id/OrgId/Othr/Id',
'Document/FICdtTrf/CdtTrfTxInf/UndrlygCstmrCdtTrf/InitgPty/Id/OrgId/Othr/Id',
'Document/FICdtTrf/CdtTrfTxInf/UndrlygCstmrCdtTrf/RmtInf/Strd/Invcr/Id/OrgId/Othr/Id',
'Document/FICdtTrf/CdtTrfTxInf/UndrlygCstmrCdtTrf/RmtInf/Strd/Invcee/Id/OrgId/Othr/Id',
'Document/FICdtTrf/CdtTrfTxInf/UndrlygCstmrCdtTrf/RmtInf/Strd/GrnshmtRmt/Grnshee/Id/OrgId/Othr/Id',
'Document/FICdtTrf/CdtTrfTxInf/UndrlygCstmrCdtTrf/RmtInf/Strd/GrnshmtRmt/GrnshmtAdmstr/Id/OrgId/Othr/Id'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</si>
  <si>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Pacs009.05</t>
  </si>
  <si>
    <t>Sàng lọc giao dịch Pacs.009 - Name and Address - Individual, Entity</t>
  </si>
  <si>
    <t>1. Đẩy giao dịch vào API Post Message với trường thông tin có XML path 
/Document/FICdtTrf/CdtTrfTxInf/UndrlygCstmrCdtTrf/Cdtr/Nm
/Document/FICdtTrf/CdtTrfTxInf/UndrlygCstmrCdtTrf/Cdtr/CtctDtls/Nm
/Document/FICdtTrf/CdtTrfTxInf/UndrlygCstmrCdtTrf/UltmtCdtr/Nm
/Document/FICdtTrf/CdtTrfTxInf/UndrlygCstmrCdtTrf/UltmtCdtr/CtctDtls/Nm
/Document/FICdtTrf/CdtTrfTxInf/UndrlygCstmrCdtTrf/Dbtr/Nm
/Document/FICdtTrf/CdtTrfTxInf/UndrlygCstmrCdtTrf/Dbtr/CtctDtls/Nm
/Document/FICdtTrf/CdtTrfTxInf/UndrlygCstmrCdtTrf/UltmtDbtr/Nm
/Document/FICdtTrf/CdtTrfTxInf/UndrlygCstmrCdtTrf/UltmtDbtr/CtctDtls/Nm
/Document/FICdtTrf/CdtTrfTxInf/UndrlygCstmrCdtTrf/InitgPty/Nm
/Document/FICdtTrf/CdtTrfTxInf/UndrlygCstmrCdtTrf/RmtInf/Strd/Invcr/Nm
/Document/FICdtTrf/CdtTrfTxInf/UndrlygCstmrCdtTrf/RmtInf/Strd/Invcr/CtctDtls/Nm
/Document/FICdtTrf/CdtTrfTxInf/UndrlygCstmrCdtTrf/RmtInf/Strd/Invcee/Nm
/Document/FICdtTrf/CdtTrfTxInf/UndrlygCstmrCdtTrf/RmtInf/Strd/Invcee/CtctDtls/Nm
/Document/FICdtTrf/CdtTrfTxInf/UndrlygCstmrCdtTrf/RmtInf/Strd/GrnshmtRmt/Grnshee/Nm
/Document/FICdtTrf/CdtTrfTxInf/UndrlygCstmrCdtTrf/RmtInf/Strd/GrnshmtRmt/Grnshee/CtctDtls/Nm
/Document/FICdtTrf/CdtTrfTxInf/UndrlygCstmrCdtTrf/RmtInf/Strd/GrnshmtRmt/GrnshmtAdmstr/Nm
/Document/FICdtTrf/CdtTrfTxInf/UndrlygCstmrCdtTrf/RmtInf/Strd/GrnshmtRmt/GrnshmtAdmstr/CtctDtls/Nm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</si>
  <si>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&lt;MsgId&gt;SUMMITEMBER-MSG-009U&lt;/MsgId&gt;
      &lt;CreDtTm&gt;2026-07-28T13:31:41&lt;/CreDtTm&gt;
      &lt;NbOfTxs&gt;1&lt;/NbOfTxs&gt;
      &lt;SttlmInf&gt;
        &lt;SttlmMtd&gt;INDA&lt;/SttlmMtd&gt;
      &lt;/SttlmInf&gt;
    &lt;/GrpHdr&gt;
    &lt;CdtTrfTxInf&gt;
      &lt;PmtId&gt;
        &lt;EndToEndId&gt;SE-E2E-009U&lt;/EndToEndId&gt;
      &lt;/PmtId&gt;
      &lt;IntrBkSttlmAmt Ccy="USD"&gt;1000.00&lt;/IntrBkSttlmAmt&gt;
      &lt;Dbtr&gt;
        &lt;FinInstnId/&gt;
      &lt;/Dbtr&gt;
      &lt;Cdtr&gt;
        &lt;FinInstnId/&gt;
      &lt;/Cdtr&gt;
      &lt;UndrlygCstmrCdtTrf&gt;
        &lt;UltmtDbtr&gt;
          &lt;Nm&gt;SUMMIT EMBER&lt;/Nm&gt;
          &lt;CtctDtls&gt;
            &lt;Nm&gt;SUMMIT EMBER&lt;/Nm&gt;
          &lt;/CtctDtls&gt;
        &lt;/UltmtDbtr&gt;
        &lt;InitgPty&gt;
          &lt;Nm&gt;SUMMIT EMBER&lt;/Nm&gt;
        &lt;/InitgPty&gt;
        &lt;Dbtr&gt;
          &lt;Nm&gt;SUMMIT EMBER&lt;/Nm&gt;
          &lt;CtctDtls&gt;
            &lt;Nm&gt;SUMMIT EMBER&lt;/Nm&gt;
          &lt;/CtctDtls&gt;
        &lt;/Dbtr&gt;
        &lt;DbtrAgt&gt;
          &lt;FinInstnId/&gt;
        &lt;/DbtrAgt&gt;
        &lt;CdtrAgt&gt;
          &lt;FinInstnId/&gt;
        &lt;/CdtrAgt&gt;
        &lt;Cdtr&gt;
          &lt;Nm&gt;SUMMIT EMBER&lt;/Nm&gt;
          &lt;CtctDtls&gt;
            &lt;Nm&gt;SUMMIT EMBER&lt;/Nm&gt;
          &lt;/CtctDtls&gt;
        &lt;/Cdtr&gt;
        &lt;UltmtCdtr&gt;
          &lt;Nm&gt;SUMMIT EMBER&lt;/Nm&gt;
          &lt;CtctDtls&gt;
            &lt;Nm&gt;SUMMIT EMBER&lt;/Nm&gt;
          &lt;/CtctDtls&gt;
        &lt;/UltmtCdtr&gt;
        &lt;RmtInf&gt;
          &lt;Strd&gt;
            &lt;Invcr&gt;
              &lt;Nm&gt;SUMMIT EMBER&lt;/Nm&gt;
              &lt;CtctDtls&gt;
                &lt;Nm&gt;SUMMIT EMBER&lt;/Nm&gt;
              &lt;/CtctDtls&gt;
            &lt;/Invcr&gt;
            &lt;Invcee&gt;
              &lt;Nm&gt;SUMMIT EMBER&lt;/Nm&gt;
              &lt;CtctDtls&gt;
                &lt;Nm&gt;SUMMIT EMBER&lt;/Nm&gt;
              &lt;/CtctDtls&gt;
            &lt;/Invcee&gt;
            &lt;GrnshmtRmt&gt;
              &lt;Tp&gt;
                &lt;CdOrPrtry&gt;
                  &lt;Prtry&gt;GARNISHMENT&lt;/Prtry&gt;
                &lt;/CdOrPrtry&gt;
              &lt;/Tp&gt;
              &lt;Grnshee&gt;
                &lt;Nm&gt;SUMMIT EMBER&lt;/Nm&gt;
                &lt;CtctDtls&gt;
                  &lt;Nm&gt;SUMMIT EMBER&lt;/Nm&gt;
                &lt;/CtctDtls&gt;
              &lt;/Grnshee&gt;
              &lt;GrnshmtAdmstr&gt;
                &lt;Nm&gt;SUMMIT EMBER&lt;/Nm&gt;
                &lt;CtctDtls&gt;
                  &lt;Nm&gt;SUMMIT EMBER&lt;/Nm&gt;
                &lt;/CtctDtls&gt;
              &lt;/GrnshmtAdmstr&gt;
            &lt;/GrnshmtRmt&gt;
          &lt;/Strd&gt;
        &lt;/RmtInf&gt;
      &lt;/UndrlygCstmrCdtTrf&gt;
    &lt;/CdtTrfTxInf&gt;
  &lt;/FICdtTrf&gt;
&lt;/Document&gt;</t>
  </si>
  <si>
    <t>2. Hệ thống trả kết quả: HIT với Webservice Name and Address loại chủ thể Individual, Entity và không HIT với chủ thể Vessel, Aircraft, Port
Câu query kiểm tra kết quả (KET_QUA = HIT):
SELECT CASE
         WHEN COUNT(*) = 17 THEN 'HIT'
         ELSE 'NO HIT'
       END AS KET_QUA
FROM (
    SELECT T.N_WEBSERVICE_ID,
           REGEXP_REPLACE(TO_CHAR(T.X_PATH), '\[\d+\]', '') AS X_PATH
    FROM FSI_RT_XML_WLS_RESPONSE T
    WHERE T.N_GRP_MSG_ID = :N_GRP_MSG_ID
      AND T.N_WEBSERVICE_ID = 1
      AND REGEXP_REPLACE(TO_CHAR(T.X_PATH), '\[\d+\]', '') IN (
'Document/FICdtTrf/CdtTrfTxInf/UndrlygCstmrCdtTrf/Cdtr/Nm',
'Document/FICdtTrf/CdtTrfTxInf/UndrlygCstmrCdtTrf/Cdtr/CtctDtls/Nm',
'Document/FICdtTrf/CdtTrfTxInf/UndrlygCstmrCdtTrf/UltmtCdtr/Nm',
'Document/FICdtTrf/CdtTrfTxInf/UndrlygCstmrCdtTrf/UltmtCdtr/CtctDtls/Nm',
'Document/FICdtTrf/CdtTrfTxInf/UndrlygCstmrCdtTrf/Dbtr/Nm',
'Document/FICdtTrf/CdtTrfTxInf/UndrlygCstmrCdtTrf/Dbtr/CtctDtls/Nm',
'Document/FICdtTrf/CdtTrfTxInf/UndrlygCstmrCdtTrf/UltmtDbtr/Nm',
'Document/FICdtTrf/CdtTrfTxInf/UndrlygCstmrCdtTrf/UltmtDbtr/CtctDtls/Nm',
'Document/FICdtTrf/CdtTrfTxInf/UndrlygCstmrCdtTrf/InitgPty/Nm',
'Document/FICdtTrf/CdtTrfTxInf/UndrlygCstmrCdtTrf/RmtInf/Strd/Invcr/Nm',
'Document/FICdtTrf/CdtTrfTxInf/UndrlygCstmrCdtTrf/RmtInf/Strd/Invcr/CtctDtls/Nm',
'Document/FICdtTrf/CdtTrfTxInf/UndrlygCstmrCdtTrf/RmtInf/Strd/Invcee/Nm',
'Document/FICdtTrf/CdtTrfTxInf/UndrlygCstmrCdtTrf/RmtInf/Strd/Invcee/CtctDtls/Nm',
'Document/FICdtTrf/CdtTrfTxInf/UndrlygCstmrCdtTrf/RmtInf/Strd/GrnshmtRmt/Grnshee/Nm',
'Document/FICdtTrf/CdtTrfTxInf/UndrlygCstmrCdtTrf/RmtInf/Strd/GrnshmtRmt/Grnshee/CtctDtls/Nm',
'Document/FICdtTrf/CdtTrfTxInf/UndrlygCstmrCdtTrf/RmtInf/Strd/GrnshmtRmt/GrnshmtAdmstr/Nm',
'Document/FICdtTrf/CdtTrfTxInf/UndrlygCstmrCdtTrf/RmtInf/Strd/GrnshmtRmt/GrnshmtAdmstr/CtctDtls/Nm'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</si>
  <si>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Pacs009.06</t>
  </si>
  <si>
    <t>Sàng lọc giao dịch Pacs.009 - Identifier - Individual</t>
  </si>
  <si>
    <t>1. Đẩy giao dịch vào API Post Message với trường thông tin có XML path 
/Document/FICdtTrf/CdtTrfTxInf/UndrlygCstmrCdtTrf/Cdtr/Id/PrvtId/Othr/Id
/Document/FICdtTrf/CdtTrfTxInf/UndrlygCstmrCdtTrf/UltmtCdtr/Id/PrvtId/Othr/Id
/Document/FICdtTrf/CdtTrfTxInf/UndrlygCstmrCdtTrf/Dbtr/Id/PrvtId/Othr/Id
/Document/FICdtTrf/CdtTrfTxInf/UndrlygCstmrCdtTrf/UltmtDbtr/Id/PrvtId/Othr/Id
/Document/FICdtTrf/CdtTrfTxInf/UndrlygCstmrCdtTrf/InitgPty/Id/PrvtId/Othr/Id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</si>
  <si>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&lt;MsgId&gt;SUMMITEMBER-MSG-009P&lt;/MsgId&gt;
      &lt;CreDtTm&gt;2026-07-28T13:31:41&lt;/CreDtTm&gt;
      &lt;NbOfTxs&gt;1&lt;/NbOfTxs&gt;
      &lt;SttlmInf&gt;
        &lt;SttlmMtd&gt;INDA&lt;/SttlmMtd&gt;
      &lt;/SttlmInf&gt;
    &lt;/GrpHdr&gt;
    &lt;CdtTrfTxInf&gt;
      &lt;PmtId&gt;
        &lt;EndToEndId&gt;SE-E2E-009P&lt;/EndToEndId&gt;
      &lt;/PmtId&gt;
      &lt;IntrBkSttlmAmt Ccy="USD"&gt;1000.00&lt;/IntrBkSttlmAmt&gt;
      &lt;Dbtr&gt;
        &lt;FinInstnId/&gt;
      &lt;/Dbtr&gt;
      &lt;Cdtr&gt;
        &lt;FinInstnId/&gt;
      &lt;/Cdtr&gt;
      &lt;UndrlygCstmrCdtTrf&gt;
        &lt;UltmtDbtr&gt;
          &lt;Id&gt;
            &lt;PrvtId&gt;
              &lt;Othr&gt;
                &lt;Id&gt;0099887766&lt;/Id&gt;
              &lt;/Othr&gt;
            &lt;/PrvtId&gt;
          &lt;/Id&gt;
        &lt;/UltmtDbtr&gt;
        &lt;InitgPty&gt;
          &lt;Id&gt;
            &lt;PrvtId&gt;
              &lt;Othr&gt;
                &lt;Id&gt;0099887766&lt;/Id&gt;
              &lt;/Othr&gt;
            &lt;/PrvtId&gt;
          &lt;/Id&gt;
        &lt;/InitgPty&gt;
        &lt;Dbtr&gt;
          &lt;Id&gt;
            &lt;PrvtId&gt;
              &lt;Othr&gt;
                &lt;Id&gt;0099887766&lt;/Id&gt;
              &lt;/Othr&gt;
            &lt;/PrvtId&gt;
          &lt;/Id&gt;
        &lt;/Dbtr&gt;
        &lt;DbtrAgt&gt;
          &lt;FinInstnId/&gt;
        &lt;/DbtrAgt&gt;
        &lt;CdtrAgt&gt;
          &lt;FinInstnId/&gt;
        &lt;/CdtrAgt&gt;
        &lt;Cdtr&gt;
          &lt;Id&gt;
            &lt;PrvtId&gt;
              &lt;Othr&gt;
                &lt;Id&gt;0099887766&lt;/Id&gt;
              &lt;/Othr&gt;
            &lt;/PrvtId&gt;
          &lt;/Id&gt;
        &lt;/Cdtr&gt;
        &lt;UltmtCdtr&gt;
          &lt;Id&gt;
            &lt;PrvtId&gt;
              &lt;Othr&gt;
                &lt;Id&gt;0099887766&lt;/Id&gt;
              &lt;/Othr&gt;
            &lt;/PrvtId&gt;
          &lt;/Id&gt;
        &lt;/UltmtCdtr&gt;
        &lt;RmtInf&gt;
          &lt;Strd&gt;
            &lt;Invcr&gt;
              &lt;Id&gt;
                &lt;PrvtId&gt;
                  &lt;Othr&gt;
                    &lt;Id&gt;0099887766&lt;/Id&gt;
                  &lt;/Othr&gt;
                &lt;/PrvtId&gt;
              &lt;/Id&gt;
            &lt;/Invcr&gt;
            &lt;Invcee&gt;
              &lt;Id&gt;
                &lt;PrvtId&gt;
                  &lt;Othr&gt;
                    &lt;Id&gt;0099887766&lt;/Id&gt;
                  &lt;/Othr&gt;
                &lt;/PrvtId&gt;
              &lt;/Id&gt;
            &lt;/Invcee&gt;
            &lt;GrnshmtRmt&gt;
              &lt;Tp&gt;
                &lt;CdOrPrtry&gt;
                  &lt;Prtry&gt;GARNISHMENT&lt;/Prtry&gt;
                &lt;/CdOrPrtry&gt;
              &lt;/Tp&gt;
              &lt;Grnshee&gt;
                &lt;Id&gt;
                  &lt;PrvtId&gt;
                    &lt;Othr&gt;
                      &lt;Id&gt;0099887766&lt;/Id&gt;
                    &lt;/Othr&gt;
                  &lt;/PrvtId&gt;
                &lt;/Id&gt;
              &lt;/Grnshee&gt;
              &lt;GrnshmtAdmstr&gt;
                &lt;Id&gt;
                  &lt;PrvtId&gt;
                    &lt;Othr&gt;
                      &lt;Id&gt;0099887766&lt;/Id&gt;
                    &lt;/Othr&gt;
                  &lt;/PrvtId&gt;
                &lt;/Id&gt;
              &lt;/GrnshmtAdmstr&gt;
            &lt;/GrnshmtRmt&gt;
          &lt;/Strd&gt;
        &lt;/RmtInf&gt;
      &lt;/UndrlygCstmrCdtTrf&gt;
    &lt;/CdtTrfTxInf&gt;
  &lt;/FICdtTrf&gt;
&lt;/Document&gt;</t>
  </si>
  <si>
    <t>2. Hệ thống trả kết quả: HIT với Webservice Identifier loại chủ thể Individual và không HIT với chủ thể Entity, Vessel, Aircraft, Port
Câu query kiểm tra kết quả (KET_QUA = HIT):
SELECT CASE
         WHEN COUNT(*) = 9 THEN 'HIT'
         ELSE 'NO HIT'
       END AS KET_QUA
FROM (
    SELECT T.N_WEBSERVICE_ID,
           REGEXP_REPLACE(TO_CHAR(T.X_PATH), '\[\d+\]', '') AS X_PATH
    FROM FSI_RT_XML_WLS_RESPONSE T
    WHERE T.N_GRP_MSG_ID = :N_GRP_MSG_ID
      AND T.N_WEBSERVICE_ID = 2
      AND REGEXP_REPLACE(TO_CHAR(T.X_PATH), '\[\d+\]', '') IN (
'Document/FICdtTrf/CdtTrfTxInf/UndrlygCstmrCdtTrf/Cdtr/Id/PrvtId/Othr/Id',
'Document/FICdtTrf/CdtTrfTxInf/UndrlygCstmrCdtTrf/UltmtCdtr/Id/PrvtId/Othr/Id',
'Document/FICdtTrf/CdtTrfTxInf/UndrlygCstmrCdtTrf/Dbtr/Id/PrvtId/Othr/Id',
'Document/FICdtTrf/CdtTrfTxInf/UndrlygCstmrCdtTrf/UltmtDbtr/Id/PrvtId/Othr/Id',
'Document/FICdtTrf/CdtTrfTxInf/UndrlygCstmrCdtTrf/InitgPty/Id/PrvtId/Othr/Id',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
)
    GROUP BY T.N_WEBSERVICE_ID,
             REGEXP_REPLACE(TO_CHAR(T.X_PATH), '\[\d+\]', '')
    HAVING COUNT(CASE WHEN UPPER(T.V_MATCHED_TYPE) = 'ENTITY' THEN 1 END) = 0
       AND COUNT(CASE WHEN UPPER(T.V_MATCHED_TYPE) = 'INDIVIDUAL' THEN 1 END) &gt; 0
       AND COUNT(CASE WHEN UPPER(T.V_MATCHED_TYPE) = 'VESSEL' THEN 1 END) = 0
       AND COUNT(CASE WHEN UPPER(T.V_MATCHED_TYPE) = 'AIRCRAFT' THEN 1 END) = 0
       AND COUNT(CASE WHEN UPPER(T.V_MATCHED_TYPE) = 'PORT' THEN 1 END) = 0
);</t>
  </si>
  <si>
    <t>Pacs009.07</t>
  </si>
  <si>
    <t>Sàng lọc giao dịch Pacs.009 - Narrative - All</t>
  </si>
  <si>
    <t>1. Đẩy giao dịch vào API Post Message với trường thông tin có XML path 
/Document/FICdtTrf/CdtTrfTxInf/RmtInf/Ustrd
/Document/FICdtTrf/CdtTrfTxInf/UndrlygCstmrCdtTrf/RmtInf/Ustrd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</si>
  <si>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&lt;MsgId&gt;SUMMITEMBER-MSG-009R&lt;/MsgId&gt;
      &lt;CreDtTm&gt;2026-07-28T13:31:41&lt;/CreDtTm&gt;
      &lt;NbOfTxs&gt;1&lt;/NbOfTxs&gt;
      &lt;SttlmInf&gt;
        &lt;SttlmMtd&gt;INDA&lt;/SttlmMtd&gt;
      &lt;/SttlmInf&gt;
    &lt;/GrpHdr&gt;
    &lt;CdtTrfTxInf&gt;
      &lt;PmtId&gt;
        &lt;EndToEndId&gt;SE-E2E-009R&lt;/EndToEndId&gt;
      &lt;/PmtId&gt;
      &lt;IntrBkSttlmAmt Ccy="USD"&gt;1000.00&lt;/IntrBkSttlmAmt&gt;
      &lt;Dbtr&gt;
        &lt;FinInstnId/&gt;
      &lt;/Dbtr&gt;
      &lt;Cdtr&gt;
        &lt;FinInstnId/&gt;
      &lt;/Cdtr&gt;
      &lt;RmtInf&gt;
        &lt;Ustrd&gt;0099887766&lt;/Ustrd&gt;
      &lt;/RmtInf&gt;
      &lt;UndrlygCstmrCdtTrf&gt;
        &lt;Dbtr&gt;
          &lt;Nm&gt;ABCD1234 QWERTY&lt;/Nm&gt;
        &lt;/Dbtr&gt;
        &lt;DbtrAgt&gt;
          &lt;FinInstnId/&gt;
        &lt;/DbtrAgt&gt;
        &lt;CdtrAgt&gt;
          &lt;FinInstnId/&gt;
        &lt;/CdtrAgt&gt;
        &lt;Cdtr&gt;
          &lt;Nm&gt;ZXCV9988 HELLO WORLD&lt;/Nm&gt;
        &lt;/Cdtr&gt;
        &lt;RmtInf&gt;
          &lt;Ustrd&gt;0099887766&lt;/Ustrd&gt;
        &lt;/RmtInf&gt;
      &lt;/UndrlygCstmrCdtTrf&gt;
    &lt;/CdtTrfTxInf&gt;
  &lt;/FICdtTrf&gt;
&lt;/Document&gt;</t>
  </si>
  <si>
    <t>2. Hệ thống trả kết quả: HIT với Webservice Narrative loại chủ thể Individual, Entity, Port, Vessel, Aircraft và danh sách Stop Keywords
Câu query kiểm tra kết quả (KET_QUA = HIT):
SELECT CASE
         WHEN COUNT(*) = 2 THEN 'HIT'
         ELSE 'NO HIT'
       END AS KET_QUA
FROM (
    SELECT T.N_WEBSERVICE_ID,
           REGEXP_REPLACE(TO_CHAR(T.X_PATH), '\[\d+\]', '') AS X_PATH
    FROM FSI_RT_XML_WLS_RESPONSE T
    WHERE T.N_GRP_MSG_ID = :N_GRP_MSG_ID
      AND T.N_WEBSERVICE_ID = 4
      AND REGEXP_REPLACE(TO_CHAR(T.X_PATH), '\[\d+\]', '') IN (
'Document/FICdtTrf/CdtTrfTxInf/RmtInf/Ustrd',
'Document/FICdtTrf/CdtTrfTxInf/UndrlygCstmrCdtTrf/RmtInf/Ustrd'
)
    GROUP BY T.N_WEBSERVICE_ID,
             REGEXP_REPLACE(TO_CHAR(T.X_PATH),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</si>
  <si>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Pacs.009 COV</t>
  </si>
  <si>
    <t>Pacs.009 COV</t>
  </si>
  <si>
    <t>Pacs009COV.01</t>
  </si>
  <si>
    <t>Sàng lọc giao dịch Pacs.009 COV - Identifier, Name and Address, Country and City - Entity</t>
  </si>
  <si>
    <t>1. Đẩy giao dịch vào API Post Message với trường thông tin có XML path 
/Document/FICdtTrf/CdtTrfTxInf/PrvsInstgAgt1/FinInstnId/BICFI
/Document/FICdtTrf/CdtTrfTxInf/PrvsInstgAgt2/FinInstnId/BICFI
/Document/FICdtTrf/CdtTrfTxInf/PrvsInstgAgt3/FinInstnId/BICFI
/Document/FICdtTrf/CdtTrfTxInf/InstgAgt/FinInstnId/BICFI
/Document/FICdtTrf/CdtTrfTxInf/InstdAgt/FinInstnId/BICFI
/Document/FICdtTrf/CdtTrfTxInf/IntrmyAgt1/FinInstnId/BICFI
/Document/FICdtTrf/CdtTrfTxInf/IntrmyAgt2/FinInstnId/BICFI
/Document/FICdtTrf/CdtTrfTxInf/IntrmyAgt3/FinInstnId/BICFI
/Document/FICdtTrf/CdtTrfTxInf/Dbtr/FinInstnId/BICFI
/Document/FICdtTrf/CdtTrfTxInf/DbtrAgt/FinInstnId/BICFI
/Document/FICdtTrf/CdtTrfTxInf/CdtrAgt/FinInstnId/BICFI
/Document/FICdtTrf/CdtTrfTxInf/Cdtr/FinInstnId/BICFI
/Document/FICdtTrf/CdtTrfTxInf/UndrlygCstmrCdtTrf/UltmtDbtr/Id/OrgId/AnyBIC
/Document/FICdtTrf/CdtTrfTxInf/UndrlygCstmrCdtTrf/InitgPty/Id/OrgId/AnyBIC
/Document/FICdtTrf/CdtTrfTxInf/UndrlygCstmrCdtTrf/Dbtr/Id/OrgId/AnyBIC
/Document/FICdtTrf/CdtTrfTxInf/UndrlygCstmrCdtTrf/DbtrAgt/FinInstnId/BICFI
/Document/FICdtTrf/CdtTrfTxInf/UndrlygCstmrCdtTrf/PrvsInstgAgt1/FinInstnId/BICFI
/Document/FICdtTrf/CdtTrfTxInf/UndrlygCstmrCdtTrf/PrvsInstgAgt2/FinInstnId/BICFI
/Document/FICdtTrf/CdtTrfTxInf/UndrlygCstmrCdtTrf/PrvsInstgAgt3/FinInstnId/BICFI
/Document/FICdtTrf/CdtTrfTxInf/UndrlygCstmrCdtTrf/IntrmyAgt1/FinInstnId/BICFI
/Document/FICdtTrf/CdtTrfTxInf/UndrlygCstmrCdtTrf/IntrmyAgt2/FinInstnId/BICFI
/Document/FICdtTrf/CdtTrfTxInf/UndrlygCstmrCdtTrf/IntrmyAgt3/FinInstnId/BICFI
/Document/FICdtTrf/CdtTrfTxInf/UndrlygCstmrCdtTrf/CdtrAgt/FinInstnId/BICFI
/Document/FICdtTrf/CdtTrfTxInf/UndrlygCstmrCdtTrf/Cdtr/Id/OrgId/AnyBIC
/Document/FICdtTrf/CdtTrfTxInf/UndrlygCstmrCdtTrf/UltmtCdtr/Id/OrgId/AnyBIC
/Document/FICdtTrf/CdtTrfTxInf/UndrlygCstmrCdtTrf/RmtInf/Strd/Invcr/Id/OrgId/AnyBIC
/Document/FICdtTrf/CdtTrfTxInf/UndrlygCstmrCdtTrf/RmtInf/Strd/Invcee/Id/OrgId/AnyBIC
/Document/FICdtTrf/CdtTrfTxInf/UndrlygCstmrCdtTrf/RmtInf/Strd/GrnshmtRmt/Grnshee/Id/OrgId/AnyBIC
/Document/FICdtTrf/CdtTrfTxInf/UndrlygCstmrCdtTrf/RmtInf/Strd/GrnshmtRmt/GrnshmtAdmstr/Id/OrgId/AnyBIC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</si>
  <si>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&lt;MsgId&gt;SUMMITEMBER-MSG-009B&lt;/MsgId&gt;
      &lt;CreDtTm&gt;2026-07-28T13:31:41&lt;/CreDtTm&gt;
      &lt;NbOfTxs&gt;1&lt;/NbOfTxs&gt;
      &lt;SttlmInf&gt;
        &lt;SttlmMtd&gt;INDA&lt;/SttlmMtd&gt;
      &lt;/SttlmInf&gt;
    &lt;/GrpHdr&gt;
    &lt;CdtTrfTxInf&gt;
      &lt;PmtId&gt;
        &lt;EndToEndId&gt;SE-E2E-009B&lt;/EndToEndId&gt;
      &lt;/PmtId&gt;
      &lt;IntrBkSttlmAmt Ccy="USD"&gt;1000.00&lt;/IntrBkSttlmAmt&gt;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&lt;InstgAgt&gt;
        &lt;FinInstnId&gt;
          &lt;BICFI&gt;BFICCUHH&lt;/BICFI&gt;
        &lt;/FinInstnId&gt;
      &lt;/InstgAgt&gt;
      &lt;InstdAgt&gt;
        &lt;FinInstnId&gt;
          &lt;BICFI&gt;BFICCUHH&lt;/BICFI&gt;
        &lt;/FinInstnId&gt;
      &lt;/InstdAgt&gt;
      &lt;IntrmyAgt1&gt;
        &lt;FinInstnId&gt;
          &lt;BICFI&gt;BFICCUHH&lt;/BICFI&gt;
        &lt;/FinInstnId&gt;
      &lt;/IntrmyAgt1&gt;
      &lt;IntrmyAgt2&gt;
        &lt;FinInstnId&gt;
          &lt;BICFI&gt;BFICCUHH&lt;/BICFI&gt;
        &lt;/FinInstnId&gt;
      &lt;/IntrmyAgt2&gt;
      &lt;IntrmyAgt3&gt;
        &lt;FinInstnId&gt;
          &lt;BICFI&gt;BFICCUHH&lt;/BICFI&gt;
        &lt;/FinInstnId&gt;
      &lt;/IntrmyAgt3&gt;
      &lt;Dbtr&gt;
        &lt;FinInstnId&gt;
          &lt;BICFI&gt;BFICCUHH&lt;/BICFI&gt;
        &lt;/FinInstnId&gt;
      &lt;/Dbtr&gt;
      &lt;DbtrAgt&gt;
        &lt;FinInstnId&gt;
          &lt;BICFI&gt;BFICCUHH&lt;/BICFI&gt;
        &lt;/FinInstnId&gt;
      &lt;/DbtrAgt&gt;
      &lt;CdtrAgt&gt;
        &lt;FinInstnId&gt;
          &lt;BICFI&gt;BFICCUHH&lt;/BICFI&gt;
        &lt;/FinInstnId&gt;
      &lt;/CdtrAgt&gt;
      &lt;Cdtr&gt;
        &lt;FinInstnId&gt;
          &lt;BICFI&gt;BFICCUHH&lt;/BICFI&gt;
        &lt;/FinInstnId&gt;
      &lt;/Cdtr&gt;
      &lt;UndrlygCstmrCdtTrf&gt;
        &lt;UltmtDbtr&gt;
          &lt;Id&gt;
            &lt;OrgId&gt;
              &lt;AnyBIC&gt;BFICCUHH&lt;/AnyBIC&gt;
            &lt;/OrgId&gt;
          &lt;/Id&gt;
        &lt;/UltmtDbtr&gt;
        &lt;InitgPty&gt;
          &lt;Id&gt;
            &lt;OrgId&gt;
              &lt;AnyBIC&gt;BFICCUHH&lt;/AnyBIC&gt;
            &lt;/OrgId&gt;
          &lt;/Id&gt;
        &lt;/InitgPty&gt;
        &lt;Dbtr&gt;
          &lt;Id&gt;
            &lt;OrgId&gt;
              &lt;AnyBIC&gt;BFICCUHH&lt;/AnyBIC&gt;
            &lt;/OrgId&gt;
          &lt;/Id&gt;
        &lt;/Dbtr&gt;
        &lt;DbtrAgt&gt;
          &lt;FinInstnId&gt;
            &lt;BICFI&gt;BFICCUHH&lt;/BICFI&gt;
          &lt;/FinInstnId&gt;
        &lt;/DbtrAgt&gt;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&lt;IntrmyAgt1&gt;
          &lt;FinInstnId&gt;
            &lt;BICFI&gt;BFICCUHH&lt;/BICFI&gt;
          &lt;/FinInstnId&gt;
        &lt;/IntrmyAgt1&gt;
        &lt;IntrmyAgt2&gt;
          &lt;FinInstnId&gt;
            &lt;BICFI&gt;BFICCUHH&lt;/BICFI&gt;
          &lt;/FinInstnId&gt;
        &lt;/IntrmyAgt2&gt;
        &lt;IntrmyAgt3&gt;
          &lt;FinInstnId&gt;
            &lt;BICFI&gt;BFICCUHH&lt;/BICFI&gt;
          &lt;/FinInstnId&gt;
        &lt;/IntrmyAgt3&gt;
        &lt;CdtrAgt&gt;
          &lt;FinInstnId&gt;
            &lt;BICFI&gt;BFICCUHH&lt;/BICFI&gt;
          &lt;/FinInstnId&gt;
        &lt;/CdtrAgt&gt;
        &lt;Cdtr&gt;
          &lt;Id&gt;
            &lt;OrgId&gt;
              &lt;AnyBIC&gt;BFICCUHH&lt;/AnyBIC&gt;
            &lt;/OrgId&gt;
          &lt;/Id&gt;
        &lt;/Cdtr&gt;
        &lt;UltmtCdtr&gt;
          &lt;Id&gt;
            &lt;OrgId&gt;
              &lt;AnyBIC&gt;BFICCUHH&lt;/AnyBIC&gt;
            &lt;/OrgId&gt;
          &lt;/Id&gt;
        &lt;/UltmtCdtr&gt;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&lt;/UndrlygCstmrCdtTrf&gt;
    &lt;/CdtTrfTxInf&gt;
  &lt;/FICdtTrf&gt;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</si>
  <si>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87 THEN 'HIT'
         ELSE 'NO HIT'
       END AS KET_QUA
FROM (
    SELECT T.N_WEBSERVICE_ID,
           REGEXP_REPLACE(TO_CHAR(T.X_PATH), '\[\d+\]', '') AS X_PATH
    FROM FSI_RT_XML_WLS_RESPONSE T
    WHERE T.N_GRP_MSG_ID = :N_GRP_MSG_ID
      AND T.N_WEBSERVICE_ID IN (1, 2, 3)
      AND REGEXP_REPLACE(TO_CHAR(T.X_PATH), '\[\d+\]', '') IN (
'Document/FICdtTrf/CdtTrfTxInf/PrvsInstgAgt1/FinInstnId/BICFI',
'Document/FICdtTrf/CdtTrfTxInf/PrvsInstgAgt2/FinInstnId/BICFI',
'Document/FICdtTrf/CdtTrfTxInf/PrvsInstgAgt3/FinInstnId/BICFI',
'Document/FICdtTrf/CdtTrfTxInf/InstgAgt/FinInstnId/BICFI',
'Document/FICdtTrf/CdtTrfTxInf/InstdAgt/FinInstnId/BICFI',
'Document/FICdtTrf/CdtTrfTxInf/IntrmyAgt1/FinInstnId/BICFI',
'Document/FICdtTrf/CdtTrfTxInf/IntrmyAgt2/FinInstnId/BICFI',
'Document/FICdtTrf/CdtTrfTxInf/IntrmyAgt3/FinInstnId/BICFI',
'Document/FICdtTrf/CdtTrfTxInf/Dbtr/FinInstnId/BICFI',
'Document/FICdtTrf/CdtTrfTxInf/DbtrAgt/FinInstnId/BICFI',
'Document/FICdtTrf/CdtTrfTxInf/CdtrAgt/FinInstnId/BICFI',
'Document/FICdtTrf/CdtTrfTxInf/Cdtr/FinInstnId/BICFI',
'Document/FICdtTrf/CdtTrfTxInf/UndrlygCstmrCdtTrf/UltmtDbtr/Id/OrgId/AnyBIC',
'Document/FICdtTrf/CdtTrfTxInf/UndrlygCstmrCdtTrf/InitgPty/Id/OrgId/AnyBIC',
'Document/FICdtTrf/CdtTrfTxInf/UndrlygCstmrCdtTrf/Dbtr/Id/OrgId/AnyBIC',
'Document/FICdtTrf/CdtTrfTxInf/UndrlygCstmrCdtTrf/DbtrAgt/FinInstnId/BICFI',
'Document/FICdtTrf/CdtTrfTxInf/UndrlygCstmrCdtTrf/PrvsInstgAgt1/FinInstnId/BICFI',
'Document/FICdtTrf/CdtTrfTxInf/UndrlygCstmrCdtTrf/PrvsInstgAgt2/FinInstnId/BICFI',
'Document/FICdtTrf/CdtTrfTxInf/UndrlygCstmrCdtTrf/PrvsInstgAgt3/FinInstnId/BICFI',
'Document/FICdtTrf/CdtTrfTxInf/UndrlygCstmrCdtTrf/IntrmyAgt1/FinInstnId/BICFI',
'Document/FICdtTrf/CdtTrfTxInf/UndrlygCstmrCdtTrf/IntrmyAgt2/FinInstnId/BICFI',
'Document/FICdtTrf/CdtTrfTxInf/UndrlygCstmrCdtTrf/IntrmyAgt3/FinInstnId/BICFI',
'Document/FICdtTrf/CdtTrfTxInf/UndrlygCstmrCdtTrf/CdtrAgt/FinInstnId/BICFI',
'Document/FICdtTrf/CdtTrfTxInf/UndrlygCstmrCdtTrf/Cdtr/Id/OrgId/AnyBIC',
'Document/FICdtTrf/CdtTrfTxInf/UndrlygCstmrCdtTrf/UltmtCdtr/Id/OrgId/AnyBIC',
'Document/FICdtTrf/CdtTrfTxInf/UndrlygCstmrCdtTrf/RmtInf/Strd/Invcr/Id/OrgId/AnyBIC',
'Document/FICdtTrf/CdtTrfTxInf/UndrlygCstmrCdtTrf/RmtInf/Strd/Invcee/Id/OrgId/AnyBIC',
'Document/FICdtTrf/CdtTrfTxInf/UndrlygCstmrCdtTrf/RmtInf/Strd/GrnshmtRmt/Grnshee/Id/OrgId/AnyBIC',
'Document/FICdtTrf/CdtTrfTxInf/UndrlygCstmrCdtTrf/RmtInf/Strd/GrnshmtRmt/GrnshmtAdmstr/Id/OrgId/AnyBIC'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</si>
  <si>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Pacs009COV.02</t>
  </si>
  <si>
    <t>Sàng lọc giao dịch Pacs.009 COV - Name and Address - Entity</t>
  </si>
  <si>
    <t>1. Đẩy giao dịch vào API Post Message với trường thông tin có XML path /Document/FICdtTrf/CdtTrfTxInf/PrvsInstgAgt1/FinInstnId/Nm
/Document/FICdtTrf/CdtTrfTxInf/PrvsInstgAgt1/FinInstnId/Nm
/Document/FICdtTrf/CdtTrfTxInf/PrvsInstgAgt2/FinInstnId/Nm
/Document/FICdtTrf/CdtTrfTxInf/PrvsInstgAgt3/FinInstnId/Nm
/Document/FICdtTrf/CdtTrfTxInf/IntrmyAgt1/FinInstnId/Nm
/Document/FICdtTrf/CdtTrfTxInf/IntrmyAgt2/FinInstnId/Nm
/Document/FICdtTrf/CdtTrfTxInf/IntrmyAgt3/FinInstnId/Nm
/Document/FICdtTrf/CdtTrfTxInf/Dbtr/FinInstnId/Nm
/Document/FICdtTrf/CdtTrfTxInf/DbtrAgt/FinInstnId/Nm
/Document/FICdtTrf/CdtTrfTxInf/CdtrAgt/FinInstnId/Nm
/Document/FICdtTrf/CdtTrfTxInf/Cdtr/FinInstnId/Nm
/Document/FICdtTrf/CdtTrfTxInf/UndrlygCstmrCdtTrf/DbtrAgt/FinInstnId/Nm
/Document/FICdtTrf/CdtTrfTxInf/UndrlygCstmrCdtTrf/PrvsInstgAgt1/FinInstnId/Nm
/Document/FICdtTrf/CdtTrfTxInf/UndrlygCstmrCdtTrf/PrvsInstgAgt2/FinInstnId/Nm
/Document/FICdtTrf/CdtTrfTxInf/UndrlygCstmrCdtTrf/PrvsInstgAgt3/FinInstnId/Nm
/Document/FICdtTrf/CdtTrfTxInf/UndrlygCstmrCdtTrf/IntrmyAgt1/FinInstnId/Nm
/Document/FICdtTrf/CdtTrfTxInf/UndrlygCstmrCdtTrf/IntrmyAgt2/FinInstnId/Nm
/Document/FICdtTrf/CdtTrfTxInf/UndrlygCstmrCdtTrf/IntrmyAgt3/FinInstnId/Nm
/Document/FICdtTrf/CdtTrfTxInf/UndrlygCstmrCdtTrf/CdtrAgt/FinInstnId/Nm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</si>
  <si>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?&gt;
&lt;Document xmlns="urn:iso:std:iso:20022:tech:xsd:pacs.009.001.08"&gt;
  &lt;FICdtTrf&gt;
    &lt;GrpHdr&gt;
      &lt;MsgId&gt;SE-009COV-18&lt;/MsgId&gt;
      &lt;CreDtTm&gt;2026-07-29T09:00:00&lt;/CreDtTm&gt;
      &lt;NbOfTxs&gt;1&lt;/NbOfTxs&gt;
      &lt;IntrBkSttlmDt&gt;2026-07-29&lt;/IntrBkSttlmDt&gt;
      &lt;SttlmInf&gt;
        &lt;SttlmMtd&gt;COVE&lt;/SttlmMtd&gt;
      &lt;/SttlmInf&gt;
    &lt;/GrpHdr&gt;
    &lt;CdtTrfTxInf&gt;
      &lt;PmtId&gt;
        &lt;EndToEndId&gt;SE-E2E&lt;/EndToEndId&gt;
      &lt;/PmtId&gt;
      &lt;IntrBkSttlmAmt Ccy="USD"&gt;1000.00&lt;/IntrBkSttlmAmt&gt;
      &lt;IntrBkSttlmDt&gt;2026-07-29&lt;/IntrBkSttlmDt&gt;
      &lt;PrvsInstgAgt1&gt;
        &lt;FinInstnId&gt;
          &lt;Nm&gt;SUMMIT EMBER&lt;/Nm&gt;
        &lt;/FinInstnId&gt;
      &lt;/PrvsInstgAgt1&gt;
      &lt;PrvsInstgAgt2&gt;
        &lt;FinInstnId&gt;
          &lt;Nm&gt;SUMMIT EMBER&lt;/Nm&gt;
        &lt;/FinInstnId&gt;
      &lt;/PrvsInstgAgt2&gt;
      &lt;PrvsInstgAgt3&gt;
        &lt;FinInstnId&gt;
          &lt;Nm&gt;SUMMIT EMBER&lt;/Nm&gt;
        &lt;/FinInstnId&gt;
      &lt;/PrvsInstgAgt3&gt;
      &lt;IntrmyAgt1&gt;
        &lt;FinInstnId&gt;
          &lt;Nm&gt;SUMMIT EMBER&lt;/Nm&gt;
        &lt;/FinInstnId&gt;
      &lt;/IntrmyAgt1&gt;
      &lt;IntrmyAgt2&gt;
        &lt;FinInstnId&gt;
          &lt;Nm&gt;SUMMIT EMBER&lt;/Nm&gt;
        &lt;/FinInstnId&gt;
      &lt;/IntrmyAgt2&gt;
      &lt;IntrmyAgt3&gt;
        &lt;FinInstnId&gt;
          &lt;Nm&gt;SUMMIT EMBER&lt;/Nm&gt;
        &lt;/FinInstnId&gt;
      &lt;/IntrmyAgt3&gt;
      &lt;Dbtr&gt;
        &lt;FinInstnId&gt;
          &lt;Nm&gt;SUMMIT EMBER&lt;/Nm&gt;
        &lt;/FinInstnId&gt;
      &lt;/Dbtr&gt;
      &lt;DbtrAgt&gt;
        &lt;FinInstnId&gt;
          &lt;Nm&gt;SUMMIT EMBER&lt;/Nm&gt;
        &lt;/FinInstnId&gt;
      &lt;/DbtrAgt&gt;
      &lt;CdtrAgt&gt;
        &lt;FinInstnId&gt;
          &lt;Nm&gt;SUMMIT EMBER&lt;/Nm&gt;
        &lt;/FinInstnId&gt;
      &lt;/CdtrAgt&gt;
      &lt;Cdtr&gt;
        &lt;FinInstnId&gt;
          &lt;Nm&gt;SUMMIT EMBER&lt;/Nm&gt;
        &lt;/FinInstnId&gt;
      &lt;/Cdtr&gt;
      &lt;UndrlygCstmrCdtTrf&gt;
        &lt;Dbtr&gt;
          &lt;Nm&gt;NEUTRAL DEBTOR&lt;/Nm&gt;
        &lt;/Dbtr&gt;
        &lt;DbtrAgt&gt;
          &lt;FinInstnId&gt;
            &lt;Nm&gt;SUMMIT EMBER&lt;/Nm&gt;
          &lt;/FinInstnId&gt;
        &lt;/DbtrAgt&gt;
        &lt;PrvsInstgAgt1&gt;
          &lt;FinInstnId&gt;
            &lt;Nm&gt;SUMMIT EMBER&lt;/Nm&gt;
          &lt;/FinInstnId&gt;
        &lt;/PrvsInstgAgt1&gt;
        &lt;PrvsInstgAgt2&gt;
          &lt;FinInstnId&gt;
            &lt;Nm&gt;SUMMIT EMBER&lt;/Nm&gt;
          &lt;/FinInstnId&gt;
        &lt;/PrvsInstgAgt2&gt;
        &lt;PrvsInstgAgt3&gt;
          &lt;FinInstnId&gt;
            &lt;Nm&gt;SUMMIT EMBER&lt;/Nm&gt;
          &lt;/FinInstnId&gt;
        &lt;/PrvsInstgAgt3&gt;
        &lt;IntrmyAgt1&gt;
          &lt;FinInstnId&gt;
            &lt;Nm&gt;SUMMIT EMBER&lt;/Nm&gt;
          &lt;/FinInstnId&gt;
        &lt;/IntrmyAgt1&gt;
        &lt;IntrmyAgt2&gt;
          &lt;FinInstnId&gt;
            &lt;Nm&gt;SUMMIT EMBER&lt;/Nm&gt;
          &lt;/FinInstnId&gt;
        &lt;/IntrmyAgt2&gt;
        &lt;IntrmyAgt3&gt;
          &lt;FinInstnId&gt;
            &lt;Nm&gt;SUMMIT EMBER&lt;/Nm&gt;
          &lt;/FinInstnId&gt;
        &lt;/IntrmyAgt3&gt;
        &lt;CdtrAgt&gt;
          &lt;FinInstnId&gt;
            &lt;Nm&gt;SUMMIT EMBER&lt;/Nm&gt;
          &lt;/FinInstnId&gt;
        &lt;/CdtrAgt&gt;
        &lt;Cdtr&gt;
          &lt;Nm&gt;NEUTRAL CREDITOR&lt;/Nm&gt;
        &lt;/Cdtr&gt;
      &lt;/UndrlygCstmrCdtTrf&gt;
    &lt;/CdtTrfTxInf&gt;
  &lt;/FICdtTrf&gt;
&lt;/Document&gt;</t>
  </si>
  <si>
    <t>2. Hệ thống trả kết quả: HIT với Webservice Name and Address loại chủ thể Entity và không HIT với chủ thể Individual, Vessel, Aircraft
Câu query kiểm tra kết quả (KET_QUA = HIT):
SELECT CASE
         WHEN COUNT(*) = 18 THEN 'HIT'
         ELSE 'NO HIT'
       END AS KET_QUA
FROM (
    SELECT T.N_WEBSERVICE_ID,
           REGEXP_REPLACE(TO_CHAR(T.X_PATH), '\[\d+\]', '') AS X_PATH
    FROM FSI_RT_XML_WLS_RESPONSE T
    WHERE T.N_GRP_MSG_ID = :N_GRP_MSG_ID
      AND T.N_WEBSERVICE_ID = 1
      AND REGEXP_REPLACE(TO_CHAR(T.X_PATH), '\[\d+\]', '') IN (
'Document/FICdtTrf/CdtTrfTxInf/PrvsInstgAgt1/FinInstnId/Nm',
'Document/FICdtTrf/CdtTrfTxInf/PrvsInstgAgt2/FinInstnId/Nm',
'Document/FICdtTrf/CdtTrfTxInf/PrvsInstgAgt3/FinInstnId/Nm',
'Document/FICdtTrf/CdtTrfTxInf/IntrmyAgt1/FinInstnId/Nm',
'Document/FICdtTrf/CdtTrfTxInf/IntrmyAgt2/FinInstnId/Nm',
'Document/FICdtTrf/CdtTrfTxInf/IntrmyAgt3/FinInstnId/Nm',
'Document/FICdtTrf/CdtTrfTxInf/Dbtr/FinInstnId/Nm',
'Document/FICdtTrf/CdtTrfTxInf/DbtrAgt/FinInstnId/Nm',
'Document/FICdtTrf/CdtTrfTxInf/CdtrAgt/FinInstnId/Nm',
'Document/FICdtTrf/CdtTrfTxInf/Cdtr/FinInstnId/Nm',
'Document/FICdtTrf/CdtTrfTxInf/UndrlygCstmrCdtTrf/DbtrAgt/FinInstnId/Nm',
'Document/FICdtTrf/CdtTrfTxInf/UndrlygCstmrCdtTrf/PrvsInstgAgt1/FinInstnId/Nm',
'Document/FICdtTrf/CdtTrfTxInf/UndrlygCstmrCdtTrf/PrvsInstgAgt2/FinInstnId/Nm',
'Document/FICdtTrf/CdtTrfTxInf/UndrlygCstmrCdtTrf/PrvsInstgAgt3/FinInstnId/Nm',
'Document/FICdtTrf/CdtTrfTxInf/UndrlygCstmrCdtTrf/IntrmyAgt1/FinInstnId/Nm',
'Document/FICdtTrf/CdtTrfTxInf/UndrlygCstmrCdtTrf/IntrmyAgt2/FinInstnId/Nm',
'Document/FICdtTrf/CdtTrfTxInf/UndrlygCstmrCdtTrf/IntrmyAgt3/FinInstnId/Nm',
'Document/FICdtTrf/CdtTrfTxInf/UndrlygCstmrCdtTrf/CdtrAgt/FinInstnId/Nm'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</si>
  <si>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Pacs009COV.03</t>
  </si>
  <si>
    <t>Sàng lọc giao dịch Pacs.009 COV - Country and City</t>
  </si>
  <si>
    <t>1. Đẩy giao dịch vào API Post Message với trường thông tin có XML path 
/Document/FICdtTrf/CdtTrfTxInf/PrvsInstgAgt1/FinInstnId/PstlAdr/Ctry
/Document/FICdtTrf/CdtTrfTxInf/PrvsInstgAgt2/FinInstnId/PstlAdr/Ctry
/Document/FICdtTrf/CdtTrfTxInf/PrvsInstgAgt3/FinInstnId/PstlAdr/Ctry
/Document/FICdtTrf/CdtTrfTxInf/IntrmyAgt1/FinInstnId/PstlAdr/Ctry
/Document/FICdtTrf/CdtTrfTxInf/IntrmyAgt2/FinInstnId/PstlAdr/Ctry
/Document/FICdtTrf/CdtTrfTxInf/IntrmyAgt3/FinInstnId/PstlAdr/Ctry
/Document/FICdtTrf/CdtTrfTxInf/Dbtr/FinInstnId/PstlAdr/Ctry
/Document/FICdtTrf/CdtTrfTxInf/DbtrAgt/FinInstnId/PstlAdr/Ctry
/Document/FICdtTrf/CdtTrfTxInf/CdtrAgt/FinInstnId/PstlAdr/Ctry
/Document/FICdtTrf/CdtTrfTxInf/Cdtr/FinInstnId/PstlAdr/Ctry
/Document/FICdtTrf/CdtTrfTxInf/UndrlygCstmrCdtTrf/UltmtDbtr/PstlAdr/Ctry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/Document/FICdtTrf/CdtTrfTxInf/UndrlygCstmrCdtTrf/InitgPty/CtryOfRes
/Document/FICdtTrf/CdtTrfTxInf/UndrlygCstmrCdtTrf/Dbtr/PstlAdr/Ctry
/Document/FICdtTrf/CdtTrfTxInf/UndrlygCstmrCdtTrf/Dbtr/Id/PrvtId/DtAndPlcOfBirth/CtryOfBirth
/Document/FICdtTrf/CdtTrfTxInf/UndrlygCstmrCdtTrf/Dbtr/CtryOfRes
/Document/FICdtTrf/CdtTrfTxInf/UndrlygCstmrCdtTrf/DbtrAgt/FinInstnId/PstlAdr/Ctry
/Document/FICdtTrf/CdtTrfTxInf/UndrlygCstmrCdtTrf/PrvsInstgAgt1/FinInstnId/PstlAdr/Ctry
/Document/FICdtTrf/CdtTrfTxInf/UndrlygCstmrCdtTrf/PrvsInstgAgt2/FinInstnId/PstlAdr/Ctry
/Document/FICdtTrf/CdtTrfTxInf/UndrlygCstmrCdtTrf/PrvsInstgAgt3/FinInstnId/PstlAdr/Ctry
/Document/FICdtTrf/CdtTrfTxInf/UndrlygCstmrCdtTrf/IntrmyAgt1/FinInstnId/PstlAdr/Ctry
/Document/FICdtTrf/CdtTrfTxInf/UndrlygCstmrCdtTrf/IntrmyAgt2/FinInstnId/PstlAdr/Ctry
/Document/FICdtTrf/CdtTrfTxInf/UndrlygCstmrCdtTrf/IntrmyAgt3/FinInstnId/PstlAdr/Ctry
/Document/FICdtTrf/CdtTrfTxInf/UndrlygCstmrCdtTrf/CdtrAgt/FinInstnId/PstlAdr/Ctry
/Document/FICdtTrf/CdtTrfTxInf/UndrlygCstmrCdtTrf/Cdtr/PstlAdr/Ctry
/Document/FICdtTrf/CdtTrfTxInf/UndrlygCstmrCdtTrf/Cdtr/Id/PrvtId/DtAndPlcOfBirth/CtryOfBirth
/Document/FICdtTrf/CdtTrfTxInf/UndrlygCstmrCdtTrf/Cdtr/CtryOfRes
/Document/FICdtTrf/CdtTrfTxInf/UndrlygCstmrCdtTrf/UltmtCdtr/PstlAdr/Ctry
/Document/FICdtTrf/CdtTrfTxInf/UndrlygCstmrCdtTrf/UltmtCdtr/Id/PrvtId/DtAndPlcOfBirth/CtryOfBirth
/Document/FICdtTrf/CdtTrfTxInf/UndrlygCstmrCdtTrf/UltmtCdtr/CtryOfRes
/Document/FICdtTrf/CdtTrfTxInf/UndrlygCstmrCdtTrf/RmtInf/Strd/Invcr/PstlAdr/Ctry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/Document/FICdtTrf/CdtTrfTxInf/UndrlygCstmrCdtTrf/RmtInf/Strd/GrnshmtRmt/GrnshmtAdmstr/Id/PrvtId/DtAndPlcOfBirth/CtryOfBirth
/Document/FICdtTrf/CdtTrfTxInf/UndrlygCstmrCdtTrf/RmtInf/Strd/GrnshmtRmt/GrnshmtAdmstr/CtryOfRes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</si>
  <si>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&lt;MsgId&gt;SUMMITEMBER-MSG-009CT&lt;/MsgId&gt;
      &lt;CreDtTm&gt;2026-07-28T13:31:41&lt;/CreDtTm&gt;
      &lt;NbOfTxs&gt;1&lt;/NbOfTxs&gt;
      &lt;SttlmInf&gt;
        &lt;SttlmMtd&gt;INDA&lt;/SttlmMtd&gt;
      &lt;/SttlmInf&gt;
    &lt;/GrpHdr&gt;
    &lt;CdtTrfTxInf&gt;
      &lt;PmtId&gt;
        &lt;EndToEndId&gt;SE-E2E-009CT&lt;/EndToEndId&gt;
      &lt;/PmtId&gt;
      &lt;IntrBkSttlmAmt Ccy="USD"&gt;1000.00&lt;/IntrBkSttlmAmt&gt;
      &lt;PrvsInstgAgt1&gt;
        &lt;FinInstnId&gt;
          &lt;PstlAdr&gt;
            &lt;Ctry&gt;IR&lt;/Ctry&gt;
          &lt;/PstlAdr&gt;
        &lt;/FinInstnId&gt;
      &lt;/PrvsInstgAgt1&gt;
      &lt;PrvsInstgAgt2&gt;
        &lt;FinInstnId&gt;
          &lt;PstlAdr&gt;
            &lt;Ctry&gt;IR&lt;/Ctry&gt;
          &lt;/PstlAdr&gt;
        &lt;/FinInstnId&gt;
      &lt;/PrvsInstgAgt2&gt;
      &lt;PrvsInstgAgt3&gt;
        &lt;FinInstnId&gt;
          &lt;PstlAdr&gt;
            &lt;Ctry&gt;IR&lt;/Ctry&gt;
          &lt;/PstlAdr&gt;
        &lt;/FinInstnId&gt;
      &lt;/PrvsInstgAgt3&gt;
      &lt;IntrmyAgt1&gt;
        &lt;FinInstnId&gt;
          &lt;PstlAdr&gt;
            &lt;Ctry&gt;IR&lt;/Ctry&gt;
          &lt;/PstlAdr&gt;
        &lt;/FinInstnId&gt;
      &lt;/IntrmyAgt1&gt;
      &lt;IntrmyAgt2&gt;
        &lt;FinInstnId&gt;
          &lt;PstlAdr&gt;
            &lt;Ctry&gt;IR&lt;/Ctry&gt;
          &lt;/PstlAdr&gt;
        &lt;/FinInstnId&gt;
      &lt;/IntrmyAgt2&gt;
      &lt;IntrmyAgt3&gt;
        &lt;FinInstnId&gt;
          &lt;PstlAdr&gt;
            &lt;Ctry&gt;IR&lt;/Ctry&gt;
          &lt;/PstlAdr&gt;
        &lt;/FinInstnId&gt;
      &lt;/IntrmyAgt3&gt;
      &lt;Dbtr&gt;
        &lt;FinInstnId&gt;
          &lt;PstlAdr&gt;
            &lt;Ctry&gt;IR&lt;/Ctry&gt;
          &lt;/PstlAdr&gt;
        &lt;/FinInstnId&gt;
      &lt;/Dbtr&gt;
      &lt;DbtrAgt&gt;
        &lt;FinInstnId&gt;
          &lt;PstlAdr&gt;
            &lt;Ctry&gt;IR&lt;/Ctry&gt;
          &lt;/PstlAdr&gt;
        &lt;/FinInstnId&gt;
      &lt;/DbtrAgt&gt;
      &lt;CdtrAgt&gt;
        &lt;FinInstnId&gt;
          &lt;PstlAdr&gt;
            &lt;Ctry&gt;IR&lt;/Ctry&gt;
          &lt;/PstlAdr&gt;
        &lt;/FinInstnId&gt;
      &lt;/CdtrAgt&gt;
      &lt;Cdtr&gt;
        &lt;FinInstnId&gt;
          &lt;PstlAdr&gt;
            &lt;Ctry&gt;IR&lt;/Ctry&gt;
          &lt;/PstlAdr&gt;
        &lt;/FinInstnId&gt;
      &lt;/Cdtr&gt;
      &lt;UndrlygCstmrCdtTrf&gt;
        &lt;UltmtDbtr&gt;
          &lt;PstlAdr&gt;
            &lt;Ctry&gt;IR&lt;/Ctry&gt;
          &lt;/PstlAdr&gt;
          &lt;Id&gt;
            &lt;PrvtId&gt;
              &lt;DtAndPlcOfBirth&gt;
                &lt;BirthDt&gt;1990-01-01&lt;/BirthDt&gt;
                &lt;CityOfBirth&gt;ABCD1234 CITY&lt;/CityOfBirth&gt;
                &lt;CtryOfBirth&gt;IR&lt;/CtryOfBirth&gt;
              &lt;/DtAndPlcOfBirth&gt;
            &lt;/PrvtId&gt;
          &lt;/Id&gt;
          &lt;CtryOfRes&gt;IR&lt;/CtryOfRes&gt;
        &lt;/UltmtDbtr&gt;
        &lt;InitgPty&gt;
          &lt;PstlAdr&gt;
            &lt;Ctry&gt;IR&lt;/Ctry&gt;
          &lt;/PstlAdr&gt;
          &lt;Id&gt;
            &lt;PrvtId&gt;
              &lt;DtAndPlcOfBirth&gt;
                &lt;BirthDt&gt;1990-01-01&lt;/BirthDt&gt;
                &lt;CityOfBirth&gt;ABCD1234 CITY&lt;/CityOfBirth&gt;
                &lt;CtryOfBirth&gt;IR&lt;/CtryOfBirth&gt;
              &lt;/DtAndPlcOfBirth&gt;
            &lt;/PrvtId&gt;
          &lt;/Id&gt;
          &lt;CtryOfRes&gt;IR&lt;/CtryOfRes&gt;
        &lt;/InitgPty&gt;
        &lt;Dbtr&gt;
          &lt;PstlAdr&gt;
            &lt;Ctry&gt;IR&lt;/Ctry&gt;
          &lt;/PstlAdr&gt;
          &lt;Id&gt;
            &lt;PrvtId&gt;
              &lt;DtAndPlcOfBirth&gt;
                &lt;BirthDt&gt;1990-01-01&lt;/BirthDt&gt;
                &lt;CityOfBirth&gt;ABCD1234 CITY&lt;/CityOfBirth&gt;
                &lt;CtryOfBirth&gt;IR&lt;/CtryOfBirth&gt;
              &lt;/DtAndPlcOfBirth&gt;
            &lt;/PrvtId&gt;
          &lt;/Id&gt;
          &lt;CtryOfRes&gt;IR&lt;/CtryOfRes&gt;
        &lt;/Dbtr&gt;
        &lt;DbtrAgt&gt;
          &lt;FinInstnId&gt;
            &lt;PstlAdr&gt;
              &lt;Ctry&gt;IR&lt;/Ctry&gt;
            &lt;/PstlAdr&gt;
          &lt;/FinInstnId&gt;
        &lt;/DbtrAgt&gt;
        &lt;PrvsInstgAgt1&gt;
          &lt;FinInstnId&gt;
            &lt;PstlAdr&gt;
              &lt;Ctry&gt;IR&lt;/Ctry&gt;
            &lt;/PstlAdr&gt;
          &lt;/FinInstnId&gt;
        &lt;/PrvsInstgAgt1&gt;
        &lt;PrvsInstgAgt2&gt;
          &lt;FinInstnId&gt;
            &lt;PstlAdr&gt;
              &lt;Ctry&gt;IR&lt;/Ctry&gt;
            &lt;/PstlAdr&gt;
          &lt;/FinInstnId&gt;
        &lt;/PrvsInstgAgt2&gt;
        &lt;PrvsInstgAgt3&gt;
          &lt;FinInstnId&gt;
            &lt;PstlAdr&gt;
              &lt;Ctry&gt;IR&lt;/Ctry&gt;
            &lt;/PstlAdr&gt;
          &lt;/FinInstnId&gt;
        &lt;/PrvsInstgAgt3&gt;
        &lt;IntrmyAgt1&gt;
          &lt;FinInstnId&gt;
            &lt;PstlAdr&gt;
              &lt;Ctry&gt;IR&lt;/Ctry&gt;
            &lt;/PstlAdr&gt;
          &lt;/FinInstnId&gt;
        &lt;/IntrmyAgt1&gt;
        &lt;IntrmyAgt2&gt;
          &lt;FinInstnId&gt;
            &lt;PstlAdr&gt;
              &lt;Ctry&gt;IR&lt;/Ctry&gt;
            &lt;/PstlAdr&gt;
          &lt;/FinInstnId&gt;
        &lt;/IntrmyAgt2&gt;
        &lt;IntrmyAgt3&gt;
          &lt;FinInstnId&gt;
            &lt;PstlAdr&gt;
              &lt;Ctry&gt;IR&lt;/Ctry&gt;
            &lt;/PstlAdr&gt;
          &lt;/FinInstnId&gt;
        &lt;/IntrmyAgt3&gt;
        &lt;CdtrAgt&gt;
          &lt;FinInstnId&gt;
            &lt;PstlAdr&gt;
              &lt;Ctry&gt;IR&lt;/Ctry&gt;
            &lt;/PstlAdr&gt;
          &lt;/FinInstnId&gt;
        &lt;/CdtrAgt&gt;
        &lt;Cdtr&gt;
          &lt;PstlAdr&gt;
            &lt;Ctry&gt;IR&lt;/Ctry&gt;
          &lt;/PstlAdr&gt;
          &lt;Id&gt;
            &lt;PrvtId&gt;
              &lt;DtAndPlcOfBirth&gt;
                &lt;BirthDt&gt;1990-01-01&lt;/BirthDt&gt;
                &lt;CityOfBirth&gt;ABCD1234 CITY&lt;/CityOfBirth&gt;
                &lt;CtryOfBirth&gt;IR&lt;/CtryOfBirth&gt;
              &lt;/DtAndPlcOfBirth&gt;
            &lt;/PrvtId&gt;
          &lt;/Id&gt;
          &lt;CtryOfRes&gt;IR&lt;/CtryOfRes&gt;
        &lt;/Cdtr&gt;
        &lt;UltmtCdtr&gt;
          &lt;PstlAdr&gt;
            &lt;Ctry&gt;IR&lt;/Ctry&gt;
          &lt;/PstlAdr&gt;
          &lt;Id&gt;
            &lt;PrvtId&gt;
              &lt;DtAndPlcOfBirth&gt;
                &lt;BirthDt&gt;1990-01-01&lt;/BirthDt&gt;
                &lt;CityOfBirth&gt;ABCD1234 CITY&lt;/CityOfBirth&gt;
                &lt;CtryOfBirth&gt;IR&lt;/CtryOfBirth&gt;
              &lt;/DtAndPlcOfBirth&gt;
            &lt;/PrvtId&gt;
          &lt;/Id&gt;
          &lt;CtryOfRes&gt;IR&lt;/CtryOfRes&gt;
        &lt;/UltmtCdtr&gt;
        &lt;RmtInf&gt;
          &lt;Strd&gt;
            &lt;Invcr&gt;
              &lt;PstlAdr&gt;
                &lt;Ctry&gt;IR&lt;/Ctry&gt;
              &lt;/PstlAdr&gt;
              &lt;Id&gt;
                &lt;PrvtId&gt;
                  &lt;DtAndPlcOfBirth&gt;
                    &lt;BirthDt&gt;1990-01-01&lt;/BirthDt&gt;
                    &lt;CityOfBirth&gt;ABCD1234 CITY&lt;/CityOfBirth&gt;
                    &lt;CtryOfBirth&gt;IR&lt;/CtryOfBirth&gt;
                  &lt;/DtAndPlcOfBirth&gt;
                &lt;/PrvtId&gt;
              &lt;/Id&gt;
              &lt;CtryOfRes&gt;IR&lt;/CtryOfRes&gt;
            &lt;/Invcr&gt;
            &lt;Invcee&gt;
              &lt;PstlAdr&gt;
                &lt;Ctry&gt;IR&lt;/Ctry&gt;
              &lt;/PstlAdr&gt;
              &lt;Id&gt;
                &lt;PrvtId&gt;
                  &lt;DtAndPlcOfBirth&gt;
                    &lt;BirthDt&gt;1990-01-01&lt;/BirthDt&gt;
                    &lt;CityOfBirth&gt;ABCD1234 CITY&lt;/CityOfBirth&gt;
                    &lt;CtryOfBirth&gt;IR&lt;/CtryOfBirth&gt;
                  &lt;/DtAndPlcOfBirth&gt;
                &lt;/PrvtId&gt;
              &lt;/Id&gt;
              &lt;CtryOfRes&gt;IR&lt;/CtryOfRes&gt;
            &lt;/Invcee&gt;
            &lt;GrnshmtRmt&gt;
              &lt;Tp&gt;
                &lt;CdOrPrtry&gt;
                  &lt;Prtry&gt;GARNISHMENT&lt;/Prtry&gt;
                &lt;/CdOrPrtry&gt;
              &lt;/Tp&gt;
              &lt;Grnshee&gt;
                &lt;PstlAdr&gt;
                  &lt;Ctry&gt;IR&lt;/Ctry&gt;
                &lt;/PstlAdr&gt;
                &lt;Id&gt;
                  &lt;PrvtId&gt;
                    &lt;DtAndPlcOfBirth&gt;
                      &lt;BirthDt&gt;1990-01-01&lt;/BirthDt&gt;
                      &lt;CityOfBirth&gt;ABCD1234 CITY&lt;/CityOfBirth&gt;
                      &lt;CtryOfBirth&gt;IR&lt;/CtryOfBirth&gt;
                    &lt;/DtAndPlcOfBirth&gt;
                  &lt;/PrvtId&gt;
                &lt;/Id&gt;
                &lt;CtryOfRes&gt;IR&lt;/CtryOfRes&gt;
              &lt;/Grnshee&gt;
              &lt;GrnshmtAdmstr&gt;
                &lt;PstlAdr&gt;
                  &lt;Ctry&gt;IR&lt;/Ctry&gt;
                &lt;/PstlAdr&gt;
                &lt;Id&gt;
                  &lt;PrvtId&gt;
                    &lt;DtAndPlcOfBirth&gt;
                      &lt;BirthDt&gt;1990-01-01&lt;/BirthDt&gt;
                      &lt;CityOfBirth&gt;ABCD1234 CITY&lt;/CityOfBirth&gt;
                      &lt;CtryOfBirth&gt;IR&lt;/CtryOfBirth&gt;
                    &lt;/DtAndPlcOfBirth&gt;
                  &lt;/PrvtId&gt;
                &lt;/Id&gt;
                &lt;CtryOfRes&gt;IR&lt;/CtryOfRes&gt;
              &lt;/GrnshmtAdmstr&gt;
            &lt;/GrnshmtRmt&gt;
          &lt;/Strd&gt;
        &lt;/RmtInf&gt;
      &lt;/UndrlygCstmrCdtTrf&gt;
    &lt;/CdtTrfTxInf&gt;
  &lt;/FICdtTrf&gt;
&lt;/Document&gt;</t>
  </si>
  <si>
    <t>2. Hệ thống trả kết quả: HIT với Webservice Country and City
Câu query kiểm tra kết quả (KET_QUA = HIT):
SELECT CASE
         WHEN COUNT(*) = 45 THEN 'HIT'
         ELSE 'NO HIT'
       END AS KET_QUA
FROM (
    SELECT T.N_WEBSERVICE_ID,
           REGEXP_REPLACE(TRIM(X.X_PATH_SPLIT), '\[\d+\]', '') AS X_PATH
    FROM FSI_RT_XML_WLS_RESPONSE T
    CROSS APPLY (
        SELECT REGEXP_SUBSTR(TO_CHAR(T.X_PATH), '[^,]+', 1, LEVEL) AS X_PATH_SPLIT
        FROM DUAL
        CONNECT BY LEVEL &lt;= REGEXP_COUNT(TO_CHAR(T.X_PATH), ',') + 1
    ) X
    WHERE T.N_GRP_MSG_ID = 52808
      AND T.N_WEBSERVICE_ID = 3
      AND REGEXP_REPLACE(TRIM(X.X_PATH_SPLIT), '\[\d+\]', '') IN (
'Document/FICdtTrf/CdtTrfTxInf/PrvsInstgAgt1/FinInstnId/PstlAdr/Ctry',
'Document/FICdtTrf/CdtTrfTxInf/PrvsInstgAgt2/FinInstnId/PstlAdr/Ctry',
'Document/FICdtTrf/CdtTrfTxInf/PrvsInstgAgt3/FinInstnId/PstlAdr/Ctry',
'Document/FICdtTrf/CdtTrfTxInf/IntrmyAgt1/FinInstnId/PstlAdr/Ctry',
'Document/FICdtTrf/CdtTrfTxInf/IntrmyAgt2/FinInstnId/PstlAdr/Ctry',
'Document/FICdtTrf/CdtTrfTxInf/IntrmyAgt3/FinInstnId/PstlAdr/Ctry',
'Document/FICdtTrf/CdtTrfTxInf/Dbtr/FinInstnId/PstlAdr/Ctry',
'Document/FICdtTrf/CdtTrfTxInf/DbtrAgt/FinInstnId/PstlAdr/Ctry',
'Document/FICdtTrf/CdtTrfTxInf/CdtrAgt/FinInstnId/PstlAdr/Ctry',
'Document/FICdtTrf/CdtTrfTxInf/Cdtr/FinInstnId/PstlAdr/Ctry',
'Document/FICdtTrf/CdtTrfTxInf/UndrlygCstmrCdtTrf/UltmtDbtr/PstlAdr/Ctry',
'Document/FICdtTrf/CdtTrfTxInf/UndrlygCstmrCdtTrf/UltmtDbtr/Id/PrvtId/DtAndPlcOfBirth/CtryOfBirth',
'Document/FICdtTrf/CdtTrfTxInf/UndrlygCstmrCdtTrf/UltmtDbtr/CtryOfRes',
'Document/FICdtTrf/CdtTrfTxInf/UndrlygCstmrCdtTrf/InitgPty/PstlAdr/Ctry',
'Document/FICdtTrf/CdtTrfTxInf/UndrlygCstmrCdtTrf/InitgPty/Id/PrvtId/DtAndPlcOfBirth/CtryOfBirth',
'Document/FICdtTrf/CdtTrfTxInf/UndrlygCstmrCdtTrf/InitgPty/CtryOfRes',
'Document/FICdtTrf/CdtTrfTxInf/UndrlygCstmrCdtTrf/Dbtr/PstlAdr/Ctry',
'Document/FICdtTrf/CdtTrfTxInf/UndrlygCstmrCdtTrf/Dbtr/Id/PrvtId/DtAndPlcOfBirth/CtryOfBirth',
'Document/FICdtTrf/CdtTrfTxInf/UndrlygCstmrCdtTrf/Dbtr/CtryOfRes',
'Document/FICdtTrf/CdtTrfTxInf/UndrlygCstmrCdtTrf/DbtrAgt/FinInstnId/PstlAdr/Ctry',
'Document/FICdtTrf/CdtTrfTxInf/UndrlygCstmrCdtTrf/PrvsInstgAgt1/FinInstnId/PstlAdr/Ctry',
'Document/FICdtTrf/CdtTrfTxInf/UndrlygCstmrCdtTrf/PrvsInstgAgt2/FinInstnId/PstlAdr/Ctry',
'Document/FICdtTrf/CdtTrfTxInf/UndrlygCstmrCdtTrf/PrvsInstgAgt3/FinInstnId/PstlAdr/Ctry',
'Document/FICdtTrf/CdtTrfTxInf/UndrlygCstmrCdtTrf/IntrmyAgt1/FinInstnId/PstlAdr/Ctry',
'Document/FICdtTrf/CdtTrfTxInf/UndrlygCstmrCdtTrf/IntrmyAgt2/FinInstnId/PstlAdr/Ctry',
'Document/FICdtTrf/CdtTrfTxInf/UndrlygCstmrCdtTrf/IntrmyAgt3/FinInstnId/PstlAdr/Ctry',
'Document/FICdtTrf/CdtTrfTxInf/UndrlygCstmrCdtTrf/CdtrAgt/FinInstnId/PstlAdr/Ctry',
'Document/FICdtTrf/CdtTrfTxInf/UndrlygCstmrCdtTrf/Cdtr/PstlAdr/Ctry',
'Document/FICdtTrf/CdtTrfTxInf/UndrlygCstmrCdtTrf/Cdtr/Id/PrvtId/DtAndPlcOfBirth/CtryOfBirth',
'Document/FICdtTrf/CdtTrfTxInf/UndrlygCstmrCdtTrf/Cdtr/CtryOfRes',
'Document/FICdtTrf/CdtTrfTxInf/UndrlygCstmrCdtTrf/UltmtCdtr/PstlAdr/Ctry',
'Document/FICdtTrf/CdtTrfTxInf/UndrlygCstmrCdtTrf/UltmtCdtr/Id/PrvtId/DtAndPlcOfBirth/CtryOfBirth',
'Document/FICdtTrf/CdtTrfTxInf/UndrlygCstmrCdtTrf/UltmtCdtr/CtryOfRes',
'Document/FICdtTrf/CdtTrfTxInf/UndrlygCstmrCdtTrf/RmtInf/Strd/Invcr/PstlAdr/Ctry',
'Document/FICdtTrf/CdtTrfTxInf/UndrlygCstmrCdtTrf/RmtInf/Strd/Invcr/Id/PrvtId/DtAndPlcOfBirth/CtryOfBirth',
'Document/FICdtTrf/CdtTrfTxInf/UndrlygCstmrCdtTrf/RmtInf/Strd/Invcr/CtryOfRes',
'Document/FICdtTrf/CdtTrfTxInf/UndrlygCstmrCdtTrf/RmtInf/Strd/Invcee/PstlAdr/Ctry',
'Document/FICdtTrf/CdtTrfTxInf/UndrlygCstmrCdtTrf/RmtInf/Strd/Invcee/Id/PrvtId/DtAndPlcOfBirth/CtryOfBirth',
'Document/FICdtTrf/CdtTrfTxInf/UndrlygCstmrCdtTrf/RmtInf/Strd/Invcee/CtryOfRes',
'Document/FICdtTrf/CdtTrfTxInf/UndrlygCstmrCdtTrf/RmtInf/Strd/GrnshmtRmt/Grnshee/PstlAdr/Ctry',
'Document/FICdtTrf/CdtTrfTxInf/UndrlygCstmrCdtTrf/RmtInf/Strd/GrnshmtRmt/Grnshee/Id/PrvtId/DtAndPlcOfBirth/CtryOfBirth',
'Document/FICdtTrf/CdtTrfTxInf/UndrlygCstmrCdtTrf/RmtInf/Strd/GrnshmtRmt/Grnshee/CtryOfRes',
'Document/FICdtTrf/CdtTrfTxInf/UndrlygCstmrCdtTrf/RmtInf/Strd/GrnshmtRmt/GrnshmtAdmstr/PstlAdr/Ctry',
'Document/FICdtTrf/CdtTrfTxInf/UndrlygCstmrCdtTrf/RmtInf/Strd/GrnshmtRmt/GrnshmtAdmstr/Id/PrvtId/DtAndPlcOfBirth/CtryOfBirth',
'Document/FICdtTrf/CdtTrfTxInf/UndrlygCstmrCdtTrf/RmtInf/Strd/GrnshmtRmt/GrnshmtAdmstr/CtryOfRes'
      )
    GROUP BY T.N_WEBSERVICE_ID,
             REGEXP_REPLACE(TRIM(X.X_PATH_SPLIT), '\[\d+\]', '')
    HAVING COUNT(CASE WHEN T.V_MATCHED_LIST_NAME = 'Blacklisted Country' THEN 1 END) &gt; 0
);</t>
  </si>
  <si>
    <t>Pacs009COV.04</t>
  </si>
  <si>
    <t>Sàng lọc giao dịch Pacs.009 COV - Name and Address - Individual, Entity</t>
  </si>
  <si>
    <t>1. Đẩy giao dịch vào API Post Message với trường thông tin có XML path 
/Document/FICdtTrf/CdtTrfTxInf/UndrlygCstmrCdtTrf/UltmtDbtr/Nm
/Document/FICdtTrf/CdtTrfTxInf/UndrlygCstmrCdtTrf/InitgPty/Nm
/Document/FICdtTrf/CdtTrfTxInf/UndrlygCstmrCdtTrf/Dbtr/Nm
/Document/FICdtTrf/CdtTrfTxInf/UndrlygCstmrCdtTrf/Cdtr/Nm
/Document/FICdtTrf/CdtTrfTxInf/UndrlygCstmrCdtTrf/UltmtCdtr/Nm
/Document/FICdtTrf/CdtTrfTxInf/UndrlygCstmrCdtTrf/RmtInf/Strd/Invcr/Nm
/Document/FICdtTrf/CdtTrfTxInf/UndrlygCstmrCdtTrf/RmtInf/Strd/Invcee/Nm
/Document/FICdtTrf/CdtTrfTxInf/UndrlygCstmrCdtTrf/RmtInf/Strd/TaxRmt/Dbtr/Authstn/Nm
/Document/FICdtTrf/CdtTrfTxInf/UndrlygCstmrCdtTrf/RmtInf/Strd/TaxRmt/UltmtDbtr/Authstn/Nm
/Document/FICdtTrf/CdtTrfTxInf/UndrlygCstmrCdtTrf/RmtInf/Strd/GrnshmtRmt/Grnshee/Nm
/Document/FICdtTrf/CdtTrfTxInf/UndrlygCstmrCdtTrf/RmtInf/Strd/GrnshmtRmt/GrnshmtAdmstr/Nm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</si>
  <si>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?&gt;
&lt;Document xmlns="urn:iso:std:iso:20022:tech:xsd:pacs.009.001.08"&gt;
  &lt;FICdtTrf&gt;
    &lt;GrpHdr&gt;
      &lt;MsgId&gt;SE-009COV-PARTY&lt;/MsgId&gt;
      &lt;CreDtTm&gt;2026-07-29T09:00:00&lt;/CreDtTm&gt;
      &lt;NbOfTxs&gt;1&lt;/NbOfTxs&gt;
      &lt;IntrBkSttlmDt&gt;2026-07-29&lt;/IntrBkSttlmDt&gt;
      &lt;SttlmInf&gt;
        &lt;SttlmMtd&gt;COVE&lt;/SttlmMtd&gt;
      &lt;/SttlmInf&gt;
    &lt;/GrpHdr&gt;
    &lt;CdtTrfTxInf&gt;
      &lt;PmtId&gt;
        &lt;EndToEndId&gt;SE-E2E&lt;/EndToEndId&gt;
      &lt;/PmtId&gt;
      &lt;IntrBkSttlmAmt Ccy="USD"&gt;1000.00&lt;/IntrBkSttlmAmt&gt;
      &lt;IntrBkSttlmDt&gt;2026-07-29&lt;/IntrBkSttlmDt&gt;
      &lt;Dbtr&gt;
        &lt;FinInstnId&gt;
          &lt;Nm&gt;NEUTRAL DBTR FI&lt;/Nm&gt;
        &lt;/FinInstnId&gt;
      &lt;/Dbtr&gt;
      &lt;DbtrAgt&gt;
        &lt;FinInstnId&gt;
          &lt;Nm&gt;NEUTRAL DBTR AGT&lt;/Nm&gt;
        &lt;/FinInstnId&gt;
      &lt;/DbtrAgt&gt;
      &lt;CdtrAgt&gt;
        &lt;FinInstnId&gt;
          &lt;Nm&gt;NEUTRAL CDTR AGT&lt;/Nm&gt;
        &lt;/FinInstnId&gt;
      &lt;/CdtrAgt&gt;
      &lt;Cdtr&gt;
        &lt;FinInstnId&gt;
          &lt;Nm&gt;NEUTRAL CDTR FI&lt;/Nm&gt;
        &lt;/FinInstnId&gt;
      &lt;/Cdtr&gt;
      &lt;UndrlygCstmrCdtTrf&gt;
        &lt;UltmtDbtr&gt;
          &lt;Nm&gt;SUMMIT EMBER&lt;/Nm&gt;
        &lt;/UltmtDbtr&gt;
        &lt;InitgPty&gt;
          &lt;Nm&gt;SUMMIT EMBER&lt;/Nm&gt;
        &lt;/InitgPty&gt;
        &lt;Dbtr&gt;
          &lt;Nm&gt;SUMMIT EMBER&lt;/Nm&gt;
        &lt;/Dbtr&gt;
        &lt;DbtrAgt&gt;
          &lt;FinInstnId&gt;
            &lt;Nm&gt;NEUTRAL DBTR AGT&lt;/Nm&gt;
          &lt;/FinInstnId&gt;
        &lt;/DbtrAgt&gt;
        &lt;CdtrAgt&gt;
          &lt;FinInstnId&gt;
            &lt;Nm&gt;NEUTRAL CDTR AGT&lt;/Nm&gt;
          &lt;/FinInstnId&gt;
        &lt;/CdtrAgt&gt;
        &lt;Cdtr&gt;
          &lt;Nm&gt;SUMMIT EMBER&lt;/Nm&gt;
        &lt;/Cdtr&gt;
        &lt;UltmtCdtr&gt;
          &lt;Nm&gt;SUMMIT EMBER&lt;/Nm&gt;
        &lt;/UltmtCdtr&gt;
        &lt;RmtInf&gt;
          &lt;Strd&gt;
            &lt;Invcr&gt;
              &lt;Nm&gt;SUMMIT EMBER&lt;/Nm&gt;
            &lt;/Invcr&gt;
            &lt;Invcee&gt;
              &lt;Nm&gt;SUMMIT EMBER&lt;/Nm&gt;
            &lt;/Invcee&gt;
            &lt;TaxRmt&gt;
              &lt;Dbtr&gt;
                &lt;Authstn&gt;
                  &lt;Nm&gt;SUMMIT EMBER&lt;/Nm&gt;
                &lt;/Authstn&gt;
              &lt;/Dbtr&gt;
              &lt;UltmtDbtr&gt;
                &lt;Authstn&gt;
                  &lt;Nm&gt;SUMMIT EMBER&lt;/Nm&gt;
                &lt;/Authstn&gt;
              &lt;/UltmtDbtr&gt;
            &lt;/TaxRmt&gt;
            &lt;GrnshmtRmt&gt;
              &lt;Tp&gt;
                &lt;CdOrPrtry&gt;
                  &lt;Prtry&gt;GARNISHMENT&lt;/Prtry&gt;
                &lt;/CdOrPrtry&gt;
              &lt;/Tp&gt;
              &lt;Grnshee&gt;
                &lt;Nm&gt;SUMMIT EMBER&lt;/Nm&gt;
              &lt;/Grnshee&gt;
              &lt;GrnshmtAdmstr&gt;
                &lt;Nm&gt;SUMMIT EMBER&lt;/Nm&gt;
              &lt;/GrnshmtAdmstr&gt;
            &lt;/GrnshmtRmt&gt;
          &lt;/Strd&gt;
        &lt;/RmtInf&gt;
      &lt;/UndrlygCstmrCdtTrf&gt;
    &lt;/CdtTrfTxInf&gt;
  &lt;/FICdtTrf&gt;
&lt;/Document&gt;</t>
  </si>
  <si>
    <t>2. Hệ thống trả kết quả: HIT với Webservice Identifier loại chủ thể Entity và không HIT với chủ thể Individual, Vessel, Aircraft, Port
Câu query kiểm tra kết quả (KET_QUA = HIT):
2. Hệ thống trả kết quả: HIT với Webservice Name and Address loại chủ thể Entity và không HIT với chủ thể Individual, Vessel, Aircraft
Câu query kiểm tra kết quả (KET_QUA = HIT):
SELECT CASE
         WHEN COUNT(*) = 11 THEN 'HIT'
         ELSE 'NO HIT'
       END AS KET_QUA
FROM (
    SELECT T.N_WEBSERVICE_ID,
           REGEXP_REPLACE(TO_CHAR(T.X_PATH), '\[\d+\]', '') AS X_PATH
    FROM FSI_RT_XML_WLS_RESPONSE T
    WHERE T.N_GRP_MSG_ID = :N_GRP_MSG_ID
      AND T.N_WEBSERVICE_ID = 1
      AND REGEXP_REPLACE(TO_CHAR(T.X_PATH), '\[\d+\]', '') IN (
'Document/FICdtTrf/CdtTrfTxInf/UndrlygCstmrCdtTrf/UltmtDbtr/Nm',
'Document/FICdtTrf/CdtTrfTxInf/UndrlygCstmrCdtTrf/InitgPty/Nm',
'Document/FICdtTrf/CdtTrfTxInf/UndrlygCstmrCdtTrf/Dbtr/Nm',
'Document/FICdtTrf/CdtTrfTxInf/UndrlygCstmrCdtTrf/Cdtr/Nm',
'Document/FICdtTrf/CdtTrfTxInf/UndrlygCstmrCdtTrf/UltmtCdtr/Nm',
'Document/FICdtTrf/CdtTrfTxInf/UndrlygCstmrCdtTrf/RmtInf/Strd/Invcr/Nm',
'Document/FICdtTrf/CdtTrfTxInf/UndrlygCstmrCdtTrf/RmtInf/Strd/Invcee/Nm',
'Document/FICdtTrf/CdtTrfTxInf/UndrlygCstmrCdtTrf/RmtInf/Strd/TaxRmt/Dbtr/Authstn/Nm',
'Document/FICdtTrf/CdtTrfTxInf/UndrlygCstmrCdtTrf/RmtInf/Strd/TaxRmt/UltmtDbtr/Authstn/Nm',
'Document/FICdtTrf/CdtTrfTxInf/UndrlygCstmrCdtTrf/RmtInf/Strd/GrnshmtRmt/Grnshee/Nm',
'Document/FICdtTrf/CdtTrfTxInf/UndrlygCstmrCdtTrf/RmtInf/Strd/GrnshmtRmt/GrnshmtAdmstr/Nm'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</si>
  <si>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Pacs009COV.05</t>
  </si>
  <si>
    <t>Sàng lọc giao dịch Pacs.009 COV - Identifier - Entity</t>
  </si>
  <si>
    <t>1. Đẩy giao dịch vào API Post Message với trường thông tin có XML path
/Document/FICdtTrf/CdtTrfTxInf/UndrlygCstmrCdtTrf/UltmtDbtr/Id/OrgId/Othr/Id
/Document/FICdtTrf/CdtTrfTxInf/UndrlygCstmrCdtTrf/InitgPty/Id/OrgId/Othr/Id
/Document/FICdtTrf/CdtTrfTxInf/UndrlygCstmrCdtTrf/Dbtr/Id/OrgId/Othr/Id
/Document/FICdtTrf/CdtTrfTxInf/UndrlygCstmrCdtTrf/Cdtr/Id/OrgId/Othr/Id
/Document/FICdtTrf/CdtTrfTxInf/UndrlygCstmrCdtTrf/UltmtCdtr/Id/OrgId/Othr/Id
/Document/FICdtTrf/CdtTrfTxInf/UndrlygCstmrCdtTrf/RmtInf/Strd/Invcr/Id/OrgId/Othr/Id
/Document/FICdtTrf/CdtTrfTxInf/UndrlygCstmrCdtTrf/RmtInf/Strd/Invcee/Id/OrgId/Othr/Id
/Document/FICdtTrf/CdtTrfTxInf/UndrlygCstmrCdtTrf/RmtInf/Strd/GrnshmtRmt/Grnshee/Id/OrgId/Othr/Id
/Document/FICdtTrf/CdtTrfTxInf/UndrlygCstmrCdtTrf/RmtInf/Strd/GrnshmtRmt/GrnshmtAdmstr/Id/OrgId/Othr/Id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</si>
  <si>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&lt;MsgId&gt;SUMMITEMBER-MSG-009OP&lt;/MsgId&gt;
      &lt;CreDtTm&gt;2026-07-28T13:31:41&lt;/CreDtTm&gt;
      &lt;NbOfTxs&gt;1&lt;/NbOfTxs&gt;
      &lt;SttlmInf&gt;
        &lt;SttlmMtd&gt;INDA&lt;/SttlmMtd&gt;
      &lt;/SttlmInf&gt;
    &lt;/GrpHdr&gt;
    &lt;CdtTrfTxInf&gt;
      &lt;PmtId&gt;
        &lt;EndToEndId&gt;SE-E2E-009OP&lt;/EndToEndId&gt;
      &lt;/PmtId&gt;
      &lt;IntrBkSttlmAmt Ccy="USD"&gt;1000.00&lt;/IntrBkSttlmAmt&gt;
      &lt;Dbtr&gt;
        &lt;FinInstnId/&gt;
      &lt;/Dbtr&gt;
      &lt;Cdtr&gt;
        &lt;FinInstnId/&gt;
      &lt;/Cdtr&gt;
      &lt;UndrlygCstmrCdtTrf&gt;
        &lt;UltmtDbtr&gt;
          &lt;Id&gt;
            &lt;OrgId&gt;
              &lt;Othr&gt;
                &lt;Id&gt;0099887766&lt;/Id&gt;
              &lt;/Othr&gt;
            &lt;/OrgId&gt;
          &lt;/Id&gt;
        &lt;/UltmtDbtr&gt;
        &lt;InitgPty&gt;
          &lt;Id&gt;
            &lt;OrgId&gt;
              &lt;Othr&gt;
                &lt;Id&gt;0099887766&lt;/Id&gt;
              &lt;/Othr&gt;
            &lt;/OrgId&gt;
          &lt;/Id&gt;
        &lt;/InitgPty&gt;
        &lt;Dbtr&gt;
          &lt;Id&gt;
            &lt;OrgId&gt;
              &lt;Othr&gt;
                &lt;Id&gt;0099887766&lt;/Id&gt;
              &lt;/Othr&gt;
            &lt;/OrgId&gt;
          &lt;/Id&gt;
        &lt;/Dbtr&gt;
        &lt;DbtrAgt&gt;
          &lt;FinInstnId/&gt;
        &lt;/DbtrAgt&gt;
        &lt;CdtrAgt&gt;
          &lt;FinInstnId/&gt;
        &lt;/CdtrAgt&gt;
        &lt;Cdtr&gt;
          &lt;Id&gt;
            &lt;OrgId&gt;
              &lt;Othr&gt;
                &lt;Id&gt;0099887766&lt;/Id&gt;
              &lt;/Othr&gt;
            &lt;/OrgId&gt;
          &lt;/Id&gt;
        &lt;/Cdtr&gt;
        &lt;UltmtCdtr&gt;
          &lt;Id&gt;
            &lt;OrgId&gt;
              &lt;Othr&gt;
                &lt;Id&gt;0099887766&lt;/Id&gt;
              &lt;/Othr&gt;
            &lt;/OrgId&gt;
          &lt;/Id&gt;
        &lt;/UltmtCdtr&gt;
        &lt;RmtInf&gt;
          &lt;Strd&gt;
            &lt;Invcr&gt;
              &lt;Id&gt;
                &lt;OrgId&gt;
                  &lt;Othr&gt;
                    &lt;Id&gt;0099887766&lt;/Id&gt;
                  &lt;/Othr&gt;
                &lt;/OrgId&gt;
              &lt;/Id&gt;
            &lt;/Invcr&gt;
            &lt;Invcee&gt;
              &lt;Id&gt;
                &lt;OrgId&gt;
                  &lt;Othr&gt;
                    &lt;Id&gt;0099887766&lt;/Id&gt;
                  &lt;/Othr&gt;
                &lt;/OrgId&gt;
              &lt;/Id&gt;
            &lt;/Invcee&gt;
            &lt;GrnshmtRmt&gt;
              &lt;Tp&gt;
                &lt;CdOrPrtry&gt;
                  &lt;Prtry&gt;GARNISHMENT&lt;/Prtry&gt;
                &lt;/CdOrPrtry&gt;
              &lt;/Tp&gt;
              &lt;Grnshee&gt;
                &lt;Id&gt;
                  &lt;OrgId&gt;
                    &lt;Othr&gt;
                      &lt;Id&gt;0099887766&lt;/Id&gt;
                    &lt;/Othr&gt;
                  &lt;/OrgId&gt;
                &lt;/Id&gt;
              &lt;/Grnshee&gt;
              &lt;GrnshmtAdmstr&gt;
                &lt;Id&gt;
                  &lt;OrgId&gt;
                    &lt;Othr&gt;
                      &lt;Id&gt;0099887766&lt;/Id&gt;
                    &lt;/Othr&gt;
                  &lt;/OrgId&gt;
                &lt;/Id&gt;
              &lt;/GrnshmtAdmstr&gt;
            &lt;/GrnshmtRmt&gt;
          &lt;/Strd&gt;
        &lt;/RmtInf&gt;
      &lt;/UndrlygCstmrCdtTrf&gt;
    &lt;/CdtTrfTxInf&gt;
  &lt;/FICdtTrf&gt;
&lt;/Document&gt;</t>
  </si>
  <si>
    <t>2. Hệ thống trả kết quả: HIT với Webservice Identifier loại chủ thể Entity và không HIT với chủ thể Individual, Vessel, Aircraft
Câu query kiểm tra kết quả (KET_QUA = HIT):
SELECT CASE
         WHEN COUNT(*) = 9 THEN 'HIT'
         ELSE 'NO HIT'
       END AS KET_QUA
FROM (
    SELECT T.N_WEBSERVICE_ID,
           REGEXP_REPLACE(TO_CHAR(T.X_PATH), '\[\d+\]', '') AS X_PATH
    FROM FSI_RT_XML_WLS_RESPONSE T
    WHERE T.N_GRP_MSG_ID = :N_GRP_MSG_ID
      AND T.N_WEBSERVICE_ID = 2
      AND REGEXP_REPLACE(TO_CHAR(T.X_PATH), '\[\d+\]', '') IN (
'Document/FICdtTrf/CdtTrfTxInf/UndrlygCstmrCdtTrf/UltmtDbtr/Id/OrgId/Othr/Id',
'Document/FICdtTrf/CdtTrfTxInf/UndrlygCstmrCdtTrf/InitgPty/Id/OrgId/Othr/Id',
'Document/FICdtTrf/CdtTrfTxInf/UndrlygCstmrCdtTrf/Dbtr/Id/OrgId/Othr/Id',
'Document/FICdtTrf/CdtTrfTxInf/UndrlygCstmrCdtTrf/Cdtr/Id/OrgId/Othr/Id',
'Document/FICdtTrf/CdtTrfTxInf/UndrlygCstmrCdtTrf/UltmtCdtr/Id/OrgId/Othr/Id',
'Document/FICdtTrf/CdtTrfTxInf/UndrlygCstmrCdtTrf/RmtInf/Strd/Invcr/Id/OrgId/Othr/Id',
'Document/FICdtTrf/CdtTrfTxInf/UndrlygCstmrCdtTrf/RmtInf/Strd/Invcee/Id/OrgId/Othr/Id',
'Document/FICdtTrf/CdtTrfTxInf/UndrlygCstmrCdtTrf/RmtInf/Strd/GrnshmtRmt/Grnshee/Id/OrgId/Othr/Id',
'Document/FICdtTrf/CdtTrfTxInf/UndrlygCstmrCdtTrf/RmtInf/Strd/GrnshmtRmt/GrnshmtAdmstr/Id/OrgId/Othr/Id'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</si>
  <si>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Pacs009COV.06</t>
  </si>
  <si>
    <t>Sàng lọc giao dịch Pacs.009 COV - Identifier - Individual</t>
  </si>
  <si>
    <t>1. Đẩy giao dịch vào API Post Message với trường thông tin có XML path
/Document/FICdtTrf/CdtTrfTxInf/UndrlygCstmrCdtTrf/UltmtDbtr/Id/PrvtId/Othr/Id
/Document/FICdtTrf/CdtTrfTxInf/UndrlygCstmrCdtTrf/InitgPty/Id/PrvtId/Othr/Id
/Document/FICdtTrf/CdtTrfTxInf/UndrlygCstmrCdtTrf/Dbtr/Id/PrvtId/Othr/Id
/Document/FICdtTrf/CdtTrfTxInf/UndrlygCstmrCdtTrf/Cdtr/Id/PrvtId/Othr/Id
/Document/FICdtTrf/CdtTrfTxInf/UndrlygCstmrCdtTrf/UltmtCdtr/Id/PrvtId/Othr/Id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</si>
  <si>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&lt;MsgId&gt;SUMMITEMBER-MSG-009PP&lt;/MsgId&gt;
      &lt;CreDtTm&gt;2026-07-28T13:31:41&lt;/CreDtTm&gt;
      &lt;NbOfTxs&gt;1&lt;/NbOfTxs&gt;
      &lt;SttlmInf&gt;
        &lt;SttlmMtd&gt;INDA&lt;/SttlmMtd&gt;
      &lt;/SttlmInf&gt;
    &lt;/GrpHdr&gt;
    &lt;CdtTrfTxInf&gt;
      &lt;PmtId&gt;
        &lt;EndToEndId&gt;SE-E2E-009PP&lt;/EndToEndId&gt;
      &lt;/PmtId&gt;
      &lt;IntrBkSttlmAmt Ccy="USD"&gt;1000.00&lt;/IntrBkSttlmAmt&gt;
      &lt;Dbtr&gt;
        &lt;FinInstnId/&gt;
      &lt;/Dbtr&gt;
      &lt;Cdtr&gt;
        &lt;FinInstnId/&gt;
      &lt;/Cdtr&gt;
      &lt;UndrlygCstmrCdtTrf&gt;
        &lt;UltmtDbtr&gt;
          &lt;Id&gt;
            &lt;PrvtId&gt;
              &lt;Othr&gt;
                &lt;Id&gt;0099887766&lt;/Id&gt;
              &lt;/Othr&gt;
            &lt;/PrvtId&gt;
          &lt;/Id&gt;
        &lt;/UltmtDbtr&gt;
        &lt;InitgPty&gt;
          &lt;Id&gt;
            &lt;PrvtId&gt;
              &lt;Othr&gt;
                &lt;Id&gt;0099887766&lt;/Id&gt;
              &lt;/Othr&gt;
            &lt;/PrvtId&gt;
          &lt;/Id&gt;
        &lt;/InitgPty&gt;
        &lt;Dbtr&gt;
          &lt;Id&gt;
            &lt;PrvtId&gt;
              &lt;Othr&gt;
                &lt;Id&gt;0099887766&lt;/Id&gt;
              &lt;/Othr&gt;
            &lt;/PrvtId&gt;
          &lt;/Id&gt;
        &lt;/Dbtr&gt;
        &lt;DbtrAgt&gt;
          &lt;FinInstnId/&gt;
        &lt;/DbtrAgt&gt;
        &lt;CdtrAgt&gt;
          &lt;FinInstnId/&gt;
        &lt;/CdtrAgt&gt;
        &lt;Cdtr&gt;
          &lt;Id&gt;
            &lt;PrvtId&gt;
              &lt;Othr&gt;
                &lt;Id&gt;0099887766&lt;/Id&gt;
              &lt;/Othr&gt;
            &lt;/PrvtId&gt;
          &lt;/Id&gt;
        &lt;/Cdtr&gt;
        &lt;UltmtCdtr&gt;
          &lt;Id&gt;
            &lt;PrvtId&gt;
              &lt;Othr&gt;
                &lt;Id&gt;0099887766&lt;/Id&gt;
              &lt;/Othr&gt;
            &lt;/PrvtId&gt;
          &lt;/Id&gt;
        &lt;/UltmtCdtr&gt;
        &lt;RmtInf&gt;
          &lt;Strd&gt;
            &lt;Invcr&gt;
              &lt;Id&gt;
                &lt;PrvtId&gt;
                  &lt;Othr&gt;
                    &lt;Id&gt;0099887766&lt;/Id&gt;
                  &lt;/Othr&gt;
                &lt;/PrvtId&gt;
              &lt;/Id&gt;
            &lt;/Invcr&gt;
            &lt;Invcee&gt;
              &lt;Id&gt;
                &lt;PrvtId&gt;
                  &lt;Othr&gt;
                    &lt;Id&gt;0099887766&lt;/Id&gt;
                  &lt;/Othr&gt;
                &lt;/PrvtId&gt;
              &lt;/Id&gt;
            &lt;/Invcee&gt;
            &lt;GrnshmtRmt&gt;
              &lt;Tp&gt;
                &lt;CdOrPrtry&gt;
                  &lt;Prtry&gt;GARNISHMENT&lt;/Prtry&gt;
                &lt;/CdOrPrtry&gt;
              &lt;/Tp&gt;
              &lt;Grnshee&gt;
                &lt;Id&gt;
                  &lt;PrvtId&gt;
                    &lt;Othr&gt;
                      &lt;Id&gt;0099887766&lt;/Id&gt;
                    &lt;/Othr&gt;
                  &lt;/PrvtId&gt;
                &lt;/Id&gt;
              &lt;/Grnshee&gt;
              &lt;GrnshmtAdmstr&gt;
                &lt;Id&gt;
                  &lt;PrvtId&gt;
                    &lt;Othr&gt;
                      &lt;Id&gt;0099887766&lt;/Id&gt;
                    &lt;/Othr&gt;
                  &lt;/PrvtId&gt;
                &lt;/Id&gt;
              &lt;/GrnshmtAdmstr&gt;
            &lt;/GrnshmtRmt&gt;
          &lt;/Strd&gt;
        &lt;/RmtInf&gt;
      &lt;/UndrlygCstmrCdtTrf&gt;
    &lt;/CdtTrfTxInf&gt;
  &lt;/FICdtTrf&gt;
&lt;/Document&gt;</t>
  </si>
  <si>
    <t>2. Hệ thống trả kết quả: HIT với Webservice Identifier loại chủ thể Individual và không HIT với chủ thể Entity, Vessel, Aircraft
Câu query kiểm tra kết quả (KET_QUA = HIT):
SELECT CASE
         WHEN COUNT(*) = 9 THEN 'HIT'
         ELSE 'NO HIT'
       END AS KET_QUA
FROM (
    SELECT T.N_WEBSERVICE_ID,
           REGEXP_REPLACE(TO_CHAR(T.X_PATH), '\[\d+\]', '') AS X_PATH
    FROM FSI_RT_XML_WLS_RESPONSE T
    WHERE T.N_GRP_MSG_ID = :N_GRP_MSG_ID
      AND T.N_WEBSERVICE_ID = 2
      AND REGEXP_REPLACE(TO_CHAR(T.X_PATH), '\[\d+\]', '') IN (
'Document/FICdtTrf/CdtTrfTxInf/UndrlygCstmrCdtTrf/UltmtDbtr/Id/PrvtId/Othr/Id',
'Document/FICdtTrf/CdtTrfTxInf/UndrlygCstmrCdtTrf/InitgPty/Id/PrvtId/Othr/Id',
'Document/FICdtTrf/CdtTrfTxInf/UndrlygCstmrCdtTrf/Dbtr/Id/PrvtId/Othr/Id',
'Document/FICdtTrf/CdtTrfTxInf/UndrlygCstmrCdtTrf/Cdtr/Id/PrvtId/Othr/Id',
'Document/FICdtTrf/CdtTrfTxInf/UndrlygCstmrCdtTrf/UltmtCdtr/Id/PrvtId/Othr/Id',
'Document/FICdtTrf/CdtTrfTxInf/UndrlygCstmrCdtTrf/RmtInf/Strd/Invcr/Id/PrvtId/Othr/Id',
'Document/FICdtTrf/CdtTrfTxInf/UndrlygCstmrCdtTrf/RmtInf/Strd/Invcee/Id/PrvtId/Othr/Id',
'Document/FICdtTrf/CdtTrfTxInf/UndrlygCstmrCdtTrf/RmtInf/Strd/GrnshmtRmt/Grnshee/Id/PrvtId/Othr/Id',
'Document/FICdtTrf/CdtTrfTxInf/UndrlygCstmrCdtTrf/RmtInf/Strd/GrnshmtRmt/GrnshmtAdmstr/Id/PrvtId/Othr/Id'
)
    GROUP BY T.N_WEBSERVICE_ID,
             REGEXP_REPLACE(TO_CHAR(T.X_PATH), '\[\d+\]', '')
    HAVING COUNT(CASE WHEN UPPER(T.V_MATCHED_TYPE) = 'ENTITY' THEN 1 END) = 0
       AND COUNT(CASE WHEN UPPER(T.V_MATCHED_TYPE) = 'INDIVIDUAL' THEN 1 END) &gt; 0
       AND COUNT(CASE WHEN UPPER(T.V_MATCHED_TYPE) = 'VESSEL' THEN 1 END) = 0
       AND COUNT(CASE WHEN UPPER(T.V_MATCHED_TYPE) = 'AIRCRAFT' THEN 1 END) = 0
);</t>
  </si>
  <si>
    <t>Pacs009COV.07</t>
  </si>
  <si>
    <t>Sàng lọc giao dịch Pacs.009 COV - Narrative - All</t>
  </si>
  <si>
    <t>1. Đẩy giao dịch vào API Post Message với trường thông tin có XML path 
/Document/FICdtTrf/CdtTrfTxInf/InstrForCdtrAgt/InstrInf
/Document/FICdtTrf/CdtTrfTxInf/InstrForNxtAgt/InstrInf
/Document/FICdtTrf/CdtTrfTxInf/RmtInf/Ustrd
/Document/FICdtTrf/CdtTrfTxInf/UndrlygCstmrCdtTrf/InstrForCdtrAgt/InstrInf
/Document/FICdtTrf/CdtTrfTxInf/UndrlygCstmrCdtTrf/InstrForNxtAgt/InstrInf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</si>
  <si>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xmlns="urn:iso:std:iso:20022:tech:xsd:pacs.009.001.08"&gt;
  &lt;FICdtTrf&gt;
    &lt;GrpHdr&gt;
      &lt;MsgId&gt;SUMMITEMBER-MSG-009I&lt;/MsgId&gt;
      &lt;CreDtTm&gt;2026-07-28T13:31:41&lt;/CreDtTm&gt;
      &lt;NbOfTxs&gt;1&lt;/NbOfTxs&gt;
      &lt;SttlmInf&gt;
        &lt;SttlmMtd&gt;INDA&lt;/SttlmMtd&gt;
      &lt;/SttlmInf&gt;
    &lt;/GrpHdr&gt;
    &lt;CdtTrfTxInf&gt;
      &lt;PmtId&gt;
        &lt;EndToEndId&gt;SE-E2E-009I&lt;/EndToEndId&gt;
      &lt;/PmtId&gt;
      &lt;IntrBkSttlmAmt Ccy="USD"&gt;1000.00&lt;/IntrBkSttlmAmt&gt;
      &lt;Dbtr&gt;
        &lt;FinInstnId/&gt;
      &lt;/Dbtr&gt;
      &lt;Cdtr&gt;
        &lt;FinInstnId/&gt;
      &lt;/Cdtr&gt;
      &lt;InstrForCdtrAgt&gt;
        &lt;InstrInf&gt;0099887766&lt;/InstrInf&gt;
      &lt;/InstrForCdtrAgt&gt;
      &lt;InstrForNxtAgt&gt;
        &lt;InstrInf&gt;0099887766&lt;/InstrInf&gt;
      &lt;/InstrForNxtAgt&gt;
      &lt;RmtInf&gt;
        &lt;Ustrd&gt;0099887766&lt;/Ustrd&gt;
      &lt;/RmtInf&gt;
      &lt;UndrlygCstmrCdtTrf&gt;
        &lt;Dbtr&gt;
          &lt;Nm&gt;ABCD1234 QWERTY&lt;/Nm&gt;
        &lt;/Dbtr&gt;
        &lt;DbtrAgt&gt;
          &lt;FinInstnId/&gt;
        &lt;/DbtrAgt&gt;
        &lt;CdtrAgt&gt;
          &lt;FinInstnId/&gt;
        &lt;/CdtrAgt&gt;
        &lt;Cdtr&gt;
          &lt;Nm&gt;ZXCV9988 HELLO&lt;/Nm&gt;
        &lt;/Cdtr&gt;
        &lt;InstrForCdtrAgt&gt;
          &lt;InstrInf&gt;0099887766&lt;/InstrInf&gt;
        &lt;/InstrForCdtrAgt&gt;
        &lt;InstrForNxtAgt&gt;
          &lt;InstrInf&gt;0099887766&lt;/InstrInf&gt;
        &lt;/InstrForNxtAgt&gt;
        &lt;RmtInf&gt;
          &lt;Ustrd&gt;0099887766&lt;/Ustrd&gt;
          &lt;Strd&gt;
            &lt;RfrdDocInf&gt;
              &lt;LineDtls&gt;
                &lt;Id/&gt;
                &lt;Amt&gt;
                  &lt;AdjstmntAmtAndRsn&gt;
                    &lt;Amt Ccy="USD"&gt;1.00&lt;/Amt&gt;
                    &lt;AddtlInf&gt;0099887766&lt;/AddtlInf&gt;
                  &lt;/AdjstmntAmtAndRsn&gt;
                &lt;/Amt&gt;
              &lt;/LineDtls&gt;
            &lt;/RfrdDocInf&gt;
            &lt;RfrdDocAmt&gt;
              &lt;AdjstmntAmtAndRsn&gt;
                &lt;Amt Ccy="USD"&gt;1.00&lt;/Amt&gt;
                &lt;AddtlInf&gt;0099887766&lt;/AddtlInf&gt;
              &lt;/AdjstmntAmtAndRsn&gt;
            &lt;/RfrdDocAmt&gt;
            &lt;TaxRmt&gt;
              &lt;Rcrd&gt;
                &lt;AddtlInf&gt;0099887766&lt;/AddtlInf&gt;
              &lt;/Rcrd&gt;
            &lt;/TaxRmt&gt;
          &lt;/Strd&gt;
        &lt;/RmtInf&gt;
      &lt;/UndrlygCstmrCdtTrf&gt;
    &lt;/CdtTrfTxInf&gt;
  &lt;/FICdtTrf&gt;
&lt;/Document&gt;</t>
  </si>
  <si>
    <t>2. Hệ thống trả kết quả: HIT với Webservice Narrative loại chủ thể Individual, Entity, Port, Vessel, Aircraft và danh sách Stop Keywords
Câu query kiểm tra kết quả (KET_QUA = HIT):
SELECT CASE
         WHEN COUNT(*) = 9 THEN 'HIT'
         ELSE 'NO HIT'
       END AS KET_QUA
FROM (
    SELECT
        T.N_WEBSERVICE_ID,
        REGEXP_REPLACE(TRIM(XP.X_PATH), '\[\d+\]', '') AS X_PATH
    FROM FSI_RT_XML_WLS_RESPONSE T
    CROSS APPLY (
        SELECT REGEXP_SUBSTR(
                   TO_CHAR(T.X_PATH),
                   '[^,]+',
                   1,
                   LEVEL
               ) AS X_PATH
        FROM DUAL
        CONNECT BY REGEXP_SUBSTR(
                       TO_CHAR(T.X_PATH),
                       '[^,]+',
                       1,
                       LEVEL
                   ) IS NOT NULL
    ) XP
    WHERE T.N_GRP_MSG_ID = 52883
      AND T.N_WEBSERVICE_ID = 4
      AND REGEXP_REPLACE(TRIM(XP.X_PATH), '\[\d+\]', '') IN (
          'Document/FICdtTrf/CdtTrfTxInf/InstrForCdtrAgt/InstrInf',
          'Document/FICdtTrf/CdtTrfTxInf/InstrForNxtAgt/InstrInf',
          'Document/FICdtTrf/CdtTrfTxInf/RmtInf/Ustrd',
          'Document/FICdtTrf/CdtTrfTxInf/UndrlygCstmrCdtTrf/InstrForCdtrAgt/InstrInf',
          'Document/FICdtTrf/CdtTrfTxInf/UndrlygCstmrCdtTrf/InstrForNxtAgt/InstrInf',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
      )
    GROUP BY
        T.N_WEBSERVICE_ID,
        REGEXP_REPLACE(TRIM(XP.X_PATH),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</si>
  <si>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thiếu 4 xpath
Document/FICdtTrf/CdtTrfTxInf/UndrlygCstmrCdtTrf/RmtInf/Ustrd
Document/FICdtTrf/CdtTrfTxInf/UndrlygCstmrCdtTrf/RmtInf/Strd/RfrdDocInf/LineDtls/Amt/AdjstmntAmtAndRsn/AddtlInf
Document/FICdtTrf/CdtTrfTxInf/UndrlygCstmrCdtTrf/RmtInf/Strd/RfrdDocAmt/AdjstmntAmtAndRsn/AddtlInf
Document/FICdtTrf/CdtTrfTxInf/UndrlygCstmrCdtTrf/RmtInf/Strd/TaxRmt/Rcrd/AddtlInf</t>
  </si>
  <si>
    <t>Sàng lọc giao dịch Pacs.004</t>
  </si>
  <si>
    <t>Pacs.004</t>
  </si>
  <si>
    <t>Pacs004.01</t>
  </si>
  <si>
    <t>Sàng lọc giao dịch Pacs.004 - Identifier, Name and Address, Country and City - Entity</t>
  </si>
  <si>
    <t>1. Đẩy giao dịch vào API Post Message với trường thông tin có XML path 
/Document/PmtRtr/TxInf/ChrgsInf/Agt/FinInstnId/BICFI
/Document/PmtRtr/TxInf/InstgAgt/FinInstnId/BICFI
/Document/PmtRtr/TxInf/InstdAgt/FinInstnId/BICFI
/Document/PmtRtr/TxInf/RtrChain/UltmtDbtr/Pty/Id/OrgId/AnyBIC
/Document/PmtRtr/TxInf/RtrChain/Dbtr/Pty/Id/OrgId/AnyBIC
/Document/PmtRtr/TxInf/RtrChain/InitgPty/Pty/Id/OrgId/AnyBIC
/Document/PmtRtr/TxInf/RtrChain/DbtrAgt/FinInstnId/BICFI
/Document/PmtRtr/TxInf/RtrChain/PrvsInstgAgt1/FinInstnId/BICFI
/Document/PmtRtr/TxInf/RtrChain/PrvsInstgAgt2/FinInstnId/BICFI
/Document/PmtRtr/TxInf/RtrChain/PrvsInstgAgt3/FinInstnId/BICFI
/Document/PmtRtr/TxInf/RtrChain/IntrmyAgt1/FinInstnId/BICFI
/Document/PmtRtr/TxInf/RtrChain/IntrmyAgt2/FinInstnId/BICFI
/Document/PmtRtr/TxInf/RtrChain/IntrmyAgt3/FinInstnId/BICFI
/Document/PmtRtr/TxInf/RtrChain/CdtrAgt/FinInstnId/BICFI
/Document/PmtRtr/TxInf/RtrChain/Cdtr/Pty/Id/OrgId/AnyBIC
/Document/PmtRtr/TxInf/RtrChain/UltmtCdtr/Pty/Id/OrgId/AnyBIC
/Document/PmtRtr/TxInf/RtrRsnInf/Orgtr/Id/OrgId/AnyBIC
/Document/PmtRtr/TxInf/OrgnlTxRef/CdtrSchmeId/Id/OrgId/AnyBIC
/Document/PmtRtr/TxInf/OrgnlTxRef/SttlmInf/InstgRmbrsmntAgt/FinInstnId/BICFI
/Document/PmtRtr/TxInf/OrgnlTxRef/SttlmInf/InstdRmbrsmntAgt/FinInstnId/BICFI
/Document/PmtRtr/TxInf/OrgnlTxRef/SttlmInf/ThrdRmbrsmntAgt/FinInstnId/BICFI
/Document/PmtRtr/TxInf/OrgnlTxRef/RmtInf/Strd/Invcr/Id/OrgId/AnyBIC
/Document/PmtRtr/TxInf/OrgnlTxRef/RmtInf/Strd/Invcee/Id/OrgId/AnyBIC
/Document/PmtRtr/TxInf/OrgnlTxRef/RmtInf/Strd/GrnshmtRmt/Grnshee/Id/OrgId/AnyBIC
/Document/PmtRtr/TxInf/OrgnlTxRef/RmtInf/Strd/GrnshmtRmt/GrnshmtAdmstr/Id/OrgId/AnyBIC
/Document/PmtRtr/TxInf/OrgnlTxRef/UltmtDbtr/Pty/Id/OrgId/AnyBIC
/Document/PmtRtr/TxInf/OrgnlTxRef/Dbtr/Pty/Id/OrgId/AnyBIC
/Document/PmtRtr/TxInf/OrgnlTxRef/DbtrAgt/FinInstnId/BICFI
/Document/PmtRtr/TxInf/OrgnlTxRef/CdtrAgt/FinInstnId/BICFI
/Document/PmtRtr/TxInf/OrgnlTxRef/Cdtr/Pty/Id/OrgId/AnyBIC
/Document/PmtRtr/TxInf/OrgnlTxRef/UltmtCdtr/Pty/Id/OrgId/AnyBIC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</si>
  <si>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&lt;MsgId&gt;SE-MSG-004-PTY&lt;/MsgId&gt;
      &lt;CreDtTm&gt;2026-07-28T13:31:41&lt;/CreDtTm&gt;
      &lt;NbOfTxs&gt;1&lt;/NbOfTxs&gt;
      &lt;SttlmInf&gt;
        &lt;SttlmMtd&gt;INDA&lt;/SttlmMtd&gt;
      &lt;/SttlmInf&gt;
    &lt;/GrpHdr&gt;
    &lt;TxInf&gt;
      &lt;RtrdIntrBkSttlmAmt Ccy="USD"&gt;1000.00&lt;/RtrdIntrBkSttlmAmt&gt;
      &lt;ChrgsInf&gt;
        &lt;Amt Ccy="USD"&gt;10.00&lt;/Amt&gt;
        &lt;Agt&gt;
          &lt;FinInstnId&gt;
            &lt;BICFI&gt;BFICCUHH&lt;/BICFI&gt;
          &lt;/FinInstnId&gt;
        &lt;/Agt&gt;
      &lt;/ChrgsInf&gt;
      &lt;InstgAgt&gt;
        &lt;FinInstnId&gt;
          &lt;BICFI&gt;BFICCUHH&lt;/BICFI&gt;
        &lt;/FinInstnId&gt;
      &lt;/InstgAgt&gt;
      &lt;InstdAgt&gt;
        &lt;FinInstnId&gt;
          &lt;BICFI&gt;BFICCUHH&lt;/BICFI&gt;
        &lt;/FinInstnId&gt;
      &lt;/InstdAgt&gt;
      &lt;RtrChain&gt;
        &lt;UltmtDbtr&gt;
          &lt;Pty&gt;
            &lt;Id&gt;
              &lt;OrgId&gt;
                &lt;AnyBIC&gt;BFICCUHH&lt;/AnyBIC&gt;
              &lt;/OrgId&gt;
            &lt;/Id&gt;
          &lt;/Pty&gt;
        &lt;/UltmtDbtr&gt;
        &lt;Dbtr&gt;
          &lt;Pty&gt;
            &lt;Id&gt;
              &lt;OrgId&gt;
                &lt;AnyBIC&gt;BFICCUHH&lt;/AnyBIC&gt;
              &lt;/OrgId&gt;
            &lt;/Id&gt;
          &lt;/Pty&gt;
        &lt;/Dbtr&gt;
        &lt;InitgPty&gt;
          &lt;Pty&gt;
            &lt;Id&gt;
              &lt;OrgId&gt;
                &lt;AnyBIC&gt;BFICCUHH&lt;/AnyBIC&gt;
              &lt;/OrgId&gt;
            &lt;/Id&gt;
          &lt;/Pty&gt;
        &lt;/InitgPty&gt;
        &lt;DbtrAgt&gt;
          &lt;FinInstnId&gt;
            &lt;BICFI&gt;BFICCUHH&lt;/BICFI&gt;
          &lt;/FinInstnId&gt;
        &lt;/DbtrAgt&gt;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&lt;IntrmyAgt1&gt;
          &lt;FinInstnId&gt;
            &lt;BICFI&gt;BFICCUHH&lt;/BICFI&gt;
          &lt;/FinInstnId&gt;
        &lt;/IntrmyAgt1&gt;
        &lt;IntrmyAgt2&gt;
          &lt;FinInstnId&gt;
            &lt;BICFI&gt;BFICCUHH&lt;/BICFI&gt;
          &lt;/FinInstnId&gt;
        &lt;/IntrmyAgt2&gt;
        &lt;IntrmyAgt3&gt;
          &lt;FinInstnId&gt;
            &lt;BICFI&gt;BFICCUHH&lt;/BICFI&gt;
          &lt;/FinInstnId&gt;
        &lt;/IntrmyAgt3&gt;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&lt;/RtrChain&gt;
      &lt;RtrRsnInf&gt;
        &lt;Orgtr&gt;
          &lt;Id&gt;
            &lt;OrgId&gt;
              &lt;AnyBIC&gt;BFICCUHH&lt;/AnyBIC&gt;
            &lt;/OrgId&gt;
          &lt;/Id&gt;
        &lt;/Orgtr&gt;
      &lt;/RtrRsnInf&gt;
      &lt;OrgnlTxRef&gt;
        &lt;CdtrSchmeId&gt;
          &lt;Id&gt;
            &lt;OrgId&gt;
              &lt;AnyBIC&gt;BFICCUHH&lt;/AnyBIC&gt;
            &lt;/OrgId&gt;
          &lt;/Id&gt;
        &lt;/CdtrSchmeId&gt;
        &lt;SttlmInf&gt;
          &lt;SttlmMtd&gt;INDA&lt;/SttlmMtd&gt;
          &lt;InstgRmbrsmntAgt&gt;
            &lt;FinInstnId&gt;
              &lt;BICFI&gt;BFICCUHH&lt;/BICFI&gt;
            &lt;/FinInstnId&gt;
          &lt;/InstgRmbrsmntAgt&gt;
          &lt;InstdRmbrsmntAgt&gt;
            &lt;FinInstnId&gt;
              &lt;BICFI&gt;BFICCUHH&lt;/BICFI&gt;
            &lt;/FinInstnId&gt;
          &lt;/InstdRmbrsmntAgt&gt;
          &lt;ThrdRmbrsmntAgt&gt;
            &lt;FinInstnId&gt;
              &lt;BICFI&gt;BFICCUHH&lt;/BICFI&gt;
            &lt;/FinInstnId&gt;
          &lt;/ThrdRmbrsmntAgt&gt;
        &lt;/SttlmInf&gt;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&lt;UltmtDbtr&gt;
          &lt;Pty&gt;
            &lt;Id&gt;
              &lt;OrgId&gt;
                &lt;AnyBIC&gt;BFICCUHH&lt;/AnyBIC&gt;
              &lt;/OrgId&gt;
            &lt;/Id&gt;
          &lt;/Pty&gt;
        &lt;/UltmtDbtr&gt;
        &lt;Dbtr&gt;
          &lt;Pty&gt;
            &lt;Id&gt;
              &lt;OrgId&gt;
                &lt;AnyBIC&gt;BFICCUHH&lt;/AnyBIC&gt;
              &lt;/OrgId&gt;
            &lt;/Id&gt;
          &lt;/Pty&gt;
        &lt;/Dbtr&gt;
        &lt;DbtrAgt&gt;
          &lt;FinInstnId&gt;
            &lt;BICFI&gt;BFICCUHH&lt;/BICFI&gt;
          &lt;/FinInstnId&gt;
        &lt;/DbtrAgt&gt;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&lt;/OrgnlTxRef&gt;
    &lt;/TxInf&gt;
  &lt;/PmtRtr&gt;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</si>
  <si>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93 THEN 'HIT'
         ELSE 'NO HIT'
       END AS KET_QUA
FROM (
    SELECT T.N_WEBSERVICE_ID,
           REGEXP_REPLACE(TO_CHAR(T.X_PATH), '\[\d+\]', '') AS X_PATH
    FROM FSI_RT_XML_WLS_RESPONSE T
    WHERE T.N_GRP_MSG_ID = :N_GRP_MSG_ID
      AND T.N_WEBSERVICE_ID IN (1, 2, 3)
      AND REGEXP_REPLACE(TO_CHAR(T.X_PATH), '\[\d+\]', '') IN (
'Document/PmtRtr/TxInf/ChrgsInf/Agt/FinInstnId/BICFI',
'Document/PmtRtr/TxInf/InstgAgt/FinInstnId/BICFI',
'Document/PmtRtr/TxInf/InstdAgt/FinInstnId/BICFI',
'Document/PmtRtr/TxInf/RtrChain/UltmtDbtr/Pty/Id/OrgId/AnyBIC',
'Document/PmtRtr/TxInf/RtrChain/Dbtr/Pty/Id/OrgId/AnyBIC',
'Document/PmtRtr/TxInf/RtrChain/InitgPty/Pty/Id/OrgId/AnyBIC',
'Document/PmtRtr/TxInf/RtrChain/DbtrAgt/FinInstnId/BICFI',
'Document/PmtRtr/TxInf/RtrChain/PrvsInstgAgt1/FinInstnId/BICFI',
'Document/PmtRtr/TxInf/RtrChain/PrvsInstgAgt2/FinInstnId/BICFI',
'Document/PmtRtr/TxInf/RtrChain/PrvsInstgAgt3/FinInstnId/BICFI',
'Document/PmtRtr/TxInf/RtrChain/IntrmyAgt1/FinInstnId/BICFI',
'Document/PmtRtr/TxInf/RtrChain/IntrmyAgt2/FinInstnId/BICFI',
'Document/PmtRtr/TxInf/RtrChain/IntrmyAgt3/FinInstnId/BICFI',
'Document/PmtRtr/TxInf/RtrChain/CdtrAgt/FinInstnId/BICFI',
'Document/PmtRtr/TxInf/RtrChain/Cdtr/Pty/Id/OrgId/AnyBIC',
'Document/PmtRtr/TxInf/RtrChain/UltmtCdtr/Pty/Id/OrgId/AnyBIC',
'Document/PmtRtr/TxInf/RtrRsnInf/Orgtr/Id/OrgId/AnyBIC',
'Document/PmtRtr/TxInf/OrgnlTxRef/CdtrSchmeId/Id/OrgId/AnyBIC',
'Document/PmtRtr/TxInf/OrgnlTxRef/SttlmInf/InstgRmbrsmntAgt/FinInstnId/BICFI',
'Document/PmtRtr/TxInf/OrgnlTxRef/SttlmInf/InstdRmbrsmntAgt/FinInstnId/BICFI',
'Document/PmtRtr/TxInf/OrgnlTxRef/SttlmInf/ThrdRmbrsmntAgt/FinInstnId/BICFI',
'Document/PmtRtr/TxInf/OrgnlTxRef/RmtInf/Strd/Invcr/Id/OrgId/AnyBIC',
'Document/PmtRtr/TxInf/OrgnlTxRef/RmtInf/Strd/Invcee/Id/OrgId/AnyBIC',
'Document/PmtRtr/TxInf/OrgnlTxRef/RmtInf/Strd/GrnshmtRmt/Grnshee/Id/OrgId/AnyBIC',
'Document/PmtRtr/TxInf/OrgnlTxRef/RmtInf/Strd/GrnshmtRmt/GrnshmtAdmstr/Id/OrgId/AnyBIC',
'Document/PmtRtr/TxInf/OrgnlTxRef/UltmtDbtr/Pty/Id/OrgId/AnyBIC',
'Document/PmtRtr/TxInf/OrgnlTxRef/Dbtr/Pty/Id/OrgId/AnyBIC',
'Document/PmtRtr/TxInf/OrgnlTxRef/DbtrAgt/FinInstnId/BICFI',
'Document/PmtRtr/TxInf/OrgnlTxRef/CdtrAgt/FinInstnId/BICFI',
'Document/PmtRtr/TxInf/OrgnlTxRef/Cdtr/Pty/Id/OrgId/AnyBIC',
'Document/PmtRtr/TxInf/OrgnlTxRef/UltmtCdtr/Pty/Id/OrgId/AnyBIC'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</si>
  <si>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Pacs004.02</t>
  </si>
  <si>
    <t>1. Đẩy giao dịch vào API Post Message với trường thông tin có XML path 
/Document/PmtRtr/TxInf/RtrChain/Dbtr/Agt/FinInstnId/BICFI
/Document/PmtRtr/TxInf/RtrChain/Cdtr/Agt/FinInstnId/BICFI
/Document/PmtRtr/TxInf/OrgnlTxRef/Dbtr/Agt/FinInstnId/BICFI
/Document/PmtRtr/TxInf/OrgnlTxRef/Cdtr/Agt/FinInstnId/BICFI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</si>
  <si>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&lt;MsgId&gt;SE-MSG-004-AGT&lt;/MsgId&gt;
      &lt;CreDtTm&gt;2026-07-28T13:31:41&lt;/CreDtTm&gt;
      &lt;NbOfTxs&gt;1&lt;/NbOfTxs&gt;
      &lt;SttlmInf&gt;
        &lt;SttlmMtd&gt;INDA&lt;/SttlmMtd&gt;
      &lt;/SttlmInf&gt;
    &lt;/GrpHdr&gt;
    &lt;TxInf&gt;
      &lt;RtrdIntrBkSttlmAmt Ccy="USD"&gt;1000.00&lt;/RtrdIntrBkSttlmAmt&gt;
      &lt;RtrChain&gt;
        &lt;Dbtr&gt;
          &lt;Agt&gt;
            &lt;FinInstnId&gt;
              &lt;BICFI&gt;BFICCUHH&lt;/BICFI&gt;
            &lt;/FinInstnId&gt;
          &lt;/Agt&gt;
        &lt;/Dbtr&gt;
        &lt;Cdtr&gt;
          &lt;Agt&gt;
            &lt;FinInstnId&gt;
              &lt;BICFI&gt;BFICCUHH&lt;/BICFI&gt;
            &lt;/FinInstnId&gt;
          &lt;/Agt&gt;
        &lt;/Cdtr&gt;
      &lt;/RtrChain&gt;
      &lt;OrgnlTxRef&gt;
        &lt;Dbtr&gt;
          &lt;Agt&gt;
            &lt;FinInstnId&gt;
              &lt;BICFI&gt;BFICCUHH&lt;/BICFI&gt;
            &lt;/FinInstnId&gt;
          &lt;/Agt&gt;
        &lt;/Dbtr&gt;
        &lt;Cdtr&gt;
          &lt;Agt&gt;
            &lt;FinInstnId&gt;
              &lt;BICFI&gt;BFICCUHH&lt;/BICFI&gt;
            &lt;/FinInstnId&gt;
          &lt;/Agt&gt;
        &lt;/Cdtr&gt;
      &lt;/OrgnlTxRef&gt;
    &lt;/TxInf&gt;
  &lt;/PmtRtr&gt;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</si>
  <si>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WITH DS_RESULT AS(
	SELECT 
		DISTINCT N_WEBSERVICE_ID,X_PATH
	FROM (
		SELECT T.N_WEBSERVICE_ID,
			   REGEXP_REPLACE(TO_CHAR(T.X_PATH), '\[\d+\]', '') AS X_PATH
		FROM FSI_RT_XML_WLS_RESPONSE T
		WHERE T.N_GRP_MSG_ID = 52671
		  AND T.N_WEBSERVICE_ID IN (1, 2, 3)
		  AND REGEXP_REPLACE(TO_CHAR(T.X_PATH), '\[\d+\]', '') IN (
	'Document/PmtRtr/TxInf/RtrChain/Dbtr/Agt/FinInstnId/BICFI',
	'Document/PmtRtr/TxInf/RtrChain/Cdtr/Agt/FinInstnId/BICFI',
	'Document/PmtRtr/TxInf/OrgnlTxRef/Dbtr/Agt/FinInstnId/BICFI',
	'Document/PmtRtr/TxInf/OrgnlTxRef/Cdtr/Agt/FinInstnId/BICFI'
	)
		GROUP BY T.N_WEBSERVICE_ID,
				 REGEXP_REPLACE(TO_CHAR(T.X_PATH), '\[\d+\]', '')
		HAVING COUNT(CASE WHEN NVL(UPPER(T.V_MATCHED_TYPE),DECODE(T.V_MATCHED_LIST_NAME,'Blacklisted Country','ENTITY')) = 'ENTITY' THEN 1 END) &gt; 0
		   AND COUNT(CASE WHEN UPPER(T.V_MATCHED_TYPE) = 'INDIVIDUAL' THEN 1 END) = 0
		   AND COUNT(CASE WHEN UPPER(T.V_MATCHED_TYPE) = 'VESSEL' THEN 1 END) = 0
		   AND COUNT(CASE WHEN UPPER(T.V_MATCHED_TYPE) = 'AIRCRAFT' THEN 1 END) = 0
	)
)
SELECT
	CASE 
		WHEN COUNT(*) = 12 THEN 'HIT'
	ELSE 
		'NO HIT'
	END AS KET_QUA
FROM DS_RESULT</t>
  </si>
  <si>
    <t>Pacs004.03</t>
  </si>
  <si>
    <t>Sàng lọc giao dịch Pacs.004 - Name and Address - Entity</t>
  </si>
  <si>
    <t>1. Đẩy giao dịch vào API Post Message với trường thông tin có XML path 
/Document/PmtRtr/TxInf/ChrgsInf/Agt/FinInstnId/Nm
/Document/PmtRtr/TxInf/RtrChain/Dbtr/Agt/FinInstnId/Nm
/Document/PmtRtr/TxInf/RtrChain/DbtrAgt/FinInstnId/Nm
/Document/PmtRtr/TxInf/RtrChain/PrvsInstgAgt1/FinInstnId/Nm
/Document/PmtRtr/TxInf/RtrChain/PrvsInstgAgt2/FinInstnId/Nm
/Document/PmtRtr/TxInf/RtrChain/PrvsInstgAgt3/FinInstnId/Nm
/Document/PmtRtr/TxInf/RtrChain/IntrmyAgt1/FinInstnId/Nm
/Document/PmtRtr/TxInf/RtrChain/IntrmyAgt2/FinInstnId/Nm
/Document/PmtRtr/TxInf/RtrChain/IntrmyAgt3/FinInstnId/Nm
/Document/PmtRtr/TxInf/RtrChain/CdtrAgt/FinInstnId/Nm
/Document/PmtRtr/TxInf/RtrChain/Cdtr/Agt/FinInstnId/Nm
/Document/PmtRtr/TxInf/OrgnlTxRef/CdtrSchmeId/Nm
/Document/PmtRtr/TxInf/OrgnlTxRef/SttlmInf/InstgRmbrsmntAgt/FinInstnId/Nm
/Document/PmtRtr/TxInf/OrgnlTxRef/SttlmInf/InstdRmbrsmntAgt/FinInstnId/Nm
/Document/PmtRtr/TxInf/OrgnlTxRef/SttlmInf/ThrdRmbrsmntAgt/FinInstnId/Nm
/Document/PmtRtr/TxInf/OrgnlTxRef/DbtrAgt/FinInstnId/Nm
/Document/PmtRtr/TxInf/OrgnlTxRef/Cdtr/Agt/FinInstnId/Nm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</si>
  <si>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&lt;MsgId&gt;SE-MSG-004-NM&lt;/MsgId&gt;
      &lt;CreDtTm&gt;2026-07-28T13:31:41&lt;/CreDtTm&gt;
      &lt;NbOfTxs&gt;1&lt;/NbOfTxs&gt;
      &lt;SttlmInf&gt;
        &lt;SttlmMtd&gt;INDA&lt;/SttlmMtd&gt;
      &lt;/SttlmInf&gt;
    &lt;/GrpHdr&gt;
    &lt;TxInf&gt;
      &lt;RtrdIntrBkSttlmAmt Ccy="USD"&gt;1000.00&lt;/RtrdIntrBkSttlmAmt&gt;
      &lt;ChrgsInf&gt;
        &lt;Amt Ccy="USD"&gt;10.00&lt;/Amt&gt;
        &lt;Agt&gt;
          &lt;FinInstnId&gt;
            &lt;Nm&gt;SUMMIT EMBER&lt;/Nm&gt;
          &lt;/FinInstnId&gt;
        &lt;/Agt&gt;
      &lt;/ChrgsInf&gt;
      &lt;RtrChain&gt;
        &lt;Dbtr&gt;
          &lt;Agt&gt;
            &lt;FinInstnId&gt;
              &lt;Nm&gt;SUMMIT EMBER&lt;/Nm&gt;
            &lt;/FinInstnId&gt;
          &lt;/Agt&gt;
        &lt;/Dbtr&gt;
        &lt;DbtrAgt&gt;
          &lt;FinInstnId&gt;
            &lt;Nm&gt;SUMMIT EMBER&lt;/Nm&gt;
          &lt;/FinInstnId&gt;
        &lt;/DbtrAgt&gt;
        &lt;PrvsInstgAgt1&gt;
          &lt;FinInstnId&gt;
            &lt;Nm&gt;SUMMIT EMBER&lt;/Nm&gt;
          &lt;/FinInstnId&gt;
        &lt;/PrvsInstgAgt1&gt;
        &lt;PrvsInstgAgt2&gt;
          &lt;FinInstnId&gt;
            &lt;Nm&gt;SUMMIT EMBER&lt;/Nm&gt;
          &lt;/FinInstnId&gt;
        &lt;/PrvsInstgAgt2&gt;
        &lt;PrvsInstgAgt3&gt;
          &lt;FinInstnId&gt;
            &lt;Nm&gt;SUMMIT EMBER&lt;/Nm&gt;
          &lt;/FinInstnId&gt;
        &lt;/PrvsInstgAgt3&gt;
        &lt;IntrmyAgt1&gt;
          &lt;FinInstnId&gt;
            &lt;Nm&gt;SUMMIT EMBER&lt;/Nm&gt;
          &lt;/FinInstnId&gt;
        &lt;/IntrmyAgt1&gt;
        &lt;IntrmyAgt2&gt;
          &lt;FinInstnId&gt;
            &lt;Nm&gt;SUMMIT EMBER&lt;/Nm&gt;
          &lt;/FinInstnId&gt;
        &lt;/IntrmyAgt2&gt;
        &lt;IntrmyAgt3&gt;
          &lt;FinInstnId&gt;
            &lt;Nm&gt;SUMMIT EMBER&lt;/Nm&gt;
          &lt;/FinInstnId&gt;
        &lt;/IntrmyAgt3&gt;
        &lt;CdtrAgt&gt;
          &lt;FinInstnId&gt;
            &lt;Nm&gt;SUMMIT EMBER&lt;/Nm&gt;
          &lt;/FinInstnId&gt;
        &lt;/CdtrAgt&gt;
        &lt;Cdtr&gt;
          &lt;Agt&gt;
            &lt;FinInstnId&gt;
              &lt;Nm&gt;SUMMIT EMBER&lt;/Nm&gt;
            &lt;/FinInstnId&gt;
          &lt;/Agt&gt;
        &lt;/Cdtr&gt;
      &lt;/RtrChain&gt;
      &lt;OrgnlTxRef&gt;
        &lt;CdtrSchmeId&gt;
          &lt;Nm&gt;SUMMIT EMBER&lt;/Nm&gt;
        &lt;/CdtrSchmeId&gt;
        &lt;SttlmInf&gt;
          &lt;SttlmMtd&gt;INDA&lt;/SttlmMtd&gt;
          &lt;InstgRmbrsmntAgt&gt;
            &lt;FinInstnId&gt;
              &lt;Nm&gt;SUMMIT EMBER&lt;/Nm&gt;
            &lt;/FinInstnId&gt;
          &lt;/InstgRmbrsmntAgt&gt;
          &lt;InstdRmbrsmntAgt&gt;
            &lt;FinInstnId&gt;
              &lt;Nm&gt;SUMMIT EMBER&lt;/Nm&gt;
            &lt;/FinInstnId&gt;
          &lt;/InstdRmbrsmntAgt&gt;
          &lt;ThrdRmbrsmntAgt&gt;
            &lt;FinInstnId&gt;
              &lt;Nm&gt;SUMMIT EMBER&lt;/Nm&gt;
            &lt;/FinInstnId&gt;
          &lt;/ThrdRmbrsmntAgt&gt;
        &lt;/SttlmInf&gt;
        &lt;DbtrAgt&gt;
          &lt;FinInstnId&gt;
            &lt;Nm&gt;SUMMIT EMBER&lt;/Nm&gt;
          &lt;/FinInstnId&gt;
        &lt;/DbtrAgt&gt;
        &lt;Cdtr&gt;
          &lt;Agt&gt;
            &lt;FinInstnId&gt;
              &lt;Nm&gt;SUMMIT EMBER&lt;/Nm&gt;
            &lt;/FinInstnId&gt;
          &lt;/Agt&gt;
        &lt;/Cdtr&gt;
      &lt;/OrgnlTxRef&gt;
    &lt;/TxInf&gt;
  &lt;/PmtRtr&gt;
&lt;/Document&gt;</t>
  </si>
  <si>
    <t>2. Hệ thống trả kết quả: HIT với Webservice Name and Address loại chủ thể Entity và không HIT với chủ thể Individual, Vessel, Aircraft
Câu query kiểm tra kết quả (KET_QUA = HIT):
SELECT CASE
         WHEN COUNT(*) = 17 THEN 'HIT'
         ELSE 'NO HIT'
       END AS KET_QUA
FROM (
    SELECT T.N_WEBSERVICE_ID,
           REGEXP_REPLACE(TO_CHAR(T.X_PATH), '\[\d+\]', '') AS X_PATH
    FROM FSI_RT_XML_WLS_RESPONSE T
    WHERE T.N_GRP_MSG_ID = :N_GRP_MSG_ID
      AND T.N_WEBSERVICE_ID = 1
      AND REGEXP_REPLACE(TO_CHAR(T.X_PATH), '\[\d+\]', '') IN (
'Document/PmtRtr/TxInf/ChrgsInf/Agt/FinInstnId/Nm',
'Document/PmtRtr/TxInf/RtrChain/Dbtr/Agt/FinInstnId/Nm',
'Document/PmtRtr/TxInf/RtrChain/DbtrAgt/FinInstnId/Nm',
'Document/PmtRtr/TxInf/RtrChain/PrvsInstgAgt1/FinInstnId/Nm',
'Document/PmtRtr/TxInf/RtrChain/PrvsInstgAgt2/FinInstnId/Nm',
'Document/PmtRtr/TxInf/RtrChain/PrvsInstgAgt3/FinInstnId/Nm',
'Document/PmtRtr/TxInf/RtrChain/IntrmyAgt1/FinInstnId/Nm',
'Document/PmtRtr/TxInf/RtrChain/IntrmyAgt2/FinInstnId/Nm',
'Document/PmtRtr/TxInf/RtrChain/IntrmyAgt3/FinInstnId/Nm',
'Document/PmtRtr/TxInf/RtrChain/CdtrAgt/FinInstnId/Nm',
'Document/PmtRtr/TxInf/RtrChain/Cdtr/Agt/FinInstnId/Nm',
'Document/PmtRtr/TxInf/OrgnlTxRef/CdtrSchmeId/Nm',
'Document/PmtRtr/TxInf/OrgnlTxRef/SttlmInf/InstgRmbrsmntAgt/FinInstnId/Nm',
'Document/PmtRtr/TxInf/OrgnlTxRef/SttlmInf/InstdRmbrsmntAgt/FinInstnId/Nm',
'Document/PmtRtr/TxInf/OrgnlTxRef/SttlmInf/ThrdRmbrsmntAgt/FinInstnId/Nm',
'Document/PmtRtr/TxInf/OrgnlTxRef/DbtrAgt/FinInstnId/Nm',
'Document/PmtRtr/TxInf/OrgnlTxRef/Cdtr/Agt/FinInstnId/Nm'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</si>
  <si>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Pacs004.04</t>
  </si>
  <si>
    <t>Sàng lọc giao dịch Pacs.004 - Country and City</t>
  </si>
  <si>
    <t>1. Đẩy giao dịch vào API Post Message với trường thông tin có XML path 
/Document/PmtRtr/TxInf/ChrgsInf/Agt/FinInstnId/PstlAdr/Ctry
/Document/PmtRtr/TxInf/RtrChain/UltmtDbtr/Pty/PstlAdr/Ctry
/Document/PmtRtr/TxInf/RtrChain/UltmtDbtr/Pty/Id/PrvtId/DtAndPlcOfBirth/CtryOfBirth
/Document/PmtRtr/TxInf/RtrChain/UltmtDbtr/Pty/CtryOfRes
/Document/PmtRtr/TxInf/RtrChain/Dbtr/Pty/PstlAdr/Ctry
/Document/PmtRtr/TxInf/RtrChain/Dbtr/Pty/Id/PrvtId/DtAndPlcOfBirth/CtryOfBirth
/Document/PmtRtr/TxInf/RtrChain/Dbtr/Pty/CtryOfRes
/Document/PmtRtr/TxInf/RtrChain/Dbtr/Agt/FinInstnId/PstlAdr/Ctry
/Document/PmtRtr/TxInf/RtrChain/InitgPty/Pty/PstlAdr/Ctry
/Document/PmtRtr/TxInf/RtrChain/InitgPty/Pty/Id/PrvtId/DtAndPlcOfBirth/CtryOfBirth
/Document/PmtRtr/TxInf/RtrChain/InitgPty/Pty/CtryOfRes
/Document/PmtRtr/TxInf/RtrChain/DbtrAgt/FinInstnId/PstlAdr/Ctry
/Document/PmtRtr/TxInf/RtrChain/PrvsInstgAgt1/FinInstnId/PstlAdr/Ctry
/Document/PmtRtr/TxInf/RtrChain/PrvsInstgAgt2/FinInstnId/PstlAdr/Ctry
/Document/PmtRtr/TxInf/RtrChain/PrvsInstgAgt3/FinInstnId/PstlAdr/Ctry
/Document/PmtRtr/TxInf/RtrChain/IntrmyAgt1/FinInstnId/PstlAdr/Ctry
/Document/PmtRtr/TxInf/RtrChain/IntrmyAgt2/FinInstnId/PstlAdr/Ctry
/Document/PmtRtr/TxInf/RtrChain/IntrmyAgt3/FinInstnId/PstlAdr/Ctry
/Document/PmtRtr/TxInf/RtrChain/CdtrAgt/FinInstnId/PstlAdr/Ctry
/Document/PmtRtr/TxInf/RtrChain/Cdtr/Pty/PstlAdr/Ctry
/Document/PmtRtr/TxInf/RtrChain/Cdtr/Pty/Id/PrvtId/DtAndPlcOfBirth/CtryOfBirth
/Document/PmtRtr/TxInf/RtrChain/Cdtr/Pty/CtryOfRes
/Document/PmtRtr/TxInf/RtrChain/Cdtr/Agt/FinInstnId/PstlAdr/Ctry
/Document/PmtRtr/TxInf/RtrChain/UltmtCdtr/Pty/PstlAdr/Ctry
/Document/PmtRtr/TxInf/RtrChain/UltmtCdtr/Pty/Id/PrvtId/DtAndPlcOfBirth/CtryOfBirth
/Document/PmtRtr/TxInf/RtrChain/UltmtCdtr/Pty/CtryOfRes
/Document/PmtRtr/TxInf/RtrRsnInf/Orgtr/PstlAdr/Ctry
/Document/PmtRtr/TxInf/RtrRsnInf/Orgtr/Id/PrvtId/DtAndPlcOfBirth/CtryOfBirth
/Document/PmtRtr/TxInf/RtrRsnInf/Orgtr/CtryOfRes
/Document/PmtRtr/TxInf/OrgnlTxRef/CdtrSchmeId/PstlAdr/Ctry
/Document/PmtRtr/TxInf/OrgnlTxRef/CdtrSchmeId/Id/PrvtId/DtAndPlcOfBirth/CtryOfBirth
/Document/PmtRtr/TxInf/OrgnlTxRef/CdtrSchmeId/CtryOfRes
/Document/PmtRtr/TxInf/OrgnlTxRef/SttlmInf/InstgRmbrsmntAgt/FinInstnId/PstlAdr/Ctry
/Document/PmtRtr/TxInf/OrgnlTxRef/SttlmInf/InstdRmbrsmntAgt/FinInstnId/PstlAdr/Ctry
/Document/PmtRtr/TxInf/OrgnlTxRef/SttlmInf/ThrdRmbrsmntAgt/FinInstnId/PstlAdr/Ctry
/Document/PmtRtr/TxInf/OrgnlTxRef/RmtInf/Strd/Invcr/PstlAdr/Ctry
/Document/PmtRtr/TxInf/OrgnlTxRef/RmtInf/Strd/Invcr/Id/PrvtId/DtAndPlcOfBirth/CtryOfBirth
/Document/PmtRtr/TxInf/OrgnlTxRef/RmtInf/Strd/Invcr/CtryOfRes
/Document/PmtRtr/TxInf/OrgnlTxRef/RmtInf/Strd/Invcee/PstlAdr/Ctry
/Document/PmtRtr/TxInf/OrgnlTxRef/RmtInf/Strd/Invcee/Id/PrvtId/DtAndPlcOfBirth/CtryOfBirth
/Document/PmtRtr/TxInf/OrgnlTxRef/RmtInf/Strd/Invcee/CtryOfRes
/Document/PmtRtr/TxInf/OrgnlTxRef/RmtInf/Strd/GrnshmtRmt/Grnshee/PstlAdr/Ctry
/Document/PmtRtr/TxInf/OrgnlTxRef/RmtInf/Strd/GrnshmtRmt/Grnshee/Id/PrvtId/DtAndPlcOfBirth/CtryOfBirth
/Document/PmtRtr/TxInf/OrgnlTxRef/RmtInf/Strd/GrnshmtRmt/Grnshee/CtryOfRes
/Document/PmtRtr/TxInf/OrgnlTxRef/RmtInf/Strd/GrnshmtRmt/GrnshmtAdmstr/PstlAdr/Ctry
/Document/PmtRtr/TxInf/OrgnlTxRef/RmtInf/Strd/GrnshmtRmt/GrnshmtAdmstr/Id/PrvtId/DtAndPlcOfBirth/CtryOfBirth
/Document/PmtRtr/TxInf/OrgnlTxRef/RmtInf/Strd/GrnshmtRmt/GrnshmtAdmstr/CtryOfRes
/Document/PmtRtr/TxInf/OrgnlTxRef/UltmtDbtr/Pty/PstlAdr/Ctry
/Document/PmtRtr/TxInf/OrgnlTxRef/UltmtDbtr/Pty/Id/PrvtId/DtAndPlcOfBirth/CtryOfBirth
/Document/PmtRtr/TxInf/OrgnlTxRef/UltmtDbtr/Pty/CtryOfRes
/Document/PmtRtr/TxInf/OrgnlTxRef/Dbtr/Pty/PstlAdr/Ctry
/Document/PmtRtr/TxInf/OrgnlTxRef/Dbtr/Pty/Id/PrvtId/DtAndPlcOfBirth/CtryOfBirth
/Document/PmtRtr/TxInf/OrgnlTxRef/Dbtr/Pty/CtryOfRes
/Document/PmtRtr/TxInf/OrgnlTxRef/Dbtr/Agt/FinInstnId/PstlAdr/Ctry
/Document/PmtRtr/TxInf/OrgnlTxRef/DbtrAgt/FinInstnId/PstlAdr/Ctry
/Document/PmtRtr/TxInf/OrgnlTxRef/CdtrAgt/FinInstnId/PstlAdr/Ctry
/Document/PmtRtr/TxInf/OrgnlTxRef/Cdtr/Pty/PstlAdr/Ctry
/Document/PmtRtr/TxInf/OrgnlTxRef/Cdtr/Pty/Id/PrvtId/DtAndPlcOfBirth/CtryOfBirth
/Document/PmtRtr/TxInf/OrgnlTxRef/Cdtr/Pty/CtryOfRes
/Document/PmtRtr/TxInf/OrgnlTxRef/Cdtr/Agt/FinInstnId/PstlAdr/Ctry
/Document/PmtRtr/TxInf/OrgnlTxRef/UltmtCdtr/Pty/PstlAdr/Ctry
/Document/PmtRtr/TxInf/OrgnlTxRef/UltmtCdtr/Pty/Id/PrvtId/DtAndPlcOfBirth/CtryOfBirth
/Document/PmtRtr/TxInf/OrgnlTxRef/UltmtCdtr/Pty/CtryOfRes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</si>
  <si>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&lt;MsgId&gt;SE-MSG-004-CT&lt;/MsgId&gt;
      &lt;CreDtTm&gt;2026-07-28T13:31:41&lt;/CreDtTm&gt;
      &lt;NbOfTxs&gt;2&lt;/NbOfTxs&gt;
      &lt;SttlmInf&gt;
        &lt;SttlmMtd&gt;INDA&lt;/SttlmMtd&gt;
      &lt;/SttlmInf&gt;
    &lt;/GrpHdr&gt;
    &lt;TxInf&gt;
      &lt;RtrdIntrBkSttlmAmt Ccy="USD"&gt;1000.00&lt;/RtrdIntrBkSttlmAmt&gt;
      &lt;ChrgsInf&gt;
        &lt;Amt Ccy="USD"&gt;10.00&lt;/Amt&gt;
        &lt;Agt&gt;
          &lt;FinInstnId&gt;
            &lt;PstlAdr&gt;
              &lt;Ctry&gt;IR&lt;/Ctry&gt;
            &lt;/PstlAdr&gt;
          &lt;/FinInstnId&gt;
        &lt;/Agt&gt;
      &lt;/ChrgsInf&gt;
      &lt;RtrChain&gt;
        &lt;UltmtDbtr&gt;
          &lt;Pty&gt;
            &lt;PstlAdr&gt;
              &lt;Ctry&gt;IR&lt;/Ctry&gt;
            &lt;/PstlAdr&gt;
            &lt;Id&gt;
              &lt;PrvtId&gt;
                &lt;DtAndPlcOfBirth&gt;
                  &lt;BirthDt&gt;1990-01-01&lt;/BirthDt&gt;
                  &lt;CityOfBirth&gt;ABCD1234 CITY&lt;/CityOfBirth&gt;
                  &lt;CtryOfBirth&gt;IR&lt;/CtryOfBirth&gt;
                &lt;/DtAndPlcOfBirth&gt;
              &lt;/PrvtId&gt;
            &lt;/Id&gt;
            &lt;CtryOfRes&gt;IR&lt;/CtryOfRes&gt;
          &lt;/Pty&gt;
        &lt;/UltmtDbtr&gt;
        &lt;Dbtr&gt;
          &lt;Pty&gt;
            &lt;PstlAdr&gt;
              &lt;Ctry&gt;IR&lt;/Ctry&gt;
            &lt;/PstlAdr&gt;
            &lt;Id&gt;
              &lt;PrvtId&gt;
                &lt;DtAndPlcOfBirth&gt;
                  &lt;BirthDt&gt;1990-01-01&lt;/BirthDt&gt;
                  &lt;CityOfBirth&gt;ABCD1234 CITY&lt;/CityOfBirth&gt;
                  &lt;CtryOfBirth&gt;IR&lt;/CtryOfBirth&gt;
                &lt;/DtAndPlcOfBirth&gt;
              &lt;/PrvtId&gt;
            &lt;/Id&gt;
            &lt;CtryOfRes&gt;IR&lt;/CtryOfRes&gt;
          &lt;/Pty&gt;
        &lt;/Dbtr&gt;
        &lt;InitgPty&gt;
          &lt;Pty&gt;
            &lt;PstlAdr&gt;
              &lt;Ctry&gt;IR&lt;/Ctry&gt;
            &lt;/PstlAdr&gt;
            &lt;Id&gt;
              &lt;PrvtId&gt;
                &lt;DtAndPlcOfBirth&gt;
                  &lt;BirthDt&gt;1990-01-01&lt;/BirthDt&gt;
                  &lt;CityOfBirth&gt;ABCD1234 CITY&lt;/CityOfBirth&gt;
                  &lt;CtryOfBirth&gt;IR&lt;/CtryOfBirth&gt;
                &lt;/DtAndPlcOfBirth&gt;
              &lt;/PrvtId&gt;
            &lt;/Id&gt;
            &lt;CtryOfRes&gt;IR&lt;/CtryOfRes&gt;
          &lt;/Pty&gt;
        &lt;/InitgPty&gt;
        &lt;DbtrAgt&gt;
          &lt;FinInstnId&gt;
            &lt;PstlAdr&gt;
              &lt;Ctry&gt;IR&lt;/Ctry&gt;
            &lt;/PstlAdr&gt;
          &lt;/FinInstnId&gt;
        &lt;/DbtrAgt&gt;
        &lt;PrvsInstgAgt1&gt;
          &lt;FinInstnId&gt;
            &lt;PstlAdr&gt;
              &lt;Ctry&gt;IR&lt;/Ctry&gt;
            &lt;/PstlAdr&gt;
          &lt;/FinInstnId&gt;
        &lt;/PrvsInstgAgt1&gt;
        &lt;PrvsInstgAgt2&gt;
          &lt;FinInstnId&gt;
            &lt;PstlAdr&gt;
              &lt;Ctry&gt;IR&lt;/Ctry&gt;
            &lt;/PstlAdr&gt;
          &lt;/FinInstnId&gt;
        &lt;/PrvsInstgAgt2&gt;
        &lt;PrvsInstgAgt3&gt;
          &lt;FinInstnId&gt;
            &lt;PstlAdr&gt;
              &lt;Ctry&gt;IR&lt;/Ctry&gt;
            &lt;/PstlAdr&gt;
          &lt;/FinInstnId&gt;
        &lt;/PrvsInstgAgt3&gt;
        &lt;IntrmyAgt1&gt;
          &lt;FinInstnId&gt;
            &lt;PstlAdr&gt;
              &lt;Ctry&gt;IR&lt;/Ctry&gt;
            &lt;/PstlAdr&gt;
          &lt;/FinInstnId&gt;
        &lt;/IntrmyAgt1&gt;
        &lt;IntrmyAgt2&gt;
          &lt;FinInstnId&gt;
            &lt;PstlAdr&gt;
              &lt;Ctry&gt;IR&lt;/Ctry&gt;
            &lt;/PstlAdr&gt;
          &lt;/FinInstnId&gt;
        &lt;/IntrmyAgt2&gt;
        &lt;IntrmyAgt3&gt;
          &lt;FinInstnId&gt;
            &lt;PstlAdr&gt;
              &lt;Ctry&gt;IR&lt;/Ctry&gt;
            &lt;/PstlAdr&gt;
          &lt;/FinInstnId&gt;
        &lt;/IntrmyAgt3&gt;
        &lt;CdtrAgt&gt;
          &lt;FinInstnId&gt;
            &lt;PstlAdr&gt;
              &lt;Ctry&gt;IR&lt;/Ctry&gt;
            &lt;/PstlAdr&gt;
          &lt;/FinInstnId&gt;
        &lt;/CdtrAgt&gt;
        &lt;Cdtr&gt;
          &lt;Pty&gt;
            &lt;PstlAdr&gt;
              &lt;Ctry&gt;IR&lt;/Ctry&gt;
            &lt;/PstlAdr&gt;
            &lt;Id&gt;
              &lt;PrvtId&gt;
                &lt;DtAndPlcOfBirth&gt;
                  &lt;BirthDt&gt;1990-01-01&lt;/BirthDt&gt;
                  &lt;CityOfBirth&gt;ABCD1234 CITY&lt;/CityOfBirth&gt;
                  &lt;CtryOfBirth&gt;IR&lt;/CtryOfBirth&gt;
                &lt;/DtAndPlcOfBirth&gt;
              &lt;/PrvtId&gt;
            &lt;/Id&gt;
            &lt;CtryOfRes&gt;IR&lt;/CtryOfRes&gt;
          &lt;/Pty&gt;
        &lt;/Cdtr&gt;
        &lt;UltmtCdtr&gt;
          &lt;Pty&gt;
            &lt;PstlAdr&gt;
              &lt;Ctry&gt;IR&lt;/Ctry&gt;
            &lt;/PstlAdr&gt;
            &lt;Id&gt;
              &lt;PrvtId&gt;
                &lt;DtAndPlcOfBirth&gt;
                  &lt;BirthDt&gt;1990-01-01&lt;/BirthDt&gt;
                  &lt;CityOfBirth&gt;ABCD1234 CITY&lt;/CityOfBirth&gt;
                  &lt;CtryOfBirth&gt;IR&lt;/CtryOfBirth&gt;
                &lt;/DtAndPlcOfBirth&gt;
              &lt;/PrvtId&gt;
            &lt;/Id&gt;
            &lt;CtryOfRes&gt;IR&lt;/CtryOfRes&gt;
          &lt;/Pty&gt;
        &lt;/UltmtCdtr&gt;
      &lt;/RtrChain&gt;
      &lt;RtrRsnInf&gt;
        &lt;Orgtr&gt;
          &lt;PstlAdr&gt;
            &lt;Ctry&gt;IR&lt;/Ctry&gt;
          &lt;/PstlAdr&gt;
          &lt;Id&gt;
            &lt;PrvtId&gt;
              &lt;DtAndPlcOfBirth&gt;
                &lt;BirthDt&gt;1990-01-01&lt;/BirthDt&gt;
                &lt;CityOfBirth&gt;ABCD1234 CITY&lt;/CityOfBirth&gt;
                &lt;CtryOfBirth&gt;IR&lt;/CtryOfBirth&gt;
              &lt;/DtAndPlcOfBirth&gt;
            &lt;/PrvtId&gt;
          &lt;/Id&gt;
          &lt;CtryOfRes&gt;IR&lt;/CtryOfRes&gt;
        &lt;/Orgtr&gt;
      &lt;/RtrRsnInf&gt;
      &lt;OrgnlTxRef&gt;
        &lt;CdtrSchmeId&gt;
          &lt;PstlAdr&gt;
            &lt;Ctry&gt;IR&lt;/Ctry&gt;
          &lt;/PstlAdr&gt;
          &lt;Id&gt;
            &lt;PrvtId&gt;
              &lt;DtAndPlcOfBirth&gt;
                &lt;BirthDt&gt;1990-01-01&lt;/BirthDt&gt;
                &lt;CityOfBirth&gt;ABCD1234 CITY&lt;/CityOfBirth&gt;
                &lt;CtryOfBirth&gt;IR&lt;/CtryOfBirth&gt;
              &lt;/DtAndPlcOfBirth&gt;
            &lt;/PrvtId&gt;
          &lt;/Id&gt;
          &lt;CtryOfRes&gt;IR&lt;/CtryOfRes&gt;
        &lt;/CdtrSchmeId&gt;
        &lt;SttlmInf&gt;
          &lt;SttlmMtd&gt;INDA&lt;/SttlmMtd&gt;
          &lt;InstgRmbrsmntAgt&gt;
            &lt;FinInstnId&gt;
              &lt;PstlAdr&gt;
                &lt;Ctry&gt;IR&lt;/Ctry&gt;
              &lt;/PstlAdr&gt;
            &lt;/FinInstnId&gt;
          &lt;/InstgRmbrsmntAgt&gt;
          &lt;InstdRmbrsmntAgt&gt;
            &lt;FinInstnId&gt;
              &lt;PstlAdr&gt;
                &lt;Ctry&gt;IR&lt;/Ctry&gt;
              &lt;/PstlAdr&gt;
            &lt;/FinInstnId&gt;
          &lt;/InstdRmbrsmntAgt&gt;
          &lt;ThrdRmbrsmntAgt&gt;
            &lt;FinInstnId&gt;
              &lt;PstlAdr&gt;
                &lt;Ctry&gt;IR&lt;/Ctry&gt;
              &lt;/PstlAdr&gt;
            &lt;/FinInstnId&gt;
          &lt;/ThrdRmbrsmntAgt&gt;
        &lt;/SttlmInf&gt;
        &lt;RmtInf&gt;
          &lt;Strd&gt;
            &lt;Invcr&gt;
              &lt;PstlAdr&gt;
                &lt;Ctry&gt;IR&lt;/Ctry&gt;
              &lt;/PstlAdr&gt;
              &lt;Id&gt;
                &lt;PrvtId&gt;
                  &lt;DtAndPlcOfBirth&gt;
                    &lt;BirthDt&gt;1990-01-01&lt;/BirthDt&gt;
                    &lt;CityOfBirth&gt;ABCD1234 CITY&lt;/CityOfBirth&gt;
                    &lt;CtryOfBirth&gt;IR&lt;/CtryOfBirth&gt;
                  &lt;/DtAndPlcOfBirth&gt;
                &lt;/PrvtId&gt;
              &lt;/Id&gt;
              &lt;CtryOfRes&gt;IR&lt;/CtryOfRes&gt;
            &lt;/Invcr&gt;
            &lt;Invcee&gt;
              &lt;PstlAdr&gt;
                &lt;Ctry&gt;IR&lt;/Ctry&gt;
              &lt;/PstlAdr&gt;
              &lt;Id&gt;
                &lt;PrvtId&gt;
                  &lt;DtAndPlcOfBirth&gt;
                    &lt;BirthDt&gt;1990-01-01&lt;/BirthDt&gt;
                    &lt;CityOfBirth&gt;ABCD1234 CITY&lt;/CityOfBirth&gt;
                    &lt;CtryOfBirth&gt;IR&lt;/CtryOfBirth&gt;
                  &lt;/DtAndPlcOfBirth&gt;
                &lt;/PrvtId&gt;
              &lt;/Id&gt;
              &lt;CtryOfRes&gt;IR&lt;/CtryOfRes&gt;
            &lt;/Invcee&gt;
            &lt;GrnshmtRmt&gt;
              &lt;Tp&gt;
                &lt;CdOrPrtry&gt;
                  &lt;Prtry&gt;GARNISHMENT&lt;/Prtry&gt;
                &lt;/CdOrPrtry&gt;
              &lt;/Tp&gt;
              &lt;Grnshee&gt;
                &lt;PstlAdr&gt;
                  &lt;Ctry&gt;IR&lt;/Ctry&gt;
                &lt;/PstlAdr&gt;
                &lt;Id&gt;
                  &lt;PrvtId&gt;
                    &lt;DtAndPlcOfBirth&gt;
                      &lt;BirthDt&gt;1990-01-01&lt;/BirthDt&gt;
                      &lt;CityOfBirth&gt;ABCD1234 CITY&lt;/CityOfBirth&gt;
                      &lt;CtryOfBirth&gt;IR&lt;/CtryOfBirth&gt;
                    &lt;/DtAndPlcOfBirth&gt;
                  &lt;/PrvtId&gt;
                &lt;/Id&gt;
                &lt;CtryOfRes&gt;IR&lt;/CtryOfRes&gt;
              &lt;/Grnshee&gt;
              &lt;GrnshmtAdmstr&gt;
                &lt;PstlAdr&gt;
                  &lt;Ctry&gt;IR&lt;/Ctry&gt;
                &lt;/PstlAdr&gt;
                &lt;Id&gt;
                  &lt;PrvtId&gt;
                    &lt;DtAndPlcOfBirth&gt;
                      &lt;BirthDt&gt;1990-01-01&lt;/BirthDt&gt;
                      &lt;CityOfBirth&gt;ABCD1234 CITY&lt;/CityOfBirth&gt;
                      &lt;CtryOfBirth&gt;IR&lt;/CtryOfBirth&gt;
                    &lt;/DtAndPlcOfBirth&gt;
                  &lt;/PrvtId&gt;
                &lt;/Id&gt;
                &lt;CtryOfRes&gt;IR&lt;/CtryOfRes&gt;
              &lt;/GrnshmtAdmstr&gt;
            &lt;/GrnshmtRmt&gt;
          &lt;/Strd&gt;
        &lt;/RmtInf&gt;
        &lt;UltmtDbtr&gt;
          &lt;Pty&gt;
            &lt;PstlAdr&gt;
              &lt;Ctry&gt;IR&lt;/Ctry&gt;
            &lt;/PstlAdr&gt;
            &lt;Id&gt;
              &lt;PrvtId&gt;
                &lt;DtAndPlcOfBirth&gt;
                  &lt;BirthDt&gt;1990-01-01&lt;/BirthDt&gt;
                  &lt;CityOfBirth&gt;ABCD1234 CITY&lt;/CityOfBirth&gt;
                  &lt;CtryOfBirth&gt;IR&lt;/CtryOfBirth&gt;
                &lt;/DtAndPlcOfBirth&gt;
              &lt;/PrvtId&gt;
            &lt;/Id&gt;
            &lt;CtryOfRes&gt;IR&lt;/CtryOfRes&gt;
          &lt;/Pty&gt;
        &lt;/UltmtDbtr&gt;
        &lt;Dbtr&gt;
          &lt;Pty&gt;
            &lt;PstlAdr&gt;
              &lt;Ctry&gt;IR&lt;/Ctry&gt;
            &lt;/PstlAdr&gt;
            &lt;Id&gt;
              &lt;PrvtId&gt;
                &lt;DtAndPlcOfBirth&gt;
                  &lt;BirthDt&gt;1990-01-01&lt;/BirthDt&gt;
                  &lt;CityOfBirth&gt;ABCD1234 CITY&lt;/CityOfBirth&gt;
                  &lt;CtryOfBirth&gt;IR&lt;/CtryOfBirth&gt;
                &lt;/DtAndPlcOfBirth&gt;
              &lt;/PrvtId&gt;
            &lt;/Id&gt;
            &lt;CtryOfRes&gt;IR&lt;/CtryOfRes&gt;
          &lt;/Pty&gt;
        &lt;/Dbtr&gt;
        &lt;DbtrAgt&gt;
          &lt;FinInstnId&gt;
            &lt;PstlAdr&gt;
              &lt;Ctry&gt;IR&lt;/Ctry&gt;
            &lt;/PstlAdr&gt;
          &lt;/FinInstnId&gt;
        &lt;/DbtrAgt&gt;
        &lt;CdtrAgt&gt;
          &lt;FinInstnId&gt;
            &lt;PstlAdr&gt;
              &lt;Ctry&gt;IR&lt;/Ctry&gt;
            &lt;/PstlAdr&gt;
          &lt;/FinInstnId&gt;
        &lt;/CdtrAgt&gt;
        &lt;Cdtr&gt;
          &lt;Pty&gt;
            &lt;PstlAdr&gt;
              &lt;Ctry&gt;IR&lt;/Ctry&gt;
            &lt;/PstlAdr&gt;
            &lt;Id&gt;
              &lt;PrvtId&gt;
                &lt;DtAndPlcOfBirth&gt;
                  &lt;BirthDt&gt;1990-01-01&lt;/BirthDt&gt;
                  &lt;CityOfBirth&gt;ABCD1234 CITY&lt;/CityOfBirth&gt;
                  &lt;CtryOfBirth&gt;IR&lt;/CtryOfBirth&gt;
                &lt;/DtAndPlcOfBirth&gt;
              &lt;/PrvtId&gt;
            &lt;/Id&gt;
            &lt;CtryOfRes&gt;IR&lt;/CtryOfRes&gt;
          &lt;/Pty&gt;
        &lt;/Cdtr&gt;
        &lt;UltmtCdtr&gt;
          &lt;Pty&gt;
            &lt;PstlAdr&gt;
              &lt;Ctry&gt;IR&lt;/Ctry&gt;
            &lt;/PstlAdr&gt;
            &lt;Id&gt;
              &lt;PrvtId&gt;
                &lt;DtAndPlcOfBirth&gt;
                  &lt;BirthDt&gt;1990-01-01&lt;/BirthDt&gt;
                  &lt;CityOfBirth&gt;ABCD1234 CITY&lt;/CityOfBirth&gt;
                  &lt;CtryOfBirth&gt;IR&lt;/CtryOfBirth&gt;
                &lt;/DtAndPlcOfBirth&gt;
              &lt;/PrvtId&gt;
            &lt;/Id&gt;
            &lt;CtryOfRes&gt;IR&lt;/CtryOfRes&gt;
          &lt;/Pty&gt;
        &lt;/UltmtCdtr&gt;
      &lt;/OrgnlTxRef&gt;
    &lt;/TxInf&gt;
    &lt;TxInf&gt;
      &lt;RtrdIntrBkSttlmAmt Ccy="USD"&gt;1000.00&lt;/RtrdIntrBkSttlmAmt&gt;
      &lt;RtrChain&gt;
        &lt;Dbtr&gt;
          &lt;Agt&gt;
            &lt;FinInstnId&gt;
              &lt;PstlAdr&gt;
                &lt;Ctry&gt;IR&lt;/Ctry&gt;
              &lt;/PstlAdr&gt;
            &lt;/FinInstnId&gt;
          &lt;/Agt&gt;
        &lt;/Dbtr&gt;
        &lt;Cdtr&gt;
          &lt;Agt&gt;
            &lt;FinInstnId&gt;
              &lt;PstlAdr&gt;
                &lt;Ctry&gt;IR&lt;/Ctry&gt;
              &lt;/PstlAdr&gt;
            &lt;/FinInstnId&gt;
          &lt;/Agt&gt;
        &lt;/Cdtr&gt;
      &lt;/RtrChain&gt;
      &lt;OrgnlTxRef&gt;
        &lt;Dbtr&gt;
          &lt;Agt&gt;
            &lt;FinInstnId&gt;
              &lt;PstlAdr&gt;
                &lt;Ctry&gt;IR&lt;/Ctry&gt;
              &lt;/PstlAdr&gt;
            &lt;/FinInstnId&gt;
          &lt;/Agt&gt;
        &lt;/Dbtr&gt;
        &lt;Cdtr&gt;
          &lt;Agt&gt;
            &lt;FinInstnId&gt;
              &lt;PstlAdr&gt;
                &lt;Ctry&gt;IR&lt;/Ctry&gt;
              &lt;/PstlAdr&gt;
            &lt;/FinInstnId&gt;
          &lt;/Agt&gt;
        &lt;/Cdtr&gt;
      &lt;/OrgnlTxRef&gt;
    &lt;/TxInf&gt;
  &lt;/PmtRtr&gt;
&lt;/Document&gt;</t>
  </si>
  <si>
    <t>2. Hệ thống trả kết quả: HIT với Webservice Country and City
Câu query kiểm tra kết quả (KET_QUA = HIT):
SELECT CASE
         WHEN COUNT(*) = 63 THEN 'HIT'
         ELSE 'NO HIT'
       END AS KET_QUA
FROM (
    SELECT 'Document/PmtRtr/TxInf/ChrgsInf/Agt/FinInstnId/PstlAdr/Ctry' AS X_PATH FROM DUAL
    UNION ALL
    SELECT 'Document/PmtRtr/TxInf/RtrChain/UltmtDbtr/Pty/PstlAdr/Ctry' AS X_PATH FROM DUAL
    UNION ALL
    SELECT 'Document/PmtRtr/TxInf/RtrChain/UltmtDbtr/Pty/Id/PrvtId/DtAndPlcOfBirth/CtryOfBirth' AS X_PATH FROM DUAL
    UNION ALL
    SELECT 'Document/PmtRtr/TxInf/RtrChain/UltmtDbtr/Pty/CtryOfRes' AS X_PATH FROM DUAL
    UNION ALL
    SELECT 'Document/PmtRtr/TxInf/RtrChain/Dbtr/Pty/PstlAdr/Ctry' AS X_PATH FROM DUAL
    UNION ALL
    SELECT 'Document/PmtRtr/TxInf/RtrChain/Dbtr/Pty/Id/PrvtId/DtAndPlcOfBirth/CtryOfBirth' AS X_PATH FROM DUAL
    UNION ALL
    SELECT 'Document/PmtRtr/TxInf/RtrChain/Dbtr/Pty/CtryOfRes' AS X_PATH FROM DUAL
    UNION ALL
    SELECT 'Document/PmtRtr/TxInf/RtrChain/Dbtr/Agt/FinInstnId/PstlAdr/Ctry' AS X_PATH FROM DUAL
    UNION ALL
    SELECT 'Document/PmtRtr/TxInf/RtrChain/InitgPty/Pty/PstlAdr/Ctry' AS X_PATH FROM DUAL
    UNION ALL
    SELECT 'Document/PmtRtr/TxInf/RtrChain/InitgPty/Pty/Id/PrvtId/DtAndPlcOfBirth/CtryOfBirth' AS X_PATH FROM DUAL
    UNION ALL
    SELECT 'Document/PmtRtr/TxInf/RtrChain/InitgPty/Pty/CtryOfRes' AS X_PATH FROM DUAL
    UNION ALL
    SELECT 'Document/PmtRtr/TxInf/RtrChain/DbtrAgt/FinInstnId/PstlAdr/Ctry' AS X_PATH FROM DUAL
    UNION ALL
    SELECT 'Document/PmtRtr/TxInf/RtrChain/PrvsInstgAgt1/FinInstnId/PstlAdr/Ctry' AS X_PATH FROM DUAL
    UNION ALL
    SELECT 'Document/PmtRtr/TxInf/RtrChain/PrvsInstgAgt2/FinInstnId/PstlAdr/Ctry' AS X_PATH FROM DUAL
    UNION ALL
    SELECT 'Document/PmtRtr/TxInf/RtrChain/PrvsInstgAgt3/FinInstnId/PstlAdr/Ctry' AS X_PATH FROM DUAL
    UNION ALL
    SELECT 'Document/PmtRtr/TxInf/RtrChain/IntrmyAgt1/FinInstnId/PstlAdr/Ctry' AS X_PATH FROM DUAL
    UNION ALL
    SELECT 'Document/PmtRtr/TxInf/RtrChain/IntrmyAgt2/FinInstnId/PstlAdr/Ctry' AS X_PATH FROM DUAL
    UNION ALL
    SELECT 'Document/PmtRtr/TxInf/RtrChain/IntrmyAgt3/FinInstnId/PstlAdr/Ctry' AS X_PATH FROM DUAL
    UNION ALL
    SELECT 'Document/PmtRtr/TxInf/RtrChain/CdtrAgt/FinInstnId/PstlAdr/Ctry' AS X_PATH FROM DUAL
    UNION ALL
    SELECT 'Document/PmtRtr/TxInf/RtrChain/Cdtr/Pty/PstlAdr/Ctry' AS X_PATH FROM DUAL
    UNION ALL
    SELECT 'Document/PmtRtr/TxInf/RtrChain/Cdtr/Pty/Id/PrvtId/DtAndPlcOfBirth/CtryOfBirth' AS X_PATH FROM DUAL
    UNION ALL
    SELECT 'Document/PmtRtr/TxInf/RtrChain/Cdtr/Pty/CtryOfRes' AS X_PATH FROM DUAL
    UNION ALL
    SELECT 'Document/PmtRtr/TxInf/RtrChain/Cdtr/Agt/FinInstnId/PstlAdr/Ctry' AS X_PATH FROM DUAL
    UNION ALL
    SELECT 'Document/PmtRtr/TxInf/RtrChain/UltmtCdtr/Pty/PstlAdr/Ctry' AS X_PATH FROM DUAL
    UNION ALL
    SELECT 'Document/PmtRtr/TxInf/RtrChain/UltmtCdtr/Pty/Id/PrvtId/DtAndPlcOfBirth/CtryOfBirth' AS X_PATH FROM DUAL
    UNION ALL
    SELECT 'Document/PmtRtr/TxInf/RtrChain/UltmtCdtr/Pty/CtryOfRes' AS X_PATH FROM DUAL
    UNION ALL
    SELECT 'Document/PmtRtr/TxInf/RtrRsnInf/Orgtr/PstlAdr/Ctry' AS X_PATH FROM DUAL
    UNION ALL
    SELECT 'Document/PmtRtr/TxInf/RtrRsnInf/Orgtr/Id/PrvtId/DtAndPlcOfBirth/CtryOfBirth' AS X_PATH FROM DUAL
    UNION ALL
    SELECT 'Document/PmtRtr/TxInf/RtrRsnInf/Orgtr/CtryOfRes' AS X_PATH FROM DUAL
    UNION ALL
    SELECT 'Document/PmtRtr/TxInf/OrgnlTxRef/CdtrSchmeId/PstlAdr/Ctry' AS X_PATH FROM DUAL
    UNION ALL
    SELECT 'Document/PmtRtr/TxInf/OrgnlTxRef/CdtrSchmeId/Id/PrvtId/DtAndPlcOfBirth/CtryOfBirth' AS X_PATH FROM DUAL
    UNION ALL
    SELECT 'Document/PmtRtr/TxInf/OrgnlTxRef/CdtrSchmeId/CtryOfRes' AS X_PATH FROM DUAL
    UNION ALL
    SELECT 'Document/PmtRtr/TxInf/OrgnlTxRef/SttlmInf/InstgRmbrsmntAgt/FinInstnId/PstlAdr/Ctry' AS X_PATH FROM DUAL
    UNION ALL
    SELECT 'Document/PmtRtr/TxInf/OrgnlTxRef/SttlmInf/InstdRmbrsmntAgt/FinInstnId/PstlAdr/Ctry' AS X_PATH FROM DUAL
    UNION ALL
    SELECT 'Document/PmtRtr/TxInf/OrgnlTxRef/SttlmInf/ThrdRmbrsmntAgt/FinInstnId/PstlAdr/Ctry' AS X_PATH FROM DUAL
    UNION ALL
    SELECT 'Document/PmtRtr/TxInf/OrgnlTxRef/RmtInf/Strd/Invcr/PstlAdr/Ctry' AS X_PATH FROM DUAL
    UNION ALL
    SELECT 'Document/PmtRtr/TxInf/OrgnlTxRef/RmtInf/Strd/Invcr/Id/PrvtId/DtAndPlcOfBirth/CtryOfBirth' AS X_PATH FROM DUAL
    UNION ALL
    SELECT 'Document/PmtRtr/TxInf/OrgnlTxRef/RmtInf/Strd/Invcr/CtryOfRes' AS X_PATH FROM DUAL
    UNION ALL
    SELECT 'Document/PmtRtr/TxInf/OrgnlTxRef/RmtInf/Strd/Invcee/PstlAdr/Ctry' AS X_PATH FROM DUAL
    UNION ALL
    SELECT 'Document/PmtRtr/TxInf/OrgnlTxRef/RmtInf/Strd/Invcee/Id/PrvtId/DtAndPlcOfBirth/CtryOfBirth' AS X_PATH FROM DUAL
    UNION ALL
    SELECT 'Document/PmtRtr/TxInf/OrgnlTxRef/RmtInf/Strd/Invcee/CtryOfRes' AS X_PATH FROM DUAL
    UNION ALL
    SELECT 'Document/PmtRtr/TxInf/OrgnlTxRef/RmtInf/Strd/GrnshmtRmt/Grnshee/PstlAdr/Ctry' AS X_PATH FROM DUAL
    UNION ALL
    SELECT 'Document/PmtRtr/TxInf/OrgnlTxRef/RmtInf/Strd/GrnshmtRmt/Grnshee/Id/PrvtId/DtAndPlcOfBirth/CtryOfBirth' AS X_PATH FROM DUAL
    UNION ALL
    SELECT 'Document/PmtRtr/TxInf/OrgnlTxRef/RmtInf/Strd/GrnshmtRmt/Grnshee/CtryOfRes' AS X_PATH FROM DUAL
    UNION ALL
    SELECT 'Document/PmtRtr/TxInf/OrgnlTxRef/RmtInf/Strd/GrnshmtRmt/GrnshmtAdmstr/PstlAdr/Ctry' AS X_PATH FROM DUAL
    UNION ALL
    SELECT 'Document/PmtRtr/TxInf/OrgnlTxRef/RmtInf/Strd/GrnshmtRmt/GrnshmtAdmstr/Id/PrvtId/DtAndPlcOfBirth/CtryOfBirth' AS X_PATH FROM DUAL
    UNION ALL
    SELECT 'Document/PmtRtr/TxInf/OrgnlTxRef/RmtInf/Strd/GrnshmtRmt/GrnshmtAdmstr/CtryOfRes' AS X_PATH FROM DUAL
    UNION ALL
    SELECT 'Document/PmtRtr/TxInf/OrgnlTxRef/UltmtDbtr/Pty/PstlAdr/Ctry' AS X_PATH FROM DUAL
    UNION ALL
    SELECT 'Document/PmtRtr/TxInf/OrgnlTxRef/UltmtDbtr/Pty/Id/PrvtId/DtAndPlcOfBirth/CtryOfBirth' AS X_PATH FROM DUAL
    UNION ALL
    SELECT 'Document/PmtRtr/TxInf/OrgnlTxRef/UltmtDbtr/Pty/CtryOfRes' AS X_PATH FROM DUAL
    UNION ALL
    SELECT 'Document/PmtRtr/TxInf/OrgnlTxRef/Dbtr/Pty/PstlAdr/Ctry' AS X_PATH FROM DUAL
    UNION ALL
    SELECT 'Document/PmtRtr/TxInf/OrgnlTxRef/Dbtr/Pty/Id/PrvtId/DtAndPlcOfBirth/CtryOfBirth' AS X_PATH FROM DUAL
    UNION ALL
    SELECT 'Document/PmtRtr/TxInf/OrgnlTxRef/Dbtr/Pty/CtryOfRes' AS X_PATH FROM DUAL
    UNION ALL
    SELECT 'Document/PmtRtr/TxInf/OrgnlTxRef/Dbtr/Agt/FinInstnId/PstlAdr/Ctry' AS X_PATH FROM DUAL
    UNION ALL
    SELECT 'Document/PmtRtr/TxInf/OrgnlTxRef/DbtrAgt/FinInstnId/PstlAdr/Ctry' AS X_PATH FROM DUAL
    UNION ALL
    SELECT 'Document/PmtRtr/TxInf/OrgnlTxRef/CdtrAgt/FinInstnId/PstlAdr/Ctry' AS X_PATH FROM DUAL
    UNION ALL
    SELECT 'Document/PmtRtr/TxInf/OrgnlTxRef/Cdtr/Pty/PstlAdr/Ctry' AS X_PATH FROM DUAL
    UNION ALL
    SELECT 'Document/PmtRtr/TxInf/OrgnlTxRef/Cdtr/Pty/Id/PrvtId/DtAndPlcOfBirth/CtryOfBirth' AS X_PATH FROM DUAL
    UNION ALL
    SELECT 'Document/PmtRtr/TxInf/OrgnlTxRef/Cdtr/Pty/CtryOfRes' AS X_PATH FROM DUAL
    UNION ALL
    SELECT 'Document/PmtRtr/TxInf/OrgnlTxRef/Cdtr/Agt/FinInstnId/PstlAdr/Ctry' AS X_PATH FROM DUAL
    UNION ALL
    SELECT 'Document/PmtRtr/TxInf/OrgnlTxRef/UltmtCdtr/Pty/PstlAdr/Ctry' AS X_PATH FROM DUAL
    UNION ALL
    SELECT 'Document/PmtRtr/TxInf/OrgnlTxRef/UltmtCdtr/Pty/Id/PrvtId/DtAndPlcOfBirth/CtryOfBirth' AS X_PATH FROM DUAL
    UNION ALL
    SELECT 'Document/PmtRtr/TxInf/OrgnlTxRef/UltmtCdtr/Pty/CtryOfRes' AS X_PATH FROM DUAL
) P
WHERE EXISTS (
    SELECT 1
    FROM FSI_RT_XML_WLS_RESPONSE T
    WHERE T.N_GRP_MSG_ID = :N_GRP_MSG_ID
      AND T.N_WEBSERVICE_ID = 3
      AND T.V_MATCHED_LIST_NAME = 'Blacklisted Country'
      AND ',' || REPLACE(REGEXP_REPLACE(TO_CHAR(T.X_PATH), '\[\d+\]', ''), ' ', '') || ','
          LIKE '%,' || P.X_PATH || ',%'
);</t>
  </si>
  <si>
    <t>Pacs004.05</t>
  </si>
  <si>
    <t>Sàng lọc giao dịch Pacs.004 - Name and Address - Individual, Entity</t>
  </si>
  <si>
    <t>1. Đẩy giao dịch vào API Post Message với trường thông tin có XML path
/Document/PmtRtr/TxInf/RtrChain/UltmtDbtr/Pty/Nm
/Document/PmtRtr/TxInf/RtrChain/Dbtr/Pty/Nm
/Document/PmtRtr/TxInf/RtrChain/InitgPty/Pty/Nm
/Document/PmtRtr/TxInf/RtrChain/Cdtr/Pty/Nm
/Document/PmtRtr/TxInf/RtrChain/UltmtCdtr/Pty/Nm
/Document/PmtRtr/TxInf/RtrRsnInf/Orgtr/Nm
/Document/PmtRtr/TxInf/OrgnlTxRef/RmtInf/Strd/Invcr/Nm
/Document/PmtRtr/TxInf/OrgnlTxRef/RmtInf/Strd/Invcee/Nm
/Document/PmtRtr/TxInf/OrgnlTxRef/RmtInf/Strd/TaxRmt/Dbtr/Authstn/Nm
/Document/PmtRtr/TxInf/OrgnlTxRef/RmtInf/Strd/TaxRmt/UltmtDbtr/Authstn/Nm
/Document/PmtRtr/TxInf/OrgnlTxRef/RmtInf/Strd/GrnshmtRmt/Grnshee/Nm
/Document/PmtRtr/TxInf/OrgnlTxRef/RmtInf/Strd/GrnshmtRmt/GrnshmtAdmstr/Nm
/Document/PmtRtr/TxInf/OrgnlTxRef/UltmtDbtr/Pty/Nm
/Document/PmtRtr/TxInf/OrgnlTxRef/Dbtr/Pty/Nm
/Document/PmtRtr/TxInf/OrgnlTxRef/CdtrAgt/FinInstnId/Nm
/Document/PmtRtr/TxInf/OrgnlTxRef/Cdtr/Pty/Nm
/Document/PmtRtr/TxInf/OrgnlTxRef/UltmtCdtr/Pty/Nm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</si>
  <si>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&lt;MsgId&gt;SUMMITEMBER-RTR-001&lt;/MsgId&gt;
      &lt;CreDtTm&gt;2026-08-21T10:00:00&lt;/CreDtTm&gt;
      &lt;NbOfTxs&gt;1&lt;/NbOfTxs&gt;
      &lt;SttlmInf&gt;
        &lt;SttlmMtd&gt;CLRG&lt;/SttlmMtd&gt;
      &lt;/SttlmInf&gt;
    &lt;/GrpHdr&gt;
    &lt;TxInf&gt;
      &lt;RtrdIntrBkSttlmAmt Ccy="USD"&gt;1000.00&lt;/RtrdIntrBkSttlmAmt&gt;
      &lt;RtrChain&gt;
        &lt;UltmtDbtr&gt;
          &lt;Pty&gt;
            &lt;Nm&gt;SUMMIT EMBER&lt;/Nm&gt;
          &lt;/Pty&gt;
        &lt;/UltmtDbtr&gt;
        &lt;Dbtr&gt;
          &lt;Pty&gt;
            &lt;Nm&gt;SUMMIT EMBER&lt;/Nm&gt;
          &lt;/Pty&gt;
        &lt;/Dbtr&gt;
        &lt;InitgPty&gt;
          &lt;Pty&gt;
            &lt;Nm&gt;SUMMIT EMBER&lt;/Nm&gt;
          &lt;/Pty&gt;
        &lt;/InitgPty&gt;
        &lt;Cdtr&gt;
          &lt;Pty&gt;
            &lt;Nm&gt;SUMMIT EMBER&lt;/Nm&gt;
          &lt;/Pty&gt;
        &lt;/Cdtr&gt;
        &lt;UltmtCdtr&gt;
          &lt;Pty&gt;
            &lt;Nm&gt;SUMMIT EMBER&lt;/Nm&gt;
          &lt;/Pty&gt;
        &lt;/UltmtCdtr&gt;
      &lt;/RtrChain&gt;
      &lt;RtrRsnInf&gt;
        &lt;Orgtr&gt;
          &lt;Nm&gt;SUMMIT EMBER&lt;/Nm&gt;
        &lt;/Orgtr&gt;
      &lt;/RtrRsnInf&gt;
      &lt;OrgnlTxRef&gt;
        &lt;RmtInf&gt;
          &lt;Strd&gt;
            &lt;Invcr&gt;
              &lt;Nm&gt;SUMMIT EMBER&lt;/Nm&gt;
            &lt;/Invcr&gt;
            &lt;Invcee&gt;
              &lt;Nm&gt;SUMMIT EMBER&lt;/Nm&gt;
            &lt;/Invcee&gt;
            &lt;TaxRmt&gt;
              &lt;Dbtr&gt;
                &lt;Authstn&gt;
                  &lt;Nm&gt;SUMMIT EMBER&lt;/Nm&gt;
                &lt;/Authstn&gt;
              &lt;/Dbtr&gt;
              &lt;UltmtDbtr&gt;
                &lt;Authstn&gt;
                  &lt;Nm&gt;SUMMIT EMBER&lt;/Nm&gt;
                &lt;/Authstn&gt;
              &lt;/UltmtDbtr&gt;
            &lt;/TaxRmt&gt;
            &lt;GrnshmtRmt&gt;
              &lt;Tp&gt;
                &lt;CdOrPrtry&gt;
                  &lt;Prtry&gt;GNCS&lt;/Prtry&gt;
                &lt;/CdOrPrtry&gt;
              &lt;/Tp&gt;
              &lt;Grnshee&gt;
                &lt;Nm&gt;SUMMIT EMBER&lt;/Nm&gt;
              &lt;/Grnshee&gt;
              &lt;GrnshmtAdmstr&gt;
                &lt;Nm&gt;SUMMIT EMBER&lt;/Nm&gt;
              &lt;/GrnshmtAdmstr&gt;
            &lt;/GrnshmtRmt&gt;
          &lt;/Strd&gt;
        &lt;/RmtInf&gt;
        &lt;UltmtDbtr&gt;
          &lt;Pty&gt;
            &lt;Nm&gt;SUMMIT EMBER&lt;/Nm&gt;
          &lt;/Pty&gt;
        &lt;/UltmtDbtr&gt;
        &lt;Dbtr&gt;
          &lt;Pty&gt;
            &lt;Nm&gt;SUMMIT EMBER&lt;/Nm&gt;
          &lt;/Pty&gt;
        &lt;/Dbtr&gt;
        &lt;CdtrAgt&gt;
          &lt;FinInstnId&gt;
            &lt;Nm&gt;SUMMIT EMBER&lt;/Nm&gt;
          &lt;/FinInstnId&gt;
        &lt;/CdtrAgt&gt;
        &lt;Cdtr&gt;
          &lt;Pty&gt;
            &lt;Nm&gt;SUMMIT EMBER&lt;/Nm&gt;
          &lt;/Pty&gt;
        &lt;/Cdtr&gt;
        &lt;UltmtCdtr&gt;
          &lt;Pty&gt;
            &lt;Nm&gt;SUMMIT EMBER&lt;/Nm&gt;
          &lt;/Pty&gt;
        &lt;/UltmtCdtr&gt;
      &lt;/OrgnlTxRef&gt;
    &lt;/TxInf&gt;
  &lt;/PmtRtr&gt;
&lt;/Document&gt;</t>
  </si>
  <si>
    <t>2. Hệ thống trả kết quả: HIT với Webservice Identifier loại chủ thể Entity và không HIT với chủ thể Individual, Vessel, Aircraft, Port
Câu query kiểm tra kết quả (KET_QUA = HIT):
SELECT CASE
         WHEN COUNT(*) = 17 THEN 'HIT'
         ELSE 'NO HIT'
       END AS KET_QUA
FROM (
    SELECT T.N_WEBSERVICE_ID,
           REGEXP_REPLACE(TO_CHAR(T.X_PATH), '\[\d+\]', '') AS X_PATH
    FROM FSI_RT_XML_WLS_RESPONSE T
    WHERE T.N_GRP_MSG_ID = :N_GRP_MSG_ID
      AND T.N_WEBSERVICE_ID = 1
      AND REGEXP_REPLACE(TO_CHAR(T.X_PATH), '\[\d+\]', '') IN (
'Document/PmtRtr/TxInf/RtrChain/UltmtDbtr/Pty/Nm',
'Document/PmtRtr/TxInf/RtrChain/Dbtr/Pty/Nm',
'Document/PmtRtr/TxInf/RtrChain/InitgPty/Pty/Nm',
'Document/PmtRtr/TxInf/RtrChain/Cdtr/Pty/Nm',
'Document/PmtRtr/TxInf/RtrChain/UltmtCdtr/Pty/Nm',
'Document/PmtRtr/TxInf/RtrRsnInf/Orgtr/Nm',
'Document/PmtRtr/TxInf/OrgnlTxRef/RmtInf/Strd/Invcr/Nm',
'Document/PmtRtr/TxInf/OrgnlTxRef/RmtInf/Strd/Invcee/Nm',
'Document/PmtRtr/TxInf/OrgnlTxRef/RmtInf/Strd/TaxRmt/Dbtr/Authstn/Nm',
'Document/PmtRtr/TxInf/OrgnlTxRef/RmtInf/Strd/TaxRmt/UltmtDbtr/Authstn/Nm',
'Document/PmtRtr/TxInf/OrgnlTxRef/RmtInf/Strd/GrnshmtRmt/Grnshee/Nm',
'Document/PmtRtr/TxInf/OrgnlTxRef/RmtInf/Strd/GrnshmtRmt/GrnshmtAdmstr/Nm',
'Document/PmtRtr/TxInf/OrgnlTxRef/UltmtDbtr/Pty/Nm',
'Document/PmtRtr/TxInf/OrgnlTxRef/Dbtr/Pty/Nm',
'Document/PmtRtr/TxInf/OrgnlTxRef/CdtrAgt/FinInstnId/Nm',
'Document/PmtRtr/TxInf/OrgnlTxRef/Cdtr/Pty/Nm',
'Document/PmtRtr/TxInf/OrgnlTxRef/UltmtCdtr/Pty/Nm'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</si>
  <si>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Pacs004.06</t>
  </si>
  <si>
    <t>1. Đẩy giao dịch vào API Post Message với trường thông tin có XML path
/Document/PmtRtr/TxInf/OrgnlTxRef/Dbtr/Agt/FinInstnId/Nm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</si>
  <si>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&lt;MsgId&gt;SE-004-NM-AGT&lt;/MsgId&gt;
      &lt;CreDtTm&gt;2026-07-28T13:31:41&lt;/CreDtTm&gt;
      &lt;NbOfTxs&gt;1&lt;/NbOfTxs&gt;
      &lt;SttlmInf&gt;
        &lt;SttlmMtd&gt;INDA&lt;/SttlmMtd&gt;
      &lt;/SttlmInf&gt;
    &lt;/GrpHdr&gt;
    &lt;TxInf&gt;
      &lt;RtrdIntrBkSttlmAmt Ccy="USD"&gt;1000.00&lt;/RtrdIntrBkSttlmAmt&gt;
      &lt;RtrChain&gt;
        &lt;Dbtr&gt;
          &lt;Pty/&gt;
        &lt;/Dbtr&gt;
        &lt;Cdtr&gt;
          &lt;Pty/&gt;
        &lt;/Cdtr&gt;
      &lt;/RtrChain&gt;
      &lt;OrgnlTxRef&gt;
        &lt;Dbtr&gt;
          &lt;Agt&gt;
            &lt;FinInstnId&gt;
              &lt;Nm&gt;SUMMIT EMBER&lt;/Nm&gt;
            &lt;/FinInstnId&gt;
          &lt;/Agt&gt;
        &lt;/Dbtr&gt;
      &lt;/OrgnlTxRef&gt;
    &lt;/TxInf&gt;
  &lt;/PmtRtr&gt;
&lt;/Document&gt;</t>
  </si>
  <si>
    <t>2. Hệ thống trả kết quả: HIT với Webservice Name and Address loại chủ thể Individual, Entity và không HIT với chủ thể Vessel, Aircraft
Câu query kiểm tra kết quả (KET_QUA = HIT):
SELECT CASE
         WHEN COUNT(*) = 1 THEN 'HIT'
         ELSE 'NO HIT'
       END AS KET_QUA
FROM (
    SELECT T.N_WEBSERVICE_ID,
           REGEXP_REPLACE(TO_CHAR(T.X_PATH), '\[\d+\]', '') AS X_PATH
    FROM FSI_RT_XML_WLS_RESPONSE T
    WHERE T.N_GRP_MSG_ID = :N_GRP_MSG_ID
      AND T.N_WEBSERVICE_ID = 1
      AND REGEXP_REPLACE(TO_CHAR(T.X_PATH), '\[\d+\]', '') IN (
'Document/PmtRtr/TxInf/OrgnlTxRef/Dbtr/Agt/FinInstnId/Nm'
)
    GROUP BY T.N_WEBSERVICE_ID,
             REGEXP_REPLACE(TO_CHAR(T.X_PATH), '\[\d+\]', '')
    HAVING COUNT(CASE WHEN UPPER(T.V_MATCHED_TYPE) = 'ENTITY' THEN 1 END) &gt; 0
       AND COUNT(CASE WHEN UPPER(T.V_MATCHED_TYPE) = 'INDIVIDUAL' THEN 1 END) &gt; 0
       AND COUNT(CASE WHEN UPPER(T.V_MATCHED_TYPE) = 'VESSEL' THEN 1 END) = 0
       AND COUNT(CASE WHEN UPPER(T.V_MATCHED_TYPE) = 'AIRCRAFT' THEN 1 END) = 0
);</t>
  </si>
  <si>
    <t>Pacs004.07</t>
  </si>
  <si>
    <t>Sàng lọc giao dịch Pacs.004 - Identifier - Entity</t>
  </si>
  <si>
    <t>1. Đẩy giao dịch vào API Post Message với trường thông tin có XML path 
/Document/PmtRtr/TxInf/RtrChain/UltmtDbtr/Pty/Id/OrgId/Othr/Id
/Document/PmtRtr/TxInf/RtrChain/Dbtr/Pty/Id/OrgId/Othr/Id
/Document/PmtRtr/TxInf/RtrChain/InitgPty/Pty/Id/OrgId/Othr/Id
/Document/PmtRtr/TxInf/RtrChain/Cdtr/Pty/Id/OrgId/Othr/Id
/Document/PmtRtr/TxInf/RtrChain/UltmtCdtr/Pty/Id/OrgId/Othr/Id
/Document/PmtRtr/TxInf/RtrRsnInf/Orgtr/Id/OrgId/Othr/Id
/Document/PmtRtr/TxInf/OrgnlTxRef/CdtrSchmeId/Id/OrgId/Othr/Id
/Document/PmtRtr/TxInf/OrgnlTxRef/RmtInf/Strd/Invcr/Id/OrgId/Othr/Id
/Document/PmtRtr/TxInf/OrgnlTxRef/RmtInf/Strd/Invcee/Id/OrgId/Othr/Id
/Document/PmtRtr/TxInf/OrgnlTxRef/RmtInf/Strd/GrnshmtRmt/Grnshee/Id/OrgId/Othr/Id
/Document/PmtRtr/TxInf/OrgnlTxRef/RmtInf/Strd/GrnshmtRmt/GrnshmtAdmstr/Id/OrgId/Othr/Id
/Document/PmtRtr/TxInf/OrgnlTxRef/UltmtDbtr/Pty/Id/OrgId/Othr/Id
/Document/PmtRtr/TxInf/OrgnlTxRef/Dbtr/Pty/Id/OrgId/Othr/Id
/Document/PmtRtr/TxInf/OrgnlTxRef/Cdtr/Pty/Id/OrgId/Othr/Id
/Document/PmtRtr/TxInf/OrgnlTxRef/UltmtCdtr/Pty/Id/OrgId/Othr/Id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</si>
  <si>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&lt;MsgId&gt;SE-004-OTHR-PTY&lt;/MsgId&gt;
      &lt;CreDtTm&gt;2026-07-28T13:31:41&lt;/CreDtTm&gt;
      &lt;NbOfTxs&gt;1&lt;/NbOfTxs&gt;
      &lt;SttlmInf&gt;
        &lt;SttlmMtd&gt;INDA&lt;/SttlmMtd&gt;
      &lt;/SttlmInf&gt;
    &lt;/GrpHdr&gt;
    &lt;TxInf&gt;
      &lt;RtrdIntrBkSttlmAmt Ccy="USD"&gt;1000.00&lt;/RtrdIntrBkSttlmAmt&gt;
      &lt;RtrChain&gt;
        &lt;UltmtDbtr&gt;
          &lt;Pty&gt;
            &lt;Id&gt;
              &lt;OrgId&gt;
                &lt;Othr&gt;
                  &lt;Id&gt;BFICCUHH&lt;/Id&gt;
                &lt;/Othr&gt;
              &lt;/OrgId&gt;
            &lt;/Id&gt;
          &lt;/Pty&gt;
        &lt;/UltmtDbtr&gt;
        &lt;Dbtr&gt;
          &lt;Pty&gt;
            &lt;Id&gt;
              &lt;OrgId&gt;
                &lt;Othr&gt;
                  &lt;Id&gt;BFICCUHH&lt;/Id&gt;
                &lt;/Othr&gt;
              &lt;/OrgId&gt;
            &lt;/Id&gt;
          &lt;/Pty&gt;
        &lt;/Dbtr&gt;
        &lt;InitgPty&gt;
          &lt;Pty&gt;
            &lt;Id&gt;
              &lt;OrgId&gt;
                &lt;Othr&gt;
                  &lt;Id&gt;BFICCUHH&lt;/Id&gt;
                &lt;/Othr&gt;
              &lt;/OrgId&gt;
            &lt;/Id&gt;
          &lt;/Pty&gt;
        &lt;/InitgPty&gt;
        &lt;Cdtr&gt;
          &lt;Pty&gt;
            &lt;Id&gt;
              &lt;OrgId&gt;
                &lt;Othr&gt;
                  &lt;Id&gt;BFICCUHH&lt;/Id&gt;
                &lt;/Othr&gt;
              &lt;/OrgId&gt;
            &lt;/Id&gt;
          &lt;/Pty&gt;
        &lt;/Cdtr&gt;
        &lt;UltmtCdtr&gt;
          &lt;Pty&gt;
            &lt;Id&gt;
              &lt;OrgId&gt;
                &lt;Othr&gt;
                  &lt;Id&gt;BFICCUHH&lt;/Id&gt;
                &lt;/Othr&gt;
              &lt;/OrgId&gt;
            &lt;/Id&gt;
          &lt;/Pty&gt;
        &lt;/UltmtCdtr&gt;
      &lt;/RtrChain&gt;
      &lt;RtrRsnInf&gt;
        &lt;Orgtr&gt;
          &lt;Id&gt;
            &lt;OrgId&gt;
              &lt;Othr&gt;
                &lt;Id&gt;BFICCUHH&lt;/Id&gt;
              &lt;/Othr&gt;
            &lt;/OrgId&gt;
          &lt;/Id&gt;
        &lt;/Orgtr&gt;
      &lt;/RtrRsnInf&gt;
      &lt;OrgnlTxRef&gt;
        &lt;CdtrSchmeId&gt;
          &lt;Id&gt;
            &lt;OrgId&gt;
              &lt;Othr&gt;
                &lt;Id&gt;BFICCUHH&lt;/Id&gt;
              &lt;/Othr&gt;
            &lt;/OrgId&gt;
          &lt;/Id&gt;
        &lt;/CdtrSchmeId&gt;
        &lt;RmtInf&gt;
          &lt;Strd&gt;
            &lt;Invcr&gt;
              &lt;Id&gt;
                &lt;OrgId&gt;
                  &lt;Othr&gt;
                    &lt;Id&gt;BFICCUHH&lt;/Id&gt;
                  &lt;/Othr&gt;
                &lt;/OrgId&gt;
              &lt;/Id&gt;
            &lt;/Invcr&gt;
            &lt;Invcee&gt;
              &lt;Id&gt;
                &lt;OrgId&gt;
                  &lt;Othr&gt;
                    &lt;Id&gt;BFICCUHH&lt;/Id&gt;
                  &lt;/Othr&gt;
                &lt;/OrgId&gt;
              &lt;/Id&gt;
            &lt;/Invcee&gt;
            &lt;GrnshmtRmt&gt;
              &lt;Tp&gt;
                &lt;CdOrPrtry&gt;
                  &lt;Prtry&gt;GARNISHMENT&lt;/Prtry&gt;
                &lt;/CdOrPrtry&gt;
              &lt;/Tp&gt;
              &lt;Grnshee&gt;
                &lt;Id&gt;
                  &lt;OrgId&gt;
                    &lt;Othr&gt;
                      &lt;Id&gt;BFICCUHH&lt;/Id&gt;
                    &lt;/Othr&gt;
                  &lt;/OrgId&gt;
                &lt;/Id&gt;
              &lt;/Grnshee&gt;
              &lt;GrnshmtAdmstr&gt;
                &lt;Id&gt;
                  &lt;OrgId&gt;
                    &lt;Othr&gt;
                      &lt;Id&gt;BFICCUHH&lt;/Id&gt;
                    &lt;/Othr&gt;
                  &lt;/OrgId&gt;
                &lt;/Id&gt;
              &lt;/GrnshmtAdmstr&gt;
            &lt;/GrnshmtRmt&gt;
          &lt;/Strd&gt;
        &lt;/RmtInf&gt;
        &lt;UltmtDbtr&gt;
          &lt;Pty&gt;
            &lt;Id&gt;
              &lt;OrgId&gt;
                &lt;Othr&gt;
                  &lt;Id&gt;BFICCUHH&lt;/Id&gt;
                &lt;/Othr&gt;
              &lt;/OrgId&gt;
            &lt;/Id&gt;
          &lt;/Pty&gt;
        &lt;/UltmtDbtr&gt;
        &lt;Dbtr&gt;
          &lt;Pty&gt;
            &lt;Id&gt;
              &lt;OrgId&gt;
                &lt;Othr&gt;
                  &lt;Id&gt;BFICCUHH&lt;/Id&gt;
                &lt;/Othr&gt;
              &lt;/OrgId&gt;
            &lt;/Id&gt;
          &lt;/Pty&gt;
        &lt;/Dbtr&gt;
        &lt;Cdtr&gt;
          &lt;Pty&gt;
            &lt;Id&gt;
              &lt;OrgId&gt;
                &lt;Othr&gt;
                  &lt;Id&gt;BFICCUHH&lt;/Id&gt;
                &lt;/Othr&gt;
              &lt;/OrgId&gt;
            &lt;/Id&gt;
          &lt;/Pty&gt;
        &lt;/Cdtr&gt;
        &lt;UltmtCdtr&gt;
          &lt;Pty&gt;
            &lt;Id&gt;
              &lt;OrgId&gt;
                &lt;Othr&gt;
                  &lt;Id&gt;BFICCUHH&lt;/Id&gt;
                &lt;/Othr&gt;
              &lt;/OrgId&gt;
            &lt;/Id&gt;
          &lt;/Pty&gt;
        &lt;/UltmtCdtr&gt;
      &lt;/OrgnlTxRef&gt;
    &lt;/TxInf&gt;
  &lt;/PmtRtr&gt;
&lt;/Document&gt;</t>
  </si>
  <si>
    <t>2. Hệ thống trả kết quả: HIT với Webservice Identifier loại chủ thể Individual, Entity và không HIT với chủ thể Vessel, Aircraft
Câu query kiểm tra kết quả (KET_QUA = HIT):
SELECT CASE
         WHEN COUNT(*) = 15 THEN 'HIT'
         ELSE 'NO HIT'
       END AS KET_QUA
FROM (
    SELECT T.N_WEBSERVICE_ID,
           REGEXP_REPLACE(TO_CHAR(T.X_PATH), '\[\d+\]', '') AS X_PATH
    FROM FSI_RT_XML_WLS_RESPONSE T
    WHERE T.N_GRP_MSG_ID = :N_GRP_MSG_ID
      AND T.N_WEBSERVICE_ID = 2
      AND REGEXP_REPLACE(TO_CHAR(T.X_PATH), '\[\d+\]', '') IN (
'Document/PmtRtr/TxInf/RtrChain/UltmtDbtr/Pty/Id/OrgId/Othr/Id',
'Document/PmtRtr/TxInf/RtrChain/Dbtr/Pty/Id/OrgId/Othr/Id',
'Document/PmtRtr/TxInf/RtrChain/InitgPty/Pty/Id/OrgId/Othr/Id',
'Document/PmtRtr/TxInf/RtrChain/Cdtr/Pty/Id/OrgId/Othr/Id',
'Document/PmtRtr/TxInf/RtrChain/UltmtCdtr/Pty/Id/OrgId/Othr/Id',
'Document/PmtRtr/TxInf/RtrRsnInf/Orgtr/Id/OrgId/Othr/Id',
'Document/PmtRtr/TxInf/OrgnlTxRef/CdtrSchmeId/Id/OrgId/Othr/Id',
'Document/PmtRtr/TxInf/OrgnlTxRef/RmtInf/Strd/Invcr/Id/OrgId/Othr/Id',
'Document/PmtRtr/TxInf/OrgnlTxRef/RmtInf/Strd/Invcee/Id/OrgId/Othr/Id',
'Document/PmtRtr/TxInf/OrgnlTxRef/RmtInf/Strd/GrnshmtRmt/Grnshee/Id/OrgId/Othr/Id',
'Document/PmtRtr/TxInf/OrgnlTxRef/RmtInf/Strd/GrnshmtRmt/GrnshmtAdmstr/Id/OrgId/Othr/Id',
'Document/PmtRtr/TxInf/OrgnlTxRef/UltmtDbtr/Pty/Id/OrgId/Othr/Id',
'Document/PmtRtr/TxInf/OrgnlTxRef/Dbtr/Pty/Id/OrgId/Othr/Id',
'Document/PmtRtr/TxInf/OrgnlTxRef/Cdtr/Pty/Id/OrgId/Othr/Id',
'Document/PmtRtr/TxInf/OrgnlTxRef/UltmtCdtr/Pty/Id/OrgId/Othr/Id'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</si>
  <si>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1. Đẩy giao dịch vào API Post Message với trường thông tin có XML path 
/Document/PmtRtr/TxInf/OrgnlTxRef/Dbtr/Agt/FinInstnId/Othr/Id
/Document/PmtRtr/TxInf/OrgnlTxRef/Cdtr/Agt/FinInstnId/Othr/Id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</si>
  <si>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&lt;MsgId&gt;SE-004-OTHR-AGT&lt;/MsgId&gt;
      &lt;CreDtTm&gt;2026-07-28T13:31:41&lt;/CreDtTm&gt;
      &lt;NbOfTxs&gt;1&lt;/NbOfTxs&gt;
      &lt;SttlmInf&gt;
        &lt;SttlmMtd&gt;INDA&lt;/SttlmMtd&gt;
      &lt;/SttlmInf&gt;
    &lt;/GrpHdr&gt;
    &lt;TxInf&gt;
      &lt;RtrdIntrBkSttlmAmt Ccy="USD"&gt;1000.00&lt;/RtrdIntrBkSttlmAmt&gt;
      &lt;RtrChain&gt;
        &lt;Dbtr&gt;
          &lt;Pty/&gt;
        &lt;/Dbtr&gt;
        &lt;Cdtr&gt;
          &lt;Pty/&gt;
        &lt;/Cdtr&gt;
      &lt;/RtrChain&gt;
      &lt;OrgnlTxRef&gt;
        &lt;Dbtr&gt;
          &lt;Agt&gt;
            &lt;FinInstnId&gt;
              &lt;Othr&gt;
                &lt;Id&gt;0099887766&lt;/Id&gt;
              &lt;/Othr&gt;
            &lt;/FinInstnId&gt;
          &lt;/Agt&gt;
        &lt;/Dbtr&gt;
        &lt;Cdtr&gt;
          &lt;Agt&gt;
            &lt;FinInstnId&gt;
              &lt;Othr&gt;
                &lt;Id&gt;0099887766&lt;/Id&gt;
              &lt;/Othr&gt;
            &lt;/FinInstnId&gt;
          &lt;/Agt&gt;
        &lt;/Cdtr&gt;
      &lt;/OrgnlTxRef&gt;
    &lt;/TxInf&gt;
  &lt;/PmtRtr&gt;
&lt;/Document&gt;</t>
  </si>
  <si>
    <t>2. Hệ thống trả kết quả: HIT với Webservice Identifier loại chủ thể Individual, Entity và không HIT với chủ thể Vessel, Aircraft
Câu query kiểm tra kết quả (KET_QUA = HIT):
SELECT CASE
         WHEN COUNT(*) = 2 THEN 'HIT'
         ELSE 'NO HIT'
       END AS KET_QUA
FROM (
    SELECT T.N_WEBSERVICE_ID,
           REGEXP_REPLACE(TO_CHAR(T.X_PATH), '\[\d+\]', '') AS X_PATH
    FROM FSI_RT_XML_WLS_RESPONSE T
    WHERE T.N_GRP_MSG_ID = :N_GRP_MSG_ID
      AND T.N_WEBSERVICE_ID = 2
      AND REGEXP_REPLACE(TO_CHAR(T.X_PATH), '\[\d+\]', '') IN (
'Document/PmtRtr/TxInf/OrgnlTxRef/Dbtr/Agt/FinInstnId/Othr/Id',
'Document/PmtRtr/TxInf/OrgnlTxRef/Cdtr/Agt/FinInstnId/Othr/Id'
)
    GROUP BY T.N_WEBSERVICE_ID,
             REGEXP_REPLACE(TO_CHAR(T.X_PATH), '\[\d+\]', '')
    HAVING COUNT(CASE WHEN UPPER(T.V_MATCHED_TYPE) = 'ENTITY' THEN 1 END) &gt; 0
       AND COUNT(CASE WHEN UPPER(T.V_MATCHED_TYPE) = 'INDIVIDUAL' THEN 1 END) = 0
       AND COUNT(CASE WHEN UPPER(T.V_MATCHED_TYPE) = 'VESSEL' THEN 1 END) = 0
       AND COUNT(CASE WHEN UPPER(T.V_MATCHED_TYPE) = 'AIRCRAFT' THEN 1 END) = 0
);</t>
  </si>
  <si>
    <t>Pacs004.08</t>
  </si>
  <si>
    <t>Sàng lọc giao dịch Pacs.004 - Identifier - Individual</t>
  </si>
  <si>
    <t>1. Đẩy giao dịch vào API Post Message với trường thông tin có XML path
/Document/PmtRtr/TxInf/RtrChain/UltmtDbtr/Pty/Id/PrvtId/Othr/Id
/Document/PmtRtr/TxInf/RtrChain/Dbtr/Pty/Id/PrvtId/Othr/Id
/Document/PmtRtr/TxInf/RtrChain/InitgPty/Pty/Id/PrvtId/Othr/Id
/Document/PmtRtr/TxInf/RtrChain/Cdtr/Pty/Id/PrvtId/Othr/Id
/Document/PmtRtr/TxInf/RtrChain/UltmtCdtr/Pty/Id/PrvtId/Othr/Id
/Document/PmtRtr/TxInf/RtrRsnInf/Orgtr/Id/PrvtId/Othr/Id
/Document/PmtRtr/TxInf/OrgnlTxRef/CdtrSchmeId/Id/PrvtId/Othr/Id
/Document/PmtRtr/TxInf/OrgnlTxRef/RmtInf/Strd/Invcr/Id/PrvtId/Othr/Id
/Document/PmtRtr/TxInf/OrgnlTxRef/RmtInf/Strd/Invcee/Id/PrvtId/Othr/Id
/Document/PmtRtr/TxInf/OrgnlTxRef/RmtInf/Strd/GrnshmtRmt/Grnshee/Id/PrvtId/Othr/Id
/Document/PmtRtr/TxInf/OrgnlTxRef/RmtInf/Strd/GrnshmtRmt/GrnshmtAdmstr/Id/PrvtId/Othr/Id
/Document/PmtRtr/TxInf/OrgnlTxRef/UltmtDbtr/Pty/Id/PrvtId/Othr/Id
/Document/PmtRtr/TxInf/OrgnlTxRef/Dbtr/Pty/Id/PrvtId/Othr/Id
/Document/PmtRtr/TxInf/OrgnlTxRef/Cdtr/Pty/Id/PrvtId/Othr/Id
/Document/PmtRtr/TxInf/OrgnlTxRef/UltmtCdtr/Pty/Id/PrvtId/Othr/Id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</si>
  <si>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&lt;MsgId&gt;SE-004-PRV&lt;/MsgId&gt;
      &lt;CreDtTm&gt;2026-07-28T13:31:41&lt;/CreDtTm&gt;
      &lt;NbOfTxs&gt;1&lt;/NbOfTxs&gt;
      &lt;SttlmInf&gt;
        &lt;SttlmMtd&gt;INDA&lt;/SttlmMtd&gt;
      &lt;/SttlmInf&gt;
    &lt;/GrpHdr&gt;
    &lt;TxInf&gt;
      &lt;RtrdIntrBkSttlmAmt Ccy="USD"&gt;1000.00&lt;/RtrdIntrBkSttlmAmt&gt;
      &lt;RtrChain&gt;
        &lt;UltmtDbtr&gt;
          &lt;Pty&gt;
            &lt;Id&gt;
              &lt;PrvtId&gt;
                &lt;Othr&gt;
                  &lt;Id&gt;0099887766&lt;/Id&gt;
                &lt;/Othr&gt;
              &lt;/PrvtId&gt;
            &lt;/Id&gt;
          &lt;/Pty&gt;
        &lt;/UltmtDbtr&gt;
        &lt;Dbtr&gt;
          &lt;Pty&gt;
            &lt;Id&gt;
              &lt;PrvtId&gt;
                &lt;Othr&gt;
                  &lt;Id&gt;0099887766&lt;/Id&gt;
                &lt;/Othr&gt;
              &lt;/PrvtId&gt;
            &lt;/Id&gt;
          &lt;/Pty&gt;
        &lt;/Dbtr&gt;
        &lt;InitgPty&gt;
          &lt;Pty&gt;
            &lt;Id&gt;
              &lt;PrvtId&gt;
                &lt;Othr&gt;
                  &lt;Id&gt;0099887766&lt;/Id&gt;
                &lt;/Othr&gt;
              &lt;/PrvtId&gt;
            &lt;/Id&gt;
          &lt;/Pty&gt;
        &lt;/InitgPty&gt;
        &lt;Cdtr&gt;
          &lt;Pty&gt;
            &lt;Id&gt;
              &lt;PrvtId&gt;
                &lt;Othr&gt;
                  &lt;Id&gt;0099887766&lt;/Id&gt;
                &lt;/Othr&gt;
              &lt;/PrvtId&gt;
            &lt;/Id&gt;
          &lt;/Pty&gt;
        &lt;/Cdtr&gt;
        &lt;UltmtCdtr&gt;
          &lt;Pty&gt;
            &lt;Id&gt;
              &lt;PrvtId&gt;
                &lt;Othr&gt;
                  &lt;Id&gt;0099887766&lt;/Id&gt;
                &lt;/Othr&gt;
              &lt;/PrvtId&gt;
            &lt;/Id&gt;
          &lt;/Pty&gt;
        &lt;/UltmtCdtr&gt;
      &lt;/RtrChain&gt;
      &lt;RtrRsnInf&gt;
        &lt;Orgtr&gt;
          &lt;Id&gt;
            &lt;PrvtId&gt;
              &lt;Othr&gt;
                &lt;Id&gt;0099887766&lt;/Id&gt;
              &lt;/Othr&gt;
            &lt;/PrvtId&gt;
          &lt;/Id&gt;
        &lt;/Orgtr&gt;
      &lt;/RtrRsnInf&gt;
      &lt;OrgnlTxRef&gt;
        &lt;CdtrSchmeId&gt;
          &lt;Id&gt;
            &lt;PrvtId&gt;
              &lt;Othr&gt;
                &lt;Id&gt;0099887766&lt;/Id&gt;
              &lt;/Othr&gt;
            &lt;/PrvtId&gt;
          &lt;/Id&gt;
        &lt;/CdtrSchmeId&gt;
        &lt;RmtInf&gt;
          &lt;Strd&gt;
            &lt;Invcr&gt;
              &lt;Id&gt;
                &lt;PrvtId&gt;
                  &lt;Othr&gt;
                    &lt;Id&gt;0099887766&lt;/Id&gt;
                  &lt;/Othr&gt;
                &lt;/PrvtId&gt;
              &lt;/Id&gt;
            &lt;/Invcr&gt;
            &lt;Invcee&gt;
              &lt;Id&gt;
                &lt;PrvtId&gt;
                  &lt;Othr&gt;
                    &lt;Id&gt;0099887766&lt;/Id&gt;
                  &lt;/Othr&gt;
                &lt;/PrvtId&gt;
              &lt;/Id&gt;
            &lt;/Invcee&gt;
            &lt;GrnshmtRmt&gt;
              &lt;Tp&gt;
                &lt;CdOrPrtry&gt;
                  &lt;Prtry&gt;GARNISHMENT&lt;/Prtry&gt;
                &lt;/CdOrPrtry&gt;
              &lt;/Tp&gt;
              &lt;Grnshee&gt;
                &lt;Id&gt;
                  &lt;PrvtId&gt;
                    &lt;Othr&gt;
                      &lt;Id&gt;0099887766&lt;/Id&gt;
                    &lt;/Othr&gt;
                  &lt;/PrvtId&gt;
                &lt;/Id&gt;
              &lt;/Grnshee&gt;
              &lt;GrnshmtAdmstr&gt;
                &lt;Id&gt;
                  &lt;PrvtId&gt;
                    &lt;Othr&gt;
                      &lt;Id&gt;0099887766&lt;/Id&gt;
                    &lt;/Othr&gt;
                  &lt;/PrvtId&gt;
                &lt;/Id&gt;
              &lt;/GrnshmtAdmstr&gt;
            &lt;/GrnshmtRmt&gt;
          &lt;/Strd&gt;
        &lt;/RmtInf&gt;
        &lt;UltmtDbtr&gt;
          &lt;Pty&gt;
            &lt;Id&gt;
              &lt;PrvtId&gt;
                &lt;Othr&gt;
                  &lt;Id&gt;0099887766&lt;/Id&gt;
                &lt;/Othr&gt;
              &lt;/PrvtId&gt;
            &lt;/Id&gt;
          &lt;/Pty&gt;
        &lt;/UltmtDbtr&gt;
        &lt;Dbtr&gt;
          &lt;Pty&gt;
            &lt;Id&gt;
              &lt;PrvtId&gt;
                &lt;Othr&gt;
                  &lt;Id&gt;0099887766&lt;/Id&gt;
                &lt;/Othr&gt;
              &lt;/PrvtId&gt;
            &lt;/Id&gt;
          &lt;/Pty&gt;
        &lt;/Dbtr&gt;
        &lt;Cdtr&gt;
          &lt;Pty&gt;
            &lt;Id&gt;
              &lt;PrvtId&gt;
                &lt;Othr&gt;
                  &lt;Id&gt;0099887766&lt;/Id&gt;
                &lt;/Othr&gt;
              &lt;/PrvtId&gt;
            &lt;/Id&gt;
          &lt;/Pty&gt;
        &lt;/Cdtr&gt;
        &lt;UltmtCdtr&gt;
          &lt;Pty&gt;
            &lt;Id&gt;
              &lt;PrvtId&gt;
                &lt;Othr&gt;
                  &lt;Id&gt;0099887766&lt;/Id&gt;
                &lt;/Othr&gt;
              &lt;/PrvtId&gt;
            &lt;/Id&gt;
          &lt;/Pty&gt;
        &lt;/UltmtCdtr&gt;
      &lt;/OrgnlTxRef&gt;
    &lt;/TxInf&gt;
  &lt;/PmtRtr&gt;
&lt;/Document&gt;</t>
  </si>
  <si>
    <t>2. Hệ thống trả kết quả: HIT với Webservice Identifier loại chủ thể Individual và không HIT với chủ thể Entity, Vessel, Aircraft
Câu query kiểm tra kết quả (KET_QUA = HIT):
SELECT CASE
         WHEN COUNT(*) = 15 THEN 'HIT'
         ELSE 'NO HIT'
       END AS KET_QUA
FROM (
    SELECT T.N_WEBSERVICE_ID,
           REGEXP_REPLACE(TO_CHAR(T.X_PATH), '\[\d+\]', '') AS X_PATH
    FROM FSI_RT_XML_WLS_RESPONSE T
    WHERE T.N_GRP_MSG_ID = :N_GRP_MSG_ID
      AND T.N_WEBSERVICE_ID = 2
      AND REGEXP_REPLACE(TO_CHAR(T.X_PATH), '\[\d+\]', '') IN (
'Document/PmtRtr/TxInf/RtrChain/UltmtDbtr/Pty/Id/PrvtId/Othr/Id',
'Document/PmtRtr/TxInf/RtrChain/Dbtr/Pty/Id/PrvtId/Othr/Id',
'Document/PmtRtr/TxInf/RtrChain/InitgPty/Pty/Id/PrvtId/Othr/Id',
'Document/PmtRtr/TxInf/RtrChain/Cdtr/Pty/Id/PrvtId/Othr/Id',
'Document/PmtRtr/TxInf/RtrChain/UltmtCdtr/Pty/Id/PrvtId/Othr/Id',
'Document/PmtRtr/TxInf/RtrRsnInf/Orgtr/Id/PrvtId/Othr/Id',
'Document/PmtRtr/TxInf/OrgnlTxRef/CdtrSchmeId/Id/PrvtId/Othr/Id',
'Document/PmtRtr/TxInf/OrgnlTxRef/RmtInf/Strd/Invcr/Id/PrvtId/Othr/Id',
'Document/PmtRtr/TxInf/OrgnlTxRef/RmtInf/Strd/Invcee/Id/PrvtId/Othr/Id',
'Document/PmtRtr/TxInf/OrgnlTxRef/RmtInf/Strd/GrnshmtRmt/Grnshee/Id/PrvtId/Othr/Id',
'Document/PmtRtr/TxInf/OrgnlTxRef/RmtInf/Strd/GrnshmtRmt/GrnshmtAdmstr/Id/PrvtId/Othr/Id',
'Document/PmtRtr/TxInf/OrgnlTxRef/UltmtDbtr/Pty/Id/PrvtId/Othr/Id',
'Document/PmtRtr/TxInf/OrgnlTxRef/Dbtr/Pty/Id/PrvtId/Othr/Id',
'Document/PmtRtr/TxInf/OrgnlTxRef/Cdtr/Pty/Id/PrvtId/Othr/Id',
'Document/PmtRtr/TxInf/OrgnlTxRef/UltmtCdtr/Pty/Id/PrvtId/Othr/Id'
)
    GROUP BY T.N_WEBSERVICE_ID,
             REGEXP_REPLACE(TO_CHAR(T.X_PATH), '\[\d+\]', '')
    HAVING COUNT(CASE WHEN UPPER(T.V_MATCHED_TYPE) = 'ENTITY' THEN 1 END) = 0
       AND COUNT(CASE WHEN UPPER(T.V_MATCHED_TYPE) = 'INDIVIDUAL' THEN 1 END) &gt; 0
       AND COUNT(CASE WHEN UPPER(T.V_MATCHED_TYPE) = 'VESSEL' THEN 1 END) = 0
       AND COUNT(CASE WHEN UPPER(T.V_MATCHED_TYPE) = 'AIRCRAFT' THEN 1 END) = 0
);</t>
  </si>
  <si>
    <t>Pacs004.09</t>
  </si>
  <si>
    <t>Sàng lọc giao dịch Pacs.004 - Narrative - All</t>
  </si>
  <si>
    <t>1. Đẩy giao dịch vào API Post Message với trường thông tin có XML path 
/Document/PmtRtr/TxInf/RtrRsnInf/AddtlInf
/Document/PmtRtr/TxInf/OrgnlTxRef/RmtInf/Ustrd
/Document/PmtRtr/TxInf/OrgnlTxRef/RmtInf/Strd/RfrdDocInf/LineDtls/Amt/AdjstmntAmtAndRsn/AddtlInf
/Document/PmtRtr/TxInf/OrgnlTxRef/RmtInf/Strd/RfrdDocAmt/AdjstmntAmtAndRsn/AddtlInf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</si>
  <si>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xmlns="urn:iso:std:iso:20022:tech:xsd:pacs.004.001.09"&gt;
  &lt;PmtRtr&gt;
    &lt;GrpHdr&gt;
      &lt;MsgId&gt;SE-004-INFO&lt;/MsgId&gt;
      &lt;CreDtTm&gt;2026-07-28T13:31:41&lt;/CreDtTm&gt;
      &lt;NbOfTxs&gt;1&lt;/NbOfTxs&gt;
      &lt;SttlmInf&gt;
        &lt;SttlmMtd&gt;INDA&lt;/SttlmMtd&gt;
      &lt;/SttlmInf&gt;
    &lt;/GrpHdr&gt;
    &lt;TxInf&gt;
      &lt;RtrdIntrBkSttlmAmt Ccy="USD"&gt;1000.00&lt;/RtrdIntrBkSttlmAmt&gt;
      &lt;RtrRsnInf&gt;
        &lt;AddtlInf&gt;0099887766&lt;/AddtlInf&gt;
      &lt;/RtrRsnInf&gt;
      &lt;OrgnlTxRef&gt;
        &lt;RmtInf&gt;
          &lt;Ustrd&gt;0099887766&lt;/Ustrd&gt;
          &lt;Strd&gt;
            &lt;RfrdDocInf&gt;
              &lt;LineDtls&gt;
                &lt;Id/&gt;
                &lt;Amt&gt;
                  &lt;AdjstmntAmtAndRsn&gt;
                    &lt;Amt Ccy="USD"&gt;1.00&lt;/Amt&gt;
                    &lt;AddtlInf&gt;0099887766&lt;/AddtlInf&gt;
                  &lt;/AdjstmntAmtAndRsn&gt;
                &lt;/Amt&gt;
              &lt;/LineDtls&gt;
            &lt;/RfrdDocInf&gt;
            &lt;RfrdDocAmt&gt;
              &lt;AdjstmntAmtAndRsn&gt;
                &lt;Amt Ccy="USD"&gt;1.00&lt;/Amt&gt;
                &lt;AddtlInf&gt;0099887766&lt;/AddtlInf&gt;
              &lt;/AdjstmntAmtAndRsn&gt;
            &lt;/RfrdDocAmt&gt;
          &lt;/Strd&gt;
        &lt;/RmtInf&gt;
      &lt;/OrgnlTxRef&gt;
    &lt;/TxInf&gt;
  &lt;/PmtRtr&gt;
&lt;/Document&gt;</t>
  </si>
  <si>
    <t>2. Hệ thống trả kết quả: HIT với Webservice Narrative loại chủ thể Individual, Entity, Port, Vessel, Aircraft và danh sách Stop Keywords, Stop Keywords
Câu query kiểm tra kết quả (KET_QUA = HIT):
WITH DS_RESULT AS(
	SELECT 
		AL.N_ALERT_ID,
		R.N_GRP_MSG_ID,
		T.V_MATCHED_INDIVIDUAL_NAME,
		T.V_MATCHED_ENTITY_NAME,
		T.V_MATCHED_BIC,
		T.V_RULE, 
		T.N_SCORE,
		TRIM(REGEXP_REPLACE(T.X_PATH, '\[[0-9]+\]', '')) as X_PATH,
		T.V_MATCHED_LIST_REC_ID,
		T.V_MATCHED_SUBLIST_NAME, 
		T.V_MATCHED_TYPE,
		L.V_REC_ID, 
		R.V_STATUS_CD,
		L.N_RESPONSE_ID,
        T.N_WEBSERVICE_ID
	FROM FSI_RT_AL_RAW_DATA R
	JOIN FSI_RT_XML_WLS_RESPONSE T 
		ON R.N_GRP_MSG_ID = T.N_GRP_MSG_ID
	LEFT JOIN FSI_RT_ALERTS AL
		ON AL.N_GRP_MSG_ID = R.N_GRP_MSG_ID
	LEFT JOIN FSI_RT_AL_WLS_RESP_LIST_MAP L 
		ON T.N_RESPONSE_ID = L.N_RESPONSE_ID
	WHERE R.N_GRP_MSG_ID = :v_grp_msg_id
	ORDER BY  
		T.V_TAG_NAME, 
		T.V_MATCHED_SUBLIST_NAME
),
DS_END AS(
    SELECT 
        DISTINCT N_ALERT_ID,
        N_GRP_MSG_ID,
        V_MATCHED_INDIVIDUAL_NAME,
        V_MATCHED_ENTITY_NAME,
        V_MATCHED_BIC,
        CAST(X.X_PATH AS VARCHAR2(2000)) AS X_PATH,
        V_RULE, 
        N_SCORE,
        V_MATCHED_LIST_REC_ID,
        V_MATCHED_SUBLIST_NAME, 
        V_MATCHED_TYPE,
        V_REC_ID, 
        V_STATUS_CD,
        N_RESPONSE_ID,
        N_WEBSERVICE_ID
    FROM DS_RESULT A
    CROSS JOIN LATERAL(
        SELECT 
            REGEXP_SUBSTR(A.X_PATH, '[^,]+', 1, LEVEL) AS X_PATH
        FROM DUAL
        CONNECT BY LEVEL &lt;= REGEXP_COUNT(A.X_PATH, ',') + 1
    )X
)
SELECT
    CASE 
        WHEN COUNT(*) = 4 THEN 'HIT'
    ELSE 
        'NO HIT'
    END AS KET_QUA
FROM(
    SELECT 
        N_WEBSERVICE_ID, X_PATH
    FROM DS_END
    WHERE X_PATH IN (
        'Document/PmtRtr/TxInf/RtrRsnInf/AddtlInf',
        'Document/PmtRtr/TxInf/OrgnlTxRef/RmtInf/Ustrd',
        'Document/PmtRtr/TxInf/OrgnlTxRef/RmtInf/Strd/RfrdDocInf/LineDtls/Amt/AdjstmntAmtAndRsn/AddtlInf',
        'Document/PmtRtr/TxInf/OrgnlTxRef/RmtInf/Strd/RfrdDocAmt/AdjstmntAmtAndRsn/AddtlInf'
    )
    GROUP BY N_WEBSERVICE_ID, X_PATH
    HAVING COUNT(CASE WHEN UPPER(V_MATCHED_TYPE) = 'ENTITY' THEN 1 END) &gt; 0
       AND COUNT(CASE WHEN UPPER(V_MATCHED_TYPE) = 'INDIVIDUAL' THEN 1 END) &gt; 0
       AND COUNT(CASE WHEN UPPER(V_MATCHED_TYPE) = 'VESSEL' THEN 1 END) &gt; 0
       AND COUNT(CASE WHEN UPPER(V_MATCHED_TYPE) = 'AIRCRAFT' THEN 1 END) &gt; 0
       AND COUNT(CASE WHEN UPPER(V_MATCHED_TYPE) = 'PORT' THEN 1 END) &gt; 0
       AND COUNT(CASE WHEN UPPER(V_MATCHED_TYPE) = 'STK' THEN 1 END) &gt; 0
) T;</t>
  </si>
  <si>
    <t>Sàng lọc giao dịch Camt.110</t>
  </si>
  <si>
    <t>Camt.110</t>
  </si>
  <si>
    <t>Camt110.01</t>
  </si>
  <si>
    <t>Sàng lọc giao dịch Camt.110 - Identifier, Name and Address, Country and City - Entity</t>
  </si>
  <si>
    <t>1. Đẩy giao dịch vào API Post Message với trường thông tin có XML path 
/Document/InvstgtnReq/InvstgtnReq/Rqstr/Agt/FinInstnId/BICFI
/Document/InvstgtnReq/InvstgtnReq/Rspndr/Agt/FinInstnId/BICFI
/Document/InvstgtnReq/InvstgtnReq/ReqOrgtr/Agt/FinInstnId/BICFI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</si>
  <si>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xmlns="urn:iso:std:iso:20022:tech:xsd:camt.110.001.01"&gt;
  &lt;InvstgtnReq&gt;
    &lt;InvstgtnReq&gt;
      &lt;MsgId&gt;SE-CAMT110-001&lt;/MsgId&gt;
      &lt;RqstrInvstgtnId&gt;REQ0000000000001&lt;/RqstrInvstgtnId&gt;
      &lt;ReqActn&gt;
        &lt;Actn&gt;
          &lt;Cd&gt;OTHR&lt;/Cd&gt;
        &lt;/Actn&gt;
        &lt;ActnRsn&gt;
          &lt;Rsn&gt;
            &lt;Cd&gt;OTHR&lt;/Cd&gt;
          &lt;/Rsn&gt;
          &lt;AddtlInf&gt;BFICCUHH&lt;/AddtlInf&gt;
        &lt;/ActnRsn&gt;
      &lt;/ReqActn&gt;
      &lt;InvstgtnTp&gt;
        &lt;Cd&gt;OTHR&lt;/Cd&gt;
      &lt;/InvstgtnTp&gt;
      &lt;UndrlygInstrm&gt;
        &lt;Cd&gt;OTHR&lt;/Cd&gt;
      &lt;/UndrlygInstrm&gt;
      &lt;Undrlyg&gt;
        &lt;IntrBk/&gt;
      &lt;/Undrlyg&gt;
      &lt;Rqstr&gt;
        &lt;Agt&gt;
          &lt;FinInstnId&gt;
            &lt;BICFI&gt;BFICCUHH&lt;/BICFI&gt;
          &lt;/FinInstnId&gt;
        &lt;/Agt&gt;
      &lt;/Rqstr&gt;
      &lt;Rspndr&gt;
        &lt;Agt&gt;
          &lt;FinInstnId&gt;
            &lt;BICFI&gt;BFICCUHH&lt;/BICFI&gt;
          &lt;/FinInstnId&gt;
        &lt;/Agt&gt;
      &lt;/Rspndr&gt;
      &lt;ReqOrgtr&gt;
        &lt;Agt&gt;
          &lt;FinInstnId&gt;
            &lt;BICFI&gt;BFICCUHH&lt;/BICFI&gt;
          &lt;/FinInstnId&gt;
        &lt;/Agt&gt;
      &lt;/ReqOrgtr&gt;
    &lt;/InvstgtnReq&gt;
    &lt;InvstgtnData&gt;
      &lt;Rsn&gt;
        &lt;Cd&gt;OTHR&lt;/Cd&gt;
      &lt;/Rsn&gt;
    &lt;/InvstgtnData&gt;
  &lt;/InvstgtnReq&gt;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</si>
  <si>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9 THEN 'HIT'
         ELSE 'NO HIT'
       END AS KET_QUA
FROM (
    SELECT T.N_WEBSERVICE_ID,
           REGEXP_REPLACE(TO_CHAR(T.X_PATH), '\[\d+\]', '') AS X_PATH
    FROM FSI_RT_XML_WLS_RESPONSE T
    WHERE T.N_GRP_MSG_ID = :N_GRP_MSG_ID
      AND T.N_WEBSERVICE_ID IN (1, 2, 3)
      AND REGEXP_REPLACE(TO_CHAR(T.X_PATH), '\[\d+\]', '') IN (
'Document/InvstgtnReq/InvstgtnReq/Rqstr/Agt/FinInstnId/BICFI',
'Document/InvstgtnReq/InvstgtnReq/Rspndr/Agt/FinInstnId/BICFI',
'Document/InvstgtnReq/InvstgtnReq/ReqOrgtr/Agt/FinInstnId/BICFI'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</si>
  <si>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Camt110.02</t>
  </si>
  <si>
    <t>Sàng lọc giao dịch Camt.110 - Narrative - All</t>
  </si>
  <si>
    <t>1. Đẩy giao dịch vào API Post Message với trường thông tin có XML path /Document/InvstgtnReq/InvstgtnReq/ReqActn/ActnRsn/AddtlInf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</si>
  <si>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xmlns="urn:iso:std:iso:20022:tech:xsd:camt.110.001.01"&gt;
  &lt;InvstgtnReq&gt;
    &lt;InvstgtnReq&gt;
      &lt;MsgId&gt;MSGID001&lt;/MsgId&gt;
      &lt;RqstrInvstgtnId&gt;INVID00000000001&lt;/RqstrInvstgtnId&gt;
      &lt;ReqActn&gt;
        &lt;Actn&gt;
          &lt;Cd&gt;OTHR&lt;/Cd&gt;
        &lt;/Actn&gt;
        &lt;ActnRsn&gt;
          &lt;Rsn&gt;
            &lt;Cd&gt;OTHR&lt;/Cd&gt;
          &lt;/Rsn&gt;
          &lt;AddtlInf&gt;0099887766&lt;/AddtlInf&gt;
        &lt;/ActnRsn&gt;
      &lt;/ReqActn&gt;
      &lt;InvstgtnTp&gt;
        &lt;Cd&gt;OTHR&lt;/Cd&gt;
      &lt;/InvstgtnTp&gt;
      &lt;UndrlygInstrm&gt;
        &lt;Cd&gt;OTHR&lt;/Cd&gt;
      &lt;/UndrlygInstrm&gt;
      &lt;Undrlyg&gt;
        &lt;IntrBk/&gt;
      &lt;/Undrlyg&gt;
      &lt;Rqstr&gt;
        &lt;Agt&gt;
          &lt;FinInstnId&gt;
            &lt;BICFI&gt;AAAAGB2L&lt;/BICFI&gt;
          &lt;/FinInstnId&gt;
        &lt;/Agt&gt;
      &lt;/Rqstr&gt;
      &lt;Rspndr&gt;
        &lt;Agt&gt;
          &lt;FinInstnId&gt;
            &lt;BICFI&gt;AAAAGB2L&lt;/BICFI&gt;
          &lt;/FinInstnId&gt;
        &lt;/Agt&gt;
      &lt;/Rspndr&gt;
    &lt;/InvstgtnReq&gt;
    &lt;InvstgtnData&gt;
      &lt;Rsn&gt;
        &lt;Cd&gt;OTHR&lt;/Cd&gt;
      &lt;/Rsn&gt;
    &lt;/InvstgtnData&gt;
  &lt;/InvstgtnReq&gt;
&lt;/Document&gt;</t>
  </si>
  <si>
    <t>2. Hệ thống trả kết quả: HIT với Webservice Narrative loại chủ thể Individual, Entity, Port, Vessel, Aircraft và danh sách Stop Keywords, Stop Keywords
Câu query kiểm tra kết quả (KET_QUA = HIT):
SELECT CASE
         WHEN COUNT(*) = 1 THEN 'HIT'
         ELSE 'NO HIT'
       END AS KET_QUA
FROM (
    SELECT T.N_WEBSERVICE_ID,
           REGEXP_REPLACE(TO_CHAR(T.X_PATH), '\[\d+\]', '') AS X_PATH
    FROM FSI_RT_XML_WLS_RESPONSE T
    WHERE T.N_GRP_MSG_ID = :N_GRP_MSG_ID
      AND T.N_WEBSERVICE_ID = 4
      AND REGEXP_REPLACE(TO_CHAR(T.X_PATH), '\[\d+\]', '') IN (
'Document/InvstgtnReq/InvstgtnReq/ReqActn/ActnRsn/AddtlInf'
)
    GROUP BY T.N_WEBSERVICE_ID,
             REGEXP_REPLACE(TO_CHAR(T.X_PATH),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</si>
  <si>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Camt.111</t>
  </si>
  <si>
    <t>Camt.111</t>
  </si>
  <si>
    <t>Camt111.01</t>
  </si>
  <si>
    <t>Sàng lọc giao dịch Camt.111 - Identifier, Name and Address, Country and City - Entity</t>
  </si>
  <si>
    <t>1. Đẩy giao dịch vào API Post Message với trường thông tin có XML path 
/Document/InvstgtnRspn/InvstgtnRspn/InvstgtnData/RspnOrgtr/Agt/FinInstnId/BICFI
/Document/InvstgtnRspn/OrgnlInvstgtnReq/Rqstr/Agt/FinInstnId/BICFI
/Document/InvstgtnRspn/OrgnlInvstgtnReq/Rspndr/Agt/FinInstnId/BICFI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</si>
  <si>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xmlns="urn:iso:std:iso:20022:tech:xsd:camt.111.001.02"&gt;
  &lt;InvstgtnRspn&gt;
    &lt;InvstgtnRspn&gt;
      &lt;MsgId&gt;SE-CAMT111-001&lt;/MsgId&gt;
      &lt;InvstgtnSts&gt;
        &lt;Sts&gt;OTHR&lt;/Sts&gt;
      &lt;/InvstgtnSts&gt;
      &lt;InvstgtnData&gt;
        &lt;RspnData&gt;
          &lt;TxSts&gt;
            &lt;Sts&gt;
              &lt;Cd&gt;OTHR&lt;/Cd&gt;
            &lt;/Sts&gt;
          &lt;/TxSts&gt;
        &lt;/RspnData&gt;
        &lt;RspnOrgtr&gt;
          &lt;Agt&gt;
            &lt;FinInstnId&gt;
              &lt;BICFI&gt;BFICCUHH&lt;/BICFI&gt;
            &lt;/FinInstnId&gt;
          &lt;/Agt&gt;
        &lt;/RspnOrgtr&gt;
      &lt;/InvstgtnData&gt;
    &lt;/InvstgtnRspn&gt;
    &lt;OrgnlInvstgtnReq&gt;
      &lt;MsgId&gt;ORGREQ-001&lt;/MsgId&gt;
      &lt;RqstrInvstgtnId&gt;INVID00000000001&lt;/RqstrInvstgtnId&gt;
      &lt;EIR&gt;a1b2c3d4-e5f6-4a7b-8c9d-0e1f2a3b4c5d&lt;/EIR&gt;
      &lt;InvstgtnTp&gt;
        &lt;Cd&gt;OTHR&lt;/Cd&gt;
      &lt;/InvstgtnTp&gt;
      &lt;UndrlygInstrm&gt;
        &lt;Cd&gt;OTHR&lt;/Cd&gt;
      &lt;/UndrlygInstrm&gt;
      &lt;Rqstr&gt;
        &lt;Agt&gt;
          &lt;FinInstnId&gt;
            &lt;BICFI&gt;BFICCUHH&lt;/BICFI&gt;
          &lt;/FinInstnId&gt;
        &lt;/Agt&gt;
      &lt;/Rqstr&gt;
      &lt;Rspndr&gt;
        &lt;Agt&gt;
          &lt;FinInstnId&gt;
            &lt;BICFI&gt;BFICCUHH&lt;/BICFI&gt;
          &lt;/FinInstnId&gt;
        &lt;/Agt&gt;
      &lt;/Rspndr&gt;
    &lt;/OrgnlInvstgtnReq&gt;
  &lt;/InvstgtnRspn&gt;
&lt;/Document&gt;</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</si>
  <si>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9 THEN 'HIT'
         ELSE 'NO HIT'
       END AS KET_QUA
FROM (
    SELECT T.N_WEBSERVICE_ID,
           REGEXP_REPLACE(TO_CHAR(T.X_PATH), '\[\d+\]', '') AS X_PATH
    FROM FSI_RT_XML_WLS_RESPONSE T
    WHERE T.N_GRP_MSG_ID = :N_GRP_MSG_ID
      AND T.N_WEBSERVICE_ID IN (1, 2, 3)
      AND REGEXP_REPLACE(TO_CHAR(T.X_PATH), '\[\d+\]', '') IN (
'Document/InvstgtnRspn/InvstgtnRspn/InvstgtnData/RspnOrgtr/Agt/FinInstnId/BICFI',
'Document/InvstgtnRspn/OrgnlInvstgtnReq/Rqstr/Agt/FinInstnId/BICFI',
'Document/InvstgtnRspn/OrgnlInvstgtnReq/Rspndr/Agt/FinInstnId/BICFI'
)
    GROUP BY T.N_WEBSERVICE_ID,
             REGEXP_REPLACE(TO_CHAR(T.X_PATH), '\[\d+\]', '')
    HAVING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</si>
  <si>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Camt111.02</t>
  </si>
  <si>
    <t>Sàng lọc giao dịch Camt.111 - Narrative - All</t>
  </si>
  <si>
    <t>1. Đẩy giao dịch vào API Post Message với trường thông tin có XML path 
/Document/InvstgtnRspn/InvstgtnRspn/InvstgtnData/RspnData/TxSts/StsRsnInf/AddtlInf
/Document/InvstgtnRspn/OrgnlInvstgtnReq/ReqActn/ActnRsn/AddtlInf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</si>
  <si>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&lt;?xml version='1.0' encoding='UTF-8'?&gt;
&lt;Document xmlns="urn:iso:std:iso:20022:tech:xsd:camt.111.001.02"&gt;
  &lt;InvstgtnRspn&gt;
    &lt;InvstgtnRspn&gt;
      &lt;MsgId&gt;MSGID001&lt;/MsgId&gt;
      &lt;InvstgtnSts&gt;
        &lt;Sts&gt;OTHR&lt;/Sts&gt;
      &lt;/InvstgtnSts&gt;
      &lt;InvstgtnData&gt;
        &lt;RspnData&gt;
          &lt;TxSts&gt;
            &lt;Sts&gt;
              &lt;Cd&gt;OTHR&lt;/Cd&gt;
            &lt;/Sts&gt;
            &lt;StsRsnInf&gt;
              &lt;AddtlInf&gt;0099887766&lt;/AddtlInf&gt;
            &lt;/StsRsnInf&gt;
          &lt;/TxSts&gt;
        &lt;/RspnData&gt;
      &lt;/InvstgtnData&gt;
    &lt;/InvstgtnRspn&gt;
    &lt;OrgnlInvstgtnReq&gt;
      &lt;MsgId&gt;ORGREQ-001&lt;/MsgId&gt;
      &lt;RqstrInvstgtnId&gt;INVID00000000001&lt;/RqstrInvstgtnId&gt;
      &lt;EIR&gt;a1b2c3d4-e5f6-4a7b-8c9d-0e1f2a3b4c5d&lt;/EIR&gt;
      &lt;ReqActn&gt;
        &lt;Actn&gt;
          &lt;Cd&gt;OTHR&lt;/Cd&gt;
        &lt;/Actn&gt;
        &lt;ActnRsn&gt;
          &lt;Rsn&gt;
            &lt;Cd&gt;OTHR&lt;/Cd&gt;
          &lt;/Rsn&gt;
          &lt;AddtlInf&gt;0099887766&lt;/AddtlInf&gt;
        &lt;/ActnRsn&gt;
      &lt;/ReqActn&gt;
      &lt;InvstgtnTp&gt;
        &lt;Cd&gt;OTHR&lt;/Cd&gt;
      &lt;/InvstgtnTp&gt;
      &lt;UndrlygInstrm&gt;
        &lt;Cd&gt;OTHR&lt;/Cd&gt;
      &lt;/UndrlygInstrm&gt;
      &lt;Rqstr&gt;
        &lt;Agt&gt;
          &lt;FinInstnId&gt;
            &lt;BICFI&gt;AAAAGB2L&lt;/BICFI&gt;
          &lt;/FinInstnId&gt;
        &lt;/Agt&gt;
      &lt;/Rqstr&gt;
      &lt;Rspndr&gt;
        &lt;Agt&gt;
          &lt;FinInstnId&gt;
            &lt;BICFI&gt;AAAAGB2L&lt;/BICFI&gt;
          &lt;/FinInstnId&gt;
        &lt;/Agt&gt;
      &lt;/Rspndr&gt;
    &lt;/OrgnlInvstgtnReq&gt;
  &lt;/InvstgtnRspn&gt;
&lt;/Document&gt;</t>
  </si>
  <si>
    <t>2. Hệ thống trả kết quả: HIT với Webservice Narrative loại chủ thể Individual, Entity, Port, Vessel, Aircraft và danh sách Stop Keywords, Stop Keywords
Câu query kiểm tra kết quả (KET_QUA = HIT):
SELECT CASE
         WHEN COUNT(*) = 2 THEN 'HIT'
         ELSE 'NO HIT'
       END AS KET_QUA
FROM (
    SELECT T.N_WEBSERVICE_ID,
           REGEXP_REPLACE(TO_CHAR(T.X_PATH), '\[\d+\]', '') AS X_PATH
    FROM FSI_RT_XML_WLS_RESPONSE T
    WHERE T.N_GRP_MSG_ID = :N_GRP_MSG_ID
      AND T.N_WEBSERVICE_ID = 4
      AND REGEXP_REPLACE(TO_CHAR(T.X_PATH), '\[\d+\]', '') IN (
'Document/InvstgtnRspn/InvstgtnRspn/InvstgtnData/RspnData/TxSts/StsRsnInf/AddtlInf',
'Document/InvstgtnRspn/OrgnlInvstgtnReq/ReqActn/ActnRsn/AddtlInf'
)
    GROUP BY T.N_WEBSERVICE_ID,
             REGEXP_REPLACE(TO_CHAR(T.X_PATH), '\[\d+\]', '')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</si>
</sst>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409]0"/>
    <numFmt numFmtId="166" formatCode="0.0"/>
    <numFmt numFmtId="167" formatCode="[$-409]d\-mmm\-yy;@"/>
    <numFmt numFmtId="168" formatCode="d\-mmm\-yy;@"/>
  </numFmts>
  <fonts count="63">
    <font>
      <sz val="11"/>
      <color theme="1"/>
      <name val="Calibri"/>
      <family val="2"/>
      <charset val="1"/>
    </font>
    <font>
      <u/>
      <sz val="11"/>
      <color theme="10"/>
      <name val="Calibri"/>
      <family val="2"/>
      <charset val="1"/>
    </font>
    <font>
      <sz val="11"/>
      <color rgb="FF000000"/>
      <name val="Calibri"/>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sz val="10"/>
      <name val="Arial"/>
      <family val="2"/>
      <charset val="1"/>
    </font>
    <font>
      <b/>
      <sz val="14"/>
      <color rgb="FF1F497D"/>
      <name val="Arial"/>
      <family val="2"/>
      <charset val="1"/>
    </font>
    <font>
      <b/>
      <sz val="10"/>
      <color rgb="FF0000FF"/>
      <name val="Arial"/>
      <family val="2"/>
      <charset val="1"/>
    </font>
    <font>
      <b/>
      <sz val="10"/>
      <color rgb="FFFFFFFF"/>
      <name val="Arial"/>
      <family val="2"/>
      <charset val="1"/>
    </font>
    <font>
      <sz val="10"/>
      <color rgb="FF000000"/>
      <name val="Arial"/>
      <family val="2"/>
      <charset val="1"/>
    </font>
    <font>
      <sz val="10"/>
      <name val="Arial"/>
      <family val="2"/>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8"/>
      <color rgb="FF000000"/>
      <name val="Arial"/>
      <family val="2"/>
      <charset val="1"/>
    </font>
    <font>
      <i/>
      <sz val="10"/>
      <color rgb="FF000000"/>
      <name val="Arial"/>
      <family val="2"/>
      <charset val="1"/>
    </font>
    <font>
      <b/>
      <sz val="10"/>
      <color rgb="FF000000"/>
      <name val="Arial"/>
      <family val="2"/>
      <charset val="1"/>
    </font>
    <font>
      <b/>
      <sz val="12"/>
      <color rgb="FF1F497D"/>
      <name val="Times New Roman"/>
      <family val="1"/>
      <charset val="1"/>
    </font>
    <font>
      <b/>
      <sz val="12"/>
      <color rgb="FF000000"/>
      <name val="Times New Roman"/>
      <family val="1"/>
      <charset val="1"/>
    </font>
    <font>
      <sz val="12"/>
      <name val="Times New Roman"/>
      <family val="1"/>
      <charset val="1"/>
    </font>
    <font>
      <sz val="12"/>
      <color rgb="FF000000"/>
      <name val="Times New Roman"/>
      <family val="1"/>
      <charset val="1"/>
    </font>
    <font>
      <b/>
      <sz val="12"/>
      <name val="Times New Roman"/>
      <family val="1"/>
      <charset val="1"/>
    </font>
    <font>
      <b/>
      <sz val="12"/>
      <color theme="0"/>
      <name val="Times New Roman"/>
      <family val="1"/>
      <charset val="1"/>
    </font>
    <font>
      <b/>
      <sz val="12"/>
      <color rgb="FFFFFFFF"/>
      <name val="Times New Roman"/>
      <family val="1"/>
      <charset val="1"/>
    </font>
    <font>
      <b/>
      <sz val="11"/>
      <color theme="1"/>
      <name val="Calibri"/>
      <family val="2"/>
      <charset val="1"/>
    </font>
    <font>
      <sz val="11"/>
      <name val="Times New Roman"/>
      <charset val="1"/>
    </font>
    <font>
      <sz val="11"/>
      <color theme="1"/>
      <name val="Times New Roman"/>
      <charset val="1"/>
    </font>
    <font>
      <sz val="11"/>
      <color theme="1"/>
      <name val="Times New Roman"/>
      <family val="1"/>
      <charset val="1"/>
    </font>
    <font>
      <b/>
      <sz val="11"/>
      <color rgb="FF1F497D"/>
      <name val="Times New Roman"/>
      <charset val="1"/>
    </font>
    <font>
      <b/>
      <sz val="11"/>
      <color rgb="FFFFFFFF"/>
      <name val="Times New Roman"/>
      <charset val="1"/>
    </font>
    <font>
      <b/>
      <sz val="11"/>
      <color rgb="FF000000"/>
      <name val="Times New Roman"/>
      <charset val="1"/>
    </font>
    <font>
      <sz val="11"/>
      <color rgb="FF000000"/>
      <name val="Times New Roman"/>
      <charset val="1"/>
    </font>
    <font>
      <b/>
      <sz val="11"/>
      <color rgb="FF1F3864"/>
      <name val="Times New Roman"/>
      <charset val="1"/>
    </font>
    <font>
      <b/>
      <sz val="10"/>
      <name val="Times New Roman"/>
      <charset val="1"/>
    </font>
    <font>
      <sz val="11"/>
      <color rgb="FFFF0000"/>
      <name val="Times New Roman"/>
      <charset val="1"/>
    </font>
    <font>
      <sz val="11"/>
      <color rgb="FF000000"/>
      <name val="Times New Roman"/>
    </font>
    <font>
      <i/>
      <sz val="10"/>
      <color rgb="FF000000"/>
      <name val="Arial"/>
      <family val="2"/>
    </font>
    <font>
      <sz val="10"/>
      <color rgb="FF000000"/>
      <name val="Arial"/>
      <family val="2"/>
    </font>
    <font>
      <b/>
      <sz val="10"/>
      <name val="Arial"/>
      <family val="2"/>
    </font>
    <font>
      <b/>
      <sz val="10"/>
      <color rgb="FF000000"/>
      <name val="Arial"/>
      <family val="2"/>
    </font>
    <font>
      <b/>
      <i/>
      <sz val="10"/>
      <color rgb="FF000000"/>
      <name val="Arial"/>
      <family val="2"/>
    </font>
    <font>
      <b/>
      <sz val="10"/>
      <color theme="0"/>
      <name val="Arial"/>
      <family val="2"/>
    </font>
    <font>
      <b/>
      <i/>
      <sz val="10"/>
      <color theme="0"/>
      <name val="Arial"/>
      <family val="2"/>
    </font>
    <font>
      <b/>
      <sz val="11"/>
      <color theme="0"/>
      <name val="Calibri"/>
      <family val="2"/>
    </font>
    <font>
      <sz val="11"/>
      <color rgb="FF000000"/>
      <name val="Times New Roman"/>
      <family val="1"/>
    </font>
    <font>
      <sz val="11"/>
      <color theme="1"/>
      <name val="Times New Roman"/>
      <family val="1"/>
    </font>
    <font>
      <sz val="11"/>
      <name val="Times New Roman"/>
      <family val="1"/>
    </font>
    <font>
      <sz val="11"/>
      <color rgb="FFFF0000"/>
      <name val="Times New Roman"/>
    </font>
  </fonts>
  <fills count="27">
    <fill>
      <patternFill patternType="none"/>
    </fill>
    <fill>
      <patternFill patternType="gray125"/>
    </fill>
    <fill>
      <patternFill patternType="solid">
        <fgColor rgb="FFFFFFFF"/>
        <bgColor rgb="FFFFF2CC"/>
      </patternFill>
    </fill>
    <fill>
      <patternFill patternType="solid">
        <fgColor rgb="FFCCFFCC"/>
        <bgColor rgb="FFDDEBF7"/>
      </patternFill>
    </fill>
    <fill>
      <patternFill patternType="solid">
        <fgColor rgb="FF2E75B6"/>
        <bgColor rgb="FF2F5597"/>
      </patternFill>
    </fill>
    <fill>
      <patternFill patternType="solid">
        <fgColor rgb="FFF8CBAD"/>
        <bgColor rgb="FFFFF2CC"/>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FFFF00"/>
        <bgColor rgb="FFFFFF00"/>
      </patternFill>
    </fill>
    <fill>
      <patternFill patternType="solid">
        <fgColor rgb="FF2F5597"/>
        <bgColor rgb="FF305496"/>
      </patternFill>
    </fill>
    <fill>
      <patternFill patternType="solid">
        <fgColor rgb="FF7030A0"/>
        <bgColor rgb="FF993366"/>
      </patternFill>
    </fill>
    <fill>
      <patternFill patternType="solid">
        <fgColor theme="9" tint="0.59959715567491678"/>
        <bgColor rgb="FFBDD7EE"/>
      </patternFill>
    </fill>
    <fill>
      <patternFill patternType="solid">
        <fgColor rgb="FFFFF2CC"/>
        <bgColor rgb="FFFFFFFF"/>
      </patternFill>
    </fill>
    <fill>
      <patternFill patternType="solid">
        <fgColor rgb="FF92D050"/>
        <bgColor rgb="FFC5E0B3"/>
      </patternFill>
    </fill>
    <fill>
      <patternFill patternType="solid">
        <fgColor rgb="FF305496"/>
        <bgColor rgb="FF2F5597"/>
      </patternFill>
    </fill>
    <fill>
      <patternFill patternType="solid">
        <fgColor rgb="FFDDEBF7"/>
        <bgColor rgb="FFCCFFCC"/>
      </patternFill>
    </fill>
    <fill>
      <patternFill patternType="solid">
        <fgColor rgb="FFFFFF00"/>
        <bgColor indexed="64"/>
      </patternFill>
    </fill>
    <fill>
      <patternFill patternType="solid">
        <fgColor theme="9"/>
        <bgColor indexed="64"/>
      </patternFill>
    </fill>
    <fill>
      <patternFill patternType="solid">
        <fgColor theme="5"/>
        <bgColor rgb="FFA7D6E3"/>
      </patternFill>
    </fill>
    <fill>
      <patternFill patternType="solid">
        <fgColor theme="5"/>
        <bgColor rgb="FFFFF2CC"/>
      </patternFill>
    </fill>
    <fill>
      <patternFill patternType="solid">
        <fgColor rgb="FF00B050"/>
        <bgColor indexed="64"/>
      </patternFill>
    </fill>
    <fill>
      <patternFill patternType="solid">
        <fgColor rgb="FFFFFF00"/>
      </patternFill>
    </fill>
    <fill>
      <patternFill patternType="solid">
        <fgColor rgb="FFFFF2CC"/>
      </patternFill>
    </fill>
    <fill>
      <patternFill patternType="solid">
        <fgColor theme="5" tint="0.59999389629810485"/>
        <bgColor rgb="FFFFFF00"/>
      </patternFill>
    </fill>
    <fill>
      <patternFill patternType="solid">
        <fgColor theme="5" tint="0.59999389629810485"/>
        <bgColor rgb="FFFFFFFF"/>
      </patternFill>
    </fill>
    <fill>
      <patternFill patternType="solid">
        <fgColor theme="5" tint="0.59999389629810485"/>
        <bgColor indexed="64"/>
      </patternFill>
    </fill>
  </fills>
  <borders count="50">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8497B0"/>
      </left>
      <right style="thin">
        <color rgb="FF8497B0"/>
      </right>
      <top style="medium">
        <color rgb="FF8497B0"/>
      </top>
      <bottom style="thin">
        <color rgb="FF8497B0"/>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thin">
        <color rgb="FF8497B0"/>
      </left>
      <right style="thin">
        <color rgb="FF8497B0"/>
      </right>
      <top style="medium">
        <color rgb="FF8497B0"/>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medium">
        <color auto="1"/>
      </top>
      <bottom/>
      <diagonal/>
    </border>
    <border>
      <left/>
      <right style="medium">
        <color auto="1"/>
      </right>
      <top style="medium">
        <color auto="1"/>
      </top>
      <bottom/>
      <diagonal/>
    </border>
    <border>
      <left/>
      <right/>
      <top style="medium">
        <color rgb="FF8497B0"/>
      </top>
      <bottom style="thin">
        <color rgb="FF548DD4"/>
      </bottom>
      <diagonal/>
    </border>
    <border>
      <left/>
      <right style="thin">
        <color rgb="FF8497B0"/>
      </right>
      <top style="medium">
        <color rgb="FF8497B0"/>
      </top>
      <bottom style="thin">
        <color rgb="FF548DD4"/>
      </bottom>
      <diagonal/>
    </border>
    <border>
      <left/>
      <right style="thin">
        <color rgb="FF548DD4"/>
      </right>
      <top style="thin">
        <color rgb="FF548DD4"/>
      </top>
      <bottom style="thin">
        <color rgb="FF548DD4"/>
      </bottom>
      <diagonal/>
    </border>
    <border>
      <left/>
      <right style="medium">
        <color rgb="FF548DD4"/>
      </right>
      <top style="thin">
        <color rgb="FF548DD4"/>
      </top>
      <bottom style="thin">
        <color rgb="FF548DD4"/>
      </bottom>
      <diagonal/>
    </border>
    <border>
      <left/>
      <right style="medium">
        <color rgb="FF8497B0"/>
      </right>
      <top style="medium">
        <color rgb="FF8497B0"/>
      </top>
      <bottom style="thin">
        <color rgb="FF8497B0"/>
      </bottom>
      <diagonal/>
    </border>
    <border>
      <left/>
      <right style="thin">
        <color rgb="FF8497B0"/>
      </right>
      <top style="thin">
        <color rgb="FF8497B0"/>
      </top>
      <bottom style="thin">
        <color rgb="FF8497B0"/>
      </bottom>
      <diagonal/>
    </border>
    <border>
      <left/>
      <right style="thin">
        <color rgb="FF8497B0"/>
      </right>
      <top style="thin">
        <color rgb="FF8497B0"/>
      </top>
      <bottom style="thin">
        <color rgb="FF548DD4"/>
      </bottom>
      <diagonal/>
    </border>
    <border>
      <left/>
      <right style="thin">
        <color auto="1"/>
      </right>
      <top style="thin">
        <color auto="1"/>
      </top>
      <bottom style="thin">
        <color auto="1"/>
      </bottom>
      <diagonal/>
    </border>
  </borders>
  <cellStyleXfs count="5">
    <xf numFmtId="0" fontId="0" fillId="0" borderId="0"/>
    <xf numFmtId="0" fontId="1" fillId="0" borderId="0"/>
    <xf numFmtId="164" fontId="2" fillId="0" borderId="0"/>
    <xf numFmtId="164" fontId="2" fillId="0" borderId="0"/>
    <xf numFmtId="164" fontId="3" fillId="0" borderId="0"/>
  </cellStyleXfs>
  <cellXfs count="249">
    <xf numFmtId="0" fontId="0" fillId="0" borderId="0" xfId="0"/>
    <xf numFmtId="164" fontId="20" fillId="4" borderId="8" xfId="0" applyNumberFormat="1" applyFont="1" applyFill="1" applyBorder="1" applyAlignment="1">
      <alignment horizontal="center" vertical="center" wrapText="1"/>
    </xf>
    <xf numFmtId="164" fontId="12" fillId="3" borderId="0" xfId="0" applyNumberFormat="1" applyFont="1" applyFill="1" applyAlignment="1">
      <alignment horizontal="left" vertical="center" wrapText="1"/>
    </xf>
    <xf numFmtId="164" fontId="4" fillId="2" borderId="0" xfId="0" applyNumberFormat="1" applyFont="1" applyFill="1" applyAlignment="1">
      <alignment vertical="center"/>
    </xf>
    <xf numFmtId="164" fontId="5" fillId="2" borderId="0" xfId="0" applyNumberFormat="1" applyFont="1" applyFill="1"/>
    <xf numFmtId="164" fontId="7" fillId="3" borderId="3" xfId="0" applyNumberFormat="1" applyFont="1" applyFill="1" applyBorder="1" applyAlignment="1">
      <alignment shrinkToFit="1"/>
    </xf>
    <xf numFmtId="164" fontId="7" fillId="3" borderId="0" xfId="0" applyNumberFormat="1" applyFont="1" applyFill="1" applyAlignment="1">
      <alignment shrinkToFit="1"/>
    </xf>
    <xf numFmtId="164" fontId="7" fillId="3" borderId="4" xfId="0" applyNumberFormat="1" applyFont="1" applyFill="1" applyBorder="1" applyAlignment="1">
      <alignment shrinkToFit="1"/>
    </xf>
    <xf numFmtId="164" fontId="9" fillId="3" borderId="3" xfId="0" applyNumberFormat="1" applyFont="1" applyFill="1" applyBorder="1" applyAlignment="1">
      <alignment horizontal="center" vertical="center" wrapText="1"/>
    </xf>
    <xf numFmtId="164" fontId="9" fillId="3" borderId="0" xfId="0" applyNumberFormat="1" applyFont="1" applyFill="1" applyAlignment="1">
      <alignment horizontal="center" vertical="center" wrapText="1"/>
    </xf>
    <xf numFmtId="164" fontId="9" fillId="3" borderId="4" xfId="0" applyNumberFormat="1" applyFont="1" applyFill="1" applyBorder="1" applyAlignment="1">
      <alignment horizontal="center" vertical="center" wrapText="1"/>
    </xf>
    <xf numFmtId="164" fontId="11" fillId="3" borderId="4" xfId="0" applyNumberFormat="1" applyFont="1" applyFill="1" applyBorder="1" applyAlignment="1">
      <alignment horizontal="center"/>
    </xf>
    <xf numFmtId="164" fontId="11" fillId="3" borderId="3" xfId="0" applyNumberFormat="1" applyFont="1" applyFill="1" applyBorder="1" applyAlignment="1">
      <alignment horizontal="left"/>
    </xf>
    <xf numFmtId="164" fontId="13" fillId="0" borderId="0" xfId="0" applyNumberFormat="1" applyFont="1" applyAlignment="1">
      <alignment horizontal="left" vertical="center" wrapText="1"/>
    </xf>
    <xf numFmtId="164" fontId="12" fillId="3" borderId="0" xfId="0" applyNumberFormat="1" applyFont="1" applyFill="1" applyAlignment="1">
      <alignment horizontal="left"/>
    </xf>
    <xf numFmtId="164" fontId="11" fillId="3" borderId="0" xfId="0" applyNumberFormat="1" applyFont="1" applyFill="1" applyAlignment="1">
      <alignment horizontal="left"/>
    </xf>
    <xf numFmtId="164" fontId="11" fillId="3" borderId="4" xfId="0" applyNumberFormat="1" applyFont="1" applyFill="1" applyBorder="1" applyAlignment="1">
      <alignment horizontal="left"/>
    </xf>
    <xf numFmtId="164" fontId="11" fillId="3" borderId="3" xfId="0" applyNumberFormat="1" applyFont="1" applyFill="1" applyBorder="1" applyAlignment="1">
      <alignment horizontal="left" vertical="center" wrapText="1"/>
    </xf>
    <xf numFmtId="164" fontId="14"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164" fontId="15" fillId="3" borderId="4" xfId="0"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164" fontId="16" fillId="3" borderId="3" xfId="0" applyNumberFormat="1" applyFont="1" applyFill="1" applyBorder="1"/>
    <xf numFmtId="164" fontId="16" fillId="3" borderId="0" xfId="0" applyNumberFormat="1" applyFont="1" applyFill="1"/>
    <xf numFmtId="164" fontId="16" fillId="3" borderId="0" xfId="0" applyNumberFormat="1" applyFont="1" applyFill="1" applyAlignment="1">
      <alignment vertical="center"/>
    </xf>
    <xf numFmtId="164" fontId="16" fillId="3" borderId="4" xfId="0" applyNumberFormat="1" applyFont="1" applyFill="1" applyBorder="1" applyAlignment="1">
      <alignment vertical="center"/>
    </xf>
    <xf numFmtId="164" fontId="16" fillId="3" borderId="3" xfId="0" applyNumberFormat="1" applyFont="1" applyFill="1" applyBorder="1" applyAlignment="1">
      <alignment vertical="center"/>
    </xf>
    <xf numFmtId="164" fontId="16" fillId="3" borderId="5" xfId="0" applyNumberFormat="1" applyFont="1" applyFill="1" applyBorder="1" applyAlignment="1">
      <alignment vertical="center"/>
    </xf>
    <xf numFmtId="164" fontId="16" fillId="3" borderId="6" xfId="0" applyNumberFormat="1" applyFont="1" applyFill="1" applyBorder="1" applyAlignment="1">
      <alignment vertical="center"/>
    </xf>
    <xf numFmtId="164" fontId="16" fillId="3" borderId="7" xfId="0" applyNumberFormat="1" applyFont="1" applyFill="1" applyBorder="1" applyAlignment="1">
      <alignment vertical="center"/>
    </xf>
    <xf numFmtId="164" fontId="17" fillId="2" borderId="0" xfId="0" applyNumberFormat="1" applyFont="1" applyFill="1"/>
    <xf numFmtId="164" fontId="18" fillId="2" borderId="0" xfId="0" applyNumberFormat="1" applyFont="1" applyFill="1" applyAlignment="1">
      <alignment vertical="center"/>
    </xf>
    <xf numFmtId="164" fontId="19" fillId="2" borderId="0" xfId="0" applyNumberFormat="1" applyFont="1" applyFill="1"/>
    <xf numFmtId="165" fontId="17" fillId="2" borderId="9" xfId="0" applyNumberFormat="1" applyFont="1" applyFill="1" applyBorder="1" applyAlignment="1">
      <alignment horizontal="center" vertical="center" wrapText="1"/>
    </xf>
    <xf numFmtId="164" fontId="1" fillId="2" borderId="10" xfId="0" applyNumberFormat="1" applyFont="1" applyFill="1" applyBorder="1" applyAlignment="1">
      <alignment vertical="top" wrapText="1"/>
    </xf>
    <xf numFmtId="164" fontId="19" fillId="2" borderId="0" xfId="0" applyNumberFormat="1" applyFont="1" applyFill="1" applyAlignment="1">
      <alignment horizontal="left" vertical="center" wrapText="1"/>
    </xf>
    <xf numFmtId="164" fontId="21" fillId="2" borderId="0" xfId="0" applyNumberFormat="1" applyFont="1" applyFill="1"/>
    <xf numFmtId="164" fontId="17" fillId="2" borderId="9" xfId="0" applyNumberFormat="1" applyFont="1" applyFill="1" applyBorder="1" applyAlignment="1">
      <alignment horizontal="center" vertical="center" wrapText="1"/>
    </xf>
    <xf numFmtId="164" fontId="17" fillId="2" borderId="10" xfId="0" applyNumberFormat="1" applyFont="1" applyFill="1" applyBorder="1" applyAlignment="1">
      <alignment horizontal="center" vertical="center" wrapText="1"/>
    </xf>
    <xf numFmtId="166" fontId="17" fillId="2" borderId="10" xfId="0" applyNumberFormat="1" applyFont="1" applyFill="1" applyBorder="1" applyAlignment="1">
      <alignment horizontal="center" vertical="center" wrapText="1"/>
    </xf>
    <xf numFmtId="164" fontId="17" fillId="2" borderId="11" xfId="0" applyNumberFormat="1" applyFont="1" applyFill="1" applyBorder="1" applyAlignment="1">
      <alignment horizontal="center" vertical="center" wrapText="1"/>
    </xf>
    <xf numFmtId="167" fontId="23" fillId="2" borderId="0" xfId="0" applyNumberFormat="1" applyFont="1" applyFill="1" applyAlignment="1">
      <alignment vertical="center"/>
    </xf>
    <xf numFmtId="167" fontId="17" fillId="2" borderId="0" xfId="0" applyNumberFormat="1" applyFont="1" applyFill="1" applyAlignment="1">
      <alignment vertical="center"/>
    </xf>
    <xf numFmtId="168" fontId="17" fillId="2" borderId="0" xfId="0" applyNumberFormat="1" applyFont="1" applyFill="1" applyAlignment="1">
      <alignment vertical="center"/>
    </xf>
    <xf numFmtId="0" fontId="5" fillId="2" borderId="0" xfId="0" applyFont="1" applyFill="1" applyAlignment="1">
      <alignment vertical="center"/>
    </xf>
    <xf numFmtId="0" fontId="24" fillId="2" borderId="0" xfId="0" applyFont="1" applyFill="1" applyAlignment="1">
      <alignment vertical="center"/>
    </xf>
    <xf numFmtId="164" fontId="25" fillId="5" borderId="13" xfId="0" applyNumberFormat="1" applyFont="1" applyFill="1" applyBorder="1" applyAlignment="1">
      <alignment horizontal="left" vertical="center" wrapText="1"/>
    </xf>
    <xf numFmtId="164" fontId="25" fillId="5" borderId="14" xfId="0" applyNumberFormat="1" applyFont="1" applyFill="1" applyBorder="1" applyAlignment="1">
      <alignment horizontal="left" vertical="center" wrapText="1"/>
    </xf>
    <xf numFmtId="164" fontId="25" fillId="5" borderId="15" xfId="0" applyNumberFormat="1" applyFont="1" applyFill="1" applyBorder="1" applyAlignment="1">
      <alignment horizontal="left" vertical="center" wrapText="1"/>
    </xf>
    <xf numFmtId="164" fontId="25" fillId="5" borderId="17" xfId="0" applyNumberFormat="1" applyFont="1" applyFill="1" applyBorder="1" applyAlignment="1">
      <alignment vertical="center" wrapText="1"/>
    </xf>
    <xf numFmtId="164" fontId="25" fillId="5" borderId="18" xfId="0" applyNumberFormat="1" applyFont="1" applyFill="1" applyBorder="1" applyAlignment="1">
      <alignment vertical="center" wrapText="1"/>
    </xf>
    <xf numFmtId="164" fontId="25" fillId="5" borderId="19" xfId="0" applyNumberFormat="1" applyFont="1" applyFill="1" applyBorder="1" applyAlignment="1">
      <alignment vertical="center" wrapText="1"/>
    </xf>
    <xf numFmtId="164" fontId="27" fillId="2" borderId="21" xfId="0" applyNumberFormat="1" applyFont="1" applyFill="1" applyBorder="1" applyAlignment="1">
      <alignment horizontal="left" vertical="center" wrapText="1"/>
    </xf>
    <xf numFmtId="164" fontId="27" fillId="2" borderId="22" xfId="0" applyNumberFormat="1" applyFont="1" applyFill="1" applyBorder="1" applyAlignment="1">
      <alignment horizontal="left" vertical="center" wrapText="1"/>
    </xf>
    <xf numFmtId="167" fontId="26" fillId="2" borderId="19" xfId="0" applyNumberFormat="1" applyFont="1" applyFill="1" applyBorder="1" applyAlignment="1">
      <alignment horizontal="left" vertical="center" wrapText="1"/>
    </xf>
    <xf numFmtId="167" fontId="26" fillId="2" borderId="23" xfId="0" applyNumberFormat="1" applyFont="1" applyFill="1" applyBorder="1" applyAlignment="1">
      <alignment horizontal="left" vertical="center" wrapText="1"/>
    </xf>
    <xf numFmtId="167" fontId="26" fillId="2" borderId="24" xfId="0" applyNumberFormat="1" applyFont="1" applyFill="1" applyBorder="1" applyAlignment="1">
      <alignment horizontal="left" vertical="center" wrapText="1"/>
    </xf>
    <xf numFmtId="164" fontId="28" fillId="6" borderId="27" xfId="0" applyNumberFormat="1" applyFont="1" applyFill="1" applyBorder="1" applyAlignment="1">
      <alignment horizontal="center" vertical="center" wrapText="1"/>
    </xf>
    <xf numFmtId="164" fontId="28" fillId="6" borderId="28" xfId="0" applyNumberFormat="1" applyFont="1" applyFill="1" applyBorder="1" applyAlignment="1">
      <alignment horizontal="center" vertical="center" wrapText="1"/>
    </xf>
    <xf numFmtId="0" fontId="29" fillId="7" borderId="17" xfId="0" applyFont="1" applyFill="1" applyBorder="1" applyAlignment="1">
      <alignment horizontal="left" vertical="center"/>
    </xf>
    <xf numFmtId="0" fontId="26" fillId="2" borderId="29" xfId="0" applyFont="1" applyFill="1" applyBorder="1" applyAlignment="1">
      <alignment horizontal="left" vertical="center"/>
    </xf>
    <xf numFmtId="0" fontId="26" fillId="2" borderId="30" xfId="0" applyFont="1" applyFill="1" applyBorder="1" applyAlignment="1">
      <alignment horizontal="left" vertical="center"/>
    </xf>
    <xf numFmtId="0" fontId="26" fillId="2" borderId="31" xfId="0" applyFont="1" applyFill="1" applyBorder="1" applyAlignment="1">
      <alignment horizontal="left" vertical="center"/>
    </xf>
    <xf numFmtId="0" fontId="29" fillId="7" borderId="17" xfId="0" applyFont="1" applyFill="1" applyBorder="1" applyAlignment="1">
      <alignment vertical="center"/>
    </xf>
    <xf numFmtId="167" fontId="26" fillId="2" borderId="19" xfId="0" applyNumberFormat="1" applyFont="1" applyFill="1" applyBorder="1" applyAlignment="1">
      <alignment horizontal="left" vertical="center"/>
    </xf>
    <xf numFmtId="167" fontId="26" fillId="2" borderId="23" xfId="0" applyNumberFormat="1" applyFont="1" applyFill="1" applyBorder="1" applyAlignment="1">
      <alignment horizontal="left" vertical="center"/>
    </xf>
    <xf numFmtId="167" fontId="26" fillId="2" borderId="24" xfId="0" applyNumberFormat="1" applyFont="1" applyFill="1" applyBorder="1" applyAlignment="1">
      <alignment horizontal="left" vertical="center"/>
    </xf>
    <xf numFmtId="164" fontId="25" fillId="5" borderId="32" xfId="0" applyNumberFormat="1" applyFont="1" applyFill="1" applyBorder="1" applyAlignment="1">
      <alignment horizontal="left" vertical="center" wrapText="1"/>
    </xf>
    <xf numFmtId="0" fontId="29" fillId="7" borderId="18" xfId="0" applyFont="1" applyFill="1" applyBorder="1" applyAlignment="1">
      <alignment horizontal="center" vertical="center"/>
    </xf>
    <xf numFmtId="0" fontId="29" fillId="7" borderId="18" xfId="0" applyFont="1" applyFill="1" applyBorder="1" applyAlignment="1">
      <alignment horizontal="center" vertical="center" wrapText="1"/>
    </xf>
    <xf numFmtId="0" fontId="29" fillId="7" borderId="19" xfId="0" applyFont="1" applyFill="1" applyBorder="1" applyAlignment="1">
      <alignment horizontal="center" vertical="center" wrapText="1"/>
    </xf>
    <xf numFmtId="0" fontId="29" fillId="7" borderId="20" xfId="0" applyFont="1" applyFill="1" applyBorder="1" applyAlignment="1">
      <alignment horizontal="center" vertical="center" wrapText="1"/>
    </xf>
    <xf numFmtId="164" fontId="25" fillId="5" borderId="33" xfId="0" applyNumberFormat="1" applyFont="1" applyFill="1" applyBorder="1" applyAlignment="1">
      <alignment horizontal="left" vertical="center" wrapText="1"/>
    </xf>
    <xf numFmtId="1" fontId="30" fillId="8" borderId="34" xfId="0" applyNumberFormat="1" applyFont="1" applyFill="1" applyBorder="1" applyAlignment="1">
      <alignment horizontal="center" vertical="center"/>
    </xf>
    <xf numFmtId="1" fontId="30" fillId="8" borderId="20" xfId="0" applyNumberFormat="1" applyFont="1" applyFill="1" applyBorder="1" applyAlignment="1">
      <alignment vertical="center"/>
    </xf>
    <xf numFmtId="0" fontId="21" fillId="7" borderId="17" xfId="0" applyFont="1" applyFill="1" applyBorder="1" applyAlignment="1">
      <alignment horizontal="right" vertical="center"/>
    </xf>
    <xf numFmtId="1" fontId="30" fillId="2" borderId="18" xfId="0" applyNumberFormat="1" applyFont="1" applyFill="1" applyBorder="1" applyAlignment="1">
      <alignment horizontal="center" vertical="center"/>
    </xf>
    <xf numFmtId="0" fontId="31" fillId="7" borderId="35" xfId="0" applyFont="1" applyFill="1" applyBorder="1" applyAlignment="1">
      <alignment horizontal="left" vertical="center"/>
    </xf>
    <xf numFmtId="10" fontId="0" fillId="0" borderId="0" xfId="0" applyNumberFormat="1"/>
    <xf numFmtId="0" fontId="0" fillId="0" borderId="0" xfId="0" applyAlignment="1">
      <alignment vertical="center"/>
    </xf>
    <xf numFmtId="0" fontId="0" fillId="0" borderId="0" xfId="0" applyAlignment="1">
      <alignment horizontal="center" vertical="center"/>
    </xf>
    <xf numFmtId="164" fontId="32" fillId="0" borderId="36" xfId="0" applyNumberFormat="1" applyFont="1" applyBorder="1" applyAlignment="1">
      <alignment horizontal="left" vertical="center" wrapText="1"/>
    </xf>
    <xf numFmtId="164" fontId="33" fillId="0" borderId="36" xfId="0" applyNumberFormat="1" applyFont="1" applyBorder="1" applyAlignment="1">
      <alignment horizontal="left" vertical="center" wrapText="1"/>
    </xf>
    <xf numFmtId="49" fontId="33" fillId="0" borderId="0" xfId="0" applyNumberFormat="1" applyFont="1" applyAlignment="1">
      <alignment horizontal="left" vertical="center" wrapText="1"/>
    </xf>
    <xf numFmtId="164" fontId="34" fillId="0" borderId="0" xfId="0" applyNumberFormat="1" applyFont="1" applyAlignment="1">
      <alignment horizontal="left" vertical="center" wrapText="1"/>
    </xf>
    <xf numFmtId="164" fontId="35" fillId="0" borderId="0" xfId="0" applyNumberFormat="1" applyFont="1" applyAlignment="1">
      <alignment horizontal="center" vertical="center" wrapText="1"/>
    </xf>
    <xf numFmtId="164" fontId="35" fillId="0" borderId="0" xfId="0" applyNumberFormat="1" applyFont="1" applyAlignment="1">
      <alignment vertical="center" wrapText="1"/>
    </xf>
    <xf numFmtId="164" fontId="35" fillId="0" borderId="0" xfId="0" applyNumberFormat="1" applyFont="1" applyAlignment="1">
      <alignment horizontal="left" vertical="center" wrapText="1"/>
    </xf>
    <xf numFmtId="0" fontId="36" fillId="0" borderId="37" xfId="0" applyFont="1" applyBorder="1" applyAlignment="1">
      <alignment horizontal="left" vertical="center" wrapText="1"/>
    </xf>
    <xf numFmtId="164" fontId="36" fillId="0" borderId="37" xfId="0" applyNumberFormat="1" applyFont="1" applyBorder="1" applyAlignment="1">
      <alignment horizontal="left" vertical="center" wrapText="1"/>
    </xf>
    <xf numFmtId="164" fontId="33" fillId="0" borderId="37" xfId="0" applyNumberFormat="1" applyFont="1" applyBorder="1" applyAlignment="1">
      <alignment horizontal="left" vertical="center" wrapText="1"/>
    </xf>
    <xf numFmtId="0" fontId="34" fillId="0" borderId="0" xfId="0" applyFont="1" applyAlignment="1">
      <alignment horizontal="center" vertical="center" wrapText="1"/>
    </xf>
    <xf numFmtId="0" fontId="34" fillId="0" borderId="0" xfId="0" applyFont="1" applyAlignment="1">
      <alignment vertical="center" wrapText="1"/>
    </xf>
    <xf numFmtId="0" fontId="34" fillId="0" borderId="0" xfId="0" applyFont="1" applyAlignment="1">
      <alignment horizontal="left" vertical="center" wrapText="1"/>
    </xf>
    <xf numFmtId="164" fontId="37" fillId="4" borderId="36" xfId="0" applyNumberFormat="1" applyFont="1" applyFill="1" applyBorder="1" applyAlignment="1">
      <alignment horizontal="center" vertical="center" wrapText="1"/>
    </xf>
    <xf numFmtId="165" fontId="37" fillId="4" borderId="36" xfId="0" applyNumberFormat="1" applyFont="1" applyFill="1" applyBorder="1" applyAlignment="1">
      <alignment horizontal="center" vertical="center" wrapText="1"/>
    </xf>
    <xf numFmtId="0" fontId="34" fillId="2" borderId="0" xfId="0" applyFont="1" applyFill="1" applyAlignment="1">
      <alignment vertical="center" wrapText="1"/>
    </xf>
    <xf numFmtId="164" fontId="34" fillId="2" borderId="0" xfId="0" applyNumberFormat="1" applyFont="1" applyFill="1" applyAlignment="1">
      <alignment vertical="center" wrapText="1"/>
    </xf>
    <xf numFmtId="0" fontId="34" fillId="2" borderId="0" xfId="0" applyFont="1" applyFill="1" applyAlignment="1">
      <alignment horizontal="center" vertical="center" wrapText="1"/>
    </xf>
    <xf numFmtId="0" fontId="35" fillId="3" borderId="36" xfId="0" applyFont="1" applyFill="1" applyBorder="1" applyAlignment="1">
      <alignment horizontal="center" vertical="center" wrapText="1"/>
    </xf>
    <xf numFmtId="1" fontId="35" fillId="3" borderId="36" xfId="0" applyNumberFormat="1" applyFont="1" applyFill="1" applyBorder="1" applyAlignment="1">
      <alignment horizontal="center" vertical="center" wrapText="1"/>
    </xf>
    <xf numFmtId="1" fontId="35" fillId="9" borderId="36" xfId="0" applyNumberFormat="1" applyFont="1" applyFill="1" applyBorder="1" applyAlignment="1">
      <alignment horizontal="center" vertical="center" wrapText="1"/>
    </xf>
    <xf numFmtId="165" fontId="35" fillId="0" borderId="36" xfId="0" applyNumberFormat="1" applyFont="1" applyBorder="1" applyAlignment="1">
      <alignment horizontal="center" vertical="center" wrapText="1"/>
    </xf>
    <xf numFmtId="164" fontId="34" fillId="0" borderId="0" xfId="0" applyNumberFormat="1" applyFont="1" applyAlignment="1">
      <alignment vertical="center" wrapText="1"/>
    </xf>
    <xf numFmtId="0" fontId="38" fillId="10" borderId="36" xfId="0" applyFont="1" applyFill="1" applyBorder="1" applyAlignment="1">
      <alignment horizontal="center" vertical="center" wrapText="1"/>
    </xf>
    <xf numFmtId="0" fontId="38" fillId="11" borderId="36" xfId="0" applyFont="1" applyFill="1" applyBorder="1" applyAlignment="1">
      <alignment horizontal="center" vertical="center" wrapText="1"/>
    </xf>
    <xf numFmtId="164" fontId="33" fillId="12" borderId="37" xfId="0" applyNumberFormat="1" applyFont="1" applyFill="1" applyBorder="1" applyAlignment="1">
      <alignment horizontal="left" vertical="center" wrapText="1"/>
    </xf>
    <xf numFmtId="0" fontId="39" fillId="12" borderId="37" xfId="0" applyFont="1" applyFill="1" applyBorder="1" applyAlignment="1">
      <alignment vertical="center"/>
    </xf>
    <xf numFmtId="0" fontId="0" fillId="12" borderId="37" xfId="0" applyFill="1" applyBorder="1" applyAlignment="1">
      <alignment vertical="center"/>
    </xf>
    <xf numFmtId="0" fontId="0" fillId="12" borderId="37" xfId="0" applyFill="1" applyBorder="1" applyAlignment="1">
      <alignment horizontal="center" vertical="center"/>
    </xf>
    <xf numFmtId="0" fontId="40" fillId="0" borderId="36" xfId="0" applyFont="1" applyBorder="1" applyAlignment="1">
      <alignment vertical="center" wrapText="1"/>
    </xf>
    <xf numFmtId="0" fontId="41" fillId="0" borderId="36" xfId="0" applyFont="1" applyBorder="1" applyAlignment="1">
      <alignment vertical="center" wrapText="1"/>
    </xf>
    <xf numFmtId="0" fontId="41" fillId="0" borderId="36" xfId="0" applyFont="1" applyBorder="1" applyAlignment="1">
      <alignment vertical="center"/>
    </xf>
    <xf numFmtId="0" fontId="41" fillId="0" borderId="36" xfId="0" applyFont="1" applyBorder="1" applyAlignment="1">
      <alignment horizontal="center" vertical="center"/>
    </xf>
    <xf numFmtId="0" fontId="0" fillId="5" borderId="0" xfId="0" applyFill="1" applyAlignment="1">
      <alignment vertical="center"/>
    </xf>
    <xf numFmtId="0" fontId="40" fillId="0" borderId="36" xfId="0" applyFont="1" applyBorder="1" applyAlignment="1">
      <alignment horizontal="left" vertical="center" wrapText="1"/>
    </xf>
    <xf numFmtId="0" fontId="41" fillId="0" borderId="36" xfId="0" applyFont="1" applyBorder="1" applyAlignment="1">
      <alignment horizontal="left" vertical="center" wrapText="1"/>
    </xf>
    <xf numFmtId="0" fontId="41" fillId="0" borderId="36" xfId="0" applyFont="1" applyBorder="1" applyAlignment="1">
      <alignment horizontal="left" vertical="center"/>
    </xf>
    <xf numFmtId="0" fontId="40" fillId="9" borderId="36" xfId="0" applyFont="1" applyFill="1" applyBorder="1" applyAlignment="1">
      <alignment vertical="center" wrapText="1"/>
    </xf>
    <xf numFmtId="0" fontId="36" fillId="0" borderId="36" xfId="0" applyFont="1" applyBorder="1" applyAlignment="1">
      <alignment horizontal="left" vertical="center" wrapText="1"/>
    </xf>
    <xf numFmtId="164" fontId="36" fillId="0" borderId="36" xfId="0" applyNumberFormat="1" applyFont="1" applyBorder="1" applyAlignment="1">
      <alignment horizontal="left" vertical="center" wrapText="1"/>
    </xf>
    <xf numFmtId="0" fontId="42" fillId="0" borderId="36" xfId="0" applyFont="1" applyBorder="1" applyAlignment="1">
      <alignment vertical="center" wrapText="1"/>
    </xf>
    <xf numFmtId="0" fontId="42" fillId="9" borderId="36" xfId="0" applyFont="1" applyFill="1" applyBorder="1" applyAlignment="1">
      <alignment vertical="center" wrapText="1"/>
    </xf>
    <xf numFmtId="0" fontId="42" fillId="0" borderId="36" xfId="0" applyFont="1" applyBorder="1" applyAlignment="1">
      <alignment vertical="center"/>
    </xf>
    <xf numFmtId="0" fontId="0" fillId="0" borderId="36" xfId="0" applyBorder="1" applyAlignment="1">
      <alignment horizontal="center" vertical="center"/>
    </xf>
    <xf numFmtId="0" fontId="0" fillId="0" borderId="36" xfId="0" applyBorder="1" applyAlignment="1">
      <alignment vertical="center"/>
    </xf>
    <xf numFmtId="0" fontId="42" fillId="13" borderId="36" xfId="0" applyFont="1" applyFill="1" applyBorder="1" applyAlignment="1">
      <alignment vertical="center" wrapText="1"/>
    </xf>
    <xf numFmtId="0" fontId="1" fillId="0" borderId="36" xfId="0" applyFont="1" applyBorder="1" applyAlignment="1">
      <alignment vertical="center"/>
    </xf>
    <xf numFmtId="0" fontId="42" fillId="9" borderId="36" xfId="0" applyFont="1" applyFill="1" applyBorder="1" applyAlignment="1">
      <alignment vertical="top" wrapText="1"/>
    </xf>
    <xf numFmtId="0" fontId="0" fillId="12" borderId="37" xfId="0" applyFill="1" applyBorder="1" applyAlignment="1">
      <alignment vertical="top"/>
    </xf>
    <xf numFmtId="0" fontId="42" fillId="13" borderId="36" xfId="0" applyFont="1" applyFill="1" applyBorder="1" applyAlignment="1">
      <alignment vertical="top" wrapText="1"/>
    </xf>
    <xf numFmtId="0" fontId="42" fillId="14" borderId="36" xfId="0" applyFont="1" applyFill="1" applyBorder="1" applyAlignment="1">
      <alignment vertical="top" wrapText="1"/>
    </xf>
    <xf numFmtId="0" fontId="43" fillId="0" borderId="0" xfId="0" applyFont="1" applyAlignment="1">
      <alignment horizontal="left" vertical="center"/>
    </xf>
    <xf numFmtId="0" fontId="44" fillId="4" borderId="36" xfId="0" applyFont="1" applyFill="1" applyBorder="1" applyAlignment="1">
      <alignment horizontal="center" vertical="center"/>
    </xf>
    <xf numFmtId="0" fontId="45" fillId="3" borderId="36" xfId="0" applyFont="1" applyFill="1" applyBorder="1" applyAlignment="1">
      <alignment horizontal="center" vertical="center"/>
    </xf>
    <xf numFmtId="0" fontId="46" fillId="3" borderId="36" xfId="0" applyFont="1" applyFill="1" applyBorder="1" applyAlignment="1">
      <alignment horizontal="center" vertical="center"/>
    </xf>
    <xf numFmtId="0" fontId="45" fillId="0" borderId="36" xfId="0" applyFont="1" applyBorder="1" applyAlignment="1">
      <alignment horizontal="left" vertical="center"/>
    </xf>
    <xf numFmtId="0" fontId="46" fillId="0" borderId="36" xfId="0" applyFont="1" applyBorder="1" applyAlignment="1">
      <alignment horizontal="center" vertical="center"/>
    </xf>
    <xf numFmtId="0" fontId="44" fillId="15" borderId="38" xfId="0" applyFont="1" applyFill="1" applyBorder="1" applyAlignment="1">
      <alignment horizontal="center" vertical="center" wrapText="1"/>
    </xf>
    <xf numFmtId="0" fontId="47" fillId="16" borderId="38" xfId="0" applyFont="1" applyFill="1" applyBorder="1" applyAlignment="1">
      <alignment horizontal="left" vertical="center"/>
    </xf>
    <xf numFmtId="0" fontId="48" fillId="0" borderId="38" xfId="0" applyFont="1" applyBorder="1" applyAlignment="1">
      <alignment horizontal="center" vertical="center" wrapText="1"/>
    </xf>
    <xf numFmtId="0" fontId="41" fillId="0" borderId="38" xfId="0" applyFont="1" applyBorder="1" applyAlignment="1">
      <alignment vertical="center" wrapText="1"/>
    </xf>
    <xf numFmtId="0" fontId="41" fillId="0" borderId="38" xfId="0" applyFont="1" applyBorder="1" applyAlignment="1">
      <alignment vertical="top" wrapText="1"/>
    </xf>
    <xf numFmtId="0" fontId="49" fillId="0" borderId="38" xfId="0" applyFont="1" applyBorder="1" applyAlignment="1">
      <alignment vertical="center" wrapText="1"/>
    </xf>
    <xf numFmtId="0" fontId="40" fillId="0" borderId="38" xfId="0" applyFont="1" applyBorder="1" applyAlignment="1">
      <alignment horizontal="left" vertical="center" wrapText="1"/>
    </xf>
    <xf numFmtId="0" fontId="41" fillId="0" borderId="38" xfId="0" applyFont="1" applyBorder="1" applyAlignment="1">
      <alignment horizontal="center" vertical="center" wrapText="1"/>
    </xf>
    <xf numFmtId="0" fontId="46" fillId="0" borderId="38" xfId="0" applyFont="1" applyBorder="1" applyAlignment="1">
      <alignment vertical="center" wrapText="1"/>
    </xf>
    <xf numFmtId="0" fontId="47" fillId="16" borderId="38" xfId="0" applyFont="1" applyFill="1" applyBorder="1" applyAlignment="1">
      <alignment horizontal="left" vertical="center" wrapText="1"/>
    </xf>
    <xf numFmtId="0" fontId="46" fillId="0" borderId="38" xfId="0" applyFont="1" applyBorder="1" applyAlignment="1">
      <alignment vertical="top" wrapText="1"/>
    </xf>
    <xf numFmtId="0" fontId="40" fillId="0" borderId="38" xfId="0" applyFont="1" applyBorder="1" applyAlignment="1">
      <alignment horizontal="left" vertical="top" wrapText="1"/>
    </xf>
    <xf numFmtId="0" fontId="41" fillId="9" borderId="38" xfId="0" applyFont="1" applyFill="1" applyBorder="1" applyAlignment="1">
      <alignment vertical="center" wrapText="1"/>
    </xf>
    <xf numFmtId="0" fontId="46" fillId="9" borderId="38" xfId="0" applyFont="1" applyFill="1" applyBorder="1" applyAlignment="1">
      <alignment vertical="center" wrapText="1"/>
    </xf>
    <xf numFmtId="0" fontId="40" fillId="9" borderId="38" xfId="0" applyFont="1" applyFill="1" applyBorder="1" applyAlignment="1">
      <alignment horizontal="left" vertical="center" wrapText="1"/>
    </xf>
    <xf numFmtId="0" fontId="0" fillId="0" borderId="0" xfId="0" applyAlignment="1">
      <alignment vertical="center" wrapText="1"/>
    </xf>
    <xf numFmtId="0" fontId="50" fillId="0" borderId="38" xfId="0" applyFont="1" applyBorder="1" applyAlignment="1">
      <alignment vertical="top" wrapText="1"/>
    </xf>
    <xf numFmtId="0" fontId="50" fillId="0" borderId="38" xfId="0" applyFont="1" applyBorder="1" applyAlignment="1">
      <alignment vertical="center" wrapText="1"/>
    </xf>
    <xf numFmtId="0" fontId="50" fillId="17" borderId="38" xfId="0" applyFont="1" applyFill="1" applyBorder="1" applyAlignment="1">
      <alignment vertical="center" wrapText="1"/>
    </xf>
    <xf numFmtId="0" fontId="41" fillId="17" borderId="38" xfId="0" applyFont="1" applyFill="1" applyBorder="1" applyAlignment="1">
      <alignment vertical="center" wrapText="1"/>
    </xf>
    <xf numFmtId="0" fontId="46" fillId="17" borderId="38" xfId="0" applyFont="1" applyFill="1" applyBorder="1" applyAlignment="1">
      <alignment vertical="center" wrapText="1"/>
    </xf>
    <xf numFmtId="0" fontId="40" fillId="17" borderId="38" xfId="0" applyFont="1" applyFill="1" applyBorder="1" applyAlignment="1">
      <alignment horizontal="left" vertical="center" wrapText="1"/>
    </xf>
    <xf numFmtId="0" fontId="41" fillId="18" borderId="38" xfId="0" applyFont="1" applyFill="1" applyBorder="1" applyAlignment="1">
      <alignment vertical="center" wrapText="1"/>
    </xf>
    <xf numFmtId="1" fontId="51" fillId="8" borderId="34" xfId="0" applyNumberFormat="1" applyFont="1" applyFill="1" applyBorder="1" applyAlignment="1">
      <alignment horizontal="center" vertical="center"/>
    </xf>
    <xf numFmtId="1" fontId="51" fillId="8" borderId="20" xfId="0" applyNumberFormat="1" applyFont="1" applyFill="1" applyBorder="1" applyAlignment="1">
      <alignment vertical="center"/>
    </xf>
    <xf numFmtId="1" fontId="51" fillId="2" borderId="18" xfId="0" applyNumberFormat="1" applyFont="1" applyFill="1" applyBorder="1" applyAlignment="1">
      <alignment horizontal="center" vertical="center"/>
    </xf>
    <xf numFmtId="0" fontId="52" fillId="0" borderId="0" xfId="0" applyFont="1" applyAlignment="1">
      <alignment horizontal="left" vertical="center"/>
    </xf>
    <xf numFmtId="0" fontId="52" fillId="0" borderId="0" xfId="0" applyFont="1" applyAlignment="1">
      <alignment horizontal="left" vertical="center" indent="2"/>
    </xf>
    <xf numFmtId="0" fontId="22" fillId="0" borderId="38" xfId="0" applyFont="1" applyBorder="1" applyAlignment="1">
      <alignment horizontal="left" wrapText="1" indent="2"/>
    </xf>
    <xf numFmtId="0" fontId="22" fillId="0" borderId="39" xfId="0" applyFont="1" applyBorder="1" applyAlignment="1">
      <alignment wrapText="1"/>
    </xf>
    <xf numFmtId="0" fontId="22" fillId="0" borderId="39" xfId="0" applyFont="1" applyBorder="1" applyAlignment="1">
      <alignment horizontal="left" wrapText="1" indent="2"/>
    </xf>
    <xf numFmtId="164" fontId="53" fillId="5" borderId="32" xfId="0" applyNumberFormat="1" applyFont="1" applyFill="1" applyBorder="1" applyAlignment="1">
      <alignment horizontal="left" vertical="center" wrapText="1"/>
    </xf>
    <xf numFmtId="0" fontId="54" fillId="7" borderId="18" xfId="0" applyFont="1" applyFill="1" applyBorder="1" applyAlignment="1">
      <alignment horizontal="center" vertical="center"/>
    </xf>
    <xf numFmtId="0" fontId="54" fillId="7" borderId="18" xfId="0" applyFont="1" applyFill="1" applyBorder="1" applyAlignment="1">
      <alignment horizontal="center" vertical="center" wrapText="1"/>
    </xf>
    <xf numFmtId="0" fontId="54" fillId="7" borderId="19" xfId="0" applyFont="1" applyFill="1" applyBorder="1" applyAlignment="1">
      <alignment horizontal="center" vertical="center" wrapText="1"/>
    </xf>
    <xf numFmtId="0" fontId="54" fillId="7" borderId="20" xfId="0" applyFont="1" applyFill="1" applyBorder="1" applyAlignment="1">
      <alignment horizontal="center" vertical="center" wrapText="1"/>
    </xf>
    <xf numFmtId="164" fontId="53" fillId="5" borderId="33" xfId="0" applyNumberFormat="1" applyFont="1" applyFill="1" applyBorder="1" applyAlignment="1">
      <alignment horizontal="left" vertical="center" wrapText="1"/>
    </xf>
    <xf numFmtId="0" fontId="53" fillId="0" borderId="39" xfId="0" applyFont="1" applyBorder="1" applyAlignment="1">
      <alignment wrapText="1"/>
    </xf>
    <xf numFmtId="1" fontId="55" fillId="2" borderId="18" xfId="0" applyNumberFormat="1" applyFont="1" applyFill="1" applyBorder="1" applyAlignment="1">
      <alignment horizontal="center" vertical="center"/>
    </xf>
    <xf numFmtId="0" fontId="52" fillId="19" borderId="17" xfId="0" applyFont="1" applyFill="1" applyBorder="1" applyAlignment="1">
      <alignment horizontal="right" vertical="center"/>
    </xf>
    <xf numFmtId="1" fontId="51" fillId="20" borderId="18" xfId="0" applyNumberFormat="1" applyFont="1" applyFill="1" applyBorder="1" applyAlignment="1">
      <alignment horizontal="center" vertical="center"/>
    </xf>
    <xf numFmtId="0" fontId="54" fillId="0" borderId="0" xfId="0" applyFont="1" applyAlignment="1">
      <alignment horizontal="left" vertical="center"/>
    </xf>
    <xf numFmtId="0" fontId="56" fillId="19" borderId="17" xfId="0" applyFont="1" applyFill="1" applyBorder="1" applyAlignment="1">
      <alignment horizontal="right" vertical="center"/>
    </xf>
    <xf numFmtId="1" fontId="57" fillId="20" borderId="18" xfId="0" applyNumberFormat="1" applyFont="1" applyFill="1" applyBorder="1" applyAlignment="1">
      <alignment horizontal="center" vertical="center"/>
    </xf>
    <xf numFmtId="0" fontId="58" fillId="21" borderId="0" xfId="0" applyFont="1" applyFill="1"/>
    <xf numFmtId="0" fontId="41" fillId="22" borderId="38" xfId="0" applyFont="1" applyFill="1" applyBorder="1" applyAlignment="1">
      <alignment vertical="top" wrapText="1"/>
    </xf>
    <xf numFmtId="0" fontId="50" fillId="22" borderId="38" xfId="0" applyFont="1" applyFill="1" applyBorder="1" applyAlignment="1">
      <alignment vertical="top" wrapText="1"/>
    </xf>
    <xf numFmtId="0" fontId="40" fillId="22" borderId="38" xfId="0" applyFont="1" applyFill="1" applyBorder="1" applyAlignment="1">
      <alignment horizontal="left" vertical="top" wrapText="1"/>
    </xf>
    <xf numFmtId="0" fontId="41" fillId="22" borderId="38" xfId="0" applyFont="1" applyFill="1" applyBorder="1" applyAlignment="1">
      <alignment vertical="center" wrapText="1"/>
    </xf>
    <xf numFmtId="0" fontId="46" fillId="22" borderId="38" xfId="0" applyFont="1" applyFill="1" applyBorder="1" applyAlignment="1">
      <alignment vertical="center" wrapText="1"/>
    </xf>
    <xf numFmtId="0" fontId="40" fillId="22" borderId="38" xfId="0" applyFont="1" applyFill="1" applyBorder="1" applyAlignment="1">
      <alignment horizontal="left" vertical="center" wrapText="1"/>
    </xf>
    <xf numFmtId="0" fontId="40" fillId="22" borderId="36" xfId="0" applyFont="1" applyFill="1" applyBorder="1" applyAlignment="1">
      <alignment vertical="center" wrapText="1"/>
    </xf>
    <xf numFmtId="0" fontId="0" fillId="22" borderId="0" xfId="0" applyFill="1" applyAlignment="1">
      <alignment vertical="center" wrapText="1"/>
    </xf>
    <xf numFmtId="0" fontId="42" fillId="22" borderId="36" xfId="0" applyFont="1" applyFill="1" applyBorder="1" applyAlignment="1">
      <alignment vertical="center" wrapText="1"/>
    </xf>
    <xf numFmtId="0" fontId="0" fillId="22" borderId="36" xfId="0" applyFill="1" applyBorder="1" applyAlignment="1">
      <alignment horizontal="center" vertical="center" wrapText="1"/>
    </xf>
    <xf numFmtId="0" fontId="0" fillId="22" borderId="36" xfId="0" applyFill="1" applyBorder="1" applyAlignment="1">
      <alignment vertical="center" wrapText="1"/>
    </xf>
    <xf numFmtId="0" fontId="48" fillId="23" borderId="38" xfId="0" applyFont="1" applyFill="1" applyBorder="1" applyAlignment="1">
      <alignment horizontal="center" vertical="center" wrapText="1"/>
    </xf>
    <xf numFmtId="0" fontId="41" fillId="23" borderId="38" xfId="0" applyFont="1" applyFill="1" applyBorder="1" applyAlignment="1">
      <alignment vertical="center" wrapText="1"/>
    </xf>
    <xf numFmtId="0" fontId="50" fillId="23" borderId="38" xfId="0" applyFont="1" applyFill="1" applyBorder="1" applyAlignment="1">
      <alignment vertical="center" wrapText="1"/>
    </xf>
    <xf numFmtId="0" fontId="40" fillId="23" borderId="38" xfId="0" applyFont="1" applyFill="1" applyBorder="1" applyAlignment="1">
      <alignment horizontal="left" vertical="center" wrapText="1"/>
    </xf>
    <xf numFmtId="0" fontId="41" fillId="23" borderId="38" xfId="0" applyFont="1" applyFill="1" applyBorder="1" applyAlignment="1">
      <alignment horizontal="center" vertical="center" wrapText="1"/>
    </xf>
    <xf numFmtId="0" fontId="42" fillId="24" borderId="36" xfId="0" applyFont="1" applyFill="1" applyBorder="1" applyAlignment="1">
      <alignment vertical="center" wrapText="1"/>
    </xf>
    <xf numFmtId="0" fontId="42" fillId="25" borderId="36" xfId="0" applyFont="1" applyFill="1" applyBorder="1" applyAlignment="1">
      <alignment vertical="center" wrapText="1"/>
    </xf>
    <xf numFmtId="0" fontId="42" fillId="26" borderId="36" xfId="0" applyFont="1" applyFill="1" applyBorder="1" applyAlignment="1">
      <alignment vertical="center" wrapText="1"/>
    </xf>
    <xf numFmtId="0" fontId="59" fillId="22" borderId="38" xfId="0" applyFont="1" applyFill="1" applyBorder="1" applyAlignment="1">
      <alignment vertical="center" wrapText="1"/>
    </xf>
    <xf numFmtId="0" fontId="60" fillId="22" borderId="38" xfId="0" applyFont="1" applyFill="1" applyBorder="1" applyAlignment="1">
      <alignment vertical="center" wrapText="1"/>
    </xf>
    <xf numFmtId="0" fontId="61" fillId="22" borderId="38" xfId="0" applyFont="1" applyFill="1" applyBorder="1" applyAlignment="1">
      <alignment horizontal="left" vertical="center" wrapText="1"/>
    </xf>
    <xf numFmtId="0" fontId="60" fillId="23" borderId="38" xfId="0" applyFont="1" applyFill="1" applyBorder="1" applyAlignment="1">
      <alignment vertical="center" wrapText="1"/>
    </xf>
    <xf numFmtId="0" fontId="59" fillId="23" borderId="38" xfId="0" applyFont="1" applyFill="1" applyBorder="1" applyAlignment="1">
      <alignment vertical="center" wrapText="1"/>
    </xf>
    <xf numFmtId="0" fontId="61" fillId="0" borderId="38" xfId="0" applyFont="1" applyBorder="1" applyAlignment="1">
      <alignment horizontal="left" vertical="center" wrapText="1"/>
    </xf>
    <xf numFmtId="0" fontId="60" fillId="0" borderId="38" xfId="0" applyFont="1" applyBorder="1" applyAlignment="1">
      <alignment vertical="center" wrapText="1"/>
    </xf>
    <xf numFmtId="0" fontId="59" fillId="0" borderId="38" xfId="0" applyFont="1" applyBorder="1" applyAlignment="1">
      <alignment vertical="center" wrapText="1"/>
    </xf>
    <xf numFmtId="164" fontId="6" fillId="3" borderId="1" xfId="0" applyNumberFormat="1" applyFont="1" applyFill="1" applyBorder="1" applyAlignment="1">
      <alignment horizontal="center"/>
    </xf>
    <xf numFmtId="164" fontId="12" fillId="3" borderId="0" xfId="0" applyNumberFormat="1" applyFont="1" applyFill="1" applyAlignment="1">
      <alignment horizontal="left" vertical="center" wrapText="1"/>
    </xf>
    <xf numFmtId="164" fontId="4" fillId="2" borderId="0" xfId="0" applyNumberFormat="1" applyFont="1" applyFill="1" applyAlignment="1">
      <alignment vertical="center"/>
    </xf>
    <xf numFmtId="164" fontId="6" fillId="3" borderId="2" xfId="0" applyNumberFormat="1" applyFont="1" applyFill="1" applyBorder="1" applyAlignment="1">
      <alignment horizontal="center"/>
    </xf>
    <xf numFmtId="164" fontId="12" fillId="3" borderId="0" xfId="0" applyNumberFormat="1" applyFont="1" applyFill="1" applyAlignment="1">
      <alignment horizontal="left" vertical="center"/>
    </xf>
    <xf numFmtId="164" fontId="10" fillId="3" borderId="0" xfId="0" applyNumberFormat="1" applyFont="1" applyFill="1" applyAlignment="1">
      <alignment horizontal="center" vertical="center" wrapText="1"/>
    </xf>
    <xf numFmtId="164" fontId="8" fillId="3" borderId="2" xfId="0" applyNumberFormat="1" applyFont="1" applyFill="1" applyBorder="1" applyAlignment="1">
      <alignment horizontal="center" vertical="center" wrapText="1"/>
    </xf>
    <xf numFmtId="164" fontId="11" fillId="3" borderId="3" xfId="0" applyNumberFormat="1" applyFont="1" applyFill="1" applyBorder="1" applyAlignment="1">
      <alignment horizontal="center"/>
    </xf>
    <xf numFmtId="164" fontId="11" fillId="3" borderId="2" xfId="0" applyNumberFormat="1" applyFont="1" applyFill="1" applyBorder="1" applyAlignment="1">
      <alignment horizontal="center" vertical="center" wrapText="1"/>
    </xf>
    <xf numFmtId="164" fontId="20" fillId="4" borderId="8" xfId="0" applyNumberFormat="1" applyFont="1" applyFill="1" applyBorder="1" applyAlignment="1">
      <alignment horizontal="center" vertical="center" wrapText="1"/>
    </xf>
    <xf numFmtId="164" fontId="17" fillId="0" borderId="10" xfId="0" applyNumberFormat="1" applyFont="1" applyBorder="1" applyAlignment="1">
      <alignment horizontal="left" vertical="center" wrapText="1"/>
    </xf>
    <xf numFmtId="164" fontId="17" fillId="0" borderId="11" xfId="0" applyNumberFormat="1" applyFont="1" applyBorder="1" applyAlignment="1">
      <alignment horizontal="left" vertical="center" wrapText="1"/>
    </xf>
    <xf numFmtId="164" fontId="20" fillId="4" borderId="12" xfId="0" applyNumberFormat="1" applyFont="1" applyFill="1" applyBorder="1" applyAlignment="1">
      <alignment horizontal="center" vertical="center" wrapText="1"/>
    </xf>
    <xf numFmtId="164" fontId="26" fillId="2" borderId="18" xfId="0" applyNumberFormat="1" applyFont="1" applyFill="1" applyBorder="1" applyAlignment="1">
      <alignment horizontal="left" vertical="center" wrapText="1"/>
    </xf>
    <xf numFmtId="167" fontId="26" fillId="2" borderId="20" xfId="0" applyNumberFormat="1" applyFont="1" applyFill="1" applyBorder="1" applyAlignment="1">
      <alignment horizontal="left" vertical="center" wrapText="1"/>
    </xf>
    <xf numFmtId="164" fontId="26" fillId="2" borderId="16" xfId="0" applyNumberFormat="1" applyFont="1" applyFill="1" applyBorder="1" applyAlignment="1">
      <alignment horizontal="left" vertical="center" wrapText="1"/>
    </xf>
    <xf numFmtId="164" fontId="27" fillId="2" borderId="18" xfId="0" applyNumberFormat="1" applyFont="1" applyFill="1" applyBorder="1" applyAlignment="1">
      <alignment horizontal="left" vertical="center" wrapText="1"/>
    </xf>
    <xf numFmtId="164" fontId="26" fillId="2" borderId="8" xfId="0" applyNumberFormat="1" applyFont="1" applyFill="1" applyBorder="1" applyAlignment="1">
      <alignment horizontal="left" vertical="center" wrapText="1"/>
    </xf>
    <xf numFmtId="164" fontId="28" fillId="6" borderId="26" xfId="0" applyNumberFormat="1" applyFont="1" applyFill="1" applyBorder="1" applyAlignment="1">
      <alignment horizontal="left" vertical="center" wrapText="1"/>
    </xf>
    <xf numFmtId="167" fontId="27" fillId="2" borderId="25" xfId="0" applyNumberFormat="1" applyFont="1" applyFill="1" applyBorder="1" applyAlignment="1">
      <alignment horizontal="left" vertical="center" wrapText="1"/>
    </xf>
    <xf numFmtId="164" fontId="27" fillId="2" borderId="20" xfId="0" applyNumberFormat="1" applyFont="1" applyFill="1" applyBorder="1" applyAlignment="1">
      <alignment horizontal="left" vertical="center" wrapText="1"/>
    </xf>
    <xf numFmtId="164" fontId="33" fillId="12" borderId="36" xfId="0" applyNumberFormat="1" applyFont="1" applyFill="1" applyBorder="1" applyAlignment="1">
      <alignment horizontal="left" vertical="center" wrapText="1"/>
    </xf>
    <xf numFmtId="0" fontId="0" fillId="0" borderId="40" xfId="0" applyBorder="1" applyAlignment="1"/>
    <xf numFmtId="0" fontId="0" fillId="0" borderId="41" xfId="0" applyBorder="1" applyAlignment="1"/>
    <xf numFmtId="0" fontId="0" fillId="0" borderId="4" xfId="0" applyBorder="1" applyAlignment="1"/>
    <xf numFmtId="0" fontId="0" fillId="0" borderId="3" xfId="0" applyBorder="1" applyAlignment="1"/>
    <xf numFmtId="0" fontId="0" fillId="0" borderId="15" xfId="0" applyBorder="1" applyAlignment="1"/>
    <xf numFmtId="0" fontId="0" fillId="0" borderId="14" xfId="0" applyBorder="1" applyAlignment="1"/>
    <xf numFmtId="0" fontId="0" fillId="0" borderId="27" xfId="0" applyBorder="1" applyAlignment="1"/>
    <xf numFmtId="0" fontId="0" fillId="0" borderId="45" xfId="0" applyBorder="1" applyAlignment="1"/>
    <xf numFmtId="0" fontId="0" fillId="0" borderId="42" xfId="0" applyBorder="1" applyAlignment="1"/>
    <xf numFmtId="0" fontId="0" fillId="0" borderId="43" xfId="0" applyBorder="1" applyAlignment="1"/>
    <xf numFmtId="0" fontId="0" fillId="0" borderId="44" xfId="0" applyBorder="1" applyAlignment="1"/>
    <xf numFmtId="0" fontId="0" fillId="0" borderId="46" xfId="0" applyBorder="1" applyAlignment="1"/>
    <xf numFmtId="0" fontId="0" fillId="0" borderId="47" xfId="0" applyBorder="1" applyAlignment="1"/>
    <xf numFmtId="0" fontId="0" fillId="0" borderId="23" xfId="0" applyBorder="1" applyAlignment="1"/>
    <xf numFmtId="0" fontId="0" fillId="0" borderId="24" xfId="0" applyBorder="1" applyAlignment="1"/>
    <xf numFmtId="0" fontId="0" fillId="0" borderId="48" xfId="0" applyBorder="1" applyAlignment="1"/>
    <xf numFmtId="0" fontId="0" fillId="0" borderId="49" xfId="0" applyBorder="1" applyAlignment="1"/>
  </cellXfs>
  <cellStyles count="5">
    <cellStyle name="Bình thường" xfId="0" builtinId="0"/>
    <cellStyle name="Hyperlink 1" xfId="1" xr:uid="{00000000-0005-0000-0000-000001000000}"/>
    <cellStyle name="Normal 2" xfId="2" xr:uid="{00000000-0005-0000-0000-000002000000}"/>
    <cellStyle name="Normal 6" xfId="3" xr:uid="{00000000-0005-0000-0000-000003000000}"/>
    <cellStyle name="標準_打刻ﾃﾞｰﾀ収集" xfId="4" xr:uid="{00000000-0005-0000-0000-000004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5597"/>
      <rgbColor rgb="FFBFBFBF"/>
      <rgbColor rgb="FF548DD4"/>
      <rgbColor rgb="FF9999FF"/>
      <rgbColor rgb="FF7030A0"/>
      <rgbColor rgb="FFFFF2CC"/>
      <rgbColor rgb="FFDDEBF7"/>
      <rgbColor rgb="FF660066"/>
      <rgbColor rgb="FFFF8080"/>
      <rgbColor rgb="FF0563C1"/>
      <rgbColor rgb="FFBDD7EE"/>
      <rgbColor rgb="FF000080"/>
      <rgbColor rgb="FFFF00FF"/>
      <rgbColor rgb="FFFFFF00"/>
      <rgbColor rgb="FF00FFFF"/>
      <rgbColor rgb="FF800080"/>
      <rgbColor rgb="FF800000"/>
      <rgbColor rgb="FF305496"/>
      <rgbColor rgb="FF0000FF"/>
      <rgbColor rgb="FF00CCFF"/>
      <rgbColor rgb="FFC5E0B3"/>
      <rgbColor rgb="FFCCFFCC"/>
      <rgbColor rgb="FFFFFF99"/>
      <rgbColor rgb="FFA7D6E3"/>
      <rgbColor rgb="FFFF99CC"/>
      <rgbColor rgb="FFB4C7E7"/>
      <rgbColor rgb="FFF8CBAD"/>
      <rgbColor rgb="FF2E75B6"/>
      <rgbColor rgb="FF33CCCC"/>
      <rgbColor rgb="FF92D050"/>
      <rgbColor rgb="FFFFCC00"/>
      <rgbColor rgb="FFFF9900"/>
      <rgbColor rgb="FFFF6600"/>
      <rgbColor rgb="FF44546A"/>
      <rgbColor rgb="FF8497B0"/>
      <rgbColor rgb="FF1F3864"/>
      <rgbColor rgb="FF339966"/>
      <rgbColor rgb="FF003300"/>
      <rgbColor rgb="FF333300"/>
      <rgbColor rgb="FF993300"/>
      <rgbColor rgb="FF993366"/>
      <rgbColor rgb="FF333399"/>
      <rgbColor rgb="FF1F497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topLeftCell="A10" zoomScaleNormal="100" workbookViewId="0">
      <selection activeCell="M18" sqref="M18"/>
    </sheetView>
  </sheetViews>
  <sheetFormatPr defaultColWidth="9.140625" defaultRowHeight="15"/>
  <cols>
    <col min="1" max="1" width="9.140625" style="3" customWidth="1"/>
    <col min="2" max="2" width="5.7109375" style="3" customWidth="1"/>
    <col min="3" max="4" width="9.140625" style="3" customWidth="1"/>
    <col min="5" max="5" width="45.42578125" style="3" customWidth="1"/>
    <col min="6" max="6" width="9.140625" style="3" customWidth="1"/>
    <col min="7" max="7" width="16.5703125" style="3" customWidth="1"/>
    <col min="8" max="8" width="31.7109375" style="3" customWidth="1"/>
    <col min="9" max="1024" width="9.140625" style="3" customWidth="1"/>
  </cols>
  <sheetData>
    <row r="1" spans="1:10" ht="15" customHeight="1">
      <c r="A1" s="4"/>
      <c r="B1" s="4"/>
      <c r="C1" s="4"/>
      <c r="D1" s="4"/>
      <c r="E1" s="4"/>
      <c r="F1" s="4"/>
      <c r="G1" s="4"/>
      <c r="H1" s="4"/>
      <c r="I1" s="4"/>
      <c r="J1" s="4"/>
    </row>
    <row r="2" spans="1:10" s="3" customFormat="1" ht="13.5" customHeight="1">
      <c r="A2" s="4"/>
      <c r="B2" s="210"/>
      <c r="C2" s="232"/>
      <c r="D2" s="232"/>
      <c r="E2" s="232"/>
      <c r="F2" s="232"/>
      <c r="G2" s="232"/>
      <c r="H2" s="232"/>
      <c r="I2" s="232"/>
      <c r="J2" s="233"/>
    </row>
    <row r="3" spans="1:10" s="3" customFormat="1" ht="13.5" customHeight="1">
      <c r="A3" s="4"/>
      <c r="B3" s="213"/>
      <c r="C3" s="212"/>
      <c r="D3" s="212"/>
      <c r="E3" s="212"/>
      <c r="F3" s="212"/>
      <c r="G3" s="212"/>
      <c r="H3" s="212"/>
      <c r="I3" s="212"/>
      <c r="J3" s="234"/>
    </row>
    <row r="4" spans="1:10" s="3" customFormat="1" ht="13.5" customHeight="1">
      <c r="A4" s="4"/>
      <c r="B4" s="5"/>
      <c r="C4" s="6"/>
      <c r="D4" s="6"/>
      <c r="E4" s="6"/>
      <c r="F4" s="6"/>
      <c r="G4" s="6"/>
      <c r="H4" s="6"/>
      <c r="I4" s="6"/>
      <c r="J4" s="7"/>
    </row>
    <row r="5" spans="1:10" s="3" customFormat="1" ht="13.5" customHeight="1">
      <c r="A5" s="4"/>
      <c r="B5" s="5"/>
      <c r="C5" s="6"/>
      <c r="D5" s="6"/>
      <c r="E5" s="6"/>
      <c r="F5" s="6"/>
      <c r="G5" s="6"/>
      <c r="H5" s="6"/>
      <c r="I5" s="6"/>
      <c r="J5" s="7"/>
    </row>
    <row r="6" spans="1:10" s="3" customFormat="1" ht="13.5" customHeight="1">
      <c r="A6" s="4"/>
      <c r="B6" s="216"/>
      <c r="C6" s="212"/>
      <c r="D6" s="212"/>
      <c r="E6" s="212"/>
      <c r="F6" s="212"/>
      <c r="G6" s="212"/>
      <c r="H6" s="212"/>
      <c r="I6" s="212"/>
      <c r="J6" s="234"/>
    </row>
    <row r="7" spans="1:10" s="3" customFormat="1" ht="13.5" customHeight="1">
      <c r="A7" s="4"/>
      <c r="B7" s="235"/>
      <c r="C7" s="212"/>
      <c r="D7" s="212"/>
      <c r="E7" s="212"/>
      <c r="F7" s="212"/>
      <c r="G7" s="212"/>
      <c r="H7" s="212"/>
      <c r="I7" s="212"/>
      <c r="J7" s="234"/>
    </row>
    <row r="8" spans="1:10" s="3" customFormat="1" ht="31.5" customHeight="1">
      <c r="A8" s="4"/>
      <c r="B8" s="8"/>
      <c r="C8" s="9"/>
      <c r="D8" s="9"/>
      <c r="E8" s="215" t="s">
        <v>0</v>
      </c>
      <c r="F8" s="212"/>
      <c r="G8" s="212"/>
      <c r="H8" s="212"/>
      <c r="I8" s="9"/>
      <c r="J8" s="10"/>
    </row>
    <row r="9" spans="1:10" s="3" customFormat="1" ht="13.5" customHeight="1">
      <c r="A9" s="4"/>
      <c r="B9" s="218"/>
      <c r="C9" s="212"/>
      <c r="D9" s="212"/>
      <c r="E9" s="212"/>
      <c r="F9" s="212"/>
      <c r="G9" s="212"/>
      <c r="H9" s="212"/>
      <c r="I9" s="212"/>
      <c r="J9" s="234"/>
    </row>
    <row r="10" spans="1:10" s="3" customFormat="1" ht="13.5" customHeight="1">
      <c r="A10" s="4"/>
      <c r="B10" s="217"/>
      <c r="C10" s="212"/>
      <c r="D10" s="212"/>
      <c r="E10" s="212"/>
      <c r="F10" s="212"/>
      <c r="G10" s="212"/>
      <c r="H10" s="212"/>
      <c r="I10" s="212"/>
      <c r="J10" s="11"/>
    </row>
    <row r="11" spans="1:10" s="3" customFormat="1" ht="26.25" customHeight="1">
      <c r="A11" s="4"/>
      <c r="B11" s="12"/>
      <c r="C11" s="214" t="s">
        <v>1</v>
      </c>
      <c r="D11" s="212"/>
      <c r="E11" s="13" t="s">
        <v>2</v>
      </c>
      <c r="F11" s="14"/>
      <c r="G11" s="2" t="s">
        <v>3</v>
      </c>
      <c r="H11" s="13"/>
      <c r="I11" s="15"/>
      <c r="J11" s="16"/>
    </row>
    <row r="12" spans="1:10" s="3" customFormat="1" ht="14.25" customHeight="1">
      <c r="A12" s="4"/>
      <c r="B12" s="17" t="s">
        <v>4</v>
      </c>
      <c r="C12" s="211" t="s">
        <v>5</v>
      </c>
      <c r="D12" s="212"/>
      <c r="E12" s="13" t="s">
        <v>6</v>
      </c>
      <c r="F12" s="18"/>
      <c r="G12" s="2" t="s">
        <v>7</v>
      </c>
      <c r="H12" s="13"/>
      <c r="I12" s="19"/>
      <c r="J12" s="20"/>
    </row>
    <row r="13" spans="1:10" s="3" customFormat="1" ht="13.5" customHeight="1">
      <c r="A13" s="4"/>
      <c r="B13" s="12"/>
      <c r="C13" s="214" t="s">
        <v>8</v>
      </c>
      <c r="D13" s="212"/>
      <c r="E13" s="13"/>
      <c r="F13" s="14"/>
      <c r="G13" s="2" t="s">
        <v>9</v>
      </c>
      <c r="H13" s="13"/>
      <c r="I13" s="15"/>
      <c r="J13" s="16"/>
    </row>
    <row r="14" spans="1:10" s="3" customFormat="1" ht="13.5" customHeight="1">
      <c r="A14" s="4"/>
      <c r="B14" s="12"/>
      <c r="C14" s="214" t="s">
        <v>7</v>
      </c>
      <c r="D14" s="212"/>
      <c r="E14" s="13"/>
      <c r="F14" s="14"/>
      <c r="G14" s="2" t="s">
        <v>10</v>
      </c>
      <c r="H14" s="13"/>
      <c r="I14" s="15"/>
      <c r="J14" s="16"/>
    </row>
    <row r="15" spans="1:10" s="3" customFormat="1" ht="13.5" customHeight="1">
      <c r="A15" s="4"/>
      <c r="B15" s="12"/>
      <c r="C15" s="214" t="s">
        <v>11</v>
      </c>
      <c r="D15" s="212"/>
      <c r="E15" s="13">
        <v>46153</v>
      </c>
      <c r="F15" s="14"/>
      <c r="G15" s="2" t="s">
        <v>7</v>
      </c>
      <c r="H15" s="13"/>
      <c r="I15" s="15"/>
      <c r="J15" s="16"/>
    </row>
    <row r="16" spans="1:10" s="3" customFormat="1" ht="13.5" customHeight="1">
      <c r="A16" s="4"/>
      <c r="B16" s="12"/>
      <c r="C16" s="214" t="s">
        <v>12</v>
      </c>
      <c r="D16" s="212"/>
      <c r="E16" s="21" t="s">
        <v>13</v>
      </c>
      <c r="F16" s="14"/>
      <c r="G16" s="2" t="s">
        <v>14</v>
      </c>
      <c r="H16" s="13"/>
      <c r="I16" s="15"/>
      <c r="J16" s="16"/>
    </row>
    <row r="17" spans="1:10" s="3" customFormat="1" ht="13.5" customHeight="1">
      <c r="A17" s="4"/>
      <c r="B17" s="22"/>
      <c r="C17" s="23"/>
      <c r="D17" s="23"/>
      <c r="E17" s="24"/>
      <c r="F17" s="24"/>
      <c r="G17" s="24"/>
      <c r="H17" s="24"/>
      <c r="I17" s="24"/>
      <c r="J17" s="25"/>
    </row>
    <row r="18" spans="1:10" s="3" customFormat="1" ht="13.5" customHeight="1">
      <c r="B18" s="26"/>
      <c r="C18" s="24"/>
      <c r="D18" s="24"/>
      <c r="E18" s="24"/>
      <c r="F18" s="24"/>
      <c r="G18" s="24"/>
      <c r="H18" s="24"/>
      <c r="I18" s="24"/>
      <c r="J18" s="25"/>
    </row>
    <row r="19" spans="1:10" ht="15" customHeight="1">
      <c r="B19" s="27"/>
      <c r="C19" s="28"/>
      <c r="D19" s="28"/>
      <c r="E19" s="28"/>
      <c r="F19" s="28"/>
      <c r="G19" s="28"/>
      <c r="H19" s="28"/>
      <c r="I19" s="28"/>
      <c r="J19" s="29"/>
    </row>
  </sheetData>
  <mergeCells count="12">
    <mergeCell ref="B2:J2"/>
    <mergeCell ref="C12:D12"/>
    <mergeCell ref="B3:J3"/>
    <mergeCell ref="C16:D16"/>
    <mergeCell ref="E8:H8"/>
    <mergeCell ref="C15:D15"/>
    <mergeCell ref="C11:D11"/>
    <mergeCell ref="B6:J7"/>
    <mergeCell ref="B10:I10"/>
    <mergeCell ref="B9:J9"/>
    <mergeCell ref="C14:D14"/>
    <mergeCell ref="C13:D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
  <sheetViews>
    <sheetView zoomScaleNormal="100" workbookViewId="0">
      <selection activeCell="B20" sqref="B20"/>
    </sheetView>
  </sheetViews>
  <sheetFormatPr defaultColWidth="9.140625" defaultRowHeight="15"/>
  <cols>
    <col min="1" max="1" width="21.42578125" style="30" customWidth="1"/>
    <col min="2" max="2" width="22.5703125" style="30" customWidth="1"/>
    <col min="3" max="3" width="14.140625" style="30" customWidth="1"/>
    <col min="4" max="4" width="11.5703125" style="30" customWidth="1"/>
    <col min="5" max="5" width="10.5703125" style="30" customWidth="1"/>
    <col min="6" max="6" width="12.7109375" style="30" customWidth="1"/>
    <col min="7" max="7" width="14" style="30" customWidth="1"/>
    <col min="8" max="1024" width="9.140625" style="30" customWidth="1"/>
  </cols>
  <sheetData>
    <row r="1" spans="1:7" ht="17.25" customHeight="1">
      <c r="A1" s="31" t="s">
        <v>15</v>
      </c>
      <c r="B1" s="32"/>
    </row>
    <row r="2" spans="1:7" ht="15" customHeight="1"/>
    <row r="3" spans="1:7" ht="14.25" customHeight="1">
      <c r="A3" s="1" t="s">
        <v>16</v>
      </c>
      <c r="B3" s="1" t="s">
        <v>17</v>
      </c>
      <c r="C3" s="219" t="s">
        <v>18</v>
      </c>
      <c r="D3" s="236"/>
      <c r="E3" s="236"/>
      <c r="F3" s="236"/>
      <c r="G3" s="237"/>
    </row>
    <row r="4" spans="1:7" ht="14.25" customHeight="1">
      <c r="A4" s="33">
        <v>1</v>
      </c>
      <c r="B4" s="34" t="s">
        <v>19</v>
      </c>
      <c r="C4" s="221" t="s">
        <v>19</v>
      </c>
      <c r="D4" s="238"/>
      <c r="E4" s="238"/>
      <c r="F4" s="238"/>
      <c r="G4" s="239"/>
    </row>
    <row r="5" spans="1:7" ht="14.25" customHeight="1">
      <c r="A5" s="33">
        <v>2</v>
      </c>
      <c r="B5" s="34" t="s">
        <v>20</v>
      </c>
      <c r="C5" s="221" t="s">
        <v>21</v>
      </c>
      <c r="D5" s="238"/>
      <c r="E5" s="238"/>
      <c r="F5" s="238"/>
      <c r="G5" s="239"/>
    </row>
    <row r="6" spans="1:7" ht="14.25" customHeight="1">
      <c r="A6" s="33">
        <v>3</v>
      </c>
      <c r="B6" s="34" t="s">
        <v>22</v>
      </c>
      <c r="C6" s="221" t="s">
        <v>23</v>
      </c>
      <c r="D6" s="238"/>
      <c r="E6" s="238"/>
      <c r="F6" s="238"/>
      <c r="G6" s="239"/>
    </row>
    <row r="7" spans="1:7" ht="14.25" customHeight="1">
      <c r="A7" s="33">
        <v>4</v>
      </c>
      <c r="B7" s="34" t="s">
        <v>24</v>
      </c>
      <c r="C7" s="221" t="s">
        <v>25</v>
      </c>
      <c r="D7" s="238"/>
      <c r="E7" s="238"/>
      <c r="F7" s="238"/>
      <c r="G7" s="239"/>
    </row>
    <row r="8" spans="1:7" ht="15" customHeight="1">
      <c r="A8" s="35"/>
      <c r="B8" s="36"/>
      <c r="C8" s="36"/>
      <c r="D8" s="36"/>
      <c r="E8" s="36"/>
    </row>
    <row r="9" spans="1:7" ht="14.25" customHeight="1">
      <c r="A9" s="1" t="s">
        <v>26</v>
      </c>
      <c r="B9" s="1" t="s">
        <v>27</v>
      </c>
      <c r="C9" s="222" t="s">
        <v>28</v>
      </c>
      <c r="D9" s="240"/>
      <c r="E9" s="241"/>
      <c r="F9" s="1" t="s">
        <v>29</v>
      </c>
      <c r="G9" s="1" t="s">
        <v>30</v>
      </c>
    </row>
    <row r="10" spans="1:7" ht="14.25" customHeight="1">
      <c r="A10" s="37">
        <v>46153</v>
      </c>
      <c r="B10" s="38" t="s">
        <v>31</v>
      </c>
      <c r="C10" s="220" t="s">
        <v>32</v>
      </c>
      <c r="D10" s="238"/>
      <c r="E10" s="242"/>
      <c r="F10" s="39">
        <v>1</v>
      </c>
      <c r="G10" s="40"/>
    </row>
  </sheetData>
  <mergeCells count="7">
    <mergeCell ref="C3:G3"/>
    <mergeCell ref="C10:E10"/>
    <mergeCell ref="C7:G7"/>
    <mergeCell ref="C4:G4"/>
    <mergeCell ref="C6:G6"/>
    <mergeCell ref="C9:E9"/>
    <mergeCell ref="C5:G5"/>
  </mergeCells>
  <hyperlinks>
    <hyperlink ref="B4" location="Cover!A1" display="Cover" xr:uid="{00000000-0004-0000-0100-000000000000}"/>
    <hyperlink ref="B5" location="Records!A1" display="Records" xr:uid="{00000000-0004-0000-0100-000001000000}"/>
    <hyperlink ref="B6" location="Funtion!A1" display="Function" xr:uid="{00000000-0004-0000-0100-000002000000}"/>
    <hyperlink ref="B7" location="'Screen Element'!A1" display="Screen Element" xr:uid="{00000000-0004-0000-0100-000003000000}"/>
  </hyperlink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7"/>
  <sheetViews>
    <sheetView topLeftCell="A49" zoomScaleNormal="100" workbookViewId="0">
      <selection activeCell="I60" sqref="I60"/>
    </sheetView>
  </sheetViews>
  <sheetFormatPr defaultColWidth="8.7109375" defaultRowHeight="15"/>
  <cols>
    <col min="1" max="1" width="24.140625" customWidth="1"/>
    <col min="2" max="2" width="15.42578125" customWidth="1"/>
    <col min="3" max="3" width="16" customWidth="1"/>
    <col min="4" max="5" width="15.42578125" customWidth="1"/>
    <col min="6" max="6" width="19.42578125" customWidth="1"/>
    <col min="9" max="9" width="12" customWidth="1"/>
  </cols>
  <sheetData>
    <row r="1" spans="1:8" ht="14.25" customHeight="1">
      <c r="A1" s="41"/>
      <c r="B1" s="42"/>
      <c r="C1" s="42"/>
      <c r="D1" s="42"/>
      <c r="E1" s="42"/>
      <c r="F1" s="42"/>
      <c r="G1" s="42"/>
      <c r="H1" s="43"/>
    </row>
    <row r="2" spans="1:8" ht="27.75" customHeight="1">
      <c r="A2" s="44"/>
      <c r="B2" s="45" t="s">
        <v>33</v>
      </c>
      <c r="C2" s="44"/>
      <c r="D2" s="44"/>
      <c r="E2" s="44"/>
      <c r="F2" s="44"/>
      <c r="G2" s="44"/>
      <c r="H2" s="44"/>
    </row>
    <row r="3" spans="1:8" ht="14.25" customHeight="1">
      <c r="A3" s="44"/>
      <c r="B3" s="44"/>
      <c r="C3" s="44"/>
      <c r="D3" s="44"/>
      <c r="E3" s="44"/>
      <c r="F3" s="44"/>
      <c r="G3" s="44"/>
      <c r="H3" s="44"/>
    </row>
    <row r="4" spans="1:8" ht="15" customHeight="1">
      <c r="A4" s="44"/>
      <c r="B4" s="44"/>
      <c r="C4" s="44"/>
      <c r="D4" s="44"/>
      <c r="E4" s="44"/>
      <c r="F4" s="44"/>
      <c r="G4" s="44"/>
      <c r="H4" s="44"/>
    </row>
    <row r="5" spans="1:8" ht="33" customHeight="1">
      <c r="A5" s="46" t="s">
        <v>34</v>
      </c>
      <c r="B5" s="227" t="e">
        <f>#NAME?</f>
        <v>#NAME?</v>
      </c>
      <c r="C5" s="237"/>
      <c r="D5" s="47" t="s">
        <v>35</v>
      </c>
      <c r="E5" s="48"/>
      <c r="F5" s="225"/>
      <c r="G5" s="236"/>
      <c r="H5" s="243"/>
    </row>
    <row r="6" spans="1:8" ht="14.25" customHeight="1">
      <c r="A6" s="49" t="s">
        <v>36</v>
      </c>
      <c r="B6" s="223"/>
      <c r="C6" s="244"/>
      <c r="D6" s="50" t="s">
        <v>37</v>
      </c>
      <c r="E6" s="51"/>
      <c r="F6" s="224"/>
      <c r="G6" s="245"/>
      <c r="H6" s="246"/>
    </row>
    <row r="7" spans="1:8" ht="14.25" customHeight="1">
      <c r="A7" s="49" t="s">
        <v>38</v>
      </c>
      <c r="B7" s="226"/>
      <c r="C7" s="244"/>
      <c r="D7" s="50" t="s">
        <v>39</v>
      </c>
      <c r="E7" s="51"/>
      <c r="F7" s="230"/>
      <c r="G7" s="245"/>
      <c r="H7" s="246"/>
    </row>
    <row r="8" spans="1:8" ht="14.25" customHeight="1">
      <c r="A8" s="49" t="s">
        <v>40</v>
      </c>
      <c r="B8" s="226"/>
      <c r="C8" s="244"/>
      <c r="D8" s="50" t="s">
        <v>41</v>
      </c>
      <c r="E8" s="51"/>
      <c r="F8" s="224"/>
      <c r="G8" s="245"/>
      <c r="H8" s="246"/>
    </row>
    <row r="9" spans="1:8" ht="14.25" customHeight="1">
      <c r="A9" s="49" t="s">
        <v>42</v>
      </c>
      <c r="B9" s="52" t="s">
        <v>43</v>
      </c>
      <c r="C9" s="53"/>
      <c r="D9" s="50"/>
      <c r="E9" s="51"/>
      <c r="F9" s="54"/>
      <c r="G9" s="55"/>
      <c r="H9" s="56"/>
    </row>
    <row r="10" spans="1:8" ht="14.25" customHeight="1">
      <c r="A10" s="49" t="s">
        <v>44</v>
      </c>
      <c r="B10" s="229"/>
      <c r="C10" s="247"/>
      <c r="D10" s="50"/>
      <c r="E10" s="51"/>
      <c r="F10" s="224"/>
      <c r="G10" s="245"/>
      <c r="H10" s="246"/>
    </row>
    <row r="11" spans="1:8" ht="14.25" customHeight="1">
      <c r="A11" s="228" t="s">
        <v>45</v>
      </c>
      <c r="B11" s="238"/>
      <c r="C11" s="57"/>
      <c r="D11" s="57"/>
      <c r="E11" s="57"/>
      <c r="F11" s="57"/>
      <c r="G11" s="57"/>
      <c r="H11" s="58"/>
    </row>
    <row r="12" spans="1:8" ht="14.25" customHeight="1">
      <c r="A12" s="59" t="s">
        <v>46</v>
      </c>
      <c r="B12" s="60"/>
      <c r="C12" s="61"/>
      <c r="D12" s="61"/>
      <c r="E12" s="61"/>
      <c r="F12" s="61"/>
      <c r="G12" s="61"/>
      <c r="H12" s="62"/>
    </row>
    <row r="13" spans="1:8" ht="14.25" customHeight="1">
      <c r="A13" s="63" t="s">
        <v>47</v>
      </c>
      <c r="B13" s="64"/>
      <c r="C13" s="65"/>
      <c r="D13" s="65"/>
      <c r="E13" s="65"/>
      <c r="F13" s="65"/>
      <c r="G13" s="65"/>
      <c r="H13" s="66"/>
    </row>
    <row r="14" spans="1:8" ht="14.25" customHeight="1">
      <c r="A14" s="67" t="s">
        <v>48</v>
      </c>
      <c r="B14" s="68" t="s">
        <v>49</v>
      </c>
      <c r="C14" s="69" t="s">
        <v>50</v>
      </c>
      <c r="D14" s="69" t="s">
        <v>51</v>
      </c>
      <c r="E14" s="69" t="s">
        <v>52</v>
      </c>
      <c r="F14" s="69" t="s">
        <v>53</v>
      </c>
      <c r="G14" s="70" t="s">
        <v>54</v>
      </c>
      <c r="H14" s="71" t="s">
        <v>55</v>
      </c>
    </row>
    <row r="15" spans="1:8" ht="14.25" customHeight="1">
      <c r="A15" s="72" t="s">
        <v>55</v>
      </c>
      <c r="B15" s="73">
        <f t="shared" ref="B15:G15" si="0">SUM(B16:B18)</f>
        <v>190</v>
      </c>
      <c r="C15" s="73">
        <f t="shared" si="0"/>
        <v>0</v>
      </c>
      <c r="D15" s="73">
        <f t="shared" si="0"/>
        <v>0</v>
      </c>
      <c r="E15" s="73">
        <f t="shared" si="0"/>
        <v>0</v>
      </c>
      <c r="F15" s="73">
        <f t="shared" si="0"/>
        <v>0</v>
      </c>
      <c r="G15" s="73">
        <f t="shared" si="0"/>
        <v>69</v>
      </c>
      <c r="H15" s="74">
        <f>SUM(B15:G15)</f>
        <v>259</v>
      </c>
    </row>
    <row r="16" spans="1:8" ht="14.25" customHeight="1">
      <c r="A16" s="75" t="s">
        <v>56</v>
      </c>
      <c r="B16" s="76">
        <f>'Cấu hình điện'!E6</f>
        <v>104</v>
      </c>
      <c r="C16" s="76">
        <f>'Cấu hình điện'!E7</f>
        <v>0</v>
      </c>
      <c r="D16" s="76">
        <f>'Cấu hình điện'!E8</f>
        <v>0</v>
      </c>
      <c r="E16" s="76">
        <f>'Cấu hình điện'!E12</f>
        <v>0</v>
      </c>
      <c r="F16" s="76">
        <f>'Cấu hình điện'!E9</f>
        <v>0</v>
      </c>
      <c r="G16" s="76">
        <f>'Cấu hình điện'!E10</f>
        <v>15</v>
      </c>
      <c r="H16" s="76">
        <f>SUM(B16:G16)</f>
        <v>119</v>
      </c>
    </row>
    <row r="17" spans="1:8" ht="14.25" customHeight="1">
      <c r="A17" s="75" t="s">
        <v>57</v>
      </c>
      <c r="B17" s="76">
        <f>'Cấu hình chủ thể'!E6</f>
        <v>86</v>
      </c>
      <c r="C17" s="76">
        <f>'Cấu hình chủ thể'!E7</f>
        <v>0</v>
      </c>
      <c r="D17" s="76">
        <f>'Cấu hình chủ thể'!E8</f>
        <v>0</v>
      </c>
      <c r="E17" s="76">
        <f>'Cấu hình chủ thể'!E11</f>
        <v>0</v>
      </c>
      <c r="F17" s="76">
        <f>'Cấu hình chủ thể'!E10</f>
        <v>0</v>
      </c>
      <c r="G17" s="76">
        <f>'Cấu hình chủ thể'!E9</f>
        <v>54</v>
      </c>
      <c r="H17" s="76">
        <f>SUM(B17:G17)</f>
        <v>140</v>
      </c>
    </row>
    <row r="18" spans="1:8" ht="14.25" customHeight="1">
      <c r="A18" s="75" t="s">
        <v>58</v>
      </c>
      <c r="B18" s="76">
        <f>'Sàng lọc điện'!E6</f>
        <v>0</v>
      </c>
      <c r="C18" s="76">
        <f>'Sàng lọc điện'!E7</f>
        <v>0</v>
      </c>
      <c r="D18" s="76">
        <f>'Sàng lọc điện'!E11</f>
        <v>0</v>
      </c>
      <c r="E18" s="76">
        <f>'Sàng lọc điện'!E10</f>
        <v>0</v>
      </c>
      <c r="F18" s="76">
        <f>'Sàng lọc điện'!E9</f>
        <v>0</v>
      </c>
      <c r="G18" s="76">
        <f>'Sàng lọc điện'!E8</f>
        <v>0</v>
      </c>
      <c r="H18" s="76">
        <f>SUM(B18:G18)</f>
        <v>0</v>
      </c>
    </row>
    <row r="19" spans="1:8" ht="15" customHeight="1">
      <c r="A19" s="77" t="s">
        <v>59</v>
      </c>
    </row>
    <row r="20" spans="1:8" ht="15" customHeight="1">
      <c r="A20" s="75" t="s">
        <v>59</v>
      </c>
      <c r="H20" s="78">
        <f>IFERROR(SUM(B15,C15,F15)/H15, 0)</f>
        <v>0.73359073359073357</v>
      </c>
    </row>
    <row r="21" spans="1:8" ht="15" customHeight="1">
      <c r="A21" s="75" t="s">
        <v>60</v>
      </c>
      <c r="H21" s="78">
        <f>IFERROR(SUM(B15,F15)/H15, 0)</f>
        <v>0.73359073359073357</v>
      </c>
    </row>
    <row r="22" spans="1:8" ht="15" customHeight="1">
      <c r="A22" s="77" t="s">
        <v>61</v>
      </c>
      <c r="B22" t="s">
        <v>4</v>
      </c>
    </row>
    <row r="23" spans="1:8" ht="15" customHeight="1">
      <c r="A23" s="77" t="s">
        <v>62</v>
      </c>
    </row>
    <row r="24" spans="1:8" ht="15" customHeight="1">
      <c r="A24" s="77" t="s">
        <v>63</v>
      </c>
    </row>
    <row r="29" spans="1:8">
      <c r="A29" s="182" t="s">
        <v>64</v>
      </c>
    </row>
    <row r="30" spans="1:8" ht="25.5">
      <c r="A30" s="169" t="s">
        <v>48</v>
      </c>
      <c r="B30" s="170" t="s">
        <v>49</v>
      </c>
      <c r="C30" s="171" t="s">
        <v>50</v>
      </c>
      <c r="D30" s="171" t="s">
        <v>51</v>
      </c>
      <c r="E30" s="171" t="s">
        <v>52</v>
      </c>
      <c r="F30" s="171" t="s">
        <v>53</v>
      </c>
      <c r="G30" s="172" t="s">
        <v>54</v>
      </c>
      <c r="H30" s="173" t="s">
        <v>55</v>
      </c>
    </row>
    <row r="31" spans="1:8">
      <c r="A31" s="174" t="s">
        <v>55</v>
      </c>
      <c r="B31" s="161">
        <f t="shared" ref="B31:G31" si="1">SUM(B32:B96)</f>
        <v>667</v>
      </c>
      <c r="C31" s="161">
        <f t="shared" si="1"/>
        <v>1</v>
      </c>
      <c r="D31" s="161">
        <f t="shared" si="1"/>
        <v>0</v>
      </c>
      <c r="E31" s="161">
        <f t="shared" si="1"/>
        <v>0</v>
      </c>
      <c r="F31" s="161">
        <f t="shared" si="1"/>
        <v>0</v>
      </c>
      <c r="G31" s="161">
        <f t="shared" si="1"/>
        <v>103</v>
      </c>
      <c r="H31" s="162">
        <f t="shared" ref="H31:H38" si="2">SUM(B31:G31)</f>
        <v>771</v>
      </c>
    </row>
    <row r="32" spans="1:8">
      <c r="A32" s="177" t="s">
        <v>56</v>
      </c>
      <c r="B32" s="178">
        <f t="shared" ref="B32:G32" si="3">SUM(B33,B39,B47,B51,B56)</f>
        <v>104</v>
      </c>
      <c r="C32" s="178">
        <f t="shared" si="3"/>
        <v>0</v>
      </c>
      <c r="D32" s="178">
        <f t="shared" si="3"/>
        <v>0</v>
      </c>
      <c r="E32" s="178">
        <f t="shared" si="3"/>
        <v>0</v>
      </c>
      <c r="F32" s="178">
        <f t="shared" si="3"/>
        <v>0</v>
      </c>
      <c r="G32" s="178">
        <f t="shared" si="3"/>
        <v>0</v>
      </c>
      <c r="H32" s="178">
        <f t="shared" si="2"/>
        <v>104</v>
      </c>
    </row>
    <row r="33" spans="1:8">
      <c r="A33" s="164" t="s">
        <v>65</v>
      </c>
      <c r="B33" s="163">
        <f t="shared" ref="B33:G33" si="4">SUM(B34:B38)</f>
        <v>20</v>
      </c>
      <c r="C33" s="163">
        <f t="shared" si="4"/>
        <v>0</v>
      </c>
      <c r="D33" s="163">
        <f t="shared" si="4"/>
        <v>0</v>
      </c>
      <c r="E33" s="163">
        <f t="shared" si="4"/>
        <v>0</v>
      </c>
      <c r="F33" s="163">
        <f t="shared" si="4"/>
        <v>0</v>
      </c>
      <c r="G33" s="163">
        <f t="shared" si="4"/>
        <v>0</v>
      </c>
      <c r="H33" s="163">
        <f t="shared" si="2"/>
        <v>20</v>
      </c>
    </row>
    <row r="34" spans="1:8">
      <c r="A34" s="165" t="s">
        <v>66</v>
      </c>
      <c r="B34" s="163">
        <f>COUNTIFS('Cấu hình điện'!$O:$O,'Test Report'!$A34,'Cấu hình điện'!$K:$K,'Test Report'!B$30)</f>
        <v>4</v>
      </c>
      <c r="C34" s="163">
        <f>COUNTIFS('Cấu hình điện'!$O:$O,'Test Report'!$A34,'Cấu hình điện'!$K:$K,'Test Report'!C$30)</f>
        <v>0</v>
      </c>
      <c r="D34" s="163">
        <f>COUNTIFS('Cấu hình điện'!$O:$O,'Test Report'!$A34,'Cấu hình điện'!$K:$K,'Test Report'!D$30)</f>
        <v>0</v>
      </c>
      <c r="E34" s="163">
        <f>COUNTIFS('Cấu hình điện'!$O:$O,'Test Report'!$A34,'Cấu hình điện'!$K:$K,'Test Report'!E$30)</f>
        <v>0</v>
      </c>
      <c r="F34" s="163">
        <f>COUNTIFS('Cấu hình điện'!$O:$O,'Test Report'!$A34,'Cấu hình điện'!$K:$K,'Test Report'!F$30)</f>
        <v>0</v>
      </c>
      <c r="G34" s="163">
        <f>COUNTIFS('Cấu hình điện'!$O:$O,'Test Report'!$A34,'Cấu hình điện'!$K:$K,'Test Report'!G$30)</f>
        <v>0</v>
      </c>
      <c r="H34" s="163">
        <f t="shared" si="2"/>
        <v>4</v>
      </c>
    </row>
    <row r="35" spans="1:8">
      <c r="A35" s="165" t="s">
        <v>67</v>
      </c>
      <c r="B35" s="163">
        <f>COUNTIFS('Cấu hình điện'!$O:$O,'Test Report'!$A35,'Cấu hình điện'!$K:$K,'Test Report'!B$30)</f>
        <v>4</v>
      </c>
      <c r="C35" s="163">
        <f>COUNTIFS('Cấu hình điện'!$O:$O,'Test Report'!$A35,'Cấu hình điện'!$K:$K,'Test Report'!C$30)</f>
        <v>0</v>
      </c>
      <c r="D35" s="163">
        <f>COUNTIFS('Cấu hình điện'!$O:$O,'Test Report'!$A35,'Cấu hình điện'!$K:$K,'Test Report'!D$30)</f>
        <v>0</v>
      </c>
      <c r="E35" s="163">
        <f>COUNTIFS('Cấu hình điện'!$O:$O,'Test Report'!$A35,'Cấu hình điện'!$K:$K,'Test Report'!E$30)</f>
        <v>0</v>
      </c>
      <c r="F35" s="163">
        <f>COUNTIFS('Cấu hình điện'!$O:$O,'Test Report'!$A35,'Cấu hình điện'!$K:$K,'Test Report'!F$30)</f>
        <v>0</v>
      </c>
      <c r="G35" s="163">
        <f>COUNTIFS('Cấu hình điện'!$O:$O,'Test Report'!$A35,'Cấu hình điện'!$K:$K,'Test Report'!G$30)</f>
        <v>0</v>
      </c>
      <c r="H35" s="163">
        <f t="shared" si="2"/>
        <v>4</v>
      </c>
    </row>
    <row r="36" spans="1:8">
      <c r="A36" s="165" t="s">
        <v>68</v>
      </c>
      <c r="B36" s="163">
        <f>COUNTIFS('Cấu hình điện'!$O:$O,'Test Report'!$A36,'Cấu hình điện'!$K:$K,'Test Report'!B$30)</f>
        <v>4</v>
      </c>
      <c r="C36" s="163">
        <f>COUNTIFS('Cấu hình điện'!$O:$O,'Test Report'!$A36,'Cấu hình điện'!$K:$K,'Test Report'!C$30)</f>
        <v>0</v>
      </c>
      <c r="D36" s="163">
        <f>COUNTIFS('Cấu hình điện'!$O:$O,'Test Report'!$A36,'Cấu hình điện'!$K:$K,'Test Report'!D$30)</f>
        <v>0</v>
      </c>
      <c r="E36" s="163">
        <f>COUNTIFS('Cấu hình điện'!$O:$O,'Test Report'!$A36,'Cấu hình điện'!$K:$K,'Test Report'!E$30)</f>
        <v>0</v>
      </c>
      <c r="F36" s="163">
        <f>COUNTIFS('Cấu hình điện'!$O:$O,'Test Report'!$A36,'Cấu hình điện'!$K:$K,'Test Report'!F$30)</f>
        <v>0</v>
      </c>
      <c r="G36" s="163">
        <f>COUNTIFS('Cấu hình điện'!$O:$O,'Test Report'!$A36,'Cấu hình điện'!$K:$K,'Test Report'!G$30)</f>
        <v>0</v>
      </c>
      <c r="H36" s="163">
        <f t="shared" si="2"/>
        <v>4</v>
      </c>
    </row>
    <row r="37" spans="1:8">
      <c r="A37" s="165" t="s">
        <v>69</v>
      </c>
      <c r="B37" s="163">
        <f>COUNTIFS('Cấu hình điện'!$O:$O,'Test Report'!$A37,'Cấu hình điện'!$K:$K,'Test Report'!B$30)</f>
        <v>4</v>
      </c>
      <c r="C37" s="163">
        <f>COUNTIFS('Cấu hình điện'!$O:$O,'Test Report'!$A37,'Cấu hình điện'!$K:$K,'Test Report'!C$30)</f>
        <v>0</v>
      </c>
      <c r="D37" s="163">
        <f>COUNTIFS('Cấu hình điện'!$O:$O,'Test Report'!$A37,'Cấu hình điện'!$K:$K,'Test Report'!D$30)</f>
        <v>0</v>
      </c>
      <c r="E37" s="163">
        <f>COUNTIFS('Cấu hình điện'!$O:$O,'Test Report'!$A37,'Cấu hình điện'!$K:$K,'Test Report'!E$30)</f>
        <v>0</v>
      </c>
      <c r="F37" s="163">
        <f>COUNTIFS('Cấu hình điện'!$O:$O,'Test Report'!$A37,'Cấu hình điện'!$K:$K,'Test Report'!F$30)</f>
        <v>0</v>
      </c>
      <c r="G37" s="163">
        <f>COUNTIFS('Cấu hình điện'!$O:$O,'Test Report'!$A37,'Cấu hình điện'!$K:$K,'Test Report'!G$30)</f>
        <v>0</v>
      </c>
      <c r="H37" s="163">
        <f t="shared" si="2"/>
        <v>4</v>
      </c>
    </row>
    <row r="38" spans="1:8">
      <c r="A38" s="165" t="s">
        <v>70</v>
      </c>
      <c r="B38" s="163">
        <f>COUNTIFS('Cấu hình điện'!$O:$O,'Test Report'!$A38,'Cấu hình điện'!$K:$K,'Test Report'!B$30)</f>
        <v>4</v>
      </c>
      <c r="C38" s="163">
        <f>COUNTIFS('Cấu hình điện'!$O:$O,'Test Report'!$A38,'Cấu hình điện'!$K:$K,'Test Report'!C$30)</f>
        <v>0</v>
      </c>
      <c r="D38" s="163">
        <f>COUNTIFS('Cấu hình điện'!$O:$O,'Test Report'!$A38,'Cấu hình điện'!$K:$K,'Test Report'!D$30)</f>
        <v>0</v>
      </c>
      <c r="E38" s="163">
        <f>COUNTIFS('Cấu hình điện'!$O:$O,'Test Report'!$A38,'Cấu hình điện'!$K:$K,'Test Report'!E$30)</f>
        <v>0</v>
      </c>
      <c r="F38" s="163">
        <f>COUNTIFS('Cấu hình điện'!$O:$O,'Test Report'!$A38,'Cấu hình điện'!$K:$K,'Test Report'!F$30)</f>
        <v>0</v>
      </c>
      <c r="G38" s="163">
        <f>COUNTIFS('Cấu hình điện'!$O:$O,'Test Report'!$A38,'Cấu hình điện'!$K:$K,'Test Report'!G$30)</f>
        <v>0</v>
      </c>
      <c r="H38" s="163">
        <f t="shared" si="2"/>
        <v>4</v>
      </c>
    </row>
    <row r="39" spans="1:8">
      <c r="A39" s="164" t="s">
        <v>71</v>
      </c>
      <c r="B39" s="163">
        <f t="shared" ref="B39:H39" si="5">SUM(B40:B46)</f>
        <v>28</v>
      </c>
      <c r="C39" s="163">
        <f t="shared" si="5"/>
        <v>0</v>
      </c>
      <c r="D39" s="163">
        <f t="shared" si="5"/>
        <v>0</v>
      </c>
      <c r="E39" s="163">
        <f t="shared" si="5"/>
        <v>0</v>
      </c>
      <c r="F39" s="163">
        <f t="shared" si="5"/>
        <v>0</v>
      </c>
      <c r="G39" s="163">
        <f t="shared" si="5"/>
        <v>0</v>
      </c>
      <c r="H39" s="163">
        <f t="shared" si="5"/>
        <v>28</v>
      </c>
    </row>
    <row r="40" spans="1:8">
      <c r="A40" s="165" t="s">
        <v>72</v>
      </c>
      <c r="B40" s="163">
        <f>COUNTIFS('Cấu hình điện'!$O:$O,'Test Report'!$A40,'Cấu hình điện'!$K:$K,'Test Report'!B$30)</f>
        <v>4</v>
      </c>
      <c r="C40" s="163">
        <f>COUNTIFS('Cấu hình điện'!$O:$O,'Test Report'!$A40,'Cấu hình điện'!$K:$K,'Test Report'!C$30)</f>
        <v>0</v>
      </c>
      <c r="D40" s="163">
        <f>COUNTIFS('Cấu hình điện'!$O:$O,'Test Report'!$A40,'Cấu hình điện'!$K:$K,'Test Report'!D$30)</f>
        <v>0</v>
      </c>
      <c r="E40" s="163">
        <f>COUNTIFS('Cấu hình điện'!$O:$O,'Test Report'!$A40,'Cấu hình điện'!$K:$K,'Test Report'!E$30)</f>
        <v>0</v>
      </c>
      <c r="F40" s="163">
        <f>COUNTIFS('Cấu hình điện'!$O:$O,'Test Report'!$A40,'Cấu hình điện'!$K:$K,'Test Report'!F$30)</f>
        <v>0</v>
      </c>
      <c r="G40" s="163">
        <f>COUNTIFS('Cấu hình điện'!$O:$O,'Test Report'!$A40,'Cấu hình điện'!$K:$K,'Test Report'!G$30)</f>
        <v>0</v>
      </c>
      <c r="H40" s="163">
        <f t="shared" ref="H40:H46" si="6">SUM(B40:G40)</f>
        <v>4</v>
      </c>
    </row>
    <row r="41" spans="1:8">
      <c r="A41" s="165" t="s">
        <v>73</v>
      </c>
      <c r="B41" s="163">
        <f>COUNTIFS('Cấu hình điện'!$O:$O,'Test Report'!$A41,'Cấu hình điện'!$K:$K,'Test Report'!B$30)</f>
        <v>4</v>
      </c>
      <c r="C41" s="163">
        <f>COUNTIFS('Cấu hình điện'!$O:$O,'Test Report'!$A41,'Cấu hình điện'!$K:$K,'Test Report'!C$30)</f>
        <v>0</v>
      </c>
      <c r="D41" s="163">
        <f>COUNTIFS('Cấu hình điện'!$O:$O,'Test Report'!$A41,'Cấu hình điện'!$K:$K,'Test Report'!D$30)</f>
        <v>0</v>
      </c>
      <c r="E41" s="163">
        <f>COUNTIFS('Cấu hình điện'!$O:$O,'Test Report'!$A41,'Cấu hình điện'!$K:$K,'Test Report'!E$30)</f>
        <v>0</v>
      </c>
      <c r="F41" s="163">
        <f>COUNTIFS('Cấu hình điện'!$O:$O,'Test Report'!$A41,'Cấu hình điện'!$K:$K,'Test Report'!F$30)</f>
        <v>0</v>
      </c>
      <c r="G41" s="163">
        <f>COUNTIFS('Cấu hình điện'!$O:$O,'Test Report'!$A41,'Cấu hình điện'!$K:$K,'Test Report'!G$30)</f>
        <v>0</v>
      </c>
      <c r="H41" s="163">
        <f t="shared" si="6"/>
        <v>4</v>
      </c>
    </row>
    <row r="42" spans="1:8">
      <c r="A42" s="165" t="s">
        <v>74</v>
      </c>
      <c r="B42" s="163">
        <f>COUNTIFS('Cấu hình điện'!$O:$O,'Test Report'!$A42,'Cấu hình điện'!$K:$K,'Test Report'!B$30)</f>
        <v>4</v>
      </c>
      <c r="C42" s="163">
        <f>COUNTIFS('Cấu hình điện'!$O:$O,'Test Report'!$A42,'Cấu hình điện'!$K:$K,'Test Report'!C$30)</f>
        <v>0</v>
      </c>
      <c r="D42" s="163">
        <f>COUNTIFS('Cấu hình điện'!$O:$O,'Test Report'!$A42,'Cấu hình điện'!$K:$K,'Test Report'!D$30)</f>
        <v>0</v>
      </c>
      <c r="E42" s="163">
        <f>COUNTIFS('Cấu hình điện'!$O:$O,'Test Report'!$A42,'Cấu hình điện'!$K:$K,'Test Report'!E$30)</f>
        <v>0</v>
      </c>
      <c r="F42" s="163">
        <f>COUNTIFS('Cấu hình điện'!$O:$O,'Test Report'!$A42,'Cấu hình điện'!$K:$K,'Test Report'!F$30)</f>
        <v>0</v>
      </c>
      <c r="G42" s="163">
        <f>COUNTIFS('Cấu hình điện'!$O:$O,'Test Report'!$A42,'Cấu hình điện'!$K:$K,'Test Report'!G$30)</f>
        <v>0</v>
      </c>
      <c r="H42" s="163">
        <f t="shared" si="6"/>
        <v>4</v>
      </c>
    </row>
    <row r="43" spans="1:8">
      <c r="A43" s="165" t="s">
        <v>75</v>
      </c>
      <c r="B43" s="163">
        <f>COUNTIFS('Cấu hình điện'!$O:$O,'Test Report'!$A43,'Cấu hình điện'!$K:$K,'Test Report'!B$30)</f>
        <v>4</v>
      </c>
      <c r="C43" s="163">
        <f>COUNTIFS('Cấu hình điện'!$O:$O,'Test Report'!$A43,'Cấu hình điện'!$K:$K,'Test Report'!C$30)</f>
        <v>0</v>
      </c>
      <c r="D43" s="163">
        <f>COUNTIFS('Cấu hình điện'!$O:$O,'Test Report'!$A43,'Cấu hình điện'!$K:$K,'Test Report'!D$30)</f>
        <v>0</v>
      </c>
      <c r="E43" s="163">
        <f>COUNTIFS('Cấu hình điện'!$O:$O,'Test Report'!$A43,'Cấu hình điện'!$K:$K,'Test Report'!E$30)</f>
        <v>0</v>
      </c>
      <c r="F43" s="163">
        <f>COUNTIFS('Cấu hình điện'!$O:$O,'Test Report'!$A43,'Cấu hình điện'!$K:$K,'Test Report'!F$30)</f>
        <v>0</v>
      </c>
      <c r="G43" s="163">
        <f>COUNTIFS('Cấu hình điện'!$O:$O,'Test Report'!$A43,'Cấu hình điện'!$K:$K,'Test Report'!G$30)</f>
        <v>0</v>
      </c>
      <c r="H43" s="163">
        <f t="shared" si="6"/>
        <v>4</v>
      </c>
    </row>
    <row r="44" spans="1:8">
      <c r="A44" s="165" t="s">
        <v>76</v>
      </c>
      <c r="B44" s="163">
        <f>COUNTIFS('Cấu hình điện'!$O:$O,'Test Report'!$A44,'Cấu hình điện'!$K:$K,'Test Report'!B$30)</f>
        <v>4</v>
      </c>
      <c r="C44" s="163">
        <f>COUNTIFS('Cấu hình điện'!$O:$O,'Test Report'!$A44,'Cấu hình điện'!$K:$K,'Test Report'!C$30)</f>
        <v>0</v>
      </c>
      <c r="D44" s="163">
        <f>COUNTIFS('Cấu hình điện'!$O:$O,'Test Report'!$A44,'Cấu hình điện'!$K:$K,'Test Report'!D$30)</f>
        <v>0</v>
      </c>
      <c r="E44" s="163">
        <f>COUNTIFS('Cấu hình điện'!$O:$O,'Test Report'!$A44,'Cấu hình điện'!$K:$K,'Test Report'!E$30)</f>
        <v>0</v>
      </c>
      <c r="F44" s="163">
        <f>COUNTIFS('Cấu hình điện'!$O:$O,'Test Report'!$A44,'Cấu hình điện'!$K:$K,'Test Report'!F$30)</f>
        <v>0</v>
      </c>
      <c r="G44" s="163">
        <f>COUNTIFS('Cấu hình điện'!$O:$O,'Test Report'!$A44,'Cấu hình điện'!$K:$K,'Test Report'!G$30)</f>
        <v>0</v>
      </c>
      <c r="H44" s="163">
        <f t="shared" si="6"/>
        <v>4</v>
      </c>
    </row>
    <row r="45" spans="1:8">
      <c r="A45" s="165" t="s">
        <v>77</v>
      </c>
      <c r="B45" s="163">
        <f>COUNTIFS('Cấu hình điện'!$O:$O,'Test Report'!$A45,'Cấu hình điện'!$K:$K,'Test Report'!B$30)</f>
        <v>4</v>
      </c>
      <c r="C45" s="163">
        <f>COUNTIFS('Cấu hình điện'!$O:$O,'Test Report'!$A45,'Cấu hình điện'!$K:$K,'Test Report'!C$30)</f>
        <v>0</v>
      </c>
      <c r="D45" s="163">
        <f>COUNTIFS('Cấu hình điện'!$O:$O,'Test Report'!$A45,'Cấu hình điện'!$K:$K,'Test Report'!D$30)</f>
        <v>0</v>
      </c>
      <c r="E45" s="163">
        <f>COUNTIFS('Cấu hình điện'!$O:$O,'Test Report'!$A45,'Cấu hình điện'!$K:$K,'Test Report'!E$30)</f>
        <v>0</v>
      </c>
      <c r="F45" s="163">
        <f>COUNTIFS('Cấu hình điện'!$O:$O,'Test Report'!$A45,'Cấu hình điện'!$K:$K,'Test Report'!F$30)</f>
        <v>0</v>
      </c>
      <c r="G45" s="163">
        <f>COUNTIFS('Cấu hình điện'!$O:$O,'Test Report'!$A45,'Cấu hình điện'!$K:$K,'Test Report'!G$30)</f>
        <v>0</v>
      </c>
      <c r="H45" s="163">
        <f t="shared" si="6"/>
        <v>4</v>
      </c>
    </row>
    <row r="46" spans="1:8">
      <c r="A46" s="166" t="s">
        <v>78</v>
      </c>
      <c r="B46" s="163">
        <f>COUNTIFS('Cấu hình điện'!$O:$O,'Test Report'!$A46,'Cấu hình điện'!$K:$K,'Test Report'!B$30)</f>
        <v>4</v>
      </c>
      <c r="C46" s="163">
        <f>COUNTIFS('Cấu hình điện'!$O:$O,'Test Report'!$A46,'Cấu hình điện'!$K:$K,'Test Report'!C$30)</f>
        <v>0</v>
      </c>
      <c r="D46" s="163">
        <f>COUNTIFS('Cấu hình điện'!$O:$O,'Test Report'!$A46,'Cấu hình điện'!$K:$K,'Test Report'!D$30)</f>
        <v>0</v>
      </c>
      <c r="E46" s="163">
        <f>COUNTIFS('Cấu hình điện'!$O:$O,'Test Report'!$A46,'Cấu hình điện'!$K:$K,'Test Report'!E$30)</f>
        <v>0</v>
      </c>
      <c r="F46" s="163">
        <f>COUNTIFS('Cấu hình điện'!$O:$O,'Test Report'!$A46,'Cấu hình điện'!$K:$K,'Test Report'!F$30)</f>
        <v>0</v>
      </c>
      <c r="G46" s="163">
        <f>COUNTIFS('Cấu hình điện'!$O:$O,'Test Report'!$A46,'Cấu hình điện'!$K:$K,'Test Report'!G$30)</f>
        <v>0</v>
      </c>
      <c r="H46" s="163">
        <f t="shared" si="6"/>
        <v>4</v>
      </c>
    </row>
    <row r="47" spans="1:8">
      <c r="A47" s="167" t="s">
        <v>79</v>
      </c>
      <c r="B47" s="163">
        <f t="shared" ref="B47:H47" si="7">SUM(B48:B50)</f>
        <v>12</v>
      </c>
      <c r="C47" s="163">
        <f t="shared" si="7"/>
        <v>0</v>
      </c>
      <c r="D47" s="163">
        <f t="shared" si="7"/>
        <v>0</v>
      </c>
      <c r="E47" s="163">
        <f t="shared" si="7"/>
        <v>0</v>
      </c>
      <c r="F47" s="163">
        <f t="shared" si="7"/>
        <v>0</v>
      </c>
      <c r="G47" s="163">
        <f t="shared" si="7"/>
        <v>0</v>
      </c>
      <c r="H47" s="163">
        <f t="shared" si="7"/>
        <v>12</v>
      </c>
    </row>
    <row r="48" spans="1:8">
      <c r="A48" s="168" t="s">
        <v>80</v>
      </c>
      <c r="B48" s="163">
        <f>COUNTIFS('Cấu hình điện'!$O:$O,'Test Report'!$A48,'Cấu hình điện'!$K:$K,'Test Report'!B$30)</f>
        <v>4</v>
      </c>
      <c r="C48" s="163">
        <f>COUNTIFS('Cấu hình điện'!$O:$O,'Test Report'!$A48,'Cấu hình điện'!$K:$K,'Test Report'!C$30)</f>
        <v>0</v>
      </c>
      <c r="D48" s="163">
        <f>COUNTIFS('Cấu hình điện'!$O:$O,'Test Report'!$A48,'Cấu hình điện'!$K:$K,'Test Report'!D$30)</f>
        <v>0</v>
      </c>
      <c r="E48" s="163">
        <f>COUNTIFS('Cấu hình điện'!$O:$O,'Test Report'!$A48,'Cấu hình điện'!$K:$K,'Test Report'!E$30)</f>
        <v>0</v>
      </c>
      <c r="F48" s="163">
        <f>COUNTIFS('Cấu hình điện'!$O:$O,'Test Report'!$A48,'Cấu hình điện'!$K:$K,'Test Report'!F$30)</f>
        <v>0</v>
      </c>
      <c r="G48" s="163">
        <f>COUNTIFS('Cấu hình điện'!$O:$O,'Test Report'!$A48,'Cấu hình điện'!$K:$K,'Test Report'!G$30)</f>
        <v>0</v>
      </c>
      <c r="H48" s="163">
        <f>SUM(B48:G48)</f>
        <v>4</v>
      </c>
    </row>
    <row r="49" spans="1:8">
      <c r="A49" s="168" t="s">
        <v>81</v>
      </c>
      <c r="B49" s="163">
        <f>COUNTIFS('Cấu hình điện'!$O:$O,'Test Report'!$A49,'Cấu hình điện'!$K:$K,'Test Report'!B$30)</f>
        <v>4</v>
      </c>
      <c r="C49" s="163">
        <f>COUNTIFS('Cấu hình điện'!$O:$O,'Test Report'!$A49,'Cấu hình điện'!$K:$K,'Test Report'!C$30)</f>
        <v>0</v>
      </c>
      <c r="D49" s="163">
        <f>COUNTIFS('Cấu hình điện'!$O:$O,'Test Report'!$A49,'Cấu hình điện'!$K:$K,'Test Report'!D$30)</f>
        <v>0</v>
      </c>
      <c r="E49" s="163">
        <f>COUNTIFS('Cấu hình điện'!$O:$O,'Test Report'!$A49,'Cấu hình điện'!$K:$K,'Test Report'!E$30)</f>
        <v>0</v>
      </c>
      <c r="F49" s="163">
        <f>COUNTIFS('Cấu hình điện'!$O:$O,'Test Report'!$A49,'Cấu hình điện'!$K:$K,'Test Report'!F$30)</f>
        <v>0</v>
      </c>
      <c r="G49" s="163">
        <f>COUNTIFS('Cấu hình điện'!$O:$O,'Test Report'!$A49,'Cấu hình điện'!$K:$K,'Test Report'!G$30)</f>
        <v>0</v>
      </c>
      <c r="H49" s="163">
        <f>SUM(B49:G49)</f>
        <v>4</v>
      </c>
    </row>
    <row r="50" spans="1:8">
      <c r="A50" s="168" t="s">
        <v>82</v>
      </c>
      <c r="B50" s="163">
        <f>COUNTIFS('Cấu hình điện'!$O:$O,'Test Report'!$A50,'Cấu hình điện'!$K:$K,'Test Report'!B$30)</f>
        <v>4</v>
      </c>
      <c r="C50" s="163">
        <f>COUNTIFS('Cấu hình điện'!$O:$O,'Test Report'!$A50,'Cấu hình điện'!$K:$K,'Test Report'!C$30)</f>
        <v>0</v>
      </c>
      <c r="D50" s="163">
        <f>COUNTIFS('Cấu hình điện'!$O:$O,'Test Report'!$A50,'Cấu hình điện'!$K:$K,'Test Report'!D$30)</f>
        <v>0</v>
      </c>
      <c r="E50" s="163">
        <f>COUNTIFS('Cấu hình điện'!$O:$O,'Test Report'!$A50,'Cấu hình điện'!$K:$K,'Test Report'!E$30)</f>
        <v>0</v>
      </c>
      <c r="F50" s="163">
        <f>COUNTIFS('Cấu hình điện'!$O:$O,'Test Report'!$A50,'Cấu hình điện'!$K:$K,'Test Report'!F$30)</f>
        <v>0</v>
      </c>
      <c r="G50" s="163">
        <f>COUNTIFS('Cấu hình điện'!$O:$O,'Test Report'!$A50,'Cấu hình điện'!$K:$K,'Test Report'!G$30)</f>
        <v>0</v>
      </c>
      <c r="H50" s="163">
        <f>SUM(B50:G50)</f>
        <v>4</v>
      </c>
    </row>
    <row r="51" spans="1:8">
      <c r="A51" s="167" t="s">
        <v>83</v>
      </c>
      <c r="B51" s="163">
        <f t="shared" ref="B51:H51" si="8">SUM(B52:B55)</f>
        <v>12</v>
      </c>
      <c r="C51" s="163">
        <f t="shared" si="8"/>
        <v>0</v>
      </c>
      <c r="D51" s="163">
        <f t="shared" si="8"/>
        <v>0</v>
      </c>
      <c r="E51" s="163">
        <f t="shared" si="8"/>
        <v>0</v>
      </c>
      <c r="F51" s="163">
        <f t="shared" si="8"/>
        <v>0</v>
      </c>
      <c r="G51" s="163">
        <f t="shared" si="8"/>
        <v>0</v>
      </c>
      <c r="H51" s="163">
        <f t="shared" si="8"/>
        <v>12</v>
      </c>
    </row>
    <row r="52" spans="1:8">
      <c r="A52" s="168" t="s">
        <v>84</v>
      </c>
      <c r="B52" s="163">
        <f>COUNTIFS('Cấu hình điện'!$O:$O,'Test Report'!$A52,'Cấu hình điện'!$K:$K,'Test Report'!B$30)</f>
        <v>4</v>
      </c>
      <c r="C52" s="163">
        <f>COUNTIFS('Cấu hình điện'!$O:$O,'Test Report'!$A52,'Cấu hình điện'!$K:$K,'Test Report'!C$30)</f>
        <v>0</v>
      </c>
      <c r="D52" s="163">
        <f>COUNTIFS('Cấu hình điện'!$O:$O,'Test Report'!$A52,'Cấu hình điện'!$K:$K,'Test Report'!D$30)</f>
        <v>0</v>
      </c>
      <c r="E52" s="163">
        <f>COUNTIFS('Cấu hình điện'!$O:$O,'Test Report'!$A52,'Cấu hình điện'!$K:$K,'Test Report'!E$30)</f>
        <v>0</v>
      </c>
      <c r="F52" s="163">
        <f>COUNTIFS('Cấu hình điện'!$O:$O,'Test Report'!$A52,'Cấu hình điện'!$K:$K,'Test Report'!F$30)</f>
        <v>0</v>
      </c>
      <c r="G52" s="163">
        <f>COUNTIFS('Cấu hình điện'!$O:$O,'Test Report'!$A52,'Cấu hình điện'!$K:$K,'Test Report'!G$30)</f>
        <v>0</v>
      </c>
      <c r="H52" s="163">
        <f>SUM(B52:G52)</f>
        <v>4</v>
      </c>
    </row>
    <row r="53" spans="1:8">
      <c r="A53" s="168" t="s">
        <v>85</v>
      </c>
      <c r="B53" s="163">
        <f>COUNTIFS('Cấu hình điện'!$O:$O,'Test Report'!$A53,'Cấu hình điện'!$K:$K,'Test Report'!B$30)</f>
        <v>0</v>
      </c>
      <c r="C53" s="163">
        <f>COUNTIFS('Cấu hình điện'!$O:$O,'Test Report'!$A53,'Cấu hình điện'!$K:$K,'Test Report'!C$30)</f>
        <v>0</v>
      </c>
      <c r="D53" s="163">
        <f>COUNTIFS('Cấu hình điện'!$O:$O,'Test Report'!$A53,'Cấu hình điện'!$K:$K,'Test Report'!D$30)</f>
        <v>0</v>
      </c>
      <c r="E53" s="163">
        <f>COUNTIFS('Cấu hình điện'!$O:$O,'Test Report'!$A53,'Cấu hình điện'!$K:$K,'Test Report'!E$30)</f>
        <v>0</v>
      </c>
      <c r="F53" s="163">
        <f>COUNTIFS('Cấu hình điện'!$O:$O,'Test Report'!$A53,'Cấu hình điện'!$K:$K,'Test Report'!F$30)</f>
        <v>0</v>
      </c>
      <c r="G53" s="163">
        <f>COUNTIFS('Cấu hình điện'!$O:$O,'Test Report'!$A53,'Cấu hình điện'!$K:$K,'Test Report'!G$30)</f>
        <v>0</v>
      </c>
      <c r="H53" s="163">
        <f>SUM(B53:G53)</f>
        <v>0</v>
      </c>
    </row>
    <row r="54" spans="1:8">
      <c r="A54" s="168" t="s">
        <v>86</v>
      </c>
      <c r="B54" s="163">
        <f>COUNTIFS('Cấu hình điện'!$O:$O,'Test Report'!$A54,'Cấu hình điện'!$K:$K,'Test Report'!B$30)</f>
        <v>4</v>
      </c>
      <c r="C54" s="163">
        <f>COUNTIFS('Cấu hình điện'!$O:$O,'Test Report'!$A54,'Cấu hình điện'!$K:$K,'Test Report'!C$30)</f>
        <v>0</v>
      </c>
      <c r="D54" s="163">
        <f>COUNTIFS('Cấu hình điện'!$O:$O,'Test Report'!$A54,'Cấu hình điện'!$K:$K,'Test Report'!D$30)</f>
        <v>0</v>
      </c>
      <c r="E54" s="163">
        <f>COUNTIFS('Cấu hình điện'!$O:$O,'Test Report'!$A54,'Cấu hình điện'!$K:$K,'Test Report'!E$30)</f>
        <v>0</v>
      </c>
      <c r="F54" s="163">
        <f>COUNTIFS('Cấu hình điện'!$O:$O,'Test Report'!$A54,'Cấu hình điện'!$K:$K,'Test Report'!F$30)</f>
        <v>0</v>
      </c>
      <c r="G54" s="163">
        <f>COUNTIFS('Cấu hình điện'!$O:$O,'Test Report'!$A54,'Cấu hình điện'!$K:$K,'Test Report'!G$30)</f>
        <v>0</v>
      </c>
      <c r="H54" s="163">
        <f>SUM(B54:G54)</f>
        <v>4</v>
      </c>
    </row>
    <row r="55" spans="1:8">
      <c r="A55" s="168" t="s">
        <v>87</v>
      </c>
      <c r="B55" s="163">
        <f>COUNTIFS('Cấu hình điện'!$O:$O,'Test Report'!$A55,'Cấu hình điện'!$K:$K,'Test Report'!B$30)</f>
        <v>4</v>
      </c>
      <c r="C55" s="163">
        <f>COUNTIFS('Cấu hình điện'!$O:$O,'Test Report'!$A55,'Cấu hình điện'!$K:$K,'Test Report'!C$30)</f>
        <v>0</v>
      </c>
      <c r="D55" s="163">
        <f>COUNTIFS('Cấu hình điện'!$O:$O,'Test Report'!$A55,'Cấu hình điện'!$K:$K,'Test Report'!D$30)</f>
        <v>0</v>
      </c>
      <c r="E55" s="163">
        <f>COUNTIFS('Cấu hình điện'!$O:$O,'Test Report'!$A55,'Cấu hình điện'!$K:$K,'Test Report'!E$30)</f>
        <v>0</v>
      </c>
      <c r="F55" s="163">
        <f>COUNTIFS('Cấu hình điện'!$O:$O,'Test Report'!$A55,'Cấu hình điện'!$K:$K,'Test Report'!F$30)</f>
        <v>0</v>
      </c>
      <c r="G55" s="163">
        <f>COUNTIFS('Cấu hình điện'!$O:$O,'Test Report'!$A55,'Cấu hình điện'!$K:$K,'Test Report'!G$30)</f>
        <v>0</v>
      </c>
      <c r="H55" s="163">
        <f>SUM(B55:G55)</f>
        <v>4</v>
      </c>
    </row>
    <row r="56" spans="1:8">
      <c r="A56" s="175" t="s">
        <v>88</v>
      </c>
      <c r="B56" s="176">
        <f t="shared" ref="B56:H56" si="9">SUM(B57:B63)</f>
        <v>32</v>
      </c>
      <c r="C56" s="176">
        <f t="shared" si="9"/>
        <v>0</v>
      </c>
      <c r="D56" s="176">
        <f t="shared" si="9"/>
        <v>0</v>
      </c>
      <c r="E56" s="176">
        <f t="shared" si="9"/>
        <v>0</v>
      </c>
      <c r="F56" s="176">
        <f t="shared" si="9"/>
        <v>0</v>
      </c>
      <c r="G56" s="176">
        <f t="shared" si="9"/>
        <v>0</v>
      </c>
      <c r="H56" s="176">
        <f t="shared" si="9"/>
        <v>32</v>
      </c>
    </row>
    <row r="57" spans="1:8">
      <c r="A57" s="168" t="s">
        <v>89</v>
      </c>
      <c r="B57" s="163">
        <f>COUNTIFS('Cấu hình điện'!$O:$O,'Test Report'!$A57,'Cấu hình điện'!$K:$K,'Test Report'!B$30)</f>
        <v>5</v>
      </c>
      <c r="C57" s="163">
        <f>COUNTIFS('Cấu hình điện'!$O:$O,'Test Report'!$A57,'Cấu hình điện'!$K:$K,'Test Report'!C$30)</f>
        <v>0</v>
      </c>
      <c r="D57" s="163">
        <f>COUNTIFS('Cấu hình điện'!$O:$O,'Test Report'!$A57,'Cấu hình điện'!$K:$K,'Test Report'!D$30)</f>
        <v>0</v>
      </c>
      <c r="E57" s="163">
        <f>COUNTIFS('Cấu hình điện'!$O:$O,'Test Report'!$A57,'Cấu hình điện'!$K:$K,'Test Report'!E$30)</f>
        <v>0</v>
      </c>
      <c r="F57" s="163">
        <f>COUNTIFS('Cấu hình điện'!$O:$O,'Test Report'!$A57,'Cấu hình điện'!$K:$K,'Test Report'!F$30)</f>
        <v>0</v>
      </c>
      <c r="G57" s="163">
        <f>COUNTIFS('Cấu hình điện'!$O:$O,'Test Report'!$A57,'Cấu hình điện'!$K:$K,'Test Report'!G$30)</f>
        <v>0</v>
      </c>
      <c r="H57" s="163">
        <f t="shared" ref="H57:H70" si="10">SUM(B57:G57)</f>
        <v>5</v>
      </c>
    </row>
    <row r="58" spans="1:8">
      <c r="A58" s="168" t="s">
        <v>90</v>
      </c>
      <c r="B58" s="163">
        <f>COUNTIFS('Cấu hình điện'!$O:$O,'Test Report'!$A58,'Cấu hình điện'!$K:$K,'Test Report'!B$30)</f>
        <v>5</v>
      </c>
      <c r="C58" s="163">
        <f>COUNTIFS('Cấu hình điện'!$O:$O,'Test Report'!$A58,'Cấu hình điện'!$K:$K,'Test Report'!C$30)</f>
        <v>0</v>
      </c>
      <c r="D58" s="163">
        <f>COUNTIFS('Cấu hình điện'!$O:$O,'Test Report'!$A58,'Cấu hình điện'!$K:$K,'Test Report'!D$30)</f>
        <v>0</v>
      </c>
      <c r="E58" s="163">
        <f>COUNTIFS('Cấu hình điện'!$O:$O,'Test Report'!$A58,'Cấu hình điện'!$K:$K,'Test Report'!E$30)</f>
        <v>0</v>
      </c>
      <c r="F58" s="163">
        <f>COUNTIFS('Cấu hình điện'!$O:$O,'Test Report'!$A58,'Cấu hình điện'!$K:$K,'Test Report'!F$30)</f>
        <v>0</v>
      </c>
      <c r="G58" s="163">
        <f>COUNTIFS('Cấu hình điện'!$O:$O,'Test Report'!$A58,'Cấu hình điện'!$K:$K,'Test Report'!G$30)</f>
        <v>0</v>
      </c>
      <c r="H58" s="163">
        <f t="shared" si="10"/>
        <v>5</v>
      </c>
    </row>
    <row r="59" spans="1:8">
      <c r="A59" s="168" t="s">
        <v>91</v>
      </c>
      <c r="B59" s="163">
        <f>COUNTIFS('Cấu hình điện'!$O:$O,'Test Report'!$A59,'Cấu hình điện'!$K:$K,'Test Report'!B$30)</f>
        <v>5</v>
      </c>
      <c r="C59" s="163">
        <f>COUNTIFS('Cấu hình điện'!$O:$O,'Test Report'!$A59,'Cấu hình điện'!$K:$K,'Test Report'!C$30)</f>
        <v>0</v>
      </c>
      <c r="D59" s="163">
        <f>COUNTIFS('Cấu hình điện'!$O:$O,'Test Report'!$A59,'Cấu hình điện'!$K:$K,'Test Report'!D$30)</f>
        <v>0</v>
      </c>
      <c r="E59" s="163">
        <f>COUNTIFS('Cấu hình điện'!$O:$O,'Test Report'!$A59,'Cấu hình điện'!$K:$K,'Test Report'!E$30)</f>
        <v>0</v>
      </c>
      <c r="F59" s="163">
        <f>COUNTIFS('Cấu hình điện'!$O:$O,'Test Report'!$A59,'Cấu hình điện'!$K:$K,'Test Report'!F$30)</f>
        <v>0</v>
      </c>
      <c r="G59" s="163">
        <f>COUNTIFS('Cấu hình điện'!$O:$O,'Test Report'!$A59,'Cấu hình điện'!$K:$K,'Test Report'!G$30)</f>
        <v>0</v>
      </c>
      <c r="H59" s="163">
        <f t="shared" si="10"/>
        <v>5</v>
      </c>
    </row>
    <row r="60" spans="1:8">
      <c r="A60" s="168" t="s">
        <v>92</v>
      </c>
      <c r="B60" s="163">
        <f>COUNTIFS('Cấu hình điện'!$O:$O,'Test Report'!$A60,'Cấu hình điện'!$K:$K,'Test Report'!B$30)</f>
        <v>4</v>
      </c>
      <c r="C60" s="163">
        <f>COUNTIFS('Cấu hình điện'!$O:$O,'Test Report'!$A60,'Cấu hình điện'!$K:$K,'Test Report'!C$30)</f>
        <v>0</v>
      </c>
      <c r="D60" s="163">
        <f>COUNTIFS('Cấu hình điện'!$O:$O,'Test Report'!$A60,'Cấu hình điện'!$K:$K,'Test Report'!D$30)</f>
        <v>0</v>
      </c>
      <c r="E60" s="163">
        <f>COUNTIFS('Cấu hình điện'!$O:$O,'Test Report'!$A60,'Cấu hình điện'!$K:$K,'Test Report'!E$30)</f>
        <v>0</v>
      </c>
      <c r="F60" s="163">
        <f>COUNTIFS('Cấu hình điện'!$O:$O,'Test Report'!$A60,'Cấu hình điện'!$K:$K,'Test Report'!F$30)</f>
        <v>0</v>
      </c>
      <c r="G60" s="163">
        <f>COUNTIFS('Cấu hình điện'!$O:$O,'Test Report'!$A60,'Cấu hình điện'!$K:$K,'Test Report'!G$30)</f>
        <v>0</v>
      </c>
      <c r="H60" s="163">
        <f t="shared" si="10"/>
        <v>4</v>
      </c>
    </row>
    <row r="61" spans="1:8">
      <c r="A61" s="168" t="s">
        <v>93</v>
      </c>
      <c r="B61" s="163">
        <f>COUNTIFS('Cấu hình điện'!$O:$O,'Test Report'!$A61,'Cấu hình điện'!$K:$K,'Test Report'!B$30)</f>
        <v>5</v>
      </c>
      <c r="C61" s="163">
        <f>COUNTIFS('Cấu hình điện'!$O:$O,'Test Report'!$A61,'Cấu hình điện'!$K:$K,'Test Report'!C$30)</f>
        <v>0</v>
      </c>
      <c r="D61" s="163">
        <f>COUNTIFS('Cấu hình điện'!$O:$O,'Test Report'!$A61,'Cấu hình điện'!$K:$K,'Test Report'!D$30)</f>
        <v>0</v>
      </c>
      <c r="E61" s="163">
        <f>COUNTIFS('Cấu hình điện'!$O:$O,'Test Report'!$A61,'Cấu hình điện'!$K:$K,'Test Report'!E$30)</f>
        <v>0</v>
      </c>
      <c r="F61" s="163">
        <f>COUNTIFS('Cấu hình điện'!$O:$O,'Test Report'!$A61,'Cấu hình điện'!$K:$K,'Test Report'!F$30)</f>
        <v>0</v>
      </c>
      <c r="G61" s="163">
        <f>COUNTIFS('Cấu hình điện'!$O:$O,'Test Report'!$A61,'Cấu hình điện'!$K:$K,'Test Report'!G$30)</f>
        <v>0</v>
      </c>
      <c r="H61" s="163">
        <f t="shared" si="10"/>
        <v>5</v>
      </c>
    </row>
    <row r="62" spans="1:8">
      <c r="A62" s="168" t="s">
        <v>94</v>
      </c>
      <c r="B62" s="163">
        <f>COUNTIFS('Cấu hình điện'!$O:$O,'Test Report'!$A62,'Cấu hình điện'!$K:$K,'Test Report'!B$30)</f>
        <v>4</v>
      </c>
      <c r="C62" s="163">
        <f>COUNTIFS('Cấu hình điện'!$O:$O,'Test Report'!$A62,'Cấu hình điện'!$K:$K,'Test Report'!C$30)</f>
        <v>0</v>
      </c>
      <c r="D62" s="163">
        <f>COUNTIFS('Cấu hình điện'!$O:$O,'Test Report'!$A62,'Cấu hình điện'!$K:$K,'Test Report'!D$30)</f>
        <v>0</v>
      </c>
      <c r="E62" s="163">
        <f>COUNTIFS('Cấu hình điện'!$O:$O,'Test Report'!$A62,'Cấu hình điện'!$K:$K,'Test Report'!E$30)</f>
        <v>0</v>
      </c>
      <c r="F62" s="163">
        <f>COUNTIFS('Cấu hình điện'!$O:$O,'Test Report'!$A62,'Cấu hình điện'!$K:$K,'Test Report'!F$30)</f>
        <v>0</v>
      </c>
      <c r="G62" s="163">
        <f>COUNTIFS('Cấu hình điện'!$O:$O,'Test Report'!$A62,'Cấu hình điện'!$K:$K,'Test Report'!G$30)</f>
        <v>0</v>
      </c>
      <c r="H62" s="163">
        <f t="shared" si="10"/>
        <v>4</v>
      </c>
    </row>
    <row r="63" spans="1:8">
      <c r="A63" s="168" t="s">
        <v>95</v>
      </c>
      <c r="B63" s="163">
        <f>COUNTIFS('Cấu hình điện'!$O:$O,'Test Report'!$A63,'Cấu hình điện'!$K:$K,'Test Report'!B$30)</f>
        <v>4</v>
      </c>
      <c r="C63" s="163">
        <f>COUNTIFS('Cấu hình điện'!$O:$O,'Test Report'!$A63,'Cấu hình điện'!$K:$K,'Test Report'!C$30)</f>
        <v>0</v>
      </c>
      <c r="D63" s="163">
        <f>COUNTIFS('Cấu hình điện'!$O:$O,'Test Report'!$A63,'Cấu hình điện'!$K:$K,'Test Report'!D$30)</f>
        <v>0</v>
      </c>
      <c r="E63" s="163">
        <f>COUNTIFS('Cấu hình điện'!$O:$O,'Test Report'!$A63,'Cấu hình điện'!$K:$K,'Test Report'!E$30)</f>
        <v>0</v>
      </c>
      <c r="F63" s="163">
        <f>COUNTIFS('Cấu hình điện'!$O:$O,'Test Report'!$A63,'Cấu hình điện'!$K:$K,'Test Report'!F$30)</f>
        <v>0</v>
      </c>
      <c r="G63" s="163">
        <f>COUNTIFS('Cấu hình điện'!$O:$O,'Test Report'!$A63,'Cấu hình điện'!$K:$K,'Test Report'!G$30)</f>
        <v>0</v>
      </c>
      <c r="H63" s="163">
        <f t="shared" si="10"/>
        <v>4</v>
      </c>
    </row>
    <row r="64" spans="1:8">
      <c r="A64" s="180" t="s">
        <v>57</v>
      </c>
      <c r="B64" s="181">
        <f t="shared" ref="B64:G64" si="11">SUM(B65,B71,B79,B83,B88)</f>
        <v>86</v>
      </c>
      <c r="C64" s="181">
        <f t="shared" si="11"/>
        <v>0</v>
      </c>
      <c r="D64" s="181">
        <f t="shared" si="11"/>
        <v>0</v>
      </c>
      <c r="E64" s="181">
        <f t="shared" si="11"/>
        <v>0</v>
      </c>
      <c r="F64" s="181">
        <f t="shared" si="11"/>
        <v>0</v>
      </c>
      <c r="G64" s="181">
        <f t="shared" si="11"/>
        <v>26</v>
      </c>
      <c r="H64" s="181">
        <f t="shared" si="10"/>
        <v>112</v>
      </c>
    </row>
    <row r="65" spans="1:8">
      <c r="A65" s="164" t="s">
        <v>65</v>
      </c>
      <c r="B65" s="163">
        <f t="shared" ref="B65:G65" si="12">SUM(B66:B70)</f>
        <v>20</v>
      </c>
      <c r="C65" s="163">
        <f t="shared" si="12"/>
        <v>0</v>
      </c>
      <c r="D65" s="163">
        <f t="shared" si="12"/>
        <v>0</v>
      </c>
      <c r="E65" s="163">
        <f t="shared" si="12"/>
        <v>0</v>
      </c>
      <c r="F65" s="163">
        <f t="shared" si="12"/>
        <v>0</v>
      </c>
      <c r="G65" s="163">
        <f t="shared" si="12"/>
        <v>0</v>
      </c>
      <c r="H65" s="163">
        <f t="shared" si="10"/>
        <v>20</v>
      </c>
    </row>
    <row r="66" spans="1:8">
      <c r="A66" s="165" t="s">
        <v>66</v>
      </c>
      <c r="B66" s="163">
        <f>COUNTIFS('Cấu hình chủ thể'!$O:$O,'Test Report'!$A66,'Cấu hình chủ thể'!$K:$K,'Test Report'!B$30)</f>
        <v>4</v>
      </c>
      <c r="C66" s="163">
        <f>COUNTIFS('Cấu hình chủ thể'!$O:$O,'Test Report'!$A66,'Cấu hình chủ thể'!$K:$K,'Test Report'!C$30)</f>
        <v>0</v>
      </c>
      <c r="D66" s="163">
        <f>COUNTIFS('Cấu hình chủ thể'!$O:$O,'Test Report'!$A66,'Cấu hình chủ thể'!$K:$K,'Test Report'!D$30)</f>
        <v>0</v>
      </c>
      <c r="E66" s="163">
        <f>COUNTIFS('Cấu hình chủ thể'!$O:$O,'Test Report'!$A66,'Cấu hình chủ thể'!$K:$K,'Test Report'!E$30)</f>
        <v>0</v>
      </c>
      <c r="F66" s="163">
        <f>COUNTIFS('Cấu hình chủ thể'!$O:$O,'Test Report'!$A66,'Cấu hình chủ thể'!$K:$K,'Test Report'!F$30)</f>
        <v>0</v>
      </c>
      <c r="G66" s="163">
        <f>COUNTIFS('Cấu hình chủ thể'!$O:$O,'Test Report'!$A66,'Cấu hình chủ thể'!$K:$K,'Test Report'!G$30)</f>
        <v>0</v>
      </c>
      <c r="H66" s="163">
        <f t="shared" si="10"/>
        <v>4</v>
      </c>
    </row>
    <row r="67" spans="1:8">
      <c r="A67" s="165" t="s">
        <v>67</v>
      </c>
      <c r="B67" s="163">
        <f>COUNTIFS('Cấu hình chủ thể'!$O:$O,'Test Report'!$A67,'Cấu hình chủ thể'!$K:$K,'Test Report'!B$30)</f>
        <v>4</v>
      </c>
      <c r="C67" s="163">
        <f>COUNTIFS('Cấu hình chủ thể'!$O:$O,'Test Report'!$A67,'Cấu hình chủ thể'!$K:$K,'Test Report'!C$30)</f>
        <v>0</v>
      </c>
      <c r="D67" s="163">
        <f>COUNTIFS('Cấu hình chủ thể'!$O:$O,'Test Report'!$A67,'Cấu hình chủ thể'!$K:$K,'Test Report'!D$30)</f>
        <v>0</v>
      </c>
      <c r="E67" s="163">
        <f>COUNTIFS('Cấu hình chủ thể'!$O:$O,'Test Report'!$A67,'Cấu hình chủ thể'!$K:$K,'Test Report'!E$30)</f>
        <v>0</v>
      </c>
      <c r="F67" s="163">
        <f>COUNTIFS('Cấu hình chủ thể'!$O:$O,'Test Report'!$A67,'Cấu hình chủ thể'!$K:$K,'Test Report'!F$30)</f>
        <v>0</v>
      </c>
      <c r="G67" s="163">
        <f>COUNTIFS('Cấu hình chủ thể'!$O:$O,'Test Report'!$A67,'Cấu hình chủ thể'!$K:$K,'Test Report'!G$30)</f>
        <v>0</v>
      </c>
      <c r="H67" s="163">
        <f t="shared" si="10"/>
        <v>4</v>
      </c>
    </row>
    <row r="68" spans="1:8">
      <c r="A68" s="165" t="s">
        <v>68</v>
      </c>
      <c r="B68" s="163">
        <f>COUNTIFS('Cấu hình chủ thể'!$O:$O,'Test Report'!$A68,'Cấu hình chủ thể'!$K:$K,'Test Report'!B$30)</f>
        <v>4</v>
      </c>
      <c r="C68" s="163">
        <f>COUNTIFS('Cấu hình chủ thể'!$O:$O,'Test Report'!$A68,'Cấu hình chủ thể'!$K:$K,'Test Report'!C$30)</f>
        <v>0</v>
      </c>
      <c r="D68" s="163">
        <f>COUNTIFS('Cấu hình chủ thể'!$O:$O,'Test Report'!$A68,'Cấu hình chủ thể'!$K:$K,'Test Report'!D$30)</f>
        <v>0</v>
      </c>
      <c r="E68" s="163">
        <f>COUNTIFS('Cấu hình chủ thể'!$O:$O,'Test Report'!$A68,'Cấu hình chủ thể'!$K:$K,'Test Report'!E$30)</f>
        <v>0</v>
      </c>
      <c r="F68" s="163">
        <f>COUNTIFS('Cấu hình chủ thể'!$O:$O,'Test Report'!$A68,'Cấu hình chủ thể'!$K:$K,'Test Report'!F$30)</f>
        <v>0</v>
      </c>
      <c r="G68" s="163">
        <f>COUNTIFS('Cấu hình chủ thể'!$O:$O,'Test Report'!$A68,'Cấu hình chủ thể'!$K:$K,'Test Report'!G$30)</f>
        <v>0</v>
      </c>
      <c r="H68" s="163">
        <f t="shared" si="10"/>
        <v>4</v>
      </c>
    </row>
    <row r="69" spans="1:8">
      <c r="A69" s="165" t="s">
        <v>69</v>
      </c>
      <c r="B69" s="163">
        <f>COUNTIFS('Cấu hình chủ thể'!$O:$O,'Test Report'!$A69,'Cấu hình chủ thể'!$K:$K,'Test Report'!B$30)</f>
        <v>4</v>
      </c>
      <c r="C69" s="163">
        <f>COUNTIFS('Cấu hình chủ thể'!$O:$O,'Test Report'!$A69,'Cấu hình chủ thể'!$K:$K,'Test Report'!C$30)</f>
        <v>0</v>
      </c>
      <c r="D69" s="163">
        <f>COUNTIFS('Cấu hình chủ thể'!$O:$O,'Test Report'!$A69,'Cấu hình chủ thể'!$K:$K,'Test Report'!D$30)</f>
        <v>0</v>
      </c>
      <c r="E69" s="163">
        <f>COUNTIFS('Cấu hình chủ thể'!$O:$O,'Test Report'!$A69,'Cấu hình chủ thể'!$K:$K,'Test Report'!E$30)</f>
        <v>0</v>
      </c>
      <c r="F69" s="163">
        <f>COUNTIFS('Cấu hình chủ thể'!$O:$O,'Test Report'!$A69,'Cấu hình chủ thể'!$K:$K,'Test Report'!F$30)</f>
        <v>0</v>
      </c>
      <c r="G69" s="163">
        <f>COUNTIFS('Cấu hình chủ thể'!$O:$O,'Test Report'!$A69,'Cấu hình chủ thể'!$K:$K,'Test Report'!G$30)</f>
        <v>0</v>
      </c>
      <c r="H69" s="163">
        <f t="shared" si="10"/>
        <v>4</v>
      </c>
    </row>
    <row r="70" spans="1:8">
      <c r="A70" s="165" t="s">
        <v>70</v>
      </c>
      <c r="B70" s="163">
        <f>COUNTIFS('Cấu hình chủ thể'!$O:$O,'Test Report'!$A70,'Cấu hình chủ thể'!$K:$K,'Test Report'!B$30)</f>
        <v>4</v>
      </c>
      <c r="C70" s="163">
        <f>COUNTIFS('Cấu hình chủ thể'!$O:$O,'Test Report'!$A70,'Cấu hình chủ thể'!$K:$K,'Test Report'!C$30)</f>
        <v>0</v>
      </c>
      <c r="D70" s="163">
        <f>COUNTIFS('Cấu hình chủ thể'!$O:$O,'Test Report'!$A70,'Cấu hình chủ thể'!$K:$K,'Test Report'!D$30)</f>
        <v>0</v>
      </c>
      <c r="E70" s="163">
        <f>COUNTIFS('Cấu hình chủ thể'!$O:$O,'Test Report'!$A70,'Cấu hình chủ thể'!$K:$K,'Test Report'!E$30)</f>
        <v>0</v>
      </c>
      <c r="F70" s="163">
        <f>COUNTIFS('Cấu hình chủ thể'!$O:$O,'Test Report'!$A70,'Cấu hình chủ thể'!$K:$K,'Test Report'!F$30)</f>
        <v>0</v>
      </c>
      <c r="G70" s="163">
        <f>COUNTIFS('Cấu hình chủ thể'!$O:$O,'Test Report'!$A70,'Cấu hình chủ thể'!$K:$K,'Test Report'!G$30)</f>
        <v>0</v>
      </c>
      <c r="H70" s="163">
        <f t="shared" si="10"/>
        <v>4</v>
      </c>
    </row>
    <row r="71" spans="1:8">
      <c r="A71" s="164" t="s">
        <v>71</v>
      </c>
      <c r="B71" s="163">
        <f t="shared" ref="B71:H71" si="13">SUM(B72:B78)</f>
        <v>25</v>
      </c>
      <c r="C71" s="163">
        <f t="shared" si="13"/>
        <v>0</v>
      </c>
      <c r="D71" s="163">
        <f t="shared" si="13"/>
        <v>0</v>
      </c>
      <c r="E71" s="163">
        <f t="shared" si="13"/>
        <v>0</v>
      </c>
      <c r="F71" s="163">
        <f t="shared" si="13"/>
        <v>0</v>
      </c>
      <c r="G71" s="163">
        <f t="shared" si="13"/>
        <v>7</v>
      </c>
      <c r="H71" s="163">
        <f t="shared" si="13"/>
        <v>32</v>
      </c>
    </row>
    <row r="72" spans="1:8">
      <c r="A72" s="165" t="s">
        <v>72</v>
      </c>
      <c r="B72" s="163">
        <f>COUNTIFS('Cấu hình chủ thể'!$O:$O,'Test Report'!$A72,'Cấu hình chủ thể'!$K:$K,'Test Report'!B$30)</f>
        <v>4</v>
      </c>
      <c r="C72" s="163">
        <f>COUNTIFS('Cấu hình chủ thể'!$O:$O,'Test Report'!$A72,'Cấu hình chủ thể'!$K:$K,'Test Report'!C$30)</f>
        <v>0</v>
      </c>
      <c r="D72" s="163">
        <f>COUNTIFS('Cấu hình chủ thể'!$O:$O,'Test Report'!$A72,'Cấu hình chủ thể'!$K:$K,'Test Report'!D$30)</f>
        <v>0</v>
      </c>
      <c r="E72" s="163">
        <f>COUNTIFS('Cấu hình chủ thể'!$O:$O,'Test Report'!$A72,'Cấu hình chủ thể'!$K:$K,'Test Report'!E$30)</f>
        <v>0</v>
      </c>
      <c r="F72" s="163">
        <f>COUNTIFS('Cấu hình chủ thể'!$O:$O,'Test Report'!$A72,'Cấu hình chủ thể'!$K:$K,'Test Report'!F$30)</f>
        <v>0</v>
      </c>
      <c r="G72" s="163">
        <f>COUNTIFS('Cấu hình chủ thể'!$O:$O,'Test Report'!$A72,'Cấu hình chủ thể'!$K:$K,'Test Report'!G$30)</f>
        <v>0</v>
      </c>
      <c r="H72" s="163">
        <f t="shared" ref="H72:H78" si="14">SUM(B72:G72)</f>
        <v>4</v>
      </c>
    </row>
    <row r="73" spans="1:8">
      <c r="A73" s="165" t="s">
        <v>73</v>
      </c>
      <c r="B73" s="163">
        <f>COUNTIFS('Cấu hình chủ thể'!$O:$O,'Test Report'!$A73,'Cấu hình chủ thể'!$K:$K,'Test Report'!B$30)</f>
        <v>0</v>
      </c>
      <c r="C73" s="163">
        <f>COUNTIFS('Cấu hình chủ thể'!$O:$O,'Test Report'!$A73,'Cấu hình chủ thể'!$K:$K,'Test Report'!C$30)</f>
        <v>0</v>
      </c>
      <c r="D73" s="163">
        <f>COUNTIFS('Cấu hình chủ thể'!$O:$O,'Test Report'!$A73,'Cấu hình chủ thể'!$K:$K,'Test Report'!D$30)</f>
        <v>0</v>
      </c>
      <c r="E73" s="163">
        <f>COUNTIFS('Cấu hình chủ thể'!$O:$O,'Test Report'!$A73,'Cấu hình chủ thể'!$K:$K,'Test Report'!E$30)</f>
        <v>0</v>
      </c>
      <c r="F73" s="163">
        <f>COUNTIFS('Cấu hình chủ thể'!$O:$O,'Test Report'!$A73,'Cấu hình chủ thể'!$K:$K,'Test Report'!F$30)</f>
        <v>0</v>
      </c>
      <c r="G73" s="163">
        <f>COUNTIFS('Cấu hình chủ thể'!$O:$O,'Test Report'!$A73,'Cấu hình chủ thể'!$K:$K,'Test Report'!G$30)</f>
        <v>6</v>
      </c>
      <c r="H73" s="163">
        <f t="shared" si="14"/>
        <v>6</v>
      </c>
    </row>
    <row r="74" spans="1:8">
      <c r="A74" s="165" t="s">
        <v>74</v>
      </c>
      <c r="B74" s="163">
        <f>COUNTIFS('Cấu hình chủ thể'!$O:$O,'Test Report'!$A74,'Cấu hình chủ thể'!$K:$K,'Test Report'!B$30)</f>
        <v>4</v>
      </c>
      <c r="C74" s="163">
        <f>COUNTIFS('Cấu hình chủ thể'!$O:$O,'Test Report'!$A74,'Cấu hình chủ thể'!$K:$K,'Test Report'!C$30)</f>
        <v>0</v>
      </c>
      <c r="D74" s="163">
        <f>COUNTIFS('Cấu hình chủ thể'!$O:$O,'Test Report'!$A74,'Cấu hình chủ thể'!$K:$K,'Test Report'!D$30)</f>
        <v>0</v>
      </c>
      <c r="E74" s="163">
        <f>COUNTIFS('Cấu hình chủ thể'!$O:$O,'Test Report'!$A74,'Cấu hình chủ thể'!$K:$K,'Test Report'!E$30)</f>
        <v>0</v>
      </c>
      <c r="F74" s="163">
        <f>COUNTIFS('Cấu hình chủ thể'!$O:$O,'Test Report'!$A74,'Cấu hình chủ thể'!$K:$K,'Test Report'!F$30)</f>
        <v>0</v>
      </c>
      <c r="G74" s="163">
        <f>COUNTIFS('Cấu hình chủ thể'!$O:$O,'Test Report'!$A74,'Cấu hình chủ thể'!$K:$K,'Test Report'!G$30)</f>
        <v>0</v>
      </c>
      <c r="H74" s="163">
        <f t="shared" si="14"/>
        <v>4</v>
      </c>
    </row>
    <row r="75" spans="1:8">
      <c r="A75" s="165" t="s">
        <v>75</v>
      </c>
      <c r="B75" s="163">
        <f>COUNTIFS('Cấu hình chủ thể'!$O:$O,'Test Report'!$A75,'Cấu hình chủ thể'!$K:$K,'Test Report'!B$30)</f>
        <v>3</v>
      </c>
      <c r="C75" s="163">
        <f>COUNTIFS('Cấu hình chủ thể'!$O:$O,'Test Report'!$A75,'Cấu hình chủ thể'!$K:$K,'Test Report'!C$30)</f>
        <v>0</v>
      </c>
      <c r="D75" s="163">
        <f>COUNTIFS('Cấu hình chủ thể'!$O:$O,'Test Report'!$A75,'Cấu hình chủ thể'!$K:$K,'Test Report'!D$30)</f>
        <v>0</v>
      </c>
      <c r="E75" s="163">
        <f>COUNTIFS('Cấu hình chủ thể'!$O:$O,'Test Report'!$A75,'Cấu hình chủ thể'!$K:$K,'Test Report'!E$30)</f>
        <v>0</v>
      </c>
      <c r="F75" s="163">
        <f>COUNTIFS('Cấu hình chủ thể'!$O:$O,'Test Report'!$A75,'Cấu hình chủ thể'!$K:$K,'Test Report'!F$30)</f>
        <v>0</v>
      </c>
      <c r="G75" s="163">
        <f>COUNTIFS('Cấu hình chủ thể'!$O:$O,'Test Report'!$A75,'Cấu hình chủ thể'!$K:$K,'Test Report'!G$30)</f>
        <v>1</v>
      </c>
      <c r="H75" s="163">
        <f t="shared" si="14"/>
        <v>4</v>
      </c>
    </row>
    <row r="76" spans="1:8">
      <c r="A76" s="165" t="s">
        <v>76</v>
      </c>
      <c r="B76" s="163">
        <f>COUNTIFS('Cấu hình chủ thể'!$O:$O,'Test Report'!$A76,'Cấu hình chủ thể'!$K:$K,'Test Report'!B$30)</f>
        <v>4</v>
      </c>
      <c r="C76" s="163">
        <f>COUNTIFS('Cấu hình chủ thể'!$O:$O,'Test Report'!$A76,'Cấu hình chủ thể'!$K:$K,'Test Report'!C$30)</f>
        <v>0</v>
      </c>
      <c r="D76" s="163">
        <f>COUNTIFS('Cấu hình chủ thể'!$O:$O,'Test Report'!$A76,'Cấu hình chủ thể'!$K:$K,'Test Report'!D$30)</f>
        <v>0</v>
      </c>
      <c r="E76" s="163">
        <f>COUNTIFS('Cấu hình chủ thể'!$O:$O,'Test Report'!$A76,'Cấu hình chủ thể'!$K:$K,'Test Report'!E$30)</f>
        <v>0</v>
      </c>
      <c r="F76" s="163">
        <f>COUNTIFS('Cấu hình chủ thể'!$O:$O,'Test Report'!$A76,'Cấu hình chủ thể'!$K:$K,'Test Report'!F$30)</f>
        <v>0</v>
      </c>
      <c r="G76" s="163">
        <f>COUNTIFS('Cấu hình chủ thể'!$O:$O,'Test Report'!$A76,'Cấu hình chủ thể'!$K:$K,'Test Report'!G$30)</f>
        <v>0</v>
      </c>
      <c r="H76" s="163">
        <f t="shared" si="14"/>
        <v>4</v>
      </c>
    </row>
    <row r="77" spans="1:8">
      <c r="A77" s="165" t="s">
        <v>77</v>
      </c>
      <c r="B77" s="163">
        <f>COUNTIFS('Cấu hình chủ thể'!$O:$O,'Test Report'!$A77,'Cấu hình chủ thể'!$K:$K,'Test Report'!B$30)</f>
        <v>4</v>
      </c>
      <c r="C77" s="163">
        <f>COUNTIFS('Cấu hình chủ thể'!$O:$O,'Test Report'!$A77,'Cấu hình chủ thể'!$K:$K,'Test Report'!C$30)</f>
        <v>0</v>
      </c>
      <c r="D77" s="163">
        <f>COUNTIFS('Cấu hình chủ thể'!$O:$O,'Test Report'!$A77,'Cấu hình chủ thể'!$K:$K,'Test Report'!D$30)</f>
        <v>0</v>
      </c>
      <c r="E77" s="163">
        <f>COUNTIFS('Cấu hình chủ thể'!$O:$O,'Test Report'!$A77,'Cấu hình chủ thể'!$K:$K,'Test Report'!E$30)</f>
        <v>0</v>
      </c>
      <c r="F77" s="163">
        <f>COUNTIFS('Cấu hình chủ thể'!$O:$O,'Test Report'!$A77,'Cấu hình chủ thể'!$K:$K,'Test Report'!F$30)</f>
        <v>0</v>
      </c>
      <c r="G77" s="163">
        <f>COUNTIFS('Cấu hình chủ thể'!$O:$O,'Test Report'!$A77,'Cấu hình chủ thể'!$K:$K,'Test Report'!G$30)</f>
        <v>0</v>
      </c>
      <c r="H77" s="163">
        <f t="shared" si="14"/>
        <v>4</v>
      </c>
    </row>
    <row r="78" spans="1:8">
      <c r="A78" s="166" t="s">
        <v>78</v>
      </c>
      <c r="B78" s="163">
        <f>COUNTIFS('Cấu hình chủ thể'!$O:$O,'Test Report'!$A78,'Cấu hình chủ thể'!$K:$K,'Test Report'!B$30)</f>
        <v>6</v>
      </c>
      <c r="C78" s="163">
        <f>COUNTIFS('Cấu hình chủ thể'!$O:$O,'Test Report'!$A78,'Cấu hình chủ thể'!$K:$K,'Test Report'!C$30)</f>
        <v>0</v>
      </c>
      <c r="D78" s="163">
        <f>COUNTIFS('Cấu hình chủ thể'!$O:$O,'Test Report'!$A78,'Cấu hình chủ thể'!$K:$K,'Test Report'!D$30)</f>
        <v>0</v>
      </c>
      <c r="E78" s="163">
        <f>COUNTIFS('Cấu hình chủ thể'!$O:$O,'Test Report'!$A78,'Cấu hình chủ thể'!$K:$K,'Test Report'!E$30)</f>
        <v>0</v>
      </c>
      <c r="F78" s="163">
        <f>COUNTIFS('Cấu hình chủ thể'!$O:$O,'Test Report'!$A78,'Cấu hình chủ thể'!$K:$K,'Test Report'!F$30)</f>
        <v>0</v>
      </c>
      <c r="G78" s="163">
        <f>COUNTIFS('Cấu hình chủ thể'!$O:$O,'Test Report'!$A78,'Cấu hình chủ thể'!$K:$K,'Test Report'!G$30)</f>
        <v>0</v>
      </c>
      <c r="H78" s="163">
        <f t="shared" si="14"/>
        <v>6</v>
      </c>
    </row>
    <row r="79" spans="1:8">
      <c r="A79" s="167" t="s">
        <v>79</v>
      </c>
      <c r="B79" s="163">
        <f t="shared" ref="B79:H79" si="15">SUM(B80:B82)</f>
        <v>10</v>
      </c>
      <c r="C79" s="163">
        <f t="shared" si="15"/>
        <v>0</v>
      </c>
      <c r="D79" s="163">
        <f t="shared" si="15"/>
        <v>0</v>
      </c>
      <c r="E79" s="163">
        <f t="shared" si="15"/>
        <v>0</v>
      </c>
      <c r="F79" s="163">
        <f t="shared" si="15"/>
        <v>0</v>
      </c>
      <c r="G79" s="163">
        <f t="shared" si="15"/>
        <v>1</v>
      </c>
      <c r="H79" s="163">
        <f t="shared" si="15"/>
        <v>11</v>
      </c>
    </row>
    <row r="80" spans="1:8">
      <c r="A80" s="168" t="s">
        <v>80</v>
      </c>
      <c r="B80" s="163">
        <f>COUNTIFS('Cấu hình chủ thể'!$O:$O,'Test Report'!$A80,'Cấu hình chủ thể'!$K:$K,'Test Report'!B$30)</f>
        <v>4</v>
      </c>
      <c r="C80" s="163">
        <f>COUNTIFS('Cấu hình chủ thể'!$O:$O,'Test Report'!$A80,'Cấu hình chủ thể'!$K:$K,'Test Report'!C$30)</f>
        <v>0</v>
      </c>
      <c r="D80" s="163">
        <f>COUNTIFS('Cấu hình chủ thể'!$O:$O,'Test Report'!$A80,'Cấu hình chủ thể'!$K:$K,'Test Report'!D$30)</f>
        <v>0</v>
      </c>
      <c r="E80" s="163">
        <f>COUNTIFS('Cấu hình chủ thể'!$O:$O,'Test Report'!$A80,'Cấu hình chủ thể'!$K:$K,'Test Report'!E$30)</f>
        <v>0</v>
      </c>
      <c r="F80" s="163">
        <f>COUNTIFS('Cấu hình chủ thể'!$O:$O,'Test Report'!$A80,'Cấu hình chủ thể'!$K:$K,'Test Report'!F$30)</f>
        <v>0</v>
      </c>
      <c r="G80" s="163">
        <f>COUNTIFS('Cấu hình chủ thể'!$O:$O,'Test Report'!$A80,'Cấu hình chủ thể'!$K:$K,'Test Report'!G$30)</f>
        <v>1</v>
      </c>
      <c r="H80" s="163">
        <f>SUM(B80:G80)</f>
        <v>5</v>
      </c>
    </row>
    <row r="81" spans="1:8">
      <c r="A81" s="168" t="s">
        <v>81</v>
      </c>
      <c r="B81" s="163">
        <f>COUNTIFS('Cấu hình chủ thể'!$O:$O,'Test Report'!$A81,'Cấu hình chủ thể'!$K:$K,'Test Report'!B$30)</f>
        <v>3</v>
      </c>
      <c r="C81" s="163">
        <f>COUNTIFS('Cấu hình chủ thể'!$O:$O,'Test Report'!$A81,'Cấu hình chủ thể'!$K:$K,'Test Report'!C$30)</f>
        <v>0</v>
      </c>
      <c r="D81" s="163">
        <f>COUNTIFS('Cấu hình chủ thể'!$O:$O,'Test Report'!$A81,'Cấu hình chủ thể'!$K:$K,'Test Report'!D$30)</f>
        <v>0</v>
      </c>
      <c r="E81" s="163">
        <f>COUNTIFS('Cấu hình chủ thể'!$O:$O,'Test Report'!$A81,'Cấu hình chủ thể'!$K:$K,'Test Report'!E$30)</f>
        <v>0</v>
      </c>
      <c r="F81" s="163">
        <f>COUNTIFS('Cấu hình chủ thể'!$O:$O,'Test Report'!$A81,'Cấu hình chủ thể'!$K:$K,'Test Report'!F$30)</f>
        <v>0</v>
      </c>
      <c r="G81" s="163">
        <f>COUNTIFS('Cấu hình chủ thể'!$O:$O,'Test Report'!$A81,'Cấu hình chủ thể'!$K:$K,'Test Report'!G$30)</f>
        <v>0</v>
      </c>
      <c r="H81" s="163">
        <f>SUM(B81:G81)</f>
        <v>3</v>
      </c>
    </row>
    <row r="82" spans="1:8">
      <c r="A82" s="168" t="s">
        <v>82</v>
      </c>
      <c r="B82" s="163">
        <f>COUNTIFS('Cấu hình chủ thể'!$O:$O,'Test Report'!$A82,'Cấu hình chủ thể'!$K:$K,'Test Report'!B$30)</f>
        <v>3</v>
      </c>
      <c r="C82" s="163">
        <f>COUNTIFS('Cấu hình chủ thể'!$O:$O,'Test Report'!$A82,'Cấu hình chủ thể'!$K:$K,'Test Report'!C$30)</f>
        <v>0</v>
      </c>
      <c r="D82" s="163">
        <f>COUNTIFS('Cấu hình chủ thể'!$O:$O,'Test Report'!$A82,'Cấu hình chủ thể'!$K:$K,'Test Report'!D$30)</f>
        <v>0</v>
      </c>
      <c r="E82" s="163">
        <f>COUNTIFS('Cấu hình chủ thể'!$O:$O,'Test Report'!$A82,'Cấu hình chủ thể'!$K:$K,'Test Report'!E$30)</f>
        <v>0</v>
      </c>
      <c r="F82" s="163">
        <f>COUNTIFS('Cấu hình chủ thể'!$O:$O,'Test Report'!$A82,'Cấu hình chủ thể'!$K:$K,'Test Report'!F$30)</f>
        <v>0</v>
      </c>
      <c r="G82" s="163">
        <f>COUNTIFS('Cấu hình chủ thể'!$O:$O,'Test Report'!$A82,'Cấu hình chủ thể'!$K:$K,'Test Report'!G$30)</f>
        <v>0</v>
      </c>
      <c r="H82" s="163">
        <f>SUM(B82:G82)</f>
        <v>3</v>
      </c>
    </row>
    <row r="83" spans="1:8">
      <c r="A83" s="167" t="s">
        <v>83</v>
      </c>
      <c r="B83" s="163">
        <f t="shared" ref="B83:H83" si="16">SUM(B84:B87)</f>
        <v>0</v>
      </c>
      <c r="C83" s="163">
        <f t="shared" si="16"/>
        <v>0</v>
      </c>
      <c r="D83" s="163">
        <f t="shared" si="16"/>
        <v>0</v>
      </c>
      <c r="E83" s="163">
        <f t="shared" si="16"/>
        <v>0</v>
      </c>
      <c r="F83" s="163">
        <f t="shared" si="16"/>
        <v>0</v>
      </c>
      <c r="G83" s="163">
        <f t="shared" si="16"/>
        <v>14</v>
      </c>
      <c r="H83" s="163">
        <f t="shared" si="16"/>
        <v>14</v>
      </c>
    </row>
    <row r="84" spans="1:8">
      <c r="A84" s="168" t="s">
        <v>84</v>
      </c>
      <c r="B84" s="163">
        <f>COUNTIFS('Cấu hình chủ thể'!$O:$O,'Test Report'!$A84,'Cấu hình chủ thể'!$K:$K,'Test Report'!B$30)</f>
        <v>0</v>
      </c>
      <c r="C84" s="163">
        <f>COUNTIFS('Cấu hình chủ thể'!$O:$O,'Test Report'!$A84,'Cấu hình chủ thể'!$K:$K,'Test Report'!C$30)</f>
        <v>0</v>
      </c>
      <c r="D84" s="163">
        <f>COUNTIFS('Cấu hình chủ thể'!$O:$O,'Test Report'!$A84,'Cấu hình chủ thể'!$K:$K,'Test Report'!D$30)</f>
        <v>0</v>
      </c>
      <c r="E84" s="163">
        <f>COUNTIFS('Cấu hình chủ thể'!$O:$O,'Test Report'!$A84,'Cấu hình chủ thể'!$K:$K,'Test Report'!E$30)</f>
        <v>0</v>
      </c>
      <c r="F84" s="163">
        <f>COUNTIFS('Cấu hình chủ thể'!$O:$O,'Test Report'!$A84,'Cấu hình chủ thể'!$K:$K,'Test Report'!F$30)</f>
        <v>0</v>
      </c>
      <c r="G84" s="163">
        <f>COUNTIFS('Cấu hình chủ thể'!$O:$O,'Test Report'!$A84,'Cấu hình chủ thể'!$K:$K,'Test Report'!G$30)</f>
        <v>6</v>
      </c>
      <c r="H84" s="163">
        <f>SUM(B84:G84)</f>
        <v>6</v>
      </c>
    </row>
    <row r="85" spans="1:8">
      <c r="A85" s="168" t="s">
        <v>85</v>
      </c>
      <c r="B85" s="163">
        <f>COUNTIFS('Cấu hình chủ thể'!$O:$O,'Test Report'!$A85,'Cấu hình chủ thể'!$K:$K,'Test Report'!B$30)</f>
        <v>0</v>
      </c>
      <c r="C85" s="163">
        <f>COUNTIFS('Cấu hình chủ thể'!$O:$O,'Test Report'!$A85,'Cấu hình chủ thể'!$K:$K,'Test Report'!C$30)</f>
        <v>0</v>
      </c>
      <c r="D85" s="163">
        <f>COUNTIFS('Cấu hình chủ thể'!$O:$O,'Test Report'!$A85,'Cấu hình chủ thể'!$K:$K,'Test Report'!D$30)</f>
        <v>0</v>
      </c>
      <c r="E85" s="163">
        <f>COUNTIFS('Cấu hình chủ thể'!$O:$O,'Test Report'!$A85,'Cấu hình chủ thể'!$K:$K,'Test Report'!E$30)</f>
        <v>0</v>
      </c>
      <c r="F85" s="163">
        <f>COUNTIFS('Cấu hình chủ thể'!$O:$O,'Test Report'!$A85,'Cấu hình chủ thể'!$K:$K,'Test Report'!F$30)</f>
        <v>0</v>
      </c>
      <c r="G85" s="163">
        <f>COUNTIFS('Cấu hình chủ thể'!$O:$O,'Test Report'!$A85,'Cấu hình chủ thể'!$K:$K,'Test Report'!G$30)</f>
        <v>0</v>
      </c>
      <c r="H85" s="163">
        <f>SUM(B85:G85)</f>
        <v>0</v>
      </c>
    </row>
    <row r="86" spans="1:8">
      <c r="A86" s="168" t="s">
        <v>86</v>
      </c>
      <c r="B86" s="163">
        <f>COUNTIFS('Cấu hình chủ thể'!$O:$O,'Test Report'!$A86,'Cấu hình chủ thể'!$K:$K,'Test Report'!B$30)</f>
        <v>0</v>
      </c>
      <c r="C86" s="163">
        <f>COUNTIFS('Cấu hình chủ thể'!$O:$O,'Test Report'!$A86,'Cấu hình chủ thể'!$K:$K,'Test Report'!C$30)</f>
        <v>0</v>
      </c>
      <c r="D86" s="163">
        <f>COUNTIFS('Cấu hình chủ thể'!$O:$O,'Test Report'!$A86,'Cấu hình chủ thể'!$K:$K,'Test Report'!D$30)</f>
        <v>0</v>
      </c>
      <c r="E86" s="163">
        <f>COUNTIFS('Cấu hình chủ thể'!$O:$O,'Test Report'!$A86,'Cấu hình chủ thể'!$K:$K,'Test Report'!E$30)</f>
        <v>0</v>
      </c>
      <c r="F86" s="163">
        <f>COUNTIFS('Cấu hình chủ thể'!$O:$O,'Test Report'!$A86,'Cấu hình chủ thể'!$K:$K,'Test Report'!F$30)</f>
        <v>0</v>
      </c>
      <c r="G86" s="163">
        <f>COUNTIFS('Cấu hình chủ thể'!$O:$O,'Test Report'!$A86,'Cấu hình chủ thể'!$K:$K,'Test Report'!G$30)</f>
        <v>4</v>
      </c>
      <c r="H86" s="163">
        <f>SUM(B86:G86)</f>
        <v>4</v>
      </c>
    </row>
    <row r="87" spans="1:8">
      <c r="A87" s="168" t="s">
        <v>87</v>
      </c>
      <c r="B87" s="163">
        <f>COUNTIFS('Cấu hình chủ thể'!$O:$O,'Test Report'!$A87,'Cấu hình chủ thể'!$K:$K,'Test Report'!B$30)</f>
        <v>0</v>
      </c>
      <c r="C87" s="163">
        <f>COUNTIFS('Cấu hình chủ thể'!$O:$O,'Test Report'!$A87,'Cấu hình chủ thể'!$K:$K,'Test Report'!C$30)</f>
        <v>0</v>
      </c>
      <c r="D87" s="163">
        <f>COUNTIFS('Cấu hình chủ thể'!$O:$O,'Test Report'!$A87,'Cấu hình chủ thể'!$K:$K,'Test Report'!D$30)</f>
        <v>0</v>
      </c>
      <c r="E87" s="163">
        <f>COUNTIFS('Cấu hình chủ thể'!$O:$O,'Test Report'!$A87,'Cấu hình chủ thể'!$K:$K,'Test Report'!E$30)</f>
        <v>0</v>
      </c>
      <c r="F87" s="163">
        <f>COUNTIFS('Cấu hình chủ thể'!$O:$O,'Test Report'!$A87,'Cấu hình chủ thể'!$K:$K,'Test Report'!F$30)</f>
        <v>0</v>
      </c>
      <c r="G87" s="163">
        <f>COUNTIFS('Cấu hình chủ thể'!$O:$O,'Test Report'!$A87,'Cấu hình chủ thể'!$K:$K,'Test Report'!G$30)</f>
        <v>4</v>
      </c>
      <c r="H87" s="163">
        <f>SUM(B87:G87)</f>
        <v>4</v>
      </c>
    </row>
    <row r="88" spans="1:8">
      <c r="A88" s="175" t="s">
        <v>88</v>
      </c>
      <c r="B88" s="176">
        <f t="shared" ref="B88:H88" si="17">SUM(B89:B95)</f>
        <v>31</v>
      </c>
      <c r="C88" s="176">
        <f t="shared" si="17"/>
        <v>0</v>
      </c>
      <c r="D88" s="176">
        <f t="shared" si="17"/>
        <v>0</v>
      </c>
      <c r="E88" s="176">
        <f t="shared" si="17"/>
        <v>0</v>
      </c>
      <c r="F88" s="176">
        <f t="shared" si="17"/>
        <v>0</v>
      </c>
      <c r="G88" s="176">
        <f t="shared" si="17"/>
        <v>4</v>
      </c>
      <c r="H88" s="176">
        <f t="shared" si="17"/>
        <v>35</v>
      </c>
    </row>
    <row r="89" spans="1:8">
      <c r="A89" s="168" t="s">
        <v>89</v>
      </c>
      <c r="B89" s="163">
        <f>COUNTIFS('Cấu hình chủ thể'!$O:$O,'Test Report'!$A89,'Cấu hình chủ thể'!$K:$K,'Test Report'!B$30)</f>
        <v>5</v>
      </c>
      <c r="C89" s="163">
        <f>COUNTIFS('Cấu hình chủ thể'!$O:$O,'Test Report'!$A89,'Cấu hình chủ thể'!$K:$K,'Test Report'!C$30)</f>
        <v>0</v>
      </c>
      <c r="D89" s="163">
        <f>COUNTIFS('Cấu hình chủ thể'!$O:$O,'Test Report'!$A89,'Cấu hình chủ thể'!$K:$K,'Test Report'!D$30)</f>
        <v>0</v>
      </c>
      <c r="E89" s="163">
        <f>COUNTIFS('Cấu hình chủ thể'!$O:$O,'Test Report'!$A89,'Cấu hình chủ thể'!$K:$K,'Test Report'!E$30)</f>
        <v>0</v>
      </c>
      <c r="F89" s="163">
        <f>COUNTIFS('Cấu hình chủ thể'!$O:$O,'Test Report'!$A89,'Cấu hình chủ thể'!$K:$K,'Test Report'!F$30)</f>
        <v>0</v>
      </c>
      <c r="G89" s="163">
        <f>COUNTIFS('Cấu hình chủ thể'!$O:$O,'Test Report'!$A89,'Cấu hình chủ thể'!$K:$K,'Test Report'!G$30)</f>
        <v>1</v>
      </c>
      <c r="H89" s="163">
        <f t="shared" ref="H89:H102" si="18">SUM(B89:G89)</f>
        <v>6</v>
      </c>
    </row>
    <row r="90" spans="1:8">
      <c r="A90" s="168" t="s">
        <v>90</v>
      </c>
      <c r="B90" s="163">
        <f>COUNTIFS('Cấu hình chủ thể'!$O:$O,'Test Report'!$A90,'Cấu hình chủ thể'!$K:$K,'Test Report'!B$30)</f>
        <v>5</v>
      </c>
      <c r="C90" s="163">
        <f>COUNTIFS('Cấu hình chủ thể'!$O:$O,'Test Report'!$A90,'Cấu hình chủ thể'!$K:$K,'Test Report'!C$30)</f>
        <v>0</v>
      </c>
      <c r="D90" s="163">
        <f>COUNTIFS('Cấu hình chủ thể'!$O:$O,'Test Report'!$A90,'Cấu hình chủ thể'!$K:$K,'Test Report'!D$30)</f>
        <v>0</v>
      </c>
      <c r="E90" s="163">
        <f>COUNTIFS('Cấu hình chủ thể'!$O:$O,'Test Report'!$A90,'Cấu hình chủ thể'!$K:$K,'Test Report'!E$30)</f>
        <v>0</v>
      </c>
      <c r="F90" s="163">
        <f>COUNTIFS('Cấu hình chủ thể'!$O:$O,'Test Report'!$A90,'Cấu hình chủ thể'!$K:$K,'Test Report'!F$30)</f>
        <v>0</v>
      </c>
      <c r="G90" s="163">
        <f>COUNTIFS('Cấu hình chủ thể'!$O:$O,'Test Report'!$A90,'Cấu hình chủ thể'!$K:$K,'Test Report'!G$30)</f>
        <v>1</v>
      </c>
      <c r="H90" s="163">
        <f t="shared" si="18"/>
        <v>6</v>
      </c>
    </row>
    <row r="91" spans="1:8">
      <c r="A91" s="168" t="s">
        <v>91</v>
      </c>
      <c r="B91" s="163">
        <f>COUNTIFS('Cấu hình chủ thể'!$O:$O,'Test Report'!$A91,'Cấu hình chủ thể'!$K:$K,'Test Report'!B$30)</f>
        <v>5</v>
      </c>
      <c r="C91" s="163">
        <f>COUNTIFS('Cấu hình chủ thể'!$O:$O,'Test Report'!$A91,'Cấu hình chủ thể'!$K:$K,'Test Report'!C$30)</f>
        <v>0</v>
      </c>
      <c r="D91" s="163">
        <f>COUNTIFS('Cấu hình chủ thể'!$O:$O,'Test Report'!$A91,'Cấu hình chủ thể'!$K:$K,'Test Report'!D$30)</f>
        <v>0</v>
      </c>
      <c r="E91" s="163">
        <f>COUNTIFS('Cấu hình chủ thể'!$O:$O,'Test Report'!$A91,'Cấu hình chủ thể'!$K:$K,'Test Report'!E$30)</f>
        <v>0</v>
      </c>
      <c r="F91" s="163">
        <f>COUNTIFS('Cấu hình chủ thể'!$O:$O,'Test Report'!$A91,'Cấu hình chủ thể'!$K:$K,'Test Report'!F$30)</f>
        <v>0</v>
      </c>
      <c r="G91" s="163">
        <f>COUNTIFS('Cấu hình chủ thể'!$O:$O,'Test Report'!$A91,'Cấu hình chủ thể'!$K:$K,'Test Report'!G$30)</f>
        <v>1</v>
      </c>
      <c r="H91" s="163">
        <f t="shared" si="18"/>
        <v>6</v>
      </c>
    </row>
    <row r="92" spans="1:8">
      <c r="A92" s="168" t="s">
        <v>92</v>
      </c>
      <c r="B92" s="163">
        <f>COUNTIFS('Cấu hình chủ thể'!$O:$O,'Test Report'!$A92,'Cấu hình chủ thể'!$K:$K,'Test Report'!B$30)</f>
        <v>4</v>
      </c>
      <c r="C92" s="163">
        <f>COUNTIFS('Cấu hình chủ thể'!$O:$O,'Test Report'!$A92,'Cấu hình chủ thể'!$K:$K,'Test Report'!C$30)</f>
        <v>0</v>
      </c>
      <c r="D92" s="163">
        <f>COUNTIFS('Cấu hình chủ thể'!$O:$O,'Test Report'!$A92,'Cấu hình chủ thể'!$K:$K,'Test Report'!D$30)</f>
        <v>0</v>
      </c>
      <c r="E92" s="163">
        <f>COUNTIFS('Cấu hình chủ thể'!$O:$O,'Test Report'!$A92,'Cấu hình chủ thể'!$K:$K,'Test Report'!E$30)</f>
        <v>0</v>
      </c>
      <c r="F92" s="163">
        <f>COUNTIFS('Cấu hình chủ thể'!$O:$O,'Test Report'!$A92,'Cấu hình chủ thể'!$K:$K,'Test Report'!F$30)</f>
        <v>0</v>
      </c>
      <c r="G92" s="163">
        <f>COUNTIFS('Cấu hình chủ thể'!$O:$O,'Test Report'!$A92,'Cấu hình chủ thể'!$K:$K,'Test Report'!G$30)</f>
        <v>0</v>
      </c>
      <c r="H92" s="163">
        <f t="shared" si="18"/>
        <v>4</v>
      </c>
    </row>
    <row r="93" spans="1:8">
      <c r="A93" s="168" t="s">
        <v>93</v>
      </c>
      <c r="B93" s="163">
        <f>COUNTIFS('Cấu hình chủ thể'!$O:$O,'Test Report'!$A93,'Cấu hình chủ thể'!$K:$K,'Test Report'!B$30)</f>
        <v>5</v>
      </c>
      <c r="C93" s="163">
        <f>COUNTIFS('Cấu hình chủ thể'!$O:$O,'Test Report'!$A93,'Cấu hình chủ thể'!$K:$K,'Test Report'!C$30)</f>
        <v>0</v>
      </c>
      <c r="D93" s="163">
        <f>COUNTIFS('Cấu hình chủ thể'!$O:$O,'Test Report'!$A93,'Cấu hình chủ thể'!$K:$K,'Test Report'!D$30)</f>
        <v>0</v>
      </c>
      <c r="E93" s="163">
        <f>COUNTIFS('Cấu hình chủ thể'!$O:$O,'Test Report'!$A93,'Cấu hình chủ thể'!$K:$K,'Test Report'!E$30)</f>
        <v>0</v>
      </c>
      <c r="F93" s="163">
        <f>COUNTIFS('Cấu hình chủ thể'!$O:$O,'Test Report'!$A93,'Cấu hình chủ thể'!$K:$K,'Test Report'!F$30)</f>
        <v>0</v>
      </c>
      <c r="G93" s="163">
        <f>COUNTIFS('Cấu hình chủ thể'!$O:$O,'Test Report'!$A93,'Cấu hình chủ thể'!$K:$K,'Test Report'!G$30)</f>
        <v>1</v>
      </c>
      <c r="H93" s="163">
        <f t="shared" si="18"/>
        <v>6</v>
      </c>
    </row>
    <row r="94" spans="1:8">
      <c r="A94" s="168" t="s">
        <v>94</v>
      </c>
      <c r="B94" s="163">
        <f>COUNTIFS('Cấu hình chủ thể'!$O:$O,'Test Report'!$A94,'Cấu hình chủ thể'!$K:$K,'Test Report'!B$30)</f>
        <v>3</v>
      </c>
      <c r="C94" s="163">
        <f>COUNTIFS('Cấu hình chủ thể'!$O:$O,'Test Report'!$A94,'Cấu hình chủ thể'!$K:$K,'Test Report'!C$30)</f>
        <v>0</v>
      </c>
      <c r="D94" s="163">
        <f>COUNTIFS('Cấu hình chủ thể'!$O:$O,'Test Report'!$A94,'Cấu hình chủ thể'!$K:$K,'Test Report'!D$30)</f>
        <v>0</v>
      </c>
      <c r="E94" s="163">
        <f>COUNTIFS('Cấu hình chủ thể'!$O:$O,'Test Report'!$A94,'Cấu hình chủ thể'!$K:$K,'Test Report'!E$30)</f>
        <v>0</v>
      </c>
      <c r="F94" s="163">
        <f>COUNTIFS('Cấu hình chủ thể'!$O:$O,'Test Report'!$A94,'Cấu hình chủ thể'!$K:$K,'Test Report'!F$30)</f>
        <v>0</v>
      </c>
      <c r="G94" s="163">
        <f>COUNTIFS('Cấu hình chủ thể'!$O:$O,'Test Report'!$A94,'Cấu hình chủ thể'!$K:$K,'Test Report'!G$30)</f>
        <v>0</v>
      </c>
      <c r="H94" s="163">
        <f t="shared" si="18"/>
        <v>3</v>
      </c>
    </row>
    <row r="95" spans="1:8">
      <c r="A95" s="168" t="s">
        <v>95</v>
      </c>
      <c r="B95" s="163">
        <f>COUNTIFS('Cấu hình chủ thể'!$O:$O,'Test Report'!$A95,'Cấu hình chủ thể'!$K:$K,'Test Report'!B$30)</f>
        <v>4</v>
      </c>
      <c r="C95" s="163">
        <f>COUNTIFS('Cấu hình chủ thể'!$O:$O,'Test Report'!$A95,'Cấu hình chủ thể'!$K:$K,'Test Report'!C$30)</f>
        <v>0</v>
      </c>
      <c r="D95" s="163">
        <f>COUNTIFS('Cấu hình chủ thể'!$O:$O,'Test Report'!$A95,'Cấu hình chủ thể'!$K:$K,'Test Report'!D$30)</f>
        <v>0</v>
      </c>
      <c r="E95" s="163">
        <f>COUNTIFS('Cấu hình chủ thể'!$O:$O,'Test Report'!$A95,'Cấu hình chủ thể'!$K:$K,'Test Report'!E$30)</f>
        <v>0</v>
      </c>
      <c r="F95" s="163">
        <f>COUNTIFS('Cấu hình chủ thể'!$O:$O,'Test Report'!$A95,'Cấu hình chủ thể'!$K:$K,'Test Report'!F$30)</f>
        <v>0</v>
      </c>
      <c r="G95" s="163">
        <f>COUNTIFS('Cấu hình chủ thể'!$O:$O,'Test Report'!$A95,'Cấu hình chủ thể'!$K:$K,'Test Report'!G$30)</f>
        <v>0</v>
      </c>
      <c r="H95" s="163">
        <f t="shared" si="18"/>
        <v>4</v>
      </c>
    </row>
    <row r="96" spans="1:8">
      <c r="A96" s="180" t="s">
        <v>58</v>
      </c>
      <c r="B96" s="181">
        <f t="shared" ref="B96:G96" si="19">SUM(B97,B103,B111,B115,B120)</f>
        <v>97</v>
      </c>
      <c r="C96" s="181">
        <f t="shared" si="19"/>
        <v>1</v>
      </c>
      <c r="D96" s="181">
        <f t="shared" si="19"/>
        <v>0</v>
      </c>
      <c r="E96" s="181">
        <f t="shared" si="19"/>
        <v>0</v>
      </c>
      <c r="F96" s="181">
        <f t="shared" si="19"/>
        <v>0</v>
      </c>
      <c r="G96" s="181">
        <f t="shared" si="19"/>
        <v>25</v>
      </c>
      <c r="H96" s="181">
        <f t="shared" si="18"/>
        <v>123</v>
      </c>
    </row>
    <row r="97" spans="1:8" ht="15" customHeight="1">
      <c r="A97" s="179" t="s">
        <v>65</v>
      </c>
      <c r="B97" s="176">
        <f t="shared" ref="B97:G97" si="20">SUM(B98:B102)</f>
        <v>15</v>
      </c>
      <c r="C97" s="176">
        <f t="shared" si="20"/>
        <v>0</v>
      </c>
      <c r="D97" s="176">
        <f t="shared" si="20"/>
        <v>0</v>
      </c>
      <c r="E97" s="176">
        <f t="shared" si="20"/>
        <v>0</v>
      </c>
      <c r="F97" s="176">
        <f t="shared" si="20"/>
        <v>0</v>
      </c>
      <c r="G97" s="176">
        <f t="shared" si="20"/>
        <v>4</v>
      </c>
      <c r="H97" s="176">
        <f t="shared" si="18"/>
        <v>19</v>
      </c>
    </row>
    <row r="98" spans="1:8">
      <c r="A98" s="165" t="s">
        <v>66</v>
      </c>
      <c r="B98" s="163">
        <f>COUNTIFS('Sàng lọc điện'!$A:$A,'Test Report'!$A98,'Sàng lọc điện'!$K:$K,'Test Report'!B$30)</f>
        <v>3</v>
      </c>
      <c r="C98" s="163">
        <f>COUNTIFS('Sàng lọc điện'!$A:$A,'Test Report'!$A98,'Sàng lọc điện'!$K:$K,'Test Report'!C$30)</f>
        <v>0</v>
      </c>
      <c r="D98" s="163">
        <f>COUNTIFS('Sàng lọc điện'!$A:$A,'Test Report'!$A98,'Sàng lọc điện'!$K:$K,'Test Report'!D$30)</f>
        <v>0</v>
      </c>
      <c r="E98" s="163">
        <f>COUNTIFS('Sàng lọc điện'!$A:$A,'Test Report'!$A98,'Sàng lọc điện'!$K:$K,'Test Report'!E$30)</f>
        <v>0</v>
      </c>
      <c r="F98" s="163">
        <f>COUNTIFS('Sàng lọc điện'!$A:$A,'Test Report'!$A98,'Sàng lọc điện'!$K:$K,'Test Report'!F$30)</f>
        <v>0</v>
      </c>
      <c r="G98" s="163">
        <f>COUNTIFS('Sàng lọc điện'!$A:$A,'Test Report'!$A98,'Sàng lọc điện'!$K:$K,'Test Report'!G$30)</f>
        <v>1</v>
      </c>
      <c r="H98" s="163">
        <f t="shared" si="18"/>
        <v>4</v>
      </c>
    </row>
    <row r="99" spans="1:8">
      <c r="A99" s="165" t="s">
        <v>67</v>
      </c>
      <c r="B99" s="163">
        <f>COUNTIFS('Sàng lọc điện'!$A:$A,'Test Report'!$A99,'Sàng lọc điện'!$K:$K,'Test Report'!B$30)</f>
        <v>3</v>
      </c>
      <c r="C99" s="163">
        <f>COUNTIFS('Sàng lọc điện'!$A:$A,'Test Report'!$A99,'Sàng lọc điện'!$K:$K,'Test Report'!C$30)</f>
        <v>0</v>
      </c>
      <c r="D99" s="163">
        <f>COUNTIFS('Sàng lọc điện'!$A:$A,'Test Report'!$A99,'Sàng lọc điện'!$K:$K,'Test Report'!D$30)</f>
        <v>0</v>
      </c>
      <c r="E99" s="163">
        <f>COUNTIFS('Sàng lọc điện'!$A:$A,'Test Report'!$A99,'Sàng lọc điện'!$K:$K,'Test Report'!E$30)</f>
        <v>0</v>
      </c>
      <c r="F99" s="163">
        <f>COUNTIFS('Sàng lọc điện'!$A:$A,'Test Report'!$A99,'Sàng lọc điện'!$K:$K,'Test Report'!F$30)</f>
        <v>0</v>
      </c>
      <c r="G99" s="163">
        <f>COUNTIFS('Sàng lọc điện'!$A:$A,'Test Report'!$A99,'Sàng lọc điện'!$K:$K,'Test Report'!G$30)</f>
        <v>1</v>
      </c>
      <c r="H99" s="163">
        <f t="shared" si="18"/>
        <v>4</v>
      </c>
    </row>
    <row r="100" spans="1:8">
      <c r="A100" s="165" t="s">
        <v>68</v>
      </c>
      <c r="B100" s="163">
        <f>COUNTIFS('Sàng lọc điện'!$A:$A,'Test Report'!$A100,'Sàng lọc điện'!$K:$K,'Test Report'!B$30)</f>
        <v>3</v>
      </c>
      <c r="C100" s="163">
        <f>COUNTIFS('Sàng lọc điện'!$A:$A,'Test Report'!$A100,'Sàng lọc điện'!$K:$K,'Test Report'!C$30)</f>
        <v>0</v>
      </c>
      <c r="D100" s="163">
        <f>COUNTIFS('Sàng lọc điện'!$A:$A,'Test Report'!$A100,'Sàng lọc điện'!$K:$K,'Test Report'!D$30)</f>
        <v>0</v>
      </c>
      <c r="E100" s="163">
        <f>COUNTIFS('Sàng lọc điện'!$A:$A,'Test Report'!$A100,'Sàng lọc điện'!$K:$K,'Test Report'!E$30)</f>
        <v>0</v>
      </c>
      <c r="F100" s="163">
        <f>COUNTIFS('Sàng lọc điện'!$A:$A,'Test Report'!$A100,'Sàng lọc điện'!$K:$K,'Test Report'!F$30)</f>
        <v>0</v>
      </c>
      <c r="G100" s="163">
        <f>COUNTIFS('Sàng lọc điện'!$A:$A,'Test Report'!$A100,'Sàng lọc điện'!$K:$K,'Test Report'!G$30)</f>
        <v>0</v>
      </c>
      <c r="H100" s="163">
        <f t="shared" si="18"/>
        <v>3</v>
      </c>
    </row>
    <row r="101" spans="1:8">
      <c r="A101" s="165" t="s">
        <v>69</v>
      </c>
      <c r="B101" s="163">
        <f>COUNTIFS('Sàng lọc điện'!$A:$A,'Test Report'!$A101,'Sàng lọc điện'!$K:$K,'Test Report'!B$30)</f>
        <v>3</v>
      </c>
      <c r="C101" s="163">
        <f>COUNTIFS('Sàng lọc điện'!$A:$A,'Test Report'!$A101,'Sàng lọc điện'!$K:$K,'Test Report'!C$30)</f>
        <v>0</v>
      </c>
      <c r="D101" s="163">
        <f>COUNTIFS('Sàng lọc điện'!$A:$A,'Test Report'!$A101,'Sàng lọc điện'!$K:$K,'Test Report'!D$30)</f>
        <v>0</v>
      </c>
      <c r="E101" s="163">
        <f>COUNTIFS('Sàng lọc điện'!$A:$A,'Test Report'!$A101,'Sàng lọc điện'!$K:$K,'Test Report'!E$30)</f>
        <v>0</v>
      </c>
      <c r="F101" s="163">
        <f>COUNTIFS('Sàng lọc điện'!$A:$A,'Test Report'!$A101,'Sàng lọc điện'!$K:$K,'Test Report'!F$30)</f>
        <v>0</v>
      </c>
      <c r="G101" s="163">
        <f>COUNTIFS('Sàng lọc điện'!$A:$A,'Test Report'!$A101,'Sàng lọc điện'!$K:$K,'Test Report'!G$30)</f>
        <v>1</v>
      </c>
      <c r="H101" s="163">
        <f t="shared" si="18"/>
        <v>4</v>
      </c>
    </row>
    <row r="102" spans="1:8">
      <c r="A102" s="165" t="s">
        <v>70</v>
      </c>
      <c r="B102" s="163">
        <f>COUNTIFS('Sàng lọc điện'!$A:$A,'Test Report'!$A102,'Sàng lọc điện'!$K:$K,'Test Report'!B$30)</f>
        <v>3</v>
      </c>
      <c r="C102" s="163">
        <f>COUNTIFS('Sàng lọc điện'!$A:$A,'Test Report'!$A102,'Sàng lọc điện'!$K:$K,'Test Report'!C$30)</f>
        <v>0</v>
      </c>
      <c r="D102" s="163">
        <f>COUNTIFS('Sàng lọc điện'!$A:$A,'Test Report'!$A102,'Sàng lọc điện'!$K:$K,'Test Report'!D$30)</f>
        <v>0</v>
      </c>
      <c r="E102" s="163">
        <f>COUNTIFS('Sàng lọc điện'!$A:$A,'Test Report'!$A102,'Sàng lọc điện'!$K:$K,'Test Report'!E$30)</f>
        <v>0</v>
      </c>
      <c r="F102" s="163">
        <f>COUNTIFS('Sàng lọc điện'!$A:$A,'Test Report'!$A102,'Sàng lọc điện'!$K:$K,'Test Report'!F$30)</f>
        <v>0</v>
      </c>
      <c r="G102" s="163">
        <f>COUNTIFS('Sàng lọc điện'!$A:$A,'Test Report'!$A102,'Sàng lọc điện'!$K:$K,'Test Report'!G$30)</f>
        <v>1</v>
      </c>
      <c r="H102" s="163">
        <f t="shared" si="18"/>
        <v>4</v>
      </c>
    </row>
    <row r="103" spans="1:8" ht="15" customHeight="1">
      <c r="A103" s="179" t="s">
        <v>71</v>
      </c>
      <c r="B103" s="176">
        <f t="shared" ref="B103:H103" si="21">SUM(B104:B110)</f>
        <v>29</v>
      </c>
      <c r="C103" s="176">
        <f t="shared" si="21"/>
        <v>0</v>
      </c>
      <c r="D103" s="176">
        <f t="shared" si="21"/>
        <v>0</v>
      </c>
      <c r="E103" s="176">
        <f t="shared" si="21"/>
        <v>0</v>
      </c>
      <c r="F103" s="176">
        <f t="shared" si="21"/>
        <v>0</v>
      </c>
      <c r="G103" s="176">
        <f t="shared" si="21"/>
        <v>0</v>
      </c>
      <c r="H103" s="176">
        <f t="shared" si="21"/>
        <v>29</v>
      </c>
    </row>
    <row r="104" spans="1:8">
      <c r="A104" s="165" t="s">
        <v>72</v>
      </c>
      <c r="B104" s="163">
        <f>COUNTIFS('Sàng lọc điện'!$A:$A,'Test Report'!$A104,'Sàng lọc điện'!$K:$K,'Test Report'!B$30)</f>
        <v>3</v>
      </c>
      <c r="C104" s="163">
        <f>COUNTIFS('Sàng lọc điện'!$A:$A,'Test Report'!$A104,'Sàng lọc điện'!$K:$K,'Test Report'!C$30)</f>
        <v>0</v>
      </c>
      <c r="D104" s="163">
        <f>COUNTIFS('Sàng lọc điện'!$A:$A,'Test Report'!$A104,'Sàng lọc điện'!$K:$K,'Test Report'!D$30)</f>
        <v>0</v>
      </c>
      <c r="E104" s="163">
        <f>COUNTIFS('Sàng lọc điện'!$A:$A,'Test Report'!$A104,'Sàng lọc điện'!$K:$K,'Test Report'!E$30)</f>
        <v>0</v>
      </c>
      <c r="F104" s="163">
        <f>COUNTIFS('Sàng lọc điện'!$A:$A,'Test Report'!$A104,'Sàng lọc điện'!$K:$K,'Test Report'!F$30)</f>
        <v>0</v>
      </c>
      <c r="G104" s="163">
        <f>COUNTIFS('Sàng lọc điện'!$A:$A,'Test Report'!$A104,'Sàng lọc điện'!$K:$K,'Test Report'!G$30)</f>
        <v>0</v>
      </c>
      <c r="H104" s="163">
        <f t="shared" ref="H104:H110" si="22">SUM(B104:G104)</f>
        <v>3</v>
      </c>
    </row>
    <row r="105" spans="1:8">
      <c r="A105" s="165" t="s">
        <v>73</v>
      </c>
      <c r="B105" s="163">
        <f>COUNTIFS('Sàng lọc điện'!$A:$A,'Test Report'!$A105,'Sàng lọc điện'!$K:$K,'Test Report'!B$30)</f>
        <v>7</v>
      </c>
      <c r="C105" s="163">
        <f>COUNTIFS('Sàng lọc điện'!$A:$A,'Test Report'!$A105,'Sàng lọc điện'!$K:$K,'Test Report'!C$30)</f>
        <v>0</v>
      </c>
      <c r="D105" s="163">
        <f>COUNTIFS('Sàng lọc điện'!$A:$A,'Test Report'!$A105,'Sàng lọc điện'!$K:$K,'Test Report'!D$30)</f>
        <v>0</v>
      </c>
      <c r="E105" s="163">
        <f>COUNTIFS('Sàng lọc điện'!$A:$A,'Test Report'!$A105,'Sàng lọc điện'!$K:$K,'Test Report'!E$30)</f>
        <v>0</v>
      </c>
      <c r="F105" s="163">
        <f>COUNTIFS('Sàng lọc điện'!$A:$A,'Test Report'!$A105,'Sàng lọc điện'!$K:$K,'Test Report'!F$30)</f>
        <v>0</v>
      </c>
      <c r="G105" s="163">
        <f>COUNTIFS('Sàng lọc điện'!$A:$A,'Test Report'!$A105,'Sàng lọc điện'!$K:$K,'Test Report'!G$30)</f>
        <v>0</v>
      </c>
      <c r="H105" s="163">
        <f t="shared" si="22"/>
        <v>7</v>
      </c>
    </row>
    <row r="106" spans="1:8">
      <c r="A106" s="165" t="s">
        <v>74</v>
      </c>
      <c r="B106" s="163">
        <f>COUNTIFS('Sàng lọc điện'!$A:$A,'Test Report'!$A106,'Sàng lọc điện'!$K:$K,'Test Report'!B$30)</f>
        <v>3</v>
      </c>
      <c r="C106" s="163">
        <f>COUNTIFS('Sàng lọc điện'!$A:$A,'Test Report'!$A106,'Sàng lọc điện'!$K:$K,'Test Report'!C$30)</f>
        <v>0</v>
      </c>
      <c r="D106" s="163">
        <f>COUNTIFS('Sàng lọc điện'!$A:$A,'Test Report'!$A106,'Sàng lọc điện'!$K:$K,'Test Report'!D$30)</f>
        <v>0</v>
      </c>
      <c r="E106" s="163">
        <f>COUNTIFS('Sàng lọc điện'!$A:$A,'Test Report'!$A106,'Sàng lọc điện'!$K:$K,'Test Report'!E$30)</f>
        <v>0</v>
      </c>
      <c r="F106" s="163">
        <f>COUNTIFS('Sàng lọc điện'!$A:$A,'Test Report'!$A106,'Sàng lọc điện'!$K:$K,'Test Report'!F$30)</f>
        <v>0</v>
      </c>
      <c r="G106" s="163">
        <f>COUNTIFS('Sàng lọc điện'!$A:$A,'Test Report'!$A106,'Sàng lọc điện'!$K:$K,'Test Report'!G$30)</f>
        <v>0</v>
      </c>
      <c r="H106" s="163">
        <f t="shared" si="22"/>
        <v>3</v>
      </c>
    </row>
    <row r="107" spans="1:8">
      <c r="A107" s="165" t="s">
        <v>75</v>
      </c>
      <c r="B107" s="163">
        <f>COUNTIFS('Sàng lọc điện'!$A:$A,'Test Report'!$A107,'Sàng lọc điện'!$K:$K,'Test Report'!B$30)</f>
        <v>3</v>
      </c>
      <c r="C107" s="163">
        <f>COUNTIFS('Sàng lọc điện'!$A:$A,'Test Report'!$A107,'Sàng lọc điện'!$K:$K,'Test Report'!C$30)</f>
        <v>0</v>
      </c>
      <c r="D107" s="163">
        <f>COUNTIFS('Sàng lọc điện'!$A:$A,'Test Report'!$A107,'Sàng lọc điện'!$K:$K,'Test Report'!D$30)</f>
        <v>0</v>
      </c>
      <c r="E107" s="163">
        <f>COUNTIFS('Sàng lọc điện'!$A:$A,'Test Report'!$A107,'Sàng lọc điện'!$K:$K,'Test Report'!E$30)</f>
        <v>0</v>
      </c>
      <c r="F107" s="163">
        <f>COUNTIFS('Sàng lọc điện'!$A:$A,'Test Report'!$A107,'Sàng lọc điện'!$K:$K,'Test Report'!F$30)</f>
        <v>0</v>
      </c>
      <c r="G107" s="163">
        <f>COUNTIFS('Sàng lọc điện'!$A:$A,'Test Report'!$A107,'Sàng lọc điện'!$K:$K,'Test Report'!G$30)</f>
        <v>0</v>
      </c>
      <c r="H107" s="163">
        <f t="shared" si="22"/>
        <v>3</v>
      </c>
    </row>
    <row r="108" spans="1:8">
      <c r="A108" s="165" t="s">
        <v>76</v>
      </c>
      <c r="B108" s="163">
        <f>COUNTIFS('Sàng lọc điện'!$A:$A,'Test Report'!$A108,'Sàng lọc điện'!$K:$K,'Test Report'!B$30)</f>
        <v>3</v>
      </c>
      <c r="C108" s="163">
        <f>COUNTIFS('Sàng lọc điện'!$A:$A,'Test Report'!$A108,'Sàng lọc điện'!$K:$K,'Test Report'!C$30)</f>
        <v>0</v>
      </c>
      <c r="D108" s="163">
        <f>COUNTIFS('Sàng lọc điện'!$A:$A,'Test Report'!$A108,'Sàng lọc điện'!$K:$K,'Test Report'!D$30)</f>
        <v>0</v>
      </c>
      <c r="E108" s="163">
        <f>COUNTIFS('Sàng lọc điện'!$A:$A,'Test Report'!$A108,'Sàng lọc điện'!$K:$K,'Test Report'!E$30)</f>
        <v>0</v>
      </c>
      <c r="F108" s="163">
        <f>COUNTIFS('Sàng lọc điện'!$A:$A,'Test Report'!$A108,'Sàng lọc điện'!$K:$K,'Test Report'!F$30)</f>
        <v>0</v>
      </c>
      <c r="G108" s="163">
        <f>COUNTIFS('Sàng lọc điện'!$A:$A,'Test Report'!$A108,'Sàng lọc điện'!$K:$K,'Test Report'!G$30)</f>
        <v>0</v>
      </c>
      <c r="H108" s="163">
        <f t="shared" si="22"/>
        <v>3</v>
      </c>
    </row>
    <row r="109" spans="1:8">
      <c r="A109" s="165" t="s">
        <v>77</v>
      </c>
      <c r="B109" s="163">
        <f>COUNTIFS('Sàng lọc điện'!$A:$A,'Test Report'!$A109,'Sàng lọc điện'!$K:$K,'Test Report'!B$30)</f>
        <v>3</v>
      </c>
      <c r="C109" s="163">
        <f>COUNTIFS('Sàng lọc điện'!$A:$A,'Test Report'!$A109,'Sàng lọc điện'!$K:$K,'Test Report'!C$30)</f>
        <v>0</v>
      </c>
      <c r="D109" s="163">
        <f>COUNTIFS('Sàng lọc điện'!$A:$A,'Test Report'!$A109,'Sàng lọc điện'!$K:$K,'Test Report'!D$30)</f>
        <v>0</v>
      </c>
      <c r="E109" s="163">
        <f>COUNTIFS('Sàng lọc điện'!$A:$A,'Test Report'!$A109,'Sàng lọc điện'!$K:$K,'Test Report'!E$30)</f>
        <v>0</v>
      </c>
      <c r="F109" s="163">
        <f>COUNTIFS('Sàng lọc điện'!$A:$A,'Test Report'!$A109,'Sàng lọc điện'!$K:$K,'Test Report'!F$30)</f>
        <v>0</v>
      </c>
      <c r="G109" s="163">
        <f>COUNTIFS('Sàng lọc điện'!$A:$A,'Test Report'!$A109,'Sàng lọc điện'!$K:$K,'Test Report'!G$30)</f>
        <v>0</v>
      </c>
      <c r="H109" s="163">
        <f t="shared" si="22"/>
        <v>3</v>
      </c>
    </row>
    <row r="110" spans="1:8">
      <c r="A110" s="166" t="s">
        <v>78</v>
      </c>
      <c r="B110" s="163">
        <f>COUNTIFS('Sàng lọc điện'!$A:$A,'Test Report'!$A110,'Sàng lọc điện'!$K:$K,'Test Report'!B$30)</f>
        <v>7</v>
      </c>
      <c r="C110" s="163">
        <f>COUNTIFS('Sàng lọc điện'!$A:$A,'Test Report'!$A110,'Sàng lọc điện'!$K:$K,'Test Report'!C$30)</f>
        <v>0</v>
      </c>
      <c r="D110" s="163">
        <f>COUNTIFS('Sàng lọc điện'!$A:$A,'Test Report'!$A110,'Sàng lọc điện'!$K:$K,'Test Report'!D$30)</f>
        <v>0</v>
      </c>
      <c r="E110" s="163">
        <f>COUNTIFS('Sàng lọc điện'!$A:$A,'Test Report'!$A110,'Sàng lọc điện'!$K:$K,'Test Report'!E$30)</f>
        <v>0</v>
      </c>
      <c r="F110" s="163">
        <f>COUNTIFS('Sàng lọc điện'!$A:$A,'Test Report'!$A110,'Sàng lọc điện'!$K:$K,'Test Report'!F$30)</f>
        <v>0</v>
      </c>
      <c r="G110" s="163">
        <f>COUNTIFS('Sàng lọc điện'!$A:$A,'Test Report'!$A110,'Sàng lọc điện'!$K:$K,'Test Report'!G$30)</f>
        <v>0</v>
      </c>
      <c r="H110" s="163">
        <f t="shared" si="22"/>
        <v>7</v>
      </c>
    </row>
    <row r="111" spans="1:8" ht="15" customHeight="1">
      <c r="A111" s="175" t="s">
        <v>79</v>
      </c>
      <c r="B111" s="176">
        <f t="shared" ref="B111:H111" si="23">SUM(B112:B114)</f>
        <v>11</v>
      </c>
      <c r="C111" s="176">
        <f t="shared" si="23"/>
        <v>0</v>
      </c>
      <c r="D111" s="176">
        <f t="shared" si="23"/>
        <v>0</v>
      </c>
      <c r="E111" s="176">
        <f t="shared" si="23"/>
        <v>0</v>
      </c>
      <c r="F111" s="176">
        <f t="shared" si="23"/>
        <v>0</v>
      </c>
      <c r="G111" s="176">
        <f t="shared" si="23"/>
        <v>0</v>
      </c>
      <c r="H111" s="176">
        <f t="shared" si="23"/>
        <v>11</v>
      </c>
    </row>
    <row r="112" spans="1:8">
      <c r="A112" s="168" t="s">
        <v>80</v>
      </c>
      <c r="B112" s="163">
        <f>COUNTIFS('Sàng lọc điện'!$A:$A,'Test Report'!$A112,'Sàng lọc điện'!$K:$K,'Test Report'!B$30)</f>
        <v>3</v>
      </c>
      <c r="C112" s="163">
        <f>COUNTIFS('Sàng lọc điện'!$A:$A,'Test Report'!$A112,'Sàng lọc điện'!$K:$K,'Test Report'!C$30)</f>
        <v>0</v>
      </c>
      <c r="D112" s="163">
        <f>COUNTIFS('Sàng lọc điện'!$A:$A,'Test Report'!$A112,'Sàng lọc điện'!$K:$K,'Test Report'!D$30)</f>
        <v>0</v>
      </c>
      <c r="E112" s="163">
        <f>COUNTIFS('Sàng lọc điện'!$A:$A,'Test Report'!$A112,'Sàng lọc điện'!$K:$K,'Test Report'!E$30)</f>
        <v>0</v>
      </c>
      <c r="F112" s="163">
        <f>COUNTIFS('Sàng lọc điện'!$A:$A,'Test Report'!$A112,'Sàng lọc điện'!$K:$K,'Test Report'!F$30)</f>
        <v>0</v>
      </c>
      <c r="G112" s="163">
        <f>COUNTIFS('Sàng lọc điện'!$A:$A,'Test Report'!$A112,'Sàng lọc điện'!$K:$K,'Test Report'!G$30)</f>
        <v>0</v>
      </c>
      <c r="H112" s="163">
        <f>SUM(B112:G112)</f>
        <v>3</v>
      </c>
    </row>
    <row r="113" spans="1:9">
      <c r="A113" s="168" t="s">
        <v>81</v>
      </c>
      <c r="B113" s="163">
        <f>COUNTIFS('Sàng lọc điện'!$A:$A,'Test Report'!$A113,'Sàng lọc điện'!$K:$K,'Test Report'!B$30)</f>
        <v>5</v>
      </c>
      <c r="C113" s="163">
        <f>COUNTIFS('Sàng lọc điện'!$A:$A,'Test Report'!$A113,'Sàng lọc điện'!$K:$K,'Test Report'!C$30)</f>
        <v>0</v>
      </c>
      <c r="D113" s="163">
        <f>COUNTIFS('Sàng lọc điện'!$A:$A,'Test Report'!$A113,'Sàng lọc điện'!$K:$K,'Test Report'!D$30)</f>
        <v>0</v>
      </c>
      <c r="E113" s="163">
        <f>COUNTIFS('Sàng lọc điện'!$A:$A,'Test Report'!$A113,'Sàng lọc điện'!$K:$K,'Test Report'!E$30)</f>
        <v>0</v>
      </c>
      <c r="F113" s="163">
        <f>COUNTIFS('Sàng lọc điện'!$A:$A,'Test Report'!$A113,'Sàng lọc điện'!$K:$K,'Test Report'!F$30)</f>
        <v>0</v>
      </c>
      <c r="G113" s="163">
        <f>COUNTIFS('Sàng lọc điện'!$A:$A,'Test Report'!$A113,'Sàng lọc điện'!$K:$K,'Test Report'!G$30)</f>
        <v>0</v>
      </c>
      <c r="H113" s="163">
        <f>SUM(B113:G113)</f>
        <v>5</v>
      </c>
    </row>
    <row r="114" spans="1:9">
      <c r="A114" s="168" t="s">
        <v>82</v>
      </c>
      <c r="B114" s="163">
        <f>COUNTIFS('Sàng lọc điện'!$A:$A,'Test Report'!$A114,'Sàng lọc điện'!$K:$K,'Test Report'!B$30)</f>
        <v>3</v>
      </c>
      <c r="C114" s="163">
        <f>COUNTIFS('Sàng lọc điện'!$A:$A,'Test Report'!$A114,'Sàng lọc điện'!$K:$K,'Test Report'!C$30)</f>
        <v>0</v>
      </c>
      <c r="D114" s="163">
        <f>COUNTIFS('Sàng lọc điện'!$A:$A,'Test Report'!$A114,'Sàng lọc điện'!$K:$K,'Test Report'!D$30)</f>
        <v>0</v>
      </c>
      <c r="E114" s="163">
        <f>COUNTIFS('Sàng lọc điện'!$A:$A,'Test Report'!$A114,'Sàng lọc điện'!$K:$K,'Test Report'!E$30)</f>
        <v>0</v>
      </c>
      <c r="F114" s="163">
        <f>COUNTIFS('Sàng lọc điện'!$A:$A,'Test Report'!$A114,'Sàng lọc điện'!$K:$K,'Test Report'!F$30)</f>
        <v>0</v>
      </c>
      <c r="G114" s="163">
        <f>COUNTIFS('Sàng lọc điện'!$A:$A,'Test Report'!$A114,'Sàng lọc điện'!$K:$K,'Test Report'!G$30)</f>
        <v>0</v>
      </c>
      <c r="H114" s="163">
        <f>SUM(B114:G114)</f>
        <v>3</v>
      </c>
    </row>
    <row r="115" spans="1:9" ht="15" customHeight="1">
      <c r="A115" s="175" t="s">
        <v>83</v>
      </c>
      <c r="B115" s="176">
        <f t="shared" ref="B115:H115" si="24">SUM(B116:B119)</f>
        <v>13</v>
      </c>
      <c r="C115" s="176">
        <f t="shared" si="24"/>
        <v>1</v>
      </c>
      <c r="D115" s="176">
        <f t="shared" si="24"/>
        <v>0</v>
      </c>
      <c r="E115" s="176">
        <f t="shared" si="24"/>
        <v>0</v>
      </c>
      <c r="F115" s="176">
        <f t="shared" si="24"/>
        <v>0</v>
      </c>
      <c r="G115" s="176">
        <f t="shared" si="24"/>
        <v>0</v>
      </c>
      <c r="H115" s="176">
        <f t="shared" si="24"/>
        <v>14</v>
      </c>
    </row>
    <row r="116" spans="1:9">
      <c r="A116" s="168" t="s">
        <v>84</v>
      </c>
      <c r="B116" s="163">
        <f>COUNTIFS('Sàng lọc điện'!$A:$A,'Test Report'!$A116,'Sàng lọc điện'!$K:$K,'Test Report'!B$30)</f>
        <v>10</v>
      </c>
      <c r="C116" s="163">
        <f>COUNTIFS('Sàng lọc điện'!$A:$A,'Test Report'!$A116,'Sàng lọc điện'!$K:$K,'Test Report'!C$30)</f>
        <v>0</v>
      </c>
      <c r="D116" s="163">
        <f>COUNTIFS('Sàng lọc điện'!$A:$A,'Test Report'!$A116,'Sàng lọc điện'!$K:$K,'Test Report'!D$30)</f>
        <v>0</v>
      </c>
      <c r="E116" s="163">
        <f>COUNTIFS('Sàng lọc điện'!$A:$A,'Test Report'!$A116,'Sàng lọc điện'!$K:$K,'Test Report'!E$30)</f>
        <v>0</v>
      </c>
      <c r="F116" s="163">
        <f>COUNTIFS('Sàng lọc điện'!$A:$A,'Test Report'!$A116,'Sàng lọc điện'!$K:$K,'Test Report'!F$30)</f>
        <v>0</v>
      </c>
      <c r="G116" s="163">
        <f>COUNTIFS('Sàng lọc điện'!$A:$A,'Test Report'!$A116,'Sàng lọc điện'!$K:$K,'Test Report'!G$30)</f>
        <v>0</v>
      </c>
      <c r="H116" s="163">
        <f>SUM(B116:G116)</f>
        <v>10</v>
      </c>
    </row>
    <row r="117" spans="1:9">
      <c r="A117" s="168" t="s">
        <v>85</v>
      </c>
      <c r="B117" s="163">
        <f>COUNTIFS('Sàng lọc điện'!$A:$A,'Test Report'!$A117,'Sàng lọc điện'!$K:$K,'Test Report'!B$30)</f>
        <v>0</v>
      </c>
      <c r="C117" s="163">
        <f>COUNTIFS('Sàng lọc điện'!$A:$A,'Test Report'!$A117,'Sàng lọc điện'!$K:$K,'Test Report'!C$30)</f>
        <v>0</v>
      </c>
      <c r="D117" s="163">
        <f>COUNTIFS('Sàng lọc điện'!$A:$A,'Test Report'!$A117,'Sàng lọc điện'!$K:$K,'Test Report'!D$30)</f>
        <v>0</v>
      </c>
      <c r="E117" s="163">
        <f>COUNTIFS('Sàng lọc điện'!$A:$A,'Test Report'!$A117,'Sàng lọc điện'!$K:$K,'Test Report'!E$30)</f>
        <v>0</v>
      </c>
      <c r="F117" s="163">
        <f>COUNTIFS('Sàng lọc điện'!$A:$A,'Test Report'!$A117,'Sàng lọc điện'!$K:$K,'Test Report'!F$30)</f>
        <v>0</v>
      </c>
      <c r="G117" s="163">
        <f>COUNTIFS('Sàng lọc điện'!$A:$A,'Test Report'!$A117,'Sàng lọc điện'!$K:$K,'Test Report'!G$30)</f>
        <v>0</v>
      </c>
      <c r="H117" s="163">
        <f>SUM(B117:G117)</f>
        <v>0</v>
      </c>
    </row>
    <row r="118" spans="1:9">
      <c r="A118" s="168" t="s">
        <v>86</v>
      </c>
      <c r="B118" s="163">
        <f>COUNTIFS('Sàng lọc điện'!$A:$A,'Test Report'!$A118,'Sàng lọc điện'!$K:$K,'Test Report'!B$30)</f>
        <v>1</v>
      </c>
      <c r="C118" s="163">
        <f>COUNTIFS('Sàng lọc điện'!$A:$A,'Test Report'!$A118,'Sàng lọc điện'!$K:$K,'Test Report'!C$30)</f>
        <v>1</v>
      </c>
      <c r="D118" s="163">
        <f>COUNTIFS('Sàng lọc điện'!$A:$A,'Test Report'!$A118,'Sàng lọc điện'!$K:$K,'Test Report'!D$30)</f>
        <v>0</v>
      </c>
      <c r="E118" s="163">
        <f>COUNTIFS('Sàng lọc điện'!$A:$A,'Test Report'!$A118,'Sàng lọc điện'!$K:$K,'Test Report'!E$30)</f>
        <v>0</v>
      </c>
      <c r="F118" s="163">
        <f>COUNTIFS('Sàng lọc điện'!$A:$A,'Test Report'!$A118,'Sàng lọc điện'!$K:$K,'Test Report'!F$30)</f>
        <v>0</v>
      </c>
      <c r="G118" s="163">
        <f>COUNTIFS('Sàng lọc điện'!$A:$A,'Test Report'!$A118,'Sàng lọc điện'!$K:$K,'Test Report'!G$30)</f>
        <v>0</v>
      </c>
      <c r="H118" s="163">
        <f>SUM(B118:G118)</f>
        <v>2</v>
      </c>
    </row>
    <row r="119" spans="1:9">
      <c r="A119" s="168" t="s">
        <v>87</v>
      </c>
      <c r="B119" s="163">
        <f>COUNTIFS('Sàng lọc điện'!$A:$A,'Test Report'!$A119,'Sàng lọc điện'!$K:$K,'Test Report'!B$30)</f>
        <v>2</v>
      </c>
      <c r="C119" s="163">
        <f>COUNTIFS('Sàng lọc điện'!$A:$A,'Test Report'!$A119,'Sàng lọc điện'!$K:$K,'Test Report'!C$30)</f>
        <v>0</v>
      </c>
      <c r="D119" s="163">
        <f>COUNTIFS('Sàng lọc điện'!$A:$A,'Test Report'!$A119,'Sàng lọc điện'!$K:$K,'Test Report'!D$30)</f>
        <v>0</v>
      </c>
      <c r="E119" s="163">
        <f>COUNTIFS('Sàng lọc điện'!$A:$A,'Test Report'!$A119,'Sàng lọc điện'!$K:$K,'Test Report'!E$30)</f>
        <v>0</v>
      </c>
      <c r="F119" s="163">
        <f>COUNTIFS('Sàng lọc điện'!$A:$A,'Test Report'!$A119,'Sàng lọc điện'!$K:$K,'Test Report'!F$30)</f>
        <v>0</v>
      </c>
      <c r="G119" s="163">
        <f>COUNTIFS('Sàng lọc điện'!$A:$A,'Test Report'!$A119,'Sàng lọc điện'!$K:$K,'Test Report'!G$30)</f>
        <v>0</v>
      </c>
      <c r="H119" s="163">
        <f>SUM(B119:G119)</f>
        <v>2</v>
      </c>
    </row>
    <row r="120" spans="1:9">
      <c r="A120" s="175" t="s">
        <v>88</v>
      </c>
      <c r="B120" s="176">
        <f t="shared" ref="B120:H120" si="25">SUM(B121:B127)</f>
        <v>29</v>
      </c>
      <c r="C120" s="176">
        <f t="shared" si="25"/>
        <v>0</v>
      </c>
      <c r="D120" s="176">
        <f t="shared" si="25"/>
        <v>0</v>
      </c>
      <c r="E120" s="176">
        <f t="shared" si="25"/>
        <v>0</v>
      </c>
      <c r="F120" s="176">
        <f t="shared" si="25"/>
        <v>0</v>
      </c>
      <c r="G120" s="176">
        <f t="shared" si="25"/>
        <v>21</v>
      </c>
      <c r="H120" s="176">
        <f t="shared" si="25"/>
        <v>50</v>
      </c>
    </row>
    <row r="121" spans="1:9">
      <c r="A121" s="168" t="s">
        <v>89</v>
      </c>
      <c r="B121" s="163">
        <f>COUNTIFS('Sàng lọc điện'!$A:$A,'Test Report'!$A121,'Sàng lọc điện'!$K:$K,'Test Report'!B$30)</f>
        <v>7</v>
      </c>
      <c r="C121" s="163">
        <f>COUNTIFS('Sàng lọc điện'!$A:$A,'Test Report'!$A121,'Sàng lọc điện'!$K:$K,'Test Report'!C$30)</f>
        <v>0</v>
      </c>
      <c r="D121" s="163">
        <f>COUNTIFS('Sàng lọc điện'!$A:$A,'Test Report'!$A121,'Sàng lọc điện'!$K:$K,'Test Report'!D$30)</f>
        <v>0</v>
      </c>
      <c r="E121" s="163">
        <f>COUNTIFS('Sàng lọc điện'!$A:$A,'Test Report'!$A121,'Sàng lọc điện'!$K:$K,'Test Report'!E$30)</f>
        <v>0</v>
      </c>
      <c r="F121" s="163">
        <f>COUNTIFS('Sàng lọc điện'!$A:$A,'Test Report'!$A121,'Sàng lọc điện'!$K:$K,'Test Report'!F$30)</f>
        <v>0</v>
      </c>
      <c r="G121" s="163">
        <f>COUNTIFS('Sàng lọc điện'!$A:$A,'Test Report'!$A121,'Sàng lọc điện'!$K:$K,'Test Report'!G$30)</f>
        <v>0</v>
      </c>
      <c r="H121" s="163">
        <f t="shared" ref="H121:H127" si="26">SUM(B121:G121)</f>
        <v>7</v>
      </c>
      <c r="I121" t="s">
        <v>96</v>
      </c>
    </row>
    <row r="122" spans="1:9">
      <c r="A122" s="168" t="s">
        <v>90</v>
      </c>
      <c r="B122" s="163">
        <f>COUNTIFS('Sàng lọc điện'!$A:$A,'Test Report'!$A122,'Sàng lọc điện'!$K:$K,'Test Report'!B$30)</f>
        <v>0</v>
      </c>
      <c r="C122" s="163">
        <f>COUNTIFS('Sàng lọc điện'!$A:$A,'Test Report'!$A122,'Sàng lọc điện'!$K:$K,'Test Report'!C$30)</f>
        <v>0</v>
      </c>
      <c r="D122" s="163">
        <f>COUNTIFS('Sàng lọc điện'!$A:$A,'Test Report'!$A122,'Sàng lọc điện'!$K:$K,'Test Report'!D$30)</f>
        <v>0</v>
      </c>
      <c r="E122" s="163">
        <f>COUNTIFS('Sàng lọc điện'!$A:$A,'Test Report'!$A122,'Sàng lọc điện'!$K:$K,'Test Report'!E$30)</f>
        <v>0</v>
      </c>
      <c r="F122" s="163">
        <f>COUNTIFS('Sàng lọc điện'!$A:$A,'Test Report'!$A122,'Sàng lọc điện'!$K:$K,'Test Report'!F$30)</f>
        <v>0</v>
      </c>
      <c r="G122" s="163">
        <f>COUNTIFS('Sàng lọc điện'!$A:$A,'Test Report'!$A122,'Sàng lọc điện'!$K:$K,'Test Report'!G$30)</f>
        <v>7</v>
      </c>
      <c r="H122" s="163">
        <f t="shared" si="26"/>
        <v>7</v>
      </c>
      <c r="I122" t="s">
        <v>97</v>
      </c>
    </row>
    <row r="123" spans="1:9">
      <c r="A123" s="168" t="s">
        <v>91</v>
      </c>
      <c r="B123" s="163">
        <f>COUNTIFS('Sàng lọc điện'!$A:$A,'Test Report'!$A123,'Sàng lọc điện'!$K:$K,'Test Report'!B$30)</f>
        <v>8</v>
      </c>
      <c r="C123" s="163">
        <f>COUNTIFS('Sàng lọc điện'!$A:$A,'Test Report'!$A123,'Sàng lọc điện'!$K:$K,'Test Report'!C$30)</f>
        <v>0</v>
      </c>
      <c r="D123" s="163">
        <f>COUNTIFS('Sàng lọc điện'!$A:$A,'Test Report'!$A123,'Sàng lọc điện'!$K:$K,'Test Report'!D$30)</f>
        <v>0</v>
      </c>
      <c r="E123" s="163">
        <f>COUNTIFS('Sàng lọc điện'!$A:$A,'Test Report'!$A123,'Sàng lọc điện'!$K:$K,'Test Report'!E$30)</f>
        <v>0</v>
      </c>
      <c r="F123" s="163">
        <f>COUNTIFS('Sàng lọc điện'!$A:$A,'Test Report'!$A123,'Sàng lọc điện'!$K:$K,'Test Report'!F$30)</f>
        <v>0</v>
      </c>
      <c r="G123" s="163">
        <f>COUNTIFS('Sàng lọc điện'!$A:$A,'Test Report'!$A123,'Sàng lọc điện'!$K:$K,'Test Report'!G$30)</f>
        <v>0</v>
      </c>
      <c r="H123" s="163">
        <f t="shared" si="26"/>
        <v>8</v>
      </c>
      <c r="I123" t="s">
        <v>96</v>
      </c>
    </row>
    <row r="124" spans="1:9">
      <c r="A124" s="168" t="s">
        <v>92</v>
      </c>
      <c r="B124" s="163">
        <f>COUNTIFS('Sàng lọc điện'!$A:$A,'Test Report'!$A124,'Sàng lọc điện'!$K:$K,'Test Report'!B$30)</f>
        <v>7</v>
      </c>
      <c r="C124" s="163">
        <f>COUNTIFS('Sàng lọc điện'!$A:$A,'Test Report'!$A124,'Sàng lọc điện'!$K:$K,'Test Report'!C$30)</f>
        <v>0</v>
      </c>
      <c r="D124" s="163">
        <f>COUNTIFS('Sàng lọc điện'!$A:$A,'Test Report'!$A124,'Sàng lọc điện'!$K:$K,'Test Report'!D$30)</f>
        <v>0</v>
      </c>
      <c r="E124" s="163">
        <f>COUNTIFS('Sàng lọc điện'!$A:$A,'Test Report'!$A124,'Sàng lọc điện'!$K:$K,'Test Report'!E$30)</f>
        <v>0</v>
      </c>
      <c r="F124" s="163">
        <f>COUNTIFS('Sàng lọc điện'!$A:$A,'Test Report'!$A124,'Sàng lọc điện'!$K:$K,'Test Report'!F$30)</f>
        <v>0</v>
      </c>
      <c r="G124" s="163">
        <f>COUNTIFS('Sàng lọc điện'!$A:$A,'Test Report'!$A124,'Sàng lọc điện'!$K:$K,'Test Report'!G$30)</f>
        <v>0</v>
      </c>
      <c r="H124" s="163">
        <f t="shared" si="26"/>
        <v>7</v>
      </c>
      <c r="I124" t="s">
        <v>96</v>
      </c>
    </row>
    <row r="125" spans="1:9">
      <c r="A125" s="168" t="s">
        <v>93</v>
      </c>
      <c r="B125" s="163">
        <f>COUNTIFS('Sàng lọc điện'!$A:$A,'Test Report'!$A125,'Sàng lọc điện'!$K:$K,'Test Report'!B$30)</f>
        <v>0</v>
      </c>
      <c r="C125" s="163">
        <f>COUNTIFS('Sàng lọc điện'!$A:$A,'Test Report'!$A125,'Sàng lọc điện'!$K:$K,'Test Report'!C$30)</f>
        <v>0</v>
      </c>
      <c r="D125" s="163">
        <f>COUNTIFS('Sàng lọc điện'!$A:$A,'Test Report'!$A125,'Sàng lọc điện'!$K:$K,'Test Report'!D$30)</f>
        <v>0</v>
      </c>
      <c r="E125" s="163">
        <f>COUNTIFS('Sàng lọc điện'!$A:$A,'Test Report'!$A125,'Sàng lọc điện'!$K:$K,'Test Report'!E$30)</f>
        <v>0</v>
      </c>
      <c r="F125" s="163">
        <f>COUNTIFS('Sàng lọc điện'!$A:$A,'Test Report'!$A125,'Sàng lọc điện'!$K:$K,'Test Report'!F$30)</f>
        <v>0</v>
      </c>
      <c r="G125" s="163">
        <f>COUNTIFS('Sàng lọc điện'!$A:$A,'Test Report'!$A125,'Sàng lọc điện'!$K:$K,'Test Report'!G$30)</f>
        <v>8</v>
      </c>
      <c r="H125" s="163">
        <f t="shared" si="26"/>
        <v>8</v>
      </c>
      <c r="I125" t="s">
        <v>98</v>
      </c>
    </row>
    <row r="126" spans="1:9">
      <c r="A126" s="168" t="s">
        <v>94</v>
      </c>
      <c r="B126" s="163">
        <f>COUNTIFS('Sàng lọc điện'!$A:$A,'Test Report'!$A126,'Sàng lọc điện'!$K:$K,'Test Report'!B$30)</f>
        <v>0</v>
      </c>
      <c r="C126" s="163">
        <f>COUNTIFS('Sàng lọc điện'!$A:$A,'Test Report'!$A126,'Sàng lọc điện'!$K:$K,'Test Report'!C$30)</f>
        <v>0</v>
      </c>
      <c r="D126" s="163">
        <f>COUNTIFS('Sàng lọc điện'!$A:$A,'Test Report'!$A126,'Sàng lọc điện'!$K:$K,'Test Report'!D$30)</f>
        <v>0</v>
      </c>
      <c r="E126" s="163">
        <f>COUNTIFS('Sàng lọc điện'!$A:$A,'Test Report'!$A126,'Sàng lọc điện'!$K:$K,'Test Report'!E$30)</f>
        <v>0</v>
      </c>
      <c r="F126" s="163">
        <f>COUNTIFS('Sàng lọc điện'!$A:$A,'Test Report'!$A126,'Sàng lọc điện'!$K:$K,'Test Report'!F$30)</f>
        <v>0</v>
      </c>
      <c r="G126" s="163">
        <f>COUNTIFS('Sàng lọc điện'!$A:$A,'Test Report'!$A126,'Sàng lọc điện'!$K:$K,'Test Report'!G$30)</f>
        <v>6</v>
      </c>
      <c r="H126" s="163">
        <f t="shared" si="26"/>
        <v>6</v>
      </c>
      <c r="I126" t="s">
        <v>98</v>
      </c>
    </row>
    <row r="127" spans="1:9">
      <c r="A127" s="168" t="s">
        <v>95</v>
      </c>
      <c r="B127" s="163">
        <f>COUNTIFS('Sàng lọc điện'!$A:$A,'Test Report'!$A127,'Sàng lọc điện'!$K:$K,'Test Report'!B$30)</f>
        <v>7</v>
      </c>
      <c r="C127" s="163">
        <f>COUNTIFS('Sàng lọc điện'!$A:$A,'Test Report'!$A127,'Sàng lọc điện'!$K:$K,'Test Report'!C$30)</f>
        <v>0</v>
      </c>
      <c r="D127" s="163">
        <f>COUNTIFS('Sàng lọc điện'!$A:$A,'Test Report'!$A127,'Sàng lọc điện'!$K:$K,'Test Report'!D$30)</f>
        <v>0</v>
      </c>
      <c r="E127" s="163">
        <f>COUNTIFS('Sàng lọc điện'!$A:$A,'Test Report'!$A127,'Sàng lọc điện'!$K:$K,'Test Report'!E$30)</f>
        <v>0</v>
      </c>
      <c r="F127" s="163">
        <f>COUNTIFS('Sàng lọc điện'!$A:$A,'Test Report'!$A127,'Sàng lọc điện'!$K:$K,'Test Report'!F$30)</f>
        <v>0</v>
      </c>
      <c r="G127" s="163">
        <f>COUNTIFS('Sàng lọc điện'!$A:$A,'Test Report'!$A127,'Sàng lọc điện'!$K:$K,'Test Report'!G$30)</f>
        <v>0</v>
      </c>
      <c r="H127" s="163">
        <f t="shared" si="26"/>
        <v>7</v>
      </c>
      <c r="I127" t="s">
        <v>98</v>
      </c>
    </row>
  </sheetData>
  <mergeCells count="11">
    <mergeCell ref="A11:B11"/>
    <mergeCell ref="B10:C10"/>
    <mergeCell ref="F8:H8"/>
    <mergeCell ref="F7:H7"/>
    <mergeCell ref="B8:C8"/>
    <mergeCell ref="B6:C6"/>
    <mergeCell ref="F10:H10"/>
    <mergeCell ref="F6:H6"/>
    <mergeCell ref="F5:H5"/>
    <mergeCell ref="B7:C7"/>
    <mergeCell ref="B5:C5"/>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67"/>
  <sheetViews>
    <sheetView topLeftCell="A146" zoomScaleNormal="100" workbookViewId="0">
      <selection activeCell="D168" sqref="D168"/>
    </sheetView>
  </sheetViews>
  <sheetFormatPr defaultColWidth="9.42578125" defaultRowHeight="15" outlineLevelRow="1"/>
  <cols>
    <col min="1" max="1" width="12.5703125" style="79" customWidth="1"/>
    <col min="2" max="2" width="24.28515625" style="79" customWidth="1"/>
    <col min="3" max="3" width="15.28515625" style="79" customWidth="1"/>
    <col min="4" max="4" width="42.42578125" style="79" customWidth="1"/>
    <col min="5" max="5" width="17.5703125" style="79" customWidth="1"/>
    <col min="6" max="6" width="54.85546875" style="79" customWidth="1"/>
    <col min="7" max="7" width="9.42578125" style="79" customWidth="1"/>
    <col min="8" max="8" width="9.42578125" style="80" customWidth="1"/>
    <col min="9" max="9" width="19.42578125" style="80" customWidth="1"/>
    <col min="10" max="12" width="16.28515625" style="80" customWidth="1"/>
    <col min="13" max="13" width="9.42578125" style="79" customWidth="1"/>
    <col min="14" max="16384" width="9.42578125" style="79"/>
  </cols>
  <sheetData>
    <row r="1" spans="1:47" s="87" customFormat="1" ht="23.25" customHeight="1">
      <c r="A1" s="81" t="s">
        <v>99</v>
      </c>
      <c r="B1" s="81" t="s">
        <v>100</v>
      </c>
      <c r="C1" s="81"/>
      <c r="D1" s="81"/>
      <c r="E1" s="82"/>
      <c r="F1" s="83"/>
      <c r="G1" s="84"/>
      <c r="H1" s="85"/>
      <c r="I1" s="85"/>
      <c r="J1" s="85"/>
      <c r="K1" s="85"/>
      <c r="L1" s="85"/>
      <c r="M1" s="85"/>
      <c r="N1" s="86"/>
    </row>
    <row r="2" spans="1:47" s="87" customFormat="1" ht="23.25" customHeight="1">
      <c r="A2" s="81" t="s">
        <v>101</v>
      </c>
      <c r="B2" s="81" t="s">
        <v>102</v>
      </c>
      <c r="C2" s="81"/>
      <c r="D2" s="81"/>
      <c r="E2" s="82"/>
      <c r="F2" s="83"/>
      <c r="G2" s="84"/>
      <c r="H2" s="85"/>
      <c r="I2" s="85"/>
      <c r="J2" s="85"/>
      <c r="K2" s="85"/>
      <c r="L2" s="85"/>
      <c r="M2" s="85"/>
      <c r="N2" s="86"/>
    </row>
    <row r="3" spans="1:47" s="93" customFormat="1" ht="23.25" customHeight="1">
      <c r="A3" s="88"/>
      <c r="B3" s="89"/>
      <c r="C3" s="89"/>
      <c r="D3" s="89"/>
      <c r="E3" s="90"/>
      <c r="F3" s="83"/>
      <c r="G3" s="84"/>
      <c r="H3" s="85"/>
      <c r="I3" s="91"/>
      <c r="J3" s="91"/>
      <c r="K3" s="91"/>
      <c r="L3" s="91"/>
      <c r="M3" s="91"/>
      <c r="N3" s="92"/>
    </row>
    <row r="4" spans="1:47" s="96" customFormat="1" ht="23.25" customHeight="1">
      <c r="A4" s="94"/>
      <c r="B4" s="95" t="s">
        <v>103</v>
      </c>
      <c r="C4" s="95" t="s">
        <v>104</v>
      </c>
      <c r="D4" s="95" t="s">
        <v>105</v>
      </c>
      <c r="E4" s="95" t="s">
        <v>55</v>
      </c>
      <c r="G4" s="97"/>
      <c r="H4" s="98"/>
      <c r="I4" s="98"/>
      <c r="J4" s="98"/>
      <c r="K4" s="98"/>
      <c r="L4" s="98"/>
    </row>
    <row r="5" spans="1:47" s="96" customFormat="1" ht="23.25" customHeight="1">
      <c r="A5" s="99"/>
      <c r="B5" s="100">
        <f>SUM(B6:B11)</f>
        <v>0</v>
      </c>
      <c r="C5" s="100">
        <f>SUM(C6:C11)</f>
        <v>119</v>
      </c>
      <c r="D5" s="100">
        <f>SUM(D6:D11)</f>
        <v>0</v>
      </c>
      <c r="E5" s="101">
        <f t="shared" ref="E5:E12" si="0">SUM(B5:D5)</f>
        <v>119</v>
      </c>
      <c r="G5" s="97"/>
      <c r="H5" s="98"/>
      <c r="I5" s="98"/>
      <c r="J5" s="98"/>
      <c r="K5" s="98"/>
      <c r="L5" s="98"/>
    </row>
    <row r="6" spans="1:47" s="92" customFormat="1" ht="23.25" customHeight="1">
      <c r="A6" s="82" t="s">
        <v>49</v>
      </c>
      <c r="B6" s="102">
        <f>COUNTIFS($K$16:$K$163, $A6,$H$16:$H$163,B$4)</f>
        <v>0</v>
      </c>
      <c r="C6" s="102">
        <f>COUNTIFS($K$16:$K$163, $A6,$H$16:$H$163,C$4)</f>
        <v>104</v>
      </c>
      <c r="D6" s="102">
        <f>COUNTIFS($K$16:$K$163, $A6,$H$16:$H$163,D$4)</f>
        <v>0</v>
      </c>
      <c r="E6" s="102">
        <f t="shared" si="0"/>
        <v>104</v>
      </c>
      <c r="G6" s="103"/>
      <c r="H6" s="91"/>
      <c r="I6" s="91"/>
      <c r="J6" s="91"/>
      <c r="K6" s="91"/>
      <c r="L6" s="91"/>
    </row>
    <row r="7" spans="1:47" s="92" customFormat="1" ht="23.25" customHeight="1">
      <c r="A7" s="82" t="s">
        <v>50</v>
      </c>
      <c r="B7" s="102">
        <f>COUNTIFS($K$16:$K$163, $A7,$H$16:$H$163,B$4)</f>
        <v>0</v>
      </c>
      <c r="C7" s="102">
        <f>COUNTIFS($K$16:$K$163, $A7,$H$16:$H$163,C$4)</f>
        <v>0</v>
      </c>
      <c r="D7" s="102">
        <f>COUNTIFS($K$16:$K$163, $A7,$H$16:$H$163,D$4)</f>
        <v>0</v>
      </c>
      <c r="E7" s="102">
        <f t="shared" si="0"/>
        <v>0</v>
      </c>
      <c r="G7" s="103"/>
      <c r="H7" s="91"/>
      <c r="I7" s="91"/>
      <c r="J7" s="91"/>
      <c r="K7" s="91"/>
      <c r="L7" s="91"/>
    </row>
    <row r="8" spans="1:47" s="92" customFormat="1" ht="23.25" customHeight="1">
      <c r="A8" s="82" t="s">
        <v>51</v>
      </c>
      <c r="B8" s="102">
        <f>COUNTIFS($K$16:$K$163, $A8,$H$16:$H$163,B$4)</f>
        <v>0</v>
      </c>
      <c r="C8" s="102">
        <f>COUNTIFS($K$16:$K$163, $A8,$H$16:$H$163,C$4)</f>
        <v>0</v>
      </c>
      <c r="D8" s="102">
        <f>COUNTIFS($K$16:$K$163, $A8,$H$16:$H$163,D$4)</f>
        <v>0</v>
      </c>
      <c r="E8" s="102">
        <f t="shared" si="0"/>
        <v>0</v>
      </c>
      <c r="G8" s="103"/>
      <c r="H8" s="91"/>
      <c r="I8" s="91"/>
      <c r="J8" s="91"/>
      <c r="K8" s="91"/>
      <c r="L8" s="91"/>
    </row>
    <row r="9" spans="1:47" s="92" customFormat="1" ht="23.25" customHeight="1">
      <c r="A9" s="82" t="s">
        <v>106</v>
      </c>
      <c r="B9" s="102">
        <f>COUNTIFS($K$16:$K$163, $A9,$H$16:$H$163,B$4)</f>
        <v>0</v>
      </c>
      <c r="C9" s="102">
        <f>COUNTIFS($K$16:$K$163, $A9,$H$16:$H$163,C$4)</f>
        <v>0</v>
      </c>
      <c r="D9" s="102">
        <f>COUNTIFS($K$16:$K$163, $A9,$H$16:$H$163,D$4)</f>
        <v>0</v>
      </c>
      <c r="E9" s="102">
        <f t="shared" si="0"/>
        <v>0</v>
      </c>
      <c r="F9" s="79"/>
      <c r="G9" s="79"/>
      <c r="H9" s="80"/>
      <c r="I9" s="80"/>
      <c r="J9" s="80"/>
      <c r="K9" s="80"/>
      <c r="L9" s="80"/>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row>
    <row r="10" spans="1:47" s="92" customFormat="1" ht="23.25" customHeight="1">
      <c r="A10" s="82" t="s">
        <v>54</v>
      </c>
      <c r="B10" s="102">
        <f>COUNTIFS($K$16:$K$163, $A10,$H$16:$H$163,B$4)</f>
        <v>0</v>
      </c>
      <c r="C10" s="102">
        <f>COUNTIFS($K$16:$K$163, $A10,$H$16:$H$163,C$4)</f>
        <v>15</v>
      </c>
      <c r="D10" s="102">
        <f>COUNTIFS($K$16:$K$163, $A10,$H$16:$H$163,D$4)</f>
        <v>0</v>
      </c>
      <c r="E10" s="102">
        <f t="shared" si="0"/>
        <v>15</v>
      </c>
      <c r="G10" s="103"/>
      <c r="H10" s="91"/>
      <c r="I10" s="91"/>
      <c r="J10" s="91"/>
      <c r="K10" s="91"/>
      <c r="L10" s="91"/>
    </row>
    <row r="11" spans="1:47" s="92" customFormat="1" ht="23.25" customHeight="1">
      <c r="A11" s="82" t="s">
        <v>107</v>
      </c>
      <c r="B11" s="102">
        <f>COUNTIFS($K$16:$K$163, $A11,$H$16:$H$163,B$4)</f>
        <v>0</v>
      </c>
      <c r="C11" s="102">
        <f>COUNTIFS($K$16:$K$163, $A11,$H$16:$H$163,C$4)</f>
        <v>0</v>
      </c>
      <c r="D11" s="102">
        <f>COUNTIFS($K$16:$K$163, $A11,$H$16:$H$163,D$4)</f>
        <v>0</v>
      </c>
      <c r="E11" s="102">
        <f t="shared" si="0"/>
        <v>0</v>
      </c>
      <c r="G11" s="103"/>
      <c r="H11" s="91"/>
      <c r="I11" s="91"/>
      <c r="J11" s="91"/>
      <c r="K11" s="91"/>
      <c r="L11" s="91"/>
    </row>
    <row r="12" spans="1:47" s="92" customFormat="1" ht="23.25" customHeight="1">
      <c r="A12" s="82" t="s">
        <v>52</v>
      </c>
      <c r="B12" s="102">
        <f>COUNTIFS($K$16:$K$163, $A12,$H$16:$H$163,B$4)</f>
        <v>0</v>
      </c>
      <c r="C12" s="102">
        <f>COUNTIFS($K$16:$K$163, $A12,$H$16:$H$163,C$4)</f>
        <v>0</v>
      </c>
      <c r="D12" s="102">
        <f>COUNTIFS($K$16:$K$163, $A12,$H$16:$H$163,D$4)</f>
        <v>0</v>
      </c>
      <c r="E12" s="102">
        <f t="shared" si="0"/>
        <v>0</v>
      </c>
      <c r="G12" s="103"/>
      <c r="H12" s="91"/>
      <c r="I12" s="91"/>
      <c r="J12" s="91"/>
      <c r="K12" s="91"/>
      <c r="L12" s="91"/>
    </row>
    <row r="13" spans="1:47" ht="23.25" customHeight="1">
      <c r="H13" s="79"/>
      <c r="I13" s="79"/>
      <c r="J13" s="79"/>
      <c r="K13" s="79"/>
      <c r="L13" s="79"/>
    </row>
    <row r="15" spans="1:47" ht="23.25" customHeight="1">
      <c r="A15" s="104" t="s">
        <v>108</v>
      </c>
      <c r="B15" s="104" t="s">
        <v>109</v>
      </c>
      <c r="C15" s="104" t="s">
        <v>110</v>
      </c>
      <c r="D15" s="104" t="s">
        <v>111</v>
      </c>
      <c r="E15" s="104" t="s">
        <v>112</v>
      </c>
      <c r="F15" s="104" t="s">
        <v>113</v>
      </c>
      <c r="G15" s="104" t="s">
        <v>42</v>
      </c>
      <c r="H15" s="105" t="s">
        <v>114</v>
      </c>
      <c r="I15" s="105" t="s">
        <v>115</v>
      </c>
      <c r="J15" s="105" t="s">
        <v>116</v>
      </c>
      <c r="K15" s="105" t="s">
        <v>117</v>
      </c>
      <c r="L15" s="105" t="s">
        <v>118</v>
      </c>
      <c r="M15" s="104" t="s">
        <v>119</v>
      </c>
      <c r="N15" s="104" t="s">
        <v>120</v>
      </c>
      <c r="O15" s="79" t="s">
        <v>121</v>
      </c>
    </row>
    <row r="16" spans="1:47" ht="23.25" customHeight="1">
      <c r="A16" s="106"/>
      <c r="B16" s="107" t="s">
        <v>122</v>
      </c>
      <c r="C16" s="108"/>
      <c r="D16" s="108"/>
      <c r="E16" s="108"/>
      <c r="F16" s="108"/>
      <c r="G16" s="108"/>
      <c r="H16" s="109"/>
      <c r="I16" s="109"/>
      <c r="J16" s="109"/>
      <c r="K16" s="109"/>
      <c r="L16" s="109"/>
      <c r="M16" s="108"/>
      <c r="N16" s="108"/>
    </row>
    <row r="17" spans="1:47" ht="26.25" customHeight="1" outlineLevel="1">
      <c r="A17" s="110" t="s">
        <v>123</v>
      </c>
      <c r="B17" s="110" t="s">
        <v>124</v>
      </c>
      <c r="C17" s="111"/>
      <c r="D17" s="110" t="s">
        <v>125</v>
      </c>
      <c r="E17" s="112"/>
      <c r="F17" s="110" t="s">
        <v>126</v>
      </c>
      <c r="G17" s="113"/>
      <c r="H17" s="113" t="s">
        <v>104</v>
      </c>
      <c r="I17" s="113" t="s">
        <v>127</v>
      </c>
      <c r="J17" s="113" t="s">
        <v>49</v>
      </c>
      <c r="K17" s="113" t="s">
        <v>49</v>
      </c>
      <c r="L17" s="113" t="s">
        <v>49</v>
      </c>
      <c r="M17" s="112"/>
      <c r="N17" s="112"/>
      <c r="O17" s="79" t="str">
        <f t="shared" ref="O17:O48" si="1">LEFT(A17, FIND(".", A17) - 1)</f>
        <v>MT195</v>
      </c>
    </row>
    <row r="18" spans="1:47" s="114" customFormat="1" ht="26.25" customHeight="1" outlineLevel="1">
      <c r="A18" s="110" t="s">
        <v>128</v>
      </c>
      <c r="B18" s="110" t="s">
        <v>129</v>
      </c>
      <c r="C18" s="111"/>
      <c r="D18" s="110" t="s">
        <v>130</v>
      </c>
      <c r="E18" s="112"/>
      <c r="F18" s="110" t="s">
        <v>126</v>
      </c>
      <c r="G18" s="113"/>
      <c r="H18" s="113" t="s">
        <v>104</v>
      </c>
      <c r="I18" s="113" t="s">
        <v>127</v>
      </c>
      <c r="J18" s="113" t="s">
        <v>49</v>
      </c>
      <c r="K18" s="113" t="s">
        <v>49</v>
      </c>
      <c r="L18" s="113" t="s">
        <v>49</v>
      </c>
      <c r="M18" s="112"/>
      <c r="N18" s="112"/>
      <c r="O18" s="79" t="str">
        <f t="shared" si="1"/>
        <v>MT195</v>
      </c>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row>
    <row r="19" spans="1:47" ht="26.25" customHeight="1">
      <c r="A19" s="110" t="s">
        <v>131</v>
      </c>
      <c r="B19" s="110" t="s">
        <v>132</v>
      </c>
      <c r="C19" s="111"/>
      <c r="D19" s="110" t="s">
        <v>133</v>
      </c>
      <c r="E19" s="112"/>
      <c r="F19" s="189" t="s">
        <v>134</v>
      </c>
      <c r="G19" s="113"/>
      <c r="H19" s="113" t="s">
        <v>104</v>
      </c>
      <c r="I19" s="113" t="s">
        <v>127</v>
      </c>
      <c r="J19" s="113" t="s">
        <v>49</v>
      </c>
      <c r="K19" s="113" t="s">
        <v>49</v>
      </c>
      <c r="L19" s="113" t="s">
        <v>49</v>
      </c>
      <c r="M19" s="112"/>
      <c r="N19" s="112"/>
      <c r="O19" s="79" t="str">
        <f t="shared" si="1"/>
        <v>MT195</v>
      </c>
    </row>
    <row r="20" spans="1:47" ht="26.25" customHeight="1">
      <c r="A20" s="110" t="s">
        <v>135</v>
      </c>
      <c r="B20" s="110" t="s">
        <v>136</v>
      </c>
      <c r="C20" s="111"/>
      <c r="D20" s="110" t="s">
        <v>137</v>
      </c>
      <c r="E20" s="112"/>
      <c r="F20" s="110" t="s">
        <v>126</v>
      </c>
      <c r="G20" s="113"/>
      <c r="H20" s="113" t="s">
        <v>104</v>
      </c>
      <c r="I20" s="113" t="s">
        <v>127</v>
      </c>
      <c r="J20" s="113" t="s">
        <v>49</v>
      </c>
      <c r="K20" s="113" t="s">
        <v>49</v>
      </c>
      <c r="L20" s="113" t="s">
        <v>49</v>
      </c>
      <c r="M20" s="112"/>
      <c r="N20" s="112"/>
      <c r="O20" s="79" t="str">
        <f t="shared" si="1"/>
        <v>MT195</v>
      </c>
    </row>
    <row r="21" spans="1:47" ht="23.25" customHeight="1">
      <c r="A21" s="106"/>
      <c r="B21" s="107" t="s">
        <v>138</v>
      </c>
      <c r="C21" s="108"/>
      <c r="D21" s="108"/>
      <c r="E21" s="108"/>
      <c r="F21" s="108"/>
      <c r="G21" s="108"/>
      <c r="H21" s="109"/>
      <c r="I21" s="109"/>
      <c r="J21" s="109"/>
      <c r="K21" s="109"/>
      <c r="L21" s="109"/>
      <c r="M21" s="108"/>
      <c r="N21" s="108"/>
      <c r="O21" s="79" t="e">
        <f t="shared" si="1"/>
        <v>#VALUE!</v>
      </c>
    </row>
    <row r="22" spans="1:47" ht="23.25" customHeight="1" outlineLevel="1">
      <c r="A22" s="110" t="s">
        <v>139</v>
      </c>
      <c r="B22" s="110" t="s">
        <v>140</v>
      </c>
      <c r="C22" s="111"/>
      <c r="D22" s="110" t="s">
        <v>141</v>
      </c>
      <c r="E22" s="112"/>
      <c r="F22" s="110" t="s">
        <v>126</v>
      </c>
      <c r="G22" s="113"/>
      <c r="H22" s="113" t="s">
        <v>104</v>
      </c>
      <c r="I22" s="113" t="s">
        <v>127</v>
      </c>
      <c r="J22" s="113" t="s">
        <v>49</v>
      </c>
      <c r="K22" s="113" t="s">
        <v>49</v>
      </c>
      <c r="L22" s="113" t="s">
        <v>49</v>
      </c>
      <c r="M22" s="112"/>
      <c r="N22" s="112"/>
      <c r="O22" s="79" t="str">
        <f t="shared" si="1"/>
        <v>MT196</v>
      </c>
    </row>
    <row r="23" spans="1:47" s="114" customFormat="1" ht="23.25" customHeight="1" outlineLevel="1">
      <c r="A23" s="110" t="s">
        <v>142</v>
      </c>
      <c r="B23" s="110" t="s">
        <v>143</v>
      </c>
      <c r="C23" s="111"/>
      <c r="D23" s="110" t="s">
        <v>144</v>
      </c>
      <c r="E23" s="112"/>
      <c r="F23" s="110" t="s">
        <v>126</v>
      </c>
      <c r="G23" s="113"/>
      <c r="H23" s="113" t="s">
        <v>104</v>
      </c>
      <c r="I23" s="113" t="s">
        <v>127</v>
      </c>
      <c r="J23" s="113" t="s">
        <v>49</v>
      </c>
      <c r="K23" s="113" t="s">
        <v>49</v>
      </c>
      <c r="L23" s="113" t="s">
        <v>49</v>
      </c>
      <c r="M23" s="112"/>
      <c r="N23" s="112"/>
      <c r="O23" s="79" t="str">
        <f t="shared" si="1"/>
        <v>MT196</v>
      </c>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row>
    <row r="24" spans="1:47" ht="23.25" customHeight="1">
      <c r="A24" s="110" t="s">
        <v>145</v>
      </c>
      <c r="B24" s="110" t="s">
        <v>146</v>
      </c>
      <c r="C24" s="111"/>
      <c r="D24" s="110" t="s">
        <v>147</v>
      </c>
      <c r="E24" s="112"/>
      <c r="F24" s="189" t="s">
        <v>148</v>
      </c>
      <c r="G24" s="113"/>
      <c r="H24" s="113" t="s">
        <v>104</v>
      </c>
      <c r="I24" s="113" t="s">
        <v>127</v>
      </c>
      <c r="J24" s="113" t="s">
        <v>49</v>
      </c>
      <c r="K24" s="113" t="s">
        <v>49</v>
      </c>
      <c r="L24" s="113" t="s">
        <v>49</v>
      </c>
      <c r="M24" s="112"/>
      <c r="N24" s="112"/>
      <c r="O24" s="79" t="str">
        <f t="shared" si="1"/>
        <v>MT196</v>
      </c>
    </row>
    <row r="25" spans="1:47" ht="23.25" customHeight="1">
      <c r="A25" s="110" t="s">
        <v>149</v>
      </c>
      <c r="B25" s="110" t="s">
        <v>150</v>
      </c>
      <c r="C25" s="111"/>
      <c r="D25" s="110" t="s">
        <v>151</v>
      </c>
      <c r="E25" s="112"/>
      <c r="F25" s="110" t="s">
        <v>126</v>
      </c>
      <c r="G25" s="113"/>
      <c r="H25" s="113" t="s">
        <v>104</v>
      </c>
      <c r="I25" s="113" t="s">
        <v>127</v>
      </c>
      <c r="J25" s="113" t="s">
        <v>49</v>
      </c>
      <c r="K25" s="113" t="s">
        <v>49</v>
      </c>
      <c r="L25" s="113" t="s">
        <v>49</v>
      </c>
      <c r="M25" s="112"/>
      <c r="N25" s="112"/>
      <c r="O25" s="79" t="str">
        <f t="shared" si="1"/>
        <v>MT196</v>
      </c>
    </row>
    <row r="26" spans="1:47" ht="23.25" customHeight="1">
      <c r="A26" s="106"/>
      <c r="B26" s="107" t="s">
        <v>152</v>
      </c>
      <c r="C26" s="108"/>
      <c r="D26" s="108"/>
      <c r="E26" s="108"/>
      <c r="F26" s="108"/>
      <c r="G26" s="108"/>
      <c r="H26" s="109"/>
      <c r="I26" s="109"/>
      <c r="J26" s="109"/>
      <c r="K26" s="109"/>
      <c r="L26" s="109"/>
      <c r="M26" s="108"/>
      <c r="N26" s="108"/>
      <c r="O26" s="79" t="e">
        <f t="shared" si="1"/>
        <v>#VALUE!</v>
      </c>
    </row>
    <row r="27" spans="1:47" ht="23.25" customHeight="1" outlineLevel="1">
      <c r="A27" s="110" t="s">
        <v>153</v>
      </c>
      <c r="B27" s="110" t="s">
        <v>154</v>
      </c>
      <c r="C27" s="111"/>
      <c r="D27" s="110" t="s">
        <v>155</v>
      </c>
      <c r="E27" s="112"/>
      <c r="F27" s="110" t="s">
        <v>126</v>
      </c>
      <c r="G27" s="113"/>
      <c r="H27" s="113" t="s">
        <v>104</v>
      </c>
      <c r="I27" s="113" t="s">
        <v>127</v>
      </c>
      <c r="J27" s="113" t="s">
        <v>49</v>
      </c>
      <c r="K27" s="113" t="s">
        <v>49</v>
      </c>
      <c r="L27" s="113" t="s">
        <v>49</v>
      </c>
      <c r="M27" s="112"/>
      <c r="N27" s="112"/>
      <c r="O27" s="79" t="str">
        <f t="shared" si="1"/>
        <v>MT199</v>
      </c>
    </row>
    <row r="28" spans="1:47" s="114" customFormat="1" ht="23.25" customHeight="1" outlineLevel="1">
      <c r="A28" s="110" t="s">
        <v>156</v>
      </c>
      <c r="B28" s="110" t="s">
        <v>157</v>
      </c>
      <c r="C28" s="111"/>
      <c r="D28" s="110" t="s">
        <v>158</v>
      </c>
      <c r="E28" s="112"/>
      <c r="F28" s="110" t="s">
        <v>126</v>
      </c>
      <c r="G28" s="113"/>
      <c r="H28" s="113" t="s">
        <v>104</v>
      </c>
      <c r="I28" s="113" t="s">
        <v>127</v>
      </c>
      <c r="J28" s="113" t="s">
        <v>49</v>
      </c>
      <c r="K28" s="113" t="s">
        <v>49</v>
      </c>
      <c r="L28" s="113" t="s">
        <v>49</v>
      </c>
      <c r="M28" s="112"/>
      <c r="N28" s="112"/>
      <c r="O28" s="79" t="str">
        <f t="shared" si="1"/>
        <v>MT199</v>
      </c>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row>
    <row r="29" spans="1:47" ht="23.25" customHeight="1">
      <c r="A29" s="110" t="s">
        <v>159</v>
      </c>
      <c r="B29" s="110" t="s">
        <v>160</v>
      </c>
      <c r="C29" s="111"/>
      <c r="D29" s="110" t="s">
        <v>161</v>
      </c>
      <c r="E29" s="112"/>
      <c r="F29" s="110" t="s">
        <v>162</v>
      </c>
      <c r="G29" s="113"/>
      <c r="H29" s="113" t="s">
        <v>104</v>
      </c>
      <c r="I29" s="113" t="s">
        <v>127</v>
      </c>
      <c r="J29" s="113" t="s">
        <v>49</v>
      </c>
      <c r="K29" s="113" t="s">
        <v>49</v>
      </c>
      <c r="L29" s="113" t="s">
        <v>49</v>
      </c>
      <c r="M29" s="112"/>
      <c r="N29" s="112"/>
      <c r="O29" s="79" t="str">
        <f t="shared" si="1"/>
        <v>MT199</v>
      </c>
    </row>
    <row r="30" spans="1:47" ht="23.25" customHeight="1">
      <c r="A30" s="110" t="s">
        <v>163</v>
      </c>
      <c r="B30" s="110" t="s">
        <v>164</v>
      </c>
      <c r="C30" s="111"/>
      <c r="D30" s="110" t="s">
        <v>165</v>
      </c>
      <c r="E30" s="112"/>
      <c r="F30" s="110" t="s">
        <v>126</v>
      </c>
      <c r="G30" s="113"/>
      <c r="H30" s="113" t="s">
        <v>104</v>
      </c>
      <c r="I30" s="113" t="s">
        <v>127</v>
      </c>
      <c r="J30" s="113" t="s">
        <v>49</v>
      </c>
      <c r="K30" s="113" t="s">
        <v>49</v>
      </c>
      <c r="L30" s="113" t="s">
        <v>49</v>
      </c>
      <c r="M30" s="112"/>
      <c r="N30" s="112"/>
      <c r="O30" s="79" t="str">
        <f t="shared" si="1"/>
        <v>MT199</v>
      </c>
    </row>
    <row r="31" spans="1:47" ht="23.25" customHeight="1">
      <c r="A31" s="106"/>
      <c r="B31" s="107" t="s">
        <v>166</v>
      </c>
      <c r="C31" s="108"/>
      <c r="D31" s="108"/>
      <c r="E31" s="108"/>
      <c r="F31" s="108"/>
      <c r="G31" s="108"/>
      <c r="H31" s="109"/>
      <c r="I31" s="109"/>
      <c r="J31" s="109"/>
      <c r="K31" s="109"/>
      <c r="L31" s="109"/>
      <c r="M31" s="108"/>
      <c r="N31" s="108"/>
      <c r="O31" s="79" t="e">
        <f t="shared" si="1"/>
        <v>#VALUE!</v>
      </c>
    </row>
    <row r="32" spans="1:47" ht="23.25" customHeight="1" outlineLevel="1">
      <c r="A32" s="110" t="s">
        <v>167</v>
      </c>
      <c r="B32" s="110" t="s">
        <v>168</v>
      </c>
      <c r="C32" s="111"/>
      <c r="D32" s="110" t="s">
        <v>169</v>
      </c>
      <c r="E32" s="112"/>
      <c r="F32" s="110" t="s">
        <v>126</v>
      </c>
      <c r="G32" s="113"/>
      <c r="H32" s="113" t="s">
        <v>104</v>
      </c>
      <c r="I32" s="113" t="s">
        <v>127</v>
      </c>
      <c r="J32" s="113" t="s">
        <v>49</v>
      </c>
      <c r="K32" s="113" t="s">
        <v>49</v>
      </c>
      <c r="L32" s="113" t="s">
        <v>49</v>
      </c>
      <c r="M32" s="112"/>
      <c r="N32" s="112"/>
      <c r="O32" s="79" t="str">
        <f t="shared" si="1"/>
        <v>MT295</v>
      </c>
    </row>
    <row r="33" spans="1:47" s="114" customFormat="1" ht="23.25" customHeight="1" outlineLevel="1">
      <c r="A33" s="110" t="s">
        <v>170</v>
      </c>
      <c r="B33" s="110" t="s">
        <v>171</v>
      </c>
      <c r="C33" s="111"/>
      <c r="D33" s="110" t="s">
        <v>172</v>
      </c>
      <c r="E33" s="112"/>
      <c r="F33" s="110" t="s">
        <v>126</v>
      </c>
      <c r="G33" s="113"/>
      <c r="H33" s="113" t="s">
        <v>104</v>
      </c>
      <c r="I33" s="113" t="s">
        <v>127</v>
      </c>
      <c r="J33" s="113" t="s">
        <v>49</v>
      </c>
      <c r="K33" s="113" t="s">
        <v>49</v>
      </c>
      <c r="L33" s="113" t="s">
        <v>49</v>
      </c>
      <c r="M33" s="112"/>
      <c r="N33" s="112"/>
      <c r="O33" s="79" t="str">
        <f t="shared" si="1"/>
        <v>MT295</v>
      </c>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row>
    <row r="34" spans="1:47" ht="23.25" customHeight="1">
      <c r="A34" s="110" t="s">
        <v>173</v>
      </c>
      <c r="B34" s="110" t="s">
        <v>174</v>
      </c>
      <c r="C34" s="111"/>
      <c r="D34" s="110" t="s">
        <v>175</v>
      </c>
      <c r="E34" s="112"/>
      <c r="F34" s="189" t="s">
        <v>134</v>
      </c>
      <c r="G34" s="113"/>
      <c r="H34" s="113" t="s">
        <v>104</v>
      </c>
      <c r="I34" s="113" t="s">
        <v>127</v>
      </c>
      <c r="J34" s="113" t="s">
        <v>49</v>
      </c>
      <c r="K34" s="113" t="s">
        <v>49</v>
      </c>
      <c r="L34" s="113" t="s">
        <v>49</v>
      </c>
      <c r="M34" s="112"/>
      <c r="N34" s="112"/>
      <c r="O34" s="79" t="str">
        <f t="shared" si="1"/>
        <v>MT295</v>
      </c>
    </row>
    <row r="35" spans="1:47" ht="23.25" customHeight="1">
      <c r="A35" s="110" t="s">
        <v>176</v>
      </c>
      <c r="B35" s="110" t="s">
        <v>177</v>
      </c>
      <c r="C35" s="111"/>
      <c r="D35" s="110" t="s">
        <v>178</v>
      </c>
      <c r="E35" s="112"/>
      <c r="F35" s="110" t="s">
        <v>126</v>
      </c>
      <c r="G35" s="113"/>
      <c r="H35" s="113" t="s">
        <v>104</v>
      </c>
      <c r="I35" s="113" t="s">
        <v>127</v>
      </c>
      <c r="J35" s="113" t="s">
        <v>49</v>
      </c>
      <c r="K35" s="113" t="s">
        <v>49</v>
      </c>
      <c r="L35" s="113" t="s">
        <v>49</v>
      </c>
      <c r="M35" s="112"/>
      <c r="N35" s="112"/>
      <c r="O35" s="79" t="str">
        <f t="shared" si="1"/>
        <v>MT295</v>
      </c>
    </row>
    <row r="36" spans="1:47" ht="23.25" customHeight="1">
      <c r="A36" s="106"/>
      <c r="B36" s="107" t="s">
        <v>179</v>
      </c>
      <c r="C36" s="108"/>
      <c r="D36" s="108"/>
      <c r="E36" s="108"/>
      <c r="F36" s="108"/>
      <c r="G36" s="108"/>
      <c r="H36" s="109"/>
      <c r="I36" s="109"/>
      <c r="J36" s="109"/>
      <c r="K36" s="109"/>
      <c r="L36" s="109"/>
      <c r="M36" s="108"/>
      <c r="N36" s="108"/>
      <c r="O36" s="79" t="e">
        <f t="shared" si="1"/>
        <v>#VALUE!</v>
      </c>
    </row>
    <row r="37" spans="1:47" ht="23.25" customHeight="1" outlineLevel="1">
      <c r="A37" s="110" t="s">
        <v>180</v>
      </c>
      <c r="B37" s="110" t="s">
        <v>181</v>
      </c>
      <c r="C37" s="111"/>
      <c r="D37" s="110" t="s">
        <v>182</v>
      </c>
      <c r="E37" s="112"/>
      <c r="F37" s="110" t="s">
        <v>126</v>
      </c>
      <c r="G37" s="113"/>
      <c r="H37" s="113" t="s">
        <v>104</v>
      </c>
      <c r="I37" s="113" t="s">
        <v>127</v>
      </c>
      <c r="J37" s="113" t="s">
        <v>49</v>
      </c>
      <c r="K37" s="113" t="s">
        <v>49</v>
      </c>
      <c r="L37" s="113" t="s">
        <v>54</v>
      </c>
      <c r="M37" s="112"/>
      <c r="N37" s="112"/>
      <c r="O37" s="79" t="str">
        <f t="shared" si="1"/>
        <v>MT296</v>
      </c>
    </row>
    <row r="38" spans="1:47" s="114" customFormat="1" ht="23.25" customHeight="1" outlineLevel="1">
      <c r="A38" s="110" t="s">
        <v>183</v>
      </c>
      <c r="B38" s="110" t="s">
        <v>184</v>
      </c>
      <c r="C38" s="111"/>
      <c r="D38" s="110" t="s">
        <v>185</v>
      </c>
      <c r="E38" s="112"/>
      <c r="F38" s="110" t="s">
        <v>126</v>
      </c>
      <c r="G38" s="113"/>
      <c r="H38" s="113" t="s">
        <v>104</v>
      </c>
      <c r="I38" s="113" t="s">
        <v>127</v>
      </c>
      <c r="J38" s="113" t="s">
        <v>49</v>
      </c>
      <c r="K38" s="113" t="s">
        <v>49</v>
      </c>
      <c r="L38" s="113" t="s">
        <v>54</v>
      </c>
      <c r="M38" s="112"/>
      <c r="N38" s="112"/>
      <c r="O38" s="79" t="str">
        <f t="shared" si="1"/>
        <v>MT296</v>
      </c>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row>
    <row r="39" spans="1:47" ht="23.25" customHeight="1">
      <c r="A39" s="110" t="s">
        <v>186</v>
      </c>
      <c r="B39" s="110" t="s">
        <v>187</v>
      </c>
      <c r="C39" s="111"/>
      <c r="D39" s="110" t="s">
        <v>188</v>
      </c>
      <c r="E39" s="112"/>
      <c r="F39" s="189" t="s">
        <v>189</v>
      </c>
      <c r="G39" s="113"/>
      <c r="H39" s="113" t="s">
        <v>104</v>
      </c>
      <c r="I39" s="113" t="s">
        <v>127</v>
      </c>
      <c r="J39" s="113" t="s">
        <v>49</v>
      </c>
      <c r="K39" s="113" t="s">
        <v>49</v>
      </c>
      <c r="L39" s="113" t="s">
        <v>54</v>
      </c>
      <c r="M39" s="112"/>
      <c r="N39" s="112"/>
      <c r="O39" s="79" t="str">
        <f t="shared" si="1"/>
        <v>MT296</v>
      </c>
    </row>
    <row r="40" spans="1:47" ht="23.25" customHeight="1">
      <c r="A40" s="110" t="s">
        <v>190</v>
      </c>
      <c r="B40" s="110" t="s">
        <v>191</v>
      </c>
      <c r="C40" s="111"/>
      <c r="D40" s="110" t="s">
        <v>192</v>
      </c>
      <c r="E40" s="112"/>
      <c r="F40" s="110" t="s">
        <v>126</v>
      </c>
      <c r="G40" s="113"/>
      <c r="H40" s="113" t="s">
        <v>104</v>
      </c>
      <c r="I40" s="113" t="s">
        <v>127</v>
      </c>
      <c r="J40" s="113" t="s">
        <v>49</v>
      </c>
      <c r="K40" s="113" t="s">
        <v>49</v>
      </c>
      <c r="L40" s="113" t="s">
        <v>54</v>
      </c>
      <c r="M40" s="112"/>
      <c r="N40" s="112"/>
      <c r="O40" s="79" t="str">
        <f t="shared" si="1"/>
        <v>MT296</v>
      </c>
    </row>
    <row r="41" spans="1:47" ht="23.25" customHeight="1">
      <c r="A41" s="106"/>
      <c r="B41" s="107" t="s">
        <v>193</v>
      </c>
      <c r="C41" s="108"/>
      <c r="D41" s="108"/>
      <c r="E41" s="108"/>
      <c r="F41" s="108"/>
      <c r="G41" s="108"/>
      <c r="H41" s="109"/>
      <c r="I41" s="109"/>
      <c r="J41" s="109"/>
      <c r="K41" s="109"/>
      <c r="L41" s="109"/>
      <c r="M41" s="108"/>
      <c r="N41" s="108"/>
      <c r="O41" s="79" t="e">
        <f t="shared" si="1"/>
        <v>#VALUE!</v>
      </c>
    </row>
    <row r="42" spans="1:47" ht="23.25" customHeight="1" outlineLevel="1">
      <c r="A42" s="110" t="s">
        <v>194</v>
      </c>
      <c r="B42" s="110" t="s">
        <v>195</v>
      </c>
      <c r="C42" s="111"/>
      <c r="D42" s="110" t="s">
        <v>196</v>
      </c>
      <c r="E42" s="112"/>
      <c r="F42" s="110" t="s">
        <v>126</v>
      </c>
      <c r="G42" s="113"/>
      <c r="H42" s="113" t="s">
        <v>104</v>
      </c>
      <c r="I42" s="113" t="s">
        <v>127</v>
      </c>
      <c r="J42" s="113" t="s">
        <v>49</v>
      </c>
      <c r="K42" s="113" t="s">
        <v>49</v>
      </c>
      <c r="L42" s="113" t="s">
        <v>54</v>
      </c>
      <c r="M42" s="112"/>
      <c r="N42" s="112"/>
      <c r="O42" s="79" t="str">
        <f t="shared" si="1"/>
        <v>MT299</v>
      </c>
    </row>
    <row r="43" spans="1:47" s="114" customFormat="1" ht="23.25" customHeight="1" outlineLevel="1">
      <c r="A43" s="110" t="s">
        <v>197</v>
      </c>
      <c r="B43" s="110" t="s">
        <v>198</v>
      </c>
      <c r="C43" s="111"/>
      <c r="D43" s="110" t="s">
        <v>199</v>
      </c>
      <c r="E43" s="112"/>
      <c r="F43" s="110" t="s">
        <v>126</v>
      </c>
      <c r="G43" s="113"/>
      <c r="H43" s="113" t="s">
        <v>104</v>
      </c>
      <c r="I43" s="113" t="s">
        <v>127</v>
      </c>
      <c r="J43" s="113" t="s">
        <v>49</v>
      </c>
      <c r="K43" s="113" t="s">
        <v>49</v>
      </c>
      <c r="L43" s="113" t="s">
        <v>54</v>
      </c>
      <c r="M43" s="112"/>
      <c r="N43" s="112"/>
      <c r="O43" s="79" t="str">
        <f t="shared" si="1"/>
        <v>MT299</v>
      </c>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row>
    <row r="44" spans="1:47" ht="23.25" customHeight="1">
      <c r="A44" s="110" t="s">
        <v>200</v>
      </c>
      <c r="B44" s="110" t="s">
        <v>201</v>
      </c>
      <c r="C44" s="111"/>
      <c r="D44" s="110" t="s">
        <v>202</v>
      </c>
      <c r="E44" s="112"/>
      <c r="F44" s="110" t="s">
        <v>162</v>
      </c>
      <c r="G44" s="113"/>
      <c r="H44" s="113" t="s">
        <v>104</v>
      </c>
      <c r="I44" s="113" t="s">
        <v>127</v>
      </c>
      <c r="J44" s="113" t="s">
        <v>49</v>
      </c>
      <c r="K44" s="113" t="s">
        <v>49</v>
      </c>
      <c r="L44" s="113" t="s">
        <v>54</v>
      </c>
      <c r="M44" s="112"/>
      <c r="N44" s="112"/>
      <c r="O44" s="79" t="str">
        <f t="shared" si="1"/>
        <v>MT299</v>
      </c>
    </row>
    <row r="45" spans="1:47" ht="23.25" customHeight="1">
      <c r="A45" s="110" t="s">
        <v>203</v>
      </c>
      <c r="B45" s="110" t="s">
        <v>204</v>
      </c>
      <c r="C45" s="111"/>
      <c r="D45" s="110" t="s">
        <v>205</v>
      </c>
      <c r="E45" s="112"/>
      <c r="F45" s="110" t="s">
        <v>126</v>
      </c>
      <c r="G45" s="113"/>
      <c r="H45" s="113" t="s">
        <v>104</v>
      </c>
      <c r="I45" s="113" t="s">
        <v>127</v>
      </c>
      <c r="J45" s="113" t="s">
        <v>49</v>
      </c>
      <c r="K45" s="113" t="s">
        <v>49</v>
      </c>
      <c r="L45" s="113" t="s">
        <v>54</v>
      </c>
      <c r="M45" s="112"/>
      <c r="N45" s="112"/>
      <c r="O45" s="79" t="str">
        <f t="shared" si="1"/>
        <v>MT299</v>
      </c>
    </row>
    <row r="46" spans="1:47" ht="23.25" customHeight="1">
      <c r="A46" s="106"/>
      <c r="B46" s="107" t="s">
        <v>206</v>
      </c>
      <c r="C46" s="108"/>
      <c r="D46" s="108"/>
      <c r="E46" s="108"/>
      <c r="F46" s="108"/>
      <c r="G46" s="108"/>
      <c r="H46" s="109"/>
      <c r="I46" s="109"/>
      <c r="J46" s="109"/>
      <c r="K46" s="109"/>
      <c r="L46" s="109"/>
      <c r="M46" s="108"/>
      <c r="N46" s="108"/>
      <c r="O46" s="79" t="e">
        <f t="shared" si="1"/>
        <v>#VALUE!</v>
      </c>
    </row>
    <row r="47" spans="1:47" ht="29.25" customHeight="1" outlineLevel="1">
      <c r="A47" s="110" t="s">
        <v>207</v>
      </c>
      <c r="B47" s="110" t="s">
        <v>208</v>
      </c>
      <c r="C47" s="111"/>
      <c r="D47" s="110" t="s">
        <v>209</v>
      </c>
      <c r="E47" s="112"/>
      <c r="F47" s="110" t="s">
        <v>126</v>
      </c>
      <c r="G47" s="113"/>
      <c r="H47" s="113" t="s">
        <v>104</v>
      </c>
      <c r="I47" s="113" t="s">
        <v>127</v>
      </c>
      <c r="J47" s="113" t="s">
        <v>49</v>
      </c>
      <c r="K47" s="113" t="s">
        <v>49</v>
      </c>
      <c r="L47" s="113" t="s">
        <v>54</v>
      </c>
      <c r="M47" s="112"/>
      <c r="N47" s="112"/>
      <c r="O47" s="79" t="str">
        <f t="shared" si="1"/>
        <v>MT499</v>
      </c>
    </row>
    <row r="48" spans="1:47" s="114" customFormat="1" ht="23.25" customHeight="1" outlineLevel="1">
      <c r="A48" s="110" t="s">
        <v>210</v>
      </c>
      <c r="B48" s="110" t="s">
        <v>211</v>
      </c>
      <c r="C48" s="111"/>
      <c r="D48" s="110" t="s">
        <v>212</v>
      </c>
      <c r="E48" s="112"/>
      <c r="F48" s="110" t="s">
        <v>126</v>
      </c>
      <c r="G48" s="113"/>
      <c r="H48" s="113" t="s">
        <v>104</v>
      </c>
      <c r="I48" s="113" t="s">
        <v>127</v>
      </c>
      <c r="J48" s="113" t="s">
        <v>49</v>
      </c>
      <c r="K48" s="113" t="s">
        <v>49</v>
      </c>
      <c r="L48" s="113" t="s">
        <v>54</v>
      </c>
      <c r="M48" s="112"/>
      <c r="N48" s="112"/>
      <c r="O48" s="79" t="str">
        <f t="shared" si="1"/>
        <v>MT499</v>
      </c>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row>
    <row r="49" spans="1:47" ht="23.25" customHeight="1">
      <c r="A49" s="110" t="s">
        <v>213</v>
      </c>
      <c r="B49" s="110" t="s">
        <v>214</v>
      </c>
      <c r="C49" s="111"/>
      <c r="D49" s="110" t="s">
        <v>215</v>
      </c>
      <c r="E49" s="112"/>
      <c r="F49" s="110" t="s">
        <v>162</v>
      </c>
      <c r="G49" s="113"/>
      <c r="H49" s="113" t="s">
        <v>104</v>
      </c>
      <c r="I49" s="113" t="s">
        <v>127</v>
      </c>
      <c r="J49" s="113" t="s">
        <v>49</v>
      </c>
      <c r="K49" s="113" t="s">
        <v>49</v>
      </c>
      <c r="L49" s="113" t="s">
        <v>54</v>
      </c>
      <c r="M49" s="112"/>
      <c r="N49" s="112"/>
      <c r="O49" s="79" t="str">
        <f t="shared" ref="O49:O84" si="2">LEFT(A49, FIND(".", A49) - 1)</f>
        <v>MT499</v>
      </c>
    </row>
    <row r="50" spans="1:47" ht="23.25" customHeight="1">
      <c r="A50" s="110" t="s">
        <v>216</v>
      </c>
      <c r="B50" s="110" t="s">
        <v>217</v>
      </c>
      <c r="C50" s="111"/>
      <c r="D50" s="110" t="s">
        <v>218</v>
      </c>
      <c r="E50" s="112"/>
      <c r="F50" s="110" t="s">
        <v>126</v>
      </c>
      <c r="G50" s="113"/>
      <c r="H50" s="113" t="s">
        <v>104</v>
      </c>
      <c r="I50" s="113" t="s">
        <v>127</v>
      </c>
      <c r="J50" s="113" t="s">
        <v>49</v>
      </c>
      <c r="K50" s="113" t="s">
        <v>49</v>
      </c>
      <c r="L50" s="113" t="s">
        <v>54</v>
      </c>
      <c r="M50" s="112"/>
      <c r="N50" s="112"/>
      <c r="O50" s="79" t="str">
        <f t="shared" si="2"/>
        <v>MT499</v>
      </c>
    </row>
    <row r="51" spans="1:47" ht="36.75" customHeight="1">
      <c r="A51" s="106"/>
      <c r="B51" s="107" t="s">
        <v>219</v>
      </c>
      <c r="C51" s="108"/>
      <c r="D51" s="108"/>
      <c r="E51" s="108"/>
      <c r="F51" s="108"/>
      <c r="G51" s="108"/>
      <c r="H51" s="109"/>
      <c r="I51" s="109"/>
      <c r="J51" s="109"/>
      <c r="K51" s="109"/>
      <c r="L51" s="109"/>
      <c r="M51" s="108"/>
      <c r="N51" s="108"/>
      <c r="O51" s="79" t="e">
        <f t="shared" si="2"/>
        <v>#VALUE!</v>
      </c>
    </row>
    <row r="52" spans="1:47" ht="319.14999999999998" customHeight="1" outlineLevel="1">
      <c r="A52" s="110" t="s">
        <v>220</v>
      </c>
      <c r="B52" s="110" t="s">
        <v>221</v>
      </c>
      <c r="C52" s="111"/>
      <c r="D52" s="110" t="s">
        <v>222</v>
      </c>
      <c r="E52" s="112"/>
      <c r="F52" s="110" t="s">
        <v>223</v>
      </c>
      <c r="G52" s="113"/>
      <c r="H52" s="113" t="s">
        <v>104</v>
      </c>
      <c r="I52" s="113" t="s">
        <v>127</v>
      </c>
      <c r="J52" s="113" t="s">
        <v>49</v>
      </c>
      <c r="K52" s="113" t="s">
        <v>49</v>
      </c>
      <c r="L52" s="113" t="s">
        <v>54</v>
      </c>
      <c r="M52" s="112"/>
      <c r="N52" s="112"/>
      <c r="O52" s="79" t="str">
        <f t="shared" si="2"/>
        <v>MT700</v>
      </c>
    </row>
    <row r="53" spans="1:47" s="114" customFormat="1" ht="166.5" customHeight="1" outlineLevel="1">
      <c r="A53" s="110" t="s">
        <v>224</v>
      </c>
      <c r="B53" s="110" t="s">
        <v>225</v>
      </c>
      <c r="C53" s="111"/>
      <c r="D53" s="110" t="s">
        <v>226</v>
      </c>
      <c r="E53" s="112"/>
      <c r="F53" s="110" t="s">
        <v>227</v>
      </c>
      <c r="G53" s="113"/>
      <c r="H53" s="113" t="s">
        <v>104</v>
      </c>
      <c r="I53" s="113" t="s">
        <v>127</v>
      </c>
      <c r="J53" s="113" t="s">
        <v>49</v>
      </c>
      <c r="K53" s="113" t="s">
        <v>49</v>
      </c>
      <c r="L53" s="113" t="s">
        <v>54</v>
      </c>
      <c r="M53" s="112"/>
      <c r="N53" s="112"/>
      <c r="O53" s="79" t="str">
        <f t="shared" si="2"/>
        <v>MT700</v>
      </c>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row>
    <row r="54" spans="1:47" ht="152.65" customHeight="1">
      <c r="A54" s="110" t="s">
        <v>228</v>
      </c>
      <c r="B54" s="110" t="s">
        <v>229</v>
      </c>
      <c r="C54" s="111"/>
      <c r="D54" s="110" t="s">
        <v>230</v>
      </c>
      <c r="E54" s="112"/>
      <c r="F54" s="110" t="s">
        <v>231</v>
      </c>
      <c r="G54" s="113"/>
      <c r="H54" s="113" t="s">
        <v>104</v>
      </c>
      <c r="I54" s="113" t="s">
        <v>127</v>
      </c>
      <c r="J54" s="113" t="s">
        <v>49</v>
      </c>
      <c r="K54" s="113" t="s">
        <v>49</v>
      </c>
      <c r="L54" s="113" t="s">
        <v>54</v>
      </c>
      <c r="M54" s="112"/>
      <c r="N54" s="112"/>
      <c r="O54" s="79" t="str">
        <f t="shared" si="2"/>
        <v>MT700</v>
      </c>
    </row>
    <row r="55" spans="1:47" ht="249.75" customHeight="1">
      <c r="A55" s="110" t="s">
        <v>232</v>
      </c>
      <c r="B55" s="110" t="s">
        <v>233</v>
      </c>
      <c r="C55" s="111"/>
      <c r="D55" s="110" t="s">
        <v>234</v>
      </c>
      <c r="E55" s="112"/>
      <c r="F55" s="110" t="s">
        <v>235</v>
      </c>
      <c r="G55" s="113"/>
      <c r="H55" s="113" t="s">
        <v>104</v>
      </c>
      <c r="I55" s="113" t="s">
        <v>127</v>
      </c>
      <c r="J55" s="113" t="s">
        <v>49</v>
      </c>
      <c r="K55" s="113" t="s">
        <v>49</v>
      </c>
      <c r="L55" s="113" t="s">
        <v>54</v>
      </c>
      <c r="M55" s="112"/>
      <c r="N55" s="112"/>
      <c r="O55" s="79" t="str">
        <f t="shared" si="2"/>
        <v>MT700</v>
      </c>
    </row>
    <row r="56" spans="1:47" ht="277.5" customHeight="1">
      <c r="A56" s="110" t="s">
        <v>236</v>
      </c>
      <c r="B56" s="110" t="s">
        <v>237</v>
      </c>
      <c r="C56" s="111"/>
      <c r="D56" s="110" t="s">
        <v>238</v>
      </c>
      <c r="E56" s="112"/>
      <c r="F56" s="110" t="s">
        <v>239</v>
      </c>
      <c r="G56" s="113"/>
      <c r="H56" s="113" t="s">
        <v>104</v>
      </c>
      <c r="I56" s="113" t="s">
        <v>127</v>
      </c>
      <c r="J56" s="113" t="s">
        <v>49</v>
      </c>
      <c r="K56" s="113" t="s">
        <v>49</v>
      </c>
      <c r="L56" s="113" t="s">
        <v>54</v>
      </c>
      <c r="M56" s="112"/>
      <c r="N56" s="112"/>
      <c r="O56" s="79" t="str">
        <f t="shared" si="2"/>
        <v>MT700</v>
      </c>
    </row>
    <row r="57" spans="1:47" ht="23.25" customHeight="1">
      <c r="A57" s="106"/>
      <c r="B57" s="107" t="s">
        <v>240</v>
      </c>
      <c r="C57" s="108"/>
      <c r="D57" s="108"/>
      <c r="E57" s="108"/>
      <c r="F57" s="108"/>
      <c r="G57" s="108"/>
      <c r="H57" s="109"/>
      <c r="I57" s="109"/>
      <c r="J57" s="109"/>
      <c r="K57" s="109"/>
      <c r="L57" s="109"/>
      <c r="M57" s="108"/>
      <c r="N57" s="108"/>
      <c r="O57" s="79" t="e">
        <f t="shared" si="2"/>
        <v>#VALUE!</v>
      </c>
    </row>
    <row r="58" spans="1:47" ht="168" customHeight="1" outlineLevel="1">
      <c r="A58" s="110" t="s">
        <v>241</v>
      </c>
      <c r="B58" s="110" t="s">
        <v>242</v>
      </c>
      <c r="C58" s="111"/>
      <c r="D58" s="110" t="s">
        <v>243</v>
      </c>
      <c r="E58" s="112"/>
      <c r="F58" s="110" t="s">
        <v>126</v>
      </c>
      <c r="G58" s="113"/>
      <c r="H58" s="113" t="s">
        <v>104</v>
      </c>
      <c r="I58" s="113" t="s">
        <v>127</v>
      </c>
      <c r="J58" s="113" t="s">
        <v>49</v>
      </c>
      <c r="K58" s="113" t="s">
        <v>49</v>
      </c>
      <c r="L58" s="113" t="s">
        <v>54</v>
      </c>
      <c r="M58" s="112"/>
      <c r="N58" s="112"/>
      <c r="O58" s="79" t="str">
        <f t="shared" si="2"/>
        <v>MT701</v>
      </c>
    </row>
    <row r="59" spans="1:47" s="114" customFormat="1" ht="183" customHeight="1" outlineLevel="1">
      <c r="A59" s="110" t="s">
        <v>244</v>
      </c>
      <c r="B59" s="110" t="s">
        <v>245</v>
      </c>
      <c r="C59" s="111"/>
      <c r="D59" s="110" t="s">
        <v>246</v>
      </c>
      <c r="E59" s="112"/>
      <c r="F59" s="110" t="s">
        <v>126</v>
      </c>
      <c r="G59" s="113"/>
      <c r="H59" s="113" t="s">
        <v>104</v>
      </c>
      <c r="I59" s="113" t="s">
        <v>127</v>
      </c>
      <c r="J59" s="113" t="s">
        <v>49</v>
      </c>
      <c r="K59" s="113" t="s">
        <v>49</v>
      </c>
      <c r="L59" s="113" t="s">
        <v>54</v>
      </c>
      <c r="M59" s="112"/>
      <c r="N59" s="112"/>
      <c r="O59" s="79" t="str">
        <f t="shared" si="2"/>
        <v>MT701</v>
      </c>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row>
    <row r="60" spans="1:47" ht="168" customHeight="1">
      <c r="A60" s="110" t="s">
        <v>247</v>
      </c>
      <c r="B60" s="110" t="s">
        <v>248</v>
      </c>
      <c r="C60" s="111"/>
      <c r="D60" s="110" t="s">
        <v>249</v>
      </c>
      <c r="E60" s="112"/>
      <c r="F60" s="110" t="s">
        <v>250</v>
      </c>
      <c r="G60" s="113"/>
      <c r="H60" s="113" t="s">
        <v>104</v>
      </c>
      <c r="I60" s="113" t="s">
        <v>127</v>
      </c>
      <c r="J60" s="113" t="s">
        <v>49</v>
      </c>
      <c r="K60" s="113" t="s">
        <v>49</v>
      </c>
      <c r="L60" s="113" t="s">
        <v>54</v>
      </c>
      <c r="M60" s="112"/>
      <c r="N60" s="112"/>
      <c r="O60" s="79" t="str">
        <f t="shared" si="2"/>
        <v>MT701</v>
      </c>
    </row>
    <row r="61" spans="1:47" ht="183" customHeight="1">
      <c r="A61" s="110" t="s">
        <v>251</v>
      </c>
      <c r="B61" s="110" t="s">
        <v>252</v>
      </c>
      <c r="C61" s="111"/>
      <c r="D61" s="110" t="s">
        <v>253</v>
      </c>
      <c r="E61" s="112"/>
      <c r="F61" s="110" t="s">
        <v>126</v>
      </c>
      <c r="G61" s="113"/>
      <c r="H61" s="113" t="s">
        <v>104</v>
      </c>
      <c r="I61" s="113" t="s">
        <v>127</v>
      </c>
      <c r="J61" s="113" t="s">
        <v>49</v>
      </c>
      <c r="K61" s="113" t="s">
        <v>49</v>
      </c>
      <c r="L61" s="113" t="s">
        <v>54</v>
      </c>
      <c r="M61" s="112"/>
      <c r="N61" s="112"/>
      <c r="O61" s="79" t="str">
        <f t="shared" si="2"/>
        <v>MT701</v>
      </c>
    </row>
    <row r="62" spans="1:47" ht="23.25" customHeight="1">
      <c r="A62" s="106"/>
      <c r="B62" s="107" t="s">
        <v>254</v>
      </c>
      <c r="C62" s="108"/>
      <c r="D62" s="108"/>
      <c r="E62" s="108"/>
      <c r="F62" s="108"/>
      <c r="G62" s="108"/>
      <c r="H62" s="109"/>
      <c r="I62" s="109"/>
      <c r="J62" s="109"/>
      <c r="K62" s="109"/>
      <c r="L62" s="109"/>
      <c r="M62" s="108"/>
      <c r="N62" s="108"/>
      <c r="O62" s="79" t="e">
        <f t="shared" si="2"/>
        <v>#VALUE!</v>
      </c>
    </row>
    <row r="63" spans="1:47" ht="350.25" customHeight="1" outlineLevel="1">
      <c r="A63" s="110" t="s">
        <v>255</v>
      </c>
      <c r="B63" s="110" t="s">
        <v>256</v>
      </c>
      <c r="C63" s="111"/>
      <c r="D63" s="110" t="s">
        <v>257</v>
      </c>
      <c r="E63" s="112"/>
      <c r="F63" s="110" t="s">
        <v>258</v>
      </c>
      <c r="G63" s="113"/>
      <c r="H63" s="113" t="s">
        <v>104</v>
      </c>
      <c r="I63" s="113" t="s">
        <v>127</v>
      </c>
      <c r="J63" s="113" t="s">
        <v>49</v>
      </c>
      <c r="K63" s="113" t="s">
        <v>49</v>
      </c>
      <c r="L63" s="113" t="s">
        <v>54</v>
      </c>
      <c r="M63" s="112"/>
      <c r="N63" s="112"/>
      <c r="O63" s="79" t="str">
        <f t="shared" si="2"/>
        <v>MT707</v>
      </c>
    </row>
    <row r="64" spans="1:47" s="114" customFormat="1" ht="183" customHeight="1" outlineLevel="1">
      <c r="A64" s="110" t="s">
        <v>259</v>
      </c>
      <c r="B64" s="110" t="s">
        <v>260</v>
      </c>
      <c r="C64" s="111"/>
      <c r="D64" s="110" t="s">
        <v>261</v>
      </c>
      <c r="E64" s="112"/>
      <c r="F64" s="110" t="s">
        <v>262</v>
      </c>
      <c r="G64" s="113"/>
      <c r="H64" s="113" t="s">
        <v>104</v>
      </c>
      <c r="I64" s="113" t="s">
        <v>127</v>
      </c>
      <c r="J64" s="113" t="s">
        <v>49</v>
      </c>
      <c r="K64" s="113" t="s">
        <v>49</v>
      </c>
      <c r="L64" s="113" t="s">
        <v>54</v>
      </c>
      <c r="M64" s="112"/>
      <c r="N64" s="112"/>
      <c r="O64" s="79" t="str">
        <f t="shared" si="2"/>
        <v>MT707</v>
      </c>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row>
    <row r="65" spans="1:47" ht="168" customHeight="1">
      <c r="A65" s="110" t="s">
        <v>263</v>
      </c>
      <c r="B65" s="110" t="s">
        <v>264</v>
      </c>
      <c r="C65" s="111"/>
      <c r="D65" s="110" t="s">
        <v>265</v>
      </c>
      <c r="E65" s="112"/>
      <c r="F65" s="110" t="s">
        <v>231</v>
      </c>
      <c r="G65" s="113"/>
      <c r="H65" s="113" t="s">
        <v>104</v>
      </c>
      <c r="I65" s="113" t="s">
        <v>127</v>
      </c>
      <c r="J65" s="113" t="s">
        <v>49</v>
      </c>
      <c r="K65" s="113" t="s">
        <v>49</v>
      </c>
      <c r="L65" s="113" t="s">
        <v>54</v>
      </c>
      <c r="M65" s="112"/>
      <c r="N65" s="112"/>
      <c r="O65" s="79" t="str">
        <f t="shared" si="2"/>
        <v>MT707</v>
      </c>
    </row>
    <row r="66" spans="1:47" ht="304.5" customHeight="1">
      <c r="A66" s="110" t="s">
        <v>266</v>
      </c>
      <c r="B66" s="110" t="s">
        <v>267</v>
      </c>
      <c r="C66" s="111"/>
      <c r="D66" s="110" t="s">
        <v>268</v>
      </c>
      <c r="E66" s="112"/>
      <c r="F66" s="110" t="s">
        <v>269</v>
      </c>
      <c r="G66" s="113"/>
      <c r="H66" s="113" t="s">
        <v>104</v>
      </c>
      <c r="I66" s="113" t="s">
        <v>127</v>
      </c>
      <c r="J66" s="113" t="s">
        <v>49</v>
      </c>
      <c r="K66" s="113" t="s">
        <v>49</v>
      </c>
      <c r="L66" s="113" t="s">
        <v>54</v>
      </c>
      <c r="M66" s="112"/>
      <c r="N66" s="112"/>
      <c r="O66" s="79" t="str">
        <f t="shared" si="2"/>
        <v>MT707</v>
      </c>
    </row>
    <row r="67" spans="1:47" ht="319.5" customHeight="1">
      <c r="A67" s="110" t="s">
        <v>270</v>
      </c>
      <c r="B67" s="110" t="s">
        <v>271</v>
      </c>
      <c r="C67" s="111"/>
      <c r="D67" s="110" t="s">
        <v>272</v>
      </c>
      <c r="E67" s="112"/>
      <c r="F67" s="110" t="s">
        <v>273</v>
      </c>
      <c r="G67" s="113"/>
      <c r="H67" s="113" t="s">
        <v>104</v>
      </c>
      <c r="I67" s="113" t="s">
        <v>127</v>
      </c>
      <c r="J67" s="113" t="s">
        <v>49</v>
      </c>
      <c r="K67" s="113" t="s">
        <v>49</v>
      </c>
      <c r="L67" s="113" t="s">
        <v>54</v>
      </c>
      <c r="M67" s="112"/>
      <c r="N67" s="112"/>
      <c r="O67" s="79" t="str">
        <f t="shared" si="2"/>
        <v>MT707</v>
      </c>
    </row>
    <row r="68" spans="1:47" ht="23.25" customHeight="1">
      <c r="A68" s="106"/>
      <c r="B68" s="107" t="s">
        <v>274</v>
      </c>
      <c r="C68" s="108"/>
      <c r="D68" s="108"/>
      <c r="E68" s="108"/>
      <c r="F68" s="108"/>
      <c r="G68" s="108"/>
      <c r="H68" s="109"/>
      <c r="I68" s="109"/>
      <c r="J68" s="109"/>
      <c r="K68" s="109"/>
      <c r="L68" s="109"/>
      <c r="M68" s="108"/>
      <c r="N68" s="108"/>
      <c r="O68" s="79" t="e">
        <f t="shared" si="2"/>
        <v>#VALUE!</v>
      </c>
    </row>
    <row r="69" spans="1:47" ht="360.75" customHeight="1" outlineLevel="1">
      <c r="A69" s="110" t="s">
        <v>275</v>
      </c>
      <c r="B69" s="110" t="s">
        <v>276</v>
      </c>
      <c r="C69" s="111"/>
      <c r="D69" s="110" t="s">
        <v>277</v>
      </c>
      <c r="E69" s="112"/>
      <c r="F69" s="110" t="s">
        <v>278</v>
      </c>
      <c r="G69" s="113"/>
      <c r="H69" s="113" t="s">
        <v>104</v>
      </c>
      <c r="I69" s="113" t="s">
        <v>127</v>
      </c>
      <c r="J69" s="113" t="s">
        <v>49</v>
      </c>
      <c r="K69" s="113" t="s">
        <v>49</v>
      </c>
      <c r="L69" s="113" t="s">
        <v>54</v>
      </c>
      <c r="M69" s="112"/>
      <c r="N69" s="112"/>
      <c r="O69" s="79" t="str">
        <f t="shared" si="2"/>
        <v>MT710</v>
      </c>
    </row>
    <row r="70" spans="1:47" s="114" customFormat="1" ht="180.4" customHeight="1" outlineLevel="1">
      <c r="A70" s="110" t="s">
        <v>279</v>
      </c>
      <c r="B70" s="110" t="s">
        <v>280</v>
      </c>
      <c r="C70" s="111"/>
      <c r="D70" s="110" t="s">
        <v>281</v>
      </c>
      <c r="E70" s="112"/>
      <c r="F70" s="110" t="s">
        <v>282</v>
      </c>
      <c r="G70" s="113"/>
      <c r="H70" s="113" t="s">
        <v>104</v>
      </c>
      <c r="I70" s="113" t="s">
        <v>127</v>
      </c>
      <c r="J70" s="113" t="s">
        <v>49</v>
      </c>
      <c r="K70" s="113" t="s">
        <v>49</v>
      </c>
      <c r="L70" s="113" t="s">
        <v>54</v>
      </c>
      <c r="M70" s="112"/>
      <c r="N70" s="112"/>
      <c r="O70" s="79" t="str">
        <f t="shared" si="2"/>
        <v>MT710</v>
      </c>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row>
    <row r="71" spans="1:47" ht="152.65" customHeight="1">
      <c r="A71" s="110" t="s">
        <v>283</v>
      </c>
      <c r="B71" s="110" t="s">
        <v>284</v>
      </c>
      <c r="C71" s="111"/>
      <c r="D71" s="110" t="s">
        <v>285</v>
      </c>
      <c r="E71" s="112"/>
      <c r="F71" s="110" t="s">
        <v>231</v>
      </c>
      <c r="G71" s="113"/>
      <c r="H71" s="113" t="s">
        <v>104</v>
      </c>
      <c r="I71" s="113" t="s">
        <v>127</v>
      </c>
      <c r="J71" s="113" t="s">
        <v>49</v>
      </c>
      <c r="K71" s="113" t="s">
        <v>49</v>
      </c>
      <c r="L71" s="113" t="s">
        <v>54</v>
      </c>
      <c r="M71" s="112"/>
      <c r="N71" s="112"/>
      <c r="O71" s="79" t="str">
        <f t="shared" si="2"/>
        <v>MT710</v>
      </c>
    </row>
    <row r="72" spans="1:47" ht="263.64999999999998" customHeight="1">
      <c r="A72" s="110" t="s">
        <v>286</v>
      </c>
      <c r="B72" s="110" t="s">
        <v>287</v>
      </c>
      <c r="C72" s="111"/>
      <c r="D72" s="110" t="s">
        <v>288</v>
      </c>
      <c r="E72" s="112"/>
      <c r="F72" s="110" t="s">
        <v>289</v>
      </c>
      <c r="G72" s="113"/>
      <c r="H72" s="113" t="s">
        <v>104</v>
      </c>
      <c r="I72" s="113" t="s">
        <v>127</v>
      </c>
      <c r="J72" s="113" t="s">
        <v>49</v>
      </c>
      <c r="K72" s="113" t="s">
        <v>49</v>
      </c>
      <c r="L72" s="113" t="s">
        <v>54</v>
      </c>
      <c r="M72" s="112"/>
      <c r="N72" s="112"/>
      <c r="O72" s="79" t="str">
        <f t="shared" si="2"/>
        <v>MT710</v>
      </c>
    </row>
    <row r="73" spans="1:47" ht="319.14999999999998" customHeight="1">
      <c r="A73" s="110" t="s">
        <v>290</v>
      </c>
      <c r="B73" s="110" t="s">
        <v>291</v>
      </c>
      <c r="C73" s="111"/>
      <c r="D73" s="110" t="s">
        <v>292</v>
      </c>
      <c r="E73" s="112"/>
      <c r="F73" s="110" t="s">
        <v>293</v>
      </c>
      <c r="G73" s="113"/>
      <c r="H73" s="113" t="s">
        <v>104</v>
      </c>
      <c r="I73" s="113" t="s">
        <v>127</v>
      </c>
      <c r="J73" s="113" t="s">
        <v>49</v>
      </c>
      <c r="K73" s="113" t="s">
        <v>49</v>
      </c>
      <c r="L73" s="113" t="s">
        <v>54</v>
      </c>
      <c r="M73" s="112"/>
      <c r="N73" s="112"/>
      <c r="O73" s="79" t="str">
        <f t="shared" si="2"/>
        <v>MT710</v>
      </c>
    </row>
    <row r="74" spans="1:47" ht="23.25" customHeight="1">
      <c r="A74" s="106"/>
      <c r="B74" s="107" t="s">
        <v>294</v>
      </c>
      <c r="C74" s="108"/>
      <c r="D74" s="108"/>
      <c r="E74" s="108"/>
      <c r="F74" s="108"/>
      <c r="G74" s="108"/>
      <c r="H74" s="109"/>
      <c r="I74" s="109"/>
      <c r="J74" s="109"/>
      <c r="K74" s="109"/>
      <c r="L74" s="109"/>
      <c r="M74" s="108"/>
      <c r="N74" s="108"/>
      <c r="O74" s="79" t="e">
        <f t="shared" si="2"/>
        <v>#VALUE!</v>
      </c>
    </row>
    <row r="75" spans="1:47" ht="23.25" customHeight="1" outlineLevel="1">
      <c r="A75" s="110" t="s">
        <v>295</v>
      </c>
      <c r="B75" s="110" t="s">
        <v>296</v>
      </c>
      <c r="C75" s="111"/>
      <c r="D75" s="110" t="s">
        <v>297</v>
      </c>
      <c r="E75" s="112"/>
      <c r="F75" s="110" t="s">
        <v>126</v>
      </c>
      <c r="G75" s="113"/>
      <c r="H75" s="113" t="s">
        <v>104</v>
      </c>
      <c r="I75" s="113" t="s">
        <v>127</v>
      </c>
      <c r="J75" s="113" t="s">
        <v>49</v>
      </c>
      <c r="K75" s="113" t="s">
        <v>49</v>
      </c>
      <c r="L75" s="113" t="s">
        <v>54</v>
      </c>
      <c r="M75" s="112"/>
      <c r="N75" s="112"/>
      <c r="O75" s="79" t="str">
        <f t="shared" si="2"/>
        <v>MT711</v>
      </c>
    </row>
    <row r="76" spans="1:47" s="114" customFormat="1" ht="23.25" customHeight="1" outlineLevel="1">
      <c r="A76" s="110" t="s">
        <v>298</v>
      </c>
      <c r="B76" s="110" t="s">
        <v>299</v>
      </c>
      <c r="C76" s="111"/>
      <c r="D76" s="110" t="s">
        <v>300</v>
      </c>
      <c r="E76" s="112"/>
      <c r="F76" s="110" t="s">
        <v>126</v>
      </c>
      <c r="G76" s="113"/>
      <c r="H76" s="113" t="s">
        <v>104</v>
      </c>
      <c r="I76" s="113" t="s">
        <v>127</v>
      </c>
      <c r="J76" s="113" t="s">
        <v>49</v>
      </c>
      <c r="K76" s="113" t="s">
        <v>49</v>
      </c>
      <c r="L76" s="113" t="s">
        <v>54</v>
      </c>
      <c r="M76" s="112"/>
      <c r="N76" s="112"/>
      <c r="O76" s="79" t="str">
        <f t="shared" si="2"/>
        <v>MT711</v>
      </c>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row>
    <row r="77" spans="1:47" ht="23.25" customHeight="1">
      <c r="A77" s="110" t="s">
        <v>301</v>
      </c>
      <c r="B77" s="110" t="s">
        <v>302</v>
      </c>
      <c r="C77" s="111"/>
      <c r="D77" s="110" t="s">
        <v>303</v>
      </c>
      <c r="E77" s="112"/>
      <c r="F77" s="110" t="s">
        <v>250</v>
      </c>
      <c r="G77" s="113"/>
      <c r="H77" s="113" t="s">
        <v>104</v>
      </c>
      <c r="I77" s="113" t="s">
        <v>127</v>
      </c>
      <c r="J77" s="113" t="s">
        <v>49</v>
      </c>
      <c r="K77" s="113" t="s">
        <v>49</v>
      </c>
      <c r="L77" s="113" t="s">
        <v>54</v>
      </c>
      <c r="M77" s="112"/>
      <c r="N77" s="112"/>
      <c r="O77" s="79" t="str">
        <f t="shared" si="2"/>
        <v>MT711</v>
      </c>
    </row>
    <row r="78" spans="1:47" ht="23.25" customHeight="1">
      <c r="A78" s="110" t="s">
        <v>304</v>
      </c>
      <c r="B78" s="110" t="s">
        <v>305</v>
      </c>
      <c r="C78" s="111"/>
      <c r="D78" s="110" t="s">
        <v>306</v>
      </c>
      <c r="E78" s="112"/>
      <c r="F78" s="110" t="s">
        <v>126</v>
      </c>
      <c r="G78" s="113"/>
      <c r="H78" s="113" t="s">
        <v>104</v>
      </c>
      <c r="I78" s="113" t="s">
        <v>127</v>
      </c>
      <c r="J78" s="113" t="s">
        <v>49</v>
      </c>
      <c r="K78" s="113" t="s">
        <v>49</v>
      </c>
      <c r="L78" s="113" t="s">
        <v>54</v>
      </c>
      <c r="M78" s="112"/>
      <c r="N78" s="112"/>
      <c r="O78" s="79" t="str">
        <f t="shared" si="2"/>
        <v>MT711</v>
      </c>
    </row>
    <row r="79" spans="1:47" ht="23.25" customHeight="1">
      <c r="A79" s="106"/>
      <c r="B79" s="107" t="s">
        <v>307</v>
      </c>
      <c r="C79" s="108"/>
      <c r="D79" s="108"/>
      <c r="E79" s="108"/>
      <c r="F79" s="108"/>
      <c r="G79" s="108"/>
      <c r="H79" s="109"/>
      <c r="I79" s="109"/>
      <c r="J79" s="109"/>
      <c r="K79" s="109"/>
      <c r="L79" s="109"/>
      <c r="M79" s="108"/>
      <c r="N79" s="108"/>
      <c r="O79" s="79" t="e">
        <f t="shared" si="2"/>
        <v>#VALUE!</v>
      </c>
    </row>
    <row r="80" spans="1:47" ht="304.5" customHeight="1" outlineLevel="1">
      <c r="A80" s="110" t="s">
        <v>308</v>
      </c>
      <c r="B80" s="110" t="s">
        <v>309</v>
      </c>
      <c r="C80" s="111"/>
      <c r="D80" s="110" t="s">
        <v>310</v>
      </c>
      <c r="E80" s="112"/>
      <c r="F80" s="110" t="s">
        <v>311</v>
      </c>
      <c r="G80" s="113"/>
      <c r="H80" s="113" t="s">
        <v>104</v>
      </c>
      <c r="I80" s="113" t="s">
        <v>127</v>
      </c>
      <c r="J80" s="113" t="s">
        <v>49</v>
      </c>
      <c r="K80" s="113" t="s">
        <v>49</v>
      </c>
      <c r="L80" s="113" t="s">
        <v>54</v>
      </c>
      <c r="M80" s="112"/>
      <c r="N80" s="112"/>
      <c r="O80" s="79" t="str">
        <f t="shared" si="2"/>
        <v>MT720</v>
      </c>
    </row>
    <row r="81" spans="1:47" s="114" customFormat="1" ht="183" customHeight="1" outlineLevel="1">
      <c r="A81" s="110" t="s">
        <v>312</v>
      </c>
      <c r="B81" s="110" t="s">
        <v>313</v>
      </c>
      <c r="C81" s="111"/>
      <c r="D81" s="110" t="s">
        <v>314</v>
      </c>
      <c r="E81" s="112"/>
      <c r="F81" s="110" t="s">
        <v>315</v>
      </c>
      <c r="G81" s="113"/>
      <c r="H81" s="113" t="s">
        <v>104</v>
      </c>
      <c r="I81" s="113" t="s">
        <v>127</v>
      </c>
      <c r="J81" s="113" t="s">
        <v>49</v>
      </c>
      <c r="K81" s="113" t="s">
        <v>49</v>
      </c>
      <c r="L81" s="113" t="s">
        <v>54</v>
      </c>
      <c r="M81" s="112"/>
      <c r="N81" s="112"/>
      <c r="O81" s="79" t="str">
        <f t="shared" si="2"/>
        <v>MT720</v>
      </c>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row>
    <row r="82" spans="1:47" ht="168" customHeight="1">
      <c r="A82" s="110" t="s">
        <v>316</v>
      </c>
      <c r="B82" s="110" t="s">
        <v>317</v>
      </c>
      <c r="C82" s="111"/>
      <c r="D82" s="110" t="s">
        <v>318</v>
      </c>
      <c r="E82" s="112"/>
      <c r="F82" s="110" t="s">
        <v>231</v>
      </c>
      <c r="G82" s="113"/>
      <c r="H82" s="113" t="s">
        <v>104</v>
      </c>
      <c r="I82" s="113" t="s">
        <v>127</v>
      </c>
      <c r="J82" s="113" t="s">
        <v>49</v>
      </c>
      <c r="K82" s="113" t="s">
        <v>49</v>
      </c>
      <c r="L82" s="113" t="s">
        <v>54</v>
      </c>
      <c r="M82" s="112"/>
      <c r="N82" s="112"/>
      <c r="O82" s="79" t="str">
        <f t="shared" si="2"/>
        <v>MT720</v>
      </c>
    </row>
    <row r="83" spans="1:47" ht="304.5" customHeight="1">
      <c r="A83" s="110" t="s">
        <v>319</v>
      </c>
      <c r="B83" s="110" t="s">
        <v>320</v>
      </c>
      <c r="C83" s="111"/>
      <c r="D83" s="110" t="s">
        <v>321</v>
      </c>
      <c r="E83" s="112"/>
      <c r="F83" s="110" t="s">
        <v>322</v>
      </c>
      <c r="G83" s="113"/>
      <c r="H83" s="113" t="s">
        <v>104</v>
      </c>
      <c r="I83" s="113" t="s">
        <v>127</v>
      </c>
      <c r="J83" s="113" t="s">
        <v>49</v>
      </c>
      <c r="K83" s="113" t="s">
        <v>49</v>
      </c>
      <c r="L83" s="113" t="s">
        <v>54</v>
      </c>
      <c r="M83" s="112"/>
      <c r="N83" s="112"/>
      <c r="O83" s="79" t="str">
        <f t="shared" si="2"/>
        <v>MT720</v>
      </c>
    </row>
    <row r="84" spans="1:47" ht="289.5" customHeight="1">
      <c r="A84" s="110" t="s">
        <v>323</v>
      </c>
      <c r="B84" s="110" t="s">
        <v>324</v>
      </c>
      <c r="C84" s="111"/>
      <c r="D84" s="110" t="s">
        <v>325</v>
      </c>
      <c r="E84" s="112"/>
      <c r="F84" s="110" t="s">
        <v>326</v>
      </c>
      <c r="G84" s="113"/>
      <c r="H84" s="113" t="s">
        <v>104</v>
      </c>
      <c r="I84" s="113" t="s">
        <v>127</v>
      </c>
      <c r="J84" s="113" t="s">
        <v>49</v>
      </c>
      <c r="K84" s="113" t="s">
        <v>49</v>
      </c>
      <c r="L84" s="113" t="s">
        <v>54</v>
      </c>
      <c r="M84" s="112"/>
      <c r="N84" s="112"/>
      <c r="O84" s="79" t="str">
        <f t="shared" si="2"/>
        <v>MT720</v>
      </c>
    </row>
    <row r="85" spans="1:47" ht="23.25" customHeight="1">
      <c r="A85" s="106"/>
      <c r="B85" s="107" t="s">
        <v>327</v>
      </c>
      <c r="C85" s="108"/>
      <c r="D85" s="108"/>
      <c r="E85" s="108"/>
      <c r="F85" s="108"/>
      <c r="G85" s="108"/>
      <c r="H85" s="109"/>
      <c r="I85" s="109"/>
      <c r="J85" s="109"/>
      <c r="K85" s="109"/>
      <c r="L85" s="109"/>
      <c r="M85" s="108"/>
      <c r="N85" s="108"/>
    </row>
    <row r="86" spans="1:47" ht="207" customHeight="1" outlineLevel="1">
      <c r="A86" s="110" t="s">
        <v>328</v>
      </c>
      <c r="B86" s="110" t="s">
        <v>329</v>
      </c>
      <c r="C86" s="111"/>
      <c r="D86" s="110" t="s">
        <v>330</v>
      </c>
      <c r="E86" s="112"/>
      <c r="F86" s="110" t="s">
        <v>331</v>
      </c>
      <c r="G86" s="113"/>
      <c r="H86" s="113" t="s">
        <v>104</v>
      </c>
      <c r="I86" s="113" t="s">
        <v>127</v>
      </c>
      <c r="J86" s="113" t="s">
        <v>49</v>
      </c>
      <c r="K86" s="113" t="s">
        <v>49</v>
      </c>
      <c r="L86" s="113" t="s">
        <v>54</v>
      </c>
      <c r="M86" s="112"/>
      <c r="N86" s="112"/>
      <c r="O86" s="79" t="str">
        <f t="shared" ref="O86:O109" si="3">LEFT(A86, FIND(".", A86) - 1)</f>
        <v>MT740</v>
      </c>
    </row>
    <row r="87" spans="1:47" s="114" customFormat="1" ht="207" customHeight="1" outlineLevel="1">
      <c r="A87" s="110" t="s">
        <v>332</v>
      </c>
      <c r="B87" s="110" t="s">
        <v>333</v>
      </c>
      <c r="C87" s="111"/>
      <c r="D87" s="110" t="s">
        <v>334</v>
      </c>
      <c r="E87" s="112"/>
      <c r="F87" s="110" t="s">
        <v>335</v>
      </c>
      <c r="G87" s="113"/>
      <c r="H87" s="113" t="s">
        <v>104</v>
      </c>
      <c r="I87" s="113" t="s">
        <v>127</v>
      </c>
      <c r="J87" s="113" t="s">
        <v>49</v>
      </c>
      <c r="K87" s="113" t="s">
        <v>49</v>
      </c>
      <c r="L87" s="113" t="s">
        <v>54</v>
      </c>
      <c r="M87" s="112"/>
      <c r="N87" s="112"/>
      <c r="O87" s="79" t="str">
        <f t="shared" si="3"/>
        <v>MT740</v>
      </c>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row>
    <row r="88" spans="1:47" ht="207" customHeight="1">
      <c r="A88" s="110" t="s">
        <v>336</v>
      </c>
      <c r="B88" s="110" t="s">
        <v>337</v>
      </c>
      <c r="C88" s="111"/>
      <c r="D88" s="110" t="s">
        <v>338</v>
      </c>
      <c r="E88" s="112"/>
      <c r="F88" s="110" t="s">
        <v>339</v>
      </c>
      <c r="G88" s="113"/>
      <c r="H88" s="113" t="s">
        <v>104</v>
      </c>
      <c r="I88" s="113" t="s">
        <v>127</v>
      </c>
      <c r="J88" s="113" t="s">
        <v>49</v>
      </c>
      <c r="K88" s="113" t="s">
        <v>49</v>
      </c>
      <c r="L88" s="113" t="s">
        <v>54</v>
      </c>
      <c r="M88" s="112"/>
      <c r="N88" s="112"/>
      <c r="O88" s="79" t="str">
        <f t="shared" si="3"/>
        <v>MT740</v>
      </c>
    </row>
    <row r="89" spans="1:47" ht="207" customHeight="1">
      <c r="A89" s="110" t="s">
        <v>340</v>
      </c>
      <c r="B89" s="110" t="s">
        <v>341</v>
      </c>
      <c r="C89" s="111"/>
      <c r="D89" s="110" t="s">
        <v>342</v>
      </c>
      <c r="E89" s="112"/>
      <c r="F89" s="110" t="s">
        <v>343</v>
      </c>
      <c r="G89" s="113"/>
      <c r="H89" s="113" t="s">
        <v>104</v>
      </c>
      <c r="I89" s="113" t="s">
        <v>127</v>
      </c>
      <c r="J89" s="113" t="s">
        <v>49</v>
      </c>
      <c r="K89" s="113" t="s">
        <v>49</v>
      </c>
      <c r="L89" s="113" t="s">
        <v>54</v>
      </c>
      <c r="M89" s="112"/>
      <c r="N89" s="112"/>
      <c r="O89" s="79" t="str">
        <f t="shared" si="3"/>
        <v>MT740</v>
      </c>
    </row>
    <row r="90" spans="1:47" ht="23.25" customHeight="1">
      <c r="A90" s="106"/>
      <c r="B90" s="107" t="s">
        <v>344</v>
      </c>
      <c r="C90" s="108"/>
      <c r="D90" s="108"/>
      <c r="E90" s="108"/>
      <c r="F90" s="108"/>
      <c r="G90" s="108"/>
      <c r="H90" s="109"/>
      <c r="I90" s="109"/>
      <c r="J90" s="109"/>
      <c r="K90" s="109"/>
      <c r="L90" s="109"/>
      <c r="M90" s="108"/>
      <c r="N90" s="108"/>
      <c r="O90" s="79" t="e">
        <f t="shared" si="3"/>
        <v>#VALUE!</v>
      </c>
    </row>
    <row r="91" spans="1:47" ht="23.25" customHeight="1" outlineLevel="1">
      <c r="A91" s="110" t="s">
        <v>345</v>
      </c>
      <c r="B91" s="110" t="s">
        <v>346</v>
      </c>
      <c r="C91" s="111"/>
      <c r="D91" s="110" t="s">
        <v>347</v>
      </c>
      <c r="E91" s="112"/>
      <c r="F91" s="110" t="s">
        <v>348</v>
      </c>
      <c r="G91" s="113"/>
      <c r="H91" s="113" t="s">
        <v>104</v>
      </c>
      <c r="I91" s="113" t="s">
        <v>127</v>
      </c>
      <c r="J91" s="113" t="s">
        <v>49</v>
      </c>
      <c r="K91" s="113" t="s">
        <v>49</v>
      </c>
      <c r="L91" s="113" t="s">
        <v>54</v>
      </c>
      <c r="M91" s="112"/>
      <c r="N91" s="112"/>
      <c r="O91" s="79" t="str">
        <f t="shared" si="3"/>
        <v>MT742</v>
      </c>
    </row>
    <row r="92" spans="1:47" s="114" customFormat="1" ht="23.25" customHeight="1" outlineLevel="1">
      <c r="A92" s="110" t="s">
        <v>349</v>
      </c>
      <c r="B92" s="110" t="s">
        <v>350</v>
      </c>
      <c r="C92" s="111"/>
      <c r="D92" s="110" t="s">
        <v>351</v>
      </c>
      <c r="E92" s="112"/>
      <c r="F92" s="110" t="s">
        <v>352</v>
      </c>
      <c r="G92" s="113"/>
      <c r="H92" s="113" t="s">
        <v>104</v>
      </c>
      <c r="I92" s="113" t="s">
        <v>127</v>
      </c>
      <c r="J92" s="113" t="s">
        <v>49</v>
      </c>
      <c r="K92" s="113" t="s">
        <v>49</v>
      </c>
      <c r="L92" s="113" t="s">
        <v>54</v>
      </c>
      <c r="M92" s="112"/>
      <c r="N92" s="112"/>
      <c r="O92" s="79" t="str">
        <f t="shared" si="3"/>
        <v>MT742</v>
      </c>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row>
    <row r="93" spans="1:47" ht="23.25" customHeight="1">
      <c r="A93" s="110" t="s">
        <v>353</v>
      </c>
      <c r="B93" s="110" t="s">
        <v>354</v>
      </c>
      <c r="C93" s="111"/>
      <c r="D93" s="110" t="s">
        <v>355</v>
      </c>
      <c r="E93" s="112"/>
      <c r="F93" s="110" t="s">
        <v>356</v>
      </c>
      <c r="G93" s="113"/>
      <c r="H93" s="113" t="s">
        <v>104</v>
      </c>
      <c r="I93" s="113" t="s">
        <v>127</v>
      </c>
      <c r="J93" s="113" t="s">
        <v>49</v>
      </c>
      <c r="K93" s="113" t="s">
        <v>49</v>
      </c>
      <c r="L93" s="113" t="s">
        <v>54</v>
      </c>
      <c r="M93" s="112"/>
      <c r="N93" s="112"/>
      <c r="O93" s="79" t="str">
        <f t="shared" si="3"/>
        <v>MT742</v>
      </c>
    </row>
    <row r="94" spans="1:47" ht="23.25" customHeight="1">
      <c r="A94" s="110" t="s">
        <v>357</v>
      </c>
      <c r="B94" s="110" t="s">
        <v>358</v>
      </c>
      <c r="C94" s="111"/>
      <c r="D94" s="110" t="s">
        <v>359</v>
      </c>
      <c r="E94" s="112"/>
      <c r="F94" s="110" t="s">
        <v>360</v>
      </c>
      <c r="G94" s="113"/>
      <c r="H94" s="113" t="s">
        <v>104</v>
      </c>
      <c r="I94" s="113" t="s">
        <v>127</v>
      </c>
      <c r="J94" s="113" t="s">
        <v>49</v>
      </c>
      <c r="K94" s="113" t="s">
        <v>49</v>
      </c>
      <c r="L94" s="113" t="s">
        <v>54</v>
      </c>
      <c r="M94" s="112"/>
      <c r="N94" s="112"/>
      <c r="O94" s="79" t="str">
        <f t="shared" si="3"/>
        <v>MT742</v>
      </c>
    </row>
    <row r="95" spans="1:47" ht="23.25" customHeight="1">
      <c r="A95" s="106"/>
      <c r="B95" s="107" t="s">
        <v>361</v>
      </c>
      <c r="C95" s="108"/>
      <c r="D95" s="108"/>
      <c r="E95" s="108"/>
      <c r="F95" s="108"/>
      <c r="G95" s="108"/>
      <c r="H95" s="109"/>
      <c r="I95" s="109"/>
      <c r="J95" s="109"/>
      <c r="K95" s="109"/>
      <c r="L95" s="109"/>
      <c r="M95" s="108"/>
      <c r="N95" s="108"/>
      <c r="O95" s="79" t="e">
        <f t="shared" si="3"/>
        <v>#VALUE!</v>
      </c>
    </row>
    <row r="96" spans="1:47" ht="23.25" customHeight="1" outlineLevel="1">
      <c r="A96" s="110" t="s">
        <v>362</v>
      </c>
      <c r="B96" s="110" t="s">
        <v>363</v>
      </c>
      <c r="C96" s="111"/>
      <c r="D96" s="110" t="s">
        <v>364</v>
      </c>
      <c r="E96" s="112"/>
      <c r="F96" s="110" t="s">
        <v>126</v>
      </c>
      <c r="G96" s="113"/>
      <c r="H96" s="113" t="s">
        <v>104</v>
      </c>
      <c r="I96" s="113" t="s">
        <v>127</v>
      </c>
      <c r="J96" s="113" t="s">
        <v>49</v>
      </c>
      <c r="K96" s="113" t="s">
        <v>49</v>
      </c>
      <c r="L96" s="113" t="s">
        <v>54</v>
      </c>
      <c r="M96" s="112"/>
      <c r="N96" s="112"/>
      <c r="O96" s="79" t="str">
        <f t="shared" si="3"/>
        <v>MT747</v>
      </c>
    </row>
    <row r="97" spans="1:47" s="114" customFormat="1" ht="23.25" customHeight="1" outlineLevel="1">
      <c r="A97" s="110" t="s">
        <v>365</v>
      </c>
      <c r="B97" s="110" t="s">
        <v>366</v>
      </c>
      <c r="C97" s="111"/>
      <c r="D97" s="110" t="s">
        <v>367</v>
      </c>
      <c r="E97" s="112"/>
      <c r="F97" s="110" t="s">
        <v>126</v>
      </c>
      <c r="G97" s="113"/>
      <c r="H97" s="113" t="s">
        <v>104</v>
      </c>
      <c r="I97" s="113" t="s">
        <v>127</v>
      </c>
      <c r="J97" s="113" t="s">
        <v>49</v>
      </c>
      <c r="K97" s="113" t="s">
        <v>49</v>
      </c>
      <c r="L97" s="113" t="s">
        <v>54</v>
      </c>
      <c r="M97" s="112"/>
      <c r="N97" s="112"/>
      <c r="O97" s="79" t="str">
        <f t="shared" si="3"/>
        <v>MT747</v>
      </c>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row>
    <row r="98" spans="1:47" ht="23.25" customHeight="1">
      <c r="A98" s="110" t="s">
        <v>368</v>
      </c>
      <c r="B98" s="110" t="s">
        <v>369</v>
      </c>
      <c r="C98" s="111"/>
      <c r="D98" s="110" t="s">
        <v>370</v>
      </c>
      <c r="E98" s="112"/>
      <c r="F98" s="110" t="s">
        <v>371</v>
      </c>
      <c r="G98" s="113"/>
      <c r="H98" s="113" t="s">
        <v>104</v>
      </c>
      <c r="I98" s="113" t="s">
        <v>127</v>
      </c>
      <c r="J98" s="113" t="s">
        <v>49</v>
      </c>
      <c r="K98" s="113" t="s">
        <v>49</v>
      </c>
      <c r="L98" s="113" t="s">
        <v>54</v>
      </c>
      <c r="M98" s="112"/>
      <c r="N98" s="112"/>
      <c r="O98" s="79" t="str">
        <f t="shared" si="3"/>
        <v>MT747</v>
      </c>
    </row>
    <row r="99" spans="1:47" ht="23.25" customHeight="1">
      <c r="A99" s="110" t="s">
        <v>372</v>
      </c>
      <c r="B99" s="110" t="s">
        <v>373</v>
      </c>
      <c r="C99" s="111"/>
      <c r="D99" s="110" t="s">
        <v>374</v>
      </c>
      <c r="E99" s="112"/>
      <c r="F99" s="110" t="s">
        <v>126</v>
      </c>
      <c r="G99" s="113"/>
      <c r="H99" s="113" t="s">
        <v>104</v>
      </c>
      <c r="I99" s="113" t="s">
        <v>127</v>
      </c>
      <c r="J99" s="113" t="s">
        <v>49</v>
      </c>
      <c r="K99" s="113" t="s">
        <v>49</v>
      </c>
      <c r="L99" s="113" t="s">
        <v>54</v>
      </c>
      <c r="M99" s="112"/>
      <c r="N99" s="112"/>
      <c r="O99" s="79" t="str">
        <f t="shared" si="3"/>
        <v>MT747</v>
      </c>
    </row>
    <row r="100" spans="1:47" ht="23.25" customHeight="1">
      <c r="A100" s="106"/>
      <c r="B100" s="107" t="s">
        <v>375</v>
      </c>
      <c r="C100" s="108"/>
      <c r="D100" s="108"/>
      <c r="E100" s="108"/>
      <c r="F100" s="108"/>
      <c r="G100" s="108"/>
      <c r="H100" s="109"/>
      <c r="I100" s="109"/>
      <c r="J100" s="109"/>
      <c r="K100" s="109"/>
      <c r="L100" s="109"/>
      <c r="M100" s="108"/>
      <c r="N100" s="108"/>
      <c r="O100" s="79" t="e">
        <f t="shared" si="3"/>
        <v>#VALUE!</v>
      </c>
    </row>
    <row r="101" spans="1:47" ht="409.5" customHeight="1" outlineLevel="1">
      <c r="A101" s="110" t="s">
        <v>376</v>
      </c>
      <c r="B101" s="110" t="s">
        <v>377</v>
      </c>
      <c r="C101" s="111"/>
      <c r="D101" s="110" t="s">
        <v>378</v>
      </c>
      <c r="E101" s="112"/>
      <c r="F101" s="110" t="s">
        <v>379</v>
      </c>
      <c r="G101" s="113"/>
      <c r="H101" s="113" t="s">
        <v>104</v>
      </c>
      <c r="I101" s="113" t="s">
        <v>127</v>
      </c>
      <c r="J101" s="113" t="s">
        <v>49</v>
      </c>
      <c r="K101" s="113" t="s">
        <v>49</v>
      </c>
      <c r="L101" s="113" t="s">
        <v>54</v>
      </c>
      <c r="M101" s="112"/>
      <c r="N101" s="112"/>
      <c r="O101" s="79" t="str">
        <f t="shared" si="3"/>
        <v>MT760</v>
      </c>
    </row>
    <row r="102" spans="1:47" s="114" customFormat="1" ht="228.75" customHeight="1" outlineLevel="1">
      <c r="A102" s="110" t="s">
        <v>380</v>
      </c>
      <c r="B102" s="110" t="s">
        <v>381</v>
      </c>
      <c r="C102" s="111"/>
      <c r="D102" s="110" t="s">
        <v>382</v>
      </c>
      <c r="E102" s="112"/>
      <c r="F102" s="110" t="s">
        <v>383</v>
      </c>
      <c r="G102" s="113"/>
      <c r="H102" s="113" t="s">
        <v>104</v>
      </c>
      <c r="I102" s="113" t="s">
        <v>127</v>
      </c>
      <c r="J102" s="113" t="s">
        <v>50</v>
      </c>
      <c r="K102" s="113" t="s">
        <v>49</v>
      </c>
      <c r="L102" s="113" t="s">
        <v>54</v>
      </c>
      <c r="M102" s="112"/>
      <c r="N102" s="112"/>
      <c r="O102" s="79" t="str">
        <f t="shared" si="3"/>
        <v>MT760</v>
      </c>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row>
    <row r="103" spans="1:47" ht="380.25" customHeight="1">
      <c r="A103" s="110" t="s">
        <v>384</v>
      </c>
      <c r="B103" s="110" t="s">
        <v>385</v>
      </c>
      <c r="C103" s="111"/>
      <c r="D103" s="110" t="s">
        <v>386</v>
      </c>
      <c r="E103" s="112"/>
      <c r="F103" s="110" t="s">
        <v>387</v>
      </c>
      <c r="G103" s="113"/>
      <c r="H103" s="113" t="s">
        <v>104</v>
      </c>
      <c r="I103" s="113" t="s">
        <v>127</v>
      </c>
      <c r="J103" s="113" t="s">
        <v>49</v>
      </c>
      <c r="K103" s="113" t="s">
        <v>49</v>
      </c>
      <c r="L103" s="113" t="s">
        <v>54</v>
      </c>
      <c r="M103" s="112"/>
      <c r="N103" s="112"/>
      <c r="O103" s="79" t="str">
        <f t="shared" si="3"/>
        <v>MT760</v>
      </c>
    </row>
    <row r="104" spans="1:47" ht="409.5" customHeight="1">
      <c r="A104" s="110" t="s">
        <v>388</v>
      </c>
      <c r="B104" s="110" t="s">
        <v>389</v>
      </c>
      <c r="C104" s="111"/>
      <c r="D104" s="110" t="s">
        <v>390</v>
      </c>
      <c r="E104" s="112"/>
      <c r="F104" s="110" t="s">
        <v>391</v>
      </c>
      <c r="G104" s="113"/>
      <c r="H104" s="113" t="s">
        <v>104</v>
      </c>
      <c r="I104" s="113" t="s">
        <v>127</v>
      </c>
      <c r="J104" s="113" t="s">
        <v>49</v>
      </c>
      <c r="K104" s="113" t="s">
        <v>49</v>
      </c>
      <c r="L104" s="113" t="s">
        <v>54</v>
      </c>
      <c r="M104" s="112"/>
      <c r="N104" s="112"/>
      <c r="O104" s="79" t="str">
        <f t="shared" si="3"/>
        <v>MT760</v>
      </c>
    </row>
    <row r="105" spans="1:47" ht="23.25" customHeight="1">
      <c r="A105" s="106"/>
      <c r="B105" s="107" t="s">
        <v>392</v>
      </c>
      <c r="C105" s="108"/>
      <c r="D105" s="108"/>
      <c r="E105" s="108"/>
      <c r="F105" s="108"/>
      <c r="G105" s="108"/>
      <c r="H105" s="109"/>
      <c r="I105" s="109"/>
      <c r="J105" s="109"/>
      <c r="K105" s="109"/>
      <c r="L105" s="109"/>
      <c r="M105" s="108"/>
      <c r="N105" s="108"/>
      <c r="O105" s="79" t="e">
        <f t="shared" si="3"/>
        <v>#VALUE!</v>
      </c>
    </row>
    <row r="106" spans="1:47" ht="151.5" customHeight="1" outlineLevel="1">
      <c r="A106" s="110" t="s">
        <v>393</v>
      </c>
      <c r="B106" s="110" t="s">
        <v>394</v>
      </c>
      <c r="C106" s="111"/>
      <c r="D106" s="110" t="s">
        <v>395</v>
      </c>
      <c r="E106" s="112"/>
      <c r="F106" s="110" t="s">
        <v>396</v>
      </c>
      <c r="G106" s="113"/>
      <c r="H106" s="113" t="s">
        <v>104</v>
      </c>
      <c r="I106" s="113" t="s">
        <v>127</v>
      </c>
      <c r="J106" s="113" t="s">
        <v>49</v>
      </c>
      <c r="K106" s="113" t="s">
        <v>49</v>
      </c>
      <c r="L106" s="113" t="s">
        <v>54</v>
      </c>
      <c r="M106" s="112"/>
      <c r="N106" s="112"/>
      <c r="O106" s="79" t="str">
        <f t="shared" si="3"/>
        <v>MT767</v>
      </c>
    </row>
    <row r="107" spans="1:47" s="114" customFormat="1" ht="151.5" customHeight="1" outlineLevel="1">
      <c r="A107" s="110" t="s">
        <v>397</v>
      </c>
      <c r="B107" s="110" t="s">
        <v>398</v>
      </c>
      <c r="C107" s="111"/>
      <c r="D107" s="110" t="s">
        <v>399</v>
      </c>
      <c r="E107" s="112"/>
      <c r="F107" s="110" t="s">
        <v>400</v>
      </c>
      <c r="G107" s="113"/>
      <c r="H107" s="113" t="s">
        <v>104</v>
      </c>
      <c r="I107" s="113" t="s">
        <v>127</v>
      </c>
      <c r="J107" s="113" t="s">
        <v>49</v>
      </c>
      <c r="K107" s="113" t="s">
        <v>49</v>
      </c>
      <c r="L107" s="113" t="s">
        <v>54</v>
      </c>
      <c r="M107" s="112"/>
      <c r="N107" s="112"/>
      <c r="O107" s="79" t="str">
        <f t="shared" si="3"/>
        <v>MT767</v>
      </c>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row>
    <row r="108" spans="1:47" ht="151.5" customHeight="1">
      <c r="A108" s="110" t="s">
        <v>401</v>
      </c>
      <c r="B108" s="110" t="s">
        <v>402</v>
      </c>
      <c r="C108" s="111"/>
      <c r="D108" s="110" t="s">
        <v>403</v>
      </c>
      <c r="E108" s="112"/>
      <c r="F108" s="110" t="s">
        <v>404</v>
      </c>
      <c r="G108" s="113"/>
      <c r="H108" s="113" t="s">
        <v>104</v>
      </c>
      <c r="I108" s="113" t="s">
        <v>127</v>
      </c>
      <c r="J108" s="113" t="s">
        <v>49</v>
      </c>
      <c r="K108" s="113" t="s">
        <v>49</v>
      </c>
      <c r="L108" s="113" t="s">
        <v>54</v>
      </c>
      <c r="M108" s="112"/>
      <c r="N108" s="112"/>
      <c r="O108" s="79" t="str">
        <f t="shared" si="3"/>
        <v>MT767</v>
      </c>
    </row>
    <row r="109" spans="1:47" ht="151.5" customHeight="1">
      <c r="A109" s="110" t="s">
        <v>405</v>
      </c>
      <c r="B109" s="110" t="s">
        <v>406</v>
      </c>
      <c r="C109" s="111"/>
      <c r="D109" s="110" t="s">
        <v>407</v>
      </c>
      <c r="E109" s="112"/>
      <c r="F109" s="110" t="s">
        <v>408</v>
      </c>
      <c r="G109" s="113"/>
      <c r="H109" s="113" t="s">
        <v>104</v>
      </c>
      <c r="I109" s="113" t="s">
        <v>127</v>
      </c>
      <c r="J109" s="113" t="s">
        <v>49</v>
      </c>
      <c r="K109" s="113" t="s">
        <v>49</v>
      </c>
      <c r="L109" s="113" t="s">
        <v>54</v>
      </c>
      <c r="M109" s="112"/>
      <c r="N109" s="112"/>
      <c r="O109" s="79" t="str">
        <f t="shared" si="3"/>
        <v>MT767</v>
      </c>
    </row>
    <row r="110" spans="1:47" ht="23.25" customHeight="1">
      <c r="A110" s="106"/>
      <c r="B110" s="107" t="s">
        <v>409</v>
      </c>
      <c r="C110" s="108"/>
      <c r="D110" s="108"/>
      <c r="E110" s="108"/>
      <c r="F110" s="108"/>
      <c r="G110" s="108"/>
      <c r="H110" s="109"/>
      <c r="I110" s="109"/>
      <c r="J110" s="109"/>
      <c r="K110" s="109"/>
      <c r="L110" s="109"/>
      <c r="M110" s="108"/>
      <c r="N110" s="108"/>
    </row>
    <row r="111" spans="1:47" ht="151.5" customHeight="1" outlineLevel="1">
      <c r="A111" s="110" t="s">
        <v>410</v>
      </c>
      <c r="B111" s="110" t="s">
        <v>411</v>
      </c>
      <c r="C111" s="111"/>
      <c r="D111" s="110" t="s">
        <v>412</v>
      </c>
      <c r="E111" s="112"/>
      <c r="F111" s="110" t="s">
        <v>126</v>
      </c>
      <c r="G111" s="113"/>
      <c r="H111" s="113" t="s">
        <v>104</v>
      </c>
      <c r="I111" s="113" t="s">
        <v>127</v>
      </c>
      <c r="J111" s="113" t="s">
        <v>49</v>
      </c>
      <c r="K111" s="113" t="s">
        <v>49</v>
      </c>
      <c r="L111" s="113" t="s">
        <v>54</v>
      </c>
      <c r="M111" s="112"/>
      <c r="N111" s="112"/>
      <c r="O111" s="79" t="str">
        <f t="shared" ref="O111:O120" si="4">LEFT(A111, FIND(".", A111) - 1)</f>
        <v>MT799</v>
      </c>
    </row>
    <row r="112" spans="1:47" s="114" customFormat="1" ht="151.5" customHeight="1" outlineLevel="1">
      <c r="A112" s="110" t="s">
        <v>413</v>
      </c>
      <c r="B112" s="110" t="s">
        <v>414</v>
      </c>
      <c r="C112" s="111"/>
      <c r="D112" s="110" t="s">
        <v>415</v>
      </c>
      <c r="E112" s="112"/>
      <c r="F112" s="110" t="s">
        <v>126</v>
      </c>
      <c r="G112" s="113"/>
      <c r="H112" s="113" t="s">
        <v>104</v>
      </c>
      <c r="I112" s="113" t="s">
        <v>127</v>
      </c>
      <c r="J112" s="113" t="s">
        <v>49</v>
      </c>
      <c r="K112" s="113" t="s">
        <v>49</v>
      </c>
      <c r="L112" s="113" t="s">
        <v>54</v>
      </c>
      <c r="M112" s="112"/>
      <c r="N112" s="112"/>
      <c r="O112" s="79" t="str">
        <f t="shared" si="4"/>
        <v>MT799</v>
      </c>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row>
    <row r="113" spans="1:47" ht="151.5" customHeight="1">
      <c r="A113" s="110" t="s">
        <v>416</v>
      </c>
      <c r="B113" s="110" t="s">
        <v>417</v>
      </c>
      <c r="C113" s="111"/>
      <c r="D113" s="110" t="s">
        <v>418</v>
      </c>
      <c r="E113" s="112"/>
      <c r="F113" s="110" t="s">
        <v>162</v>
      </c>
      <c r="G113" s="113"/>
      <c r="H113" s="113" t="s">
        <v>104</v>
      </c>
      <c r="I113" s="113" t="s">
        <v>127</v>
      </c>
      <c r="J113" s="113" t="s">
        <v>49</v>
      </c>
      <c r="K113" s="113" t="s">
        <v>49</v>
      </c>
      <c r="L113" s="113" t="s">
        <v>54</v>
      </c>
      <c r="M113" s="112"/>
      <c r="N113" s="112"/>
      <c r="O113" s="79" t="str">
        <f t="shared" si="4"/>
        <v>MT799</v>
      </c>
    </row>
    <row r="114" spans="1:47" ht="151.5" customHeight="1">
      <c r="A114" s="110" t="s">
        <v>419</v>
      </c>
      <c r="B114" s="110" t="s">
        <v>420</v>
      </c>
      <c r="C114" s="111"/>
      <c r="D114" s="110" t="s">
        <v>421</v>
      </c>
      <c r="E114" s="112"/>
      <c r="F114" s="110" t="s">
        <v>126</v>
      </c>
      <c r="G114" s="113"/>
      <c r="H114" s="113" t="s">
        <v>104</v>
      </c>
      <c r="I114" s="113" t="s">
        <v>127</v>
      </c>
      <c r="J114" s="113" t="s">
        <v>49</v>
      </c>
      <c r="K114" s="113" t="s">
        <v>49</v>
      </c>
      <c r="L114" s="113" t="s">
        <v>54</v>
      </c>
      <c r="M114" s="112"/>
      <c r="N114" s="112"/>
      <c r="O114" s="79" t="str">
        <f t="shared" si="4"/>
        <v>MT799</v>
      </c>
    </row>
    <row r="115" spans="1:47" ht="23.25" customHeight="1">
      <c r="A115" s="106"/>
      <c r="B115" s="107" t="s">
        <v>422</v>
      </c>
      <c r="C115" s="108"/>
      <c r="D115" s="108"/>
      <c r="E115" s="108"/>
      <c r="F115" s="108"/>
      <c r="G115" s="108"/>
      <c r="H115" s="109"/>
      <c r="I115" s="109"/>
      <c r="J115" s="109"/>
      <c r="K115" s="109"/>
      <c r="L115" s="109"/>
      <c r="M115" s="108"/>
      <c r="N115" s="108"/>
      <c r="O115" s="79" t="e">
        <f t="shared" si="4"/>
        <v>#VALUE!</v>
      </c>
    </row>
    <row r="116" spans="1:47" ht="23.25" customHeight="1" outlineLevel="1">
      <c r="A116" s="110" t="s">
        <v>423</v>
      </c>
      <c r="B116" s="110" t="s">
        <v>424</v>
      </c>
      <c r="C116" s="111"/>
      <c r="D116" s="110" t="s">
        <v>425</v>
      </c>
      <c r="E116" s="112"/>
      <c r="F116" s="110" t="s">
        <v>126</v>
      </c>
      <c r="G116" s="113"/>
      <c r="H116" s="113" t="s">
        <v>104</v>
      </c>
      <c r="I116" s="113" t="s">
        <v>127</v>
      </c>
      <c r="J116" s="113" t="s">
        <v>49</v>
      </c>
      <c r="K116" s="113" t="s">
        <v>49</v>
      </c>
      <c r="L116" s="113" t="s">
        <v>54</v>
      </c>
      <c r="M116" s="112"/>
      <c r="N116" s="112"/>
      <c r="O116" s="79" t="str">
        <f t="shared" si="4"/>
        <v>MT999</v>
      </c>
    </row>
    <row r="117" spans="1:47" s="114" customFormat="1" ht="23.25" customHeight="1" outlineLevel="1">
      <c r="A117" s="110" t="s">
        <v>426</v>
      </c>
      <c r="B117" s="110" t="s">
        <v>427</v>
      </c>
      <c r="C117" s="111"/>
      <c r="D117" s="110" t="s">
        <v>428</v>
      </c>
      <c r="E117" s="112"/>
      <c r="F117" s="110" t="s">
        <v>126</v>
      </c>
      <c r="G117" s="113"/>
      <c r="H117" s="113" t="s">
        <v>104</v>
      </c>
      <c r="I117" s="113" t="s">
        <v>127</v>
      </c>
      <c r="J117" s="113" t="s">
        <v>49</v>
      </c>
      <c r="K117" s="113" t="s">
        <v>49</v>
      </c>
      <c r="L117" s="113" t="s">
        <v>54</v>
      </c>
      <c r="M117" s="112"/>
      <c r="N117" s="112"/>
      <c r="O117" s="79" t="str">
        <f t="shared" si="4"/>
        <v>MT999</v>
      </c>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row>
    <row r="118" spans="1:47" ht="23.25" customHeight="1">
      <c r="A118" s="110" t="s">
        <v>429</v>
      </c>
      <c r="B118" s="110" t="s">
        <v>430</v>
      </c>
      <c r="C118" s="111"/>
      <c r="D118" s="110" t="s">
        <v>431</v>
      </c>
      <c r="E118" s="112"/>
      <c r="F118" s="110" t="s">
        <v>162</v>
      </c>
      <c r="G118" s="113"/>
      <c r="H118" s="113" t="s">
        <v>104</v>
      </c>
      <c r="I118" s="113" t="s">
        <v>127</v>
      </c>
      <c r="J118" s="113" t="s">
        <v>49</v>
      </c>
      <c r="K118" s="113" t="s">
        <v>49</v>
      </c>
      <c r="L118" s="113" t="s">
        <v>54</v>
      </c>
      <c r="M118" s="112"/>
      <c r="N118" s="112"/>
      <c r="O118" s="79" t="str">
        <f t="shared" si="4"/>
        <v>MT999</v>
      </c>
    </row>
    <row r="119" spans="1:47" ht="23.25" customHeight="1">
      <c r="A119" s="110" t="s">
        <v>432</v>
      </c>
      <c r="B119" s="110" t="s">
        <v>433</v>
      </c>
      <c r="C119" s="111"/>
      <c r="D119" s="110" t="s">
        <v>434</v>
      </c>
      <c r="E119" s="112"/>
      <c r="F119" s="110" t="s">
        <v>126</v>
      </c>
      <c r="G119" s="113"/>
      <c r="H119" s="113" t="s">
        <v>104</v>
      </c>
      <c r="I119" s="113" t="s">
        <v>127</v>
      </c>
      <c r="J119" s="113" t="s">
        <v>49</v>
      </c>
      <c r="K119" s="113" t="s">
        <v>49</v>
      </c>
      <c r="L119" s="113" t="s">
        <v>54</v>
      </c>
      <c r="M119" s="112"/>
      <c r="N119" s="112"/>
      <c r="O119" s="79" t="str">
        <f t="shared" si="4"/>
        <v>MT999</v>
      </c>
    </row>
    <row r="120" spans="1:47" ht="23.25" customHeight="1">
      <c r="A120" s="106"/>
      <c r="B120" s="107" t="s">
        <v>435</v>
      </c>
      <c r="C120" s="108"/>
      <c r="D120" s="108"/>
      <c r="E120" s="108"/>
      <c r="F120" s="108"/>
      <c r="G120" s="108"/>
      <c r="H120" s="109"/>
      <c r="I120" s="109"/>
      <c r="J120" s="109"/>
      <c r="K120" s="109"/>
      <c r="L120" s="109"/>
      <c r="M120" s="108"/>
      <c r="N120" s="108"/>
      <c r="O120" s="79" t="e">
        <f t="shared" si="4"/>
        <v>#VALUE!</v>
      </c>
    </row>
    <row r="121" spans="1:47" ht="23.25" customHeight="1">
      <c r="A121" s="115" t="s">
        <v>436</v>
      </c>
      <c r="B121" s="115" t="s">
        <v>437</v>
      </c>
      <c r="C121" s="116"/>
      <c r="D121" s="115" t="s">
        <v>438</v>
      </c>
      <c r="E121" s="117"/>
      <c r="F121" s="115" t="s">
        <v>439</v>
      </c>
      <c r="G121" s="117"/>
      <c r="H121" s="113" t="s">
        <v>104</v>
      </c>
      <c r="I121" s="113" t="s">
        <v>127</v>
      </c>
      <c r="J121" s="113" t="s">
        <v>49</v>
      </c>
      <c r="K121" s="113" t="s">
        <v>49</v>
      </c>
      <c r="L121" s="113" t="s">
        <v>54</v>
      </c>
      <c r="M121" s="117"/>
      <c r="N121" s="117"/>
      <c r="O121" s="79" t="str">
        <f t="shared" ref="O121:O144" si="5">LEFT(A121,FIND(".",A121,FIND(".",A121)+1)-1)</f>
        <v>Pacs.008</v>
      </c>
    </row>
    <row r="122" spans="1:47" s="114" customFormat="1" ht="23.25" customHeight="1">
      <c r="A122" s="115" t="s">
        <v>440</v>
      </c>
      <c r="B122" s="115" t="s">
        <v>441</v>
      </c>
      <c r="C122" s="116"/>
      <c r="D122" s="115" t="s">
        <v>442</v>
      </c>
      <c r="E122" s="117"/>
      <c r="F122" s="115" t="s">
        <v>443</v>
      </c>
      <c r="G122" s="117"/>
      <c r="H122" s="113" t="s">
        <v>104</v>
      </c>
      <c r="I122" s="113" t="s">
        <v>127</v>
      </c>
      <c r="J122" s="113" t="s">
        <v>49</v>
      </c>
      <c r="K122" s="113" t="s">
        <v>49</v>
      </c>
      <c r="L122" s="113" t="s">
        <v>54</v>
      </c>
      <c r="M122" s="117"/>
      <c r="N122" s="117"/>
      <c r="O122" s="79" t="str">
        <f t="shared" si="5"/>
        <v>Pacs.008</v>
      </c>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row>
    <row r="123" spans="1:47" ht="23.25" customHeight="1">
      <c r="A123" s="115" t="s">
        <v>444</v>
      </c>
      <c r="B123" s="115" t="s">
        <v>445</v>
      </c>
      <c r="C123" s="116"/>
      <c r="D123" s="115" t="s">
        <v>446</v>
      </c>
      <c r="E123" s="117"/>
      <c r="F123" s="115" t="s">
        <v>447</v>
      </c>
      <c r="G123" s="117"/>
      <c r="H123" s="113" t="s">
        <v>104</v>
      </c>
      <c r="I123" s="113" t="s">
        <v>127</v>
      </c>
      <c r="J123" s="113" t="s">
        <v>49</v>
      </c>
      <c r="K123" s="113" t="s">
        <v>49</v>
      </c>
      <c r="L123" s="113" t="s">
        <v>54</v>
      </c>
      <c r="M123" s="117"/>
      <c r="N123" s="117"/>
      <c r="O123" s="79" t="str">
        <f t="shared" si="5"/>
        <v>Pacs.008</v>
      </c>
    </row>
    <row r="124" spans="1:47" ht="23.25" customHeight="1">
      <c r="A124" s="115" t="s">
        <v>448</v>
      </c>
      <c r="B124" s="115" t="s">
        <v>449</v>
      </c>
      <c r="C124" s="116"/>
      <c r="D124" s="115" t="s">
        <v>450</v>
      </c>
      <c r="E124" s="117"/>
      <c r="F124" s="115" t="s">
        <v>451</v>
      </c>
      <c r="G124" s="117"/>
      <c r="H124" s="113" t="s">
        <v>104</v>
      </c>
      <c r="I124" s="113" t="s">
        <v>127</v>
      </c>
      <c r="J124" s="113" t="s">
        <v>49</v>
      </c>
      <c r="K124" s="113" t="s">
        <v>49</v>
      </c>
      <c r="L124" s="113" t="s">
        <v>54</v>
      </c>
      <c r="M124" s="117"/>
      <c r="N124" s="117"/>
      <c r="O124" s="79" t="str">
        <f t="shared" si="5"/>
        <v>Pacs.008</v>
      </c>
    </row>
    <row r="125" spans="1:47" ht="23.25" customHeight="1">
      <c r="A125" s="106"/>
      <c r="B125" s="107" t="s">
        <v>452</v>
      </c>
      <c r="C125" s="108"/>
      <c r="D125" s="108"/>
      <c r="E125" s="108"/>
      <c r="F125" s="108"/>
      <c r="G125" s="108"/>
      <c r="H125" s="109"/>
      <c r="I125" s="109"/>
      <c r="J125" s="109"/>
      <c r="K125" s="109"/>
      <c r="L125" s="109"/>
      <c r="M125" s="108"/>
      <c r="N125" s="108"/>
      <c r="O125" s="79" t="e">
        <f t="shared" si="5"/>
        <v>#VALUE!</v>
      </c>
    </row>
    <row r="126" spans="1:47" ht="245.25" customHeight="1" outlineLevel="1">
      <c r="A126" s="110" t="s">
        <v>453</v>
      </c>
      <c r="B126" s="110" t="s">
        <v>454</v>
      </c>
      <c r="C126" s="111"/>
      <c r="D126" s="110" t="s">
        <v>455</v>
      </c>
      <c r="E126" s="112"/>
      <c r="F126" s="118" t="s">
        <v>456</v>
      </c>
      <c r="G126" s="113"/>
      <c r="H126" s="113" t="s">
        <v>104</v>
      </c>
      <c r="I126" s="113" t="s">
        <v>127</v>
      </c>
      <c r="J126" s="113" t="s">
        <v>49</v>
      </c>
      <c r="K126" s="113" t="s">
        <v>49</v>
      </c>
      <c r="L126" s="113" t="s">
        <v>54</v>
      </c>
      <c r="M126" s="112"/>
      <c r="N126" s="112"/>
      <c r="O126" s="79" t="str">
        <f t="shared" si="5"/>
        <v>Pacs.009</v>
      </c>
    </row>
    <row r="127" spans="1:47" s="114" customFormat="1" ht="409.6" customHeight="1" outlineLevel="1">
      <c r="A127" s="110" t="s">
        <v>457</v>
      </c>
      <c r="B127" s="110" t="s">
        <v>458</v>
      </c>
      <c r="C127" s="111"/>
      <c r="D127" s="110" t="s">
        <v>459</v>
      </c>
      <c r="E127" s="112"/>
      <c r="F127" s="118" t="s">
        <v>460</v>
      </c>
      <c r="G127" s="113"/>
      <c r="H127" s="113" t="s">
        <v>104</v>
      </c>
      <c r="I127" s="113" t="s">
        <v>127</v>
      </c>
      <c r="J127" s="113" t="s">
        <v>49</v>
      </c>
      <c r="K127" s="113" t="s">
        <v>49</v>
      </c>
      <c r="L127" s="113" t="s">
        <v>54</v>
      </c>
      <c r="M127" s="112"/>
      <c r="N127" s="112"/>
      <c r="O127" s="79" t="str">
        <f t="shared" si="5"/>
        <v>Pacs.009</v>
      </c>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row>
    <row r="128" spans="1:47" ht="289.5" customHeight="1">
      <c r="A128" s="110" t="s">
        <v>461</v>
      </c>
      <c r="B128" s="110" t="s">
        <v>462</v>
      </c>
      <c r="C128" s="111"/>
      <c r="D128" s="110" t="s">
        <v>463</v>
      </c>
      <c r="E128" s="112"/>
      <c r="F128" s="118" t="s">
        <v>464</v>
      </c>
      <c r="G128" s="113"/>
      <c r="H128" s="113" t="s">
        <v>104</v>
      </c>
      <c r="I128" s="113" t="s">
        <v>127</v>
      </c>
      <c r="J128" s="113" t="s">
        <v>49</v>
      </c>
      <c r="K128" s="113" t="s">
        <v>49</v>
      </c>
      <c r="L128" s="113" t="s">
        <v>54</v>
      </c>
      <c r="M128" s="112"/>
      <c r="N128" s="112"/>
      <c r="O128" s="79" t="str">
        <f t="shared" si="5"/>
        <v>Pacs.009</v>
      </c>
    </row>
    <row r="129" spans="1:47" ht="409.6" customHeight="1">
      <c r="A129" s="110" t="s">
        <v>465</v>
      </c>
      <c r="B129" s="110" t="s">
        <v>466</v>
      </c>
      <c r="C129" s="111"/>
      <c r="D129" s="110" t="s">
        <v>467</v>
      </c>
      <c r="E129" s="112"/>
      <c r="F129" s="118" t="s">
        <v>468</v>
      </c>
      <c r="G129" s="113"/>
      <c r="H129" s="113" t="s">
        <v>104</v>
      </c>
      <c r="I129" s="113" t="s">
        <v>127</v>
      </c>
      <c r="J129" s="113" t="s">
        <v>49</v>
      </c>
      <c r="K129" s="113" t="s">
        <v>49</v>
      </c>
      <c r="L129" s="113" t="s">
        <v>54</v>
      </c>
      <c r="M129" s="112"/>
      <c r="N129" s="112"/>
      <c r="O129" s="79" t="str">
        <f t="shared" si="5"/>
        <v>Pacs.009</v>
      </c>
    </row>
    <row r="130" spans="1:47" ht="23.25" customHeight="1">
      <c r="A130" s="106"/>
      <c r="B130" s="107" t="s">
        <v>469</v>
      </c>
      <c r="C130" s="108"/>
      <c r="D130" s="108"/>
      <c r="E130" s="108"/>
      <c r="F130" s="108"/>
      <c r="G130" s="108"/>
      <c r="H130" s="109"/>
      <c r="I130" s="109"/>
      <c r="J130" s="109"/>
      <c r="K130" s="109"/>
      <c r="L130" s="109"/>
      <c r="M130" s="108"/>
      <c r="N130" s="108"/>
      <c r="O130" s="79" t="e">
        <f t="shared" si="5"/>
        <v>#VALUE!</v>
      </c>
    </row>
    <row r="131" spans="1:47" ht="23.25" customHeight="1" outlineLevel="1">
      <c r="A131" s="110" t="s">
        <v>470</v>
      </c>
      <c r="B131" s="110" t="s">
        <v>471</v>
      </c>
      <c r="C131" s="111"/>
      <c r="D131" s="110" t="s">
        <v>472</v>
      </c>
      <c r="E131" s="112"/>
      <c r="F131" s="110" t="s">
        <v>473</v>
      </c>
      <c r="G131" s="113"/>
      <c r="H131" s="113" t="s">
        <v>104</v>
      </c>
      <c r="I131" s="113" t="s">
        <v>127</v>
      </c>
      <c r="J131" s="113" t="s">
        <v>54</v>
      </c>
      <c r="K131" s="113" t="s">
        <v>49</v>
      </c>
      <c r="L131" s="113" t="s">
        <v>54</v>
      </c>
      <c r="M131" s="112"/>
      <c r="N131" s="112"/>
      <c r="O131" s="79" t="str">
        <f t="shared" si="5"/>
        <v>Pacs.004</v>
      </c>
    </row>
    <row r="132" spans="1:47" s="114" customFormat="1" ht="23.25" customHeight="1" outlineLevel="1">
      <c r="A132" s="110" t="s">
        <v>474</v>
      </c>
      <c r="B132" s="110" t="s">
        <v>475</v>
      </c>
      <c r="C132" s="111"/>
      <c r="D132" s="110" t="s">
        <v>476</v>
      </c>
      <c r="E132" s="112"/>
      <c r="F132" s="110" t="s">
        <v>477</v>
      </c>
      <c r="G132" s="113"/>
      <c r="H132" s="113" t="s">
        <v>104</v>
      </c>
      <c r="I132" s="113" t="s">
        <v>127</v>
      </c>
      <c r="J132" s="113" t="s">
        <v>54</v>
      </c>
      <c r="K132" s="113" t="s">
        <v>49</v>
      </c>
      <c r="L132" s="113" t="s">
        <v>54</v>
      </c>
      <c r="M132" s="112"/>
      <c r="N132" s="112"/>
      <c r="O132" s="79" t="str">
        <f t="shared" si="5"/>
        <v>Pacs.004</v>
      </c>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row>
    <row r="133" spans="1:47" ht="23.25" customHeight="1">
      <c r="A133" s="110" t="s">
        <v>478</v>
      </c>
      <c r="B133" s="110" t="s">
        <v>479</v>
      </c>
      <c r="C133" s="111"/>
      <c r="D133" s="110" t="s">
        <v>480</v>
      </c>
      <c r="E133" s="112"/>
      <c r="F133" s="110" t="s">
        <v>481</v>
      </c>
      <c r="G133" s="113"/>
      <c r="H133" s="113" t="s">
        <v>104</v>
      </c>
      <c r="I133" s="113" t="s">
        <v>127</v>
      </c>
      <c r="J133" s="113" t="s">
        <v>54</v>
      </c>
      <c r="K133" s="113" t="s">
        <v>49</v>
      </c>
      <c r="L133" s="113" t="s">
        <v>54</v>
      </c>
      <c r="M133" s="112"/>
      <c r="N133" s="112"/>
      <c r="O133" s="79" t="str">
        <f t="shared" si="5"/>
        <v>Pacs.004</v>
      </c>
    </row>
    <row r="134" spans="1:47" ht="23.25" customHeight="1">
      <c r="A134" s="110" t="s">
        <v>482</v>
      </c>
      <c r="B134" s="110" t="s">
        <v>483</v>
      </c>
      <c r="C134" s="111"/>
      <c r="D134" s="110" t="s">
        <v>484</v>
      </c>
      <c r="E134" s="112"/>
      <c r="F134" s="110" t="s">
        <v>485</v>
      </c>
      <c r="G134" s="113"/>
      <c r="H134" s="113" t="s">
        <v>104</v>
      </c>
      <c r="I134" s="113" t="s">
        <v>127</v>
      </c>
      <c r="J134" s="113" t="s">
        <v>54</v>
      </c>
      <c r="K134" s="113" t="s">
        <v>49</v>
      </c>
      <c r="L134" s="113" t="s">
        <v>54</v>
      </c>
      <c r="M134" s="112"/>
      <c r="N134" s="112"/>
      <c r="O134" s="79" t="str">
        <f t="shared" si="5"/>
        <v>Pacs.004</v>
      </c>
    </row>
    <row r="135" spans="1:47" ht="23.25" customHeight="1">
      <c r="A135" s="106"/>
      <c r="B135" s="107" t="s">
        <v>486</v>
      </c>
      <c r="C135" s="108"/>
      <c r="D135" s="108"/>
      <c r="E135" s="108"/>
      <c r="F135" s="108"/>
      <c r="G135" s="108"/>
      <c r="H135" s="109"/>
      <c r="I135" s="109"/>
      <c r="J135" s="109"/>
      <c r="K135" s="109"/>
      <c r="L135" s="109"/>
      <c r="M135" s="108"/>
      <c r="N135" s="108"/>
      <c r="O135" s="79" t="e">
        <f t="shared" si="5"/>
        <v>#VALUE!</v>
      </c>
    </row>
    <row r="136" spans="1:47" ht="23.25" customHeight="1" outlineLevel="1">
      <c r="A136" s="110" t="s">
        <v>487</v>
      </c>
      <c r="B136" s="110" t="s">
        <v>488</v>
      </c>
      <c r="C136" s="111"/>
      <c r="D136" s="110" t="s">
        <v>489</v>
      </c>
      <c r="E136" s="112"/>
      <c r="F136" s="110" t="s">
        <v>490</v>
      </c>
      <c r="G136" s="113"/>
      <c r="H136" s="113" t="s">
        <v>104</v>
      </c>
      <c r="I136" s="113" t="s">
        <v>127</v>
      </c>
      <c r="J136" s="113" t="s">
        <v>49</v>
      </c>
      <c r="K136" s="113" t="s">
        <v>49</v>
      </c>
      <c r="L136" s="113" t="s">
        <v>54</v>
      </c>
      <c r="M136" s="112"/>
      <c r="N136" s="112"/>
      <c r="O136" s="79" t="str">
        <f t="shared" si="5"/>
        <v>Camt.110</v>
      </c>
    </row>
    <row r="137" spans="1:47" s="114" customFormat="1" ht="23.25" customHeight="1" outlineLevel="1">
      <c r="A137" s="110" t="s">
        <v>491</v>
      </c>
      <c r="B137" s="110" t="s">
        <v>492</v>
      </c>
      <c r="C137" s="111"/>
      <c r="D137" s="110" t="s">
        <v>493</v>
      </c>
      <c r="E137" s="112"/>
      <c r="F137" s="110" t="s">
        <v>490</v>
      </c>
      <c r="G137" s="113"/>
      <c r="H137" s="113" t="s">
        <v>104</v>
      </c>
      <c r="I137" s="113" t="s">
        <v>127</v>
      </c>
      <c r="J137" s="113" t="s">
        <v>49</v>
      </c>
      <c r="K137" s="113" t="s">
        <v>49</v>
      </c>
      <c r="L137" s="113" t="s">
        <v>54</v>
      </c>
      <c r="M137" s="112"/>
      <c r="N137" s="112"/>
      <c r="O137" s="79" t="str">
        <f t="shared" si="5"/>
        <v>Camt.110</v>
      </c>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row>
    <row r="138" spans="1:47" ht="23.25" customHeight="1">
      <c r="A138" s="110" t="s">
        <v>494</v>
      </c>
      <c r="B138" s="110" t="s">
        <v>495</v>
      </c>
      <c r="C138" s="111"/>
      <c r="D138" s="110" t="s">
        <v>496</v>
      </c>
      <c r="E138" s="112"/>
      <c r="F138" s="110" t="s">
        <v>497</v>
      </c>
      <c r="G138" s="113"/>
      <c r="H138" s="113" t="s">
        <v>104</v>
      </c>
      <c r="I138" s="113" t="s">
        <v>127</v>
      </c>
      <c r="J138" s="113" t="s">
        <v>49</v>
      </c>
      <c r="K138" s="113" t="s">
        <v>49</v>
      </c>
      <c r="L138" s="113" t="s">
        <v>54</v>
      </c>
      <c r="M138" s="112"/>
      <c r="N138" s="112"/>
      <c r="O138" s="79" t="str">
        <f t="shared" si="5"/>
        <v>Camt.110</v>
      </c>
    </row>
    <row r="139" spans="1:47" ht="23.25" customHeight="1">
      <c r="A139" s="110" t="s">
        <v>498</v>
      </c>
      <c r="B139" s="110" t="s">
        <v>499</v>
      </c>
      <c r="C139" s="111"/>
      <c r="D139" s="110" t="s">
        <v>500</v>
      </c>
      <c r="E139" s="112"/>
      <c r="F139" s="110" t="s">
        <v>490</v>
      </c>
      <c r="G139" s="113"/>
      <c r="H139" s="113" t="s">
        <v>104</v>
      </c>
      <c r="I139" s="113" t="s">
        <v>127</v>
      </c>
      <c r="J139" s="113" t="s">
        <v>49</v>
      </c>
      <c r="K139" s="113" t="s">
        <v>49</v>
      </c>
      <c r="L139" s="113" t="s">
        <v>54</v>
      </c>
      <c r="M139" s="112"/>
      <c r="N139" s="112"/>
      <c r="O139" s="79" t="str">
        <f t="shared" si="5"/>
        <v>Camt.110</v>
      </c>
    </row>
    <row r="140" spans="1:47" ht="23.25" customHeight="1">
      <c r="A140" s="106"/>
      <c r="B140" s="107" t="s">
        <v>501</v>
      </c>
      <c r="C140" s="108"/>
      <c r="D140" s="108"/>
      <c r="E140" s="108"/>
      <c r="F140" s="108"/>
      <c r="G140" s="108"/>
      <c r="H140" s="109"/>
      <c r="I140" s="109"/>
      <c r="J140" s="109"/>
      <c r="K140" s="109"/>
      <c r="L140" s="109"/>
      <c r="M140" s="108"/>
      <c r="N140" s="108"/>
      <c r="O140" s="79" t="e">
        <f t="shared" si="5"/>
        <v>#VALUE!</v>
      </c>
    </row>
    <row r="141" spans="1:47" ht="23.25" customHeight="1" outlineLevel="1">
      <c r="A141" s="110" t="s">
        <v>502</v>
      </c>
      <c r="B141" s="110" t="s">
        <v>503</v>
      </c>
      <c r="C141" s="111"/>
      <c r="D141" s="110" t="s">
        <v>504</v>
      </c>
      <c r="E141" s="112"/>
      <c r="F141" s="110" t="s">
        <v>505</v>
      </c>
      <c r="G141" s="113"/>
      <c r="H141" s="113" t="s">
        <v>104</v>
      </c>
      <c r="I141" s="113" t="s">
        <v>127</v>
      </c>
      <c r="J141" s="113" t="s">
        <v>49</v>
      </c>
      <c r="K141" s="113" t="s">
        <v>49</v>
      </c>
      <c r="L141" s="113" t="s">
        <v>54</v>
      </c>
      <c r="M141" s="112"/>
      <c r="N141" s="112"/>
      <c r="O141" s="79" t="str">
        <f t="shared" si="5"/>
        <v>Camt.111</v>
      </c>
    </row>
    <row r="142" spans="1:47" s="114" customFormat="1" ht="23.25" customHeight="1" outlineLevel="1">
      <c r="A142" s="110" t="s">
        <v>506</v>
      </c>
      <c r="B142" s="110" t="s">
        <v>507</v>
      </c>
      <c r="C142" s="111"/>
      <c r="D142" s="110" t="s">
        <v>508</v>
      </c>
      <c r="E142" s="112"/>
      <c r="F142" s="110" t="s">
        <v>505</v>
      </c>
      <c r="G142" s="113"/>
      <c r="H142" s="113" t="s">
        <v>104</v>
      </c>
      <c r="I142" s="113" t="s">
        <v>127</v>
      </c>
      <c r="J142" s="113" t="s">
        <v>49</v>
      </c>
      <c r="K142" s="113" t="s">
        <v>49</v>
      </c>
      <c r="L142" s="113" t="s">
        <v>54</v>
      </c>
      <c r="M142" s="112"/>
      <c r="N142" s="112"/>
      <c r="O142" s="79" t="str">
        <f t="shared" si="5"/>
        <v>Camt.111</v>
      </c>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row>
    <row r="143" spans="1:47" ht="23.25" customHeight="1">
      <c r="A143" s="110" t="s">
        <v>509</v>
      </c>
      <c r="B143" s="110" t="s">
        <v>510</v>
      </c>
      <c r="C143" s="111"/>
      <c r="D143" s="110" t="s">
        <v>511</v>
      </c>
      <c r="E143" s="112"/>
      <c r="F143" s="110" t="s">
        <v>512</v>
      </c>
      <c r="G143" s="113"/>
      <c r="H143" s="113" t="s">
        <v>104</v>
      </c>
      <c r="I143" s="113" t="s">
        <v>127</v>
      </c>
      <c r="J143" s="113" t="s">
        <v>49</v>
      </c>
      <c r="K143" s="113" t="s">
        <v>49</v>
      </c>
      <c r="L143" s="113" t="s">
        <v>54</v>
      </c>
      <c r="M143" s="112"/>
      <c r="N143" s="112"/>
      <c r="O143" s="79" t="str">
        <f t="shared" si="5"/>
        <v>Camt.111</v>
      </c>
    </row>
    <row r="144" spans="1:47" ht="23.25" customHeight="1">
      <c r="A144" s="110" t="s">
        <v>513</v>
      </c>
      <c r="B144" s="110" t="s">
        <v>514</v>
      </c>
      <c r="C144" s="111"/>
      <c r="D144" s="110" t="s">
        <v>515</v>
      </c>
      <c r="E144" s="112"/>
      <c r="F144" s="110" t="s">
        <v>505</v>
      </c>
      <c r="G144" s="113"/>
      <c r="H144" s="113" t="s">
        <v>104</v>
      </c>
      <c r="I144" s="113" t="s">
        <v>127</v>
      </c>
      <c r="J144" s="113" t="s">
        <v>49</v>
      </c>
      <c r="K144" s="113" t="s">
        <v>49</v>
      </c>
      <c r="L144" s="113" t="s">
        <v>54</v>
      </c>
      <c r="M144" s="112"/>
      <c r="N144" s="112"/>
      <c r="O144" s="79" t="str">
        <f t="shared" si="5"/>
        <v>Camt.111</v>
      </c>
    </row>
    <row r="145" spans="1:15" ht="23.25" customHeight="1">
      <c r="A145" s="106"/>
      <c r="B145" s="107" t="s">
        <v>516</v>
      </c>
      <c r="C145" s="108"/>
      <c r="D145" s="108"/>
      <c r="E145" s="108"/>
      <c r="F145" s="108"/>
      <c r="G145" s="108"/>
      <c r="H145" s="109"/>
      <c r="I145" s="109"/>
      <c r="J145" s="109"/>
      <c r="K145" s="109"/>
      <c r="L145" s="109"/>
      <c r="M145" s="108"/>
      <c r="N145" s="108"/>
      <c r="O145" s="79" t="s">
        <v>517</v>
      </c>
    </row>
    <row r="146" spans="1:15" ht="23.25" customHeight="1" outlineLevel="1">
      <c r="A146" s="110" t="s">
        <v>518</v>
      </c>
      <c r="B146" s="110" t="s">
        <v>519</v>
      </c>
      <c r="C146" s="111"/>
      <c r="D146" s="110" t="s">
        <v>520</v>
      </c>
      <c r="E146" s="112"/>
      <c r="F146" s="110" t="s">
        <v>521</v>
      </c>
      <c r="G146" s="113"/>
      <c r="H146" s="113" t="s">
        <v>104</v>
      </c>
      <c r="I146" s="113" t="s">
        <v>127</v>
      </c>
      <c r="J146" s="113" t="s">
        <v>54</v>
      </c>
      <c r="K146" s="113" t="s">
        <v>54</v>
      </c>
      <c r="L146" s="113" t="s">
        <v>54</v>
      </c>
      <c r="M146" s="112"/>
      <c r="N146" s="112"/>
      <c r="O146" s="79" t="s">
        <v>517</v>
      </c>
    </row>
    <row r="147" spans="1:15" s="114" customFormat="1" ht="23.25" customHeight="1" outlineLevel="1">
      <c r="A147" s="110" t="s">
        <v>522</v>
      </c>
      <c r="B147" s="110" t="s">
        <v>523</v>
      </c>
      <c r="C147" s="111"/>
      <c r="D147" s="110" t="s">
        <v>524</v>
      </c>
      <c r="E147" s="112"/>
      <c r="F147" s="110" t="s">
        <v>525</v>
      </c>
      <c r="G147" s="113"/>
      <c r="H147" s="113" t="s">
        <v>104</v>
      </c>
      <c r="I147" s="113" t="s">
        <v>127</v>
      </c>
      <c r="J147" s="113" t="s">
        <v>54</v>
      </c>
      <c r="K147" s="113" t="s">
        <v>54</v>
      </c>
      <c r="L147" s="113" t="s">
        <v>54</v>
      </c>
      <c r="M147" s="112"/>
      <c r="N147" s="112"/>
      <c r="O147" s="79" t="s">
        <v>517</v>
      </c>
    </row>
    <row r="148" spans="1:15" ht="23.25" customHeight="1">
      <c r="A148" s="110" t="s">
        <v>526</v>
      </c>
      <c r="B148" s="110" t="s">
        <v>527</v>
      </c>
      <c r="C148" s="111"/>
      <c r="D148" s="110" t="s">
        <v>528</v>
      </c>
      <c r="E148" s="112"/>
      <c r="F148" s="110" t="s">
        <v>529</v>
      </c>
      <c r="G148" s="113"/>
      <c r="H148" s="113" t="s">
        <v>104</v>
      </c>
      <c r="I148" s="113" t="s">
        <v>127</v>
      </c>
      <c r="J148" s="113" t="s">
        <v>54</v>
      </c>
      <c r="K148" s="113" t="s">
        <v>54</v>
      </c>
      <c r="L148" s="113" t="s">
        <v>54</v>
      </c>
      <c r="M148" s="112"/>
      <c r="N148" s="112"/>
      <c r="O148" s="79" t="s">
        <v>517</v>
      </c>
    </row>
    <row r="149" spans="1:15" ht="23.25" customHeight="1">
      <c r="A149" s="106"/>
      <c r="B149" s="107" t="s">
        <v>530</v>
      </c>
      <c r="C149" s="108"/>
      <c r="D149" s="108"/>
      <c r="E149" s="108"/>
      <c r="F149" s="108"/>
      <c r="G149" s="108"/>
      <c r="H149" s="109"/>
      <c r="I149" s="109"/>
      <c r="J149" s="109"/>
      <c r="K149" s="109"/>
      <c r="L149" s="109"/>
      <c r="M149" s="108"/>
      <c r="N149" s="108"/>
      <c r="O149" s="79" t="s">
        <v>517</v>
      </c>
    </row>
    <row r="150" spans="1:15" ht="23.25" customHeight="1" outlineLevel="1">
      <c r="A150" s="110" t="s">
        <v>531</v>
      </c>
      <c r="B150" s="110" t="s">
        <v>532</v>
      </c>
      <c r="C150" s="111"/>
      <c r="D150" s="110" t="s">
        <v>533</v>
      </c>
      <c r="E150" s="112"/>
      <c r="F150" s="110" t="s">
        <v>521</v>
      </c>
      <c r="G150" s="113"/>
      <c r="H150" s="113" t="s">
        <v>104</v>
      </c>
      <c r="I150" s="113" t="s">
        <v>127</v>
      </c>
      <c r="J150" s="113" t="s">
        <v>54</v>
      </c>
      <c r="K150" s="113" t="s">
        <v>54</v>
      </c>
      <c r="L150" s="113" t="s">
        <v>54</v>
      </c>
      <c r="M150" s="112"/>
      <c r="N150" s="112"/>
      <c r="O150" s="79" t="s">
        <v>517</v>
      </c>
    </row>
    <row r="151" spans="1:15" s="114" customFormat="1" ht="23.25" customHeight="1" outlineLevel="1">
      <c r="A151" s="110" t="s">
        <v>534</v>
      </c>
      <c r="B151" s="110" t="s">
        <v>535</v>
      </c>
      <c r="C151" s="111"/>
      <c r="D151" s="110" t="s">
        <v>536</v>
      </c>
      <c r="E151" s="112"/>
      <c r="F151" s="110" t="s">
        <v>525</v>
      </c>
      <c r="G151" s="113"/>
      <c r="H151" s="113" t="s">
        <v>104</v>
      </c>
      <c r="I151" s="113" t="s">
        <v>127</v>
      </c>
      <c r="J151" s="113" t="s">
        <v>54</v>
      </c>
      <c r="K151" s="113" t="s">
        <v>54</v>
      </c>
      <c r="L151" s="113" t="s">
        <v>54</v>
      </c>
      <c r="M151" s="112"/>
      <c r="N151" s="112"/>
      <c r="O151" s="79" t="s">
        <v>517</v>
      </c>
    </row>
    <row r="152" spans="1:15" ht="23.25" customHeight="1">
      <c r="A152" s="110" t="s">
        <v>537</v>
      </c>
      <c r="B152" s="110" t="s">
        <v>538</v>
      </c>
      <c r="C152" s="111"/>
      <c r="D152" s="110" t="s">
        <v>539</v>
      </c>
      <c r="E152" s="112"/>
      <c r="F152" s="110" t="s">
        <v>529</v>
      </c>
      <c r="G152" s="113"/>
      <c r="H152" s="113" t="s">
        <v>104</v>
      </c>
      <c r="I152" s="113" t="s">
        <v>127</v>
      </c>
      <c r="J152" s="113" t="s">
        <v>54</v>
      </c>
      <c r="K152" s="113" t="s">
        <v>54</v>
      </c>
      <c r="L152" s="113" t="s">
        <v>54</v>
      </c>
      <c r="M152" s="112"/>
      <c r="N152" s="112"/>
      <c r="O152" s="79" t="s">
        <v>517</v>
      </c>
    </row>
    <row r="153" spans="1:15" ht="23.25" customHeight="1">
      <c r="A153" s="106"/>
      <c r="B153" s="107" t="s">
        <v>540</v>
      </c>
      <c r="C153" s="108"/>
      <c r="D153" s="108"/>
      <c r="E153" s="108"/>
      <c r="F153" s="108"/>
      <c r="G153" s="108"/>
      <c r="H153" s="109"/>
      <c r="I153" s="109"/>
      <c r="J153" s="109"/>
      <c r="K153" s="109"/>
      <c r="L153" s="109"/>
      <c r="M153" s="108"/>
      <c r="N153" s="108"/>
      <c r="O153" s="79" t="s">
        <v>517</v>
      </c>
    </row>
    <row r="154" spans="1:15" ht="23.25" customHeight="1" outlineLevel="1">
      <c r="A154" s="110" t="s">
        <v>541</v>
      </c>
      <c r="B154" s="110" t="s">
        <v>542</v>
      </c>
      <c r="C154" s="111"/>
      <c r="D154" s="110" t="s">
        <v>543</v>
      </c>
      <c r="E154" s="112"/>
      <c r="F154" s="110" t="s">
        <v>544</v>
      </c>
      <c r="G154" s="113"/>
      <c r="H154" s="113" t="s">
        <v>104</v>
      </c>
      <c r="I154" s="113" t="s">
        <v>127</v>
      </c>
      <c r="J154" s="113" t="s">
        <v>54</v>
      </c>
      <c r="K154" s="113" t="s">
        <v>54</v>
      </c>
      <c r="L154" s="113" t="s">
        <v>54</v>
      </c>
      <c r="M154" s="112"/>
      <c r="N154" s="112"/>
      <c r="O154" s="79" t="s">
        <v>517</v>
      </c>
    </row>
    <row r="155" spans="1:15" s="114" customFormat="1" ht="23.25" customHeight="1" outlineLevel="1">
      <c r="A155" s="110" t="s">
        <v>545</v>
      </c>
      <c r="B155" s="110" t="s">
        <v>546</v>
      </c>
      <c r="C155" s="111"/>
      <c r="D155" s="110" t="s">
        <v>547</v>
      </c>
      <c r="E155" s="112"/>
      <c r="F155" s="110" t="s">
        <v>548</v>
      </c>
      <c r="G155" s="113"/>
      <c r="H155" s="113" t="s">
        <v>104</v>
      </c>
      <c r="I155" s="113" t="s">
        <v>127</v>
      </c>
      <c r="J155" s="113" t="s">
        <v>54</v>
      </c>
      <c r="K155" s="113" t="s">
        <v>54</v>
      </c>
      <c r="L155" s="113" t="s">
        <v>54</v>
      </c>
      <c r="M155" s="112"/>
      <c r="N155" s="112"/>
      <c r="O155" s="79" t="s">
        <v>517</v>
      </c>
    </row>
    <row r="156" spans="1:15" ht="23.25" customHeight="1">
      <c r="A156" s="110" t="s">
        <v>549</v>
      </c>
      <c r="B156" s="110" t="s">
        <v>550</v>
      </c>
      <c r="C156" s="111"/>
      <c r="D156" s="110" t="s">
        <v>551</v>
      </c>
      <c r="E156" s="112"/>
      <c r="F156" s="110" t="s">
        <v>552</v>
      </c>
      <c r="G156" s="113"/>
      <c r="H156" s="113" t="s">
        <v>104</v>
      </c>
      <c r="I156" s="113" t="s">
        <v>127</v>
      </c>
      <c r="J156" s="113" t="s">
        <v>54</v>
      </c>
      <c r="K156" s="113" t="s">
        <v>54</v>
      </c>
      <c r="L156" s="113" t="s">
        <v>54</v>
      </c>
      <c r="M156" s="112"/>
      <c r="N156" s="112"/>
      <c r="O156" s="79" t="s">
        <v>517</v>
      </c>
    </row>
    <row r="157" spans="1:15" ht="23.25" customHeight="1">
      <c r="A157" s="110" t="s">
        <v>553</v>
      </c>
      <c r="B157" s="110" t="s">
        <v>554</v>
      </c>
      <c r="C157" s="111"/>
      <c r="D157" s="110" t="s">
        <v>555</v>
      </c>
      <c r="E157" s="112"/>
      <c r="F157" s="110" t="s">
        <v>556</v>
      </c>
      <c r="G157" s="113"/>
      <c r="H157" s="113" t="s">
        <v>104</v>
      </c>
      <c r="I157" s="113" t="s">
        <v>127</v>
      </c>
      <c r="J157" s="113" t="s">
        <v>54</v>
      </c>
      <c r="K157" s="113" t="s">
        <v>54</v>
      </c>
      <c r="L157" s="113" t="s">
        <v>54</v>
      </c>
      <c r="M157" s="112"/>
      <c r="N157" s="112"/>
      <c r="O157" s="79" t="s">
        <v>517</v>
      </c>
    </row>
    <row r="158" spans="1:15" ht="23.25" customHeight="1">
      <c r="A158" s="110" t="s">
        <v>557</v>
      </c>
      <c r="B158" s="110" t="s">
        <v>558</v>
      </c>
      <c r="C158" s="111"/>
      <c r="D158" s="110" t="s">
        <v>559</v>
      </c>
      <c r="E158" s="112"/>
      <c r="F158" s="110" t="s">
        <v>560</v>
      </c>
      <c r="G158" s="113"/>
      <c r="H158" s="113" t="s">
        <v>104</v>
      </c>
      <c r="I158" s="113" t="s">
        <v>127</v>
      </c>
      <c r="J158" s="113" t="s">
        <v>54</v>
      </c>
      <c r="K158" s="113" t="s">
        <v>54</v>
      </c>
      <c r="L158" s="113" t="s">
        <v>54</v>
      </c>
      <c r="M158" s="112"/>
      <c r="N158" s="112"/>
      <c r="O158" s="79" t="s">
        <v>517</v>
      </c>
    </row>
    <row r="159" spans="1:15" ht="23.25" customHeight="1">
      <c r="A159" s="106"/>
      <c r="B159" s="107" t="s">
        <v>561</v>
      </c>
      <c r="C159" s="108"/>
      <c r="D159" s="108"/>
      <c r="E159" s="108"/>
      <c r="F159" s="108"/>
      <c r="G159" s="108"/>
      <c r="H159" s="109"/>
      <c r="I159" s="109"/>
      <c r="J159" s="109"/>
      <c r="K159" s="109"/>
      <c r="L159" s="109"/>
      <c r="M159" s="108"/>
      <c r="N159" s="108"/>
      <c r="O159" s="79" t="s">
        <v>517</v>
      </c>
    </row>
    <row r="160" spans="1:15" ht="23.25" customHeight="1">
      <c r="A160" s="115" t="s">
        <v>562</v>
      </c>
      <c r="B160" s="115" t="s">
        <v>563</v>
      </c>
      <c r="C160" s="116"/>
      <c r="D160" s="115" t="s">
        <v>564</v>
      </c>
      <c r="E160" s="117"/>
      <c r="F160" s="115" t="s">
        <v>565</v>
      </c>
      <c r="G160" s="117"/>
      <c r="H160" s="113" t="s">
        <v>104</v>
      </c>
      <c r="I160" s="113" t="s">
        <v>127</v>
      </c>
      <c r="J160" s="113" t="s">
        <v>54</v>
      </c>
      <c r="K160" s="113" t="s">
        <v>54</v>
      </c>
      <c r="L160" s="113" t="s">
        <v>54</v>
      </c>
      <c r="M160" s="117"/>
      <c r="N160" s="117"/>
      <c r="O160" s="79" t="s">
        <v>517</v>
      </c>
    </row>
    <row r="161" spans="1:15" s="114" customFormat="1" ht="23.25" customHeight="1">
      <c r="A161" s="115" t="s">
        <v>566</v>
      </c>
      <c r="B161" s="115" t="s">
        <v>567</v>
      </c>
      <c r="C161" s="116"/>
      <c r="D161" s="115" t="s">
        <v>568</v>
      </c>
      <c r="E161" s="117"/>
      <c r="F161" s="115" t="s">
        <v>569</v>
      </c>
      <c r="G161" s="117"/>
      <c r="H161" s="113" t="s">
        <v>104</v>
      </c>
      <c r="I161" s="113" t="s">
        <v>127</v>
      </c>
      <c r="J161" s="113" t="s">
        <v>54</v>
      </c>
      <c r="K161" s="113" t="s">
        <v>54</v>
      </c>
      <c r="L161" s="113" t="s">
        <v>54</v>
      </c>
      <c r="M161" s="117"/>
      <c r="N161" s="117"/>
      <c r="O161" s="79" t="s">
        <v>517</v>
      </c>
    </row>
    <row r="162" spans="1:15" ht="23.25" customHeight="1">
      <c r="A162" s="115" t="s">
        <v>570</v>
      </c>
      <c r="B162" s="115" t="s">
        <v>571</v>
      </c>
      <c r="C162" s="116"/>
      <c r="D162" s="115" t="s">
        <v>572</v>
      </c>
      <c r="E162" s="117"/>
      <c r="F162" s="115" t="s">
        <v>573</v>
      </c>
      <c r="G162" s="117"/>
      <c r="H162" s="113" t="s">
        <v>104</v>
      </c>
      <c r="I162" s="113" t="s">
        <v>127</v>
      </c>
      <c r="J162" s="113" t="s">
        <v>54</v>
      </c>
      <c r="K162" s="113" t="s">
        <v>54</v>
      </c>
      <c r="L162" s="113" t="s">
        <v>54</v>
      </c>
      <c r="M162" s="117"/>
      <c r="N162" s="117"/>
      <c r="O162" s="79" t="s">
        <v>517</v>
      </c>
    </row>
    <row r="163" spans="1:15" ht="23.25" customHeight="1">
      <c r="A163" s="115" t="s">
        <v>574</v>
      </c>
      <c r="B163" s="115" t="s">
        <v>575</v>
      </c>
      <c r="C163" s="116"/>
      <c r="D163" s="115" t="s">
        <v>576</v>
      </c>
      <c r="E163" s="117"/>
      <c r="F163" s="115" t="s">
        <v>577</v>
      </c>
      <c r="G163" s="117"/>
      <c r="H163" s="113" t="s">
        <v>104</v>
      </c>
      <c r="I163" s="113" t="s">
        <v>127</v>
      </c>
      <c r="J163" s="113" t="s">
        <v>54</v>
      </c>
      <c r="K163" s="113" t="s">
        <v>54</v>
      </c>
      <c r="L163" s="113" t="s">
        <v>54</v>
      </c>
      <c r="M163" s="117"/>
      <c r="N163" s="117"/>
      <c r="O163" s="79" t="s">
        <v>517</v>
      </c>
    </row>
    <row r="164" spans="1:15" ht="23.25" customHeight="1">
      <c r="H164" s="79"/>
      <c r="I164" s="79"/>
      <c r="J164" s="79"/>
      <c r="K164" s="79"/>
      <c r="L164" s="79"/>
    </row>
    <row r="165" spans="1:15" ht="23.25" customHeight="1">
      <c r="H165" s="79"/>
      <c r="I165" s="79"/>
      <c r="J165" s="79"/>
      <c r="K165" s="79"/>
      <c r="L165" s="79"/>
    </row>
    <row r="166" spans="1:15" ht="23.25" customHeight="1">
      <c r="H166" s="79"/>
      <c r="I166" s="79"/>
      <c r="J166" s="79"/>
      <c r="K166" s="79"/>
      <c r="L166" s="79"/>
    </row>
    <row r="167" spans="1:15" ht="23.25" customHeight="1">
      <c r="H167" s="79"/>
      <c r="I167" s="79"/>
      <c r="J167" s="79"/>
      <c r="K167" s="79"/>
      <c r="L167" s="79"/>
    </row>
  </sheetData>
  <autoFilter ref="A15:N15" xr:uid="{00000000-0009-0000-0000-000003000000}"/>
  <dataValidations count="1">
    <dataValidation type="list" allowBlank="1" showInputMessage="1" showErrorMessage="1" sqref="J17:L20 J22:L25 J27:L30 J32:L35 J37:J40 J42:J45 J47:J50 J51:L89 J91:L94 J96:L110 J111:J114 J115:L115 J116:J119 J120:L163 L37:L40 L42:L45 L47:L50 L111:L114 L116:L119" xr:uid="{00000000-0002-0000-0300-000000000000}">
      <formula1>"Passed,Failed,Untested,Accepted,Pending,Canceled"</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90"/>
  <sheetViews>
    <sheetView topLeftCell="A75" zoomScale="58" zoomScaleNormal="100" workbookViewId="0">
      <selection activeCell="A185" sqref="A185:O190"/>
    </sheetView>
  </sheetViews>
  <sheetFormatPr defaultColWidth="13" defaultRowHeight="15"/>
  <cols>
    <col min="1" max="1" width="13" style="79" customWidth="1"/>
    <col min="2" max="2" width="34" style="79" customWidth="1"/>
    <col min="3" max="3" width="13" style="79" customWidth="1"/>
    <col min="4" max="4" width="104.28515625" style="79" customWidth="1"/>
    <col min="5" max="5" width="13.140625" style="79" customWidth="1"/>
    <col min="6" max="6" width="121" style="79" customWidth="1"/>
    <col min="7" max="7" width="13" style="79" customWidth="1"/>
    <col min="8" max="12" width="13" style="80" customWidth="1"/>
    <col min="13" max="13" width="13" style="79" customWidth="1"/>
    <col min="14" max="16384" width="13" style="79"/>
  </cols>
  <sheetData>
    <row r="1" spans="1:15" s="87" customFormat="1" ht="27" customHeight="1">
      <c r="A1" s="81" t="s">
        <v>99</v>
      </c>
      <c r="B1" s="81" t="s">
        <v>100</v>
      </c>
      <c r="C1" s="81"/>
      <c r="D1" s="81"/>
      <c r="E1" s="82"/>
      <c r="F1" s="83"/>
      <c r="G1" s="84"/>
      <c r="H1" s="85"/>
      <c r="I1" s="85"/>
      <c r="J1" s="85"/>
      <c r="K1" s="85"/>
      <c r="L1" s="85"/>
      <c r="M1" s="85"/>
      <c r="N1" s="86"/>
    </row>
    <row r="2" spans="1:15" s="87" customFormat="1" ht="27" customHeight="1">
      <c r="A2" s="81" t="s">
        <v>101</v>
      </c>
      <c r="B2" s="81" t="s">
        <v>102</v>
      </c>
      <c r="C2" s="81"/>
      <c r="D2" s="81"/>
      <c r="E2" s="82"/>
      <c r="F2" s="83"/>
      <c r="G2" s="84"/>
      <c r="H2" s="85"/>
      <c r="I2" s="85"/>
      <c r="J2" s="85"/>
      <c r="K2" s="85"/>
      <c r="L2" s="85"/>
      <c r="M2" s="85"/>
      <c r="N2" s="86"/>
    </row>
    <row r="3" spans="1:15" s="93" customFormat="1" ht="27" customHeight="1">
      <c r="A3" s="119"/>
      <c r="B3" s="120"/>
      <c r="C3" s="120"/>
      <c r="D3" s="120"/>
      <c r="E3" s="82"/>
      <c r="F3" s="83"/>
      <c r="G3" s="84"/>
      <c r="H3" s="85"/>
      <c r="I3" s="91"/>
      <c r="J3" s="91"/>
      <c r="K3" s="91"/>
      <c r="L3" s="91"/>
      <c r="M3" s="91"/>
      <c r="N3" s="92"/>
    </row>
    <row r="4" spans="1:15" s="96" customFormat="1" ht="27" customHeight="1">
      <c r="A4" s="94"/>
      <c r="B4" s="95" t="s">
        <v>103</v>
      </c>
      <c r="C4" s="95" t="s">
        <v>104</v>
      </c>
      <c r="D4" s="95" t="s">
        <v>105</v>
      </c>
      <c r="E4" s="95" t="s">
        <v>55</v>
      </c>
      <c r="G4" s="97"/>
      <c r="H4" s="98"/>
      <c r="I4" s="98"/>
      <c r="J4" s="98"/>
      <c r="K4" s="98"/>
      <c r="L4" s="98"/>
    </row>
    <row r="5" spans="1:15" s="96" customFormat="1" ht="27" customHeight="1">
      <c r="A5" s="99"/>
      <c r="B5" s="100"/>
      <c r="C5" s="100">
        <f>SUM(C6:C11)</f>
        <v>134</v>
      </c>
      <c r="D5" s="100">
        <f>SUM(D6:D11)</f>
        <v>0</v>
      </c>
      <c r="E5" s="100">
        <f t="shared" ref="E5:E11" si="0">SUM(B5:D5)</f>
        <v>134</v>
      </c>
      <c r="G5" s="97"/>
      <c r="H5" s="98"/>
      <c r="I5" s="98"/>
      <c r="J5" s="98"/>
      <c r="K5" s="98"/>
      <c r="L5" s="98"/>
    </row>
    <row r="6" spans="1:15" s="92" customFormat="1" ht="27" customHeight="1">
      <c r="A6" s="82" t="s">
        <v>49</v>
      </c>
      <c r="B6" s="102">
        <f>COUNTIFS($K:$K, $A$6,$H:$H,B$4)</f>
        <v>0</v>
      </c>
      <c r="C6" s="102">
        <f>COUNTIFS($K:$K, $A$6,$H:$H,C$4)</f>
        <v>86</v>
      </c>
      <c r="D6" s="102">
        <f>COUNTIFS($K:$K, $A$6,$H:$H,D$4)</f>
        <v>0</v>
      </c>
      <c r="E6" s="102">
        <f t="shared" si="0"/>
        <v>86</v>
      </c>
      <c r="G6" s="103"/>
      <c r="H6" s="91"/>
      <c r="I6" s="91"/>
      <c r="J6" s="91"/>
      <c r="K6" s="91"/>
      <c r="L6" s="91"/>
    </row>
    <row r="7" spans="1:15" s="92" customFormat="1" ht="27" customHeight="1">
      <c r="A7" s="82" t="s">
        <v>50</v>
      </c>
      <c r="B7" s="102">
        <f>COUNTIFS($K:$K, $A$7,$H:$H,B$4)</f>
        <v>0</v>
      </c>
      <c r="C7" s="102">
        <f>COUNTIFS($K:$K, $A$7,$H:$H,C$4)</f>
        <v>0</v>
      </c>
      <c r="D7" s="102">
        <f>COUNTIFS($K:$K, $A$7,$H:$H,D$4)</f>
        <v>0</v>
      </c>
      <c r="E7" s="102">
        <f t="shared" si="0"/>
        <v>0</v>
      </c>
      <c r="G7" s="103"/>
      <c r="H7" s="91"/>
      <c r="I7" s="91"/>
      <c r="J7" s="91"/>
      <c r="K7" s="91"/>
      <c r="L7" s="91"/>
    </row>
    <row r="8" spans="1:15" s="92" customFormat="1" ht="27" customHeight="1">
      <c r="A8" s="82" t="s">
        <v>51</v>
      </c>
      <c r="B8" s="102">
        <f>COUNTIFS($K:$K, $A$8,H:H,B$4)</f>
        <v>0</v>
      </c>
      <c r="C8" s="102">
        <f>COUNTIFS($K:$K, $A$8,I:I,C$4)</f>
        <v>0</v>
      </c>
      <c r="D8" s="102">
        <f>COUNTIFS($K:$K, $A$8,J:J,D$4)</f>
        <v>0</v>
      </c>
      <c r="E8" s="102">
        <f t="shared" si="0"/>
        <v>0</v>
      </c>
      <c r="G8" s="103"/>
      <c r="H8" s="91"/>
      <c r="I8" s="91"/>
      <c r="J8" s="91"/>
      <c r="K8" s="91"/>
      <c r="L8" s="91"/>
    </row>
    <row r="9" spans="1:15" s="92" customFormat="1" ht="27" customHeight="1">
      <c r="A9" s="82" t="s">
        <v>54</v>
      </c>
      <c r="B9" s="102">
        <f>COUNTIFS($K:$K, $A$9,$H:$H,B$4)</f>
        <v>6</v>
      </c>
      <c r="C9" s="102">
        <f>COUNTIFS($K:$K, $A$9,$H:$H,C$4)</f>
        <v>48</v>
      </c>
      <c r="D9" s="102">
        <f>COUNTIFS($K:$K, $A$9,$H:$H,D$4)</f>
        <v>0</v>
      </c>
      <c r="E9" s="102">
        <f t="shared" si="0"/>
        <v>54</v>
      </c>
      <c r="G9" s="103"/>
      <c r="H9" s="91"/>
      <c r="I9" s="91"/>
      <c r="J9" s="91"/>
      <c r="K9" s="91"/>
      <c r="L9" s="91"/>
    </row>
    <row r="10" spans="1:15" s="92" customFormat="1" ht="27" customHeight="1">
      <c r="A10" s="82" t="s">
        <v>106</v>
      </c>
      <c r="B10" s="102">
        <f>COUNTIFS($K:$K, $A$10,$H:$H,B$4)</f>
        <v>0</v>
      </c>
      <c r="C10" s="102">
        <f>COUNTIFS($K:$K, $A$10,$H:$H,C$4)</f>
        <v>0</v>
      </c>
      <c r="D10" s="102">
        <f>COUNTIFS($K:$K, $A$10,$H:$H,D$4)</f>
        <v>0</v>
      </c>
      <c r="E10" s="102">
        <f t="shared" si="0"/>
        <v>0</v>
      </c>
      <c r="G10" s="103"/>
      <c r="H10" s="91"/>
      <c r="I10" s="91"/>
      <c r="J10" s="91"/>
      <c r="K10" s="91"/>
      <c r="L10" s="91"/>
    </row>
    <row r="11" spans="1:15" s="92" customFormat="1" ht="27" customHeight="1">
      <c r="A11" s="82" t="s">
        <v>52</v>
      </c>
      <c r="B11" s="102">
        <f>COUNTIFS($K:$K,$A$11,$H:$H,B$4)</f>
        <v>0</v>
      </c>
      <c r="C11" s="102">
        <f>COUNTIFS($K:$K,$A$11,$H:$H,C$4)</f>
        <v>0</v>
      </c>
      <c r="D11" s="102">
        <f>COUNTIFS($K:$K,$A$11,$H:$H,D$4)</f>
        <v>0</v>
      </c>
      <c r="E11" s="102">
        <f t="shared" si="0"/>
        <v>0</v>
      </c>
      <c r="G11" s="103"/>
      <c r="H11" s="91"/>
      <c r="I11" s="91"/>
      <c r="J11" s="91"/>
      <c r="K11" s="91"/>
      <c r="L11" s="91"/>
    </row>
    <row r="12" spans="1:15" s="92" customFormat="1" ht="27" customHeight="1"/>
    <row r="14" spans="1:15" ht="27" customHeight="1">
      <c r="A14" s="104" t="s">
        <v>108</v>
      </c>
      <c r="B14" s="104" t="s">
        <v>109</v>
      </c>
      <c r="C14" s="104" t="s">
        <v>110</v>
      </c>
      <c r="D14" s="104" t="s">
        <v>111</v>
      </c>
      <c r="E14" s="104" t="s">
        <v>112</v>
      </c>
      <c r="F14" s="104" t="s">
        <v>113</v>
      </c>
      <c r="G14" s="104" t="s">
        <v>42</v>
      </c>
      <c r="H14" s="105" t="s">
        <v>114</v>
      </c>
      <c r="I14" s="105" t="s">
        <v>115</v>
      </c>
      <c r="J14" s="105" t="s">
        <v>116</v>
      </c>
      <c r="K14" s="105" t="s">
        <v>117</v>
      </c>
      <c r="L14" s="105" t="s">
        <v>578</v>
      </c>
      <c r="M14" s="104" t="s">
        <v>119</v>
      </c>
      <c r="N14" s="104" t="s">
        <v>120</v>
      </c>
      <c r="O14" s="79" t="s">
        <v>4</v>
      </c>
    </row>
    <row r="15" spans="1:15" ht="27" customHeight="1">
      <c r="A15" s="106"/>
      <c r="B15" s="231" t="s">
        <v>579</v>
      </c>
      <c r="C15" s="248"/>
      <c r="D15" s="108"/>
      <c r="E15" s="108"/>
      <c r="F15" s="108"/>
      <c r="G15" s="108"/>
      <c r="H15" s="109"/>
      <c r="I15" s="109"/>
      <c r="J15" s="109"/>
      <c r="K15" s="109"/>
      <c r="L15" s="109"/>
      <c r="M15" s="108"/>
      <c r="N15" s="108"/>
    </row>
    <row r="16" spans="1:15" ht="27" customHeight="1">
      <c r="A16" s="121" t="s">
        <v>580</v>
      </c>
      <c r="B16" s="121" t="s">
        <v>581</v>
      </c>
      <c r="C16" s="121"/>
      <c r="D16" s="122" t="s">
        <v>582</v>
      </c>
      <c r="E16" s="123"/>
      <c r="F16" s="199" t="s">
        <v>583</v>
      </c>
      <c r="G16" s="124"/>
      <c r="H16" s="124" t="s">
        <v>104</v>
      </c>
      <c r="I16" s="124" t="s">
        <v>127</v>
      </c>
      <c r="J16" s="124" t="s">
        <v>49</v>
      </c>
      <c r="K16" s="124" t="s">
        <v>49</v>
      </c>
      <c r="L16" s="124" t="s">
        <v>49</v>
      </c>
      <c r="M16" s="125"/>
      <c r="N16" s="125"/>
      <c r="O16" s="79" t="str">
        <f>LEFT(A16, FIND("_", A16) - 1)</f>
        <v>MT195</v>
      </c>
    </row>
    <row r="17" spans="1:15" ht="27" customHeight="1">
      <c r="A17" s="121" t="s">
        <v>584</v>
      </c>
      <c r="B17" s="121" t="s">
        <v>585</v>
      </c>
      <c r="C17" s="121"/>
      <c r="D17" s="122" t="s">
        <v>586</v>
      </c>
      <c r="E17" s="123"/>
      <c r="F17" s="122" t="s">
        <v>587</v>
      </c>
      <c r="G17" s="124"/>
      <c r="H17" s="124" t="s">
        <v>104</v>
      </c>
      <c r="I17" s="124" t="s">
        <v>127</v>
      </c>
      <c r="J17" s="124" t="s">
        <v>49</v>
      </c>
      <c r="K17" s="124" t="s">
        <v>49</v>
      </c>
      <c r="L17" s="124" t="s">
        <v>49</v>
      </c>
      <c r="M17" s="125"/>
      <c r="N17" s="125"/>
      <c r="O17" s="79" t="str">
        <f>LEFT(A17, FIND("_", A17) - 1)</f>
        <v>MT195</v>
      </c>
    </row>
    <row r="18" spans="1:15" ht="27" customHeight="1">
      <c r="A18" s="121" t="s">
        <v>588</v>
      </c>
      <c r="B18" s="121" t="s">
        <v>589</v>
      </c>
      <c r="C18" s="121"/>
      <c r="D18" s="122" t="s">
        <v>590</v>
      </c>
      <c r="E18" s="123"/>
      <c r="F18" s="122" t="s">
        <v>587</v>
      </c>
      <c r="G18" s="124"/>
      <c r="H18" s="124" t="s">
        <v>104</v>
      </c>
      <c r="I18" s="124" t="s">
        <v>127</v>
      </c>
      <c r="J18" s="124" t="s">
        <v>49</v>
      </c>
      <c r="K18" s="124" t="s">
        <v>49</v>
      </c>
      <c r="L18" s="124" t="s">
        <v>49</v>
      </c>
      <c r="M18" s="125"/>
      <c r="N18" s="125"/>
      <c r="O18" s="79" t="str">
        <f>LEFT(A18, FIND("_", A18) - 1)</f>
        <v>MT195</v>
      </c>
    </row>
    <row r="19" spans="1:15" ht="27" customHeight="1">
      <c r="A19" s="121" t="s">
        <v>591</v>
      </c>
      <c r="B19" s="121" t="s">
        <v>592</v>
      </c>
      <c r="C19" s="121"/>
      <c r="D19" s="122" t="s">
        <v>593</v>
      </c>
      <c r="E19" s="123"/>
      <c r="F19" s="122" t="s">
        <v>587</v>
      </c>
      <c r="G19" s="124"/>
      <c r="H19" s="124" t="s">
        <v>104</v>
      </c>
      <c r="I19" s="124" t="s">
        <v>127</v>
      </c>
      <c r="J19" s="124" t="s">
        <v>49</v>
      </c>
      <c r="K19" s="124" t="s">
        <v>49</v>
      </c>
      <c r="L19" s="124" t="s">
        <v>49</v>
      </c>
      <c r="M19" s="125"/>
      <c r="N19" s="125"/>
      <c r="O19" s="79" t="str">
        <f>LEFT(A19, FIND("_", A19) - 1)</f>
        <v>MT195</v>
      </c>
    </row>
    <row r="20" spans="1:15" ht="27" customHeight="1">
      <c r="A20" s="106"/>
      <c r="B20" s="231" t="s">
        <v>594</v>
      </c>
      <c r="C20" s="248"/>
      <c r="D20" s="108"/>
      <c r="E20" s="108"/>
      <c r="F20" s="108"/>
      <c r="G20" s="108"/>
      <c r="H20" s="109"/>
      <c r="I20" s="109"/>
      <c r="J20" s="109"/>
      <c r="K20" s="109"/>
      <c r="L20" s="109"/>
      <c r="M20" s="108"/>
      <c r="N20" s="108"/>
    </row>
    <row r="21" spans="1:15" ht="27" customHeight="1">
      <c r="A21" s="121" t="s">
        <v>595</v>
      </c>
      <c r="B21" s="121" t="s">
        <v>581</v>
      </c>
      <c r="C21" s="121"/>
      <c r="D21" s="122" t="s">
        <v>596</v>
      </c>
      <c r="E21" s="123"/>
      <c r="F21" s="200" t="s">
        <v>597</v>
      </c>
      <c r="G21" s="124"/>
      <c r="H21" s="124" t="s">
        <v>104</v>
      </c>
      <c r="I21" s="124" t="s">
        <v>127</v>
      </c>
      <c r="J21" s="124" t="s">
        <v>49</v>
      </c>
      <c r="K21" s="124" t="s">
        <v>49</v>
      </c>
      <c r="L21" s="124" t="s">
        <v>49</v>
      </c>
      <c r="M21" s="125"/>
      <c r="N21" s="125"/>
      <c r="O21" s="79" t="str">
        <f t="shared" ref="O21:O52" si="1">LEFT(A21, FIND("_", A21) - 1)</f>
        <v>MT196</v>
      </c>
    </row>
    <row r="22" spans="1:15" ht="27" customHeight="1">
      <c r="A22" s="121" t="s">
        <v>598</v>
      </c>
      <c r="B22" s="121" t="s">
        <v>585</v>
      </c>
      <c r="C22" s="121"/>
      <c r="D22" s="122" t="s">
        <v>599</v>
      </c>
      <c r="E22" s="123"/>
      <c r="F22" s="122" t="s">
        <v>587</v>
      </c>
      <c r="G22" s="124"/>
      <c r="H22" s="124" t="s">
        <v>104</v>
      </c>
      <c r="I22" s="124" t="s">
        <v>127</v>
      </c>
      <c r="J22" s="124" t="s">
        <v>49</v>
      </c>
      <c r="K22" s="124" t="s">
        <v>49</v>
      </c>
      <c r="L22" s="124" t="s">
        <v>49</v>
      </c>
      <c r="M22" s="125"/>
      <c r="N22" s="125"/>
      <c r="O22" s="79" t="str">
        <f t="shared" si="1"/>
        <v>MT196</v>
      </c>
    </row>
    <row r="23" spans="1:15" ht="27" customHeight="1">
      <c r="A23" s="121" t="s">
        <v>600</v>
      </c>
      <c r="B23" s="121" t="s">
        <v>589</v>
      </c>
      <c r="C23" s="121"/>
      <c r="D23" s="122" t="s">
        <v>601</v>
      </c>
      <c r="E23" s="123"/>
      <c r="F23" s="122" t="s">
        <v>587</v>
      </c>
      <c r="G23" s="124"/>
      <c r="H23" s="124" t="s">
        <v>104</v>
      </c>
      <c r="I23" s="124" t="s">
        <v>127</v>
      </c>
      <c r="J23" s="124" t="s">
        <v>49</v>
      </c>
      <c r="K23" s="124" t="s">
        <v>49</v>
      </c>
      <c r="L23" s="124" t="s">
        <v>49</v>
      </c>
      <c r="M23" s="125"/>
      <c r="N23" s="125"/>
      <c r="O23" s="79" t="str">
        <f t="shared" si="1"/>
        <v>MT196</v>
      </c>
    </row>
    <row r="24" spans="1:15" ht="27" customHeight="1">
      <c r="A24" s="121" t="s">
        <v>602</v>
      </c>
      <c r="B24" s="121" t="s">
        <v>592</v>
      </c>
      <c r="C24" s="121"/>
      <c r="D24" s="122" t="s">
        <v>603</v>
      </c>
      <c r="E24" s="123"/>
      <c r="F24" s="122" t="s">
        <v>587</v>
      </c>
      <c r="G24" s="124"/>
      <c r="H24" s="124" t="s">
        <v>104</v>
      </c>
      <c r="I24" s="124" t="s">
        <v>127</v>
      </c>
      <c r="J24" s="124" t="s">
        <v>49</v>
      </c>
      <c r="K24" s="124" t="s">
        <v>49</v>
      </c>
      <c r="L24" s="124" t="s">
        <v>49</v>
      </c>
      <c r="M24" s="125"/>
      <c r="N24" s="125"/>
      <c r="O24" s="79" t="str">
        <f t="shared" si="1"/>
        <v>MT196</v>
      </c>
    </row>
    <row r="25" spans="1:15" ht="27" customHeight="1">
      <c r="A25" s="106"/>
      <c r="B25" s="231" t="s">
        <v>604</v>
      </c>
      <c r="C25" s="248"/>
      <c r="D25" s="108"/>
      <c r="E25" s="108"/>
      <c r="F25" s="108"/>
      <c r="G25" s="108"/>
      <c r="H25" s="109"/>
      <c r="I25" s="109"/>
      <c r="J25" s="109"/>
      <c r="K25" s="109"/>
      <c r="L25" s="109"/>
      <c r="M25" s="108"/>
      <c r="N25" s="108"/>
      <c r="O25" s="79" t="e">
        <f t="shared" si="1"/>
        <v>#VALUE!</v>
      </c>
    </row>
    <row r="26" spans="1:15" ht="27" customHeight="1">
      <c r="A26" s="121" t="s">
        <v>605</v>
      </c>
      <c r="B26" s="121" t="s">
        <v>581</v>
      </c>
      <c r="C26" s="121"/>
      <c r="D26" s="122" t="s">
        <v>606</v>
      </c>
      <c r="E26" s="123"/>
      <c r="F26" s="122" t="s">
        <v>607</v>
      </c>
      <c r="G26" s="124"/>
      <c r="H26" s="124" t="s">
        <v>104</v>
      </c>
      <c r="I26" s="124" t="s">
        <v>127</v>
      </c>
      <c r="J26" s="124" t="s">
        <v>49</v>
      </c>
      <c r="K26" s="124" t="s">
        <v>49</v>
      </c>
      <c r="L26" s="124" t="s">
        <v>49</v>
      </c>
      <c r="M26" s="125"/>
      <c r="N26" s="125"/>
      <c r="O26" s="79" t="str">
        <f t="shared" si="1"/>
        <v>MT199</v>
      </c>
    </row>
    <row r="27" spans="1:15" ht="27" customHeight="1">
      <c r="A27" s="121" t="s">
        <v>608</v>
      </c>
      <c r="B27" s="121" t="s">
        <v>585</v>
      </c>
      <c r="C27" s="121"/>
      <c r="D27" s="122" t="s">
        <v>609</v>
      </c>
      <c r="E27" s="123"/>
      <c r="F27" s="122" t="s">
        <v>587</v>
      </c>
      <c r="G27" s="124"/>
      <c r="H27" s="124" t="s">
        <v>104</v>
      </c>
      <c r="I27" s="124" t="s">
        <v>127</v>
      </c>
      <c r="J27" s="124" t="s">
        <v>49</v>
      </c>
      <c r="K27" s="124" t="s">
        <v>49</v>
      </c>
      <c r="L27" s="124" t="s">
        <v>49</v>
      </c>
      <c r="M27" s="125"/>
      <c r="N27" s="125"/>
      <c r="O27" s="79" t="str">
        <f t="shared" si="1"/>
        <v>MT199</v>
      </c>
    </row>
    <row r="28" spans="1:15" ht="27" customHeight="1">
      <c r="A28" s="121" t="s">
        <v>610</v>
      </c>
      <c r="B28" s="121" t="s">
        <v>589</v>
      </c>
      <c r="C28" s="121"/>
      <c r="D28" s="122" t="s">
        <v>611</v>
      </c>
      <c r="E28" s="123"/>
      <c r="F28" s="122" t="s">
        <v>587</v>
      </c>
      <c r="G28" s="124"/>
      <c r="H28" s="124" t="s">
        <v>104</v>
      </c>
      <c r="I28" s="124" t="s">
        <v>127</v>
      </c>
      <c r="J28" s="124" t="s">
        <v>49</v>
      </c>
      <c r="K28" s="124" t="s">
        <v>49</v>
      </c>
      <c r="L28" s="124" t="s">
        <v>49</v>
      </c>
      <c r="M28" s="125"/>
      <c r="N28" s="125"/>
      <c r="O28" s="79" t="str">
        <f t="shared" si="1"/>
        <v>MT199</v>
      </c>
    </row>
    <row r="29" spans="1:15" ht="27" customHeight="1">
      <c r="A29" s="121" t="s">
        <v>612</v>
      </c>
      <c r="B29" s="121" t="s">
        <v>592</v>
      </c>
      <c r="C29" s="121"/>
      <c r="D29" s="122" t="s">
        <v>613</v>
      </c>
      <c r="E29" s="123"/>
      <c r="F29" s="122" t="s">
        <v>587</v>
      </c>
      <c r="G29" s="124"/>
      <c r="H29" s="124" t="s">
        <v>104</v>
      </c>
      <c r="I29" s="124" t="s">
        <v>127</v>
      </c>
      <c r="J29" s="124" t="s">
        <v>49</v>
      </c>
      <c r="K29" s="124" t="s">
        <v>49</v>
      </c>
      <c r="L29" s="124" t="s">
        <v>49</v>
      </c>
      <c r="M29" s="125"/>
      <c r="N29" s="125"/>
      <c r="O29" s="79" t="str">
        <f t="shared" si="1"/>
        <v>MT199</v>
      </c>
    </row>
    <row r="30" spans="1:15" ht="27" customHeight="1">
      <c r="A30" s="106"/>
      <c r="B30" s="231" t="s">
        <v>614</v>
      </c>
      <c r="C30" s="248"/>
      <c r="D30" s="108"/>
      <c r="E30" s="108"/>
      <c r="F30" s="108"/>
      <c r="G30" s="108"/>
      <c r="H30" s="109"/>
      <c r="I30" s="109"/>
      <c r="J30" s="109"/>
      <c r="K30" s="109"/>
      <c r="L30" s="109"/>
      <c r="M30" s="108"/>
      <c r="N30" s="108"/>
      <c r="O30" s="79" t="e">
        <f t="shared" si="1"/>
        <v>#VALUE!</v>
      </c>
    </row>
    <row r="31" spans="1:15" ht="27" customHeight="1">
      <c r="A31" s="121" t="s">
        <v>615</v>
      </c>
      <c r="B31" s="121" t="s">
        <v>581</v>
      </c>
      <c r="C31" s="121"/>
      <c r="D31" s="122" t="s">
        <v>616</v>
      </c>
      <c r="E31" s="123"/>
      <c r="F31" s="199" t="s">
        <v>583</v>
      </c>
      <c r="G31" s="124"/>
      <c r="H31" s="124" t="s">
        <v>104</v>
      </c>
      <c r="I31" s="124" t="s">
        <v>127</v>
      </c>
      <c r="J31" s="124" t="s">
        <v>49</v>
      </c>
      <c r="K31" s="124" t="s">
        <v>49</v>
      </c>
      <c r="L31" s="124" t="s">
        <v>49</v>
      </c>
      <c r="M31" s="125"/>
      <c r="N31" s="125"/>
      <c r="O31" s="79" t="str">
        <f t="shared" si="1"/>
        <v>MT295</v>
      </c>
    </row>
    <row r="32" spans="1:15" ht="27" customHeight="1">
      <c r="A32" s="121" t="s">
        <v>617</v>
      </c>
      <c r="B32" s="121" t="s">
        <v>585</v>
      </c>
      <c r="C32" s="121"/>
      <c r="D32" s="122" t="s">
        <v>618</v>
      </c>
      <c r="E32" s="123"/>
      <c r="F32" s="122" t="s">
        <v>587</v>
      </c>
      <c r="G32" s="124"/>
      <c r="H32" s="124" t="s">
        <v>104</v>
      </c>
      <c r="I32" s="124" t="s">
        <v>127</v>
      </c>
      <c r="J32" s="124" t="s">
        <v>49</v>
      </c>
      <c r="K32" s="124" t="s">
        <v>49</v>
      </c>
      <c r="L32" s="124" t="s">
        <v>49</v>
      </c>
      <c r="M32" s="125"/>
      <c r="N32" s="125"/>
      <c r="O32" s="79" t="str">
        <f t="shared" si="1"/>
        <v>MT295</v>
      </c>
    </row>
    <row r="33" spans="1:15" ht="27" customHeight="1">
      <c r="A33" s="121" t="s">
        <v>619</v>
      </c>
      <c r="B33" s="121" t="s">
        <v>589</v>
      </c>
      <c r="C33" s="121"/>
      <c r="D33" s="122" t="s">
        <v>620</v>
      </c>
      <c r="E33" s="123"/>
      <c r="F33" s="122" t="s">
        <v>587</v>
      </c>
      <c r="G33" s="124"/>
      <c r="H33" s="124" t="s">
        <v>104</v>
      </c>
      <c r="I33" s="124" t="s">
        <v>127</v>
      </c>
      <c r="J33" s="124" t="s">
        <v>49</v>
      </c>
      <c r="K33" s="124" t="s">
        <v>49</v>
      </c>
      <c r="L33" s="124" t="s">
        <v>49</v>
      </c>
      <c r="M33" s="125"/>
      <c r="N33" s="125"/>
      <c r="O33" s="79" t="str">
        <f t="shared" si="1"/>
        <v>MT295</v>
      </c>
    </row>
    <row r="34" spans="1:15" ht="27" customHeight="1">
      <c r="A34" s="121" t="s">
        <v>621</v>
      </c>
      <c r="B34" s="121" t="s">
        <v>592</v>
      </c>
      <c r="C34" s="121"/>
      <c r="D34" s="122" t="s">
        <v>622</v>
      </c>
      <c r="E34" s="123"/>
      <c r="F34" s="122" t="s">
        <v>587</v>
      </c>
      <c r="G34" s="124"/>
      <c r="H34" s="124" t="s">
        <v>104</v>
      </c>
      <c r="I34" s="124" t="s">
        <v>127</v>
      </c>
      <c r="J34" s="124" t="s">
        <v>49</v>
      </c>
      <c r="K34" s="124" t="s">
        <v>49</v>
      </c>
      <c r="L34" s="124" t="s">
        <v>49</v>
      </c>
      <c r="M34" s="125"/>
      <c r="N34" s="125"/>
      <c r="O34" s="79" t="str">
        <f t="shared" si="1"/>
        <v>MT295</v>
      </c>
    </row>
    <row r="35" spans="1:15" ht="27" customHeight="1">
      <c r="A35" s="106"/>
      <c r="B35" s="231" t="s">
        <v>623</v>
      </c>
      <c r="C35" s="248"/>
      <c r="D35" s="108"/>
      <c r="E35" s="108"/>
      <c r="F35" s="108"/>
      <c r="G35" s="108"/>
      <c r="H35" s="109"/>
      <c r="I35" s="109"/>
      <c r="J35" s="109"/>
      <c r="K35" s="109"/>
      <c r="L35" s="109"/>
      <c r="M35" s="108"/>
      <c r="N35" s="108"/>
      <c r="O35" s="79" t="e">
        <f t="shared" si="1"/>
        <v>#VALUE!</v>
      </c>
    </row>
    <row r="36" spans="1:15" ht="27" customHeight="1">
      <c r="A36" s="121" t="s">
        <v>624</v>
      </c>
      <c r="B36" s="121" t="s">
        <v>581</v>
      </c>
      <c r="C36" s="121"/>
      <c r="D36" s="122" t="s">
        <v>625</v>
      </c>
      <c r="E36" s="123"/>
      <c r="F36" s="199" t="s">
        <v>597</v>
      </c>
      <c r="G36" s="124"/>
      <c r="H36" s="124" t="s">
        <v>104</v>
      </c>
      <c r="I36" s="124" t="s">
        <v>127</v>
      </c>
      <c r="J36" s="124" t="s">
        <v>49</v>
      </c>
      <c r="K36" s="124" t="s">
        <v>49</v>
      </c>
      <c r="L36" s="124" t="s">
        <v>49</v>
      </c>
      <c r="M36" s="125"/>
      <c r="N36" s="125"/>
      <c r="O36" s="79" t="str">
        <f t="shared" si="1"/>
        <v>MT296</v>
      </c>
    </row>
    <row r="37" spans="1:15" ht="27" customHeight="1">
      <c r="A37" s="121" t="s">
        <v>626</v>
      </c>
      <c r="B37" s="121" t="s">
        <v>585</v>
      </c>
      <c r="C37" s="121"/>
      <c r="D37" s="122" t="s">
        <v>627</v>
      </c>
      <c r="E37" s="123"/>
      <c r="F37" s="122" t="s">
        <v>587</v>
      </c>
      <c r="G37" s="124"/>
      <c r="H37" s="124" t="s">
        <v>104</v>
      </c>
      <c r="I37" s="124" t="s">
        <v>127</v>
      </c>
      <c r="J37" s="124" t="s">
        <v>49</v>
      </c>
      <c r="K37" s="124" t="s">
        <v>49</v>
      </c>
      <c r="L37" s="124" t="s">
        <v>49</v>
      </c>
      <c r="M37" s="125"/>
      <c r="N37" s="125"/>
      <c r="O37" s="79" t="str">
        <f t="shared" si="1"/>
        <v>MT296</v>
      </c>
    </row>
    <row r="38" spans="1:15" ht="27" customHeight="1">
      <c r="A38" s="121" t="s">
        <v>628</v>
      </c>
      <c r="B38" s="121" t="s">
        <v>589</v>
      </c>
      <c r="C38" s="121"/>
      <c r="D38" s="122" t="s">
        <v>629</v>
      </c>
      <c r="E38" s="123"/>
      <c r="F38" s="122" t="s">
        <v>587</v>
      </c>
      <c r="G38" s="124"/>
      <c r="H38" s="124" t="s">
        <v>104</v>
      </c>
      <c r="I38" s="124" t="s">
        <v>127</v>
      </c>
      <c r="J38" s="124" t="s">
        <v>49</v>
      </c>
      <c r="K38" s="124" t="s">
        <v>49</v>
      </c>
      <c r="L38" s="124" t="s">
        <v>49</v>
      </c>
      <c r="M38" s="125"/>
      <c r="N38" s="125"/>
      <c r="O38" s="79" t="str">
        <f t="shared" si="1"/>
        <v>MT296</v>
      </c>
    </row>
    <row r="39" spans="1:15" ht="27" customHeight="1">
      <c r="A39" s="121" t="s">
        <v>630</v>
      </c>
      <c r="B39" s="121" t="s">
        <v>592</v>
      </c>
      <c r="C39" s="121"/>
      <c r="D39" s="122" t="s">
        <v>631</v>
      </c>
      <c r="E39" s="123"/>
      <c r="F39" s="122" t="s">
        <v>587</v>
      </c>
      <c r="G39" s="124"/>
      <c r="H39" s="124" t="s">
        <v>104</v>
      </c>
      <c r="I39" s="124" t="s">
        <v>127</v>
      </c>
      <c r="J39" s="124" t="s">
        <v>49</v>
      </c>
      <c r="K39" s="124" t="s">
        <v>49</v>
      </c>
      <c r="L39" s="124" t="s">
        <v>49</v>
      </c>
      <c r="M39" s="125"/>
      <c r="N39" s="125"/>
      <c r="O39" s="79" t="str">
        <f t="shared" si="1"/>
        <v>MT296</v>
      </c>
    </row>
    <row r="40" spans="1:15" ht="27" customHeight="1">
      <c r="A40" s="106"/>
      <c r="B40" s="231" t="s">
        <v>632</v>
      </c>
      <c r="C40" s="248"/>
      <c r="D40" s="108"/>
      <c r="E40" s="108"/>
      <c r="F40" s="108"/>
      <c r="G40" s="108"/>
      <c r="H40" s="109"/>
      <c r="I40" s="109"/>
      <c r="J40" s="109"/>
      <c r="K40" s="109"/>
      <c r="L40" s="109"/>
      <c r="M40" s="108"/>
      <c r="N40" s="108"/>
      <c r="O40" s="79" t="e">
        <f t="shared" si="1"/>
        <v>#VALUE!</v>
      </c>
    </row>
    <row r="41" spans="1:15" ht="27" customHeight="1">
      <c r="A41" s="121" t="s">
        <v>633</v>
      </c>
      <c r="B41" s="121" t="s">
        <v>581</v>
      </c>
      <c r="C41" s="121"/>
      <c r="D41" s="122" t="s">
        <v>634</v>
      </c>
      <c r="E41" s="123"/>
      <c r="F41" s="122" t="s">
        <v>635</v>
      </c>
      <c r="G41" s="124"/>
      <c r="H41" s="124" t="s">
        <v>104</v>
      </c>
      <c r="I41" s="124" t="s">
        <v>127</v>
      </c>
      <c r="J41" s="124" t="s">
        <v>49</v>
      </c>
      <c r="K41" s="124" t="s">
        <v>49</v>
      </c>
      <c r="L41" s="124" t="s">
        <v>54</v>
      </c>
      <c r="M41" s="125"/>
      <c r="N41" s="125"/>
      <c r="O41" s="79" t="str">
        <f t="shared" si="1"/>
        <v>MT299</v>
      </c>
    </row>
    <row r="42" spans="1:15" ht="27" customHeight="1">
      <c r="A42" s="121" t="s">
        <v>636</v>
      </c>
      <c r="B42" s="121" t="s">
        <v>585</v>
      </c>
      <c r="C42" s="121"/>
      <c r="D42" s="122" t="s">
        <v>637</v>
      </c>
      <c r="E42" s="123"/>
      <c r="F42" s="122" t="s">
        <v>587</v>
      </c>
      <c r="G42" s="124"/>
      <c r="H42" s="124" t="s">
        <v>104</v>
      </c>
      <c r="I42" s="124" t="s">
        <v>127</v>
      </c>
      <c r="J42" s="124" t="s">
        <v>49</v>
      </c>
      <c r="K42" s="124" t="s">
        <v>49</v>
      </c>
      <c r="L42" s="124" t="s">
        <v>54</v>
      </c>
      <c r="M42" s="125"/>
      <c r="N42" s="125"/>
      <c r="O42" s="79" t="str">
        <f t="shared" si="1"/>
        <v>MT299</v>
      </c>
    </row>
    <row r="43" spans="1:15" ht="27" customHeight="1">
      <c r="A43" s="121" t="s">
        <v>638</v>
      </c>
      <c r="B43" s="121" t="s">
        <v>589</v>
      </c>
      <c r="C43" s="121"/>
      <c r="D43" s="122" t="s">
        <v>639</v>
      </c>
      <c r="E43" s="123"/>
      <c r="F43" s="122" t="s">
        <v>587</v>
      </c>
      <c r="G43" s="124"/>
      <c r="H43" s="124" t="s">
        <v>104</v>
      </c>
      <c r="I43" s="124" t="s">
        <v>127</v>
      </c>
      <c r="J43" s="124" t="s">
        <v>49</v>
      </c>
      <c r="K43" s="124" t="s">
        <v>49</v>
      </c>
      <c r="L43" s="124" t="s">
        <v>54</v>
      </c>
      <c r="M43" s="125"/>
      <c r="N43" s="125"/>
      <c r="O43" s="79" t="str">
        <f t="shared" si="1"/>
        <v>MT299</v>
      </c>
    </row>
    <row r="44" spans="1:15" ht="27" customHeight="1">
      <c r="A44" s="121" t="s">
        <v>640</v>
      </c>
      <c r="B44" s="121" t="s">
        <v>592</v>
      </c>
      <c r="C44" s="121"/>
      <c r="D44" s="122" t="s">
        <v>641</v>
      </c>
      <c r="E44" s="123"/>
      <c r="F44" s="122" t="s">
        <v>587</v>
      </c>
      <c r="G44" s="124"/>
      <c r="H44" s="124" t="s">
        <v>104</v>
      </c>
      <c r="I44" s="124" t="s">
        <v>127</v>
      </c>
      <c r="J44" s="124" t="s">
        <v>49</v>
      </c>
      <c r="K44" s="124" t="s">
        <v>49</v>
      </c>
      <c r="L44" s="124" t="s">
        <v>54</v>
      </c>
      <c r="M44" s="125"/>
      <c r="N44" s="125"/>
      <c r="O44" s="79" t="str">
        <f t="shared" si="1"/>
        <v>MT299</v>
      </c>
    </row>
    <row r="45" spans="1:15" ht="27" customHeight="1">
      <c r="A45" s="106"/>
      <c r="B45" s="231" t="s">
        <v>642</v>
      </c>
      <c r="C45" s="248"/>
      <c r="D45" s="108"/>
      <c r="E45" s="108"/>
      <c r="F45" s="108"/>
      <c r="G45" s="108"/>
      <c r="H45" s="109"/>
      <c r="I45" s="109"/>
      <c r="J45" s="109"/>
      <c r="K45" s="109"/>
      <c r="L45" s="109"/>
      <c r="M45" s="108"/>
      <c r="N45" s="108"/>
      <c r="O45" s="79" t="e">
        <f t="shared" si="1"/>
        <v>#VALUE!</v>
      </c>
    </row>
    <row r="46" spans="1:15" ht="27" customHeight="1">
      <c r="A46" s="121" t="s">
        <v>643</v>
      </c>
      <c r="B46" s="121" t="s">
        <v>581</v>
      </c>
      <c r="C46" s="121"/>
      <c r="D46" s="122" t="s">
        <v>644</v>
      </c>
      <c r="E46" s="123"/>
      <c r="F46" s="122" t="s">
        <v>635</v>
      </c>
      <c r="G46" s="124"/>
      <c r="H46" s="124" t="s">
        <v>104</v>
      </c>
      <c r="I46" s="124" t="s">
        <v>127</v>
      </c>
      <c r="J46" s="124" t="s">
        <v>49</v>
      </c>
      <c r="K46" s="124" t="s">
        <v>49</v>
      </c>
      <c r="L46" s="124" t="s">
        <v>54</v>
      </c>
      <c r="M46" s="125"/>
      <c r="N46" s="125"/>
      <c r="O46" s="79" t="str">
        <f t="shared" si="1"/>
        <v>MT499</v>
      </c>
    </row>
    <row r="47" spans="1:15" ht="27" customHeight="1">
      <c r="A47" s="121" t="s">
        <v>645</v>
      </c>
      <c r="B47" s="121" t="s">
        <v>585</v>
      </c>
      <c r="C47" s="121"/>
      <c r="D47" s="122" t="s">
        <v>646</v>
      </c>
      <c r="E47" s="123"/>
      <c r="F47" s="122" t="s">
        <v>587</v>
      </c>
      <c r="G47" s="124"/>
      <c r="H47" s="124" t="s">
        <v>104</v>
      </c>
      <c r="I47" s="124" t="s">
        <v>127</v>
      </c>
      <c r="J47" s="124" t="s">
        <v>49</v>
      </c>
      <c r="K47" s="124" t="s">
        <v>49</v>
      </c>
      <c r="L47" s="124" t="s">
        <v>54</v>
      </c>
      <c r="M47" s="125"/>
      <c r="N47" s="125"/>
      <c r="O47" s="79" t="str">
        <f t="shared" si="1"/>
        <v>MT499</v>
      </c>
    </row>
    <row r="48" spans="1:15" ht="27" customHeight="1">
      <c r="A48" s="121" t="s">
        <v>647</v>
      </c>
      <c r="B48" s="121" t="s">
        <v>589</v>
      </c>
      <c r="C48" s="121"/>
      <c r="D48" s="122" t="s">
        <v>648</v>
      </c>
      <c r="E48" s="123"/>
      <c r="F48" s="122" t="s">
        <v>587</v>
      </c>
      <c r="G48" s="124"/>
      <c r="H48" s="124" t="s">
        <v>104</v>
      </c>
      <c r="I48" s="124" t="s">
        <v>127</v>
      </c>
      <c r="J48" s="124" t="s">
        <v>49</v>
      </c>
      <c r="K48" s="124" t="s">
        <v>49</v>
      </c>
      <c r="L48" s="124" t="s">
        <v>54</v>
      </c>
      <c r="M48" s="125"/>
      <c r="N48" s="125"/>
      <c r="O48" s="79" t="str">
        <f t="shared" si="1"/>
        <v>MT499</v>
      </c>
    </row>
    <row r="49" spans="1:15" ht="27" customHeight="1">
      <c r="A49" s="121" t="s">
        <v>649</v>
      </c>
      <c r="B49" s="121" t="s">
        <v>592</v>
      </c>
      <c r="C49" s="121"/>
      <c r="D49" s="122" t="s">
        <v>650</v>
      </c>
      <c r="E49" s="123"/>
      <c r="F49" s="122" t="s">
        <v>587</v>
      </c>
      <c r="G49" s="124"/>
      <c r="H49" s="124" t="s">
        <v>104</v>
      </c>
      <c r="I49" s="124" t="s">
        <v>127</v>
      </c>
      <c r="J49" s="124" t="s">
        <v>49</v>
      </c>
      <c r="K49" s="124" t="s">
        <v>49</v>
      </c>
      <c r="L49" s="124" t="s">
        <v>54</v>
      </c>
      <c r="M49" s="125"/>
      <c r="N49" s="125"/>
      <c r="O49" s="79" t="str">
        <f t="shared" si="1"/>
        <v>MT499</v>
      </c>
    </row>
    <row r="50" spans="1:15" ht="27" customHeight="1">
      <c r="A50" s="106"/>
      <c r="B50" s="231" t="s">
        <v>651</v>
      </c>
      <c r="C50" s="248"/>
      <c r="D50" s="108"/>
      <c r="E50" s="108"/>
      <c r="F50" s="108"/>
      <c r="G50" s="108"/>
      <c r="H50" s="109"/>
      <c r="I50" s="109"/>
      <c r="J50" s="109"/>
      <c r="K50" s="109"/>
      <c r="L50" s="109"/>
      <c r="M50" s="108"/>
      <c r="N50" s="108"/>
      <c r="O50" s="79" t="e">
        <f t="shared" si="1"/>
        <v>#VALUE!</v>
      </c>
    </row>
    <row r="51" spans="1:15" ht="27" customHeight="1">
      <c r="A51" s="121" t="s">
        <v>652</v>
      </c>
      <c r="B51" s="121" t="s">
        <v>581</v>
      </c>
      <c r="C51" s="121"/>
      <c r="D51" s="122" t="s">
        <v>653</v>
      </c>
      <c r="E51" s="123"/>
      <c r="F51" s="122" t="s">
        <v>635</v>
      </c>
      <c r="G51" s="124"/>
      <c r="H51" s="124" t="s">
        <v>104</v>
      </c>
      <c r="I51" s="124" t="s">
        <v>127</v>
      </c>
      <c r="J51" s="124" t="s">
        <v>49</v>
      </c>
      <c r="K51" s="124" t="s">
        <v>49</v>
      </c>
      <c r="L51" s="124" t="s">
        <v>54</v>
      </c>
      <c r="M51" s="125"/>
      <c r="N51" s="125"/>
      <c r="O51" s="79" t="str">
        <f t="shared" si="1"/>
        <v>MT799</v>
      </c>
    </row>
    <row r="52" spans="1:15" ht="27" customHeight="1">
      <c r="A52" s="121" t="s">
        <v>654</v>
      </c>
      <c r="B52" s="121" t="s">
        <v>585</v>
      </c>
      <c r="C52" s="121"/>
      <c r="D52" s="122" t="s">
        <v>655</v>
      </c>
      <c r="E52" s="123"/>
      <c r="F52" s="122" t="s">
        <v>587</v>
      </c>
      <c r="G52" s="124"/>
      <c r="H52" s="124" t="s">
        <v>104</v>
      </c>
      <c r="I52" s="124" t="s">
        <v>127</v>
      </c>
      <c r="J52" s="124" t="s">
        <v>49</v>
      </c>
      <c r="K52" s="124" t="s">
        <v>49</v>
      </c>
      <c r="L52" s="124" t="s">
        <v>54</v>
      </c>
      <c r="M52" s="125"/>
      <c r="N52" s="125"/>
      <c r="O52" s="79" t="str">
        <f t="shared" si="1"/>
        <v>MT799</v>
      </c>
    </row>
    <row r="53" spans="1:15" ht="27" customHeight="1">
      <c r="A53" s="121" t="s">
        <v>656</v>
      </c>
      <c r="B53" s="121" t="s">
        <v>589</v>
      </c>
      <c r="C53" s="121"/>
      <c r="D53" s="122" t="s">
        <v>657</v>
      </c>
      <c r="E53" s="123"/>
      <c r="F53" s="122" t="s">
        <v>587</v>
      </c>
      <c r="G53" s="124"/>
      <c r="H53" s="124" t="s">
        <v>104</v>
      </c>
      <c r="I53" s="124" t="s">
        <v>127</v>
      </c>
      <c r="J53" s="124" t="s">
        <v>49</v>
      </c>
      <c r="K53" s="124" t="s">
        <v>49</v>
      </c>
      <c r="L53" s="124" t="s">
        <v>54</v>
      </c>
      <c r="M53" s="125"/>
      <c r="N53" s="125"/>
      <c r="O53" s="79" t="str">
        <f t="shared" ref="O53:O79" si="2">LEFT(A53, FIND("_", A53) - 1)</f>
        <v>MT799</v>
      </c>
    </row>
    <row r="54" spans="1:15" ht="27" customHeight="1">
      <c r="A54" s="121" t="s">
        <v>658</v>
      </c>
      <c r="B54" s="121" t="s">
        <v>592</v>
      </c>
      <c r="C54" s="121"/>
      <c r="D54" s="122" t="s">
        <v>659</v>
      </c>
      <c r="E54" s="123"/>
      <c r="F54" s="122" t="s">
        <v>587</v>
      </c>
      <c r="G54" s="124"/>
      <c r="H54" s="124" t="s">
        <v>104</v>
      </c>
      <c r="I54" s="124" t="s">
        <v>127</v>
      </c>
      <c r="J54" s="124" t="s">
        <v>49</v>
      </c>
      <c r="K54" s="124" t="s">
        <v>49</v>
      </c>
      <c r="L54" s="124" t="s">
        <v>54</v>
      </c>
      <c r="M54" s="125"/>
      <c r="N54" s="125"/>
      <c r="O54" s="79" t="str">
        <f t="shared" si="2"/>
        <v>MT799</v>
      </c>
    </row>
    <row r="55" spans="1:15" ht="27" customHeight="1">
      <c r="A55" s="106"/>
      <c r="B55" s="231" t="s">
        <v>660</v>
      </c>
      <c r="C55" s="248"/>
      <c r="D55" s="108"/>
      <c r="E55" s="108"/>
      <c r="F55" s="108"/>
      <c r="G55" s="108"/>
      <c r="H55" s="109"/>
      <c r="I55" s="109"/>
      <c r="J55" s="109"/>
      <c r="K55" s="109"/>
      <c r="L55" s="109"/>
      <c r="M55" s="108"/>
      <c r="N55" s="108"/>
      <c r="O55" s="79" t="e">
        <f t="shared" si="2"/>
        <v>#VALUE!</v>
      </c>
    </row>
    <row r="56" spans="1:15" ht="330.75" customHeight="1">
      <c r="A56" s="201" t="s">
        <v>661</v>
      </c>
      <c r="B56" s="121" t="s">
        <v>585</v>
      </c>
      <c r="C56" s="121"/>
      <c r="D56" s="122" t="s">
        <v>662</v>
      </c>
      <c r="E56" s="123"/>
      <c r="F56" s="126" t="s">
        <v>663</v>
      </c>
      <c r="G56" s="124"/>
      <c r="H56" s="124" t="s">
        <v>104</v>
      </c>
      <c r="I56" s="124" t="s">
        <v>127</v>
      </c>
      <c r="J56" s="124" t="s">
        <v>49</v>
      </c>
      <c r="K56" s="124" t="s">
        <v>49</v>
      </c>
      <c r="L56" s="124" t="s">
        <v>54</v>
      </c>
      <c r="M56" s="125"/>
      <c r="N56" s="125"/>
      <c r="O56" s="79" t="str">
        <f t="shared" si="2"/>
        <v>MT700</v>
      </c>
    </row>
    <row r="57" spans="1:15" ht="330.75" customHeight="1">
      <c r="A57" s="201" t="s">
        <v>664</v>
      </c>
      <c r="B57" s="121" t="s">
        <v>589</v>
      </c>
      <c r="C57" s="121"/>
      <c r="D57" s="122" t="s">
        <v>665</v>
      </c>
      <c r="E57" s="123"/>
      <c r="F57" s="122" t="s">
        <v>666</v>
      </c>
      <c r="G57" s="124"/>
      <c r="H57" s="124" t="s">
        <v>104</v>
      </c>
      <c r="I57" s="124" t="s">
        <v>127</v>
      </c>
      <c r="J57" s="124" t="s">
        <v>49</v>
      </c>
      <c r="K57" s="124" t="s">
        <v>49</v>
      </c>
      <c r="L57" s="124" t="s">
        <v>54</v>
      </c>
      <c r="M57" s="125"/>
      <c r="N57" s="125"/>
      <c r="O57" s="79" t="str">
        <f t="shared" si="2"/>
        <v>MT700</v>
      </c>
    </row>
    <row r="58" spans="1:15" ht="330.75" customHeight="1">
      <c r="A58" s="201" t="s">
        <v>667</v>
      </c>
      <c r="B58" s="121" t="s">
        <v>668</v>
      </c>
      <c r="C58" s="121"/>
      <c r="D58" s="122" t="s">
        <v>669</v>
      </c>
      <c r="E58" s="123"/>
      <c r="F58" s="122" t="s">
        <v>670</v>
      </c>
      <c r="G58" s="124"/>
      <c r="H58" s="124" t="s">
        <v>104</v>
      </c>
      <c r="I58" s="124" t="s">
        <v>127</v>
      </c>
      <c r="J58" s="124" t="s">
        <v>49</v>
      </c>
      <c r="K58" s="124" t="s">
        <v>49</v>
      </c>
      <c r="L58" s="124" t="s">
        <v>54</v>
      </c>
      <c r="M58" s="125"/>
      <c r="N58" s="125"/>
      <c r="O58" s="79" t="str">
        <f t="shared" si="2"/>
        <v>MT700</v>
      </c>
    </row>
    <row r="59" spans="1:15" ht="330.75" customHeight="1">
      <c r="A59" s="201" t="s">
        <v>671</v>
      </c>
      <c r="B59" s="121" t="s">
        <v>581</v>
      </c>
      <c r="C59" s="121"/>
      <c r="D59" s="122" t="s">
        <v>672</v>
      </c>
      <c r="E59" s="123"/>
      <c r="F59" s="191" t="s">
        <v>673</v>
      </c>
      <c r="G59" s="124"/>
      <c r="H59" s="124" t="s">
        <v>104</v>
      </c>
      <c r="I59" s="124" t="s">
        <v>127</v>
      </c>
      <c r="J59" s="124" t="s">
        <v>49</v>
      </c>
      <c r="K59" s="124" t="s">
        <v>49</v>
      </c>
      <c r="L59" s="124" t="s">
        <v>54</v>
      </c>
      <c r="M59" s="125"/>
      <c r="N59" s="125"/>
      <c r="O59" s="79" t="str">
        <f t="shared" si="2"/>
        <v>MT700</v>
      </c>
    </row>
    <row r="60" spans="1:15" ht="330.75" customHeight="1">
      <c r="A60" s="201" t="s">
        <v>674</v>
      </c>
      <c r="B60" s="121" t="s">
        <v>675</v>
      </c>
      <c r="C60" s="121"/>
      <c r="D60" s="122" t="s">
        <v>676</v>
      </c>
      <c r="E60" s="123"/>
      <c r="F60" s="122" t="s">
        <v>670</v>
      </c>
      <c r="G60" s="124"/>
      <c r="H60" s="124" t="s">
        <v>104</v>
      </c>
      <c r="I60" s="124" t="s">
        <v>127</v>
      </c>
      <c r="J60" s="124" t="s">
        <v>49</v>
      </c>
      <c r="K60" s="124" t="s">
        <v>49</v>
      </c>
      <c r="L60" s="124" t="s">
        <v>54</v>
      </c>
      <c r="M60" s="125"/>
      <c r="N60" s="125"/>
      <c r="O60" s="79" t="str">
        <f t="shared" si="2"/>
        <v>MT700</v>
      </c>
    </row>
    <row r="61" spans="1:15" ht="27" customHeight="1">
      <c r="A61" s="106"/>
      <c r="B61" s="231" t="s">
        <v>677</v>
      </c>
      <c r="C61" s="248"/>
      <c r="D61" s="108"/>
      <c r="E61" s="108"/>
      <c r="F61" s="108"/>
      <c r="G61" s="108"/>
      <c r="H61" s="109"/>
      <c r="I61" s="109"/>
      <c r="J61" s="109"/>
      <c r="K61" s="109"/>
      <c r="L61" s="109"/>
      <c r="M61" s="108"/>
      <c r="N61" s="108"/>
      <c r="O61" s="79" t="e">
        <f t="shared" si="2"/>
        <v>#VALUE!</v>
      </c>
    </row>
    <row r="62" spans="1:15" ht="27" customHeight="1">
      <c r="A62" s="201" t="s">
        <v>678</v>
      </c>
      <c r="B62" s="121" t="s">
        <v>581</v>
      </c>
      <c r="C62" s="121"/>
      <c r="D62" s="122" t="s">
        <v>679</v>
      </c>
      <c r="E62" s="123"/>
      <c r="F62" s="191" t="s">
        <v>680</v>
      </c>
      <c r="G62" s="124"/>
      <c r="H62" s="124" t="s">
        <v>104</v>
      </c>
      <c r="I62" s="124" t="s">
        <v>127</v>
      </c>
      <c r="J62" s="124" t="s">
        <v>49</v>
      </c>
      <c r="K62" s="124" t="s">
        <v>49</v>
      </c>
      <c r="L62" s="124" t="s">
        <v>54</v>
      </c>
      <c r="M62" s="125"/>
      <c r="N62" s="125"/>
      <c r="O62" s="79" t="str">
        <f t="shared" si="2"/>
        <v>MT701</v>
      </c>
    </row>
    <row r="63" spans="1:15" ht="27" customHeight="1">
      <c r="A63" s="201" t="s">
        <v>681</v>
      </c>
      <c r="B63" s="121" t="s">
        <v>585</v>
      </c>
      <c r="C63" s="121"/>
      <c r="D63" s="122" t="s">
        <v>682</v>
      </c>
      <c r="E63" s="123"/>
      <c r="F63" s="122" t="s">
        <v>587</v>
      </c>
      <c r="G63" s="124"/>
      <c r="H63" s="124" t="s">
        <v>104</v>
      </c>
      <c r="I63" s="124" t="s">
        <v>127</v>
      </c>
      <c r="J63" s="124" t="s">
        <v>49</v>
      </c>
      <c r="K63" s="124" t="s">
        <v>49</v>
      </c>
      <c r="L63" s="124" t="s">
        <v>54</v>
      </c>
      <c r="M63" s="125"/>
      <c r="N63" s="125"/>
      <c r="O63" s="79" t="str">
        <f t="shared" si="2"/>
        <v>MT701</v>
      </c>
    </row>
    <row r="64" spans="1:15" ht="27" customHeight="1">
      <c r="A64" s="201" t="s">
        <v>683</v>
      </c>
      <c r="B64" s="121" t="s">
        <v>589</v>
      </c>
      <c r="C64" s="121"/>
      <c r="D64" s="122" t="s">
        <v>684</v>
      </c>
      <c r="E64" s="123"/>
      <c r="F64" s="122" t="s">
        <v>587</v>
      </c>
      <c r="G64" s="124"/>
      <c r="H64" s="124" t="s">
        <v>104</v>
      </c>
      <c r="I64" s="124" t="s">
        <v>127</v>
      </c>
      <c r="J64" s="124" t="s">
        <v>49</v>
      </c>
      <c r="K64" s="124" t="s">
        <v>49</v>
      </c>
      <c r="L64" s="124" t="s">
        <v>54</v>
      </c>
      <c r="M64" s="125"/>
      <c r="N64" s="125"/>
      <c r="O64" s="79" t="str">
        <f t="shared" si="2"/>
        <v>MT701</v>
      </c>
    </row>
    <row r="65" spans="1:15" ht="27" customHeight="1">
      <c r="A65" s="201" t="s">
        <v>685</v>
      </c>
      <c r="B65" s="121" t="s">
        <v>592</v>
      </c>
      <c r="C65" s="121"/>
      <c r="D65" s="122" t="s">
        <v>686</v>
      </c>
      <c r="E65" s="123"/>
      <c r="F65" s="122" t="s">
        <v>587</v>
      </c>
      <c r="G65" s="124"/>
      <c r="H65" s="124" t="s">
        <v>104</v>
      </c>
      <c r="I65" s="124" t="s">
        <v>127</v>
      </c>
      <c r="J65" s="124" t="s">
        <v>49</v>
      </c>
      <c r="K65" s="124" t="s">
        <v>49</v>
      </c>
      <c r="L65" s="124" t="s">
        <v>54</v>
      </c>
      <c r="M65" s="125"/>
      <c r="N65" s="125"/>
      <c r="O65" s="79" t="str">
        <f t="shared" si="2"/>
        <v>MT701</v>
      </c>
    </row>
    <row r="66" spans="1:15" ht="27" customHeight="1">
      <c r="A66" s="106"/>
      <c r="B66" s="231" t="s">
        <v>687</v>
      </c>
      <c r="C66" s="248"/>
      <c r="D66" s="108"/>
      <c r="E66" s="108"/>
      <c r="F66" s="108"/>
      <c r="G66" s="108"/>
      <c r="H66" s="109"/>
      <c r="I66" s="109"/>
      <c r="J66" s="109"/>
      <c r="K66" s="109"/>
      <c r="L66" s="109"/>
      <c r="M66" s="108"/>
      <c r="N66" s="108"/>
      <c r="O66" s="79" t="e">
        <f t="shared" si="2"/>
        <v>#VALUE!</v>
      </c>
    </row>
    <row r="67" spans="1:15" ht="289.5" customHeight="1">
      <c r="A67" s="201" t="s">
        <v>688</v>
      </c>
      <c r="B67" s="121" t="s">
        <v>585</v>
      </c>
      <c r="C67" s="121"/>
      <c r="D67" s="122" t="s">
        <v>689</v>
      </c>
      <c r="E67" s="123"/>
      <c r="F67" s="126" t="s">
        <v>690</v>
      </c>
      <c r="G67" s="124"/>
      <c r="H67" s="124" t="s">
        <v>104</v>
      </c>
      <c r="I67" s="124" t="s">
        <v>127</v>
      </c>
      <c r="J67" s="124" t="s">
        <v>49</v>
      </c>
      <c r="K67" s="124" t="s">
        <v>49</v>
      </c>
      <c r="L67" s="124" t="s">
        <v>54</v>
      </c>
      <c r="M67" s="125"/>
      <c r="N67" s="125"/>
      <c r="O67" s="79" t="str">
        <f t="shared" si="2"/>
        <v>MT707</v>
      </c>
    </row>
    <row r="68" spans="1:15" ht="243.75" customHeight="1">
      <c r="A68" s="201" t="s">
        <v>691</v>
      </c>
      <c r="B68" s="121" t="s">
        <v>589</v>
      </c>
      <c r="C68" s="121"/>
      <c r="D68" s="122" t="s">
        <v>692</v>
      </c>
      <c r="E68" s="123"/>
      <c r="F68" s="122" t="s">
        <v>693</v>
      </c>
      <c r="G68" s="124"/>
      <c r="H68" s="124" t="s">
        <v>104</v>
      </c>
      <c r="I68" s="124" t="s">
        <v>127</v>
      </c>
      <c r="J68" s="124" t="s">
        <v>49</v>
      </c>
      <c r="K68" s="124" t="s">
        <v>49</v>
      </c>
      <c r="L68" s="124" t="s">
        <v>54</v>
      </c>
      <c r="M68" s="125"/>
      <c r="N68" s="125"/>
      <c r="O68" s="79" t="str">
        <f t="shared" si="2"/>
        <v>MT707</v>
      </c>
    </row>
    <row r="69" spans="1:15" ht="75.75" customHeight="1">
      <c r="A69" s="201" t="s">
        <v>694</v>
      </c>
      <c r="B69" s="121" t="s">
        <v>668</v>
      </c>
      <c r="C69" s="121"/>
      <c r="D69" s="122" t="s">
        <v>695</v>
      </c>
      <c r="E69" s="123"/>
      <c r="F69" s="122" t="s">
        <v>670</v>
      </c>
      <c r="G69" s="124"/>
      <c r="H69" s="124" t="s">
        <v>104</v>
      </c>
      <c r="I69" s="124" t="s">
        <v>127</v>
      </c>
      <c r="J69" s="124" t="s">
        <v>49</v>
      </c>
      <c r="K69" s="124" t="s">
        <v>49</v>
      </c>
      <c r="L69" s="124" t="s">
        <v>54</v>
      </c>
      <c r="M69" s="125"/>
      <c r="N69" s="125"/>
      <c r="O69" s="79" t="str">
        <f t="shared" si="2"/>
        <v>MT707</v>
      </c>
    </row>
    <row r="70" spans="1:15" ht="168" customHeight="1">
      <c r="A70" s="201" t="s">
        <v>696</v>
      </c>
      <c r="B70" s="121" t="s">
        <v>581</v>
      </c>
      <c r="C70" s="121"/>
      <c r="D70" s="122" t="s">
        <v>697</v>
      </c>
      <c r="E70" s="123"/>
      <c r="F70" s="191" t="s">
        <v>698</v>
      </c>
      <c r="G70" s="124"/>
      <c r="H70" s="124" t="s">
        <v>104</v>
      </c>
      <c r="I70" s="124" t="s">
        <v>127</v>
      </c>
      <c r="J70" s="124" t="s">
        <v>49</v>
      </c>
      <c r="K70" s="124" t="s">
        <v>49</v>
      </c>
      <c r="L70" s="124" t="s">
        <v>54</v>
      </c>
      <c r="M70" s="125"/>
      <c r="N70" s="125"/>
      <c r="O70" s="79" t="str">
        <f t="shared" si="2"/>
        <v>MT707</v>
      </c>
    </row>
    <row r="71" spans="1:15" ht="75.75" customHeight="1">
      <c r="A71" s="201" t="s">
        <v>699</v>
      </c>
      <c r="B71" s="121" t="s">
        <v>675</v>
      </c>
      <c r="C71" s="121"/>
      <c r="D71" s="122" t="s">
        <v>700</v>
      </c>
      <c r="E71" s="123"/>
      <c r="F71" s="122" t="s">
        <v>670</v>
      </c>
      <c r="G71" s="124"/>
      <c r="H71" s="124" t="s">
        <v>104</v>
      </c>
      <c r="I71" s="124" t="s">
        <v>127</v>
      </c>
      <c r="J71" s="124" t="s">
        <v>49</v>
      </c>
      <c r="K71" s="124" t="s">
        <v>49</v>
      </c>
      <c r="L71" s="124" t="s">
        <v>54</v>
      </c>
      <c r="M71" s="125"/>
      <c r="N71" s="125"/>
      <c r="O71" s="79" t="str">
        <f t="shared" si="2"/>
        <v>MT707</v>
      </c>
    </row>
    <row r="72" spans="1:15" ht="27" customHeight="1">
      <c r="A72" s="106"/>
      <c r="B72" s="231" t="s">
        <v>701</v>
      </c>
      <c r="C72" s="248"/>
      <c r="D72" s="108"/>
      <c r="E72" s="108"/>
      <c r="F72" s="108"/>
      <c r="G72" s="108"/>
      <c r="H72" s="109"/>
      <c r="I72" s="109"/>
      <c r="J72" s="109"/>
      <c r="K72" s="109"/>
      <c r="L72" s="109"/>
      <c r="M72" s="108"/>
      <c r="N72" s="108"/>
      <c r="O72" s="79" t="e">
        <f t="shared" si="2"/>
        <v>#VALUE!</v>
      </c>
    </row>
    <row r="73" spans="1:15" ht="348" customHeight="1">
      <c r="A73" s="121" t="s">
        <v>702</v>
      </c>
      <c r="B73" s="121" t="s">
        <v>585</v>
      </c>
      <c r="C73" s="121"/>
      <c r="D73" s="122" t="s">
        <v>703</v>
      </c>
      <c r="E73" s="123"/>
      <c r="F73" s="126" t="s">
        <v>704</v>
      </c>
      <c r="G73" s="124"/>
      <c r="H73" s="124" t="s">
        <v>104</v>
      </c>
      <c r="I73" s="124" t="s">
        <v>127</v>
      </c>
      <c r="J73" s="124" t="s">
        <v>49</v>
      </c>
      <c r="K73" s="124" t="s">
        <v>49</v>
      </c>
      <c r="L73" s="124" t="s">
        <v>54</v>
      </c>
      <c r="M73" s="125"/>
      <c r="N73" s="125"/>
      <c r="O73" s="79" t="str">
        <f t="shared" si="2"/>
        <v>MT710</v>
      </c>
    </row>
    <row r="74" spans="1:15" ht="348" customHeight="1">
      <c r="A74" s="121" t="s">
        <v>705</v>
      </c>
      <c r="B74" s="121" t="s">
        <v>589</v>
      </c>
      <c r="C74" s="121"/>
      <c r="D74" s="122" t="s">
        <v>706</v>
      </c>
      <c r="E74" s="123"/>
      <c r="F74" s="122" t="s">
        <v>707</v>
      </c>
      <c r="G74" s="124"/>
      <c r="H74" s="124" t="s">
        <v>104</v>
      </c>
      <c r="I74" s="124" t="s">
        <v>127</v>
      </c>
      <c r="J74" s="124" t="s">
        <v>49</v>
      </c>
      <c r="K74" s="124" t="s">
        <v>49</v>
      </c>
      <c r="L74" s="124" t="s">
        <v>54</v>
      </c>
      <c r="M74" s="125"/>
      <c r="N74" s="125"/>
      <c r="O74" s="79" t="str">
        <f t="shared" si="2"/>
        <v>MT710</v>
      </c>
    </row>
    <row r="75" spans="1:15" ht="348" customHeight="1">
      <c r="A75" s="121" t="s">
        <v>708</v>
      </c>
      <c r="B75" s="121" t="s">
        <v>668</v>
      </c>
      <c r="C75" s="121"/>
      <c r="D75" s="122" t="s">
        <v>709</v>
      </c>
      <c r="E75" s="123"/>
      <c r="F75" s="122" t="s">
        <v>670</v>
      </c>
      <c r="G75" s="124"/>
      <c r="H75" s="124" t="s">
        <v>104</v>
      </c>
      <c r="I75" s="124" t="s">
        <v>127</v>
      </c>
      <c r="J75" s="124" t="s">
        <v>49</v>
      </c>
      <c r="K75" s="124" t="s">
        <v>49</v>
      </c>
      <c r="L75" s="124" t="s">
        <v>54</v>
      </c>
      <c r="M75" s="125"/>
      <c r="N75" s="125"/>
      <c r="O75" s="79" t="str">
        <f t="shared" si="2"/>
        <v>MT710</v>
      </c>
    </row>
    <row r="76" spans="1:15" ht="348" customHeight="1">
      <c r="A76" s="201" t="s">
        <v>710</v>
      </c>
      <c r="B76" s="121" t="s">
        <v>581</v>
      </c>
      <c r="C76" s="121"/>
      <c r="D76" s="122" t="s">
        <v>711</v>
      </c>
      <c r="E76" s="123"/>
      <c r="F76" s="191" t="s">
        <v>712</v>
      </c>
      <c r="G76" s="124"/>
      <c r="H76" s="124" t="s">
        <v>104</v>
      </c>
      <c r="I76" s="124" t="s">
        <v>127</v>
      </c>
      <c r="J76" s="124" t="s">
        <v>49</v>
      </c>
      <c r="K76" s="124" t="s">
        <v>49</v>
      </c>
      <c r="L76" s="124" t="s">
        <v>54</v>
      </c>
      <c r="M76" s="125"/>
      <c r="N76" s="125"/>
      <c r="O76" s="79" t="str">
        <f t="shared" si="2"/>
        <v>MT710</v>
      </c>
    </row>
    <row r="77" spans="1:15" ht="348" customHeight="1">
      <c r="A77" s="121" t="s">
        <v>713</v>
      </c>
      <c r="B77" s="121" t="s">
        <v>675</v>
      </c>
      <c r="C77" s="121"/>
      <c r="D77" s="122" t="s">
        <v>714</v>
      </c>
      <c r="E77" s="123"/>
      <c r="F77" s="122" t="s">
        <v>670</v>
      </c>
      <c r="G77" s="124"/>
      <c r="H77" s="124" t="s">
        <v>104</v>
      </c>
      <c r="I77" s="124" t="s">
        <v>127</v>
      </c>
      <c r="J77" s="124" t="s">
        <v>49</v>
      </c>
      <c r="K77" s="124" t="s">
        <v>49</v>
      </c>
      <c r="L77" s="124" t="s">
        <v>54</v>
      </c>
      <c r="M77" s="125"/>
      <c r="N77" s="125"/>
      <c r="O77" s="79" t="str">
        <f t="shared" si="2"/>
        <v>MT710</v>
      </c>
    </row>
    <row r="78" spans="1:15" ht="27" customHeight="1">
      <c r="A78" s="106"/>
      <c r="B78" s="231" t="s">
        <v>715</v>
      </c>
      <c r="C78" s="248"/>
      <c r="D78" s="108"/>
      <c r="E78" s="108"/>
      <c r="F78" s="108"/>
      <c r="G78" s="108"/>
      <c r="H78" s="109"/>
      <c r="I78" s="109"/>
      <c r="J78" s="109"/>
      <c r="K78" s="109"/>
      <c r="L78" s="109"/>
      <c r="M78" s="108"/>
      <c r="N78" s="108"/>
      <c r="O78" s="79" t="e">
        <f t="shared" si="2"/>
        <v>#VALUE!</v>
      </c>
    </row>
    <row r="79" spans="1:15" ht="27" customHeight="1">
      <c r="A79" s="201" t="s">
        <v>716</v>
      </c>
      <c r="B79" s="121" t="s">
        <v>581</v>
      </c>
      <c r="C79" s="121"/>
      <c r="D79" s="122" t="s">
        <v>717</v>
      </c>
      <c r="E79" s="123"/>
      <c r="F79" s="191" t="s">
        <v>680</v>
      </c>
      <c r="G79" s="124"/>
      <c r="H79" s="124" t="s">
        <v>104</v>
      </c>
      <c r="I79" s="124" t="s">
        <v>127</v>
      </c>
      <c r="J79" s="124" t="s">
        <v>49</v>
      </c>
      <c r="K79" s="124" t="s">
        <v>49</v>
      </c>
      <c r="L79" s="124" t="s">
        <v>54</v>
      </c>
      <c r="M79" s="125"/>
      <c r="N79" s="125"/>
      <c r="O79" s="79" t="str">
        <f t="shared" si="2"/>
        <v>MT711</v>
      </c>
    </row>
    <row r="80" spans="1:15" ht="27" customHeight="1">
      <c r="A80" s="121" t="s">
        <v>718</v>
      </c>
      <c r="B80" s="121" t="s">
        <v>585</v>
      </c>
      <c r="C80" s="121"/>
      <c r="D80" s="122" t="s">
        <v>719</v>
      </c>
      <c r="E80" s="123"/>
      <c r="F80" s="122" t="s">
        <v>587</v>
      </c>
      <c r="G80" s="124"/>
      <c r="H80" s="124" t="s">
        <v>104</v>
      </c>
      <c r="I80" s="124" t="s">
        <v>127</v>
      </c>
      <c r="J80" s="124" t="s">
        <v>49</v>
      </c>
      <c r="K80" s="124" t="s">
        <v>49</v>
      </c>
      <c r="L80" s="124" t="s">
        <v>54</v>
      </c>
      <c r="M80" s="125"/>
      <c r="N80" s="125"/>
      <c r="O80" s="79" t="str">
        <f t="shared" ref="O80:O110" si="3">LEFT(A80, FIND("_", A80) - 1)</f>
        <v>MT711</v>
      </c>
    </row>
    <row r="81" spans="1:15" ht="27" customHeight="1">
      <c r="A81" s="121" t="s">
        <v>720</v>
      </c>
      <c r="B81" s="121" t="s">
        <v>589</v>
      </c>
      <c r="C81" s="121"/>
      <c r="D81" s="122" t="s">
        <v>721</v>
      </c>
      <c r="E81" s="123"/>
      <c r="F81" s="122" t="s">
        <v>587</v>
      </c>
      <c r="G81" s="124"/>
      <c r="H81" s="124" t="s">
        <v>104</v>
      </c>
      <c r="I81" s="124" t="s">
        <v>127</v>
      </c>
      <c r="J81" s="124" t="s">
        <v>49</v>
      </c>
      <c r="K81" s="124" t="s">
        <v>49</v>
      </c>
      <c r="L81" s="124" t="s">
        <v>54</v>
      </c>
      <c r="M81" s="125"/>
      <c r="N81" s="125"/>
      <c r="O81" s="79" t="str">
        <f t="shared" si="3"/>
        <v>MT711</v>
      </c>
    </row>
    <row r="82" spans="1:15" ht="27" customHeight="1">
      <c r="A82" s="106"/>
      <c r="B82" s="231" t="s">
        <v>722</v>
      </c>
      <c r="C82" s="248"/>
      <c r="D82" s="108"/>
      <c r="E82" s="108"/>
      <c r="F82" s="108"/>
      <c r="G82" s="108"/>
      <c r="H82" s="109"/>
      <c r="I82" s="109"/>
      <c r="J82" s="109"/>
      <c r="K82" s="109"/>
      <c r="L82" s="109"/>
      <c r="M82" s="108"/>
      <c r="N82" s="108"/>
      <c r="O82" s="79" t="e">
        <f t="shared" si="3"/>
        <v>#VALUE!</v>
      </c>
    </row>
    <row r="83" spans="1:15" ht="268.5" customHeight="1">
      <c r="A83" s="121" t="s">
        <v>723</v>
      </c>
      <c r="B83" s="121" t="s">
        <v>585</v>
      </c>
      <c r="C83" s="121"/>
      <c r="D83" s="122" t="s">
        <v>724</v>
      </c>
      <c r="E83" s="123"/>
      <c r="F83" s="126" t="s">
        <v>725</v>
      </c>
      <c r="G83" s="124"/>
      <c r="H83" s="124" t="s">
        <v>104</v>
      </c>
      <c r="I83" s="124" t="s">
        <v>127</v>
      </c>
      <c r="J83" s="124" t="s">
        <v>49</v>
      </c>
      <c r="K83" s="124" t="s">
        <v>49</v>
      </c>
      <c r="L83" s="124" t="s">
        <v>54</v>
      </c>
      <c r="M83" s="127"/>
      <c r="N83" s="125" t="s">
        <v>726</v>
      </c>
      <c r="O83" s="79" t="str">
        <f t="shared" si="3"/>
        <v>MT720</v>
      </c>
    </row>
    <row r="84" spans="1:15" ht="268.5" customHeight="1">
      <c r="A84" s="121" t="s">
        <v>727</v>
      </c>
      <c r="B84" s="121" t="s">
        <v>589</v>
      </c>
      <c r="C84" s="121"/>
      <c r="D84" s="122" t="s">
        <v>728</v>
      </c>
      <c r="E84" s="123"/>
      <c r="F84" s="122" t="s">
        <v>729</v>
      </c>
      <c r="G84" s="124"/>
      <c r="H84" s="124" t="s">
        <v>104</v>
      </c>
      <c r="I84" s="124" t="s">
        <v>127</v>
      </c>
      <c r="J84" s="124" t="s">
        <v>49</v>
      </c>
      <c r="K84" s="124" t="s">
        <v>49</v>
      </c>
      <c r="L84" s="124" t="s">
        <v>54</v>
      </c>
      <c r="M84" s="125"/>
      <c r="N84" s="125"/>
      <c r="O84" s="79" t="str">
        <f t="shared" si="3"/>
        <v>MT720</v>
      </c>
    </row>
    <row r="85" spans="1:15" ht="268.5" customHeight="1">
      <c r="A85" s="121" t="s">
        <v>730</v>
      </c>
      <c r="B85" s="121" t="s">
        <v>668</v>
      </c>
      <c r="C85" s="121"/>
      <c r="D85" s="122" t="s">
        <v>731</v>
      </c>
      <c r="E85" s="123"/>
      <c r="F85" s="122" t="s">
        <v>670</v>
      </c>
      <c r="G85" s="124"/>
      <c r="H85" s="124" t="s">
        <v>104</v>
      </c>
      <c r="I85" s="124" t="s">
        <v>127</v>
      </c>
      <c r="J85" s="124" t="s">
        <v>49</v>
      </c>
      <c r="K85" s="124" t="s">
        <v>49</v>
      </c>
      <c r="L85" s="124" t="s">
        <v>54</v>
      </c>
      <c r="M85" s="125"/>
      <c r="N85" s="125"/>
      <c r="O85" s="79" t="str">
        <f t="shared" si="3"/>
        <v>MT720</v>
      </c>
    </row>
    <row r="86" spans="1:15" ht="268.5" customHeight="1">
      <c r="A86" s="201" t="s">
        <v>732</v>
      </c>
      <c r="B86" s="121" t="s">
        <v>581</v>
      </c>
      <c r="C86" s="121"/>
      <c r="D86" s="122" t="s">
        <v>733</v>
      </c>
      <c r="E86" s="123"/>
      <c r="F86" s="191" t="s">
        <v>712</v>
      </c>
      <c r="G86" s="124"/>
      <c r="H86" s="124" t="s">
        <v>104</v>
      </c>
      <c r="I86" s="124" t="s">
        <v>127</v>
      </c>
      <c r="J86" s="124" t="s">
        <v>49</v>
      </c>
      <c r="K86" s="124" t="s">
        <v>49</v>
      </c>
      <c r="L86" s="124" t="s">
        <v>54</v>
      </c>
      <c r="M86" s="125"/>
      <c r="N86" s="125"/>
      <c r="O86" s="79" t="str">
        <f t="shared" si="3"/>
        <v>MT720</v>
      </c>
    </row>
    <row r="87" spans="1:15" ht="268.5" customHeight="1">
      <c r="A87" s="121" t="s">
        <v>734</v>
      </c>
      <c r="B87" s="121" t="s">
        <v>675</v>
      </c>
      <c r="C87" s="121"/>
      <c r="D87" s="122" t="s">
        <v>735</v>
      </c>
      <c r="E87" s="123"/>
      <c r="F87" s="122" t="s">
        <v>670</v>
      </c>
      <c r="G87" s="124"/>
      <c r="H87" s="124" t="s">
        <v>104</v>
      </c>
      <c r="I87" s="124" t="s">
        <v>127</v>
      </c>
      <c r="J87" s="124" t="s">
        <v>49</v>
      </c>
      <c r="K87" s="124" t="s">
        <v>49</v>
      </c>
      <c r="L87" s="124" t="s">
        <v>54</v>
      </c>
      <c r="M87" s="125"/>
      <c r="N87" s="125"/>
      <c r="O87" s="79" t="str">
        <f t="shared" si="3"/>
        <v>MT720</v>
      </c>
    </row>
    <row r="88" spans="1:15" ht="27" customHeight="1">
      <c r="A88" s="106"/>
      <c r="B88" s="231" t="s">
        <v>736</v>
      </c>
      <c r="C88" s="248"/>
      <c r="D88" s="108"/>
      <c r="E88" s="108"/>
      <c r="F88" s="108"/>
      <c r="G88" s="108"/>
      <c r="H88" s="109"/>
      <c r="I88" s="109"/>
      <c r="J88" s="109"/>
      <c r="K88" s="109"/>
      <c r="L88" s="108"/>
      <c r="M88" s="108"/>
      <c r="N88" s="108"/>
      <c r="O88" s="79" t="e">
        <f t="shared" si="3"/>
        <v>#VALUE!</v>
      </c>
    </row>
    <row r="89" spans="1:15" ht="290.25" customHeight="1">
      <c r="A89" s="121" t="s">
        <v>737</v>
      </c>
      <c r="B89" s="121" t="s">
        <v>585</v>
      </c>
      <c r="C89" s="121"/>
      <c r="D89" s="122" t="s">
        <v>738</v>
      </c>
      <c r="E89" s="123"/>
      <c r="F89" s="126" t="s">
        <v>739</v>
      </c>
      <c r="G89" s="124"/>
      <c r="H89" s="124" t="s">
        <v>104</v>
      </c>
      <c r="I89" s="124" t="s">
        <v>127</v>
      </c>
      <c r="J89" s="124" t="s">
        <v>49</v>
      </c>
      <c r="K89" s="124" t="s">
        <v>49</v>
      </c>
      <c r="L89" s="124" t="s">
        <v>54</v>
      </c>
      <c r="M89" s="125"/>
      <c r="N89" s="125"/>
      <c r="O89" s="79" t="str">
        <f t="shared" si="3"/>
        <v>MT740</v>
      </c>
    </row>
    <row r="90" spans="1:15" ht="290.25" customHeight="1">
      <c r="A90" s="121" t="s">
        <v>740</v>
      </c>
      <c r="B90" s="121" t="s">
        <v>589</v>
      </c>
      <c r="C90" s="121"/>
      <c r="D90" s="122" t="s">
        <v>741</v>
      </c>
      <c r="E90" s="123"/>
      <c r="F90" s="122" t="s">
        <v>742</v>
      </c>
      <c r="G90" s="124"/>
      <c r="H90" s="124" t="s">
        <v>104</v>
      </c>
      <c r="I90" s="124" t="s">
        <v>127</v>
      </c>
      <c r="J90" s="124" t="s">
        <v>49</v>
      </c>
      <c r="K90" s="124" t="s">
        <v>49</v>
      </c>
      <c r="L90" s="124" t="s">
        <v>54</v>
      </c>
      <c r="M90" s="125"/>
      <c r="N90" s="125"/>
      <c r="O90" s="79" t="str">
        <f t="shared" si="3"/>
        <v>MT740</v>
      </c>
    </row>
    <row r="91" spans="1:15" ht="290.25" customHeight="1">
      <c r="A91" s="121" t="s">
        <v>743</v>
      </c>
      <c r="B91" s="121" t="s">
        <v>581</v>
      </c>
      <c r="C91" s="121"/>
      <c r="D91" s="122" t="s">
        <v>744</v>
      </c>
      <c r="E91" s="123"/>
      <c r="F91" s="122" t="s">
        <v>745</v>
      </c>
      <c r="G91" s="124"/>
      <c r="H91" s="124" t="s">
        <v>104</v>
      </c>
      <c r="I91" s="124" t="s">
        <v>127</v>
      </c>
      <c r="J91" s="124" t="s">
        <v>49</v>
      </c>
      <c r="K91" s="124" t="s">
        <v>49</v>
      </c>
      <c r="L91" s="124" t="s">
        <v>54</v>
      </c>
      <c r="M91" s="125"/>
      <c r="N91" s="125"/>
      <c r="O91" s="79" t="str">
        <f t="shared" si="3"/>
        <v>MT740</v>
      </c>
    </row>
    <row r="92" spans="1:15" ht="27" customHeight="1">
      <c r="A92" s="106"/>
      <c r="B92" s="231" t="s">
        <v>746</v>
      </c>
      <c r="C92" s="248"/>
      <c r="D92" s="108"/>
      <c r="E92" s="108"/>
      <c r="F92" s="108"/>
      <c r="G92" s="108"/>
      <c r="H92" s="109"/>
      <c r="I92" s="109"/>
      <c r="J92" s="109"/>
      <c r="K92" s="109"/>
      <c r="L92" s="109"/>
      <c r="M92" s="108"/>
      <c r="N92" s="108"/>
      <c r="O92" s="79" t="e">
        <f t="shared" si="3"/>
        <v>#VALUE!</v>
      </c>
    </row>
    <row r="93" spans="1:15" ht="27" customHeight="1">
      <c r="A93" s="121" t="s">
        <v>747</v>
      </c>
      <c r="B93" s="121" t="s">
        <v>585</v>
      </c>
      <c r="C93" s="121"/>
      <c r="D93" s="122" t="s">
        <v>748</v>
      </c>
      <c r="E93" s="123"/>
      <c r="F93" s="122" t="s">
        <v>749</v>
      </c>
      <c r="G93" s="124"/>
      <c r="H93" s="124" t="s">
        <v>104</v>
      </c>
      <c r="I93" s="124" t="s">
        <v>127</v>
      </c>
      <c r="J93" s="124" t="s">
        <v>49</v>
      </c>
      <c r="K93" s="124" t="s">
        <v>49</v>
      </c>
      <c r="L93" s="124" t="s">
        <v>54</v>
      </c>
      <c r="M93" s="125"/>
      <c r="N93" s="125"/>
      <c r="O93" s="79" t="str">
        <f t="shared" si="3"/>
        <v>MT742</v>
      </c>
    </row>
    <row r="94" spans="1:15" ht="27" customHeight="1">
      <c r="A94" s="121" t="s">
        <v>750</v>
      </c>
      <c r="B94" s="121" t="s">
        <v>589</v>
      </c>
      <c r="C94" s="121"/>
      <c r="D94" s="122" t="s">
        <v>751</v>
      </c>
      <c r="E94" s="123"/>
      <c r="F94" s="122" t="s">
        <v>752</v>
      </c>
      <c r="G94" s="124"/>
      <c r="H94" s="124" t="s">
        <v>104</v>
      </c>
      <c r="I94" s="124" t="s">
        <v>127</v>
      </c>
      <c r="J94" s="124" t="s">
        <v>49</v>
      </c>
      <c r="K94" s="124" t="s">
        <v>49</v>
      </c>
      <c r="L94" s="124" t="s">
        <v>54</v>
      </c>
      <c r="M94" s="125"/>
      <c r="N94" s="125"/>
      <c r="O94" s="79" t="str">
        <f t="shared" si="3"/>
        <v>MT742</v>
      </c>
    </row>
    <row r="95" spans="1:15" ht="27" customHeight="1">
      <c r="A95" s="121" t="s">
        <v>753</v>
      </c>
      <c r="B95" s="121" t="s">
        <v>581</v>
      </c>
      <c r="C95" s="121"/>
      <c r="D95" s="122" t="s">
        <v>754</v>
      </c>
      <c r="E95" s="123"/>
      <c r="F95" s="122" t="s">
        <v>755</v>
      </c>
      <c r="G95" s="124"/>
      <c r="H95" s="124" t="s">
        <v>104</v>
      </c>
      <c r="I95" s="124" t="s">
        <v>127</v>
      </c>
      <c r="J95" s="124" t="s">
        <v>49</v>
      </c>
      <c r="K95" s="124" t="s">
        <v>49</v>
      </c>
      <c r="L95" s="124" t="s">
        <v>54</v>
      </c>
      <c r="M95" s="125"/>
      <c r="N95" s="125"/>
      <c r="O95" s="79" t="str">
        <f t="shared" si="3"/>
        <v>MT742</v>
      </c>
    </row>
    <row r="96" spans="1:15" ht="27" customHeight="1">
      <c r="A96" s="106"/>
      <c r="B96" s="231" t="s">
        <v>756</v>
      </c>
      <c r="C96" s="248"/>
      <c r="D96" s="108"/>
      <c r="E96" s="108"/>
      <c r="F96" s="108"/>
      <c r="G96" s="108"/>
      <c r="H96" s="109"/>
      <c r="I96" s="109"/>
      <c r="J96" s="109"/>
      <c r="K96" s="109"/>
      <c r="L96" s="109"/>
      <c r="M96" s="108"/>
      <c r="N96" s="108"/>
      <c r="O96" s="79" t="e">
        <f t="shared" si="3"/>
        <v>#VALUE!</v>
      </c>
    </row>
    <row r="97" spans="1:15" ht="27" customHeight="1">
      <c r="A97" s="121" t="s">
        <v>757</v>
      </c>
      <c r="B97" s="121" t="s">
        <v>581</v>
      </c>
      <c r="C97" s="121"/>
      <c r="D97" s="122" t="s">
        <v>758</v>
      </c>
      <c r="E97" s="123"/>
      <c r="F97" s="128" t="s">
        <v>759</v>
      </c>
      <c r="G97" s="124"/>
      <c r="H97" s="124" t="s">
        <v>104</v>
      </c>
      <c r="I97" s="124" t="s">
        <v>127</v>
      </c>
      <c r="J97" s="124" t="s">
        <v>49</v>
      </c>
      <c r="K97" s="124" t="s">
        <v>49</v>
      </c>
      <c r="L97" s="124" t="s">
        <v>54</v>
      </c>
      <c r="M97" s="125"/>
      <c r="N97" s="125"/>
      <c r="O97" s="79" t="str">
        <f t="shared" si="3"/>
        <v>MT747</v>
      </c>
    </row>
    <row r="98" spans="1:15" ht="27" customHeight="1">
      <c r="A98" s="121" t="s">
        <v>760</v>
      </c>
      <c r="B98" s="121" t="s">
        <v>585</v>
      </c>
      <c r="C98" s="121"/>
      <c r="D98" s="122" t="s">
        <v>761</v>
      </c>
      <c r="E98" s="123"/>
      <c r="F98" s="128" t="s">
        <v>587</v>
      </c>
      <c r="G98" s="124"/>
      <c r="H98" s="124" t="s">
        <v>104</v>
      </c>
      <c r="I98" s="124" t="s">
        <v>127</v>
      </c>
      <c r="J98" s="124" t="s">
        <v>49</v>
      </c>
      <c r="K98" s="124" t="s">
        <v>49</v>
      </c>
      <c r="L98" s="124" t="s">
        <v>54</v>
      </c>
      <c r="M98" s="125"/>
      <c r="N98" s="125"/>
      <c r="O98" s="79" t="str">
        <f t="shared" si="3"/>
        <v>MT747</v>
      </c>
    </row>
    <row r="99" spans="1:15" ht="27" customHeight="1">
      <c r="A99" s="121" t="s">
        <v>762</v>
      </c>
      <c r="B99" s="121" t="s">
        <v>589</v>
      </c>
      <c r="C99" s="121"/>
      <c r="D99" s="122" t="s">
        <v>763</v>
      </c>
      <c r="E99" s="123"/>
      <c r="F99" s="128" t="s">
        <v>587</v>
      </c>
      <c r="G99" s="124"/>
      <c r="H99" s="124" t="s">
        <v>104</v>
      </c>
      <c r="I99" s="124" t="s">
        <v>127</v>
      </c>
      <c r="J99" s="124" t="s">
        <v>49</v>
      </c>
      <c r="K99" s="124" t="s">
        <v>49</v>
      </c>
      <c r="L99" s="124" t="s">
        <v>54</v>
      </c>
      <c r="M99" s="125"/>
      <c r="N99" s="125"/>
      <c r="O99" s="79" t="str">
        <f t="shared" si="3"/>
        <v>MT747</v>
      </c>
    </row>
    <row r="100" spans="1:15" ht="27" customHeight="1">
      <c r="A100" s="106"/>
      <c r="B100" s="231" t="s">
        <v>764</v>
      </c>
      <c r="C100" s="248"/>
      <c r="D100" s="108"/>
      <c r="E100" s="108"/>
      <c r="F100" s="129"/>
      <c r="G100" s="108"/>
      <c r="H100" s="109"/>
      <c r="I100" s="109"/>
      <c r="J100" s="109"/>
      <c r="K100" s="109"/>
      <c r="L100" s="109"/>
      <c r="M100" s="108"/>
      <c r="N100" s="108"/>
      <c r="O100" s="79" t="e">
        <f t="shared" si="3"/>
        <v>#VALUE!</v>
      </c>
    </row>
    <row r="101" spans="1:15" ht="280.5" customHeight="1">
      <c r="A101" s="121" t="s">
        <v>765</v>
      </c>
      <c r="B101" s="121" t="s">
        <v>585</v>
      </c>
      <c r="C101" s="121"/>
      <c r="D101" s="122" t="s">
        <v>766</v>
      </c>
      <c r="E101" s="123"/>
      <c r="F101" s="130" t="s">
        <v>767</v>
      </c>
      <c r="G101" s="124"/>
      <c r="H101" s="124" t="s">
        <v>104</v>
      </c>
      <c r="I101" s="124" t="s">
        <v>127</v>
      </c>
      <c r="J101" s="124" t="s">
        <v>49</v>
      </c>
      <c r="K101" s="124" t="s">
        <v>49</v>
      </c>
      <c r="L101" s="124" t="s">
        <v>54</v>
      </c>
      <c r="M101" s="125"/>
      <c r="N101" s="125"/>
      <c r="O101" s="79" t="str">
        <f t="shared" si="3"/>
        <v>MT760</v>
      </c>
    </row>
    <row r="102" spans="1:15" ht="280.5" customHeight="1">
      <c r="A102" s="121" t="s">
        <v>768</v>
      </c>
      <c r="B102" s="121" t="s">
        <v>769</v>
      </c>
      <c r="C102" s="121"/>
      <c r="D102" s="122" t="s">
        <v>770</v>
      </c>
      <c r="E102" s="123"/>
      <c r="F102" s="128" t="s">
        <v>771</v>
      </c>
      <c r="G102" s="124"/>
      <c r="H102" s="124" t="s">
        <v>104</v>
      </c>
      <c r="I102" s="124" t="s">
        <v>127</v>
      </c>
      <c r="J102" s="124" t="s">
        <v>49</v>
      </c>
      <c r="K102" s="124" t="s">
        <v>49</v>
      </c>
      <c r="L102" s="124" t="s">
        <v>54</v>
      </c>
      <c r="M102" s="125"/>
      <c r="N102" s="125"/>
      <c r="O102" s="79" t="str">
        <f t="shared" si="3"/>
        <v>MT760</v>
      </c>
    </row>
    <row r="103" spans="1:15" ht="280.5" customHeight="1">
      <c r="A103" s="121" t="s">
        <v>772</v>
      </c>
      <c r="B103" s="121" t="s">
        <v>589</v>
      </c>
      <c r="C103" s="121"/>
      <c r="D103" s="122" t="s">
        <v>773</v>
      </c>
      <c r="E103" s="123"/>
      <c r="F103" s="130" t="s">
        <v>774</v>
      </c>
      <c r="G103" s="124"/>
      <c r="H103" s="124" t="s">
        <v>104</v>
      </c>
      <c r="I103" s="124" t="s">
        <v>127</v>
      </c>
      <c r="J103" s="124" t="s">
        <v>49</v>
      </c>
      <c r="K103" s="124" t="s">
        <v>49</v>
      </c>
      <c r="L103" s="124" t="s">
        <v>54</v>
      </c>
      <c r="M103" s="125"/>
      <c r="N103" s="125"/>
      <c r="O103" s="79" t="str">
        <f t="shared" si="3"/>
        <v>MT760</v>
      </c>
    </row>
    <row r="104" spans="1:15" ht="280.5" customHeight="1">
      <c r="A104" s="121" t="s">
        <v>775</v>
      </c>
      <c r="B104" s="121" t="s">
        <v>581</v>
      </c>
      <c r="C104" s="121"/>
      <c r="D104" s="122" t="s">
        <v>776</v>
      </c>
      <c r="E104" s="123"/>
      <c r="F104" s="128" t="s">
        <v>777</v>
      </c>
      <c r="G104" s="124"/>
      <c r="H104" s="124" t="s">
        <v>104</v>
      </c>
      <c r="I104" s="124" t="s">
        <v>127</v>
      </c>
      <c r="J104" s="124" t="s">
        <v>49</v>
      </c>
      <c r="K104" s="124" t="s">
        <v>49</v>
      </c>
      <c r="L104" s="124" t="s">
        <v>54</v>
      </c>
      <c r="M104" s="125"/>
      <c r="N104" s="125"/>
      <c r="O104" s="79" t="str">
        <f t="shared" si="3"/>
        <v>MT760</v>
      </c>
    </row>
    <row r="105" spans="1:15" ht="27" customHeight="1">
      <c r="A105" s="106"/>
      <c r="B105" s="231" t="s">
        <v>778</v>
      </c>
      <c r="C105" s="248"/>
      <c r="D105" s="108"/>
      <c r="E105" s="108"/>
      <c r="F105" s="129"/>
      <c r="G105" s="108"/>
      <c r="H105" s="109"/>
      <c r="I105" s="109"/>
      <c r="J105" s="109"/>
      <c r="K105" s="109"/>
      <c r="L105" s="109"/>
      <c r="M105" s="108"/>
      <c r="N105" s="108"/>
      <c r="O105" s="79" t="e">
        <f t="shared" si="3"/>
        <v>#VALUE!</v>
      </c>
    </row>
    <row r="106" spans="1:15" ht="291" customHeight="1">
      <c r="A106" s="121" t="s">
        <v>779</v>
      </c>
      <c r="B106" s="121" t="s">
        <v>585</v>
      </c>
      <c r="C106" s="121"/>
      <c r="D106" s="122" t="s">
        <v>780</v>
      </c>
      <c r="E106" s="123"/>
      <c r="F106" s="130" t="s">
        <v>781</v>
      </c>
      <c r="G106" s="124"/>
      <c r="H106" s="124" t="s">
        <v>104</v>
      </c>
      <c r="I106" s="124" t="s">
        <v>127</v>
      </c>
      <c r="J106" s="124" t="s">
        <v>49</v>
      </c>
      <c r="K106" s="124" t="s">
        <v>49</v>
      </c>
      <c r="L106" s="124" t="s">
        <v>54</v>
      </c>
      <c r="M106" s="125"/>
      <c r="N106" s="125"/>
      <c r="O106" s="79" t="str">
        <f t="shared" si="3"/>
        <v>MT767</v>
      </c>
    </row>
    <row r="107" spans="1:15" ht="291" customHeight="1">
      <c r="A107" s="121" t="s">
        <v>782</v>
      </c>
      <c r="B107" s="121" t="s">
        <v>769</v>
      </c>
      <c r="C107" s="121"/>
      <c r="D107" s="122" t="s">
        <v>783</v>
      </c>
      <c r="E107" s="123"/>
      <c r="F107" s="128" t="s">
        <v>771</v>
      </c>
      <c r="G107" s="124"/>
      <c r="H107" s="124" t="s">
        <v>104</v>
      </c>
      <c r="I107" s="124" t="s">
        <v>127</v>
      </c>
      <c r="J107" s="124" t="s">
        <v>49</v>
      </c>
      <c r="K107" s="124" t="s">
        <v>49</v>
      </c>
      <c r="L107" s="124" t="s">
        <v>54</v>
      </c>
      <c r="M107" s="125"/>
      <c r="N107" s="125"/>
      <c r="O107" s="79" t="str">
        <f t="shared" si="3"/>
        <v>MT767</v>
      </c>
    </row>
    <row r="108" spans="1:15" ht="291" customHeight="1">
      <c r="A108" s="121" t="s">
        <v>784</v>
      </c>
      <c r="B108" s="121" t="s">
        <v>589</v>
      </c>
      <c r="C108" s="121"/>
      <c r="D108" s="122" t="s">
        <v>785</v>
      </c>
      <c r="E108" s="123"/>
      <c r="F108" s="130" t="s">
        <v>786</v>
      </c>
      <c r="G108" s="124"/>
      <c r="H108" s="124" t="s">
        <v>104</v>
      </c>
      <c r="I108" s="124" t="s">
        <v>127</v>
      </c>
      <c r="J108" s="124" t="s">
        <v>49</v>
      </c>
      <c r="K108" s="124" t="s">
        <v>49</v>
      </c>
      <c r="L108" s="124" t="s">
        <v>54</v>
      </c>
      <c r="M108" s="125"/>
      <c r="N108" s="125"/>
      <c r="O108" s="79" t="str">
        <f t="shared" si="3"/>
        <v>MT767</v>
      </c>
    </row>
    <row r="109" spans="1:15" ht="291" customHeight="1">
      <c r="A109" s="121" t="s">
        <v>787</v>
      </c>
      <c r="B109" s="121" t="s">
        <v>581</v>
      </c>
      <c r="C109" s="121"/>
      <c r="D109" s="122" t="s">
        <v>788</v>
      </c>
      <c r="E109" s="123"/>
      <c r="F109" s="122" t="s">
        <v>789</v>
      </c>
      <c r="G109" s="124"/>
      <c r="H109" s="124" t="s">
        <v>104</v>
      </c>
      <c r="I109" s="124" t="s">
        <v>127</v>
      </c>
      <c r="J109" s="124" t="s">
        <v>49</v>
      </c>
      <c r="K109" s="124" t="s">
        <v>49</v>
      </c>
      <c r="L109" s="124" t="s">
        <v>54</v>
      </c>
      <c r="M109" s="125"/>
      <c r="N109" s="125"/>
      <c r="O109" s="79" t="str">
        <f t="shared" si="3"/>
        <v>MT767</v>
      </c>
    </row>
    <row r="110" spans="1:15" ht="27" customHeight="1">
      <c r="A110" s="106"/>
      <c r="B110" s="231" t="s">
        <v>790</v>
      </c>
      <c r="C110" s="248"/>
      <c r="D110" s="108"/>
      <c r="E110" s="108"/>
      <c r="F110" s="108"/>
      <c r="G110" s="108"/>
      <c r="H110" s="109"/>
      <c r="I110" s="109"/>
      <c r="J110" s="109"/>
      <c r="K110" s="109"/>
      <c r="L110" s="109"/>
      <c r="M110" s="108"/>
      <c r="N110" s="108"/>
      <c r="O110" s="79" t="e">
        <f t="shared" si="3"/>
        <v>#VALUE!</v>
      </c>
    </row>
    <row r="111" spans="1:15" ht="27" customHeight="1">
      <c r="A111" s="121" t="s">
        <v>791</v>
      </c>
      <c r="B111" s="121" t="s">
        <v>581</v>
      </c>
      <c r="C111" s="121"/>
      <c r="D111" s="122" t="s">
        <v>792</v>
      </c>
      <c r="E111" s="123"/>
      <c r="F111" s="122" t="s">
        <v>635</v>
      </c>
      <c r="G111" s="124"/>
      <c r="H111" s="124" t="s">
        <v>104</v>
      </c>
      <c r="I111" s="124" t="s">
        <v>127</v>
      </c>
      <c r="J111" s="124" t="s">
        <v>49</v>
      </c>
      <c r="K111" s="124" t="s">
        <v>49</v>
      </c>
      <c r="L111" s="124" t="s">
        <v>54</v>
      </c>
      <c r="M111" s="125"/>
      <c r="N111" s="125"/>
      <c r="O111" s="79" t="str">
        <f t="shared" ref="O111:O145" si="4">LEFT(A111, FIND("_", A111) - 1)</f>
        <v>MT999</v>
      </c>
    </row>
    <row r="112" spans="1:15" ht="27" customHeight="1">
      <c r="A112" s="121" t="s">
        <v>793</v>
      </c>
      <c r="B112" s="121" t="s">
        <v>585</v>
      </c>
      <c r="C112" s="121"/>
      <c r="D112" s="122" t="s">
        <v>794</v>
      </c>
      <c r="E112" s="123"/>
      <c r="F112" s="122" t="s">
        <v>587</v>
      </c>
      <c r="G112" s="124"/>
      <c r="H112" s="124" t="s">
        <v>104</v>
      </c>
      <c r="I112" s="124" t="s">
        <v>127</v>
      </c>
      <c r="J112" s="124" t="s">
        <v>49</v>
      </c>
      <c r="K112" s="124" t="s">
        <v>49</v>
      </c>
      <c r="L112" s="124" t="s">
        <v>54</v>
      </c>
      <c r="M112" s="125"/>
      <c r="N112" s="125"/>
      <c r="O112" s="79" t="str">
        <f t="shared" si="4"/>
        <v>MT999</v>
      </c>
    </row>
    <row r="113" spans="1:15" ht="27" customHeight="1">
      <c r="A113" s="121" t="s">
        <v>795</v>
      </c>
      <c r="B113" s="121" t="s">
        <v>589</v>
      </c>
      <c r="C113" s="121"/>
      <c r="D113" s="122" t="s">
        <v>796</v>
      </c>
      <c r="E113" s="123"/>
      <c r="F113" s="122" t="s">
        <v>587</v>
      </c>
      <c r="G113" s="124"/>
      <c r="H113" s="124" t="s">
        <v>104</v>
      </c>
      <c r="I113" s="124" t="s">
        <v>127</v>
      </c>
      <c r="J113" s="124" t="s">
        <v>49</v>
      </c>
      <c r="K113" s="124" t="s">
        <v>49</v>
      </c>
      <c r="L113" s="124" t="s">
        <v>54</v>
      </c>
      <c r="M113" s="125"/>
      <c r="N113" s="125"/>
      <c r="O113" s="79" t="str">
        <f t="shared" si="4"/>
        <v>MT999</v>
      </c>
    </row>
    <row r="114" spans="1:15" ht="27" customHeight="1">
      <c r="A114" s="121" t="s">
        <v>797</v>
      </c>
      <c r="B114" s="121" t="s">
        <v>592</v>
      </c>
      <c r="C114" s="121"/>
      <c r="D114" s="122" t="s">
        <v>798</v>
      </c>
      <c r="E114" s="123"/>
      <c r="F114" s="122" t="s">
        <v>587</v>
      </c>
      <c r="G114" s="124"/>
      <c r="H114" s="124" t="s">
        <v>104</v>
      </c>
      <c r="I114" s="124" t="s">
        <v>127</v>
      </c>
      <c r="J114" s="124" t="s">
        <v>49</v>
      </c>
      <c r="K114" s="124" t="s">
        <v>49</v>
      </c>
      <c r="L114" s="124" t="s">
        <v>54</v>
      </c>
      <c r="M114" s="125"/>
      <c r="N114" s="125"/>
      <c r="O114" s="79" t="str">
        <f t="shared" si="4"/>
        <v>MT999</v>
      </c>
    </row>
    <row r="115" spans="1:15" ht="27" customHeight="1">
      <c r="A115" s="106"/>
      <c r="B115" s="231" t="s">
        <v>799</v>
      </c>
      <c r="C115" s="248"/>
      <c r="D115" s="108"/>
      <c r="E115" s="108"/>
      <c r="F115" s="108"/>
      <c r="G115" s="108"/>
      <c r="H115" s="109"/>
      <c r="I115" s="109"/>
      <c r="J115" s="109"/>
      <c r="K115" s="109"/>
      <c r="L115" s="109"/>
      <c r="M115" s="108"/>
      <c r="N115" s="108"/>
      <c r="O115" s="79" t="e">
        <f t="shared" si="4"/>
        <v>#VALUE!</v>
      </c>
    </row>
    <row r="116" spans="1:15" ht="27" customHeight="1">
      <c r="A116" s="121" t="s">
        <v>800</v>
      </c>
      <c r="B116" s="121" t="s">
        <v>585</v>
      </c>
      <c r="C116" s="121"/>
      <c r="D116" s="122" t="s">
        <v>801</v>
      </c>
      <c r="E116" s="123"/>
      <c r="F116" s="122" t="s">
        <v>802</v>
      </c>
      <c r="G116" s="124"/>
      <c r="H116" s="124" t="s">
        <v>104</v>
      </c>
      <c r="I116" s="124" t="s">
        <v>127</v>
      </c>
      <c r="J116" s="124" t="s">
        <v>49</v>
      </c>
      <c r="K116" s="124" t="s">
        <v>54</v>
      </c>
      <c r="L116" s="124" t="s">
        <v>54</v>
      </c>
      <c r="M116" s="125"/>
      <c r="N116" s="125"/>
      <c r="O116" s="79" t="str">
        <f t="shared" si="4"/>
        <v>pacs.008</v>
      </c>
    </row>
    <row r="117" spans="1:15" ht="27" customHeight="1">
      <c r="A117" s="121" t="s">
        <v>803</v>
      </c>
      <c r="B117" s="121" t="s">
        <v>769</v>
      </c>
      <c r="C117" s="121"/>
      <c r="D117" s="122" t="s">
        <v>804</v>
      </c>
      <c r="E117" s="123"/>
      <c r="F117" s="122" t="s">
        <v>805</v>
      </c>
      <c r="G117" s="124"/>
      <c r="H117" s="124" t="s">
        <v>104</v>
      </c>
      <c r="I117" s="124" t="s">
        <v>127</v>
      </c>
      <c r="J117" s="124" t="s">
        <v>49</v>
      </c>
      <c r="K117" s="124" t="s">
        <v>54</v>
      </c>
      <c r="L117" s="124" t="s">
        <v>54</v>
      </c>
      <c r="M117" s="125"/>
      <c r="N117" s="125"/>
      <c r="O117" s="79" t="str">
        <f t="shared" si="4"/>
        <v>pacs.008</v>
      </c>
    </row>
    <row r="118" spans="1:15" ht="27" customHeight="1">
      <c r="A118" s="121" t="s">
        <v>806</v>
      </c>
      <c r="B118" s="121" t="s">
        <v>589</v>
      </c>
      <c r="C118" s="121"/>
      <c r="D118" s="122" t="s">
        <v>807</v>
      </c>
      <c r="E118" s="123"/>
      <c r="F118" s="122" t="s">
        <v>808</v>
      </c>
      <c r="G118" s="124"/>
      <c r="H118" s="124" t="s">
        <v>104</v>
      </c>
      <c r="I118" s="124" t="s">
        <v>127</v>
      </c>
      <c r="J118" s="124" t="s">
        <v>49</v>
      </c>
      <c r="K118" s="124" t="s">
        <v>54</v>
      </c>
      <c r="L118" s="124" t="s">
        <v>54</v>
      </c>
      <c r="M118" s="125"/>
      <c r="N118" s="125"/>
      <c r="O118" s="79" t="str">
        <f t="shared" si="4"/>
        <v>pacs.008</v>
      </c>
    </row>
    <row r="119" spans="1:15" ht="27" customHeight="1">
      <c r="A119" s="121" t="s">
        <v>809</v>
      </c>
      <c r="B119" s="121" t="s">
        <v>810</v>
      </c>
      <c r="C119" s="121"/>
      <c r="D119" s="122" t="s">
        <v>811</v>
      </c>
      <c r="E119" s="123"/>
      <c r="F119" s="122" t="s">
        <v>812</v>
      </c>
      <c r="G119" s="124"/>
      <c r="H119" s="124" t="s">
        <v>104</v>
      </c>
      <c r="I119" s="124" t="s">
        <v>127</v>
      </c>
      <c r="J119" s="124" t="s">
        <v>49</v>
      </c>
      <c r="K119" s="124" t="s">
        <v>54</v>
      </c>
      <c r="L119" s="124" t="s">
        <v>54</v>
      </c>
      <c r="M119" s="125"/>
      <c r="N119" s="125"/>
      <c r="O119" s="79" t="str">
        <f t="shared" si="4"/>
        <v>pacs.008</v>
      </c>
    </row>
    <row r="120" spans="1:15" ht="27" customHeight="1">
      <c r="A120" s="121" t="s">
        <v>813</v>
      </c>
      <c r="B120" s="121" t="s">
        <v>592</v>
      </c>
      <c r="C120" s="121"/>
      <c r="D120" s="122" t="s">
        <v>814</v>
      </c>
      <c r="E120" s="123"/>
      <c r="F120" s="122" t="s">
        <v>815</v>
      </c>
      <c r="G120" s="124"/>
      <c r="H120" s="124" t="s">
        <v>104</v>
      </c>
      <c r="I120" s="124" t="s">
        <v>127</v>
      </c>
      <c r="J120" s="124" t="s">
        <v>54</v>
      </c>
      <c r="K120" s="124" t="s">
        <v>54</v>
      </c>
      <c r="L120" s="124" t="s">
        <v>54</v>
      </c>
      <c r="M120" s="125"/>
      <c r="N120" s="125"/>
      <c r="O120" s="79" t="str">
        <f t="shared" si="4"/>
        <v>pacs.008</v>
      </c>
    </row>
    <row r="121" spans="1:15" ht="27" customHeight="1">
      <c r="A121" s="121" t="s">
        <v>816</v>
      </c>
      <c r="B121" s="121" t="s">
        <v>581</v>
      </c>
      <c r="C121" s="121"/>
      <c r="D121" s="122" t="s">
        <v>817</v>
      </c>
      <c r="E121" s="123"/>
      <c r="F121" s="122" t="s">
        <v>818</v>
      </c>
      <c r="G121" s="124"/>
      <c r="H121" s="124" t="s">
        <v>104</v>
      </c>
      <c r="I121" s="124" t="s">
        <v>127</v>
      </c>
      <c r="J121" s="124" t="s">
        <v>49</v>
      </c>
      <c r="K121" s="124" t="s">
        <v>54</v>
      </c>
      <c r="L121" s="124" t="s">
        <v>54</v>
      </c>
      <c r="M121" s="125"/>
      <c r="N121" s="125"/>
      <c r="O121" s="79" t="str">
        <f t="shared" si="4"/>
        <v>pacs.008</v>
      </c>
    </row>
    <row r="122" spans="1:15" ht="27" customHeight="1">
      <c r="A122" s="106"/>
      <c r="B122" s="231" t="s">
        <v>819</v>
      </c>
      <c r="C122" s="248"/>
      <c r="D122" s="108"/>
      <c r="E122" s="108"/>
      <c r="F122" s="108"/>
      <c r="G122" s="108"/>
      <c r="H122" s="109"/>
      <c r="I122" s="109"/>
      <c r="J122" s="109"/>
      <c r="K122" s="109"/>
      <c r="L122" s="109"/>
      <c r="M122" s="108"/>
      <c r="N122" s="108"/>
      <c r="O122" s="79" t="e">
        <f t="shared" si="4"/>
        <v>#VALUE!</v>
      </c>
    </row>
    <row r="123" spans="1:15" ht="27" customHeight="1">
      <c r="A123" s="121" t="s">
        <v>820</v>
      </c>
      <c r="B123" s="121" t="s">
        <v>585</v>
      </c>
      <c r="C123" s="121"/>
      <c r="D123" s="122" t="s">
        <v>821</v>
      </c>
      <c r="E123" s="123"/>
      <c r="F123" s="131" t="s">
        <v>822</v>
      </c>
      <c r="G123" s="124"/>
      <c r="H123" s="124" t="s">
        <v>104</v>
      </c>
      <c r="I123" s="124" t="s">
        <v>127</v>
      </c>
      <c r="J123" s="124" t="s">
        <v>49</v>
      </c>
      <c r="K123" s="124" t="s">
        <v>49</v>
      </c>
      <c r="L123" s="124" t="s">
        <v>54</v>
      </c>
      <c r="M123" s="125"/>
      <c r="N123" s="125"/>
      <c r="O123" s="79" t="str">
        <f t="shared" si="4"/>
        <v>pacs.009</v>
      </c>
    </row>
    <row r="124" spans="1:15" ht="27" customHeight="1">
      <c r="A124" s="121" t="s">
        <v>823</v>
      </c>
      <c r="B124" s="121" t="s">
        <v>769</v>
      </c>
      <c r="C124" s="121"/>
      <c r="D124" s="122" t="s">
        <v>824</v>
      </c>
      <c r="E124" s="123"/>
      <c r="F124" s="131" t="s">
        <v>825</v>
      </c>
      <c r="G124" s="124"/>
      <c r="H124" s="124" t="s">
        <v>104</v>
      </c>
      <c r="I124" s="124" t="s">
        <v>127</v>
      </c>
      <c r="J124" s="124" t="s">
        <v>49</v>
      </c>
      <c r="K124" s="124" t="s">
        <v>49</v>
      </c>
      <c r="L124" s="124" t="s">
        <v>54</v>
      </c>
      <c r="M124" s="125"/>
      <c r="N124" s="125"/>
      <c r="O124" s="79" t="str">
        <f t="shared" si="4"/>
        <v>pacs.009</v>
      </c>
    </row>
    <row r="125" spans="1:15" ht="27" customHeight="1">
      <c r="A125" s="121" t="s">
        <v>826</v>
      </c>
      <c r="B125" s="121" t="s">
        <v>589</v>
      </c>
      <c r="C125" s="121"/>
      <c r="D125" s="122" t="s">
        <v>827</v>
      </c>
      <c r="E125" s="123"/>
      <c r="F125" s="131" t="s">
        <v>828</v>
      </c>
      <c r="G125" s="124"/>
      <c r="H125" s="124" t="s">
        <v>104</v>
      </c>
      <c r="I125" s="124" t="s">
        <v>127</v>
      </c>
      <c r="J125" s="124" t="s">
        <v>49</v>
      </c>
      <c r="K125" s="124" t="s">
        <v>49</v>
      </c>
      <c r="L125" s="124" t="s">
        <v>54</v>
      </c>
      <c r="M125" s="125"/>
      <c r="N125" s="125"/>
      <c r="O125" s="79" t="str">
        <f t="shared" si="4"/>
        <v>pacs.009</v>
      </c>
    </row>
    <row r="126" spans="1:15" ht="27" customHeight="1">
      <c r="A126" s="121" t="s">
        <v>829</v>
      </c>
      <c r="B126" s="121" t="s">
        <v>810</v>
      </c>
      <c r="C126" s="121"/>
      <c r="D126" s="122" t="s">
        <v>830</v>
      </c>
      <c r="E126" s="123"/>
      <c r="F126" s="131" t="s">
        <v>831</v>
      </c>
      <c r="G126" s="124"/>
      <c r="H126" s="124" t="s">
        <v>104</v>
      </c>
      <c r="I126" s="124" t="s">
        <v>127</v>
      </c>
      <c r="J126" s="124" t="s">
        <v>49</v>
      </c>
      <c r="K126" s="124" t="s">
        <v>49</v>
      </c>
      <c r="L126" s="124" t="s">
        <v>54</v>
      </c>
      <c r="M126" s="125"/>
      <c r="N126" s="125"/>
      <c r="O126" s="79" t="str">
        <f t="shared" si="4"/>
        <v>pacs.009</v>
      </c>
    </row>
    <row r="127" spans="1:15" ht="27" customHeight="1">
      <c r="A127" s="121" t="s">
        <v>832</v>
      </c>
      <c r="B127" s="121" t="s">
        <v>592</v>
      </c>
      <c r="C127" s="121"/>
      <c r="D127" s="122" t="s">
        <v>833</v>
      </c>
      <c r="E127" s="123"/>
      <c r="F127" s="131" t="s">
        <v>834</v>
      </c>
      <c r="G127" s="124"/>
      <c r="H127" s="124" t="s">
        <v>104</v>
      </c>
      <c r="I127" s="124" t="s">
        <v>127</v>
      </c>
      <c r="J127" s="124" t="s">
        <v>49</v>
      </c>
      <c r="K127" s="124" t="s">
        <v>49</v>
      </c>
      <c r="L127" s="124" t="s">
        <v>54</v>
      </c>
      <c r="M127" s="125"/>
      <c r="N127" s="125"/>
      <c r="O127" s="79" t="str">
        <f t="shared" si="4"/>
        <v>pacs.009</v>
      </c>
    </row>
    <row r="128" spans="1:15" ht="27" customHeight="1">
      <c r="A128" s="121" t="s">
        <v>835</v>
      </c>
      <c r="B128" s="121" t="s">
        <v>581</v>
      </c>
      <c r="C128" s="121"/>
      <c r="D128" s="122" t="s">
        <v>836</v>
      </c>
      <c r="E128" s="123"/>
      <c r="F128" s="131" t="s">
        <v>837</v>
      </c>
      <c r="G128" s="124"/>
      <c r="H128" s="124" t="s">
        <v>104</v>
      </c>
      <c r="I128" s="124" t="s">
        <v>127</v>
      </c>
      <c r="J128" s="124" t="s">
        <v>49</v>
      </c>
      <c r="K128" s="124" t="s">
        <v>49</v>
      </c>
      <c r="L128" s="124" t="s">
        <v>54</v>
      </c>
      <c r="M128" s="125"/>
      <c r="N128" s="125"/>
      <c r="O128" s="79" t="str">
        <f t="shared" si="4"/>
        <v>pacs.009</v>
      </c>
    </row>
    <row r="129" spans="1:15" ht="27" customHeight="1">
      <c r="A129" s="106"/>
      <c r="B129" s="231" t="s">
        <v>838</v>
      </c>
      <c r="C129" s="248"/>
      <c r="D129" s="108"/>
      <c r="E129" s="108"/>
      <c r="F129" s="108"/>
      <c r="G129" s="108"/>
      <c r="H129" s="109"/>
      <c r="I129" s="109"/>
      <c r="J129" s="109"/>
      <c r="K129" s="109"/>
      <c r="L129" s="109"/>
      <c r="M129" s="108"/>
      <c r="N129" s="108"/>
      <c r="O129" s="79" t="e">
        <f t="shared" si="4"/>
        <v>#VALUE!</v>
      </c>
    </row>
    <row r="130" spans="1:15" ht="27" customHeight="1">
      <c r="A130" s="121" t="s">
        <v>839</v>
      </c>
      <c r="B130" s="121" t="s">
        <v>585</v>
      </c>
      <c r="C130" s="121"/>
      <c r="D130" s="122" t="s">
        <v>840</v>
      </c>
      <c r="E130" s="123"/>
      <c r="F130" s="122" t="s">
        <v>841</v>
      </c>
      <c r="G130" s="124"/>
      <c r="H130" s="124" t="s">
        <v>104</v>
      </c>
      <c r="I130" s="124" t="s">
        <v>127</v>
      </c>
      <c r="J130" s="124" t="s">
        <v>54</v>
      </c>
      <c r="K130" s="124" t="s">
        <v>54</v>
      </c>
      <c r="L130" s="124" t="s">
        <v>54</v>
      </c>
      <c r="M130" s="125"/>
      <c r="N130" s="125"/>
      <c r="O130" s="79" t="str">
        <f t="shared" si="4"/>
        <v>pacs.004</v>
      </c>
    </row>
    <row r="131" spans="1:15" ht="27" customHeight="1">
      <c r="A131" s="121" t="s">
        <v>842</v>
      </c>
      <c r="B131" s="121" t="s">
        <v>769</v>
      </c>
      <c r="C131" s="121"/>
      <c r="D131" s="122" t="s">
        <v>843</v>
      </c>
      <c r="E131" s="123"/>
      <c r="F131" s="122" t="s">
        <v>844</v>
      </c>
      <c r="G131" s="124"/>
      <c r="H131" s="124" t="s">
        <v>104</v>
      </c>
      <c r="I131" s="124" t="s">
        <v>127</v>
      </c>
      <c r="J131" s="124" t="s">
        <v>54</v>
      </c>
      <c r="K131" s="124" t="s">
        <v>54</v>
      </c>
      <c r="L131" s="124" t="s">
        <v>54</v>
      </c>
      <c r="M131" s="125"/>
      <c r="N131" s="125"/>
      <c r="O131" s="79" t="str">
        <f t="shared" si="4"/>
        <v>pacs.004</v>
      </c>
    </row>
    <row r="132" spans="1:15" ht="27" customHeight="1">
      <c r="A132" s="121" t="s">
        <v>845</v>
      </c>
      <c r="B132" s="121" t="s">
        <v>589</v>
      </c>
      <c r="C132" s="121"/>
      <c r="D132" s="122" t="s">
        <v>846</v>
      </c>
      <c r="E132" s="123"/>
      <c r="F132" s="122" t="s">
        <v>847</v>
      </c>
      <c r="G132" s="124"/>
      <c r="H132" s="124" t="s">
        <v>104</v>
      </c>
      <c r="I132" s="124" t="s">
        <v>127</v>
      </c>
      <c r="J132" s="124" t="s">
        <v>54</v>
      </c>
      <c r="K132" s="124" t="s">
        <v>54</v>
      </c>
      <c r="L132" s="124" t="s">
        <v>54</v>
      </c>
      <c r="M132" s="125"/>
      <c r="N132" s="125"/>
      <c r="O132" s="79" t="str">
        <f t="shared" si="4"/>
        <v>pacs.004</v>
      </c>
    </row>
    <row r="133" spans="1:15" ht="27" customHeight="1">
      <c r="A133" s="121" t="s">
        <v>848</v>
      </c>
      <c r="B133" s="121" t="s">
        <v>810</v>
      </c>
      <c r="C133" s="121"/>
      <c r="D133" s="122" t="s">
        <v>849</v>
      </c>
      <c r="E133" s="123"/>
      <c r="F133" s="122" t="s">
        <v>850</v>
      </c>
      <c r="G133" s="124"/>
      <c r="H133" s="124" t="s">
        <v>104</v>
      </c>
      <c r="I133" s="124" t="s">
        <v>127</v>
      </c>
      <c r="J133" s="124" t="s">
        <v>54</v>
      </c>
      <c r="K133" s="124" t="s">
        <v>54</v>
      </c>
      <c r="L133" s="124" t="s">
        <v>54</v>
      </c>
      <c r="M133" s="125"/>
      <c r="N133" s="125"/>
      <c r="O133" s="79" t="str">
        <f t="shared" si="4"/>
        <v>pacs.004</v>
      </c>
    </row>
    <row r="134" spans="1:15" ht="27" customHeight="1">
      <c r="A134" s="121" t="s">
        <v>851</v>
      </c>
      <c r="B134" s="121" t="s">
        <v>592</v>
      </c>
      <c r="C134" s="121"/>
      <c r="D134" s="122" t="s">
        <v>852</v>
      </c>
      <c r="E134" s="123"/>
      <c r="F134" s="122" t="s">
        <v>853</v>
      </c>
      <c r="G134" s="124"/>
      <c r="H134" s="124" t="s">
        <v>104</v>
      </c>
      <c r="I134" s="124" t="s">
        <v>127</v>
      </c>
      <c r="J134" s="124" t="s">
        <v>54</v>
      </c>
      <c r="K134" s="124" t="s">
        <v>54</v>
      </c>
      <c r="L134" s="124" t="s">
        <v>54</v>
      </c>
      <c r="M134" s="125"/>
      <c r="N134" s="125"/>
      <c r="O134" s="79" t="str">
        <f t="shared" si="4"/>
        <v>pacs.004</v>
      </c>
    </row>
    <row r="135" spans="1:15" ht="27" customHeight="1">
      <c r="A135" s="121" t="s">
        <v>854</v>
      </c>
      <c r="B135" s="121" t="s">
        <v>581</v>
      </c>
      <c r="C135" s="121"/>
      <c r="D135" s="122" t="s">
        <v>855</v>
      </c>
      <c r="E135" s="123"/>
      <c r="F135" s="122" t="s">
        <v>856</v>
      </c>
      <c r="G135" s="124"/>
      <c r="H135" s="124" t="s">
        <v>104</v>
      </c>
      <c r="I135" s="124" t="s">
        <v>127</v>
      </c>
      <c r="J135" s="124" t="s">
        <v>54</v>
      </c>
      <c r="K135" s="124" t="s">
        <v>54</v>
      </c>
      <c r="L135" s="124" t="s">
        <v>54</v>
      </c>
      <c r="M135" s="125"/>
      <c r="N135" s="125"/>
      <c r="O135" s="79" t="str">
        <f t="shared" si="4"/>
        <v>pacs.004</v>
      </c>
    </row>
    <row r="136" spans="1:15" ht="27" customHeight="1">
      <c r="A136" s="106"/>
      <c r="B136" s="231" t="s">
        <v>857</v>
      </c>
      <c r="C136" s="248"/>
      <c r="D136" s="108"/>
      <c r="E136" s="108"/>
      <c r="F136" s="108"/>
      <c r="G136" s="108"/>
      <c r="H136" s="109"/>
      <c r="I136" s="109"/>
      <c r="J136" s="109"/>
      <c r="K136" s="109"/>
      <c r="L136" s="109"/>
      <c r="M136" s="108"/>
      <c r="N136" s="108"/>
      <c r="O136" s="79" t="e">
        <f t="shared" si="4"/>
        <v>#VALUE!</v>
      </c>
    </row>
    <row r="137" spans="1:15" ht="27" customHeight="1">
      <c r="A137" s="121" t="s">
        <v>858</v>
      </c>
      <c r="B137" s="121" t="s">
        <v>585</v>
      </c>
      <c r="C137" s="121"/>
      <c r="D137" s="122" t="s">
        <v>859</v>
      </c>
      <c r="E137" s="123"/>
      <c r="F137" s="122" t="s">
        <v>860</v>
      </c>
      <c r="G137" s="124"/>
      <c r="H137" s="124" t="s">
        <v>104</v>
      </c>
      <c r="I137" s="124" t="s">
        <v>127</v>
      </c>
      <c r="J137" s="124" t="s">
        <v>54</v>
      </c>
      <c r="K137" s="124" t="s">
        <v>54</v>
      </c>
      <c r="L137" s="124" t="s">
        <v>54</v>
      </c>
      <c r="M137" s="125"/>
      <c r="N137" s="125"/>
      <c r="O137" s="79" t="str">
        <f t="shared" si="4"/>
        <v>camt.110</v>
      </c>
    </row>
    <row r="138" spans="1:15" ht="27" customHeight="1">
      <c r="A138" s="121" t="s">
        <v>861</v>
      </c>
      <c r="B138" s="121" t="s">
        <v>589</v>
      </c>
      <c r="C138" s="121"/>
      <c r="D138" s="122" t="s">
        <v>862</v>
      </c>
      <c r="E138" s="123"/>
      <c r="F138" s="122" t="s">
        <v>860</v>
      </c>
      <c r="G138" s="124"/>
      <c r="H138" s="124" t="s">
        <v>104</v>
      </c>
      <c r="I138" s="124" t="s">
        <v>127</v>
      </c>
      <c r="J138" s="124" t="s">
        <v>54</v>
      </c>
      <c r="K138" s="124" t="s">
        <v>54</v>
      </c>
      <c r="L138" s="124" t="s">
        <v>54</v>
      </c>
      <c r="M138" s="125"/>
      <c r="N138" s="125"/>
      <c r="O138" s="79" t="str">
        <f t="shared" si="4"/>
        <v>camt.110</v>
      </c>
    </row>
    <row r="139" spans="1:15" ht="27" customHeight="1">
      <c r="A139" s="121" t="s">
        <v>863</v>
      </c>
      <c r="B139" s="121" t="s">
        <v>592</v>
      </c>
      <c r="C139" s="121"/>
      <c r="D139" s="126" t="s">
        <v>864</v>
      </c>
      <c r="E139" s="123"/>
      <c r="F139" s="122" t="s">
        <v>860</v>
      </c>
      <c r="G139" s="124"/>
      <c r="H139" s="124" t="s">
        <v>104</v>
      </c>
      <c r="I139" s="124" t="s">
        <v>127</v>
      </c>
      <c r="J139" s="124" t="s">
        <v>54</v>
      </c>
      <c r="K139" s="124" t="s">
        <v>54</v>
      </c>
      <c r="L139" s="124" t="s">
        <v>54</v>
      </c>
      <c r="M139" s="125"/>
      <c r="N139" s="125"/>
      <c r="O139" s="79" t="str">
        <f t="shared" si="4"/>
        <v>camt.110</v>
      </c>
    </row>
    <row r="140" spans="1:15" ht="27" customHeight="1">
      <c r="A140" s="121" t="s">
        <v>865</v>
      </c>
      <c r="B140" s="121" t="s">
        <v>581</v>
      </c>
      <c r="C140" s="121"/>
      <c r="D140" s="122" t="s">
        <v>866</v>
      </c>
      <c r="E140" s="123"/>
      <c r="F140" s="122" t="s">
        <v>867</v>
      </c>
      <c r="G140" s="124"/>
      <c r="H140" s="124" t="s">
        <v>104</v>
      </c>
      <c r="I140" s="124" t="s">
        <v>127</v>
      </c>
      <c r="J140" s="124" t="s">
        <v>54</v>
      </c>
      <c r="K140" s="124" t="s">
        <v>54</v>
      </c>
      <c r="L140" s="124" t="s">
        <v>54</v>
      </c>
      <c r="M140" s="125"/>
      <c r="N140" s="125"/>
      <c r="O140" s="79" t="str">
        <f t="shared" si="4"/>
        <v>camt.110</v>
      </c>
    </row>
    <row r="141" spans="1:15" ht="27" customHeight="1">
      <c r="A141" s="106"/>
      <c r="B141" s="231" t="s">
        <v>868</v>
      </c>
      <c r="C141" s="248"/>
      <c r="D141" s="108"/>
      <c r="E141" s="108"/>
      <c r="F141" s="108"/>
      <c r="G141" s="108"/>
      <c r="H141" s="109"/>
      <c r="I141" s="109"/>
      <c r="J141" s="109"/>
      <c r="K141" s="109"/>
      <c r="L141" s="109"/>
      <c r="M141" s="108"/>
      <c r="N141" s="108"/>
      <c r="O141" s="79" t="e">
        <f t="shared" si="4"/>
        <v>#VALUE!</v>
      </c>
    </row>
    <row r="142" spans="1:15" ht="27" customHeight="1">
      <c r="A142" s="121" t="s">
        <v>869</v>
      </c>
      <c r="B142" s="121" t="s">
        <v>585</v>
      </c>
      <c r="C142" s="121"/>
      <c r="D142" s="122" t="s">
        <v>870</v>
      </c>
      <c r="E142" s="123"/>
      <c r="F142" s="122" t="s">
        <v>871</v>
      </c>
      <c r="G142" s="124"/>
      <c r="H142" s="124" t="s">
        <v>104</v>
      </c>
      <c r="I142" s="124" t="s">
        <v>127</v>
      </c>
      <c r="J142" s="124" t="s">
        <v>54</v>
      </c>
      <c r="K142" s="124" t="s">
        <v>54</v>
      </c>
      <c r="L142" s="124" t="s">
        <v>54</v>
      </c>
      <c r="M142" s="125"/>
      <c r="N142" s="125"/>
      <c r="O142" s="79" t="str">
        <f t="shared" si="4"/>
        <v>camt.111</v>
      </c>
    </row>
    <row r="143" spans="1:15" ht="27" customHeight="1">
      <c r="A143" s="121" t="s">
        <v>872</v>
      </c>
      <c r="B143" s="121" t="s">
        <v>589</v>
      </c>
      <c r="C143" s="121"/>
      <c r="D143" s="122" t="s">
        <v>873</v>
      </c>
      <c r="E143" s="123"/>
      <c r="F143" s="122" t="s">
        <v>871</v>
      </c>
      <c r="G143" s="124"/>
      <c r="H143" s="124" t="s">
        <v>104</v>
      </c>
      <c r="I143" s="124" t="s">
        <v>127</v>
      </c>
      <c r="J143" s="124" t="s">
        <v>54</v>
      </c>
      <c r="K143" s="124" t="s">
        <v>54</v>
      </c>
      <c r="L143" s="124" t="s">
        <v>54</v>
      </c>
      <c r="M143" s="125"/>
      <c r="N143" s="125"/>
      <c r="O143" s="79" t="str">
        <f t="shared" si="4"/>
        <v>camt.111</v>
      </c>
    </row>
    <row r="144" spans="1:15" ht="27" customHeight="1">
      <c r="A144" s="121" t="s">
        <v>874</v>
      </c>
      <c r="B144" s="121" t="s">
        <v>592</v>
      </c>
      <c r="C144" s="121"/>
      <c r="D144" s="126" t="s">
        <v>875</v>
      </c>
      <c r="E144" s="123"/>
      <c r="F144" s="122" t="s">
        <v>871</v>
      </c>
      <c r="G144" s="124"/>
      <c r="H144" s="124" t="s">
        <v>104</v>
      </c>
      <c r="I144" s="124" t="s">
        <v>127</v>
      </c>
      <c r="J144" s="124" t="s">
        <v>54</v>
      </c>
      <c r="K144" s="124" t="s">
        <v>54</v>
      </c>
      <c r="L144" s="124" t="s">
        <v>54</v>
      </c>
      <c r="M144" s="125"/>
      <c r="N144" s="125"/>
      <c r="O144" s="79" t="str">
        <f t="shared" si="4"/>
        <v>camt.111</v>
      </c>
    </row>
    <row r="145" spans="1:15" ht="27" customHeight="1">
      <c r="A145" s="121" t="s">
        <v>876</v>
      </c>
      <c r="B145" s="121" t="s">
        <v>581</v>
      </c>
      <c r="C145" s="121"/>
      <c r="D145" s="122" t="s">
        <v>877</v>
      </c>
      <c r="E145" s="123"/>
      <c r="F145" s="122" t="s">
        <v>878</v>
      </c>
      <c r="G145" s="124"/>
      <c r="H145" s="124" t="s">
        <v>104</v>
      </c>
      <c r="I145" s="124" t="s">
        <v>127</v>
      </c>
      <c r="J145" s="124" t="s">
        <v>54</v>
      </c>
      <c r="K145" s="124" t="s">
        <v>54</v>
      </c>
      <c r="L145" s="124" t="s">
        <v>54</v>
      </c>
      <c r="M145" s="125"/>
      <c r="N145" s="125"/>
      <c r="O145" s="79" t="str">
        <f t="shared" si="4"/>
        <v>camt.111</v>
      </c>
    </row>
    <row r="146" spans="1:15" ht="27" customHeight="1">
      <c r="A146" s="106"/>
      <c r="B146" s="231" t="s">
        <v>879</v>
      </c>
      <c r="C146" s="248"/>
      <c r="D146" s="108"/>
      <c r="E146" s="108"/>
      <c r="F146" s="108"/>
      <c r="G146" s="108"/>
      <c r="H146" s="109"/>
      <c r="I146" s="109"/>
      <c r="J146" s="109"/>
      <c r="K146" s="109"/>
      <c r="L146" s="109"/>
      <c r="M146" s="108"/>
      <c r="N146" s="108"/>
      <c r="O146" s="79" t="s">
        <v>880</v>
      </c>
    </row>
    <row r="147" spans="1:15" ht="27" customHeight="1">
      <c r="A147" s="121" t="s">
        <v>881</v>
      </c>
      <c r="B147" s="121" t="s">
        <v>585</v>
      </c>
      <c r="C147" s="121"/>
      <c r="D147" s="122" t="s">
        <v>882</v>
      </c>
      <c r="E147" s="123"/>
      <c r="F147" s="122" t="s">
        <v>883</v>
      </c>
      <c r="G147" s="124"/>
      <c r="H147" s="124" t="s">
        <v>104</v>
      </c>
      <c r="I147" s="124" t="s">
        <v>127</v>
      </c>
      <c r="J147" s="124" t="s">
        <v>54</v>
      </c>
      <c r="K147" s="124" t="s">
        <v>54</v>
      </c>
      <c r="L147" s="124" t="s">
        <v>54</v>
      </c>
      <c r="M147" s="125"/>
      <c r="N147" s="125"/>
      <c r="O147" s="79" t="s">
        <v>880</v>
      </c>
    </row>
    <row r="148" spans="1:15" ht="27" customHeight="1">
      <c r="A148" s="121" t="s">
        <v>884</v>
      </c>
      <c r="B148" s="121" t="s">
        <v>769</v>
      </c>
      <c r="C148" s="121"/>
      <c r="D148" s="122" t="s">
        <v>885</v>
      </c>
      <c r="E148" s="123"/>
      <c r="F148" s="122" t="s">
        <v>886</v>
      </c>
      <c r="G148" s="124"/>
      <c r="H148" s="124" t="s">
        <v>104</v>
      </c>
      <c r="I148" s="124" t="s">
        <v>127</v>
      </c>
      <c r="J148" s="124" t="s">
        <v>54</v>
      </c>
      <c r="K148" s="124" t="s">
        <v>54</v>
      </c>
      <c r="L148" s="124" t="s">
        <v>54</v>
      </c>
      <c r="M148" s="125"/>
      <c r="N148" s="125"/>
      <c r="O148" s="79" t="s">
        <v>880</v>
      </c>
    </row>
    <row r="149" spans="1:15" ht="27" customHeight="1">
      <c r="A149" s="121" t="s">
        <v>887</v>
      </c>
      <c r="B149" s="121" t="s">
        <v>589</v>
      </c>
      <c r="C149" s="121"/>
      <c r="D149" s="122" t="s">
        <v>888</v>
      </c>
      <c r="E149" s="123"/>
      <c r="F149" s="122" t="s">
        <v>889</v>
      </c>
      <c r="G149" s="124"/>
      <c r="H149" s="124" t="s">
        <v>104</v>
      </c>
      <c r="I149" s="124" t="s">
        <v>127</v>
      </c>
      <c r="J149" s="124" t="s">
        <v>54</v>
      </c>
      <c r="K149" s="124" t="s">
        <v>54</v>
      </c>
      <c r="L149" s="124" t="s">
        <v>54</v>
      </c>
      <c r="M149" s="125"/>
      <c r="N149" s="125"/>
      <c r="O149" s="79" t="s">
        <v>880</v>
      </c>
    </row>
    <row r="150" spans="1:15" ht="27" customHeight="1">
      <c r="A150" s="121" t="s">
        <v>890</v>
      </c>
      <c r="B150" s="121" t="s">
        <v>810</v>
      </c>
      <c r="C150" s="121"/>
      <c r="D150" s="122" t="s">
        <v>891</v>
      </c>
      <c r="E150" s="123"/>
      <c r="F150" s="122" t="s">
        <v>892</v>
      </c>
      <c r="G150" s="124"/>
      <c r="H150" s="124" t="s">
        <v>104</v>
      </c>
      <c r="I150" s="124" t="s">
        <v>127</v>
      </c>
      <c r="J150" s="124" t="s">
        <v>54</v>
      </c>
      <c r="K150" s="124" t="s">
        <v>54</v>
      </c>
      <c r="L150" s="124" t="s">
        <v>54</v>
      </c>
      <c r="M150" s="125"/>
      <c r="N150" s="125"/>
      <c r="O150" s="79" t="s">
        <v>880</v>
      </c>
    </row>
    <row r="151" spans="1:15" ht="27" customHeight="1">
      <c r="A151" s="121" t="s">
        <v>893</v>
      </c>
      <c r="B151" s="121" t="s">
        <v>592</v>
      </c>
      <c r="C151" s="121"/>
      <c r="D151" s="122" t="s">
        <v>894</v>
      </c>
      <c r="E151" s="123"/>
      <c r="F151" s="122" t="s">
        <v>895</v>
      </c>
      <c r="G151" s="124"/>
      <c r="H151" s="124" t="s">
        <v>104</v>
      </c>
      <c r="I151" s="124" t="s">
        <v>127</v>
      </c>
      <c r="J151" s="124" t="s">
        <v>54</v>
      </c>
      <c r="K151" s="124" t="s">
        <v>54</v>
      </c>
      <c r="L151" s="124" t="s">
        <v>54</v>
      </c>
      <c r="M151" s="125"/>
      <c r="N151" s="125"/>
      <c r="O151" s="79" t="s">
        <v>880</v>
      </c>
    </row>
    <row r="152" spans="1:15" ht="27" customHeight="1">
      <c r="A152" s="106"/>
      <c r="B152" s="231" t="s">
        <v>896</v>
      </c>
      <c r="C152" s="248"/>
      <c r="D152" s="108"/>
      <c r="E152" s="108"/>
      <c r="F152" s="108"/>
      <c r="G152" s="108"/>
      <c r="H152" s="109"/>
      <c r="I152" s="109"/>
      <c r="J152" s="109"/>
      <c r="K152" s="109"/>
      <c r="L152" s="109"/>
      <c r="M152" s="108"/>
      <c r="N152" s="108"/>
      <c r="O152" s="79" t="s">
        <v>880</v>
      </c>
    </row>
    <row r="153" spans="1:15" ht="27" customHeight="1">
      <c r="A153" s="121" t="s">
        <v>897</v>
      </c>
      <c r="B153" s="121" t="s">
        <v>585</v>
      </c>
      <c r="C153" s="121"/>
      <c r="D153" s="122" t="s">
        <v>898</v>
      </c>
      <c r="E153" s="123"/>
      <c r="F153" s="122" t="s">
        <v>883</v>
      </c>
      <c r="G153" s="124"/>
      <c r="H153" s="124" t="s">
        <v>104</v>
      </c>
      <c r="I153" s="124" t="s">
        <v>127</v>
      </c>
      <c r="J153" s="124" t="s">
        <v>54</v>
      </c>
      <c r="K153" s="124" t="s">
        <v>54</v>
      </c>
      <c r="L153" s="124" t="s">
        <v>54</v>
      </c>
      <c r="M153" s="125"/>
      <c r="N153" s="125"/>
      <c r="O153" s="79" t="s">
        <v>880</v>
      </c>
    </row>
    <row r="154" spans="1:15" ht="27" customHeight="1">
      <c r="A154" s="121" t="s">
        <v>899</v>
      </c>
      <c r="B154" s="121" t="s">
        <v>769</v>
      </c>
      <c r="C154" s="121"/>
      <c r="D154" s="122" t="s">
        <v>900</v>
      </c>
      <c r="E154" s="123"/>
      <c r="F154" s="122" t="s">
        <v>886</v>
      </c>
      <c r="G154" s="124"/>
      <c r="H154" s="124" t="s">
        <v>104</v>
      </c>
      <c r="I154" s="124" t="s">
        <v>127</v>
      </c>
      <c r="J154" s="124" t="s">
        <v>54</v>
      </c>
      <c r="K154" s="124" t="s">
        <v>54</v>
      </c>
      <c r="L154" s="124" t="s">
        <v>54</v>
      </c>
      <c r="M154" s="125"/>
      <c r="N154" s="125"/>
      <c r="O154" s="79" t="s">
        <v>880</v>
      </c>
    </row>
    <row r="155" spans="1:15" ht="27" customHeight="1">
      <c r="A155" s="121" t="s">
        <v>901</v>
      </c>
      <c r="B155" s="121" t="s">
        <v>589</v>
      </c>
      <c r="C155" s="121"/>
      <c r="D155" s="122" t="s">
        <v>902</v>
      </c>
      <c r="E155" s="123"/>
      <c r="F155" s="122" t="s">
        <v>889</v>
      </c>
      <c r="G155" s="124"/>
      <c r="H155" s="124" t="s">
        <v>104</v>
      </c>
      <c r="I155" s="124" t="s">
        <v>127</v>
      </c>
      <c r="J155" s="124" t="s">
        <v>54</v>
      </c>
      <c r="K155" s="124" t="s">
        <v>54</v>
      </c>
      <c r="L155" s="124" t="s">
        <v>54</v>
      </c>
      <c r="M155" s="125"/>
      <c r="N155" s="125"/>
      <c r="O155" s="79" t="s">
        <v>880</v>
      </c>
    </row>
    <row r="156" spans="1:15" ht="27" customHeight="1">
      <c r="A156" s="121" t="s">
        <v>903</v>
      </c>
      <c r="B156" s="121" t="s">
        <v>810</v>
      </c>
      <c r="C156" s="121"/>
      <c r="D156" s="122" t="s">
        <v>904</v>
      </c>
      <c r="E156" s="123"/>
      <c r="F156" s="122" t="s">
        <v>892</v>
      </c>
      <c r="G156" s="124"/>
      <c r="H156" s="124" t="s">
        <v>104</v>
      </c>
      <c r="I156" s="124" t="s">
        <v>127</v>
      </c>
      <c r="J156" s="124" t="s">
        <v>54</v>
      </c>
      <c r="K156" s="124" t="s">
        <v>54</v>
      </c>
      <c r="L156" s="124" t="s">
        <v>54</v>
      </c>
      <c r="M156" s="125"/>
      <c r="N156" s="125"/>
      <c r="O156" s="79" t="s">
        <v>880</v>
      </c>
    </row>
    <row r="157" spans="1:15" ht="27" customHeight="1">
      <c r="A157" s="121" t="s">
        <v>905</v>
      </c>
      <c r="B157" s="121" t="s">
        <v>592</v>
      </c>
      <c r="C157" s="121"/>
      <c r="D157" s="122" t="s">
        <v>906</v>
      </c>
      <c r="E157" s="123"/>
      <c r="F157" s="122" t="s">
        <v>895</v>
      </c>
      <c r="G157" s="124"/>
      <c r="H157" s="124" t="s">
        <v>104</v>
      </c>
      <c r="I157" s="124" t="s">
        <v>127</v>
      </c>
      <c r="J157" s="124" t="s">
        <v>54</v>
      </c>
      <c r="K157" s="124" t="s">
        <v>54</v>
      </c>
      <c r="L157" s="124" t="s">
        <v>54</v>
      </c>
      <c r="M157" s="125"/>
      <c r="N157" s="125"/>
      <c r="O157" s="79" t="s">
        <v>880</v>
      </c>
    </row>
    <row r="158" spans="1:15" ht="27" customHeight="1">
      <c r="A158" s="106"/>
      <c r="B158" s="231" t="s">
        <v>907</v>
      </c>
      <c r="C158" s="248"/>
      <c r="D158" s="108"/>
      <c r="E158" s="108"/>
      <c r="F158" s="108"/>
      <c r="G158" s="108"/>
      <c r="H158" s="109"/>
      <c r="I158" s="109"/>
      <c r="J158" s="109"/>
      <c r="K158" s="109"/>
      <c r="L158" s="109"/>
      <c r="M158" s="108"/>
      <c r="N158" s="108"/>
      <c r="O158" s="79" t="s">
        <v>880</v>
      </c>
    </row>
    <row r="159" spans="1:15" ht="27" customHeight="1">
      <c r="A159" s="121" t="s">
        <v>908</v>
      </c>
      <c r="B159" s="121" t="s">
        <v>585</v>
      </c>
      <c r="C159" s="121"/>
      <c r="D159" s="122" t="s">
        <v>909</v>
      </c>
      <c r="E159" s="123"/>
      <c r="F159" s="122" t="s">
        <v>910</v>
      </c>
      <c r="G159" s="124"/>
      <c r="H159" s="124" t="s">
        <v>104</v>
      </c>
      <c r="I159" s="124" t="s">
        <v>127</v>
      </c>
      <c r="J159" s="124" t="s">
        <v>54</v>
      </c>
      <c r="K159" s="124" t="s">
        <v>54</v>
      </c>
      <c r="L159" s="124" t="s">
        <v>54</v>
      </c>
      <c r="M159" s="125"/>
      <c r="N159" s="125"/>
      <c r="O159" s="79" t="s">
        <v>880</v>
      </c>
    </row>
    <row r="160" spans="1:15" ht="27" customHeight="1">
      <c r="A160" s="121" t="s">
        <v>911</v>
      </c>
      <c r="B160" s="121" t="s">
        <v>769</v>
      </c>
      <c r="C160" s="121"/>
      <c r="D160" s="122" t="s">
        <v>912</v>
      </c>
      <c r="E160" s="123"/>
      <c r="F160" s="122" t="s">
        <v>913</v>
      </c>
      <c r="G160" s="124"/>
      <c r="H160" s="124" t="s">
        <v>104</v>
      </c>
      <c r="I160" s="124" t="s">
        <v>127</v>
      </c>
      <c r="J160" s="124" t="s">
        <v>54</v>
      </c>
      <c r="K160" s="124" t="s">
        <v>54</v>
      </c>
      <c r="L160" s="124" t="s">
        <v>54</v>
      </c>
      <c r="M160" s="125"/>
      <c r="N160" s="125"/>
      <c r="O160" s="79" t="s">
        <v>880</v>
      </c>
    </row>
    <row r="161" spans="1:15" ht="27" customHeight="1">
      <c r="A161" s="121" t="s">
        <v>914</v>
      </c>
      <c r="B161" s="121" t="s">
        <v>915</v>
      </c>
      <c r="C161" s="121"/>
      <c r="D161" s="122" t="s">
        <v>916</v>
      </c>
      <c r="E161" s="123"/>
      <c r="F161" s="122" t="s">
        <v>917</v>
      </c>
      <c r="G161" s="124"/>
      <c r="H161" s="124" t="s">
        <v>104</v>
      </c>
      <c r="I161" s="124" t="s">
        <v>127</v>
      </c>
      <c r="J161" s="124" t="s">
        <v>54</v>
      </c>
      <c r="K161" s="124" t="s">
        <v>54</v>
      </c>
      <c r="L161" s="124" t="s">
        <v>54</v>
      </c>
      <c r="M161" s="125"/>
      <c r="N161" s="125"/>
      <c r="O161" s="79" t="s">
        <v>880</v>
      </c>
    </row>
    <row r="162" spans="1:15" ht="27" customHeight="1">
      <c r="A162" s="121" t="s">
        <v>918</v>
      </c>
      <c r="B162" s="121" t="s">
        <v>919</v>
      </c>
      <c r="C162" s="121"/>
      <c r="D162" s="122" t="s">
        <v>920</v>
      </c>
      <c r="E162" s="123"/>
      <c r="F162" s="122" t="s">
        <v>921</v>
      </c>
      <c r="G162" s="124"/>
      <c r="H162" s="124" t="s">
        <v>104</v>
      </c>
      <c r="I162" s="124" t="s">
        <v>127</v>
      </c>
      <c r="J162" s="124" t="s">
        <v>54</v>
      </c>
      <c r="K162" s="124" t="s">
        <v>54</v>
      </c>
      <c r="L162" s="124" t="s">
        <v>54</v>
      </c>
      <c r="M162" s="125"/>
      <c r="N162" s="125"/>
      <c r="O162" s="79" t="s">
        <v>880</v>
      </c>
    </row>
    <row r="163" spans="1:15" ht="27" customHeight="1">
      <c r="A163" s="121" t="s">
        <v>922</v>
      </c>
      <c r="B163" s="121" t="s">
        <v>923</v>
      </c>
      <c r="C163" s="121"/>
      <c r="D163" s="122" t="s">
        <v>924</v>
      </c>
      <c r="E163" s="123"/>
      <c r="F163" s="122" t="s">
        <v>925</v>
      </c>
      <c r="G163" s="124"/>
      <c r="H163" s="124" t="s">
        <v>104</v>
      </c>
      <c r="I163" s="124" t="s">
        <v>127</v>
      </c>
      <c r="J163" s="124" t="s">
        <v>54</v>
      </c>
      <c r="K163" s="124" t="s">
        <v>54</v>
      </c>
      <c r="L163" s="124" t="s">
        <v>54</v>
      </c>
      <c r="M163" s="125"/>
      <c r="N163" s="125"/>
      <c r="O163" s="79" t="s">
        <v>880</v>
      </c>
    </row>
    <row r="164" spans="1:15" ht="27" customHeight="1">
      <c r="A164" s="121" t="s">
        <v>926</v>
      </c>
      <c r="B164" s="121" t="s">
        <v>592</v>
      </c>
      <c r="C164" s="121"/>
      <c r="D164" s="122" t="s">
        <v>927</v>
      </c>
      <c r="E164" s="123"/>
      <c r="F164" s="122" t="s">
        <v>928</v>
      </c>
      <c r="G164" s="124"/>
      <c r="H164" s="124" t="s">
        <v>104</v>
      </c>
      <c r="I164" s="124" t="s">
        <v>127</v>
      </c>
      <c r="J164" s="124" t="s">
        <v>54</v>
      </c>
      <c r="K164" s="124" t="s">
        <v>54</v>
      </c>
      <c r="L164" s="124" t="s">
        <v>54</v>
      </c>
      <c r="M164" s="125"/>
      <c r="N164" s="125"/>
      <c r="O164" s="79" t="s">
        <v>880</v>
      </c>
    </row>
    <row r="165" spans="1:15" ht="27" customHeight="1">
      <c r="A165" s="121" t="s">
        <v>929</v>
      </c>
      <c r="B165" s="121" t="s">
        <v>581</v>
      </c>
      <c r="C165" s="121"/>
      <c r="D165" s="122" t="s">
        <v>930</v>
      </c>
      <c r="E165" s="123"/>
      <c r="F165" s="122" t="s">
        <v>931</v>
      </c>
      <c r="G165" s="124"/>
      <c r="H165" s="124" t="s">
        <v>104</v>
      </c>
      <c r="I165" s="124" t="s">
        <v>127</v>
      </c>
      <c r="J165" s="124" t="s">
        <v>54</v>
      </c>
      <c r="K165" s="124" t="s">
        <v>54</v>
      </c>
      <c r="L165" s="124" t="s">
        <v>54</v>
      </c>
      <c r="M165" s="125"/>
      <c r="N165" s="125"/>
      <c r="O165" s="79" t="s">
        <v>880</v>
      </c>
    </row>
    <row r="166" spans="1:15" ht="27" customHeight="1">
      <c r="A166" s="121" t="s">
        <v>932</v>
      </c>
      <c r="B166" s="121" t="s">
        <v>675</v>
      </c>
      <c r="C166" s="121"/>
      <c r="D166" s="122" t="s">
        <v>933</v>
      </c>
      <c r="E166" s="123"/>
      <c r="F166" s="122" t="s">
        <v>934</v>
      </c>
      <c r="G166" s="124"/>
      <c r="H166" s="124" t="s">
        <v>104</v>
      </c>
      <c r="I166" s="124" t="s">
        <v>127</v>
      </c>
      <c r="J166" s="124" t="s">
        <v>54</v>
      </c>
      <c r="K166" s="124" t="s">
        <v>54</v>
      </c>
      <c r="L166" s="124" t="s">
        <v>54</v>
      </c>
      <c r="M166" s="125"/>
      <c r="N166" s="125"/>
      <c r="O166" s="79" t="s">
        <v>880</v>
      </c>
    </row>
    <row r="167" spans="1:15" ht="27" customHeight="1">
      <c r="A167" s="106"/>
      <c r="B167" s="231" t="s">
        <v>935</v>
      </c>
      <c r="C167" s="248"/>
      <c r="D167" s="108"/>
      <c r="E167" s="108"/>
      <c r="F167" s="108"/>
      <c r="G167" s="108"/>
      <c r="H167" s="109"/>
      <c r="I167" s="109"/>
      <c r="J167" s="109"/>
      <c r="K167" s="109"/>
      <c r="L167" s="109"/>
      <c r="M167" s="108"/>
      <c r="N167" s="108"/>
      <c r="O167" s="79" t="s">
        <v>880</v>
      </c>
    </row>
    <row r="168" spans="1:15" ht="27" customHeight="1">
      <c r="A168" s="121" t="s">
        <v>936</v>
      </c>
      <c r="B168" s="121" t="s">
        <v>585</v>
      </c>
      <c r="C168" s="121"/>
      <c r="D168" s="122" t="s">
        <v>937</v>
      </c>
      <c r="E168" s="123"/>
      <c r="F168" s="122" t="s">
        <v>938</v>
      </c>
      <c r="G168" s="124"/>
      <c r="H168" s="124" t="s">
        <v>104</v>
      </c>
      <c r="I168" s="124" t="s">
        <v>127</v>
      </c>
      <c r="J168" s="124" t="s">
        <v>54</v>
      </c>
      <c r="K168" s="124" t="s">
        <v>54</v>
      </c>
      <c r="L168" s="124" t="s">
        <v>54</v>
      </c>
      <c r="M168" s="125"/>
      <c r="N168" s="125"/>
      <c r="O168" s="79" t="s">
        <v>880</v>
      </c>
    </row>
    <row r="169" spans="1:15" ht="27" customHeight="1">
      <c r="A169" s="121" t="s">
        <v>939</v>
      </c>
      <c r="B169" s="121" t="s">
        <v>769</v>
      </c>
      <c r="C169" s="121"/>
      <c r="D169" s="122" t="s">
        <v>940</v>
      </c>
      <c r="E169" s="123"/>
      <c r="F169" s="122" t="s">
        <v>941</v>
      </c>
      <c r="G169" s="124"/>
      <c r="H169" s="124" t="s">
        <v>104</v>
      </c>
      <c r="I169" s="124" t="s">
        <v>127</v>
      </c>
      <c r="J169" s="124" t="s">
        <v>54</v>
      </c>
      <c r="K169" s="124" t="s">
        <v>54</v>
      </c>
      <c r="L169" s="124" t="s">
        <v>54</v>
      </c>
      <c r="M169" s="125"/>
      <c r="N169" s="125"/>
      <c r="O169" s="79" t="s">
        <v>880</v>
      </c>
    </row>
    <row r="170" spans="1:15" ht="27" customHeight="1">
      <c r="A170" s="121" t="s">
        <v>942</v>
      </c>
      <c r="B170" s="121" t="s">
        <v>915</v>
      </c>
      <c r="C170" s="121"/>
      <c r="D170" s="122" t="s">
        <v>943</v>
      </c>
      <c r="E170" s="123"/>
      <c r="F170" s="122" t="s">
        <v>944</v>
      </c>
      <c r="G170" s="124"/>
      <c r="H170" s="124" t="s">
        <v>104</v>
      </c>
      <c r="I170" s="124" t="s">
        <v>127</v>
      </c>
      <c r="J170" s="124" t="s">
        <v>54</v>
      </c>
      <c r="K170" s="124" t="s">
        <v>54</v>
      </c>
      <c r="L170" s="124" t="s">
        <v>54</v>
      </c>
      <c r="M170" s="125"/>
      <c r="N170" s="125"/>
      <c r="O170" s="79" t="s">
        <v>880</v>
      </c>
    </row>
    <row r="171" spans="1:15" ht="27" customHeight="1">
      <c r="A171" s="121" t="s">
        <v>945</v>
      </c>
      <c r="B171" s="121" t="s">
        <v>919</v>
      </c>
      <c r="C171" s="121"/>
      <c r="D171" s="122" t="s">
        <v>946</v>
      </c>
      <c r="E171" s="123"/>
      <c r="F171" s="122" t="s">
        <v>944</v>
      </c>
      <c r="G171" s="124"/>
      <c r="H171" s="124" t="s">
        <v>104</v>
      </c>
      <c r="I171" s="124" t="s">
        <v>127</v>
      </c>
      <c r="J171" s="124" t="s">
        <v>54</v>
      </c>
      <c r="K171" s="124" t="s">
        <v>54</v>
      </c>
      <c r="L171" s="124" t="s">
        <v>54</v>
      </c>
      <c r="M171" s="125"/>
      <c r="N171" s="125"/>
      <c r="O171" s="79" t="s">
        <v>880</v>
      </c>
    </row>
    <row r="172" spans="1:15" ht="27" customHeight="1">
      <c r="A172" s="121" t="s">
        <v>947</v>
      </c>
      <c r="B172" s="121" t="s">
        <v>589</v>
      </c>
      <c r="C172" s="121"/>
      <c r="D172" s="122" t="s">
        <v>948</v>
      </c>
      <c r="E172" s="123"/>
      <c r="F172" s="122" t="s">
        <v>949</v>
      </c>
      <c r="G172" s="124"/>
      <c r="H172" s="124" t="s">
        <v>104</v>
      </c>
      <c r="I172" s="124" t="s">
        <v>127</v>
      </c>
      <c r="J172" s="124" t="s">
        <v>54</v>
      </c>
      <c r="K172" s="124" t="s">
        <v>54</v>
      </c>
      <c r="L172" s="124" t="s">
        <v>54</v>
      </c>
      <c r="M172" s="125"/>
      <c r="N172" s="125"/>
      <c r="O172" s="79" t="s">
        <v>880</v>
      </c>
    </row>
    <row r="173" spans="1:15" ht="27" customHeight="1">
      <c r="A173" s="121" t="s">
        <v>950</v>
      </c>
      <c r="B173" s="121" t="s">
        <v>810</v>
      </c>
      <c r="C173" s="121"/>
      <c r="D173" s="122" t="s">
        <v>951</v>
      </c>
      <c r="E173" s="123"/>
      <c r="F173" s="122" t="s">
        <v>952</v>
      </c>
      <c r="G173" s="124"/>
      <c r="H173" s="124" t="s">
        <v>104</v>
      </c>
      <c r="I173" s="124" t="s">
        <v>127</v>
      </c>
      <c r="J173" s="124" t="s">
        <v>54</v>
      </c>
      <c r="K173" s="124" t="s">
        <v>54</v>
      </c>
      <c r="L173" s="124" t="s">
        <v>54</v>
      </c>
      <c r="M173" s="125"/>
      <c r="N173" s="125"/>
      <c r="O173" s="79" t="s">
        <v>880</v>
      </c>
    </row>
    <row r="174" spans="1:15" ht="27" customHeight="1">
      <c r="A174" s="121" t="s">
        <v>953</v>
      </c>
      <c r="B174" s="121" t="s">
        <v>954</v>
      </c>
      <c r="C174" s="121"/>
      <c r="D174" s="122" t="s">
        <v>955</v>
      </c>
      <c r="E174" s="123"/>
      <c r="F174" s="122" t="s">
        <v>956</v>
      </c>
      <c r="G174" s="124"/>
      <c r="H174" s="124" t="s">
        <v>104</v>
      </c>
      <c r="I174" s="124" t="s">
        <v>127</v>
      </c>
      <c r="J174" s="124" t="s">
        <v>54</v>
      </c>
      <c r="K174" s="124" t="s">
        <v>54</v>
      </c>
      <c r="L174" s="124" t="s">
        <v>54</v>
      </c>
      <c r="M174" s="125"/>
      <c r="N174" s="125"/>
      <c r="O174" s="79" t="s">
        <v>880</v>
      </c>
    </row>
    <row r="175" spans="1:15" ht="27" customHeight="1">
      <c r="A175" s="121" t="s">
        <v>957</v>
      </c>
      <c r="B175" s="121" t="s">
        <v>958</v>
      </c>
      <c r="C175" s="121"/>
      <c r="D175" s="122" t="s">
        <v>959</v>
      </c>
      <c r="E175" s="123"/>
      <c r="F175" s="122" t="s">
        <v>956</v>
      </c>
      <c r="G175" s="124"/>
      <c r="H175" s="124" t="s">
        <v>104</v>
      </c>
      <c r="I175" s="124" t="s">
        <v>127</v>
      </c>
      <c r="J175" s="124" t="s">
        <v>54</v>
      </c>
      <c r="K175" s="124" t="s">
        <v>54</v>
      </c>
      <c r="L175" s="124" t="s">
        <v>54</v>
      </c>
      <c r="M175" s="125"/>
      <c r="N175" s="125"/>
      <c r="O175" s="79" t="s">
        <v>880</v>
      </c>
    </row>
    <row r="176" spans="1:15" ht="27" customHeight="1">
      <c r="A176" s="121" t="s">
        <v>960</v>
      </c>
      <c r="B176" s="121" t="s">
        <v>592</v>
      </c>
      <c r="C176" s="121"/>
      <c r="D176" s="122" t="s">
        <v>961</v>
      </c>
      <c r="E176" s="123"/>
      <c r="F176" s="122" t="s">
        <v>962</v>
      </c>
      <c r="G176" s="124"/>
      <c r="H176" s="124" t="s">
        <v>104</v>
      </c>
      <c r="I176" s="124" t="s">
        <v>127</v>
      </c>
      <c r="J176" s="124" t="s">
        <v>54</v>
      </c>
      <c r="K176" s="124" t="s">
        <v>54</v>
      </c>
      <c r="L176" s="124" t="s">
        <v>54</v>
      </c>
      <c r="M176" s="125"/>
      <c r="N176" s="125"/>
      <c r="O176" s="79" t="s">
        <v>880</v>
      </c>
    </row>
    <row r="177" spans="1:15" ht="27" customHeight="1">
      <c r="A177" s="121" t="s">
        <v>963</v>
      </c>
      <c r="B177" s="121" t="s">
        <v>675</v>
      </c>
      <c r="C177" s="121"/>
      <c r="D177" s="122" t="s">
        <v>964</v>
      </c>
      <c r="E177" s="123"/>
      <c r="F177" s="122" t="s">
        <v>965</v>
      </c>
      <c r="G177" s="124"/>
      <c r="H177" s="124" t="s">
        <v>104</v>
      </c>
      <c r="I177" s="124" t="s">
        <v>127</v>
      </c>
      <c r="J177" s="124" t="s">
        <v>54</v>
      </c>
      <c r="K177" s="124" t="s">
        <v>54</v>
      </c>
      <c r="L177" s="124" t="s">
        <v>54</v>
      </c>
      <c r="M177" s="125"/>
      <c r="N177" s="125"/>
      <c r="O177" s="79" t="s">
        <v>880</v>
      </c>
    </row>
    <row r="178" spans="1:15" ht="27" customHeight="1"/>
    <row r="179" spans="1:15" ht="27" customHeight="1"/>
    <row r="180" spans="1:15" ht="27" customHeight="1"/>
    <row r="181" spans="1:15" ht="27" customHeight="1"/>
    <row r="182" spans="1:15" ht="27" customHeight="1"/>
    <row r="183" spans="1:15" ht="27" customHeight="1"/>
    <row r="184" spans="1:15" ht="15" customHeight="1"/>
    <row r="185" spans="1:15" ht="15" customHeight="1">
      <c r="A185" s="191" t="s">
        <v>966</v>
      </c>
      <c r="B185" s="191" t="s">
        <v>967</v>
      </c>
      <c r="C185" s="191"/>
      <c r="D185" s="191" t="s">
        <v>968</v>
      </c>
      <c r="E185" s="191"/>
      <c r="F185" s="191" t="s">
        <v>969</v>
      </c>
      <c r="G185" s="192" t="s">
        <v>43</v>
      </c>
      <c r="H185" s="192" t="s">
        <v>103</v>
      </c>
      <c r="I185" s="192" t="s">
        <v>127</v>
      </c>
      <c r="J185" s="192" t="s">
        <v>54</v>
      </c>
      <c r="K185" s="192" t="s">
        <v>54</v>
      </c>
      <c r="L185" s="192" t="s">
        <v>54</v>
      </c>
      <c r="M185" s="193"/>
      <c r="N185" s="193" t="s">
        <v>970</v>
      </c>
      <c r="O185" s="190" t="str">
        <f t="shared" ref="O185:O190" si="5">LEFT(A185, FIND("_", A185) - 1)</f>
        <v>MT700</v>
      </c>
    </row>
    <row r="186" spans="1:15" ht="15" customHeight="1">
      <c r="A186" s="191" t="s">
        <v>971</v>
      </c>
      <c r="B186" s="191" t="s">
        <v>972</v>
      </c>
      <c r="C186" s="191"/>
      <c r="D186" s="191" t="s">
        <v>973</v>
      </c>
      <c r="E186" s="191"/>
      <c r="F186" s="191" t="s">
        <v>974</v>
      </c>
      <c r="G186" s="192" t="s">
        <v>43</v>
      </c>
      <c r="H186" s="192" t="s">
        <v>103</v>
      </c>
      <c r="I186" s="192" t="s">
        <v>127</v>
      </c>
      <c r="J186" s="192" t="s">
        <v>54</v>
      </c>
      <c r="K186" s="192" t="s">
        <v>54</v>
      </c>
      <c r="L186" s="192" t="s">
        <v>54</v>
      </c>
      <c r="M186" s="193"/>
      <c r="N186" s="193" t="s">
        <v>970</v>
      </c>
      <c r="O186" s="190" t="str">
        <f t="shared" si="5"/>
        <v>MT701</v>
      </c>
    </row>
    <row r="187" spans="1:15" ht="15" customHeight="1">
      <c r="A187" s="191" t="s">
        <v>975</v>
      </c>
      <c r="B187" s="191" t="s">
        <v>976</v>
      </c>
      <c r="C187" s="191"/>
      <c r="D187" s="191" t="s">
        <v>977</v>
      </c>
      <c r="E187" s="191"/>
      <c r="F187" s="191" t="s">
        <v>978</v>
      </c>
      <c r="G187" s="192" t="s">
        <v>43</v>
      </c>
      <c r="H187" s="192" t="s">
        <v>103</v>
      </c>
      <c r="I187" s="192" t="s">
        <v>127</v>
      </c>
      <c r="J187" s="192" t="s">
        <v>54</v>
      </c>
      <c r="K187" s="192" t="s">
        <v>54</v>
      </c>
      <c r="L187" s="192" t="s">
        <v>54</v>
      </c>
      <c r="M187" s="193"/>
      <c r="N187" s="193" t="s">
        <v>979</v>
      </c>
      <c r="O187" s="190" t="str">
        <f t="shared" si="5"/>
        <v>MT707</v>
      </c>
    </row>
    <row r="188" spans="1:15" ht="75">
      <c r="A188" s="191" t="s">
        <v>980</v>
      </c>
      <c r="B188" s="191" t="s">
        <v>981</v>
      </c>
      <c r="C188" s="191"/>
      <c r="D188" s="191" t="s">
        <v>982</v>
      </c>
      <c r="E188" s="191"/>
      <c r="F188" s="191" t="s">
        <v>983</v>
      </c>
      <c r="G188" s="192" t="s">
        <v>43</v>
      </c>
      <c r="H188" s="192" t="s">
        <v>103</v>
      </c>
      <c r="I188" s="192" t="s">
        <v>127</v>
      </c>
      <c r="J188" s="192" t="s">
        <v>54</v>
      </c>
      <c r="K188" s="192" t="s">
        <v>54</v>
      </c>
      <c r="L188" s="192" t="s">
        <v>54</v>
      </c>
      <c r="M188" s="193"/>
      <c r="N188" s="193" t="s">
        <v>970</v>
      </c>
      <c r="O188" s="190" t="str">
        <f t="shared" si="5"/>
        <v>MT710</v>
      </c>
    </row>
    <row r="189" spans="1:15" ht="75">
      <c r="A189" s="191" t="s">
        <v>984</v>
      </c>
      <c r="B189" s="191" t="s">
        <v>985</v>
      </c>
      <c r="C189" s="191"/>
      <c r="D189" s="191" t="s">
        <v>986</v>
      </c>
      <c r="E189" s="191"/>
      <c r="F189" s="191" t="s">
        <v>987</v>
      </c>
      <c r="G189" s="192" t="s">
        <v>43</v>
      </c>
      <c r="H189" s="192" t="s">
        <v>103</v>
      </c>
      <c r="I189" s="192" t="s">
        <v>127</v>
      </c>
      <c r="J189" s="192" t="s">
        <v>54</v>
      </c>
      <c r="K189" s="192" t="s">
        <v>54</v>
      </c>
      <c r="L189" s="192" t="s">
        <v>54</v>
      </c>
      <c r="M189" s="193"/>
      <c r="N189" s="193" t="s">
        <v>970</v>
      </c>
      <c r="O189" s="190" t="str">
        <f t="shared" si="5"/>
        <v>MT711</v>
      </c>
    </row>
    <row r="190" spans="1:15" ht="75">
      <c r="A190" s="191" t="s">
        <v>988</v>
      </c>
      <c r="B190" s="191" t="s">
        <v>989</v>
      </c>
      <c r="C190" s="191"/>
      <c r="D190" s="191" t="s">
        <v>990</v>
      </c>
      <c r="E190" s="191"/>
      <c r="F190" s="191" t="s">
        <v>991</v>
      </c>
      <c r="G190" s="192" t="s">
        <v>43</v>
      </c>
      <c r="H190" s="192" t="s">
        <v>103</v>
      </c>
      <c r="I190" s="192" t="s">
        <v>127</v>
      </c>
      <c r="J190" s="192" t="s">
        <v>54</v>
      </c>
      <c r="K190" s="192" t="s">
        <v>54</v>
      </c>
      <c r="L190" s="192" t="s">
        <v>54</v>
      </c>
      <c r="M190" s="193"/>
      <c r="N190" s="193" t="s">
        <v>970</v>
      </c>
      <c r="O190" s="190" t="str">
        <f t="shared" si="5"/>
        <v>MT720</v>
      </c>
    </row>
  </sheetData>
  <autoFilter ref="A14:N177" xr:uid="{00000000-0009-0000-0000-000004000000}"/>
  <mergeCells count="29">
    <mergeCell ref="B167:C167"/>
    <mergeCell ref="B35:C35"/>
    <mergeCell ref="B100:C100"/>
    <mergeCell ref="B72:C72"/>
    <mergeCell ref="B158:C158"/>
    <mergeCell ref="B20:C20"/>
    <mergeCell ref="B45:C45"/>
    <mergeCell ref="B50:C50"/>
    <mergeCell ref="B88:C88"/>
    <mergeCell ref="B152:C152"/>
    <mergeCell ref="B55:C55"/>
    <mergeCell ref="B30:C30"/>
    <mergeCell ref="B66:C66"/>
    <mergeCell ref="B15:C15"/>
    <mergeCell ref="B136:C136"/>
    <mergeCell ref="B146:C146"/>
    <mergeCell ref="B92:C92"/>
    <mergeCell ref="B105:C105"/>
    <mergeCell ref="B78:C78"/>
    <mergeCell ref="B82:C82"/>
    <mergeCell ref="B141:C141"/>
    <mergeCell ref="B110:C110"/>
    <mergeCell ref="B122:C122"/>
    <mergeCell ref="B129:C129"/>
    <mergeCell ref="B61:C61"/>
    <mergeCell ref="B25:C25"/>
    <mergeCell ref="B115:C115"/>
    <mergeCell ref="B96:C96"/>
    <mergeCell ref="B40:C40"/>
  </mergeCells>
  <dataValidations count="1">
    <dataValidation type="list" allowBlank="1" showInputMessage="1" showErrorMessage="1" sqref="K91 K101:L104 K106:L109 L89:L91 K56:L60 K67:L71 K73:L77 K83:L87" xr:uid="{00000000-0002-0000-0400-000000000000}">
      <formula1>"Passed, Untested, Failed, Accepted, Pending"</formula1>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86"/>
  <sheetViews>
    <sheetView tabSelected="1" zoomScaleNormal="100" workbookViewId="0">
      <pane ySplit="13" topLeftCell="A14" activePane="bottomLeft" state="frozen"/>
      <selection pane="bottomLeft" activeCell="C16" sqref="C16"/>
    </sheetView>
  </sheetViews>
  <sheetFormatPr defaultColWidth="8.7109375" defaultRowHeight="15"/>
  <cols>
    <col min="1" max="2" width="12" customWidth="1"/>
    <col min="3" max="3" width="46.140625" customWidth="1"/>
    <col min="4" max="4" width="14" customWidth="1"/>
    <col min="5" max="5" width="40" customWidth="1"/>
    <col min="6" max="6" width="46" customWidth="1"/>
    <col min="7" max="7" width="59.7109375" customWidth="1"/>
    <col min="8" max="8" width="16" customWidth="1"/>
    <col min="9" max="9" width="10" style="80" customWidth="1"/>
    <col min="10" max="10" width="12.5703125" style="80" customWidth="1"/>
    <col min="11" max="11" width="14" style="80" customWidth="1"/>
    <col min="12" max="13" width="16.42578125" style="80" customWidth="1"/>
    <col min="14" max="14" width="10" customWidth="1"/>
    <col min="15" max="15" width="34.42578125" customWidth="1"/>
    <col min="16" max="17" width="13" customWidth="1"/>
  </cols>
  <sheetData>
    <row r="1" spans="1:17" ht="15" hidden="1" customHeight="1">
      <c r="A1" s="132" t="s">
        <v>99</v>
      </c>
      <c r="B1" s="132" t="s">
        <v>992</v>
      </c>
    </row>
    <row r="2" spans="1:17" ht="15" hidden="1" customHeight="1">
      <c r="A2" s="132" t="s">
        <v>101</v>
      </c>
      <c r="B2" s="132" t="s">
        <v>102</v>
      </c>
    </row>
    <row r="3" spans="1:17" hidden="1"/>
    <row r="4" spans="1:17" ht="15.75" hidden="1" customHeight="1">
      <c r="A4" s="133" t="s">
        <v>993</v>
      </c>
      <c r="B4" s="133" t="s">
        <v>103</v>
      </c>
      <c r="C4" s="133" t="s">
        <v>104</v>
      </c>
      <c r="D4" s="133" t="s">
        <v>105</v>
      </c>
      <c r="E4" s="133" t="s">
        <v>55</v>
      </c>
      <c r="F4" s="95"/>
    </row>
    <row r="5" spans="1:17" ht="15.75" hidden="1" customHeight="1">
      <c r="A5" s="134" t="s">
        <v>55</v>
      </c>
      <c r="B5" s="135"/>
      <c r="C5" s="135"/>
      <c r="D5" s="135"/>
      <c r="E5" s="135">
        <f t="shared" ref="E5:E11" si="0">SUM(B5:D5)</f>
        <v>0</v>
      </c>
      <c r="F5" s="100"/>
    </row>
    <row r="6" spans="1:17" ht="15.75" hidden="1" customHeight="1">
      <c r="A6" s="136" t="s">
        <v>49</v>
      </c>
      <c r="B6" s="137"/>
      <c r="C6" s="137"/>
      <c r="D6" s="137"/>
      <c r="E6" s="137">
        <f t="shared" si="0"/>
        <v>0</v>
      </c>
      <c r="F6" s="102"/>
      <c r="L6" s="80">
        <v>10</v>
      </c>
    </row>
    <row r="7" spans="1:17" ht="15.75" hidden="1" customHeight="1">
      <c r="A7" s="136" t="s">
        <v>50</v>
      </c>
      <c r="B7" s="137"/>
      <c r="C7" s="137"/>
      <c r="D7" s="137"/>
      <c r="E7" s="137">
        <f t="shared" si="0"/>
        <v>0</v>
      </c>
      <c r="F7" s="102"/>
      <c r="L7" s="80">
        <v>5</v>
      </c>
    </row>
    <row r="8" spans="1:17" ht="15.75" hidden="1" customHeight="1">
      <c r="A8" s="136" t="s">
        <v>54</v>
      </c>
      <c r="B8" s="137"/>
      <c r="C8" s="137"/>
      <c r="D8" s="137"/>
      <c r="E8" s="137">
        <f t="shared" si="0"/>
        <v>0</v>
      </c>
      <c r="F8" s="102"/>
      <c r="L8" s="80">
        <v>115</v>
      </c>
    </row>
    <row r="9" spans="1:17" ht="15.75" hidden="1" customHeight="1">
      <c r="A9" s="136" t="s">
        <v>106</v>
      </c>
      <c r="B9" s="137"/>
      <c r="C9" s="137"/>
      <c r="D9" s="137"/>
      <c r="E9" s="137">
        <f t="shared" si="0"/>
        <v>0</v>
      </c>
      <c r="F9" s="102"/>
    </row>
    <row r="10" spans="1:17" ht="15.75" hidden="1" customHeight="1">
      <c r="A10" s="136" t="s">
        <v>994</v>
      </c>
      <c r="B10" s="137"/>
      <c r="C10" s="137"/>
      <c r="D10" s="137"/>
      <c r="E10" s="137">
        <f t="shared" si="0"/>
        <v>0</v>
      </c>
      <c r="F10" s="102"/>
    </row>
    <row r="11" spans="1:17" ht="15.75" hidden="1" customHeight="1">
      <c r="A11" s="136" t="s">
        <v>51</v>
      </c>
      <c r="B11" s="137"/>
      <c r="C11" s="137"/>
      <c r="D11" s="137"/>
      <c r="E11" s="137">
        <f t="shared" si="0"/>
        <v>0</v>
      </c>
      <c r="F11" s="102"/>
    </row>
    <row r="12" spans="1:17" hidden="1"/>
    <row r="13" spans="1:17" ht="28.5" customHeight="1">
      <c r="A13" s="138" t="s">
        <v>995</v>
      </c>
      <c r="B13" s="138" t="s">
        <v>108</v>
      </c>
      <c r="C13" s="138" t="s">
        <v>109</v>
      </c>
      <c r="D13" s="138" t="s">
        <v>110</v>
      </c>
      <c r="E13" s="138" t="s">
        <v>111</v>
      </c>
      <c r="F13" s="138" t="s">
        <v>112</v>
      </c>
      <c r="G13" s="138" t="s">
        <v>113</v>
      </c>
      <c r="H13" s="138" t="s">
        <v>42</v>
      </c>
      <c r="I13" s="138" t="s">
        <v>114</v>
      </c>
      <c r="J13" s="138" t="s">
        <v>115</v>
      </c>
      <c r="K13" s="138" t="s">
        <v>116</v>
      </c>
      <c r="L13" s="138" t="s">
        <v>117</v>
      </c>
      <c r="M13" s="138" t="s">
        <v>118</v>
      </c>
      <c r="N13" s="138" t="s">
        <v>119</v>
      </c>
      <c r="O13" s="138" t="s">
        <v>120</v>
      </c>
      <c r="Q13" s="79"/>
    </row>
    <row r="14" spans="1:17" ht="36.75" customHeight="1">
      <c r="A14" s="139" t="s">
        <v>996</v>
      </c>
      <c r="B14" s="139"/>
      <c r="C14" s="139"/>
      <c r="D14" s="139"/>
      <c r="E14" s="139"/>
      <c r="F14" s="139"/>
      <c r="G14" s="139"/>
      <c r="H14" s="139"/>
      <c r="I14" s="139"/>
      <c r="J14" s="139"/>
      <c r="K14" s="139"/>
      <c r="L14" s="139"/>
      <c r="M14" s="139"/>
      <c r="N14" s="139"/>
      <c r="O14" s="139"/>
      <c r="Q14" s="79"/>
    </row>
    <row r="15" spans="1:17" ht="72" customHeight="1">
      <c r="A15" s="140" t="s">
        <v>67</v>
      </c>
      <c r="B15" s="141" t="s">
        <v>139</v>
      </c>
      <c r="C15" s="141" t="s">
        <v>997</v>
      </c>
      <c r="D15" s="141"/>
      <c r="E15" s="142" t="s">
        <v>998</v>
      </c>
      <c r="F15" s="143" t="s">
        <v>999</v>
      </c>
      <c r="G15" s="144" t="s">
        <v>1000</v>
      </c>
      <c r="H15" s="141"/>
      <c r="I15" s="145" t="s">
        <v>103</v>
      </c>
      <c r="J15" s="145" t="s">
        <v>127</v>
      </c>
      <c r="K15" s="145" t="s">
        <v>49</v>
      </c>
      <c r="L15" s="145" t="s">
        <v>49</v>
      </c>
      <c r="M15" s="145" t="s">
        <v>54</v>
      </c>
      <c r="N15" s="141"/>
      <c r="O15" s="141" t="s">
        <v>1001</v>
      </c>
      <c r="Q15" s="79"/>
    </row>
    <row r="16" spans="1:17" ht="36.75" customHeight="1">
      <c r="A16" s="140" t="s">
        <v>67</v>
      </c>
      <c r="B16" s="141" t="s">
        <v>142</v>
      </c>
      <c r="C16" s="141" t="s">
        <v>997</v>
      </c>
      <c r="D16" s="141"/>
      <c r="E16" s="142" t="s">
        <v>1002</v>
      </c>
      <c r="F16" s="146" t="s">
        <v>1003</v>
      </c>
      <c r="G16" s="144" t="s">
        <v>1004</v>
      </c>
      <c r="H16" s="141"/>
      <c r="I16" s="145" t="s">
        <v>103</v>
      </c>
      <c r="J16" s="145" t="s">
        <v>127</v>
      </c>
      <c r="K16" s="145" t="s">
        <v>49</v>
      </c>
      <c r="L16" s="145" t="s">
        <v>49</v>
      </c>
      <c r="M16" s="145" t="s">
        <v>54</v>
      </c>
      <c r="N16" s="141"/>
      <c r="O16" s="141" t="s">
        <v>1001</v>
      </c>
    </row>
    <row r="17" spans="1:15" ht="36.75" customHeight="1">
      <c r="A17" s="140" t="s">
        <v>67</v>
      </c>
      <c r="B17" s="141" t="s">
        <v>145</v>
      </c>
      <c r="C17" s="208" t="s">
        <v>1005</v>
      </c>
      <c r="D17" s="141"/>
      <c r="E17" s="142" t="s">
        <v>1006</v>
      </c>
      <c r="F17" s="209" t="s">
        <v>1007</v>
      </c>
      <c r="G17" s="207" t="s">
        <v>1008</v>
      </c>
      <c r="H17" s="141"/>
      <c r="I17" s="145" t="s">
        <v>103</v>
      </c>
      <c r="J17" s="145" t="s">
        <v>127</v>
      </c>
      <c r="K17" s="145" t="s">
        <v>49</v>
      </c>
      <c r="L17" s="145" t="s">
        <v>49</v>
      </c>
      <c r="M17" s="145" t="s">
        <v>54</v>
      </c>
      <c r="N17" s="141"/>
      <c r="O17" s="141" t="s">
        <v>1009</v>
      </c>
    </row>
    <row r="18" spans="1:15" ht="36.75" customHeight="1">
      <c r="A18" s="194" t="s">
        <v>67</v>
      </c>
      <c r="B18" s="195" t="s">
        <v>1010</v>
      </c>
      <c r="C18" s="195" t="s">
        <v>1011</v>
      </c>
      <c r="D18" s="195" t="s">
        <v>1012</v>
      </c>
      <c r="E18" s="195" t="s">
        <v>1013</v>
      </c>
      <c r="F18" s="206" t="s">
        <v>1014</v>
      </c>
      <c r="G18" s="197" t="s">
        <v>1015</v>
      </c>
      <c r="H18" s="195" t="s">
        <v>43</v>
      </c>
      <c r="I18" s="198" t="s">
        <v>103</v>
      </c>
      <c r="J18" s="198" t="s">
        <v>127</v>
      </c>
      <c r="K18" s="198" t="s">
        <v>54</v>
      </c>
      <c r="L18" s="198" t="s">
        <v>54</v>
      </c>
      <c r="M18" s="198" t="s">
        <v>54</v>
      </c>
      <c r="N18" s="195"/>
      <c r="O18" s="195" t="s">
        <v>1016</v>
      </c>
    </row>
    <row r="19" spans="1:15" ht="36.75" customHeight="1">
      <c r="A19" s="147" t="s">
        <v>66</v>
      </c>
      <c r="B19" s="147"/>
      <c r="C19" s="147"/>
      <c r="D19" s="147"/>
      <c r="E19" s="147"/>
      <c r="F19" s="147"/>
      <c r="G19" s="147"/>
      <c r="H19" s="147"/>
      <c r="I19" s="147"/>
      <c r="J19" s="147"/>
      <c r="K19" s="147"/>
      <c r="L19" s="147"/>
      <c r="M19" s="147"/>
      <c r="N19" s="147"/>
      <c r="O19" s="147"/>
    </row>
    <row r="20" spans="1:15" ht="36.75" customHeight="1">
      <c r="A20" s="140" t="s">
        <v>66</v>
      </c>
      <c r="B20" s="141" t="s">
        <v>123</v>
      </c>
      <c r="C20" s="141" t="s">
        <v>1017</v>
      </c>
      <c r="D20" s="141"/>
      <c r="E20" s="142" t="s">
        <v>1018</v>
      </c>
      <c r="F20" s="143" t="s">
        <v>1019</v>
      </c>
      <c r="G20" s="144" t="s">
        <v>1000</v>
      </c>
      <c r="H20" s="141"/>
      <c r="I20" s="145" t="s">
        <v>103</v>
      </c>
      <c r="J20" s="145" t="s">
        <v>127</v>
      </c>
      <c r="K20" s="145" t="s">
        <v>49</v>
      </c>
      <c r="L20" s="145" t="s">
        <v>49</v>
      </c>
      <c r="M20" s="145" t="s">
        <v>54</v>
      </c>
      <c r="N20" s="141"/>
      <c r="O20" s="141" t="s">
        <v>1001</v>
      </c>
    </row>
    <row r="21" spans="1:15" ht="36.75" customHeight="1">
      <c r="A21" s="140" t="s">
        <v>66</v>
      </c>
      <c r="B21" s="141" t="s">
        <v>128</v>
      </c>
      <c r="C21" s="141" t="s">
        <v>1017</v>
      </c>
      <c r="D21" s="141"/>
      <c r="E21" s="142" t="s">
        <v>1002</v>
      </c>
      <c r="F21" s="146" t="s">
        <v>1020</v>
      </c>
      <c r="G21" s="144" t="s">
        <v>1021</v>
      </c>
      <c r="H21" s="141"/>
      <c r="I21" s="145" t="s">
        <v>103</v>
      </c>
      <c r="J21" s="145" t="s">
        <v>127</v>
      </c>
      <c r="K21" s="145" t="s">
        <v>49</v>
      </c>
      <c r="L21" s="145" t="s">
        <v>49</v>
      </c>
      <c r="M21" s="145" t="s">
        <v>54</v>
      </c>
      <c r="N21" s="141"/>
      <c r="O21" s="141" t="s">
        <v>1022</v>
      </c>
    </row>
    <row r="22" spans="1:15" ht="36.75" customHeight="1">
      <c r="A22" s="140" t="s">
        <v>66</v>
      </c>
      <c r="B22" s="141" t="s">
        <v>131</v>
      </c>
      <c r="C22" s="141" t="s">
        <v>1023</v>
      </c>
      <c r="D22" s="141"/>
      <c r="E22" s="142" t="s">
        <v>1024</v>
      </c>
      <c r="F22" s="155" t="s">
        <v>1025</v>
      </c>
      <c r="G22" s="144" t="s">
        <v>1026</v>
      </c>
      <c r="H22" s="141"/>
      <c r="I22" s="145" t="s">
        <v>103</v>
      </c>
      <c r="J22" s="145" t="s">
        <v>127</v>
      </c>
      <c r="K22" s="145" t="s">
        <v>49</v>
      </c>
      <c r="L22" s="145" t="s">
        <v>49</v>
      </c>
      <c r="M22" s="145" t="s">
        <v>54</v>
      </c>
      <c r="N22" s="141"/>
      <c r="O22" s="141" t="s">
        <v>1027</v>
      </c>
    </row>
    <row r="23" spans="1:15" ht="36.75" customHeight="1">
      <c r="A23" s="194" t="s">
        <v>66</v>
      </c>
      <c r="B23" s="195" t="s">
        <v>1028</v>
      </c>
      <c r="C23" s="195" t="s">
        <v>1029</v>
      </c>
      <c r="D23" s="195" t="s">
        <v>1012</v>
      </c>
      <c r="E23" s="205" t="s">
        <v>1013</v>
      </c>
      <c r="F23" s="206" t="s">
        <v>1030</v>
      </c>
      <c r="G23" s="197" t="s">
        <v>1015</v>
      </c>
      <c r="H23" s="195" t="s">
        <v>43</v>
      </c>
      <c r="I23" s="198" t="s">
        <v>103</v>
      </c>
      <c r="J23" s="198" t="s">
        <v>127</v>
      </c>
      <c r="K23" s="198" t="s">
        <v>54</v>
      </c>
      <c r="L23" s="198" t="s">
        <v>54</v>
      </c>
      <c r="M23" s="198" t="s">
        <v>54</v>
      </c>
      <c r="N23" s="195"/>
      <c r="O23" s="195" t="s">
        <v>1016</v>
      </c>
    </row>
    <row r="24" spans="1:15" ht="36.75" customHeight="1">
      <c r="A24" s="139" t="s">
        <v>1031</v>
      </c>
      <c r="B24" s="139"/>
      <c r="C24" s="139"/>
      <c r="D24" s="139"/>
      <c r="E24" s="139"/>
      <c r="F24" s="139"/>
      <c r="G24" s="139"/>
      <c r="H24" s="139"/>
      <c r="I24" s="139"/>
      <c r="J24" s="139"/>
      <c r="K24" s="139"/>
      <c r="L24" s="139"/>
      <c r="M24" s="139"/>
      <c r="N24" s="139"/>
      <c r="O24" s="139"/>
    </row>
    <row r="25" spans="1:15" ht="36.75" customHeight="1">
      <c r="A25" s="140" t="s">
        <v>70</v>
      </c>
      <c r="B25" s="141" t="s">
        <v>180</v>
      </c>
      <c r="C25" s="141" t="s">
        <v>1032</v>
      </c>
      <c r="D25" s="141"/>
      <c r="E25" s="141" t="s">
        <v>1018</v>
      </c>
      <c r="F25" s="143" t="s">
        <v>1033</v>
      </c>
      <c r="G25" s="144" t="s">
        <v>1000</v>
      </c>
      <c r="H25" s="141"/>
      <c r="I25" s="145" t="s">
        <v>103</v>
      </c>
      <c r="J25" s="145" t="s">
        <v>127</v>
      </c>
      <c r="K25" s="145" t="s">
        <v>49</v>
      </c>
      <c r="L25" s="145" t="s">
        <v>49</v>
      </c>
      <c r="M25" s="145" t="s">
        <v>54</v>
      </c>
      <c r="N25" s="141"/>
      <c r="O25" s="141" t="s">
        <v>1001</v>
      </c>
    </row>
    <row r="26" spans="1:15" ht="36.75" customHeight="1">
      <c r="A26" s="140" t="s">
        <v>70</v>
      </c>
      <c r="B26" s="141" t="s">
        <v>183</v>
      </c>
      <c r="C26" s="141" t="s">
        <v>1032</v>
      </c>
      <c r="D26" s="141"/>
      <c r="E26" s="141" t="s">
        <v>1002</v>
      </c>
      <c r="F26" s="146" t="s">
        <v>1034</v>
      </c>
      <c r="G26" s="144" t="s">
        <v>1021</v>
      </c>
      <c r="H26" s="141"/>
      <c r="I26" s="145" t="s">
        <v>103</v>
      </c>
      <c r="J26" s="145" t="s">
        <v>127</v>
      </c>
      <c r="K26" s="145" t="s">
        <v>49</v>
      </c>
      <c r="L26" s="145" t="s">
        <v>49</v>
      </c>
      <c r="M26" s="145" t="s">
        <v>54</v>
      </c>
      <c r="N26" s="141"/>
      <c r="O26" s="141" t="s">
        <v>1022</v>
      </c>
    </row>
    <row r="27" spans="1:15" ht="36.75" customHeight="1">
      <c r="A27" s="140" t="s">
        <v>70</v>
      </c>
      <c r="B27" s="141" t="s">
        <v>186</v>
      </c>
      <c r="C27" s="141" t="s">
        <v>1035</v>
      </c>
      <c r="D27" s="141"/>
      <c r="E27" s="141" t="s">
        <v>1006</v>
      </c>
      <c r="F27" s="155" t="s">
        <v>1036</v>
      </c>
      <c r="G27" s="144" t="s">
        <v>1037</v>
      </c>
      <c r="H27" s="141"/>
      <c r="I27" s="145" t="s">
        <v>103</v>
      </c>
      <c r="J27" s="145" t="s">
        <v>127</v>
      </c>
      <c r="K27" s="145" t="s">
        <v>49</v>
      </c>
      <c r="L27" s="145" t="s">
        <v>49</v>
      </c>
      <c r="M27" s="145" t="s">
        <v>54</v>
      </c>
      <c r="N27" s="141"/>
      <c r="O27" s="141" t="s">
        <v>1009</v>
      </c>
    </row>
    <row r="28" spans="1:15" ht="36.75" customHeight="1">
      <c r="A28" s="194" t="s">
        <v>70</v>
      </c>
      <c r="B28" s="195" t="s">
        <v>1038</v>
      </c>
      <c r="C28" s="195" t="s">
        <v>1039</v>
      </c>
      <c r="D28" s="195" t="s">
        <v>1012</v>
      </c>
      <c r="E28" s="195" t="s">
        <v>1013</v>
      </c>
      <c r="F28" s="196" t="s">
        <v>1040</v>
      </c>
      <c r="G28" s="197" t="s">
        <v>1015</v>
      </c>
      <c r="H28" s="195" t="s">
        <v>43</v>
      </c>
      <c r="I28" s="198" t="s">
        <v>103</v>
      </c>
      <c r="J28" s="198" t="s">
        <v>127</v>
      </c>
      <c r="K28" s="198" t="s">
        <v>54</v>
      </c>
      <c r="L28" s="198" t="s">
        <v>54</v>
      </c>
      <c r="M28" s="198" t="s">
        <v>54</v>
      </c>
      <c r="N28" s="195"/>
      <c r="O28" s="195" t="s">
        <v>1016</v>
      </c>
    </row>
    <row r="29" spans="1:15" ht="36.75" customHeight="1">
      <c r="A29" s="139" t="s">
        <v>1041</v>
      </c>
      <c r="B29" s="139"/>
      <c r="C29" s="139"/>
      <c r="D29" s="139"/>
      <c r="E29" s="139"/>
      <c r="F29" s="139"/>
      <c r="G29" s="139"/>
      <c r="H29" s="139"/>
      <c r="I29" s="139"/>
      <c r="J29" s="139"/>
      <c r="K29" s="139"/>
      <c r="L29" s="139"/>
      <c r="M29" s="139"/>
      <c r="N29" s="139"/>
      <c r="O29" s="139"/>
    </row>
    <row r="30" spans="1:15" ht="36.75" customHeight="1">
      <c r="A30" s="140" t="s">
        <v>69</v>
      </c>
      <c r="B30" s="141" t="s">
        <v>167</v>
      </c>
      <c r="C30" s="141" t="s">
        <v>1042</v>
      </c>
      <c r="D30" s="141"/>
      <c r="E30" s="141" t="s">
        <v>1018</v>
      </c>
      <c r="F30" s="143" t="s">
        <v>1043</v>
      </c>
      <c r="G30" s="144" t="s">
        <v>1000</v>
      </c>
      <c r="H30" s="141"/>
      <c r="I30" s="145" t="s">
        <v>103</v>
      </c>
      <c r="J30" s="145" t="s">
        <v>127</v>
      </c>
      <c r="K30" s="145" t="s">
        <v>49</v>
      </c>
      <c r="L30" s="145" t="s">
        <v>49</v>
      </c>
      <c r="M30" s="145" t="s">
        <v>54</v>
      </c>
      <c r="N30" s="141"/>
      <c r="O30" s="141" t="s">
        <v>1001</v>
      </c>
    </row>
    <row r="31" spans="1:15" ht="36.75" customHeight="1">
      <c r="A31" s="140" t="s">
        <v>69</v>
      </c>
      <c r="B31" s="141" t="s">
        <v>170</v>
      </c>
      <c r="C31" s="141" t="s">
        <v>1042</v>
      </c>
      <c r="D31" s="141"/>
      <c r="E31" s="141" t="s">
        <v>1002</v>
      </c>
      <c r="F31" s="146" t="s">
        <v>1044</v>
      </c>
      <c r="G31" s="144" t="s">
        <v>1021</v>
      </c>
      <c r="H31" s="141"/>
      <c r="I31" s="145" t="s">
        <v>103</v>
      </c>
      <c r="J31" s="145" t="s">
        <v>127</v>
      </c>
      <c r="K31" s="145" t="s">
        <v>49</v>
      </c>
      <c r="L31" s="145" t="s">
        <v>49</v>
      </c>
      <c r="M31" s="145" t="s">
        <v>54</v>
      </c>
      <c r="N31" s="141"/>
      <c r="O31" s="141" t="s">
        <v>1022</v>
      </c>
    </row>
    <row r="32" spans="1:15" ht="36.75" customHeight="1">
      <c r="A32" s="140" t="s">
        <v>69</v>
      </c>
      <c r="B32" s="141" t="s">
        <v>173</v>
      </c>
      <c r="C32" s="141" t="s">
        <v>1045</v>
      </c>
      <c r="D32" s="141"/>
      <c r="E32" s="141" t="s">
        <v>1024</v>
      </c>
      <c r="F32" s="155" t="s">
        <v>1046</v>
      </c>
      <c r="G32" s="144" t="s">
        <v>1026</v>
      </c>
      <c r="H32" s="141"/>
      <c r="I32" s="145" t="s">
        <v>103</v>
      </c>
      <c r="J32" s="145" t="s">
        <v>127</v>
      </c>
      <c r="K32" s="145" t="s">
        <v>49</v>
      </c>
      <c r="L32" s="145" t="s">
        <v>49</v>
      </c>
      <c r="M32" s="145" t="s">
        <v>54</v>
      </c>
      <c r="N32" s="141"/>
      <c r="O32" s="141" t="s">
        <v>1027</v>
      </c>
    </row>
    <row r="33" spans="1:15" ht="36.75" customHeight="1">
      <c r="A33" s="194" t="s">
        <v>69</v>
      </c>
      <c r="B33" s="195" t="s">
        <v>1047</v>
      </c>
      <c r="C33" s="195" t="s">
        <v>1048</v>
      </c>
      <c r="D33" s="195" t="s">
        <v>1012</v>
      </c>
      <c r="E33" s="195" t="s">
        <v>1013</v>
      </c>
      <c r="F33" s="196" t="s">
        <v>1049</v>
      </c>
      <c r="G33" s="197" t="s">
        <v>1015</v>
      </c>
      <c r="H33" s="195" t="s">
        <v>43</v>
      </c>
      <c r="I33" s="198" t="s">
        <v>103</v>
      </c>
      <c r="J33" s="198" t="s">
        <v>127</v>
      </c>
      <c r="K33" s="198" t="s">
        <v>54</v>
      </c>
      <c r="L33" s="198" t="s">
        <v>54</v>
      </c>
      <c r="M33" s="198" t="s">
        <v>54</v>
      </c>
      <c r="N33" s="195"/>
      <c r="O33" s="195" t="s">
        <v>1016</v>
      </c>
    </row>
    <row r="34" spans="1:15" ht="36.75" customHeight="1">
      <c r="A34" s="139" t="s">
        <v>1050</v>
      </c>
      <c r="B34" s="139"/>
      <c r="C34" s="139"/>
      <c r="D34" s="139"/>
      <c r="E34" s="139"/>
      <c r="F34" s="139"/>
      <c r="G34" s="139"/>
      <c r="H34" s="139"/>
      <c r="I34" s="139"/>
      <c r="J34" s="139"/>
      <c r="K34" s="139"/>
      <c r="L34" s="139"/>
      <c r="M34" s="139"/>
      <c r="N34" s="139"/>
      <c r="O34" s="139"/>
    </row>
    <row r="35" spans="1:15" ht="36.75" customHeight="1">
      <c r="A35" s="140" t="s">
        <v>68</v>
      </c>
      <c r="B35" s="141" t="s">
        <v>153</v>
      </c>
      <c r="C35" s="141" t="s">
        <v>1051</v>
      </c>
      <c r="D35" s="141"/>
      <c r="E35" s="141" t="s">
        <v>1018</v>
      </c>
      <c r="F35" s="143" t="s">
        <v>1052</v>
      </c>
      <c r="G35" s="144" t="s">
        <v>1000</v>
      </c>
      <c r="H35" s="141"/>
      <c r="I35" s="145" t="s">
        <v>103</v>
      </c>
      <c r="J35" s="145" t="s">
        <v>127</v>
      </c>
      <c r="K35" s="145" t="s">
        <v>49</v>
      </c>
      <c r="L35" s="145" t="s">
        <v>49</v>
      </c>
      <c r="M35" s="145" t="s">
        <v>54</v>
      </c>
      <c r="N35" s="141"/>
      <c r="O35" s="141" t="s">
        <v>1001</v>
      </c>
    </row>
    <row r="36" spans="1:15" ht="36.75" customHeight="1">
      <c r="A36" s="140" t="s">
        <v>68</v>
      </c>
      <c r="B36" s="141" t="s">
        <v>156</v>
      </c>
      <c r="C36" s="141" t="s">
        <v>1051</v>
      </c>
      <c r="D36" s="141"/>
      <c r="E36" s="141" t="s">
        <v>1002</v>
      </c>
      <c r="F36" s="146" t="s">
        <v>1053</v>
      </c>
      <c r="G36" s="144" t="s">
        <v>1021</v>
      </c>
      <c r="H36" s="141"/>
      <c r="I36" s="145" t="s">
        <v>103</v>
      </c>
      <c r="J36" s="145" t="s">
        <v>127</v>
      </c>
      <c r="K36" s="145" t="s">
        <v>49</v>
      </c>
      <c r="L36" s="145" t="s">
        <v>49</v>
      </c>
      <c r="M36" s="145" t="s">
        <v>54</v>
      </c>
      <c r="N36" s="141"/>
      <c r="O36" s="141" t="s">
        <v>1022</v>
      </c>
    </row>
    <row r="37" spans="1:15" ht="36.75" customHeight="1">
      <c r="A37" s="140" t="s">
        <v>68</v>
      </c>
      <c r="B37" s="141" t="s">
        <v>159</v>
      </c>
      <c r="C37" s="141" t="s">
        <v>1054</v>
      </c>
      <c r="D37" s="141"/>
      <c r="E37" s="141" t="s">
        <v>1055</v>
      </c>
      <c r="F37" s="155" t="s">
        <v>1056</v>
      </c>
      <c r="G37" s="144" t="s">
        <v>1057</v>
      </c>
      <c r="H37" s="141"/>
      <c r="I37" s="145" t="s">
        <v>103</v>
      </c>
      <c r="J37" s="145" t="s">
        <v>127</v>
      </c>
      <c r="K37" s="145" t="s">
        <v>49</v>
      </c>
      <c r="L37" s="145" t="s">
        <v>49</v>
      </c>
      <c r="M37" s="145" t="s">
        <v>54</v>
      </c>
      <c r="N37" s="141"/>
      <c r="O37" s="141" t="s">
        <v>1058</v>
      </c>
    </row>
    <row r="38" spans="1:15" ht="36.75" customHeight="1">
      <c r="A38" s="139" t="s">
        <v>1059</v>
      </c>
      <c r="B38" s="139"/>
      <c r="C38" s="139"/>
      <c r="D38" s="139"/>
      <c r="E38" s="139"/>
      <c r="F38" s="139"/>
      <c r="G38" s="139"/>
      <c r="H38" s="139"/>
      <c r="I38" s="139"/>
      <c r="J38" s="139"/>
      <c r="K38" s="139"/>
      <c r="L38" s="139"/>
      <c r="M38" s="139"/>
      <c r="N38" s="139"/>
      <c r="O38" s="139"/>
    </row>
    <row r="39" spans="1:15" ht="36.75" customHeight="1">
      <c r="A39" s="140" t="s">
        <v>72</v>
      </c>
      <c r="B39" s="141" t="s">
        <v>194</v>
      </c>
      <c r="C39" s="141" t="s">
        <v>1060</v>
      </c>
      <c r="D39" s="141"/>
      <c r="E39" s="141" t="s">
        <v>1018</v>
      </c>
      <c r="F39" s="143" t="s">
        <v>1061</v>
      </c>
      <c r="G39" s="144" t="s">
        <v>1000</v>
      </c>
      <c r="H39" s="141"/>
      <c r="I39" s="145" t="s">
        <v>103</v>
      </c>
      <c r="J39" s="145" t="s">
        <v>127</v>
      </c>
      <c r="K39" s="145" t="s">
        <v>49</v>
      </c>
      <c r="L39" s="145" t="s">
        <v>49</v>
      </c>
      <c r="M39" s="145" t="s">
        <v>54</v>
      </c>
      <c r="N39" s="141"/>
      <c r="O39" s="141" t="s">
        <v>1001</v>
      </c>
    </row>
    <row r="40" spans="1:15" ht="36.75" customHeight="1">
      <c r="A40" s="140" t="s">
        <v>72</v>
      </c>
      <c r="B40" s="141" t="s">
        <v>197</v>
      </c>
      <c r="C40" s="141" t="s">
        <v>1060</v>
      </c>
      <c r="D40" s="141"/>
      <c r="E40" s="141" t="s">
        <v>1002</v>
      </c>
      <c r="F40" s="146" t="s">
        <v>1062</v>
      </c>
      <c r="G40" s="144" t="s">
        <v>1021</v>
      </c>
      <c r="H40" s="141"/>
      <c r="I40" s="145" t="s">
        <v>103</v>
      </c>
      <c r="J40" s="145" t="s">
        <v>127</v>
      </c>
      <c r="K40" s="145" t="s">
        <v>49</v>
      </c>
      <c r="L40" s="145" t="s">
        <v>49</v>
      </c>
      <c r="M40" s="145" t="s">
        <v>54</v>
      </c>
      <c r="N40" s="141"/>
      <c r="O40" s="141" t="s">
        <v>1022</v>
      </c>
    </row>
    <row r="41" spans="1:15" ht="36.75" customHeight="1">
      <c r="A41" s="140" t="s">
        <v>72</v>
      </c>
      <c r="B41" s="141" t="s">
        <v>200</v>
      </c>
      <c r="C41" s="141" t="s">
        <v>1063</v>
      </c>
      <c r="D41" s="141"/>
      <c r="E41" s="141" t="s">
        <v>1055</v>
      </c>
      <c r="F41" s="155" t="s">
        <v>1064</v>
      </c>
      <c r="G41" s="144" t="s">
        <v>1057</v>
      </c>
      <c r="H41" s="141"/>
      <c r="I41" s="145" t="s">
        <v>103</v>
      </c>
      <c r="J41" s="145" t="s">
        <v>127</v>
      </c>
      <c r="K41" s="145" t="s">
        <v>49</v>
      </c>
      <c r="L41" s="145" t="s">
        <v>49</v>
      </c>
      <c r="M41" s="145" t="s">
        <v>54</v>
      </c>
      <c r="N41" s="141"/>
      <c r="O41" s="141" t="s">
        <v>1058</v>
      </c>
    </row>
    <row r="42" spans="1:15" ht="36.75" customHeight="1">
      <c r="A42" s="139" t="s">
        <v>1065</v>
      </c>
      <c r="B42" s="139"/>
      <c r="C42" s="139"/>
      <c r="D42" s="139"/>
      <c r="E42" s="139"/>
      <c r="F42" s="139"/>
      <c r="G42" s="139"/>
      <c r="H42" s="139"/>
      <c r="I42" s="139"/>
      <c r="J42" s="139"/>
      <c r="K42" s="139"/>
      <c r="L42" s="139"/>
      <c r="M42" s="139"/>
      <c r="N42" s="139"/>
      <c r="O42" s="139"/>
    </row>
    <row r="43" spans="1:15" ht="36.75" customHeight="1">
      <c r="A43" s="140" t="s">
        <v>74</v>
      </c>
      <c r="B43" s="141" t="s">
        <v>207</v>
      </c>
      <c r="C43" s="141" t="s">
        <v>1066</v>
      </c>
      <c r="D43" s="141"/>
      <c r="E43" s="141" t="s">
        <v>1018</v>
      </c>
      <c r="F43" s="143" t="s">
        <v>1067</v>
      </c>
      <c r="G43" s="144" t="s">
        <v>1000</v>
      </c>
      <c r="H43" s="141"/>
      <c r="I43" s="145" t="s">
        <v>103</v>
      </c>
      <c r="J43" s="145" t="s">
        <v>127</v>
      </c>
      <c r="K43" s="145" t="s">
        <v>49</v>
      </c>
      <c r="L43" s="145" t="s">
        <v>49</v>
      </c>
      <c r="M43" s="145" t="s">
        <v>54</v>
      </c>
      <c r="N43" s="141"/>
      <c r="O43" s="141" t="s">
        <v>1001</v>
      </c>
    </row>
    <row r="44" spans="1:15" ht="36.75" customHeight="1">
      <c r="A44" s="140" t="s">
        <v>74</v>
      </c>
      <c r="B44" s="141" t="s">
        <v>210</v>
      </c>
      <c r="C44" s="141" t="s">
        <v>1066</v>
      </c>
      <c r="D44" s="141"/>
      <c r="E44" s="141" t="s">
        <v>1002</v>
      </c>
      <c r="F44" s="146" t="s">
        <v>1068</v>
      </c>
      <c r="G44" s="144" t="s">
        <v>1021</v>
      </c>
      <c r="H44" s="141"/>
      <c r="I44" s="145" t="s">
        <v>103</v>
      </c>
      <c r="J44" s="145" t="s">
        <v>127</v>
      </c>
      <c r="K44" s="145" t="s">
        <v>49</v>
      </c>
      <c r="L44" s="145" t="s">
        <v>49</v>
      </c>
      <c r="M44" s="145" t="s">
        <v>54</v>
      </c>
      <c r="N44" s="141"/>
      <c r="O44" s="141" t="s">
        <v>1022</v>
      </c>
    </row>
    <row r="45" spans="1:15" ht="36.75" customHeight="1">
      <c r="A45" s="140" t="s">
        <v>74</v>
      </c>
      <c r="B45" s="141" t="s">
        <v>213</v>
      </c>
      <c r="C45" s="141" t="s">
        <v>1069</v>
      </c>
      <c r="D45" s="141"/>
      <c r="E45" s="141" t="s">
        <v>1055</v>
      </c>
      <c r="F45" s="155" t="s">
        <v>1070</v>
      </c>
      <c r="G45" s="144" t="s">
        <v>1057</v>
      </c>
      <c r="H45" s="141"/>
      <c r="I45" s="145" t="s">
        <v>103</v>
      </c>
      <c r="J45" s="145" t="s">
        <v>127</v>
      </c>
      <c r="K45" s="145" t="s">
        <v>49</v>
      </c>
      <c r="L45" s="145" t="s">
        <v>49</v>
      </c>
      <c r="M45" s="145" t="s">
        <v>54</v>
      </c>
      <c r="N45" s="141"/>
      <c r="O45" s="141" t="s">
        <v>1058</v>
      </c>
    </row>
    <row r="46" spans="1:15" ht="36.75" customHeight="1">
      <c r="A46" s="139" t="s">
        <v>1071</v>
      </c>
      <c r="B46" s="139"/>
      <c r="C46" s="139"/>
      <c r="D46" s="139"/>
      <c r="E46" s="139"/>
      <c r="F46" s="139"/>
      <c r="G46" s="139"/>
      <c r="H46" s="139"/>
      <c r="I46" s="139"/>
      <c r="J46" s="139"/>
      <c r="K46" s="139"/>
      <c r="L46" s="139"/>
      <c r="M46" s="139"/>
      <c r="N46" s="139"/>
      <c r="O46" s="139"/>
    </row>
    <row r="47" spans="1:15" ht="36.75" customHeight="1">
      <c r="A47" s="140" t="s">
        <v>76</v>
      </c>
      <c r="B47" s="141" t="s">
        <v>410</v>
      </c>
      <c r="C47" s="141" t="s">
        <v>1072</v>
      </c>
      <c r="D47" s="141"/>
      <c r="E47" s="141" t="s">
        <v>1018</v>
      </c>
      <c r="F47" s="143" t="s">
        <v>1073</v>
      </c>
      <c r="G47" s="144" t="s">
        <v>1000</v>
      </c>
      <c r="H47" s="141"/>
      <c r="I47" s="145" t="s">
        <v>103</v>
      </c>
      <c r="J47" s="145" t="s">
        <v>127</v>
      </c>
      <c r="K47" s="145" t="s">
        <v>49</v>
      </c>
      <c r="L47" s="145" t="s">
        <v>49</v>
      </c>
      <c r="M47" s="145" t="s">
        <v>54</v>
      </c>
      <c r="N47" s="141"/>
      <c r="O47" s="141" t="s">
        <v>1001</v>
      </c>
    </row>
    <row r="48" spans="1:15" ht="36.75" customHeight="1">
      <c r="A48" s="140" t="s">
        <v>76</v>
      </c>
      <c r="B48" s="141" t="s">
        <v>413</v>
      </c>
      <c r="C48" s="141" t="s">
        <v>1072</v>
      </c>
      <c r="D48" s="141"/>
      <c r="E48" s="141" t="s">
        <v>1002</v>
      </c>
      <c r="F48" s="146" t="s">
        <v>1074</v>
      </c>
      <c r="G48" s="144" t="s">
        <v>1021</v>
      </c>
      <c r="H48" s="141"/>
      <c r="I48" s="145" t="s">
        <v>103</v>
      </c>
      <c r="J48" s="145" t="s">
        <v>127</v>
      </c>
      <c r="K48" s="145" t="s">
        <v>49</v>
      </c>
      <c r="L48" s="145" t="s">
        <v>49</v>
      </c>
      <c r="M48" s="145" t="s">
        <v>54</v>
      </c>
      <c r="N48" s="141"/>
      <c r="O48" s="141" t="s">
        <v>1022</v>
      </c>
    </row>
    <row r="49" spans="1:15" ht="36.75" customHeight="1">
      <c r="A49" s="140" t="s">
        <v>76</v>
      </c>
      <c r="B49" s="141" t="s">
        <v>416</v>
      </c>
      <c r="C49" s="141" t="s">
        <v>1075</v>
      </c>
      <c r="D49" s="141"/>
      <c r="E49" s="141" t="s">
        <v>1055</v>
      </c>
      <c r="F49" s="155" t="s">
        <v>1076</v>
      </c>
      <c r="G49" s="144" t="s">
        <v>1057</v>
      </c>
      <c r="H49" s="141"/>
      <c r="I49" s="145" t="s">
        <v>103</v>
      </c>
      <c r="J49" s="145" t="s">
        <v>127</v>
      </c>
      <c r="K49" s="145" t="s">
        <v>49</v>
      </c>
      <c r="L49" s="145" t="s">
        <v>49</v>
      </c>
      <c r="M49" s="145" t="s">
        <v>54</v>
      </c>
      <c r="N49" s="141"/>
      <c r="O49" s="141" t="s">
        <v>1058</v>
      </c>
    </row>
    <row r="50" spans="1:15" ht="36.75" customHeight="1">
      <c r="A50" s="139" t="s">
        <v>1077</v>
      </c>
      <c r="B50" s="139"/>
      <c r="C50" s="139"/>
      <c r="D50" s="139"/>
      <c r="E50" s="139"/>
      <c r="F50" s="139"/>
      <c r="G50" s="139"/>
      <c r="H50" s="139"/>
      <c r="I50" s="139"/>
      <c r="J50" s="139"/>
      <c r="K50" s="139"/>
      <c r="L50" s="139"/>
      <c r="M50" s="139"/>
      <c r="N50" s="139"/>
      <c r="O50" s="139"/>
    </row>
    <row r="51" spans="1:15" ht="36.75" customHeight="1">
      <c r="A51" s="140" t="s">
        <v>77</v>
      </c>
      <c r="B51" s="141" t="s">
        <v>423</v>
      </c>
      <c r="C51" s="141" t="s">
        <v>1078</v>
      </c>
      <c r="D51" s="141"/>
      <c r="E51" s="141" t="s">
        <v>1018</v>
      </c>
      <c r="F51" s="143" t="s">
        <v>1079</v>
      </c>
      <c r="G51" s="144" t="s">
        <v>1000</v>
      </c>
      <c r="H51" s="141"/>
      <c r="I51" s="145" t="s">
        <v>103</v>
      </c>
      <c r="J51" s="145" t="s">
        <v>127</v>
      </c>
      <c r="K51" s="145" t="s">
        <v>49</v>
      </c>
      <c r="L51" s="145" t="s">
        <v>49</v>
      </c>
      <c r="M51" s="145" t="s">
        <v>54</v>
      </c>
      <c r="N51" s="141"/>
      <c r="O51" s="141" t="s">
        <v>1001</v>
      </c>
    </row>
    <row r="52" spans="1:15" ht="36.75" customHeight="1">
      <c r="A52" s="140" t="s">
        <v>77</v>
      </c>
      <c r="B52" s="141" t="s">
        <v>426</v>
      </c>
      <c r="C52" s="141" t="s">
        <v>1078</v>
      </c>
      <c r="D52" s="141"/>
      <c r="E52" s="141" t="s">
        <v>1002</v>
      </c>
      <c r="F52" s="146" t="s">
        <v>1080</v>
      </c>
      <c r="G52" s="144" t="s">
        <v>1021</v>
      </c>
      <c r="H52" s="141"/>
      <c r="I52" s="145" t="s">
        <v>103</v>
      </c>
      <c r="J52" s="145" t="s">
        <v>127</v>
      </c>
      <c r="K52" s="145" t="s">
        <v>49</v>
      </c>
      <c r="L52" s="145" t="s">
        <v>49</v>
      </c>
      <c r="M52" s="145" t="s">
        <v>54</v>
      </c>
      <c r="N52" s="141"/>
      <c r="O52" s="141" t="s">
        <v>1022</v>
      </c>
    </row>
    <row r="53" spans="1:15" ht="36.75" customHeight="1">
      <c r="A53" s="140" t="s">
        <v>77</v>
      </c>
      <c r="B53" s="141" t="s">
        <v>429</v>
      </c>
      <c r="C53" s="141" t="s">
        <v>1081</v>
      </c>
      <c r="D53" s="141"/>
      <c r="E53" s="141" t="s">
        <v>1055</v>
      </c>
      <c r="F53" s="155" t="s">
        <v>1082</v>
      </c>
      <c r="G53" s="144" t="s">
        <v>1057</v>
      </c>
      <c r="H53" s="141"/>
      <c r="I53" s="145" t="s">
        <v>103</v>
      </c>
      <c r="J53" s="145" t="s">
        <v>127</v>
      </c>
      <c r="K53" s="145" t="s">
        <v>49</v>
      </c>
      <c r="L53" s="145" t="s">
        <v>49</v>
      </c>
      <c r="M53" s="145" t="s">
        <v>54</v>
      </c>
      <c r="N53" s="141"/>
      <c r="O53" s="141" t="s">
        <v>1058</v>
      </c>
    </row>
    <row r="54" spans="1:15" ht="36.75" customHeight="1">
      <c r="A54" s="139" t="s">
        <v>1083</v>
      </c>
      <c r="B54" s="139"/>
      <c r="C54" s="139"/>
      <c r="D54" s="139"/>
      <c r="E54" s="139"/>
      <c r="F54" s="139"/>
      <c r="G54" s="139"/>
      <c r="H54" s="139"/>
      <c r="I54" s="139"/>
      <c r="J54" s="139"/>
      <c r="K54" s="139"/>
      <c r="L54" s="139"/>
      <c r="M54" s="139"/>
      <c r="N54" s="139"/>
      <c r="O54" s="139"/>
    </row>
    <row r="55" spans="1:15" ht="409.5" customHeight="1">
      <c r="A55" s="140" t="s">
        <v>89</v>
      </c>
      <c r="B55" s="141" t="s">
        <v>220</v>
      </c>
      <c r="C55" s="142" t="s">
        <v>1084</v>
      </c>
      <c r="D55" s="142"/>
      <c r="E55" s="142" t="s">
        <v>1085</v>
      </c>
      <c r="F55" s="154" t="s">
        <v>1086</v>
      </c>
      <c r="G55" s="149" t="s">
        <v>1087</v>
      </c>
      <c r="H55" s="141"/>
      <c r="I55" s="145" t="s">
        <v>103</v>
      </c>
      <c r="J55" s="145" t="s">
        <v>127</v>
      </c>
      <c r="K55" s="145" t="s">
        <v>49</v>
      </c>
      <c r="L55" s="145" t="s">
        <v>49</v>
      </c>
      <c r="M55" s="145" t="s">
        <v>54</v>
      </c>
      <c r="N55" s="141"/>
      <c r="O55" s="141" t="s">
        <v>1088</v>
      </c>
    </row>
    <row r="56" spans="1:15" ht="57.75" customHeight="1">
      <c r="A56" s="140" t="s">
        <v>89</v>
      </c>
      <c r="B56" s="141" t="s">
        <v>224</v>
      </c>
      <c r="C56" s="142" t="s">
        <v>1084</v>
      </c>
      <c r="D56" s="142"/>
      <c r="E56" s="142" t="s">
        <v>1002</v>
      </c>
      <c r="F56" s="148" t="s">
        <v>1089</v>
      </c>
      <c r="G56" s="149" t="s">
        <v>1090</v>
      </c>
      <c r="H56" s="141"/>
      <c r="I56" s="145" t="s">
        <v>103</v>
      </c>
      <c r="J56" s="145" t="s">
        <v>127</v>
      </c>
      <c r="K56" s="145" t="s">
        <v>49</v>
      </c>
      <c r="L56" s="145" t="s">
        <v>49</v>
      </c>
      <c r="M56" s="145" t="s">
        <v>54</v>
      </c>
      <c r="N56" s="141"/>
      <c r="O56" s="141" t="s">
        <v>1022</v>
      </c>
    </row>
    <row r="57" spans="1:15" ht="134.25" customHeight="1">
      <c r="A57" s="140" t="s">
        <v>89</v>
      </c>
      <c r="B57" s="141" t="s">
        <v>228</v>
      </c>
      <c r="C57" s="142" t="s">
        <v>1091</v>
      </c>
      <c r="D57" s="142"/>
      <c r="E57" s="142" t="s">
        <v>1092</v>
      </c>
      <c r="F57" s="148" t="s">
        <v>1093</v>
      </c>
      <c r="G57" s="149" t="s">
        <v>1094</v>
      </c>
      <c r="H57" s="141"/>
      <c r="I57" s="145" t="s">
        <v>103</v>
      </c>
      <c r="J57" s="145" t="s">
        <v>127</v>
      </c>
      <c r="K57" s="145" t="s">
        <v>49</v>
      </c>
      <c r="L57" s="145" t="s">
        <v>49</v>
      </c>
      <c r="M57" s="145" t="s">
        <v>54</v>
      </c>
      <c r="N57" s="141" t="s">
        <v>1095</v>
      </c>
      <c r="O57" s="141" t="s">
        <v>1096</v>
      </c>
    </row>
    <row r="58" spans="1:15" ht="111" customHeight="1">
      <c r="A58" s="140" t="s">
        <v>89</v>
      </c>
      <c r="B58" s="141" t="s">
        <v>232</v>
      </c>
      <c r="C58" s="142" t="s">
        <v>1097</v>
      </c>
      <c r="D58" s="142"/>
      <c r="E58" s="142" t="s">
        <v>1098</v>
      </c>
      <c r="F58" s="148" t="s">
        <v>1099</v>
      </c>
      <c r="G58" s="149" t="s">
        <v>1100</v>
      </c>
      <c r="H58" s="141"/>
      <c r="I58" s="145" t="s">
        <v>103</v>
      </c>
      <c r="J58" s="145" t="s">
        <v>127</v>
      </c>
      <c r="K58" s="145" t="s">
        <v>49</v>
      </c>
      <c r="L58" s="145" t="s">
        <v>49</v>
      </c>
      <c r="M58" s="145" t="s">
        <v>54</v>
      </c>
      <c r="N58" s="141"/>
      <c r="O58" s="141" t="s">
        <v>1101</v>
      </c>
    </row>
    <row r="59" spans="1:15" ht="111" customHeight="1">
      <c r="A59" s="140" t="s">
        <v>89</v>
      </c>
      <c r="B59" s="141" t="s">
        <v>232</v>
      </c>
      <c r="C59" s="142" t="s">
        <v>1097</v>
      </c>
      <c r="D59" s="142"/>
      <c r="E59" s="142" t="s">
        <v>1102</v>
      </c>
      <c r="F59" s="148" t="s">
        <v>1103</v>
      </c>
      <c r="G59" s="149" t="s">
        <v>1104</v>
      </c>
      <c r="H59" s="141"/>
      <c r="I59" s="145"/>
      <c r="J59" s="145"/>
      <c r="K59" s="145"/>
      <c r="L59" s="145"/>
      <c r="M59" s="145"/>
      <c r="N59" s="141"/>
      <c r="O59" s="141"/>
    </row>
    <row r="60" spans="1:15" ht="223.5" customHeight="1">
      <c r="A60" s="140" t="s">
        <v>89</v>
      </c>
      <c r="B60" s="141" t="s">
        <v>232</v>
      </c>
      <c r="C60" s="141" t="s">
        <v>1097</v>
      </c>
      <c r="D60" s="142"/>
      <c r="E60" s="142" t="s">
        <v>1105</v>
      </c>
      <c r="F60" s="148" t="s">
        <v>1106</v>
      </c>
      <c r="G60" s="149" t="s">
        <v>1107</v>
      </c>
      <c r="H60" s="141"/>
      <c r="I60" s="145" t="s">
        <v>103</v>
      </c>
      <c r="J60" s="145" t="s">
        <v>127</v>
      </c>
      <c r="K60" s="145" t="s">
        <v>49</v>
      </c>
      <c r="L60" s="145" t="s">
        <v>49</v>
      </c>
      <c r="M60" s="145" t="s">
        <v>54</v>
      </c>
      <c r="N60" s="141"/>
      <c r="O60" s="141" t="s">
        <v>1101</v>
      </c>
    </row>
    <row r="61" spans="1:15" ht="101.25" customHeight="1">
      <c r="A61" s="140" t="s">
        <v>89</v>
      </c>
      <c r="B61" s="141" t="s">
        <v>1108</v>
      </c>
      <c r="C61" s="142" t="s">
        <v>1109</v>
      </c>
      <c r="D61" s="142"/>
      <c r="E61" s="142" t="s">
        <v>1110</v>
      </c>
      <c r="F61" s="148" t="s">
        <v>1111</v>
      </c>
      <c r="G61" s="149" t="s">
        <v>1112</v>
      </c>
      <c r="H61" s="141"/>
      <c r="I61" s="145" t="s">
        <v>103</v>
      </c>
      <c r="J61" s="145" t="s">
        <v>127</v>
      </c>
      <c r="K61" s="145" t="s">
        <v>49</v>
      </c>
      <c r="L61" s="145" t="s">
        <v>49</v>
      </c>
      <c r="M61" s="145" t="s">
        <v>54</v>
      </c>
      <c r="N61" s="141"/>
      <c r="O61" s="141" t="s">
        <v>1113</v>
      </c>
    </row>
    <row r="62" spans="1:15" ht="181.5" customHeight="1">
      <c r="A62" s="140" t="s">
        <v>89</v>
      </c>
      <c r="B62" s="141" t="s">
        <v>1114</v>
      </c>
      <c r="C62" s="142" t="s">
        <v>1115</v>
      </c>
      <c r="D62" s="142"/>
      <c r="E62" s="183" t="s">
        <v>1116</v>
      </c>
      <c r="F62" s="184" t="s">
        <v>1117</v>
      </c>
      <c r="G62" s="185" t="s">
        <v>1118</v>
      </c>
      <c r="H62" s="141"/>
      <c r="I62" s="145" t="s">
        <v>103</v>
      </c>
      <c r="J62" s="145" t="s">
        <v>127</v>
      </c>
      <c r="K62" s="145" t="s">
        <v>49</v>
      </c>
      <c r="L62" s="145" t="s">
        <v>49</v>
      </c>
      <c r="M62" s="145" t="s">
        <v>54</v>
      </c>
      <c r="N62" s="141"/>
      <c r="O62" s="141" t="s">
        <v>1119</v>
      </c>
    </row>
    <row r="63" spans="1:15" ht="36.75" customHeight="1">
      <c r="A63" s="139" t="s">
        <v>1120</v>
      </c>
      <c r="B63" s="139"/>
      <c r="C63" s="139"/>
      <c r="D63" s="139"/>
      <c r="E63" s="139"/>
      <c r="F63" s="139"/>
      <c r="G63" s="139"/>
      <c r="H63" s="139"/>
      <c r="I63" s="139"/>
      <c r="J63" s="139"/>
      <c r="K63" s="139"/>
      <c r="L63" s="139"/>
      <c r="M63" s="139"/>
      <c r="N63" s="139"/>
      <c r="O63" s="139"/>
    </row>
    <row r="64" spans="1:15" ht="36.75" customHeight="1">
      <c r="A64" s="140" t="s">
        <v>80</v>
      </c>
      <c r="B64" s="141" t="s">
        <v>241</v>
      </c>
      <c r="C64" s="141" t="s">
        <v>1121</v>
      </c>
      <c r="D64" s="141"/>
      <c r="E64" s="141" t="s">
        <v>1018</v>
      </c>
      <c r="F64" s="143" t="s">
        <v>1122</v>
      </c>
      <c r="G64" s="144" t="s">
        <v>1000</v>
      </c>
      <c r="H64" s="141"/>
      <c r="I64" s="145" t="s">
        <v>103</v>
      </c>
      <c r="J64" s="145" t="s">
        <v>127</v>
      </c>
      <c r="K64" s="145" t="s">
        <v>49</v>
      </c>
      <c r="L64" s="145" t="s">
        <v>49</v>
      </c>
      <c r="M64" s="145" t="s">
        <v>54</v>
      </c>
      <c r="N64" s="141"/>
      <c r="O64" s="141" t="s">
        <v>1001</v>
      </c>
    </row>
    <row r="65" spans="1:16" ht="36.75" customHeight="1">
      <c r="A65" s="140" t="s">
        <v>80</v>
      </c>
      <c r="B65" s="141" t="s">
        <v>244</v>
      </c>
      <c r="C65" s="141" t="s">
        <v>1121</v>
      </c>
      <c r="D65" s="141"/>
      <c r="E65" s="141" t="s">
        <v>1002</v>
      </c>
      <c r="F65" s="146" t="s">
        <v>1123</v>
      </c>
      <c r="G65" s="144" t="s">
        <v>1021</v>
      </c>
      <c r="H65" s="141"/>
      <c r="I65" s="145" t="s">
        <v>103</v>
      </c>
      <c r="J65" s="145" t="s">
        <v>127</v>
      </c>
      <c r="K65" s="145" t="s">
        <v>49</v>
      </c>
      <c r="L65" s="145" t="s">
        <v>49</v>
      </c>
      <c r="M65" s="145" t="s">
        <v>54</v>
      </c>
      <c r="N65" s="141"/>
      <c r="O65" s="141" t="s">
        <v>1022</v>
      </c>
    </row>
    <row r="66" spans="1:16" ht="36.75" customHeight="1">
      <c r="A66" s="140" t="s">
        <v>80</v>
      </c>
      <c r="B66" s="141" t="s">
        <v>247</v>
      </c>
      <c r="C66" s="141" t="s">
        <v>1124</v>
      </c>
      <c r="D66" s="141"/>
      <c r="E66" s="186" t="s">
        <v>1125</v>
      </c>
      <c r="F66" s="187" t="s">
        <v>1126</v>
      </c>
      <c r="G66" s="188" t="s">
        <v>1127</v>
      </c>
      <c r="H66" s="141"/>
      <c r="I66" s="145" t="s">
        <v>103</v>
      </c>
      <c r="J66" s="145" t="s">
        <v>127</v>
      </c>
      <c r="K66" s="145" t="s">
        <v>49</v>
      </c>
      <c r="L66" s="145" t="s">
        <v>49</v>
      </c>
      <c r="M66" s="145" t="s">
        <v>54</v>
      </c>
      <c r="N66" s="141"/>
      <c r="O66" s="141" t="s">
        <v>1128</v>
      </c>
    </row>
    <row r="67" spans="1:16" ht="36.75" customHeight="1">
      <c r="A67" s="139" t="s">
        <v>1129</v>
      </c>
      <c r="B67" s="139"/>
      <c r="C67" s="139"/>
      <c r="D67" s="139"/>
      <c r="E67" s="139"/>
      <c r="F67" s="139"/>
      <c r="G67" s="139"/>
      <c r="H67" s="139"/>
      <c r="I67" s="139"/>
      <c r="J67" s="139"/>
      <c r="K67" s="139"/>
      <c r="L67" s="139"/>
      <c r="M67" s="139"/>
      <c r="N67" s="139"/>
      <c r="O67" s="139"/>
    </row>
    <row r="68" spans="1:16" ht="409.5" customHeight="1">
      <c r="A68" s="140" t="s">
        <v>90</v>
      </c>
      <c r="B68" s="141" t="s">
        <v>255</v>
      </c>
      <c r="C68" s="141" t="s">
        <v>1130</v>
      </c>
      <c r="D68" s="141"/>
      <c r="E68" s="141" t="s">
        <v>1131</v>
      </c>
      <c r="F68" s="155" t="s">
        <v>1132</v>
      </c>
      <c r="G68" s="149" t="s">
        <v>1133</v>
      </c>
      <c r="H68" s="141"/>
      <c r="I68" s="145" t="s">
        <v>103</v>
      </c>
      <c r="J68" s="145" t="s">
        <v>127</v>
      </c>
      <c r="K68" s="145" t="s">
        <v>54</v>
      </c>
      <c r="L68" s="145" t="s">
        <v>49</v>
      </c>
      <c r="M68" s="145" t="s">
        <v>54</v>
      </c>
      <c r="N68" s="141"/>
      <c r="O68" s="141" t="s">
        <v>1134</v>
      </c>
      <c r="P68" s="153" t="s">
        <v>1135</v>
      </c>
    </row>
    <row r="69" spans="1:16" ht="399.75" customHeight="1">
      <c r="A69" s="140" t="s">
        <v>90</v>
      </c>
      <c r="B69" s="141" t="s">
        <v>259</v>
      </c>
      <c r="C69" s="141" t="s">
        <v>1130</v>
      </c>
      <c r="D69" s="141"/>
      <c r="E69" s="141" t="s">
        <v>1002</v>
      </c>
      <c r="F69" s="155" t="s">
        <v>1136</v>
      </c>
      <c r="G69" s="144" t="s">
        <v>1090</v>
      </c>
      <c r="H69" s="141"/>
      <c r="I69" s="145" t="s">
        <v>103</v>
      </c>
      <c r="J69" s="145" t="s">
        <v>127</v>
      </c>
      <c r="K69" s="145" t="s">
        <v>54</v>
      </c>
      <c r="L69" s="145" t="s">
        <v>49</v>
      </c>
      <c r="M69" s="145" t="s">
        <v>54</v>
      </c>
      <c r="N69" s="141"/>
      <c r="O69" s="141" t="s">
        <v>1022</v>
      </c>
    </row>
    <row r="70" spans="1:16" ht="409.5" customHeight="1">
      <c r="A70" s="140" t="s">
        <v>90</v>
      </c>
      <c r="B70" s="141" t="s">
        <v>263</v>
      </c>
      <c r="C70" s="141" t="s">
        <v>1137</v>
      </c>
      <c r="D70" s="141"/>
      <c r="E70" s="141" t="s">
        <v>1138</v>
      </c>
      <c r="F70" s="155" t="s">
        <v>1139</v>
      </c>
      <c r="G70" s="144" t="s">
        <v>1140</v>
      </c>
      <c r="H70" s="141"/>
      <c r="I70" s="145" t="s">
        <v>103</v>
      </c>
      <c r="J70" s="145" t="s">
        <v>127</v>
      </c>
      <c r="K70" s="145" t="s">
        <v>54</v>
      </c>
      <c r="L70" s="145" t="s">
        <v>49</v>
      </c>
      <c r="M70" s="145" t="s">
        <v>54</v>
      </c>
      <c r="N70" s="141"/>
      <c r="O70" s="141" t="s">
        <v>1141</v>
      </c>
    </row>
    <row r="71" spans="1:16" ht="409.5" customHeight="1">
      <c r="A71" s="140" t="s">
        <v>90</v>
      </c>
      <c r="B71" s="141" t="s">
        <v>266</v>
      </c>
      <c r="C71" s="141" t="s">
        <v>1142</v>
      </c>
      <c r="D71" s="141"/>
      <c r="E71" s="141" t="s">
        <v>1143</v>
      </c>
      <c r="F71" s="155" t="s">
        <v>1144</v>
      </c>
      <c r="G71" s="144" t="s">
        <v>1145</v>
      </c>
      <c r="H71" s="141"/>
      <c r="I71" s="145" t="s">
        <v>103</v>
      </c>
      <c r="J71" s="145" t="s">
        <v>127</v>
      </c>
      <c r="K71" s="145" t="s">
        <v>54</v>
      </c>
      <c r="L71" s="145" t="s">
        <v>49</v>
      </c>
      <c r="M71" s="145" t="s">
        <v>54</v>
      </c>
      <c r="N71" s="141"/>
      <c r="O71" s="141" t="s">
        <v>1146</v>
      </c>
    </row>
    <row r="72" spans="1:16" ht="345" customHeight="1">
      <c r="A72" s="140" t="s">
        <v>90</v>
      </c>
      <c r="B72" s="141" t="s">
        <v>270</v>
      </c>
      <c r="C72" s="141" t="s">
        <v>1142</v>
      </c>
      <c r="D72" s="141"/>
      <c r="E72" s="141" t="s">
        <v>1147</v>
      </c>
      <c r="F72" s="155" t="s">
        <v>1148</v>
      </c>
      <c r="G72" s="144" t="s">
        <v>1149</v>
      </c>
      <c r="H72" s="141"/>
      <c r="I72" s="145" t="s">
        <v>103</v>
      </c>
      <c r="J72" s="145" t="s">
        <v>127</v>
      </c>
      <c r="K72" s="145" t="s">
        <v>54</v>
      </c>
      <c r="L72" s="145" t="s">
        <v>49</v>
      </c>
      <c r="M72" s="145" t="s">
        <v>54</v>
      </c>
      <c r="N72" s="141"/>
      <c r="O72" s="141" t="s">
        <v>1150</v>
      </c>
    </row>
    <row r="73" spans="1:16" ht="345" customHeight="1">
      <c r="A73" s="140" t="s">
        <v>90</v>
      </c>
      <c r="B73" s="141" t="s">
        <v>270</v>
      </c>
      <c r="C73" s="141" t="s">
        <v>1142</v>
      </c>
      <c r="D73" s="141"/>
      <c r="E73" s="141" t="s">
        <v>1151</v>
      </c>
      <c r="F73" s="155" t="s">
        <v>1152</v>
      </c>
      <c r="G73" s="144" t="s">
        <v>1153</v>
      </c>
      <c r="H73" s="141"/>
      <c r="I73" s="145"/>
      <c r="J73" s="145"/>
      <c r="K73" s="145"/>
      <c r="L73" s="145"/>
      <c r="M73" s="145"/>
      <c r="N73" s="141"/>
      <c r="O73" s="141"/>
    </row>
    <row r="74" spans="1:16" ht="409.5" customHeight="1">
      <c r="A74" s="140" t="s">
        <v>90</v>
      </c>
      <c r="B74" s="141" t="s">
        <v>1154</v>
      </c>
      <c r="C74" s="141" t="s">
        <v>1155</v>
      </c>
      <c r="D74" s="141"/>
      <c r="E74" s="141" t="s">
        <v>1110</v>
      </c>
      <c r="F74" s="155" t="s">
        <v>1156</v>
      </c>
      <c r="G74" s="144" t="s">
        <v>1112</v>
      </c>
      <c r="H74" s="141"/>
      <c r="I74" s="145" t="s">
        <v>103</v>
      </c>
      <c r="J74" s="145" t="s">
        <v>127</v>
      </c>
      <c r="K74" s="145" t="s">
        <v>54</v>
      </c>
      <c r="L74" s="145" t="s">
        <v>49</v>
      </c>
      <c r="M74" s="145" t="s">
        <v>54</v>
      </c>
      <c r="N74" s="141"/>
      <c r="O74" s="141" t="s">
        <v>1113</v>
      </c>
    </row>
    <row r="75" spans="1:16" ht="36.75" customHeight="1">
      <c r="A75" s="140" t="s">
        <v>90</v>
      </c>
      <c r="B75" s="141" t="s">
        <v>1157</v>
      </c>
      <c r="C75" s="141" t="s">
        <v>1158</v>
      </c>
      <c r="D75" s="141"/>
      <c r="E75" s="186" t="s">
        <v>1159</v>
      </c>
      <c r="F75" s="202" t="s">
        <v>1160</v>
      </c>
      <c r="G75" s="188" t="s">
        <v>1161</v>
      </c>
      <c r="H75" s="141"/>
      <c r="I75" s="145" t="s">
        <v>103</v>
      </c>
      <c r="J75" s="145" t="s">
        <v>127</v>
      </c>
      <c r="K75" s="145" t="s">
        <v>54</v>
      </c>
      <c r="L75" s="145" t="s">
        <v>49</v>
      </c>
      <c r="M75" s="145" t="s">
        <v>54</v>
      </c>
      <c r="N75" s="141"/>
      <c r="O75" s="141" t="s">
        <v>1162</v>
      </c>
      <c r="P75" t="s">
        <v>1163</v>
      </c>
    </row>
    <row r="76" spans="1:16" ht="36.75" customHeight="1">
      <c r="A76" s="139" t="s">
        <v>1164</v>
      </c>
      <c r="B76" s="139"/>
      <c r="C76" s="139"/>
      <c r="D76" s="139"/>
      <c r="E76" s="139"/>
      <c r="F76" s="139"/>
      <c r="G76" s="139"/>
      <c r="H76" s="139"/>
      <c r="I76" s="139"/>
      <c r="J76" s="139"/>
      <c r="K76" s="139"/>
      <c r="L76" s="139"/>
      <c r="M76" s="139"/>
      <c r="N76" s="139"/>
      <c r="O76" s="139"/>
    </row>
    <row r="77" spans="1:16" ht="246" customHeight="1">
      <c r="A77" s="140" t="s">
        <v>91</v>
      </c>
      <c r="B77" s="141" t="s">
        <v>275</v>
      </c>
      <c r="C77" s="141" t="s">
        <v>1165</v>
      </c>
      <c r="D77" s="141"/>
      <c r="E77" s="141" t="s">
        <v>1166</v>
      </c>
      <c r="F77" s="155" t="s">
        <v>1167</v>
      </c>
      <c r="G77" s="144" t="s">
        <v>1168</v>
      </c>
      <c r="H77" s="141"/>
      <c r="I77" s="145" t="s">
        <v>103</v>
      </c>
      <c r="J77" s="145" t="s">
        <v>127</v>
      </c>
      <c r="K77" s="145" t="s">
        <v>49</v>
      </c>
      <c r="L77" s="145" t="s">
        <v>49</v>
      </c>
      <c r="M77" s="145" t="s">
        <v>54</v>
      </c>
      <c r="N77" s="141"/>
      <c r="O77" s="141" t="s">
        <v>1169</v>
      </c>
    </row>
    <row r="78" spans="1:16" ht="147.75" customHeight="1">
      <c r="A78" s="140" t="s">
        <v>91</v>
      </c>
      <c r="B78" s="141" t="s">
        <v>279</v>
      </c>
      <c r="C78" s="141" t="s">
        <v>1165</v>
      </c>
      <c r="D78" s="141"/>
      <c r="E78" s="141" t="s">
        <v>1002</v>
      </c>
      <c r="F78" s="155" t="s">
        <v>1170</v>
      </c>
      <c r="G78" s="144" t="s">
        <v>1090</v>
      </c>
      <c r="H78" s="141"/>
      <c r="I78" s="145" t="s">
        <v>103</v>
      </c>
      <c r="J78" s="145" t="s">
        <v>127</v>
      </c>
      <c r="K78" s="145" t="s">
        <v>49</v>
      </c>
      <c r="L78" s="145" t="s">
        <v>49</v>
      </c>
      <c r="M78" s="145" t="s">
        <v>54</v>
      </c>
      <c r="N78" s="141"/>
      <c r="O78" s="141" t="s">
        <v>1022</v>
      </c>
    </row>
    <row r="79" spans="1:16" ht="184.5" customHeight="1">
      <c r="A79" s="140" t="s">
        <v>91</v>
      </c>
      <c r="B79" s="141" t="s">
        <v>283</v>
      </c>
      <c r="C79" s="141" t="s">
        <v>1171</v>
      </c>
      <c r="D79" s="141"/>
      <c r="E79" s="141" t="s">
        <v>1172</v>
      </c>
      <c r="F79" s="146" t="s">
        <v>1173</v>
      </c>
      <c r="G79" s="144" t="s">
        <v>1174</v>
      </c>
      <c r="H79" s="141"/>
      <c r="I79" s="145" t="s">
        <v>103</v>
      </c>
      <c r="J79" s="145" t="s">
        <v>127</v>
      </c>
      <c r="K79" s="145" t="s">
        <v>49</v>
      </c>
      <c r="L79" s="145" t="s">
        <v>49</v>
      </c>
      <c r="M79" s="145" t="s">
        <v>54</v>
      </c>
      <c r="N79" s="141"/>
      <c r="O79" s="141" t="s">
        <v>1175</v>
      </c>
    </row>
    <row r="80" spans="1:16" ht="36.75" customHeight="1">
      <c r="A80" s="140" t="s">
        <v>91</v>
      </c>
      <c r="B80" s="141" t="s">
        <v>286</v>
      </c>
      <c r="C80" s="141" t="s">
        <v>1176</v>
      </c>
      <c r="D80" s="141"/>
      <c r="E80" s="141" t="s">
        <v>1177</v>
      </c>
      <c r="F80" s="155" t="s">
        <v>1178</v>
      </c>
      <c r="G80" s="144" t="s">
        <v>1179</v>
      </c>
      <c r="H80" s="141"/>
      <c r="I80" s="145" t="s">
        <v>103</v>
      </c>
      <c r="J80" s="145" t="s">
        <v>127</v>
      </c>
      <c r="K80" s="145" t="s">
        <v>49</v>
      </c>
      <c r="L80" s="145" t="s">
        <v>49</v>
      </c>
      <c r="M80" s="145" t="s">
        <v>54</v>
      </c>
      <c r="N80" s="141"/>
      <c r="O80" s="141" t="s">
        <v>1180</v>
      </c>
    </row>
    <row r="81" spans="1:15" ht="36.75" customHeight="1">
      <c r="A81" s="140" t="s">
        <v>91</v>
      </c>
      <c r="B81" s="141" t="s">
        <v>286</v>
      </c>
      <c r="C81" s="141" t="s">
        <v>1176</v>
      </c>
      <c r="D81" s="141"/>
      <c r="E81" s="141" t="s">
        <v>1181</v>
      </c>
      <c r="F81" s="146" t="s">
        <v>1182</v>
      </c>
      <c r="G81" s="144" t="s">
        <v>1183</v>
      </c>
      <c r="H81" s="141"/>
      <c r="I81" s="145" t="s">
        <v>103</v>
      </c>
      <c r="J81" s="145" t="s">
        <v>127</v>
      </c>
      <c r="K81" s="145" t="s">
        <v>49</v>
      </c>
      <c r="L81" s="145" t="s">
        <v>49</v>
      </c>
      <c r="M81" s="145" t="s">
        <v>54</v>
      </c>
      <c r="N81" s="141"/>
      <c r="O81" s="141" t="s">
        <v>1150</v>
      </c>
    </row>
    <row r="82" spans="1:15" ht="36.75" customHeight="1">
      <c r="A82" s="140" t="s">
        <v>91</v>
      </c>
      <c r="B82" s="141" t="s">
        <v>286</v>
      </c>
      <c r="C82" s="141" t="s">
        <v>1176</v>
      </c>
      <c r="D82" s="141"/>
      <c r="E82" s="141" t="s">
        <v>1184</v>
      </c>
      <c r="F82" s="146" t="s">
        <v>1185</v>
      </c>
      <c r="G82" s="144" t="s">
        <v>1186</v>
      </c>
      <c r="H82" s="141"/>
      <c r="I82" s="145" t="s">
        <v>103</v>
      </c>
      <c r="J82" s="145" t="s">
        <v>127</v>
      </c>
      <c r="K82" s="145" t="s">
        <v>49</v>
      </c>
      <c r="L82" s="145" t="s">
        <v>49</v>
      </c>
      <c r="M82" s="145" t="s">
        <v>54</v>
      </c>
      <c r="N82" s="141"/>
      <c r="O82" s="141"/>
    </row>
    <row r="83" spans="1:15" ht="36.75" customHeight="1">
      <c r="A83" s="140" t="s">
        <v>91</v>
      </c>
      <c r="B83" s="141" t="s">
        <v>1187</v>
      </c>
      <c r="C83" s="141" t="s">
        <v>1188</v>
      </c>
      <c r="D83" s="141"/>
      <c r="E83" s="141" t="s">
        <v>1110</v>
      </c>
      <c r="F83" s="146" t="s">
        <v>1189</v>
      </c>
      <c r="G83" s="144" t="s">
        <v>1112</v>
      </c>
      <c r="H83" s="141"/>
      <c r="I83" s="145" t="s">
        <v>103</v>
      </c>
      <c r="J83" s="145" t="s">
        <v>127</v>
      </c>
      <c r="K83" s="145" t="s">
        <v>49</v>
      </c>
      <c r="L83" s="145" t="s">
        <v>49</v>
      </c>
      <c r="M83" s="145" t="s">
        <v>54</v>
      </c>
      <c r="N83" s="141"/>
      <c r="O83" s="141" t="s">
        <v>1113</v>
      </c>
    </row>
    <row r="84" spans="1:15" ht="164.25" customHeight="1">
      <c r="A84" s="140" t="s">
        <v>91</v>
      </c>
      <c r="B84" s="141" t="s">
        <v>1190</v>
      </c>
      <c r="C84" s="141" t="s">
        <v>1191</v>
      </c>
      <c r="D84" s="141"/>
      <c r="E84" s="203" t="s">
        <v>1192</v>
      </c>
      <c r="F84" s="202" t="s">
        <v>1193</v>
      </c>
      <c r="G84" s="204" t="s">
        <v>1194</v>
      </c>
      <c r="H84" s="141"/>
      <c r="I84" s="145" t="s">
        <v>103</v>
      </c>
      <c r="J84" s="145" t="s">
        <v>127</v>
      </c>
      <c r="K84" s="145" t="s">
        <v>49</v>
      </c>
      <c r="L84" s="145" t="s">
        <v>49</v>
      </c>
      <c r="M84" s="145" t="s">
        <v>54</v>
      </c>
      <c r="N84" s="141"/>
      <c r="O84" s="141" t="s">
        <v>1195</v>
      </c>
    </row>
    <row r="85" spans="1:15" ht="36.75" customHeight="1">
      <c r="A85" s="139" t="s">
        <v>1196</v>
      </c>
      <c r="B85" s="139"/>
      <c r="C85" s="139"/>
      <c r="D85" s="139"/>
      <c r="E85" s="139"/>
      <c r="F85" s="139"/>
      <c r="G85" s="139"/>
      <c r="H85" s="139"/>
      <c r="I85" s="139"/>
      <c r="J85" s="139"/>
      <c r="K85" s="139"/>
      <c r="L85" s="139"/>
      <c r="M85" s="139"/>
      <c r="N85" s="139"/>
      <c r="O85" s="139"/>
    </row>
    <row r="86" spans="1:15" ht="36.75" customHeight="1">
      <c r="A86" s="140" t="s">
        <v>75</v>
      </c>
      <c r="B86" s="141" t="s">
        <v>295</v>
      </c>
      <c r="C86" s="141" t="s">
        <v>1197</v>
      </c>
      <c r="D86" s="141"/>
      <c r="E86" s="141" t="s">
        <v>1018</v>
      </c>
      <c r="F86" s="143" t="s">
        <v>1198</v>
      </c>
      <c r="G86" s="144" t="s">
        <v>1000</v>
      </c>
      <c r="H86" s="141"/>
      <c r="I86" s="145" t="s">
        <v>103</v>
      </c>
      <c r="J86" s="145" t="s">
        <v>127</v>
      </c>
      <c r="K86" s="145" t="s">
        <v>49</v>
      </c>
      <c r="L86" s="145" t="s">
        <v>49</v>
      </c>
      <c r="M86" s="145" t="s">
        <v>54</v>
      </c>
      <c r="N86" s="141"/>
      <c r="O86" s="141" t="s">
        <v>1001</v>
      </c>
    </row>
    <row r="87" spans="1:15" ht="36.75" customHeight="1">
      <c r="A87" s="140" t="s">
        <v>75</v>
      </c>
      <c r="B87" s="141" t="s">
        <v>298</v>
      </c>
      <c r="C87" s="141" t="s">
        <v>1197</v>
      </c>
      <c r="D87" s="141"/>
      <c r="E87" s="141" t="s">
        <v>1002</v>
      </c>
      <c r="F87" s="146" t="s">
        <v>1199</v>
      </c>
      <c r="G87" s="144" t="s">
        <v>1021</v>
      </c>
      <c r="H87" s="141"/>
      <c r="I87" s="145" t="s">
        <v>103</v>
      </c>
      <c r="J87" s="145" t="s">
        <v>127</v>
      </c>
      <c r="K87" s="145" t="s">
        <v>49</v>
      </c>
      <c r="L87" s="145" t="s">
        <v>49</v>
      </c>
      <c r="M87" s="145" t="s">
        <v>54</v>
      </c>
      <c r="N87" s="141"/>
      <c r="O87" s="141" t="s">
        <v>1022</v>
      </c>
    </row>
    <row r="88" spans="1:15" ht="36.75" customHeight="1">
      <c r="A88" s="140" t="s">
        <v>75</v>
      </c>
      <c r="B88" s="141" t="s">
        <v>301</v>
      </c>
      <c r="C88" s="141" t="s">
        <v>1200</v>
      </c>
      <c r="D88" s="141"/>
      <c r="E88" s="203" t="s">
        <v>1125</v>
      </c>
      <c r="F88" s="202" t="s">
        <v>1201</v>
      </c>
      <c r="G88" s="204" t="s">
        <v>1127</v>
      </c>
      <c r="H88" s="141"/>
      <c r="I88" s="145" t="s">
        <v>103</v>
      </c>
      <c r="J88" s="145" t="s">
        <v>127</v>
      </c>
      <c r="K88" s="145" t="s">
        <v>49</v>
      </c>
      <c r="L88" s="145" t="s">
        <v>49</v>
      </c>
      <c r="M88" s="145" t="s">
        <v>54</v>
      </c>
      <c r="N88" s="141"/>
      <c r="O88" s="141" t="s">
        <v>1128</v>
      </c>
    </row>
    <row r="89" spans="1:15" ht="36.75" customHeight="1">
      <c r="A89" s="139" t="s">
        <v>1202</v>
      </c>
      <c r="B89" s="139"/>
      <c r="C89" s="139"/>
      <c r="D89" s="139"/>
      <c r="E89" s="139"/>
      <c r="F89" s="139"/>
      <c r="G89" s="139"/>
      <c r="H89" s="139"/>
      <c r="I89" s="139"/>
      <c r="J89" s="139"/>
      <c r="K89" s="139"/>
      <c r="L89" s="139"/>
      <c r="M89" s="139"/>
      <c r="N89" s="139"/>
      <c r="O89" s="139"/>
    </row>
    <row r="90" spans="1:15" ht="36.75" customHeight="1">
      <c r="A90" s="140" t="s">
        <v>93</v>
      </c>
      <c r="B90" s="141" t="s">
        <v>308</v>
      </c>
      <c r="C90" s="141" t="s">
        <v>1203</v>
      </c>
      <c r="D90" s="141"/>
      <c r="E90" s="141" t="s">
        <v>1204</v>
      </c>
      <c r="F90" s="155" t="s">
        <v>1205</v>
      </c>
      <c r="G90" s="144" t="s">
        <v>1206</v>
      </c>
      <c r="H90" s="141"/>
      <c r="I90" s="145" t="s">
        <v>103</v>
      </c>
      <c r="J90" s="145" t="s">
        <v>127</v>
      </c>
      <c r="K90" s="145" t="s">
        <v>54</v>
      </c>
      <c r="L90" s="145" t="s">
        <v>49</v>
      </c>
      <c r="M90" s="145" t="s">
        <v>54</v>
      </c>
      <c r="N90" s="141"/>
      <c r="O90" s="141" t="s">
        <v>1207</v>
      </c>
    </row>
    <row r="91" spans="1:15" ht="259.5" customHeight="1">
      <c r="A91" s="140" t="s">
        <v>93</v>
      </c>
      <c r="B91" s="141" t="s">
        <v>312</v>
      </c>
      <c r="C91" s="141" t="s">
        <v>1203</v>
      </c>
      <c r="D91" s="141"/>
      <c r="E91" s="141" t="s">
        <v>1002</v>
      </c>
      <c r="F91" s="146" t="s">
        <v>1208</v>
      </c>
      <c r="G91" s="144" t="s">
        <v>1090</v>
      </c>
      <c r="H91" s="141"/>
      <c r="I91" s="145" t="s">
        <v>103</v>
      </c>
      <c r="J91" s="145" t="s">
        <v>127</v>
      </c>
      <c r="K91" s="145" t="s">
        <v>54</v>
      </c>
      <c r="L91" s="145" t="s">
        <v>49</v>
      </c>
      <c r="M91" s="145" t="s">
        <v>54</v>
      </c>
      <c r="N91" s="141"/>
      <c r="O91" s="141" t="s">
        <v>1022</v>
      </c>
    </row>
    <row r="92" spans="1:15" ht="36.75" customHeight="1">
      <c r="A92" s="140" t="s">
        <v>93</v>
      </c>
      <c r="B92" s="141" t="s">
        <v>316</v>
      </c>
      <c r="C92" s="141" t="s">
        <v>1209</v>
      </c>
      <c r="D92" s="141"/>
      <c r="E92" s="141" t="s">
        <v>1210</v>
      </c>
      <c r="F92" s="155" t="s">
        <v>1211</v>
      </c>
      <c r="G92" s="144" t="s">
        <v>1212</v>
      </c>
      <c r="H92" s="141"/>
      <c r="I92" s="145" t="s">
        <v>103</v>
      </c>
      <c r="J92" s="145" t="s">
        <v>127</v>
      </c>
      <c r="K92" s="145" t="s">
        <v>54</v>
      </c>
      <c r="L92" s="145" t="s">
        <v>49</v>
      </c>
      <c r="M92" s="145" t="s">
        <v>54</v>
      </c>
      <c r="N92" s="141"/>
      <c r="O92" s="141" t="s">
        <v>1213</v>
      </c>
    </row>
    <row r="93" spans="1:15" ht="36.75" customHeight="1">
      <c r="A93" s="140" t="s">
        <v>93</v>
      </c>
      <c r="B93" s="141" t="s">
        <v>319</v>
      </c>
      <c r="C93" s="141" t="s">
        <v>1214</v>
      </c>
      <c r="D93" s="141"/>
      <c r="E93" s="141" t="s">
        <v>1215</v>
      </c>
      <c r="F93" s="146" t="s">
        <v>1216</v>
      </c>
      <c r="G93" s="144" t="s">
        <v>1217</v>
      </c>
      <c r="H93" s="141"/>
      <c r="I93" s="145" t="s">
        <v>103</v>
      </c>
      <c r="J93" s="145" t="s">
        <v>127</v>
      </c>
      <c r="K93" s="145" t="s">
        <v>54</v>
      </c>
      <c r="L93" s="145" t="s">
        <v>49</v>
      </c>
      <c r="M93" s="145" t="s">
        <v>54</v>
      </c>
      <c r="N93" s="141"/>
      <c r="O93" s="141" t="s">
        <v>1218</v>
      </c>
    </row>
    <row r="94" spans="1:15" ht="36.75" customHeight="1">
      <c r="A94" s="140" t="s">
        <v>93</v>
      </c>
      <c r="B94" s="141" t="s">
        <v>323</v>
      </c>
      <c r="C94" s="141" t="s">
        <v>1214</v>
      </c>
      <c r="D94" s="141"/>
      <c r="E94" s="141" t="s">
        <v>1219</v>
      </c>
      <c r="F94" s="146" t="s">
        <v>1220</v>
      </c>
      <c r="G94" s="144" t="s">
        <v>1221</v>
      </c>
      <c r="H94" s="141"/>
      <c r="I94" s="145" t="s">
        <v>103</v>
      </c>
      <c r="J94" s="145" t="s">
        <v>127</v>
      </c>
      <c r="K94" s="145" t="s">
        <v>54</v>
      </c>
      <c r="L94" s="145" t="s">
        <v>49</v>
      </c>
      <c r="M94" s="145" t="s">
        <v>54</v>
      </c>
      <c r="N94" s="141"/>
      <c r="O94" s="141" t="s">
        <v>1150</v>
      </c>
    </row>
    <row r="95" spans="1:15" ht="36.75" customHeight="1">
      <c r="A95" s="140" t="s">
        <v>93</v>
      </c>
      <c r="B95" s="141" t="s">
        <v>323</v>
      </c>
      <c r="C95" s="141" t="s">
        <v>1214</v>
      </c>
      <c r="D95" s="141"/>
      <c r="E95" s="141" t="s">
        <v>1222</v>
      </c>
      <c r="F95" s="155" t="s">
        <v>1223</v>
      </c>
      <c r="G95" s="144" t="s">
        <v>1224</v>
      </c>
      <c r="H95" s="141"/>
      <c r="I95" s="145" t="s">
        <v>103</v>
      </c>
      <c r="J95" s="145" t="s">
        <v>127</v>
      </c>
      <c r="K95" s="145" t="s">
        <v>54</v>
      </c>
      <c r="L95" s="145" t="s">
        <v>49</v>
      </c>
      <c r="M95" s="145" t="s">
        <v>54</v>
      </c>
      <c r="N95" s="141"/>
      <c r="O95" s="141"/>
    </row>
    <row r="96" spans="1:15" ht="252.75" customHeight="1">
      <c r="A96" s="140" t="s">
        <v>93</v>
      </c>
      <c r="B96" s="141" t="s">
        <v>1225</v>
      </c>
      <c r="C96" s="141" t="s">
        <v>1226</v>
      </c>
      <c r="D96" s="141"/>
      <c r="E96" s="141" t="s">
        <v>1110</v>
      </c>
      <c r="F96" s="155" t="s">
        <v>1227</v>
      </c>
      <c r="G96" s="144" t="s">
        <v>1112</v>
      </c>
      <c r="H96" s="141"/>
      <c r="I96" s="145" t="s">
        <v>103</v>
      </c>
      <c r="J96" s="145" t="s">
        <v>127</v>
      </c>
      <c r="K96" s="145" t="s">
        <v>54</v>
      </c>
      <c r="L96" s="145" t="s">
        <v>49</v>
      </c>
      <c r="M96" s="145" t="s">
        <v>54</v>
      </c>
      <c r="N96" s="141"/>
      <c r="O96" s="141" t="s">
        <v>1113</v>
      </c>
    </row>
    <row r="97" spans="1:15" ht="36.75" customHeight="1">
      <c r="A97" s="140" t="s">
        <v>93</v>
      </c>
      <c r="B97" s="141" t="s">
        <v>1228</v>
      </c>
      <c r="C97" s="141" t="s">
        <v>1229</v>
      </c>
      <c r="D97" s="141"/>
      <c r="E97" s="203" t="s">
        <v>1192</v>
      </c>
      <c r="F97" s="202" t="s">
        <v>1230</v>
      </c>
      <c r="G97" s="204" t="s">
        <v>1231</v>
      </c>
      <c r="H97" s="141"/>
      <c r="I97" s="145" t="s">
        <v>103</v>
      </c>
      <c r="J97" s="145" t="s">
        <v>127</v>
      </c>
      <c r="K97" s="145" t="s">
        <v>54</v>
      </c>
      <c r="L97" s="145" t="s">
        <v>49</v>
      </c>
      <c r="M97" s="145" t="s">
        <v>54</v>
      </c>
      <c r="N97" s="141"/>
      <c r="O97" s="141" t="s">
        <v>1195</v>
      </c>
    </row>
    <row r="98" spans="1:15" ht="36.75" customHeight="1">
      <c r="A98" s="139" t="s">
        <v>1232</v>
      </c>
      <c r="B98" s="139"/>
      <c r="C98" s="139"/>
      <c r="D98" s="139"/>
      <c r="E98" s="139"/>
      <c r="F98" s="139"/>
      <c r="G98" s="139"/>
      <c r="H98" s="139"/>
      <c r="I98" s="139"/>
      <c r="J98" s="139"/>
      <c r="K98" s="139"/>
      <c r="L98" s="139"/>
      <c r="M98" s="139"/>
      <c r="N98" s="139"/>
      <c r="O98" s="139"/>
    </row>
    <row r="99" spans="1:15" ht="36.75" customHeight="1">
      <c r="A99" s="140" t="s">
        <v>94</v>
      </c>
      <c r="B99" s="141" t="s">
        <v>328</v>
      </c>
      <c r="C99" s="141" t="s">
        <v>1233</v>
      </c>
      <c r="D99" s="141"/>
      <c r="E99" s="141" t="s">
        <v>1234</v>
      </c>
      <c r="F99" s="155" t="s">
        <v>1235</v>
      </c>
      <c r="G99" s="144" t="s">
        <v>1236</v>
      </c>
      <c r="H99" s="141"/>
      <c r="I99" s="145" t="s">
        <v>103</v>
      </c>
      <c r="J99" s="145" t="s">
        <v>127</v>
      </c>
      <c r="K99" s="145" t="s">
        <v>54</v>
      </c>
      <c r="L99" s="145" t="s">
        <v>49</v>
      </c>
      <c r="M99" s="145" t="s">
        <v>54</v>
      </c>
      <c r="N99" s="141"/>
      <c r="O99" s="141" t="s">
        <v>1237</v>
      </c>
    </row>
    <row r="100" spans="1:15" ht="36.75" customHeight="1">
      <c r="A100" s="140" t="s">
        <v>94</v>
      </c>
      <c r="B100" s="141" t="s">
        <v>332</v>
      </c>
      <c r="C100" s="141" t="s">
        <v>1233</v>
      </c>
      <c r="D100" s="141"/>
      <c r="E100" s="141" t="s">
        <v>1002</v>
      </c>
      <c r="F100" s="155" t="s">
        <v>1238</v>
      </c>
      <c r="G100" s="144" t="s">
        <v>1090</v>
      </c>
      <c r="H100" s="141"/>
      <c r="I100" s="145" t="s">
        <v>103</v>
      </c>
      <c r="J100" s="145" t="s">
        <v>127</v>
      </c>
      <c r="K100" s="145" t="s">
        <v>54</v>
      </c>
      <c r="L100" s="145" t="s">
        <v>49</v>
      </c>
      <c r="M100" s="145" t="s">
        <v>54</v>
      </c>
      <c r="N100" s="141"/>
      <c r="O100" s="141" t="s">
        <v>1022</v>
      </c>
    </row>
    <row r="101" spans="1:15" ht="36.75" customHeight="1">
      <c r="A101" s="140" t="s">
        <v>94</v>
      </c>
      <c r="B101" s="141" t="s">
        <v>336</v>
      </c>
      <c r="C101" s="141" t="s">
        <v>1239</v>
      </c>
      <c r="D101" s="141"/>
      <c r="E101" s="141" t="s">
        <v>1240</v>
      </c>
      <c r="F101" s="146" t="s">
        <v>1241</v>
      </c>
      <c r="G101" s="144" t="s">
        <v>1242</v>
      </c>
      <c r="H101" s="141"/>
      <c r="I101" s="145" t="s">
        <v>103</v>
      </c>
      <c r="J101" s="145" t="s">
        <v>127</v>
      </c>
      <c r="K101" s="145" t="s">
        <v>54</v>
      </c>
      <c r="L101" s="145" t="s">
        <v>49</v>
      </c>
      <c r="M101" s="145" t="s">
        <v>54</v>
      </c>
      <c r="N101" s="141"/>
      <c r="O101" s="141" t="s">
        <v>1243</v>
      </c>
    </row>
    <row r="102" spans="1:15" ht="36.75" customHeight="1">
      <c r="A102" s="140" t="s">
        <v>94</v>
      </c>
      <c r="B102" s="141" t="s">
        <v>340</v>
      </c>
      <c r="C102" s="141" t="s">
        <v>1244</v>
      </c>
      <c r="D102" s="141"/>
      <c r="E102" s="141" t="s">
        <v>1245</v>
      </c>
      <c r="F102" s="146" t="s">
        <v>1246</v>
      </c>
      <c r="G102" s="144" t="s">
        <v>1247</v>
      </c>
      <c r="H102" s="141"/>
      <c r="I102" s="145" t="s">
        <v>103</v>
      </c>
      <c r="J102" s="145" t="s">
        <v>127</v>
      </c>
      <c r="K102" s="145" t="s">
        <v>54</v>
      </c>
      <c r="L102" s="145" t="s">
        <v>49</v>
      </c>
      <c r="M102" s="145" t="s">
        <v>54</v>
      </c>
      <c r="N102" s="141"/>
      <c r="O102" s="141" t="s">
        <v>1248</v>
      </c>
    </row>
    <row r="103" spans="1:15" ht="36.75" customHeight="1">
      <c r="A103" s="140" t="s">
        <v>94</v>
      </c>
      <c r="B103" s="141" t="s">
        <v>1249</v>
      </c>
      <c r="C103" s="141" t="s">
        <v>1244</v>
      </c>
      <c r="D103" s="141"/>
      <c r="E103" s="141" t="s">
        <v>1250</v>
      </c>
      <c r="F103" s="146" t="s">
        <v>1251</v>
      </c>
      <c r="G103" s="144" t="s">
        <v>1252</v>
      </c>
      <c r="H103" s="141"/>
      <c r="I103" s="145" t="s">
        <v>103</v>
      </c>
      <c r="J103" s="145" t="s">
        <v>127</v>
      </c>
      <c r="K103" s="145" t="s">
        <v>54</v>
      </c>
      <c r="L103" s="145" t="s">
        <v>49</v>
      </c>
      <c r="M103" s="145" t="s">
        <v>54</v>
      </c>
      <c r="N103" s="141"/>
      <c r="O103" s="141" t="s">
        <v>1253</v>
      </c>
    </row>
    <row r="104" spans="1:15" ht="36.75" customHeight="1">
      <c r="A104" s="140" t="s">
        <v>94</v>
      </c>
      <c r="B104" s="141" t="s">
        <v>1254</v>
      </c>
      <c r="C104" s="141" t="s">
        <v>1255</v>
      </c>
      <c r="D104" s="141"/>
      <c r="E104" s="141" t="s">
        <v>1256</v>
      </c>
      <c r="F104" s="155" t="s">
        <v>1257</v>
      </c>
      <c r="G104" s="144" t="s">
        <v>1258</v>
      </c>
      <c r="H104" s="141"/>
      <c r="I104" s="145" t="s">
        <v>103</v>
      </c>
      <c r="J104" s="145" t="s">
        <v>127</v>
      </c>
      <c r="K104" s="145" t="s">
        <v>54</v>
      </c>
      <c r="L104" s="145" t="s">
        <v>49</v>
      </c>
      <c r="M104" s="145" t="s">
        <v>54</v>
      </c>
      <c r="N104" s="141"/>
      <c r="O104" s="141" t="s">
        <v>1259</v>
      </c>
    </row>
    <row r="105" spans="1:15" ht="36.75" customHeight="1">
      <c r="A105" s="139" t="s">
        <v>1260</v>
      </c>
      <c r="B105" s="139"/>
      <c r="C105" s="139"/>
      <c r="D105" s="139"/>
      <c r="E105" s="139"/>
      <c r="F105" s="139"/>
      <c r="G105" s="139"/>
      <c r="H105" s="139"/>
      <c r="I105" s="139"/>
      <c r="J105" s="139"/>
      <c r="K105" s="139"/>
      <c r="L105" s="139"/>
      <c r="M105" s="139"/>
      <c r="N105" s="139"/>
      <c r="O105" s="139"/>
    </row>
    <row r="106" spans="1:15" ht="36.75" customHeight="1">
      <c r="A106" s="140" t="s">
        <v>81</v>
      </c>
      <c r="B106" s="141" t="s">
        <v>345</v>
      </c>
      <c r="C106" s="141" t="s">
        <v>1261</v>
      </c>
      <c r="D106" s="141"/>
      <c r="E106" s="141" t="s">
        <v>1262</v>
      </c>
      <c r="F106" s="143" t="s">
        <v>1263</v>
      </c>
      <c r="G106" s="144" t="s">
        <v>1264</v>
      </c>
      <c r="H106" s="141"/>
      <c r="I106" s="145" t="s">
        <v>103</v>
      </c>
      <c r="J106" s="145" t="s">
        <v>127</v>
      </c>
      <c r="K106" s="145" t="s">
        <v>49</v>
      </c>
      <c r="L106" s="145" t="s">
        <v>49</v>
      </c>
      <c r="M106" s="145" t="s">
        <v>54</v>
      </c>
      <c r="N106" s="141"/>
      <c r="O106" s="141" t="s">
        <v>1265</v>
      </c>
    </row>
    <row r="107" spans="1:15" ht="36.75" customHeight="1">
      <c r="A107" s="140" t="s">
        <v>81</v>
      </c>
      <c r="B107" s="141" t="s">
        <v>349</v>
      </c>
      <c r="C107" s="141" t="s">
        <v>1261</v>
      </c>
      <c r="D107" s="141"/>
      <c r="E107" s="141" t="s">
        <v>1002</v>
      </c>
      <c r="F107" s="146" t="s">
        <v>1266</v>
      </c>
      <c r="G107" s="144" t="s">
        <v>1021</v>
      </c>
      <c r="H107" s="141"/>
      <c r="I107" s="145" t="s">
        <v>103</v>
      </c>
      <c r="J107" s="145" t="s">
        <v>127</v>
      </c>
      <c r="K107" s="145" t="s">
        <v>49</v>
      </c>
      <c r="L107" s="145" t="s">
        <v>49</v>
      </c>
      <c r="M107" s="145" t="s">
        <v>54</v>
      </c>
      <c r="N107" s="141"/>
      <c r="O107" s="141" t="s">
        <v>1022</v>
      </c>
    </row>
    <row r="108" spans="1:15" ht="36.75" customHeight="1">
      <c r="A108" s="140" t="s">
        <v>81</v>
      </c>
      <c r="B108" s="141" t="s">
        <v>353</v>
      </c>
      <c r="C108" s="141" t="s">
        <v>1267</v>
      </c>
      <c r="D108" s="141"/>
      <c r="E108" s="141" t="s">
        <v>1268</v>
      </c>
      <c r="F108" s="155" t="s">
        <v>1269</v>
      </c>
      <c r="G108" s="144" t="s">
        <v>1270</v>
      </c>
      <c r="H108" s="141"/>
      <c r="I108" s="145" t="s">
        <v>103</v>
      </c>
      <c r="J108" s="145" t="s">
        <v>127</v>
      </c>
      <c r="K108" s="145" t="s">
        <v>49</v>
      </c>
      <c r="L108" s="145" t="s">
        <v>49</v>
      </c>
      <c r="M108" s="145" t="s">
        <v>54</v>
      </c>
      <c r="N108" s="141"/>
      <c r="O108" s="141" t="s">
        <v>1271</v>
      </c>
    </row>
    <row r="109" spans="1:15" ht="36.75" customHeight="1">
      <c r="A109" s="140" t="s">
        <v>81</v>
      </c>
      <c r="B109" s="141" t="s">
        <v>357</v>
      </c>
      <c r="C109" s="141" t="s">
        <v>1272</v>
      </c>
      <c r="D109" s="141"/>
      <c r="E109" s="141" t="s">
        <v>1273</v>
      </c>
      <c r="F109" s="146" t="s">
        <v>1274</v>
      </c>
      <c r="G109" s="144" t="s">
        <v>1275</v>
      </c>
      <c r="H109" s="141"/>
      <c r="I109" s="145" t="s">
        <v>103</v>
      </c>
      <c r="J109" s="145" t="s">
        <v>127</v>
      </c>
      <c r="K109" s="145" t="s">
        <v>49</v>
      </c>
      <c r="L109" s="145" t="s">
        <v>49</v>
      </c>
      <c r="M109" s="145" t="s">
        <v>54</v>
      </c>
      <c r="N109" s="141"/>
      <c r="O109" s="141" t="s">
        <v>1276</v>
      </c>
    </row>
    <row r="110" spans="1:15" ht="36.75" customHeight="1">
      <c r="A110" s="140" t="s">
        <v>81</v>
      </c>
      <c r="B110" s="141" t="s">
        <v>1277</v>
      </c>
      <c r="C110" s="141" t="s">
        <v>1278</v>
      </c>
      <c r="D110" s="141"/>
      <c r="E110" s="141" t="s">
        <v>1279</v>
      </c>
      <c r="F110" s="155" t="s">
        <v>1280</v>
      </c>
      <c r="G110" s="144" t="s">
        <v>1281</v>
      </c>
      <c r="H110" s="141"/>
      <c r="I110" s="145" t="s">
        <v>103</v>
      </c>
      <c r="J110" s="145" t="s">
        <v>127</v>
      </c>
      <c r="K110" s="145" t="s">
        <v>49</v>
      </c>
      <c r="L110" s="145" t="s">
        <v>49</v>
      </c>
      <c r="M110" s="145" t="s">
        <v>54</v>
      </c>
      <c r="N110" s="141"/>
      <c r="O110" s="141" t="s">
        <v>1282</v>
      </c>
    </row>
    <row r="111" spans="1:15" ht="36.75" customHeight="1">
      <c r="A111" s="139" t="s">
        <v>1283</v>
      </c>
      <c r="B111" s="139"/>
      <c r="C111" s="139"/>
      <c r="D111" s="139"/>
      <c r="E111" s="139"/>
      <c r="F111" s="139"/>
      <c r="G111" s="139"/>
      <c r="H111" s="139"/>
      <c r="I111" s="139"/>
      <c r="J111" s="139"/>
      <c r="K111" s="139"/>
      <c r="L111" s="139"/>
      <c r="M111" s="139"/>
      <c r="N111" s="139"/>
      <c r="O111" s="139"/>
    </row>
    <row r="112" spans="1:15" ht="36.75" customHeight="1">
      <c r="A112" s="140" t="s">
        <v>82</v>
      </c>
      <c r="B112" s="141" t="s">
        <v>362</v>
      </c>
      <c r="C112" s="141" t="s">
        <v>1284</v>
      </c>
      <c r="D112" s="141"/>
      <c r="E112" s="141" t="s">
        <v>1018</v>
      </c>
      <c r="F112" s="143" t="s">
        <v>1285</v>
      </c>
      <c r="G112" s="144" t="s">
        <v>1000</v>
      </c>
      <c r="H112" s="141"/>
      <c r="I112" s="145" t="s">
        <v>103</v>
      </c>
      <c r="J112" s="145" t="s">
        <v>127</v>
      </c>
      <c r="K112" s="145" t="s">
        <v>49</v>
      </c>
      <c r="L112" s="145" t="s">
        <v>49</v>
      </c>
      <c r="M112" s="145" t="s">
        <v>54</v>
      </c>
      <c r="N112" s="141"/>
      <c r="O112" s="141" t="s">
        <v>1001</v>
      </c>
    </row>
    <row r="113" spans="1:15" ht="36.75" customHeight="1">
      <c r="A113" s="140" t="s">
        <v>82</v>
      </c>
      <c r="B113" s="141" t="s">
        <v>365</v>
      </c>
      <c r="C113" s="141" t="s">
        <v>1284</v>
      </c>
      <c r="D113" s="141"/>
      <c r="E113" s="141" t="s">
        <v>1002</v>
      </c>
      <c r="F113" s="146" t="s">
        <v>1286</v>
      </c>
      <c r="G113" s="144" t="s">
        <v>1021</v>
      </c>
      <c r="H113" s="141"/>
      <c r="I113" s="145" t="s">
        <v>103</v>
      </c>
      <c r="J113" s="145" t="s">
        <v>127</v>
      </c>
      <c r="K113" s="145" t="s">
        <v>49</v>
      </c>
      <c r="L113" s="145" t="s">
        <v>49</v>
      </c>
      <c r="M113" s="145" t="s">
        <v>54</v>
      </c>
      <c r="N113" s="141"/>
      <c r="O113" s="141" t="s">
        <v>1022</v>
      </c>
    </row>
    <row r="114" spans="1:15" ht="36.75" customHeight="1">
      <c r="A114" s="140" t="s">
        <v>82</v>
      </c>
      <c r="B114" s="141" t="s">
        <v>368</v>
      </c>
      <c r="C114" s="141" t="s">
        <v>1287</v>
      </c>
      <c r="D114" s="141"/>
      <c r="E114" s="141" t="s">
        <v>1288</v>
      </c>
      <c r="F114" s="155" t="s">
        <v>1289</v>
      </c>
      <c r="G114" s="144" t="s">
        <v>1290</v>
      </c>
      <c r="H114" s="141"/>
      <c r="I114" s="145" t="s">
        <v>103</v>
      </c>
      <c r="J114" s="145" t="s">
        <v>127</v>
      </c>
      <c r="K114" s="145" t="s">
        <v>49</v>
      </c>
      <c r="L114" s="145" t="s">
        <v>49</v>
      </c>
      <c r="M114" s="145" t="s">
        <v>54</v>
      </c>
      <c r="N114" s="141"/>
      <c r="O114" s="141" t="s">
        <v>1291</v>
      </c>
    </row>
    <row r="115" spans="1:15" ht="36.75" customHeight="1">
      <c r="A115" s="139" t="s">
        <v>1292</v>
      </c>
      <c r="B115" s="139"/>
      <c r="C115" s="139"/>
      <c r="D115" s="139"/>
      <c r="E115" s="139"/>
      <c r="F115" s="139"/>
      <c r="G115" s="139"/>
      <c r="H115" s="139"/>
      <c r="I115" s="139"/>
      <c r="J115" s="139"/>
      <c r="K115" s="139"/>
      <c r="L115" s="139"/>
      <c r="M115" s="139"/>
      <c r="N115" s="139"/>
      <c r="O115" s="139"/>
    </row>
    <row r="116" spans="1:15" ht="208.5" customHeight="1">
      <c r="A116" s="140" t="s">
        <v>95</v>
      </c>
      <c r="B116" s="141" t="s">
        <v>376</v>
      </c>
      <c r="C116" s="141" t="s">
        <v>1293</v>
      </c>
      <c r="D116" s="141"/>
      <c r="E116" s="141" t="s">
        <v>1294</v>
      </c>
      <c r="F116" s="155" t="s">
        <v>1295</v>
      </c>
      <c r="G116" s="144" t="s">
        <v>1296</v>
      </c>
      <c r="H116" s="141"/>
      <c r="I116" s="145" t="s">
        <v>103</v>
      </c>
      <c r="J116" s="145" t="s">
        <v>127</v>
      </c>
      <c r="K116" s="145" t="s">
        <v>49</v>
      </c>
      <c r="L116" s="145" t="s">
        <v>49</v>
      </c>
      <c r="M116" s="145" t="s">
        <v>54</v>
      </c>
      <c r="N116" s="141"/>
      <c r="O116" s="141" t="s">
        <v>1297</v>
      </c>
    </row>
    <row r="117" spans="1:15" ht="36.75" customHeight="1">
      <c r="A117" s="140" t="s">
        <v>95</v>
      </c>
      <c r="B117" s="141" t="s">
        <v>380</v>
      </c>
      <c r="C117" s="141" t="s">
        <v>1293</v>
      </c>
      <c r="D117" s="141"/>
      <c r="E117" s="141" t="s">
        <v>1002</v>
      </c>
      <c r="F117" s="155" t="s">
        <v>1298</v>
      </c>
      <c r="G117" s="144" t="s">
        <v>1090</v>
      </c>
      <c r="H117" s="141"/>
      <c r="I117" s="145" t="s">
        <v>103</v>
      </c>
      <c r="J117" s="145" t="s">
        <v>127</v>
      </c>
      <c r="K117" s="145" t="s">
        <v>49</v>
      </c>
      <c r="L117" s="145" t="s">
        <v>49</v>
      </c>
      <c r="M117" s="145" t="s">
        <v>54</v>
      </c>
      <c r="N117" s="141"/>
      <c r="O117" s="141" t="s">
        <v>1022</v>
      </c>
    </row>
    <row r="118" spans="1:15" ht="36.75" customHeight="1">
      <c r="A118" s="140" t="s">
        <v>95</v>
      </c>
      <c r="B118" s="141" t="s">
        <v>384</v>
      </c>
      <c r="C118" s="141" t="s">
        <v>1299</v>
      </c>
      <c r="D118" s="141"/>
      <c r="E118" s="141" t="s">
        <v>1300</v>
      </c>
      <c r="F118" s="155" t="s">
        <v>1301</v>
      </c>
      <c r="G118" s="144" t="s">
        <v>1302</v>
      </c>
      <c r="H118" s="141"/>
      <c r="I118" s="145" t="s">
        <v>103</v>
      </c>
      <c r="J118" s="145" t="s">
        <v>127</v>
      </c>
      <c r="K118" s="145" t="s">
        <v>49</v>
      </c>
      <c r="L118" s="145" t="s">
        <v>49</v>
      </c>
      <c r="M118" s="145" t="s">
        <v>54</v>
      </c>
      <c r="N118" s="141"/>
      <c r="O118" s="141" t="s">
        <v>1303</v>
      </c>
    </row>
    <row r="119" spans="1:15" ht="36.75" customHeight="1">
      <c r="A119" s="140" t="s">
        <v>95</v>
      </c>
      <c r="B119" s="141" t="s">
        <v>388</v>
      </c>
      <c r="C119" s="141" t="s">
        <v>1304</v>
      </c>
      <c r="D119" s="141"/>
      <c r="E119" s="141" t="s">
        <v>1305</v>
      </c>
      <c r="F119" s="155" t="s">
        <v>1306</v>
      </c>
      <c r="G119" s="144" t="s">
        <v>1307</v>
      </c>
      <c r="H119" s="141"/>
      <c r="I119" s="145" t="s">
        <v>103</v>
      </c>
      <c r="J119" s="145" t="s">
        <v>127</v>
      </c>
      <c r="K119" s="145" t="s">
        <v>49</v>
      </c>
      <c r="L119" s="145" t="s">
        <v>49</v>
      </c>
      <c r="M119" s="145" t="s">
        <v>54</v>
      </c>
      <c r="N119" s="141"/>
      <c r="O119" s="141"/>
    </row>
    <row r="120" spans="1:15" ht="36.75" customHeight="1">
      <c r="A120" s="140" t="s">
        <v>95</v>
      </c>
      <c r="B120" s="141" t="s">
        <v>1308</v>
      </c>
      <c r="C120" s="141" t="s">
        <v>1309</v>
      </c>
      <c r="D120" s="141"/>
      <c r="E120" s="141" t="s">
        <v>1310</v>
      </c>
      <c r="F120" s="155" t="s">
        <v>1311</v>
      </c>
      <c r="G120" s="144" t="s">
        <v>1312</v>
      </c>
      <c r="H120" s="141"/>
      <c r="I120" s="145" t="s">
        <v>103</v>
      </c>
      <c r="J120" s="145" t="s">
        <v>127</v>
      </c>
      <c r="K120" s="145" t="s">
        <v>49</v>
      </c>
      <c r="L120" s="145" t="s">
        <v>49</v>
      </c>
      <c r="M120" s="145" t="s">
        <v>54</v>
      </c>
      <c r="N120" s="141"/>
      <c r="O120" s="141" t="s">
        <v>1313</v>
      </c>
    </row>
    <row r="121" spans="1:15" ht="36.75" customHeight="1">
      <c r="A121" s="140" t="s">
        <v>95</v>
      </c>
      <c r="B121" s="141" t="s">
        <v>1314</v>
      </c>
      <c r="C121" s="141" t="s">
        <v>1309</v>
      </c>
      <c r="D121" s="141"/>
      <c r="E121" s="141" t="s">
        <v>1315</v>
      </c>
      <c r="F121" s="146" t="s">
        <v>1316</v>
      </c>
      <c r="G121" s="144" t="s">
        <v>1317</v>
      </c>
      <c r="H121" s="141"/>
      <c r="I121" s="145" t="s">
        <v>103</v>
      </c>
      <c r="J121" s="145" t="s">
        <v>127</v>
      </c>
      <c r="K121" s="145" t="s">
        <v>49</v>
      </c>
      <c r="L121" s="145" t="s">
        <v>49</v>
      </c>
      <c r="M121" s="145" t="s">
        <v>54</v>
      </c>
      <c r="N121" s="141"/>
      <c r="O121" s="141" t="s">
        <v>1318</v>
      </c>
    </row>
    <row r="122" spans="1:15" ht="36.75" customHeight="1">
      <c r="A122" s="140" t="s">
        <v>95</v>
      </c>
      <c r="B122" s="141" t="s">
        <v>1319</v>
      </c>
      <c r="C122" s="141" t="s">
        <v>1320</v>
      </c>
      <c r="D122" s="141"/>
      <c r="E122" s="141" t="s">
        <v>1321</v>
      </c>
      <c r="F122" s="155" t="s">
        <v>1322</v>
      </c>
      <c r="G122" s="144" t="s">
        <v>1323</v>
      </c>
      <c r="H122" s="141"/>
      <c r="I122" s="145" t="s">
        <v>103</v>
      </c>
      <c r="J122" s="145" t="s">
        <v>127</v>
      </c>
      <c r="K122" s="145" t="s">
        <v>49</v>
      </c>
      <c r="L122" s="145" t="s">
        <v>49</v>
      </c>
      <c r="M122" s="145" t="s">
        <v>54</v>
      </c>
      <c r="N122" s="141"/>
      <c r="O122" s="141" t="s">
        <v>1324</v>
      </c>
    </row>
    <row r="123" spans="1:15" ht="36.75" customHeight="1">
      <c r="A123" s="139" t="s">
        <v>1325</v>
      </c>
      <c r="B123" s="139"/>
      <c r="C123" s="139"/>
      <c r="D123" s="139"/>
      <c r="E123" s="139"/>
      <c r="F123" s="139"/>
      <c r="G123" s="139"/>
      <c r="H123" s="139"/>
      <c r="I123" s="139"/>
      <c r="J123" s="139"/>
      <c r="K123" s="139"/>
      <c r="L123" s="139"/>
      <c r="M123" s="139"/>
      <c r="N123" s="139"/>
      <c r="O123" s="139"/>
    </row>
    <row r="124" spans="1:15" ht="143.44999999999999" customHeight="1">
      <c r="A124" s="140" t="s">
        <v>92</v>
      </c>
      <c r="B124" s="141" t="s">
        <v>393</v>
      </c>
      <c r="C124" s="141" t="s">
        <v>1326</v>
      </c>
      <c r="D124" s="141"/>
      <c r="E124" s="141" t="s">
        <v>1327</v>
      </c>
      <c r="F124" s="155" t="s">
        <v>1328</v>
      </c>
      <c r="G124" s="144" t="s">
        <v>1329</v>
      </c>
      <c r="H124" s="141"/>
      <c r="I124" s="145" t="s">
        <v>103</v>
      </c>
      <c r="J124" s="145" t="s">
        <v>127</v>
      </c>
      <c r="K124" s="145" t="s">
        <v>49</v>
      </c>
      <c r="L124" s="145" t="s">
        <v>49</v>
      </c>
      <c r="M124" s="145" t="s">
        <v>54</v>
      </c>
      <c r="N124" s="141"/>
      <c r="O124" s="141"/>
    </row>
    <row r="125" spans="1:15" ht="36.75" customHeight="1">
      <c r="A125" s="140" t="s">
        <v>92</v>
      </c>
      <c r="B125" s="141" t="s">
        <v>397</v>
      </c>
      <c r="C125" s="141" t="s">
        <v>1326</v>
      </c>
      <c r="D125" s="141"/>
      <c r="E125" s="141" t="s">
        <v>1002</v>
      </c>
      <c r="F125" s="155" t="s">
        <v>1330</v>
      </c>
      <c r="G125" s="144" t="s">
        <v>1090</v>
      </c>
      <c r="H125" s="141"/>
      <c r="I125" s="145" t="s">
        <v>103</v>
      </c>
      <c r="J125" s="145" t="s">
        <v>127</v>
      </c>
      <c r="K125" s="145" t="s">
        <v>49</v>
      </c>
      <c r="L125" s="145" t="s">
        <v>49</v>
      </c>
      <c r="M125" s="145" t="s">
        <v>54</v>
      </c>
      <c r="N125" s="141"/>
      <c r="O125" s="141"/>
    </row>
    <row r="126" spans="1:15" ht="36.75" customHeight="1">
      <c r="A126" s="140" t="s">
        <v>92</v>
      </c>
      <c r="B126" s="141" t="s">
        <v>401</v>
      </c>
      <c r="C126" s="141" t="s">
        <v>1331</v>
      </c>
      <c r="D126" s="141"/>
      <c r="E126" s="141" t="s">
        <v>1332</v>
      </c>
      <c r="F126" s="155" t="s">
        <v>1333</v>
      </c>
      <c r="G126" s="144" t="s">
        <v>1334</v>
      </c>
      <c r="H126" s="141"/>
      <c r="I126" s="145" t="s">
        <v>103</v>
      </c>
      <c r="J126" s="145" t="s">
        <v>127</v>
      </c>
      <c r="K126" s="145" t="s">
        <v>49</v>
      </c>
      <c r="L126" s="145" t="s">
        <v>49</v>
      </c>
      <c r="M126" s="145" t="s">
        <v>54</v>
      </c>
      <c r="N126" s="141"/>
      <c r="O126" s="141"/>
    </row>
    <row r="127" spans="1:15" ht="36.75" customHeight="1">
      <c r="A127" s="140" t="s">
        <v>92</v>
      </c>
      <c r="B127" s="141" t="s">
        <v>401</v>
      </c>
      <c r="C127" s="141" t="s">
        <v>1335</v>
      </c>
      <c r="D127" s="141"/>
      <c r="E127" s="141" t="s">
        <v>1305</v>
      </c>
      <c r="F127" s="155" t="s">
        <v>1336</v>
      </c>
      <c r="G127" s="144" t="s">
        <v>1337</v>
      </c>
      <c r="H127" s="141"/>
      <c r="I127" s="145" t="s">
        <v>103</v>
      </c>
      <c r="J127" s="145" t="s">
        <v>127</v>
      </c>
      <c r="K127" s="145" t="s">
        <v>49</v>
      </c>
      <c r="L127" s="145" t="s">
        <v>49</v>
      </c>
      <c r="M127" s="145" t="s">
        <v>54</v>
      </c>
      <c r="N127" s="141"/>
      <c r="O127" s="141"/>
    </row>
    <row r="128" spans="1:15" ht="36.75" customHeight="1">
      <c r="A128" s="140" t="s">
        <v>92</v>
      </c>
      <c r="B128" s="141" t="s">
        <v>405</v>
      </c>
      <c r="C128" s="141" t="s">
        <v>1338</v>
      </c>
      <c r="D128" s="141"/>
      <c r="E128" s="141" t="s">
        <v>1339</v>
      </c>
      <c r="F128" s="155" t="s">
        <v>1340</v>
      </c>
      <c r="G128" s="144" t="s">
        <v>1341</v>
      </c>
      <c r="H128" s="141"/>
      <c r="I128" s="145" t="s">
        <v>103</v>
      </c>
      <c r="J128" s="145" t="s">
        <v>127</v>
      </c>
      <c r="K128" s="145" t="s">
        <v>49</v>
      </c>
      <c r="L128" s="145" t="s">
        <v>49</v>
      </c>
      <c r="M128" s="145" t="s">
        <v>54</v>
      </c>
      <c r="N128" s="141"/>
      <c r="O128" s="141"/>
    </row>
    <row r="129" spans="1:15" ht="36.75" customHeight="1">
      <c r="A129" s="140" t="s">
        <v>92</v>
      </c>
      <c r="B129" s="141" t="s">
        <v>405</v>
      </c>
      <c r="C129" s="141" t="s">
        <v>1338</v>
      </c>
      <c r="D129" s="141"/>
      <c r="E129" s="141" t="s">
        <v>1342</v>
      </c>
      <c r="F129" s="146" t="s">
        <v>1343</v>
      </c>
      <c r="G129" s="144" t="s">
        <v>1344</v>
      </c>
      <c r="H129" s="141"/>
      <c r="I129" s="145" t="s">
        <v>103</v>
      </c>
      <c r="J129" s="145" t="s">
        <v>127</v>
      </c>
      <c r="K129" s="145" t="s">
        <v>49</v>
      </c>
      <c r="L129" s="145" t="s">
        <v>49</v>
      </c>
      <c r="M129" s="145" t="s">
        <v>54</v>
      </c>
      <c r="N129" s="141"/>
      <c r="O129" s="141"/>
    </row>
    <row r="130" spans="1:15" ht="36.75" customHeight="1">
      <c r="A130" s="140" t="s">
        <v>92</v>
      </c>
      <c r="B130" s="141" t="s">
        <v>1345</v>
      </c>
      <c r="C130" s="141" t="s">
        <v>1346</v>
      </c>
      <c r="D130" s="141"/>
      <c r="E130" s="141" t="s">
        <v>1347</v>
      </c>
      <c r="F130" s="155" t="s">
        <v>1348</v>
      </c>
      <c r="G130" s="144" t="s">
        <v>1349</v>
      </c>
      <c r="H130" s="141"/>
      <c r="I130" s="145" t="s">
        <v>103</v>
      </c>
      <c r="J130" s="145" t="s">
        <v>127</v>
      </c>
      <c r="K130" s="145" t="s">
        <v>49</v>
      </c>
      <c r="L130" s="145" t="s">
        <v>49</v>
      </c>
      <c r="M130" s="145" t="s">
        <v>54</v>
      </c>
      <c r="N130" s="141"/>
      <c r="O130" s="141"/>
    </row>
    <row r="131" spans="1:15" ht="36.75" customHeight="1">
      <c r="A131" s="139" t="s">
        <v>1350</v>
      </c>
      <c r="B131" s="139"/>
      <c r="C131" s="139"/>
      <c r="D131" s="139"/>
      <c r="E131" s="139"/>
      <c r="F131" s="139"/>
      <c r="G131" s="139"/>
      <c r="H131" s="139"/>
      <c r="I131" s="139"/>
      <c r="J131" s="139"/>
      <c r="K131" s="139"/>
      <c r="L131" s="139"/>
      <c r="M131" s="139"/>
      <c r="N131" s="139"/>
      <c r="O131" s="139"/>
    </row>
    <row r="132" spans="1:15" ht="36.75" customHeight="1">
      <c r="A132" s="140" t="s">
        <v>1351</v>
      </c>
      <c r="B132" s="141" t="s">
        <v>1352</v>
      </c>
      <c r="C132" s="150" t="s">
        <v>1353</v>
      </c>
      <c r="D132" s="141"/>
      <c r="E132" s="150" t="s">
        <v>1354</v>
      </c>
      <c r="F132" s="151" t="s">
        <v>1355</v>
      </c>
      <c r="G132" s="152" t="s">
        <v>1356</v>
      </c>
      <c r="H132" s="141"/>
      <c r="I132" s="145" t="s">
        <v>103</v>
      </c>
      <c r="J132" s="145" t="s">
        <v>127</v>
      </c>
      <c r="K132" s="145" t="s">
        <v>49</v>
      </c>
      <c r="L132" s="145" t="s">
        <v>49</v>
      </c>
      <c r="M132" s="145" t="s">
        <v>54</v>
      </c>
      <c r="N132" s="141"/>
      <c r="O132" s="141"/>
    </row>
    <row r="133" spans="1:15" ht="36.75" customHeight="1">
      <c r="A133" s="140" t="s">
        <v>1351</v>
      </c>
      <c r="B133" s="141" t="s">
        <v>1357</v>
      </c>
      <c r="C133" s="141" t="s">
        <v>1358</v>
      </c>
      <c r="D133" s="141"/>
      <c r="E133" s="141" t="s">
        <v>1359</v>
      </c>
      <c r="F133" s="146" t="s">
        <v>1360</v>
      </c>
      <c r="G133" s="144" t="s">
        <v>1361</v>
      </c>
      <c r="H133" s="141"/>
      <c r="I133" s="145" t="s">
        <v>103</v>
      </c>
      <c r="J133" s="145" t="s">
        <v>127</v>
      </c>
      <c r="K133" s="145" t="s">
        <v>49</v>
      </c>
      <c r="L133" s="145" t="s">
        <v>49</v>
      </c>
      <c r="M133" s="145" t="s">
        <v>54</v>
      </c>
      <c r="N133" s="141"/>
      <c r="O133" s="141"/>
    </row>
    <row r="134" spans="1:15" ht="36.75" customHeight="1">
      <c r="A134" s="140" t="s">
        <v>1351</v>
      </c>
      <c r="B134" s="141" t="s">
        <v>1362</v>
      </c>
      <c r="C134" s="141" t="s">
        <v>1363</v>
      </c>
      <c r="D134" s="141"/>
      <c r="E134" s="141" t="s">
        <v>1364</v>
      </c>
      <c r="F134" s="146" t="s">
        <v>1365</v>
      </c>
      <c r="G134" s="144" t="s">
        <v>1366</v>
      </c>
      <c r="H134" s="141"/>
      <c r="I134" s="145" t="s">
        <v>103</v>
      </c>
      <c r="J134" s="145" t="s">
        <v>127</v>
      </c>
      <c r="K134" s="145" t="s">
        <v>49</v>
      </c>
      <c r="L134" s="145" t="s">
        <v>49</v>
      </c>
      <c r="M134" s="145" t="s">
        <v>54</v>
      </c>
      <c r="N134" s="141"/>
      <c r="O134" s="141"/>
    </row>
    <row r="135" spans="1:15" ht="36.75" customHeight="1">
      <c r="A135" s="140" t="s">
        <v>1351</v>
      </c>
      <c r="B135" s="141" t="s">
        <v>1367</v>
      </c>
      <c r="C135" s="141" t="s">
        <v>1368</v>
      </c>
      <c r="D135" s="141"/>
      <c r="E135" s="141" t="s">
        <v>1369</v>
      </c>
      <c r="F135" s="146" t="s">
        <v>1370</v>
      </c>
      <c r="G135" s="144" t="s">
        <v>1371</v>
      </c>
      <c r="H135" s="141"/>
      <c r="I135" s="145" t="s">
        <v>103</v>
      </c>
      <c r="J135" s="145" t="s">
        <v>127</v>
      </c>
      <c r="K135" s="145" t="s">
        <v>49</v>
      </c>
      <c r="L135" s="145" t="s">
        <v>49</v>
      </c>
      <c r="M135" s="145" t="s">
        <v>54</v>
      </c>
      <c r="N135" s="141"/>
      <c r="O135" s="141"/>
    </row>
    <row r="136" spans="1:15" ht="36.75" customHeight="1">
      <c r="A136" s="140" t="s">
        <v>1351</v>
      </c>
      <c r="B136" s="141" t="s">
        <v>1372</v>
      </c>
      <c r="C136" s="150" t="s">
        <v>1373</v>
      </c>
      <c r="D136" s="141"/>
      <c r="E136" s="141" t="s">
        <v>1374</v>
      </c>
      <c r="F136" s="146" t="s">
        <v>1375</v>
      </c>
      <c r="G136" s="144" t="s">
        <v>1376</v>
      </c>
      <c r="H136" s="141"/>
      <c r="I136" s="145" t="s">
        <v>103</v>
      </c>
      <c r="J136" s="145" t="s">
        <v>127</v>
      </c>
      <c r="K136" s="145" t="s">
        <v>49</v>
      </c>
      <c r="L136" s="145" t="s">
        <v>49</v>
      </c>
      <c r="M136" s="145" t="s">
        <v>54</v>
      </c>
      <c r="N136" s="141"/>
      <c r="O136" s="141"/>
    </row>
    <row r="137" spans="1:15" ht="36.75" customHeight="1">
      <c r="A137" s="140" t="s">
        <v>1351</v>
      </c>
      <c r="B137" s="141" t="s">
        <v>1377</v>
      </c>
      <c r="C137" s="141" t="s">
        <v>1378</v>
      </c>
      <c r="D137" s="141"/>
      <c r="E137" s="141" t="s">
        <v>1379</v>
      </c>
      <c r="F137" s="146" t="s">
        <v>1380</v>
      </c>
      <c r="G137" s="144" t="s">
        <v>1381</v>
      </c>
      <c r="H137" s="141"/>
      <c r="I137" s="145" t="s">
        <v>103</v>
      </c>
      <c r="J137" s="145" t="s">
        <v>127</v>
      </c>
      <c r="K137" s="145" t="s">
        <v>49</v>
      </c>
      <c r="L137" s="145" t="s">
        <v>49</v>
      </c>
      <c r="M137" s="145" t="s">
        <v>54</v>
      </c>
      <c r="N137" s="141"/>
      <c r="O137" s="141"/>
    </row>
    <row r="138" spans="1:15" ht="36.75" customHeight="1">
      <c r="A138" s="140" t="s">
        <v>1351</v>
      </c>
      <c r="B138" s="141" t="s">
        <v>1382</v>
      </c>
      <c r="C138" s="141" t="s">
        <v>1383</v>
      </c>
      <c r="D138" s="141"/>
      <c r="E138" s="141" t="s">
        <v>1384</v>
      </c>
      <c r="F138" s="146" t="s">
        <v>1385</v>
      </c>
      <c r="G138" s="144" t="s">
        <v>1386</v>
      </c>
      <c r="H138" s="141"/>
      <c r="I138" s="145" t="s">
        <v>103</v>
      </c>
      <c r="J138" s="145" t="s">
        <v>127</v>
      </c>
      <c r="K138" s="145" t="s">
        <v>49</v>
      </c>
      <c r="L138" s="145" t="s">
        <v>49</v>
      </c>
      <c r="M138" s="145" t="s">
        <v>54</v>
      </c>
      <c r="N138" s="141"/>
      <c r="O138" s="141"/>
    </row>
    <row r="139" spans="1:15" ht="36.75" customHeight="1">
      <c r="A139" s="139" t="s">
        <v>1387</v>
      </c>
      <c r="B139" s="139"/>
      <c r="C139" s="139"/>
      <c r="D139" s="139"/>
      <c r="E139" s="139"/>
      <c r="F139" s="139"/>
      <c r="G139" s="139"/>
      <c r="H139" s="139"/>
      <c r="I139" s="139"/>
      <c r="J139" s="139"/>
      <c r="K139" s="139"/>
      <c r="L139" s="139"/>
      <c r="M139" s="139"/>
      <c r="N139" s="139"/>
      <c r="O139" s="139"/>
    </row>
    <row r="140" spans="1:15" ht="36.75" customHeight="1">
      <c r="A140" s="140" t="s">
        <v>1388</v>
      </c>
      <c r="B140" s="141" t="s">
        <v>1389</v>
      </c>
      <c r="C140" s="150" t="s">
        <v>1390</v>
      </c>
      <c r="D140" s="141"/>
      <c r="E140" s="141" t="s">
        <v>1391</v>
      </c>
      <c r="F140" s="146" t="s">
        <v>1392</v>
      </c>
      <c r="G140" s="144" t="s">
        <v>1393</v>
      </c>
      <c r="H140" s="141"/>
      <c r="I140" s="145" t="s">
        <v>103</v>
      </c>
      <c r="J140" s="145" t="s">
        <v>127</v>
      </c>
      <c r="K140" s="145" t="s">
        <v>49</v>
      </c>
      <c r="L140" s="145" t="s">
        <v>49</v>
      </c>
      <c r="M140" s="145" t="s">
        <v>54</v>
      </c>
      <c r="N140" s="141"/>
      <c r="O140" s="141"/>
    </row>
    <row r="141" spans="1:15" ht="201" customHeight="1">
      <c r="A141" s="140" t="s">
        <v>1388</v>
      </c>
      <c r="B141" s="141" t="s">
        <v>1394</v>
      </c>
      <c r="C141" s="141" t="s">
        <v>1395</v>
      </c>
      <c r="D141" s="141"/>
      <c r="E141" s="157" t="s">
        <v>1396</v>
      </c>
      <c r="F141" s="158" t="s">
        <v>1397</v>
      </c>
      <c r="G141" s="159" t="s">
        <v>1398</v>
      </c>
      <c r="H141" s="141"/>
      <c r="I141" s="145" t="s">
        <v>103</v>
      </c>
      <c r="J141" s="145" t="s">
        <v>127</v>
      </c>
      <c r="K141" s="145" t="s">
        <v>49</v>
      </c>
      <c r="L141" s="145" t="s">
        <v>49</v>
      </c>
      <c r="M141" s="145" t="s">
        <v>54</v>
      </c>
      <c r="N141" s="141"/>
      <c r="O141" s="141"/>
    </row>
    <row r="142" spans="1:15" ht="36.75" customHeight="1">
      <c r="A142" s="140" t="s">
        <v>1388</v>
      </c>
      <c r="B142" s="141" t="s">
        <v>1399</v>
      </c>
      <c r="C142" s="141" t="s">
        <v>1400</v>
      </c>
      <c r="D142" s="141"/>
      <c r="E142" s="141" t="s">
        <v>1401</v>
      </c>
      <c r="F142" s="146" t="s">
        <v>1402</v>
      </c>
      <c r="G142" s="144" t="s">
        <v>1403</v>
      </c>
      <c r="H142" s="141"/>
      <c r="I142" s="145" t="s">
        <v>103</v>
      </c>
      <c r="J142" s="145" t="s">
        <v>127</v>
      </c>
      <c r="K142" s="145" t="s">
        <v>49</v>
      </c>
      <c r="L142" s="145" t="s">
        <v>49</v>
      </c>
      <c r="M142" s="145" t="s">
        <v>54</v>
      </c>
      <c r="N142" s="141"/>
      <c r="O142" s="153"/>
    </row>
    <row r="143" spans="1:15" ht="36.75" customHeight="1">
      <c r="A143" s="140" t="s">
        <v>1388</v>
      </c>
      <c r="B143" s="141" t="s">
        <v>1404</v>
      </c>
      <c r="C143" s="141" t="s">
        <v>1405</v>
      </c>
      <c r="D143" s="141"/>
      <c r="E143" s="141" t="s">
        <v>1406</v>
      </c>
      <c r="F143" s="146" t="s">
        <v>1407</v>
      </c>
      <c r="G143" s="144" t="s">
        <v>1408</v>
      </c>
      <c r="H143" s="141"/>
      <c r="I143" s="145" t="s">
        <v>103</v>
      </c>
      <c r="J143" s="145" t="s">
        <v>127</v>
      </c>
      <c r="K143" s="145" t="s">
        <v>49</v>
      </c>
      <c r="L143" s="145" t="s">
        <v>49</v>
      </c>
      <c r="M143" s="145" t="s">
        <v>54</v>
      </c>
      <c r="N143" s="141"/>
      <c r="O143" s="141"/>
    </row>
    <row r="144" spans="1:15" ht="36.75" customHeight="1">
      <c r="A144" s="140" t="s">
        <v>1388</v>
      </c>
      <c r="B144" s="141" t="s">
        <v>1409</v>
      </c>
      <c r="C144" s="150" t="s">
        <v>1410</v>
      </c>
      <c r="D144" s="141"/>
      <c r="E144" s="141" t="s">
        <v>1411</v>
      </c>
      <c r="F144" s="146" t="s">
        <v>1412</v>
      </c>
      <c r="G144" s="144" t="s">
        <v>1413</v>
      </c>
      <c r="H144" s="141"/>
      <c r="I144" s="145" t="s">
        <v>103</v>
      </c>
      <c r="J144" s="145" t="s">
        <v>127</v>
      </c>
      <c r="K144" s="145" t="s">
        <v>49</v>
      </c>
      <c r="L144" s="145" t="s">
        <v>49</v>
      </c>
      <c r="M144" s="145" t="s">
        <v>54</v>
      </c>
      <c r="N144" s="141"/>
      <c r="O144" s="141"/>
    </row>
    <row r="145" spans="1:15" ht="36.75" customHeight="1">
      <c r="A145" s="140" t="s">
        <v>1388</v>
      </c>
      <c r="B145" s="141" t="s">
        <v>1414</v>
      </c>
      <c r="C145" s="141" t="s">
        <v>1415</v>
      </c>
      <c r="D145" s="141"/>
      <c r="E145" s="141" t="s">
        <v>1416</v>
      </c>
      <c r="F145" s="146" t="s">
        <v>1417</v>
      </c>
      <c r="G145" s="144" t="s">
        <v>1418</v>
      </c>
      <c r="H145" s="141"/>
      <c r="I145" s="145" t="s">
        <v>103</v>
      </c>
      <c r="J145" s="145" t="s">
        <v>127</v>
      </c>
      <c r="K145" s="145" t="s">
        <v>49</v>
      </c>
      <c r="L145" s="145" t="s">
        <v>49</v>
      </c>
      <c r="M145" s="145" t="s">
        <v>54</v>
      </c>
      <c r="N145" s="141"/>
      <c r="O145" s="141"/>
    </row>
    <row r="146" spans="1:15" ht="36.75" customHeight="1">
      <c r="A146" s="140" t="s">
        <v>1388</v>
      </c>
      <c r="B146" s="141" t="s">
        <v>1419</v>
      </c>
      <c r="C146" s="141" t="s">
        <v>1420</v>
      </c>
      <c r="D146" s="141"/>
      <c r="E146" s="141" t="s">
        <v>1421</v>
      </c>
      <c r="F146" s="146" t="s">
        <v>1422</v>
      </c>
      <c r="G146" s="144" t="s">
        <v>1423</v>
      </c>
      <c r="H146" s="141"/>
      <c r="I146" s="145" t="s">
        <v>103</v>
      </c>
      <c r="J146" s="145" t="s">
        <v>127</v>
      </c>
      <c r="K146" s="145" t="s">
        <v>49</v>
      </c>
      <c r="L146" s="145" t="s">
        <v>49</v>
      </c>
      <c r="M146" s="145" t="s">
        <v>54</v>
      </c>
      <c r="N146" s="141"/>
      <c r="O146" s="141"/>
    </row>
    <row r="147" spans="1:15" ht="36.75" customHeight="1">
      <c r="A147" s="139" t="s">
        <v>1424</v>
      </c>
      <c r="B147" s="139"/>
      <c r="C147" s="139"/>
      <c r="D147" s="139"/>
      <c r="E147" s="139"/>
      <c r="F147" s="139"/>
      <c r="G147" s="139"/>
      <c r="H147" s="139"/>
      <c r="I147" s="139"/>
      <c r="J147" s="139"/>
      <c r="K147" s="139"/>
      <c r="L147" s="139"/>
      <c r="M147" s="139"/>
      <c r="N147" s="139"/>
      <c r="O147" s="139"/>
    </row>
    <row r="148" spans="1:15" ht="36.75" customHeight="1">
      <c r="A148" s="140" t="s">
        <v>1425</v>
      </c>
      <c r="B148" s="141" t="s">
        <v>1426</v>
      </c>
      <c r="C148" s="141" t="s">
        <v>1427</v>
      </c>
      <c r="D148" s="141"/>
      <c r="E148" s="141" t="s">
        <v>1428</v>
      </c>
      <c r="F148" s="146" t="s">
        <v>1429</v>
      </c>
      <c r="G148" s="144" t="s">
        <v>1430</v>
      </c>
      <c r="H148" s="141"/>
      <c r="I148" s="145" t="s">
        <v>103</v>
      </c>
      <c r="J148" s="145" t="s">
        <v>127</v>
      </c>
      <c r="K148" s="145" t="s">
        <v>49</v>
      </c>
      <c r="L148" s="145" t="s">
        <v>49</v>
      </c>
      <c r="M148" s="145" t="s">
        <v>54</v>
      </c>
      <c r="N148" s="141"/>
      <c r="O148" s="141"/>
    </row>
    <row r="149" spans="1:15" ht="36.75" customHeight="1">
      <c r="A149" s="140" t="s">
        <v>1425</v>
      </c>
      <c r="B149" s="141" t="s">
        <v>1431</v>
      </c>
      <c r="C149" s="141" t="s">
        <v>1432</v>
      </c>
      <c r="D149" s="141"/>
      <c r="E149" s="157" t="s">
        <v>1433</v>
      </c>
      <c r="F149" s="156" t="s">
        <v>1434</v>
      </c>
      <c r="G149" s="159" t="s">
        <v>1435</v>
      </c>
      <c r="H149" s="141"/>
      <c r="I149" s="145" t="s">
        <v>103</v>
      </c>
      <c r="J149" s="145" t="s">
        <v>127</v>
      </c>
      <c r="K149" s="145" t="s">
        <v>49</v>
      </c>
      <c r="L149" s="145" t="s">
        <v>49</v>
      </c>
      <c r="M149" s="145" t="s">
        <v>54</v>
      </c>
      <c r="N149" s="141"/>
      <c r="O149" s="141"/>
    </row>
    <row r="150" spans="1:15" ht="36.75" customHeight="1">
      <c r="A150" s="140" t="s">
        <v>1425</v>
      </c>
      <c r="B150" s="141" t="s">
        <v>1436</v>
      </c>
      <c r="C150" s="141" t="s">
        <v>1437</v>
      </c>
      <c r="D150" s="141"/>
      <c r="E150" s="141" t="s">
        <v>1438</v>
      </c>
      <c r="F150" s="146" t="s">
        <v>1439</v>
      </c>
      <c r="G150" s="144" t="s">
        <v>1440</v>
      </c>
      <c r="H150" s="141"/>
      <c r="I150" s="145" t="s">
        <v>103</v>
      </c>
      <c r="J150" s="145" t="s">
        <v>127</v>
      </c>
      <c r="K150" s="145" t="s">
        <v>49</v>
      </c>
      <c r="L150" s="145" t="s">
        <v>49</v>
      </c>
      <c r="M150" s="145" t="s">
        <v>54</v>
      </c>
      <c r="N150" s="141"/>
      <c r="O150" s="141"/>
    </row>
    <row r="151" spans="1:15" ht="36.75" customHeight="1">
      <c r="A151" s="140" t="s">
        <v>1425</v>
      </c>
      <c r="B151" s="141" t="s">
        <v>1441</v>
      </c>
      <c r="C151" s="141" t="s">
        <v>1442</v>
      </c>
      <c r="D151" s="141"/>
      <c r="E151" s="157" t="s">
        <v>1443</v>
      </c>
      <c r="F151" s="158" t="s">
        <v>1444</v>
      </c>
      <c r="G151" s="159" t="s">
        <v>1445</v>
      </c>
      <c r="H151" s="141"/>
      <c r="I151" s="145" t="s">
        <v>103</v>
      </c>
      <c r="J151" s="145" t="s">
        <v>127</v>
      </c>
      <c r="K151" s="145" t="s">
        <v>49</v>
      </c>
      <c r="L151" s="145" t="s">
        <v>49</v>
      </c>
      <c r="M151" s="145" t="s">
        <v>54</v>
      </c>
      <c r="N151" s="141"/>
      <c r="O151" s="141"/>
    </row>
    <row r="152" spans="1:15" ht="36.75" customHeight="1">
      <c r="A152" s="140" t="s">
        <v>1425</v>
      </c>
      <c r="B152" s="141" t="s">
        <v>1446</v>
      </c>
      <c r="C152" s="141" t="s">
        <v>1447</v>
      </c>
      <c r="D152" s="141"/>
      <c r="E152" s="141" t="s">
        <v>1448</v>
      </c>
      <c r="F152" s="146" t="s">
        <v>1449</v>
      </c>
      <c r="G152" s="144" t="s">
        <v>1450</v>
      </c>
      <c r="H152" s="141"/>
      <c r="I152" s="145" t="s">
        <v>103</v>
      </c>
      <c r="J152" s="145" t="s">
        <v>127</v>
      </c>
      <c r="K152" s="145" t="s">
        <v>49</v>
      </c>
      <c r="L152" s="145" t="s">
        <v>49</v>
      </c>
      <c r="M152" s="145" t="s">
        <v>54</v>
      </c>
      <c r="N152" s="141"/>
      <c r="O152" s="141"/>
    </row>
    <row r="153" spans="1:15" ht="36.75" customHeight="1">
      <c r="A153" s="140" t="s">
        <v>1425</v>
      </c>
      <c r="B153" s="141" t="s">
        <v>1451</v>
      </c>
      <c r="C153" s="141" t="s">
        <v>1452</v>
      </c>
      <c r="D153" s="141"/>
      <c r="E153" s="141" t="s">
        <v>1453</v>
      </c>
      <c r="F153" s="146" t="s">
        <v>1454</v>
      </c>
      <c r="G153" s="144" t="s">
        <v>1455</v>
      </c>
      <c r="H153" s="141"/>
      <c r="I153" s="145" t="s">
        <v>103</v>
      </c>
      <c r="J153" s="145" t="s">
        <v>127</v>
      </c>
      <c r="K153" s="145" t="s">
        <v>49</v>
      </c>
      <c r="L153" s="145" t="s">
        <v>49</v>
      </c>
      <c r="M153" s="145" t="s">
        <v>54</v>
      </c>
      <c r="N153" s="141"/>
      <c r="O153" s="141"/>
    </row>
    <row r="154" spans="1:15" ht="36.75" customHeight="1">
      <c r="A154" s="140" t="s">
        <v>1425</v>
      </c>
      <c r="B154" s="141" t="s">
        <v>1456</v>
      </c>
      <c r="C154" s="141" t="s">
        <v>1457</v>
      </c>
      <c r="D154" s="141"/>
      <c r="E154" s="141" t="s">
        <v>1458</v>
      </c>
      <c r="F154" s="155" t="s">
        <v>1459</v>
      </c>
      <c r="G154" s="144" t="s">
        <v>1460</v>
      </c>
      <c r="H154" s="141"/>
      <c r="I154" s="145" t="s">
        <v>103</v>
      </c>
      <c r="J154" s="145" t="s">
        <v>127</v>
      </c>
      <c r="K154" s="145" t="s">
        <v>49</v>
      </c>
      <c r="L154" s="145" t="s">
        <v>49</v>
      </c>
      <c r="M154" s="145" t="s">
        <v>54</v>
      </c>
      <c r="N154" s="141"/>
      <c r="O154" s="141" t="s">
        <v>1461</v>
      </c>
    </row>
    <row r="155" spans="1:15" ht="36.75" customHeight="1">
      <c r="A155" s="139" t="s">
        <v>1462</v>
      </c>
      <c r="B155" s="139"/>
      <c r="C155" s="139"/>
      <c r="D155" s="139"/>
      <c r="E155" s="139"/>
      <c r="F155" s="139"/>
      <c r="G155" s="139"/>
      <c r="H155" s="139"/>
      <c r="I155" s="139"/>
      <c r="J155" s="139"/>
      <c r="K155" s="139"/>
      <c r="L155" s="139"/>
      <c r="M155" s="139"/>
      <c r="N155" s="139"/>
      <c r="O155" s="139"/>
    </row>
    <row r="156" spans="1:15" ht="36.75" customHeight="1">
      <c r="A156" s="140" t="s">
        <v>1463</v>
      </c>
      <c r="B156" s="141" t="s">
        <v>1464</v>
      </c>
      <c r="C156" s="141" t="s">
        <v>1465</v>
      </c>
      <c r="D156" s="141"/>
      <c r="E156" s="141" t="s">
        <v>1466</v>
      </c>
      <c r="F156" s="146" t="s">
        <v>1467</v>
      </c>
      <c r="G156" s="144" t="s">
        <v>1468</v>
      </c>
      <c r="H156" s="141"/>
      <c r="I156" s="145" t="s">
        <v>103</v>
      </c>
      <c r="J156" s="145" t="s">
        <v>127</v>
      </c>
      <c r="K156" s="145" t="s">
        <v>49</v>
      </c>
      <c r="L156" s="145" t="s">
        <v>49</v>
      </c>
      <c r="M156" s="145" t="s">
        <v>54</v>
      </c>
      <c r="N156" s="141"/>
      <c r="O156" s="141"/>
    </row>
    <row r="157" spans="1:15" ht="36.75" customHeight="1">
      <c r="A157" s="140" t="s">
        <v>1463</v>
      </c>
      <c r="B157" s="160" t="s">
        <v>1469</v>
      </c>
      <c r="C157" s="141" t="s">
        <v>1465</v>
      </c>
      <c r="D157" s="141"/>
      <c r="E157" s="141" t="s">
        <v>1470</v>
      </c>
      <c r="F157" s="146" t="s">
        <v>1471</v>
      </c>
      <c r="G157" s="144" t="s">
        <v>1472</v>
      </c>
      <c r="H157" s="141"/>
      <c r="I157" s="145" t="s">
        <v>103</v>
      </c>
      <c r="J157" s="145" t="s">
        <v>127</v>
      </c>
      <c r="K157" s="145" t="s">
        <v>49</v>
      </c>
      <c r="L157" s="145" t="s">
        <v>49</v>
      </c>
      <c r="M157" s="145" t="s">
        <v>54</v>
      </c>
      <c r="N157" s="141"/>
      <c r="O157" s="141"/>
    </row>
    <row r="158" spans="1:15" ht="36.75" customHeight="1">
      <c r="A158" s="140" t="s">
        <v>1463</v>
      </c>
      <c r="B158" s="141" t="s">
        <v>1473</v>
      </c>
      <c r="C158" s="141" t="s">
        <v>1474</v>
      </c>
      <c r="D158" s="141"/>
      <c r="E158" s="141" t="s">
        <v>1475</v>
      </c>
      <c r="F158" s="146" t="s">
        <v>1476</v>
      </c>
      <c r="G158" s="144" t="s">
        <v>1477</v>
      </c>
      <c r="H158" s="141"/>
      <c r="I158" s="145" t="s">
        <v>103</v>
      </c>
      <c r="J158" s="145" t="s">
        <v>127</v>
      </c>
      <c r="K158" s="145" t="s">
        <v>49</v>
      </c>
      <c r="L158" s="145" t="s">
        <v>49</v>
      </c>
      <c r="M158" s="145" t="s">
        <v>54</v>
      </c>
      <c r="N158" s="141"/>
      <c r="O158" s="141"/>
    </row>
    <row r="159" spans="1:15" ht="36.75" customHeight="1">
      <c r="A159" s="140" t="s">
        <v>1463</v>
      </c>
      <c r="B159" s="141" t="s">
        <v>1478</v>
      </c>
      <c r="C159" s="141" t="s">
        <v>1479</v>
      </c>
      <c r="D159" s="141"/>
      <c r="E159" s="141" t="s">
        <v>1480</v>
      </c>
      <c r="F159" s="146" t="s">
        <v>1481</v>
      </c>
      <c r="G159" s="144" t="s">
        <v>1482</v>
      </c>
      <c r="H159" s="141"/>
      <c r="I159" s="145" t="s">
        <v>103</v>
      </c>
      <c r="J159" s="145" t="s">
        <v>127</v>
      </c>
      <c r="K159" s="145" t="s">
        <v>49</v>
      </c>
      <c r="L159" s="145" t="s">
        <v>49</v>
      </c>
      <c r="M159" s="145" t="s">
        <v>54</v>
      </c>
      <c r="N159" s="141"/>
      <c r="O159" s="141"/>
    </row>
    <row r="160" spans="1:15" ht="36.75" customHeight="1">
      <c r="A160" s="140" t="s">
        <v>1463</v>
      </c>
      <c r="B160" s="141" t="s">
        <v>1483</v>
      </c>
      <c r="C160" s="141" t="s">
        <v>1484</v>
      </c>
      <c r="D160" s="141"/>
      <c r="E160" s="141" t="s">
        <v>1485</v>
      </c>
      <c r="F160" s="156" t="s">
        <v>1486</v>
      </c>
      <c r="G160" s="144" t="s">
        <v>1487</v>
      </c>
      <c r="H160" s="141"/>
      <c r="I160" s="145" t="s">
        <v>103</v>
      </c>
      <c r="J160" s="145" t="s">
        <v>127</v>
      </c>
      <c r="K160" s="145" t="s">
        <v>49</v>
      </c>
      <c r="L160" s="145" t="s">
        <v>49</v>
      </c>
      <c r="M160" s="145" t="s">
        <v>54</v>
      </c>
      <c r="N160" s="141"/>
      <c r="O160" s="141"/>
    </row>
    <row r="161" spans="1:15" ht="36.75" customHeight="1">
      <c r="A161" s="140" t="s">
        <v>1463</v>
      </c>
      <c r="B161" s="141" t="s">
        <v>1488</v>
      </c>
      <c r="C161" s="141" t="s">
        <v>1484</v>
      </c>
      <c r="D161" s="141"/>
      <c r="E161" s="141" t="s">
        <v>1489</v>
      </c>
      <c r="F161" s="146" t="s">
        <v>1490</v>
      </c>
      <c r="G161" s="144" t="s">
        <v>1491</v>
      </c>
      <c r="H161" s="141"/>
      <c r="I161" s="145" t="s">
        <v>103</v>
      </c>
      <c r="J161" s="145" t="s">
        <v>127</v>
      </c>
      <c r="K161" s="145" t="s">
        <v>49</v>
      </c>
      <c r="L161" s="145" t="s">
        <v>49</v>
      </c>
      <c r="M161" s="145" t="s">
        <v>54</v>
      </c>
      <c r="N161" s="141"/>
      <c r="O161" s="141"/>
    </row>
    <row r="162" spans="1:15" ht="36.75" customHeight="1">
      <c r="A162" s="140" t="s">
        <v>1463</v>
      </c>
      <c r="B162" s="141" t="s">
        <v>1492</v>
      </c>
      <c r="C162" s="141" t="s">
        <v>1493</v>
      </c>
      <c r="D162" s="141"/>
      <c r="E162" s="142" t="s">
        <v>1494</v>
      </c>
      <c r="F162" s="146" t="s">
        <v>1495</v>
      </c>
      <c r="G162" s="144" t="s">
        <v>1496</v>
      </c>
      <c r="H162" s="141"/>
      <c r="I162" s="145" t="s">
        <v>103</v>
      </c>
      <c r="J162" s="145" t="s">
        <v>127</v>
      </c>
      <c r="K162" s="145" t="s">
        <v>49</v>
      </c>
      <c r="L162" s="145" t="s">
        <v>49</v>
      </c>
      <c r="M162" s="145" t="s">
        <v>54</v>
      </c>
      <c r="N162" s="141"/>
      <c r="O162" s="141"/>
    </row>
    <row r="163" spans="1:15" ht="36.75" customHeight="1">
      <c r="A163" s="140" t="s">
        <v>1463</v>
      </c>
      <c r="B163" s="141" t="s">
        <v>1492</v>
      </c>
      <c r="C163" s="141" t="s">
        <v>1493</v>
      </c>
      <c r="D163" s="141"/>
      <c r="E163" s="142" t="s">
        <v>1497</v>
      </c>
      <c r="F163" s="146" t="s">
        <v>1498</v>
      </c>
      <c r="G163" s="144" t="s">
        <v>1499</v>
      </c>
      <c r="H163" s="141"/>
      <c r="I163" s="145" t="s">
        <v>103</v>
      </c>
      <c r="J163" s="145" t="s">
        <v>127</v>
      </c>
      <c r="K163" s="145" t="s">
        <v>49</v>
      </c>
      <c r="L163" s="145" t="s">
        <v>49</v>
      </c>
      <c r="M163" s="145" t="s">
        <v>54</v>
      </c>
      <c r="N163" s="141"/>
      <c r="O163" s="141"/>
    </row>
    <row r="164" spans="1:15" ht="36.75" customHeight="1">
      <c r="A164" s="140" t="s">
        <v>1463</v>
      </c>
      <c r="B164" s="141" t="s">
        <v>1500</v>
      </c>
      <c r="C164" s="141" t="s">
        <v>1501</v>
      </c>
      <c r="D164" s="141"/>
      <c r="E164" s="141" t="s">
        <v>1502</v>
      </c>
      <c r="F164" s="146" t="s">
        <v>1503</v>
      </c>
      <c r="G164" s="144" t="s">
        <v>1504</v>
      </c>
      <c r="H164" s="141"/>
      <c r="I164" s="145" t="s">
        <v>103</v>
      </c>
      <c r="J164" s="145" t="s">
        <v>127</v>
      </c>
      <c r="K164" s="145" t="s">
        <v>49</v>
      </c>
      <c r="L164" s="145" t="s">
        <v>49</v>
      </c>
      <c r="M164" s="145" t="s">
        <v>54</v>
      </c>
      <c r="N164" s="141"/>
      <c r="O164" s="141"/>
    </row>
    <row r="165" spans="1:15" ht="36.75" customHeight="1">
      <c r="A165" s="140" t="s">
        <v>1463</v>
      </c>
      <c r="B165" s="160" t="s">
        <v>1505</v>
      </c>
      <c r="C165" s="141" t="s">
        <v>1506</v>
      </c>
      <c r="D165" s="141"/>
      <c r="E165" s="141" t="s">
        <v>1507</v>
      </c>
      <c r="F165" s="155" t="s">
        <v>1508</v>
      </c>
      <c r="G165" s="144" t="s">
        <v>1509</v>
      </c>
      <c r="H165" s="141"/>
      <c r="I165" s="145" t="s">
        <v>103</v>
      </c>
      <c r="J165" s="145" t="s">
        <v>127</v>
      </c>
      <c r="K165" s="145" t="s">
        <v>49</v>
      </c>
      <c r="L165" s="145" t="s">
        <v>49</v>
      </c>
      <c r="M165" s="145" t="s">
        <v>54</v>
      </c>
      <c r="N165" s="141"/>
      <c r="O165" s="141"/>
    </row>
    <row r="166" spans="1:15" ht="36.75" customHeight="1">
      <c r="A166" s="139" t="s">
        <v>1510</v>
      </c>
      <c r="B166" s="139"/>
      <c r="C166" s="139"/>
      <c r="D166" s="139"/>
      <c r="E166" s="139"/>
      <c r="F166" s="139"/>
      <c r="G166" s="139"/>
      <c r="H166" s="139"/>
      <c r="I166" s="139"/>
      <c r="J166" s="139"/>
      <c r="K166" s="139"/>
      <c r="L166" s="139"/>
      <c r="M166" s="139"/>
      <c r="N166" s="139"/>
      <c r="O166" s="139"/>
    </row>
    <row r="167" spans="1:15" ht="36.75" customHeight="1">
      <c r="A167" s="140" t="s">
        <v>1511</v>
      </c>
      <c r="B167" s="141" t="s">
        <v>1512</v>
      </c>
      <c r="C167" s="141" t="s">
        <v>1513</v>
      </c>
      <c r="D167" s="141"/>
      <c r="E167" s="141" t="s">
        <v>1514</v>
      </c>
      <c r="F167" s="146" t="s">
        <v>1515</v>
      </c>
      <c r="G167" s="144" t="s">
        <v>1516</v>
      </c>
      <c r="H167" s="141"/>
      <c r="I167" s="145" t="s">
        <v>103</v>
      </c>
      <c r="J167" s="145" t="s">
        <v>127</v>
      </c>
      <c r="K167" s="145" t="s">
        <v>50</v>
      </c>
      <c r="L167" s="145" t="s">
        <v>49</v>
      </c>
      <c r="M167" s="145" t="s">
        <v>54</v>
      </c>
      <c r="N167" s="141"/>
      <c r="O167" s="141"/>
    </row>
    <row r="168" spans="1:15" ht="36.75" customHeight="1">
      <c r="A168" s="140" t="s">
        <v>1511</v>
      </c>
      <c r="B168" s="141" t="s">
        <v>1517</v>
      </c>
      <c r="C168" s="141" t="s">
        <v>1518</v>
      </c>
      <c r="D168" s="141"/>
      <c r="E168" s="141" t="s">
        <v>1519</v>
      </c>
      <c r="F168" s="155" t="s">
        <v>1520</v>
      </c>
      <c r="G168" s="144" t="s">
        <v>1521</v>
      </c>
      <c r="H168" s="141"/>
      <c r="I168" s="145" t="s">
        <v>103</v>
      </c>
      <c r="J168" s="145" t="s">
        <v>127</v>
      </c>
      <c r="K168" s="145" t="s">
        <v>49</v>
      </c>
      <c r="L168" s="145" t="s">
        <v>49</v>
      </c>
      <c r="M168" s="145" t="s">
        <v>54</v>
      </c>
      <c r="N168" s="141"/>
      <c r="O168" s="141"/>
    </row>
    <row r="169" spans="1:15" ht="36.75" customHeight="1">
      <c r="A169" s="139" t="s">
        <v>1522</v>
      </c>
      <c r="B169" s="139"/>
      <c r="C169" s="139"/>
      <c r="D169" s="139"/>
      <c r="E169" s="139"/>
      <c r="F169" s="139"/>
      <c r="G169" s="139"/>
      <c r="H169" s="139"/>
      <c r="I169" s="139"/>
      <c r="J169" s="139"/>
      <c r="K169" s="139"/>
      <c r="L169" s="139"/>
      <c r="M169" s="139"/>
      <c r="N169" s="139"/>
      <c r="O169" s="139"/>
    </row>
    <row r="170" spans="1:15" ht="36.75" customHeight="1">
      <c r="A170" s="140" t="s">
        <v>1523</v>
      </c>
      <c r="B170" s="141" t="s">
        <v>1524</v>
      </c>
      <c r="C170" s="141" t="s">
        <v>1525</v>
      </c>
      <c r="D170" s="141"/>
      <c r="E170" s="141" t="s">
        <v>1526</v>
      </c>
      <c r="F170" s="146" t="s">
        <v>1527</v>
      </c>
      <c r="G170" s="144" t="s">
        <v>1528</v>
      </c>
      <c r="H170" s="141"/>
      <c r="I170" s="145" t="s">
        <v>103</v>
      </c>
      <c r="J170" s="145" t="s">
        <v>127</v>
      </c>
      <c r="K170" s="145" t="s">
        <v>49</v>
      </c>
      <c r="L170" s="145" t="s">
        <v>49</v>
      </c>
      <c r="M170" s="145" t="s">
        <v>54</v>
      </c>
      <c r="N170" s="141"/>
      <c r="O170" s="141"/>
    </row>
    <row r="171" spans="1:15" ht="36.75" customHeight="1">
      <c r="A171" s="140" t="s">
        <v>1523</v>
      </c>
      <c r="B171" s="141" t="s">
        <v>1529</v>
      </c>
      <c r="C171" s="141" t="s">
        <v>1530</v>
      </c>
      <c r="D171" s="141"/>
      <c r="E171" s="141" t="s">
        <v>1531</v>
      </c>
      <c r="F171" s="155" t="s">
        <v>1532</v>
      </c>
      <c r="G171" s="144" t="s">
        <v>1533</v>
      </c>
      <c r="H171" s="141"/>
      <c r="I171" s="145" t="s">
        <v>103</v>
      </c>
      <c r="J171" s="145" t="s">
        <v>127</v>
      </c>
      <c r="K171" s="145" t="s">
        <v>49</v>
      </c>
      <c r="L171" s="145" t="s">
        <v>49</v>
      </c>
      <c r="M171" s="145" t="s">
        <v>54</v>
      </c>
      <c r="N171" s="141"/>
      <c r="O171" s="141"/>
    </row>
    <row r="172" spans="1:15" ht="36.75" customHeight="1"/>
    <row r="173" spans="1:15" ht="90" customHeight="1"/>
    <row r="174" spans="1:15" ht="90" customHeight="1"/>
    <row r="175" spans="1:15" ht="90" customHeight="1"/>
    <row r="176" spans="1:15" ht="90" customHeight="1">
      <c r="I176"/>
      <c r="J176"/>
      <c r="K176"/>
      <c r="L176"/>
      <c r="M176"/>
    </row>
    <row r="177" spans="9:13" ht="90" customHeight="1">
      <c r="I177"/>
      <c r="J177"/>
      <c r="K177"/>
      <c r="L177"/>
      <c r="M177"/>
    </row>
    <row r="178" spans="9:13" ht="90" customHeight="1">
      <c r="I178"/>
      <c r="J178"/>
      <c r="K178"/>
      <c r="L178"/>
      <c r="M178"/>
    </row>
    <row r="179" spans="9:13" ht="90" customHeight="1">
      <c r="I179"/>
      <c r="J179"/>
      <c r="K179"/>
      <c r="L179"/>
      <c r="M179"/>
    </row>
    <row r="180" spans="9:13" ht="90" customHeight="1">
      <c r="I180"/>
      <c r="J180"/>
      <c r="K180"/>
      <c r="L180"/>
      <c r="M180"/>
    </row>
    <row r="181" spans="9:13" ht="90" customHeight="1">
      <c r="I181"/>
      <c r="J181"/>
      <c r="K181"/>
      <c r="L181"/>
      <c r="M181"/>
    </row>
    <row r="182" spans="9:13" ht="90" customHeight="1"/>
    <row r="183" spans="9:13" ht="90" customHeight="1"/>
    <row r="184" spans="9:13" ht="90" customHeight="1"/>
    <row r="185" spans="9:13" ht="90" customHeight="1"/>
    <row r="186" spans="9:13" ht="90" customHeight="1"/>
    <row r="187" spans="9:13" ht="90" customHeight="1"/>
    <row r="188" spans="9:13" ht="90" customHeight="1"/>
    <row r="189" spans="9:13" ht="90" customHeight="1"/>
    <row r="190" spans="9:13" ht="90" customHeight="1"/>
    <row r="191" spans="9:13" ht="90" customHeight="1"/>
    <row r="192" spans="9:13" ht="90" customHeight="1"/>
    <row r="193" ht="90" customHeight="1"/>
    <row r="194" ht="90" customHeight="1"/>
    <row r="195" ht="90" customHeight="1"/>
    <row r="196" ht="90" customHeight="1"/>
    <row r="197" ht="90" customHeight="1"/>
    <row r="198" ht="90" customHeight="1"/>
    <row r="199" ht="90" customHeight="1"/>
    <row r="200" ht="90" customHeight="1"/>
    <row r="201" ht="90" customHeight="1"/>
    <row r="202" ht="90" customHeight="1"/>
    <row r="203" ht="90" customHeight="1"/>
    <row r="204" ht="90" customHeight="1"/>
    <row r="205" ht="90" customHeight="1"/>
    <row r="206" ht="90" customHeight="1"/>
    <row r="207" ht="90" customHeight="1"/>
    <row r="208" ht="90" customHeight="1"/>
    <row r="209" ht="90" customHeight="1"/>
    <row r="210" ht="90" customHeight="1"/>
    <row r="211" ht="90" customHeight="1"/>
    <row r="212" ht="90" customHeight="1"/>
    <row r="213" ht="90" customHeight="1"/>
    <row r="214" ht="90" customHeight="1"/>
    <row r="215" ht="90" customHeight="1"/>
    <row r="216" ht="90" customHeight="1"/>
    <row r="217" ht="90" customHeight="1"/>
    <row r="218" ht="90" customHeight="1"/>
    <row r="219" ht="90" customHeight="1"/>
    <row r="220" ht="90" customHeight="1"/>
    <row r="221" ht="90" customHeight="1"/>
    <row r="222" ht="90" customHeight="1"/>
    <row r="223" ht="90" customHeight="1"/>
    <row r="224" ht="90" customHeight="1"/>
    <row r="225" ht="90" customHeight="1"/>
    <row r="226" ht="90" customHeight="1"/>
    <row r="227" ht="90" customHeight="1"/>
    <row r="228" ht="90" customHeight="1"/>
    <row r="229" ht="90" customHeight="1"/>
    <row r="230" ht="90" customHeight="1"/>
    <row r="231" ht="90" customHeight="1"/>
    <row r="232" ht="90" customHeight="1"/>
    <row r="233" ht="90" customHeight="1"/>
    <row r="234" ht="90" customHeight="1"/>
    <row r="235" ht="90" customHeight="1"/>
    <row r="236" ht="90" customHeight="1"/>
    <row r="237" ht="90" customHeight="1"/>
    <row r="238" ht="90" customHeight="1"/>
    <row r="239" ht="90" customHeight="1"/>
    <row r="240" ht="90" customHeight="1"/>
    <row r="241" ht="90" customHeight="1"/>
    <row r="242" ht="90" customHeight="1"/>
    <row r="243" ht="90" customHeight="1"/>
    <row r="244" ht="90" customHeight="1"/>
    <row r="245" ht="90" customHeight="1"/>
    <row r="246" ht="90" customHeight="1"/>
    <row r="247" ht="90" customHeight="1"/>
    <row r="248" ht="90" customHeight="1"/>
    <row r="249" ht="90" customHeight="1"/>
    <row r="250" ht="90" customHeight="1"/>
    <row r="251" ht="90" customHeight="1"/>
    <row r="252" ht="90" customHeight="1"/>
    <row r="253" ht="90" customHeight="1"/>
    <row r="254" ht="90" customHeight="1"/>
    <row r="255" ht="90" customHeight="1"/>
    <row r="256" ht="90" customHeight="1"/>
    <row r="257" ht="90" customHeight="1"/>
    <row r="258" ht="90" customHeight="1"/>
    <row r="259" ht="90" customHeight="1"/>
    <row r="260" ht="90" customHeight="1"/>
    <row r="261" ht="90" customHeight="1"/>
    <row r="262" ht="90" customHeight="1"/>
    <row r="263" ht="90" customHeight="1"/>
    <row r="264" ht="90" customHeight="1"/>
    <row r="265" ht="90" customHeight="1"/>
    <row r="266" ht="90" customHeight="1"/>
    <row r="267" ht="90" customHeight="1"/>
    <row r="268" ht="90" customHeight="1"/>
    <row r="269" ht="90" customHeight="1"/>
    <row r="270" ht="90" customHeight="1"/>
    <row r="271" ht="90" customHeight="1"/>
    <row r="272" ht="90" customHeight="1"/>
    <row r="273" ht="90" customHeight="1"/>
    <row r="274" ht="90" customHeight="1"/>
    <row r="275" ht="90" customHeight="1"/>
    <row r="276" ht="90" customHeight="1"/>
    <row r="277" ht="90" customHeight="1"/>
    <row r="278" ht="90" customHeight="1"/>
    <row r="279" ht="90" customHeight="1"/>
    <row r="280" ht="90" customHeight="1"/>
    <row r="281" ht="90" customHeight="1"/>
    <row r="282" ht="90" customHeight="1"/>
    <row r="283" ht="90" customHeight="1"/>
    <row r="284" ht="90" customHeight="1"/>
    <row r="285" ht="90" customHeight="1"/>
    <row r="286" ht="90" customHeight="1"/>
  </sheetData>
  <autoFilter ref="A13:O278" xr:uid="{00000000-0009-0000-0000-000005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2026-07-20T09:34:47Z</dcterms:created>
  <dcterms:modified xsi:type="dcterms:W3CDTF">2026-09-30T07:35:35Z</dcterms:modified>
  <cp:category/>
  <cp:contentStatus/>
</cp:coreProperties>
</file>