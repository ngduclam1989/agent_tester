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agent_tester\practices\testcases\msb-aml-tf\api\"/>
    </mc:Choice>
  </mc:AlternateContent>
  <xr:revisionPtr revIDLastSave="0" documentId="13_ncr:1_{2D187E78-8D5B-4951-81AE-ED654C4E7B74}" xr6:coauthVersionLast="36" xr6:coauthVersionMax="47" xr10:uidLastSave="{00000000-0000-0000-0000-000000000000}"/>
  <bookViews>
    <workbookView xWindow="0" yWindow="0" windowWidth="16380" windowHeight="8190" tabRatio="500" firstSheet="5" activeTab="5" xr2:uid="{00000000-000D-0000-FFFF-FFFF00000000}"/>
  </bookViews>
  <sheets>
    <sheet name="Cover" sheetId="1" r:id="rId1"/>
    <sheet name="Records" sheetId="2" r:id="rId2"/>
    <sheet name="Test Report" sheetId="3" r:id="rId3"/>
    <sheet name="Cấu hình điện" sheetId="5" r:id="rId4"/>
    <sheet name="Cấu hình chủ thể" sheetId="6" r:id="rId5"/>
    <sheet name="Sàng lọc điện" sheetId="7" r:id="rId6"/>
  </sheets>
  <definedNames>
    <definedName name="_xlnm._FilterDatabase" localSheetId="4" hidden="1">'Cấu hình chủ thể'!$A$14:$N$14</definedName>
    <definedName name="_xlnm._FilterDatabase" localSheetId="3" hidden="1">'Cấu hình điện'!$A$15:$N$15</definedName>
    <definedName name="_xlnm._FilterDatabase" localSheetId="5" hidden="1">'Sàng lọc điện'!$A$13:$O$80</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1" i="6" l="1"/>
  <c r="C11" i="6"/>
  <c r="B11" i="6"/>
  <c r="E11" i="6" s="1"/>
  <c r="D10" i="6"/>
  <c r="C10" i="6"/>
  <c r="B10" i="6"/>
  <c r="E10" i="6" s="1"/>
  <c r="D9" i="6"/>
  <c r="C9" i="6"/>
  <c r="B9" i="6"/>
  <c r="E9" i="6" s="1"/>
  <c r="D8" i="6"/>
  <c r="C8" i="6"/>
  <c r="B8" i="6"/>
  <c r="E8" i="6" s="1"/>
  <c r="D7" i="6"/>
  <c r="C7" i="6"/>
  <c r="B7" i="6"/>
  <c r="E7" i="6" s="1"/>
  <c r="D6" i="6"/>
  <c r="C6" i="6"/>
  <c r="B6" i="6"/>
  <c r="E6" i="6" s="1"/>
  <c r="D5" i="6"/>
  <c r="C5" i="6"/>
  <c r="E5" i="6" s="1"/>
  <c r="D12" i="5"/>
  <c r="C12" i="5"/>
  <c r="B12" i="5"/>
  <c r="E12" i="5" s="1"/>
  <c r="D11" i="5"/>
  <c r="C11" i="5"/>
  <c r="B11" i="5"/>
  <c r="E11" i="5" s="1"/>
  <c r="D10" i="5"/>
  <c r="C10" i="5"/>
  <c r="B10" i="5"/>
  <c r="E10" i="5" s="1"/>
  <c r="G16" i="3" s="1"/>
  <c r="D9" i="5"/>
  <c r="C9" i="5"/>
  <c r="B9" i="5"/>
  <c r="E9" i="5" s="1"/>
  <c r="F16" i="3" s="1"/>
  <c r="D8" i="5"/>
  <c r="C8" i="5"/>
  <c r="B8" i="5"/>
  <c r="E8" i="5" s="1"/>
  <c r="D16" i="3" s="1"/>
  <c r="D7" i="5"/>
  <c r="C7" i="5"/>
  <c r="B7" i="5"/>
  <c r="E7" i="5" s="1"/>
  <c r="C16" i="3" s="1"/>
  <c r="D6" i="5"/>
  <c r="C6" i="5"/>
  <c r="C5" i="5" s="1"/>
  <c r="B6" i="5"/>
  <c r="E6" i="5" s="1"/>
  <c r="B16" i="3" s="1"/>
  <c r="D5" i="5"/>
  <c r="G17" i="3"/>
  <c r="F17" i="3"/>
  <c r="E17" i="3"/>
  <c r="D17" i="3"/>
  <c r="C17" i="3"/>
  <c r="B17" i="3"/>
  <c r="H17" i="3" s="1"/>
  <c r="E16" i="3"/>
  <c r="B5" i="3"/>
  <c r="D11" i="7"/>
  <c r="C11" i="7"/>
  <c r="B11" i="7"/>
  <c r="E11" i="7" s="1"/>
  <c r="D18" i="3" s="1"/>
  <c r="E10" i="7"/>
  <c r="E18" i="3" s="1"/>
  <c r="D10" i="7"/>
  <c r="C10" i="7"/>
  <c r="B10" i="7"/>
  <c r="D9" i="7"/>
  <c r="C9" i="7"/>
  <c r="B9" i="7"/>
  <c r="E9" i="7" s="1"/>
  <c r="F18" i="3" s="1"/>
  <c r="D8" i="7"/>
  <c r="C8" i="7"/>
  <c r="B8" i="7"/>
  <c r="E8" i="7" s="1"/>
  <c r="G18" i="3" s="1"/>
  <c r="D7" i="7"/>
  <c r="C7" i="7"/>
  <c r="B7" i="7"/>
  <c r="E7" i="7" s="1"/>
  <c r="C18" i="3" s="1"/>
  <c r="D6" i="7"/>
  <c r="C6" i="7"/>
  <c r="B6" i="7"/>
  <c r="E6" i="7" s="1"/>
  <c r="B18" i="3" s="1"/>
  <c r="D5" i="7"/>
  <c r="C5" i="7"/>
  <c r="B5" i="7"/>
  <c r="E5" i="7" s="1"/>
  <c r="E15" i="3" l="1"/>
  <c r="C15" i="3"/>
  <c r="F15" i="3"/>
  <c r="B15" i="3"/>
  <c r="H16" i="3"/>
  <c r="D15" i="3"/>
  <c r="G15" i="3"/>
  <c r="H18" i="3"/>
  <c r="B5" i="5"/>
  <c r="E5" i="5" s="1"/>
  <c r="H15" i="3" l="1"/>
  <c r="H21" i="3"/>
  <c r="H2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9" authorId="0" shapeId="0" xr:uid="{00000000-0006-0000-0100-000001000000}">
      <text>
        <r>
          <rPr>
            <sz val="10"/>
            <rFont val="Arial"/>
            <family val="2"/>
          </rPr>
          <t>PC:
A: Add
M: Modify
D: Delete</t>
        </r>
      </text>
    </comment>
  </commentList>
</comments>
</file>

<file path=xl/sharedStrings.xml><?xml version="1.0" encoding="utf-8"?>
<sst xmlns="http://schemas.openxmlformats.org/spreadsheetml/2006/main" count="1649" uniqueCount="662">
  <si>
    <t>Test Report</t>
  </si>
  <si>
    <t>Project Name:</t>
  </si>
  <si>
    <t>DỰ ÁN TRIỂN KHAI BẢN QUYỀN PHẦN MỀM HỆ THỐNG AML MỚI</t>
  </si>
  <si>
    <t>Reviewer:</t>
  </si>
  <si>
    <t xml:space="preserve"> </t>
  </si>
  <si>
    <t>Document Code:</t>
  </si>
  <si>
    <t>MSB_AML_Testcase_KYC_UI_customize</t>
  </si>
  <si>
    <t>Position:</t>
  </si>
  <si>
    <t>Originator:</t>
  </si>
  <si>
    <t>Reviewed Date:</t>
  </si>
  <si>
    <t>Approver:</t>
  </si>
  <si>
    <t>Created Date:</t>
  </si>
  <si>
    <t>Version:</t>
  </si>
  <si>
    <t>1.0</t>
  </si>
  <si>
    <t>Approved Date:</t>
  </si>
  <si>
    <t>TABLE OF CONTENT</t>
  </si>
  <si>
    <t>No</t>
  </si>
  <si>
    <t>Items</t>
  </si>
  <si>
    <t>Content</t>
  </si>
  <si>
    <t>Cover</t>
  </si>
  <si>
    <t>Records</t>
  </si>
  <si>
    <t>Record of changes</t>
  </si>
  <si>
    <t>Function</t>
  </si>
  <si>
    <t>List out all test cases of the application</t>
  </si>
  <si>
    <t>Screen Element</t>
  </si>
  <si>
    <t>Screen Element test cases, which are based on the application's SRS</t>
  </si>
  <si>
    <t>Effective Date</t>
  </si>
  <si>
    <t>A, M, D</t>
  </si>
  <si>
    <t xml:space="preserve">Change Description </t>
  </si>
  <si>
    <t>New Version</t>
  </si>
  <si>
    <t>Author</t>
  </si>
  <si>
    <t>A</t>
  </si>
  <si>
    <t>Create new TC</t>
  </si>
  <si>
    <t>SYSTEM TEST REPORT</t>
  </si>
  <si>
    <t>Project</t>
  </si>
  <si>
    <t>Project manager</t>
  </si>
  <si>
    <t>Application</t>
  </si>
  <si>
    <t>Approved Date</t>
  </si>
  <si>
    <t>Consolidated By</t>
  </si>
  <si>
    <t>Reviewed By</t>
  </si>
  <si>
    <t>Build Versions</t>
  </si>
  <si>
    <t>Reviewed date</t>
  </si>
  <si>
    <t>Test Environment</t>
  </si>
  <si>
    <t>SIT</t>
  </si>
  <si>
    <t>Last Updated Date</t>
  </si>
  <si>
    <t>Test Execution Summary</t>
  </si>
  <si>
    <t>Reported by</t>
  </si>
  <si>
    <t>Date</t>
  </si>
  <si>
    <t>Test Results</t>
  </si>
  <si>
    <t>Passed</t>
  </si>
  <si>
    <t>Failed</t>
  </si>
  <si>
    <t>Pending</t>
  </si>
  <si>
    <t>Next</t>
  </si>
  <si>
    <t>Canel</t>
  </si>
  <si>
    <t>Untested</t>
  </si>
  <si>
    <t>Total</t>
  </si>
  <si>
    <t>Cấu hình điện</t>
  </si>
  <si>
    <t>Cấu hình chủ thể</t>
  </si>
  <si>
    <t>Sàng lọc điện</t>
  </si>
  <si>
    <t>Test coverage</t>
  </si>
  <si>
    <t>Test successful coverage</t>
  </si>
  <si>
    <t>Issues</t>
  </si>
  <si>
    <t>1. Block testing issue</t>
  </si>
  <si>
    <t>2. Critical defects</t>
  </si>
  <si>
    <t>Functions</t>
  </si>
  <si>
    <t>Config EDQ</t>
  </si>
  <si>
    <t>Build Version</t>
  </si>
  <si>
    <t>v1.0</t>
  </si>
  <si>
    <t>High</t>
  </si>
  <si>
    <t>Medium</t>
  </si>
  <si>
    <t>Low</t>
  </si>
  <si>
    <t>Cancel</t>
  </si>
  <si>
    <t>Accepted</t>
  </si>
  <si>
    <t>Test case Id</t>
  </si>
  <si>
    <t>Test case Title</t>
  </si>
  <si>
    <t>Pre-conditions</t>
  </si>
  <si>
    <t>Test Step</t>
  </si>
  <si>
    <t>Test Datas</t>
  </si>
  <si>
    <t>Expected result</t>
  </si>
  <si>
    <t>Priority</t>
  </si>
  <si>
    <t>Automation Status</t>
  </si>
  <si>
    <t>1st Test Results</t>
  </si>
  <si>
    <t>2nd Test Results</t>
  </si>
  <si>
    <t>3rd Test Result</t>
  </si>
  <si>
    <t>BugID</t>
  </si>
  <si>
    <t>Notes</t>
  </si>
  <si>
    <t>Kiểm tra config các trường của điện MT700</t>
  </si>
  <si>
    <t>MT700.01</t>
  </si>
  <si>
    <t>Kiểm tra điện MT700 -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</si>
  <si>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MT700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</si>
  <si>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51A - Party Identifier
51A - Identifier Code
51D - Party Identifier
41A - Identifier Code
42A - Party Identifier
42A - Identifier Code
42D - Party Identifier
58A - Party Identifier
58A - Identifier Code
58D - Party Identifier
53A - Party Identifier
53A - Identifier Code
53D - Party Identifier
57A - Party Identifier
57A - Identifier Code
57B - Party Identifier
57D - Party Identifier</t>
  </si>
  <si>
    <t>Manual</t>
  </si>
  <si>
    <t>MT700.02</t>
  </si>
  <si>
    <t>Kiểm tra điện MT700 -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</si>
  <si>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MT700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</si>
  <si>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51A - Identifier Code
50R (Sequence A) - Applicant Country
59R (Sequence B) - Beneficiary Country
41A - Identifier Code
42A - Identifier Code
58A - Identifier Code
53A - Identifier Code
57A - Identifier Code</t>
  </si>
  <si>
    <t>MT700.03</t>
  </si>
  <si>
    <t>Kiểm tra điện MT700 - Webservice PORT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</si>
  <si>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MT700 trên drop down list 
4. Sau khi bấm nút Save, click liên tiếp 2 lần button mũi tên sang phải (&gt;) ở bên cạnh.
5. Chọn webservice PORT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</si>
  <si>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44A - Place of Taking in Charge/Dispatch from .../Place of Receipt
44E - Port of Loading/Airport of Departure
44F - Port of Discharge/Airport of Destination
44B - Place of Final Destination/For Transportation to .../Place of Delivery</t>
  </si>
  <si>
    <t>MT700.04</t>
  </si>
  <si>
    <t>Kiểm tra điện MT700 -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</si>
  <si>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MT700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</si>
  <si>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42M - Mixed Payment Details
42P - Negotiation/Deferred Payment Details
44A - Place of Taking in Charge/Dispatch from .../Place of Receipt
44E - Port of Loading/Airport of Departure
44F - Port of Discharge/Airport of Destination
44B - Place of Final Destination/For Transportation to .../Place of Delivery
45A - Description of Goods and/or Services
46A - Documents Required
47A - Additional Conditions
49G - Special Payment Conditions for Beneficiary
49H - Special Payment Conditions for Bank Only
71D - Charges
78K - Instructions to the Paying/Accepting/Negotiating Bank
72Z - Sender to Receiver Information</t>
  </si>
  <si>
    <t>MT700.05</t>
  </si>
  <si>
    <t>Kiểm tra điện MT700 -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</si>
  <si>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MT700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</si>
  <si>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51A - Identifier Code
51D - Name and Address
50N (Sequence A) - Applicant Name
59N (Sequence B) - Beneficiary Name
41A - Identifier Code
41D - Name and Address
42A - Identifier Code
42D - Name and Address
58A - Identifier Code
58D - Name and Address
53A - Identifier Code
53D - Name and Address
57A - Identifier Code
57D - Name and Address</t>
  </si>
  <si>
    <t>Kiểm tra config các trường của điện MT707</t>
  </si>
  <si>
    <t>MT707.01</t>
  </si>
  <si>
    <t>Kiểm tra điện MT707 -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</si>
  <si>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MT707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</si>
  <si>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Party Identifier
52A - Identifier Code
52D - Party Identifier
41A - Identifier Code
42A - Party Identifier
42A - Identifier Code
42D - Party Identifier
58A - Party Identifier
58A - Identifier Code
58D - Party Identifier
53A - Party Identifier
53A - Identifier Code
53D - Party Identifier
57A - Party Identifier
57A - Identifier Code
57B - Party Identifier
57D - Party Identifier</t>
  </si>
  <si>
    <t>MT707.02</t>
  </si>
  <si>
    <t>Kiểm tra điện MT707 -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</si>
  <si>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MT707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</si>
  <si>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50W (Sequence A) - Non-Bank Issuer Country
50R (Sequence B) - Changed Applicant Country
59R (Sequence C) - Beneficiary Country
41A - Identifier Code
42A - Identifier Code
58A - Identifier Code
53A - Identifier Code
57A - Identifier Code</t>
  </si>
  <si>
    <t>MT707.03</t>
  </si>
  <si>
    <t>Kiểm tra điện MT707 - Webservice PORT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</si>
  <si>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MT707 trên drop down list 
4. Sau khi bấm nút Save, click liên tiếp 2 lần button mũi tên sang phải (&gt;) ở bên cạnh.
5. Chọn webservice PORT trên dropdown list Screening webservice trên màn hình và kiểm tra các tags tương ứng được gán</t>
  </si>
  <si>
    <t>MT707.04</t>
  </si>
  <si>
    <t>Kiểm tra điện MT707 -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</si>
  <si>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MT707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</si>
  <si>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42M - Mixed Payment Details
42P - Negotiation/Deferred Payment Details
44A - Place of Taking in Charge/Dispatch from .../Place of Receipt
44E - Port of Loading/Airport of Departure
44F - Port of Discharge/Airport of Destination
44B - Place of Final Destination/For Transportation to .../Place of Delivery
45B - Description of Goods and/or Services
46B - Documents Required
47B - Additional Conditions
49M - Special Payment Conditions for Beneficiary
49N - Special Payment Conditions for Bank Only
71D - Charges
71N - Amendment Charge Payable By
78K - Instructions to the Paying/Accepting/Negotiating Bank
72Z - Sender to Receiver Information</t>
  </si>
  <si>
    <t>MT707.05</t>
  </si>
  <si>
    <t>Kiểm tra điện MT707 -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</si>
  <si>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MT707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</si>
  <si>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52D - Name and Address
50E (Sequence A) - Non-Bank Issuer Name
50N (Sequence B) - Changed Applicant Name
59N (Sequence C) - Beneficiary Name
41A - Identifier Code
41D - Name and Address
42A - Identifier Code
42D - Name and Address
58A - Identifier Code
58D - Name and Address
53A - Identifier Code
53D - Name and Address
57A - Identifier Code
57D - Name and Address</t>
  </si>
  <si>
    <t>Kiểm tra config các trường của điện MT710</t>
  </si>
  <si>
    <t>MT710.01</t>
  </si>
  <si>
    <t>Kiểm tra điện MT710 -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</si>
  <si>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MT710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</si>
  <si>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Party Identifier
52A - Identifier Code
52D - Party Identifier
51A - Party Identifier
51A - Identifier Code
41A - Identifier Code
42A - Party Identifier
42A - Identifier Code
42D - Party Identifier
58A - Party Identifier
58A - Identifier Code
58D - Party Identifier
53A - Party Identifier
53A - Identifier Code
53D - Party Identifier
57A - Party Identifier
57A - Identifier Code
57B - Party Identifier
57D - Party Identifier</t>
  </si>
  <si>
    <t>MT710.02</t>
  </si>
  <si>
    <t>Kiểm tra điện MT710 -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</si>
  <si>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MT710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</si>
  <si>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50W (Sequence A) - Non-Bank Issuer Country
51A - Identifier Code
50R (Sequence B) - Applicant Country
59R (Sequence C) - Beneficiary Country
41A - Identifier Code
42A - Identifier Code
58A - Identifier Code
53A - Identifier Code
57A - Identifier Code</t>
  </si>
  <si>
    <t>MT710.03</t>
  </si>
  <si>
    <t>Kiểm tra điện MT710 - Webservice PORT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</si>
  <si>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MT710 trên drop down list 
4. Sau khi bấm nút Save, click liên tiếp 2 lần button mũi tên sang phải (&gt;) ở bên cạnh.
5. Chọn webservice PORT trên dropdown list Screening webservice trên màn hình và kiểm tra các tags tương ứng được gán</t>
  </si>
  <si>
    <t>MT710.04</t>
  </si>
  <si>
    <t>Kiểm tra điện MT710 -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</si>
  <si>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MT710 trên drop down list 
4. Sau khi bấm nút Save, click liên tiếp 2 lần button mũi tên sang phải (&gt;) ở bên cạnh.
5. Chọn webservice NARRATIVE trên dropdown list Screening webservice trên màn hình và kiểm tra các tags tương ứng được gán</t>
  </si>
  <si>
    <t>MT710.05</t>
  </si>
  <si>
    <t>Kiểm tra điện MT710 -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</si>
  <si>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MT710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</si>
  <si>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52D - Name and Address
50E (Sequence A) - Non-Bank Issuer Name
51A - Identifier Code
51A - Name and Address
50N (Sequence B) - Applicant Name
59N (Sequence C) - Beneficiary Name
41A - Identifier Code
41D - Name and Address
42A - Identifier Code
42D - Name and Address
58A - Identifier Code
58D - Name and Address
53A - Identifier Code
53D - Name and Address
57A - Identifier Code
57D - Name and Address</t>
  </si>
  <si>
    <t>Kiểm tra config các trường của điện MT720</t>
  </si>
  <si>
    <t>MT720.01</t>
  </si>
  <si>
    <t>Kiểm tra điện MT720 -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</si>
  <si>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MT720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</si>
  <si>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Party Identifier
52A - Identifier Code
52D - Party Identifier
41A - Identifier Code
42A - Party Identifier
42A - Identifier Code
42D - Party Identifier
58A - Party Identifier
58A - Identifier Code
58D - Party Identifier
57A - Party Identifier
57A - Identifier Code
57B - Party Identifier
57D - Party Identifier</t>
  </si>
  <si>
    <t>MT720.02</t>
  </si>
  <si>
    <t>Kiểm tra điện MT720 -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</si>
  <si>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MT720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</si>
  <si>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50W (Sequence A) - Non-Bank Issuer Country
50R (Sequence B) - First Beneficiary Country
59R (Sequence C) - Second Beneficiary Country
41A - Identifier Code
42A - Identifier Code
58A - Identifier Code
57A - Identifier Code</t>
  </si>
  <si>
    <t>MT720.03</t>
  </si>
  <si>
    <t>Kiểm tra điện MT720 - Webservice PORT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</si>
  <si>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MT720 trên drop down list 
4. Sau khi bấm nút Save, click liên tiếp 2 lần button mũi tên sang phải (&gt;) ở bên cạnh.
5. Chọn webservice PORT trên dropdown list Screening webservice trên màn hình và kiểm tra các tags tương ứng được gán</t>
  </si>
  <si>
    <t>MT720.04</t>
  </si>
  <si>
    <t>Kiểm tra điện MT720 -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</si>
  <si>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MT720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</si>
  <si>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42M - Mixed Payment Details
42P - Negotiation/Deferred Payment Details
44A - Place of Taking in Charge/Dispatch from .../Place of Receipt
44E - Port of Loading/Airport of Departure
44F - Port of Discharge/Airport of Destination
44B - Place of Final Destination/For Transportation to .../Place of Delivery
45A - Description of Goods and/or Services
46A - Documents Required
47A - Additional Conditions
49G - Special Payment Conditions for Beneficiary
49H - Special Payment Conditions for Bank Only
71D - Charges
78K - Instructions to the Paying/Accepting/Negotiating Bank
78D - Instructions from Transferring Bank
72Z - Sender to Receiver Information</t>
  </si>
  <si>
    <t>MT720.05</t>
  </si>
  <si>
    <t>Kiểm tra điện MT720 -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</si>
  <si>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MT720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</si>
  <si>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 Identifier Code
52D - Name and Address
50E (Sequence A) - Non-Bank Issuer Name
50N (Sequence B) - First Beneficiary Name
59N (Sequence C) - Second Beneficiary Name
41A - Identifier Code
41D - Name and Address
42A - Identifier Code
42D - Name and Address
58A - Identifier Code
58D - Name and Address
57A - Identifier Code
57D - Name and Address</t>
  </si>
  <si>
    <t>Kiểm tra config các trường của điện MT740</t>
  </si>
  <si>
    <t>MT740.01</t>
  </si>
  <si>
    <t>Kiểm tra điện MT740 -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</si>
  <si>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MT740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</si>
  <si>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58A - Party Identifier
58A - Identifier Code
58D - Party Identifier
41A - Identifier Code
42A - Party Identifier
42A - Identifier Code
42D - Party Identifier</t>
  </si>
  <si>
    <t>MT740.02</t>
  </si>
  <si>
    <t>Kiểm tra điện MT740 -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</si>
  <si>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MT740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</si>
  <si>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58A - Identifier Code
59R (Sequence A) - Beneficiary Country
41A - Identifier Code
42A - Identifier Code</t>
  </si>
  <si>
    <t>MT740.03</t>
  </si>
  <si>
    <t>Kiểm tra điện MT740 -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</si>
  <si>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MT740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</si>
  <si>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42M - Mixed Payment Details
42P - Negotiation/Deferred Payment Details
71D - Other Charges
72Z - Sender to Receiver Information</t>
  </si>
  <si>
    <t>MT740.04</t>
  </si>
  <si>
    <t>Kiểm tra điện MT740 -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</si>
  <si>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MT740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</si>
  <si>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58A - Identifier Code
58D - Name and Address
59N (Sequence A) - Beneficiary Name
41A - Identifier Code
41D - Name and Address
42A - Identifier Code
42D - Name and Address</t>
  </si>
  <si>
    <t>Kiểm tra config các trường của điện MT760</t>
  </si>
  <si>
    <t>MT760.01</t>
  </si>
  <si>
    <t>Kiểm tra điện MT760 (Sequence)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</si>
  <si>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MT760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</si>
  <si>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(Sequence B) - Party Identifier
52A (Sequence B) - Identifier Code
52D (Sequence B) - Party Identifier
59E (Sequence B) - Beneficiary Identification
56A (Sequence B) - Party Identifier
56A (Sequence B) - Identifier Code
56D (Sequence B) - Party Identifier
57A (Sequence B) - Party Identifier
57A (Sequence B) - Identifier Code
57D (Sequence B) - Party Identifier
41F (Sequence B) - Identifier Code
58A (Sequence B) - Party Identifier
58A (Sequence B) - Identifier Code
58D (Sequence B) - Party Identifier
52A (Sequence C) - Party Identifier
52A (Sequence C) - Identifier Code
52D (Sequence C) - Party Identifier
57A (Sequence C) - Party Identifier
57A (Sequence C) - Identifier Code
57D (Sequence C) - Party Identifier
41F (Sequence C) - Identifier Code</t>
  </si>
  <si>
    <t>MT760.02</t>
  </si>
  <si>
    <t>Kiểm tra điện MT760 (Sequence)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</si>
  <si>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MT760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</si>
  <si>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50R (Subsequence B1) - Applicant Country
51R (Subsequence B2) - Obligor/Instructing Party Country
52A (Sequence B) - Identifier Code
59R (Subsequence B3) - Beneficiary Country
59E (Sequence B) - Beneficiary Identification
56A (Sequence B) - Identifier Code
57A (Sequence B) - Identifier Code
41F (Sequence B) - Identifier Code
58A (Sequence B) - Identifier Code
50R (Subsequence C1) - Applicant Country
51R (Subsequence C2) - Obligor/Instructing Party Country
52A (Sequence C) - Identifier Code
59R (Subsequence C3) - Beneficiary Country
57A (Sequence C) - Identifier Code
41F (Sequence C) - Identifier Code</t>
  </si>
  <si>
    <t>MT760.03</t>
  </si>
  <si>
    <t>Kiểm tra điện MT760 (Sequence)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</si>
  <si>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MT760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</si>
  <si>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72Z (Sequence A) - Sender to Receiver Information
35G (Sequence B) - Expiry Condition/Event
39F (Sequence B) - Supplementary Information About Amount
71D (Sequence B) - Charges
45C (Sequence B) - Document and Presentation Instructions
77U (Sequence B) - Undertaking Terms and Conditions
78 (Sequence B) - Automatic Extension Non-Extension Notification
39E (Sequence B) - Transfer Conditions
45L (Sequence B) - Underlying Transaction Details
35G (Sequence C) - Expiry Condition/Event
39F (Sequence C) - Supplementary Information About Amount
71D (Sequence C) - Charges
45C (Sequence C) - Document and Presentation Instructions
77L (Sequence C) - Requested Local Undertaking Terms and Conditions
78 (Sequence C) - Automatic Extension Non-Extension Notification
39E (Sequence C) - Transfer Conditions
45L (Sequence C) - Underlying Transaction Details</t>
  </si>
  <si>
    <t>MT760.04</t>
  </si>
  <si>
    <t>Kiểm tra điện MT760 (Sequence)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</si>
  <si>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MT760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</si>
  <si>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50N (Subsequence B1) - Applicant Name
51N (Subsequence B2) - Obligor/Instructing Party Name
52A (Sequence B) - Identifier Code
52D (Sequence B) - Name and Address
59N (Subsequence B3) - Beneficiary Name
59E (Sequence B) - Beneficiary Identification
56A (Sequence B) - Identifier Code
56D (Sequence B) - Name and Address
57A (Sequence B) - Identifier Code
57D (Sequence B) - Name and Address
41F (Sequence B) - Identifier Code
41G (Sequence B) - Name and Address
58A (Sequence B) - Identifier Code
58D (Sequence B) - Name and Address
24G (Sequence B) - Narrative
50N (Subsequence C1) - Applicant Name
51N (Subsequence C2) - Obligor/Instructing Party Name
52A (Sequence C) - Identifier Code
52D (Sequence C) - Name and Address
59N (Subsequence C3) - Beneficiary Name
57A (Sequence C) - Identifier Code
57D (Sequence C) - Name and Address
41F (Sequence C) - Identifier Code
41G (Sequence C) - Name and Address
24G (Sequence C) - Narrative</t>
  </si>
  <si>
    <t>Kiểm tra config các trường của điện MT767</t>
  </si>
  <si>
    <t>MT767.01</t>
  </si>
  <si>
    <t>Kiểm tra điện MT767 - Webservice IDENTIFIER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</si>
  <si>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MT767 trên drop down list 
4. Sau khi bấm nút Save, click liên tiếp 2 lần button mũi tên sang phải (&gt;) ở bên cạnh.
5. Chọn webservice IDENTIFIER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</si>
  <si>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(Sequence B) - Party Identifier
52A (Sequence B) - Identifier Code
52D (Sequence B) - Party Identifier
59E (Sequence B) - Beneficiary Identification</t>
  </si>
  <si>
    <t>MT767.02</t>
  </si>
  <si>
    <t>Kiểm tra điện MT767 - Webservice COUNTRY AND CITY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</si>
  <si>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MT767 trên drop down list 
4. Sau khi bấm nút Save, click liên tiếp 2 lần button mũi tên sang phải (&gt;) ở bên cạnh.
5. Chọn webservice COUNTRY AND CITY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</si>
  <si>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(Sequence B) - Identifier Code
59R (Subsequence B1) - Beneficiary Country
59E (Sequence B) - Beneficiary Identification
59R (Subsequence C1) - Beneficiary Country</t>
  </si>
  <si>
    <t>MT767.03</t>
  </si>
  <si>
    <t>Kiểm tra điện MT767 - Webservice NARRATIVE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</si>
  <si>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MT767 trên drop down list 
4. Sau khi bấm nút Save, click liên tiếp 2 lần button mũi tên sang phải (&gt;) ở bên cạnh.
5. Chọn webservice NARRATIVE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</si>
  <si>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72Z (Sequence A) - Sender to Receiver Information
35G (Sequence B) - Expiry Condition/Event
77U (Sequence B) - Other Amendments to Undertaking
35G (Sequence C) - Expiry Condition/Event
77L (Sequence C) - Other Amendments to Local Undertaking</t>
  </si>
  <si>
    <t>MT767.04</t>
  </si>
  <si>
    <t>Kiểm tra điện MT767 - Webservice NAME AND ADDRESS được gán tương ứng với các trường trong điện</t>
  </si>
  <si>
    <t>1. Login hệ thống TF bằng user admin
2. Truy cập theo đường dẫn  Financial Services Analytical Applications Transactions Filtering/ Financial Services Sanctions Pack/ SWIFT Configuration Admin
3. Chọn điện MT767 trên drop down list 
4. Sau khi bấm nút Save, click liên tiếp 2 lần button mũi tên sang phải (&gt;) ở bên cạnh.
5. Chọn webservice NAME AND ADDRESS trên dropdown list Screening webservice trên màn hình và kiểm tra các tags tương ứng được gán</t>
  </si>
  <si>
    <t>Thông tin hiển thị các field, field name tương ứng theo từng webservice đảm bảo đủ, đúng theo yêu cầu, có trạng thái Enable = Yes, bao gồm:
Basic Header Block - LT Identifier
Application Header Input - Receiver's Address
Application Header Output - Full input SWIFT address
52A (Sequence B) - Identifier Code
52D (Sequence B) - Name and Address
59N (Subsequence B1) - Beneficiary Name
59E (Sequence B) - Beneficiary Identification
24G (Sequence B) - Narrative
59N (Subsequence C1) - Beneficiary Name
24G (Sequence C) - Narrative</t>
  </si>
  <si>
    <t>3rd Test Results</t>
  </si>
  <si>
    <t>Kiểm tra cấu hình sàng lọc trường dữ liệu với chủ thể đối với điện MT700</t>
  </si>
  <si>
    <t>MT700_Config_EDQ.01</t>
  </si>
  <si>
    <t>Kiểm tra các trường sàng lọc Name and Address theo chủ thể Entity</t>
  </si>
  <si>
    <t>1. NSD đăng nhập EDQ Director bằng user được phân quyền
2. NSD truy cập theo đường dẫn Project/Transaction_Screening/ Reference Data/ MSB_TYPE_FOR_OBJ
3. Kiểm tra danh sách các trường được config với Type = "MT700" Webservice_Name = 1 và ENTITY = 'ENT'</t>
  </si>
  <si>
    <t>3. Các trường config bao gồm:
Basic Header Block
Application Header - Input
Application Header - Output
41A
41D
42A
42D
50N
51A
51D
53A
53D
57A
57D
58A
58D
59N</t>
  </si>
  <si>
    <t>MT700_Config_EDQ.02</t>
  </si>
  <si>
    <t>Kiểm tra các trường sàng lọc Identifier theo chủ thể Entity</t>
  </si>
  <si>
    <t>1. NSD đăng nhập EDQ Director bằng user được phân quyền
2. NSD truy cập theo đường dẫn Project/Transaction_Screening/ Reference Data/ MSB_TYPE_FOR_OBJ
3. Kiểm tra danh sách các trường được config với Type = "MT700" Webservice_Name = 2 và ENTITY = 'ENT'</t>
  </si>
  <si>
    <t>3. Các trường config bao gồm:
Basic Header Block
Application Header - Input
Application Header - Output
41A
42A
42D
51A
51D
53A
53D
57A
57B
57D
58A
58D</t>
  </si>
  <si>
    <t>MT700_Config_EDQ.03</t>
  </si>
  <si>
    <t>Kiểm tra các trường sàng lọc Country</t>
  </si>
  <si>
    <t>1. NSD đăng nhập EDQ Director bằng user được phân quyền
2. NSD truy cập theo đường dẫn Project/Transaction_Screening/ Reference Data/ MSB_TYPE_FOR_OBJ
3. Kiểm tra danh sách các trường được config với Type = "MT700" Webservice_Name = 3 và ENTITY = 'All'</t>
  </si>
  <si>
    <t>3. Các trường config bao gồm:
Basic Header Block
Application Header - Input
Application Header - Output
41A
42A
50R
51A
53A
57A
58A
59R</t>
  </si>
  <si>
    <t>MT700_Config_EDQ.04</t>
  </si>
  <si>
    <t>Kiểm tra các trường sàng lọc Narrative theo Stop KeyWords</t>
  </si>
  <si>
    <t>1. NSD đăng nhập EDQ Director bằng user được phân quyền
2. NSD truy cập theo đường dẫn Project/Transaction_Screening/ Reference Data/ MSB_TYPE_FOR_OBJ
3. Kiểm tra danh sách các trường được config với Type = "MT700" Webservice_Name = 4 và ENTITY = 'STK'</t>
  </si>
  <si>
    <t>3. Các trường config bao gồm:
45A</t>
  </si>
  <si>
    <t>MT700_Config_EDQ.05</t>
  </si>
  <si>
    <t>Kiểm tra các trường sàng lọc Narrative theo chủ thể Port</t>
  </si>
  <si>
    <t>1. NSD đăng nhập EDQ Director bằng user được phân quyền
2. NSD truy cập theo đường dẫn Project/Transaction_Screening/ Reference Data/ MSB_TYPE_FOR_OBJ
3. Kiểm tra danh sách các trường được config với Type = "MT700" Webservice_Name = 4 và ENTITY = 'POR'</t>
  </si>
  <si>
    <t>3. Các trường config bao gồm:
44A
44B
44E
44F</t>
  </si>
  <si>
    <t>MT700_Config_EDQ.06</t>
  </si>
  <si>
    <t>Kiểm tra các trường sàng lọc Narrative theo tất cả chủ thể</t>
  </si>
  <si>
    <t>1. NSD đăng nhập EDQ Director bằng user được phân quyền
2. NSD truy cập theo đường dẫn Project/Transaction_Screening/ Reference Data/ MSB_TYPE_FOR_OBJ
3. Kiểm tra danh sách các trường được config với Type = "MT700" Webservice_Name = 4 và ENTITY = 'ALL'</t>
  </si>
  <si>
    <t>3. Các trường config bao gồm:
42M
42P
46A
47A
49G
49H
71D
72Z
78K</t>
  </si>
  <si>
    <t>MT700_Config_EDQ.07</t>
  </si>
  <si>
    <t>Kiểm tra các trường sàng lọc Port</t>
  </si>
  <si>
    <t>1. NSD đăng nhập EDQ Director bằng user được phân quyền
2. NSD truy cập theo đường dẫn Project/Transaction_Screening/ Reference Data/ MSB_TYPE_FOR_OBJ
3. Kiểm tra danh sách các trường được config với Type = "MT700" Webservice_Name = 5 và ENTITY = 'All'</t>
  </si>
  <si>
    <t>Kiểm tra cấu hình sàng lọc trường dữ liệu với chủ thể đối với điện MT707</t>
  </si>
  <si>
    <t>MT707_Config_EDQ.01</t>
  </si>
  <si>
    <t>1. NSD đăng nhập EDQ Director bằng user được phân quyền
2. NSD truy cập theo đường dẫn Project/Transaction_Screening/ Reference Data/ MSB_TYPE_FOR_OBJ
3. Kiểm tra danh sách các trường được config với Type = "MT707" Webservice_Name = 1 và ENTITY = 'ENT'</t>
  </si>
  <si>
    <t>3. Các trường config bao gồm:
Basic Header Block
Application Header - Input
Application Header - Output
41A
41D
42A
42D
50E
50N
52A
52D
53A
53D
57A
57D
58A
58D
59N</t>
  </si>
  <si>
    <t>MT707_Config_EDQ.02</t>
  </si>
  <si>
    <t>1. NSD đăng nhập EDQ Director bằng user được phân quyền
2. NSD truy cập theo đường dẫn Project/Transaction_Screening/ Reference Data/ MSB_TYPE_FOR_OBJ
3. Kiểm tra danh sách các trường được config với Type = "MT707" Webservice_Name = 2 và ENTITY = 'ENT'</t>
  </si>
  <si>
    <t>3. Các trường config bao gồm:
Basic Header Block
Application Header - Input
Application Header - Output
41A
42A
42D
52A
52D
53A
53D
57A
57B
57D
58A
58D</t>
  </si>
  <si>
    <t>MT707_Config_EDQ.03</t>
  </si>
  <si>
    <t>1. NSD đăng nhập EDQ Director bằng user được phân quyền
2. NSD truy cập theo đường dẫn Project/Transaction_Screening/ Reference Data/ MSB_TYPE_FOR_OBJ
3. Kiểm tra danh sách các trường được config với Type = "MT707" Webservice_Name = 3 và ENTITY = 'All'</t>
  </si>
  <si>
    <t>3. Các trường config bao gồm:
Basic Header Block
Application Header - Input
Application Header - Output
41A
42A
50R
50W
52A
53A
57A
58A
59R</t>
  </si>
  <si>
    <t>MT707_Config_EDQ.04</t>
  </si>
  <si>
    <t>1. NSD đăng nhập EDQ Director bằng user được phân quyền
2. NSD truy cập theo đường dẫn Project/Transaction_Screening/ Reference Data/ MSB_TYPE_FOR_OBJ
3. Kiểm tra danh sách các trường được config với Type = "MT707" Webservice_Name = 4 và ENTITY = 'STK'</t>
  </si>
  <si>
    <t>3. Các trường config bao gồm:
45B</t>
  </si>
  <si>
    <t>MT707_Config_EDQ.05</t>
  </si>
  <si>
    <t>1. NSD đăng nhập EDQ Director bằng user được phân quyền
2. NSD truy cập theo đường dẫn Project/Transaction_Screening/ Reference Data/ MSB_TYPE_FOR_OBJ
3. Kiểm tra danh sách các trường được config với Type = "MT707" Webservice_Name = 4 và ENTITY = 'POR'</t>
  </si>
  <si>
    <t>MT707_Config_EDQ.06</t>
  </si>
  <si>
    <t>1. NSD đăng nhập EDQ Director bằng user được phân quyền
2. NSD truy cập theo đường dẫn Project/Transaction_Screening/ Reference Data/ MSB_TYPE_FOR_OBJ
3. Kiểm tra danh sách các trường được config với Type = "MT707" Webservice_Name = 4 và ENTITY = 'ALL'</t>
  </si>
  <si>
    <t>3. Các trường config bao gồm:
42M
42P
46B
47B
49M
49N
71D
71N
72Z
78K</t>
  </si>
  <si>
    <t>MT707_Config_EDQ.07</t>
  </si>
  <si>
    <t>1. NSD đăng nhập EDQ Director bằng user được phân quyền
2. NSD truy cập theo đường dẫn Project/Transaction_Screening/ Reference Data/ MSB_TYPE_FOR_OBJ
3. Kiểm tra danh sách các trường được config với Type = "MT707" Webservice_Name = 5 và ENTITY = 'All'</t>
  </si>
  <si>
    <t>Kiểm tra cấu hình sàng lọc trường dữ liệu với chủ thể đối với điện MT710</t>
  </si>
  <si>
    <t>MT710_Config_EDQ.01</t>
  </si>
  <si>
    <t>1. NSD đăng nhập EDQ Director bằng user được phân quyền
2. NSD truy cập theo đường dẫn Project/Transaction_Screening/ Reference Data/ MSB_TYPE_FOR_OBJ
3. Kiểm tra danh sách các trường được config với Type = "MT710" Webservice_Name = 1 và ENTITY = 'ENT'</t>
  </si>
  <si>
    <t>3. Các trường config bao gồm:
Basic Header Block
Application Header - Input
Application Header - Output
41A
41D
42A
42D
50E
50N
51A
51D
52A
52D
53A
53D
57A
57D
58A
58D
59N</t>
  </si>
  <si>
    <t>MT710_Config_EDQ.02</t>
  </si>
  <si>
    <t>1. NSD đăng nhập EDQ Director bằng user được phân quyền
2. NSD truy cập theo đường dẫn Project/Transaction_Screening/ Reference Data/ MSB_TYPE_FOR_OBJ
3. Kiểm tra danh sách các trường được config với Type = "MT710" Webservice_Name = 2 và ENTITY = 'ENT'</t>
  </si>
  <si>
    <t>3. Các trường config bao gồm:
Basic Header Block
Application Header - Input
Application Header - Output
41A
42A
42D
51A
51D
52A
52D
53A
53D
57A
57B
57D
58A
58D</t>
  </si>
  <si>
    <t>MT710_Config_EDQ.03</t>
  </si>
  <si>
    <t>1. NSD đăng nhập EDQ Director bằng user được phân quyền
2. NSD truy cập theo đường dẫn Project/Transaction_Screening/ Reference Data/ MSB_TYPE_FOR_OBJ
3. Kiểm tra danh sách các trường được config với Type = "MT710" Webservice_Name = 3 và ENTITY = 'All'</t>
  </si>
  <si>
    <t>3. Các trường config bao gồm:
Basic Header Block
Application Header - Input
Application Header - Output
41A
42A
50R
50W
51A
52A
53A
57A
58A
59R</t>
  </si>
  <si>
    <t>MT710_Config_EDQ.04</t>
  </si>
  <si>
    <t>1. NSD đăng nhập EDQ Director bằng user được phân quyền
2. NSD truy cập theo đường dẫn Project/Transaction_Screening/ Reference Data/ MSB_TYPE_FOR_OBJ
3. Kiểm tra danh sách các trường được config với Type = "MT710" Webservice_Name = 4 và ENTITY = 'STK'</t>
  </si>
  <si>
    <t>MT710_Config_EDQ.05</t>
  </si>
  <si>
    <t>1. NSD đăng nhập EDQ Director bằng user được phân quyền
2. NSD truy cập theo đường dẫn Project/Transaction_Screening/ Reference Data/ MSB_TYPE_FOR_OBJ
3. Kiểm tra danh sách các trường được config với Type = "MT710" Webservice_Name = 4 và ENTITY = 'POR'</t>
  </si>
  <si>
    <t>MT710_Config_EDQ.06</t>
  </si>
  <si>
    <t>1. NSD đăng nhập EDQ Director bằng user được phân quyền
2. NSD truy cập theo đường dẫn Project/Transaction_Screening/ Reference Data/ MSB_TYPE_FOR_OBJ
3. Kiểm tra danh sách các trường được config với Type = "MT710" Webservice_Name = 4 và ENTITY = 'ALL'</t>
  </si>
  <si>
    <t>3. Các trường config bao gồm:
42M
42P
46A
47A
49G
49H
71D
72Z
78D
78K</t>
  </si>
  <si>
    <t>MT710_Config_EDQ.07</t>
  </si>
  <si>
    <t>1. NSD đăng nhập EDQ Director bằng user được phân quyền
2. NSD truy cập theo đường dẫn Project/Transaction_Screening/ Reference Data/ MSB_TYPE_FOR_OBJ
3. Kiểm tra danh sách các trường được config với Type = "MT710" Webservice_Name = 5 và ENTITY = 'All'</t>
  </si>
  <si>
    <t>Kiểm tra cấu hình sàng lọc trường dữ liệu với chủ thể đối với điện MT720</t>
  </si>
  <si>
    <t>MT720_Config_EDQ.01</t>
  </si>
  <si>
    <t>1. NSD đăng nhập EDQ Director bằng user được phân quyền
2. NSD truy cập theo đường dẫn Project/Transaction_Screening/ Reference Data/ MSB_TYPE_FOR_OBJ
3. Kiểm tra danh sách các trường được config với Type = "MT720" Webservice_Name = 1 và ENTITY = 'ENT'</t>
  </si>
  <si>
    <t>3. Các trường config bao gồm:
Basic Header Block
Application Header - Input
Application Header - Output
41A
41D
42A
42D
50E
50N
52A
52D
57A
57D
58A
58D
59N</t>
  </si>
  <si>
    <t>MT720_Config_EDQ.02</t>
  </si>
  <si>
    <t>1. NSD đăng nhập EDQ Director bằng user được phân quyền
2. NSD truy cập theo đường dẫn Project/Transaction_Screening/ Reference Data/ MSB_TYPE_FOR_OBJ
3. Kiểm tra danh sách các trường được config với Type = "MT720" Webservice_Name = 2 và ENTITY = 'ENT'</t>
  </si>
  <si>
    <t>3. Các trường config bao gồm:
Basic Header Block
Application Header - Input
Application Header - Output
41A
42A
42D
52A
52D
57A
57B
57D
58A
58D</t>
  </si>
  <si>
    <t>MT720_Config_EDQ.03</t>
  </si>
  <si>
    <t>1. NSD đăng nhập EDQ Director bằng user được phân quyền
2. NSD truy cập theo đường dẫn Project/Transaction_Screening/ Reference Data/ MSB_TYPE_FOR_OBJ
3. Kiểm tra danh sách các trường được config với Type = "MT720" Webservice_Name = 3 và ENTITY = 'All'</t>
  </si>
  <si>
    <t>3. Các trường config bao gồm:
Basic Header Block
Application Header - Input
Application Header - Output
41A
42A
50R
50W
52A
57A
58A
59R</t>
  </si>
  <si>
    <t>MT720_Config_EDQ.04</t>
  </si>
  <si>
    <t>1. NSD đăng nhập EDQ Director bằng user được phân quyền
2. NSD truy cập theo đường dẫn Project/Transaction_Screening/ Reference Data/ MSB_TYPE_FOR_OBJ
3. Kiểm tra danh sách các trường được config với Type = "MT720" Webservice_Name = 4 và ENTITY = 'STK'</t>
  </si>
  <si>
    <t>MT720_Config_EDQ.05</t>
  </si>
  <si>
    <t>1. NSD đăng nhập EDQ Director bằng user được phân quyền
2. NSD truy cập theo đường dẫn Project/Transaction_Screening/ Reference Data/ MSB_TYPE_FOR_OBJ
3. Kiểm tra danh sách các trường được config với Type = "MT720" Webservice_Name = 4 và ENTITY = 'POR'</t>
  </si>
  <si>
    <t>MT720_Config_EDQ.06</t>
  </si>
  <si>
    <t>1. NSD đăng nhập EDQ Director bằng user được phân quyền
2. NSD truy cập theo đường dẫn Project/Transaction_Screening/ Reference Data/ MSB_TYPE_FOR_OBJ
3. Kiểm tra danh sách các trường được config với Type = "MT720" Webservice_Name = 4 và ENTITY = 'ALL'</t>
  </si>
  <si>
    <t>MT720_Config_EDQ.07</t>
  </si>
  <si>
    <t>1. NSD đăng nhập EDQ Director bằng user được phân quyền
2. NSD truy cập theo đường dẫn Project/Transaction_Screening/ Reference Data/ MSB_TYPE_FOR_OBJ
3. Kiểm tra danh sách các trường được config với Type = "MT720" Webservice_Name = 5 và ENTITY = 'All'</t>
  </si>
  <si>
    <t>Kiểm tra cấu hình sàng lọc trường dữ liệu với chủ thể đối với điện MT740</t>
  </si>
  <si>
    <t>MT740_Config_EDQ.01</t>
  </si>
  <si>
    <t>1. NSD đăng nhập EDQ Director bằng user được phân quyền
2. NSD truy cập theo đường dẫn Project/Transaction_Screening/ Reference Data/ MSB_TYPE_FOR_OBJ
3. Kiểm tra danh sách các trường được config với Type = "MT740" Webservice_Name = 1 và ENTITY = 'ENT'</t>
  </si>
  <si>
    <t>3. Các trường config bao gồm:
Basic Header Block
Application Header - Input
Application Header - Output
41A
41D
42A
42D
58A
58D
59N</t>
  </si>
  <si>
    <t>MT740_Config_EDQ.02</t>
  </si>
  <si>
    <t>1. NSD đăng nhập EDQ Director bằng user được phân quyền
2. NSD truy cập theo đường dẫn Project/Transaction_Screening/ Reference Data/ MSB_TYPE_FOR_OBJ
3. Kiểm tra danh sách các trường được config với Type = "MT740" Webservice_Name = 2 và ENTITY = 'ENT'</t>
  </si>
  <si>
    <t>3. Các trường config bao gồm:
Basic Header Block
Application Header - Input
Application Header - Output
41A
42A
42D
58A
58D</t>
  </si>
  <si>
    <t>MT740_Config_EDQ.03</t>
  </si>
  <si>
    <t>1. NSD đăng nhập EDQ Director bằng user được phân quyền
2. NSD truy cập theo đường dẫn Project/Transaction_Screening/ Reference Data/ MSB_TYPE_FOR_OBJ
3. Kiểm tra danh sách các trường được config với Type = "MT740" Webservice_Name = 3 và ENTITY = 'All'</t>
  </si>
  <si>
    <t>3. Các trường config bao gồm:
Basic Header Block
Application Header - Input
Application Header - Output
41A
42A
58A
59R</t>
  </si>
  <si>
    <t>MT740_Config_EDQ.04</t>
  </si>
  <si>
    <t>1. NSD đăng nhập EDQ Director bằng user được phân quyền
2. NSD truy cập theo đường dẫn Project/Transaction_Screening/ Reference Data/ MSB_TYPE_FOR_OBJ
3. Kiểm tra danh sách các trường được config với Type = "MT740" Webservice_Name = 4 và ENTITY = 'ALL'</t>
  </si>
  <si>
    <t>3. Các trường config bao gồm:
42M
42P
71D
72Z</t>
  </si>
  <si>
    <t>Kiểm tra cấu hình sàng lọc trường dữ liệu với chủ thể đối với điện MT760</t>
  </si>
  <si>
    <t>MT760_Config_EDQ.01</t>
  </si>
  <si>
    <t>1. NSD đăng nhập EDQ Director bằng user được phân quyền
2. NSD truy cập theo đường dẫn Project/Transaction_Screening/ Reference Data/ MSB_TYPE_FOR_OBJ
3. Kiểm tra danh sách các trường được config với Type = "MT760" Webservice_Name = 1 và ENTITY = 'ENT'</t>
  </si>
  <si>
    <t>3. Các trường config bao gồm:
Basic Header Block
Application Header - Input
Application Header - Output
24G
41F
41G
50N
51N
52A
52D
56A
56D
57A
57D
58A
58D
59E
59N</t>
  </si>
  <si>
    <t>MT760_Config_EDQ.02</t>
  </si>
  <si>
    <t>Kiểm tra các trường sàng lọc Name and Address theo chủ thể Individual</t>
  </si>
  <si>
    <t>1. NSD đăng nhập EDQ Director bằng user được phân quyền
2. NSD truy cập theo đường dẫn Project/Transaction_Screening/ Reference Data/ MSB_TYPE_FOR_OBJ
3. Kiểm tra danh sách các trường được config với Type = "MT760" Webservice_Name = 1 và ENTITY = 'IND'</t>
  </si>
  <si>
    <t>3. Các trường config bao gồm:
24G</t>
  </si>
  <si>
    <t>MT760_Config_EDQ.03</t>
  </si>
  <si>
    <t>1. NSD đăng nhập EDQ Director bằng user được phân quyền
2. NSD truy cập theo đường dẫn Project/Transaction_Screening/ Reference Data/ MSB_TYPE_FOR_OBJ
3. Kiểm tra danh sách các trường được config với Type = "MT760" Webservice_Name = 2 và ENTITY = 'ENT'</t>
  </si>
  <si>
    <t>3. Các trường config bao gồm:
Basic Header Block
Application Header - Input
Application Header - Output
41F
52A
52D
56A
56D
57A
57D
58A
58D
59E</t>
  </si>
  <si>
    <t>MT760_Config_EDQ.04</t>
  </si>
  <si>
    <t>1. NSD đăng nhập EDQ Director bằng user được phân quyền
2. NSD truy cập theo đường dẫn Project/Transaction_Screening/ Reference Data/ MSB_TYPE_FOR_OBJ
3. Kiểm tra danh sách các trường được config với Type = "MT760" Webservice_Name = 3 và ENTITY = 'All'</t>
  </si>
  <si>
    <t>3. Các trường config bao gồm:
Basic Header Block
Application Header - Input
Application Header - Output
41F
50R
51R
52A
56A
57A
58A
59E
59R</t>
  </si>
  <si>
    <t>MT760_Config_EDQ.05</t>
  </si>
  <si>
    <t>1. NSD đăng nhập EDQ Director bằng user được phân quyền
2. NSD truy cập theo đường dẫn Project/Transaction_Screening/ Reference Data/ MSB_TYPE_FOR_OBJ
3. Kiểm tra danh sách các trường được config với Type = "MT760" Webservice_Name = 4 và ENTITY = 'ALL'</t>
  </si>
  <si>
    <t>3. Các trường config bao gồm:
35G
39E
39F
45C
45L
71D
72Z
77L
77U
78</t>
  </si>
  <si>
    <t>Kiểm tra cấu hình sàng lọc trường dữ liệu với chủ thể đối với điện MT767</t>
  </si>
  <si>
    <t>MT767_Config_EDQ.01</t>
  </si>
  <si>
    <t>1. NSD đăng nhập EDQ Director bằng user được phân quyền
2. NSD truy cập theo đường dẫn Project/Transaction_Screening/ Reference Data/ MSB_TYPE_FOR_OBJ
3. Kiểm tra danh sách các trường được config với Type = "MT767" Webservice_Name = 1 và ENTITY = 'ENT'</t>
  </si>
  <si>
    <t>3. Các trường config bao gồm:
Basic Header Block
Application Header - Input
Application Header - Output
24G
52A
52D
59E
59N</t>
  </si>
  <si>
    <t>MT767_Config_EDQ.02</t>
  </si>
  <si>
    <t>1. NSD đăng nhập EDQ Director bằng user được phân quyền
2. NSD truy cập theo đường dẫn Project/Transaction_Screening/ Reference Data/ MSB_TYPE_FOR_OBJ
3. Kiểm tra danh sách các trường được config với Type = "MT767" Webservice_Name = 1 và ENTITY = 'IND'</t>
  </si>
  <si>
    <t>MT767_Config_EDQ.03</t>
  </si>
  <si>
    <t>1. NSD đăng nhập EDQ Director bằng user được phân quyền
2. NSD truy cập theo đường dẫn Project/Transaction_Screening/ Reference Data/ MSB_TYPE_FOR_OBJ
3. Kiểm tra danh sách các trường được config với Type = "MT767" Webservice_Name = 2 và ENTITY = 'ENT'</t>
  </si>
  <si>
    <t>3. Các trường config bao gồm:
Basic Header Block
Application Header - Input
Application Header - Output
52A
52D
59E</t>
  </si>
  <si>
    <t>MT767_Config_EDQ.04</t>
  </si>
  <si>
    <t>1. NSD đăng nhập EDQ Director bằng user được phân quyền
2. NSD truy cập theo đường dẫn Project/Transaction_Screening/ Reference Data/ MSB_TYPE_FOR_OBJ
3. Kiểm tra danh sách các trường được config với Type = "MT767" Webservice_Name = 3 và ENTITY = 'All'</t>
  </si>
  <si>
    <t>3. Các trường config bao gồm:
Basic Header Block
Application Header - Input
Application Header - Output
52A
59E
59R</t>
  </si>
  <si>
    <t>MT767_Config_EDQ.05</t>
  </si>
  <si>
    <t>1. NSD đăng nhập EDQ Director bằng user được phân quyền
2. NSD truy cập theo đường dẫn Project/Transaction_Screening/ Reference Data/ MSB_TYPE_FOR_OBJ
3. Kiểm tra danh sách các trường được config với Type = "MT767" Webservice_Name = 4 và ENTITY = 'ALL'</t>
  </si>
  <si>
    <t>3. Các trường config bao gồm:
35G
72Z
77L
77U</t>
  </si>
  <si>
    <t>Sàng lọc giao dịch (Tổng hợp MT + MX)</t>
  </si>
  <si>
    <t>Trạng thái</t>
  </si>
  <si>
    <t xml:space="preserve">Next </t>
  </si>
  <si>
    <t>Loại điện</t>
  </si>
  <si>
    <t>Sàng lọc giao dịch MT 700</t>
  </si>
  <si>
    <t>MT700</t>
  </si>
  <si>
    <t>Sàng lọc giao dịch MT 700 - Identifier, Name and Address, Country and City - Entity</t>
  </si>
  <si>
    <t>1. Đẩy giao dịch vào API Post Message với trường thông tin Basic Header Block, Application Header - Input, 51A, 41A, 42A, 58A, 53A, 57A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</si>
  <si>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{2:I700BFICCUHHXXXXN}
{3:{108:MT700TEST0001}}
{4:
:27:1/1
:40A:IRREVOCABLE
:20:DCI2607240001
:31C:260415
:40E:UCP LATEST VERSION
:31D:261231SINGAPORE
:51A:BFICCUHH
:50N:MEKONG TRADING JOINT STOCK CO
:50S:12 NGUYEN HUE STREET
:50T:HO CHI MINH CITY
:50R:VN
:59N:SUNRISE IMPORT EXPORT PTE LTD
:59S:18 MARINA BOULEVARD
:59T:SINGAPORE
:59R:SG
:32B:USD50000,
:41A:BFICCUHH7
BY PAYMENT
:42C:AT SIGHT
:42A:BFICCUHH
:49:WITHOUT
:58A:BFICCUHH
:53A:BFICCUHH
:57A:BFICCUHH
-}{5:{MAC:00000000}{CHK:1A2B3C4D5E6F}}</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</si>
  <si>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
            'Basic Header Block',
            'Application Header - Input',
            '51A',
            '41A',
            '42A',
            '58A',
            '53A',
            '57A'
          )
    GROUP BY T.N_WEBSERVICE_ID
    HAVING COUNT(DISTINCT T.V_TAG_NAME) = 8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</si>
  <si>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51A, 41A, 42A, 58A, 53A, 57A</t>
  </si>
  <si>
    <t>1. Đẩy giao dịch vào API Post Message với trường thông tin Application Header - Output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</si>
  <si>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{2:O7001201260724BFICCUHHAXXX00010000012607241201N}
{3:{108:MT700TEST0008}}
{4:
:27:1/1
:40A:IRREVOCABLE
:20:DCI2607240008
:31C:260415
:40E:UCP LATEST VERSION
:31D:261231SINGAPORE
:51A:SCBLSGSG
:50N:MEKONG TRADING JOINT STOCK CO
:50S:12 NGUYEN HUE STREET
:50T:HO CHI MINH CITY
:50R:VN
:59N:SUNRISE IMPORT EXPORT PTE LTD
:59S:18 MARINA BOULEVARD
:59T:SINGAPORE
:59R:SG
:32B:USD50000,
:41A:SCBLSGSG
BY PAYMENT
:42C:AT SIGHT
:42A:SCBLSGSG
:49:WITHOUT
:58A:SCBLSGSG
:53A:SCBLSGSG
:57A:SCBLSGSG
-}{5:{MAC:00000000}{CHK:1A2B3C4D5E6F}}</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</si>
  <si>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 'Application Header - Output'
    GROUP BY T.N_WEBSERVICE_ID
    HAVING COUNT(DISTINCT T.V_TAG_NAME) = 1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</si>
  <si>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Application Header - Output</t>
  </si>
  <si>
    <t>Sàng lọc giao dịch MT 700 - Name and Address - Entity</t>
  </si>
  <si>
    <t>1. Đẩy giao dịch vào API Post Message với trường thông tin 51D, 50N, 59N, 41D, 42D, 58D, 53D, 57D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</si>
  <si>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 xml:space="preserve">{1:F01SCBLSGSGAXXX0000000000}
{2:I700MCOBVNVXXXXXN}
{3:{108:MT700TEST0002}}
{4:
:27:1/1
:40A:IRREVOCABLE
:20:DCI2607240002
:31C:260415
:40E:UCP LATEST VERSION
:31D:261231SINGAPORE
</t>
    </r>
    <r>
      <rPr>
        <sz val="11"/>
        <color rgb="FFFF0000"/>
        <rFont val="Times New Roman"/>
      </rPr>
      <t xml:space="preserve">:51D:SUMMIT EMBER
:50N:SUMMIT EMBER
</t>
    </r>
    <r>
      <rPr>
        <sz val="11"/>
        <color rgb="FF000000"/>
        <rFont val="Times New Roman"/>
      </rPr>
      <t xml:space="preserve">:50S:12 NGUYEN HUE STREET
:50T:HO CHI MINH CITY
:50R:IR
</t>
    </r>
    <r>
      <rPr>
        <sz val="11"/>
        <color rgb="FFFF0000"/>
        <rFont val="Times New Roman"/>
      </rPr>
      <t xml:space="preserve">:59N:SUMMIT EMBER
</t>
    </r>
    <r>
      <rPr>
        <sz val="11"/>
        <color rgb="FF000000"/>
        <rFont val="Times New Roman"/>
      </rPr>
      <t xml:space="preserve">:59S:18 MARINA BOULEVARD
:59T:SINGAPORE
:59R:IR
:32B:USD50000,
</t>
    </r>
    <r>
      <rPr>
        <sz val="11"/>
        <color rgb="FFFF0000"/>
        <rFont val="Times New Roman"/>
      </rPr>
      <t xml:space="preserve">:41D:SUMMIT EMBER
</t>
    </r>
    <r>
      <rPr>
        <sz val="11"/>
        <color rgb="FF000000"/>
        <rFont val="Times New Roman"/>
      </rPr>
      <t xml:space="preserve">BY PAYMENT
:42C:AT SIGHT
</t>
    </r>
    <r>
      <rPr>
        <sz val="11"/>
        <color rgb="FFFF0000"/>
        <rFont val="Times New Roman"/>
      </rPr>
      <t xml:space="preserve">:42D:SUMMIT EMBER
</t>
    </r>
    <r>
      <rPr>
        <sz val="11"/>
        <color rgb="FF000000"/>
        <rFont val="Times New Roman"/>
      </rPr>
      <t xml:space="preserve">:49:WITHOUT
</t>
    </r>
    <r>
      <rPr>
        <sz val="11"/>
        <color rgb="FFFF0000"/>
        <rFont val="Times New Roman"/>
      </rPr>
      <t xml:space="preserve">:58D:SUMMIT EMBER
:53D:SUMMIT EMBER
:57D:SUMMIT EMBER
</t>
    </r>
    <r>
      <rPr>
        <sz val="11"/>
        <color rgb="FF000000"/>
        <rFont val="Times New Roman"/>
      </rPr>
      <t>-}{5:{MAC:00000000}{CHK:1A2B3C4D5E6F}}</t>
    </r>
  </si>
  <si>
    <r>
      <rPr>
        <sz val="11"/>
        <color rgb="FF000000"/>
        <rFont val="Times New Roman"/>
      </rPr>
      <t xml:space="preserve">2. Hệ thống trả kết quả: HIT với Webservice Name and Address loại chủ thể Entity và không HIT với chủ thể Individual, Vessel, Aircraft
</t>
    </r>
    <r>
      <rPr>
        <sz val="11"/>
        <color rgb="FFFF0000"/>
        <rFont val="Times New Roman"/>
      </rPr>
      <t xml:space="preserve">Và tag 50N, 59N HIT với rule [E001C] Part-standardized name exact, country
</t>
    </r>
    <r>
      <rPr>
        <sz val="11"/>
        <color rgb="FF000000"/>
        <rFont val="Times New Roman"/>
      </rPr>
      <t xml:space="preserve">
Câu query kiểm tra kết quả (KET_QUA = HIT):
SELECT CASE
         WHEN COUNT(*) = 8 THEN 'HIT'
         ELSE 'NO HIT'
       END AS KET_QUA
FROM (
    SELECT T.V_TAG_NAME
    FROM FSI_RT_AL_WLS_RESPONSE T
    WHERE T.N_GRP_MSG_ID = :N_GRP_MSG_ID
      AND T.N_WEBSERVICE_ID = 1
      AND T.V_TAG_NAME IN ('51D', '50N(Sequence A)', '59N(Sequence B)', '41D', '42D', '58D', '53D', '57D')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r>
    <r>
      <rPr>
        <sz val="11"/>
        <color rgb="FFFF0000"/>
        <rFont val="Times New Roman"/>
      </rPr>
      <t xml:space="preserve">       AND COUNT(CASEWHEN T.V_TAG_NAME = '50N(Sequence A)' AND UPPER(TRIM(T.V_RULE_NAME)) LIKE '%E001C%' THEN  END ) &gt; 0
AND COUNT( CASE WHEN T.V_TAG_NAME = '59N(Sequence B)' AND UPPER(TRIM(T.V_RULE_NAME)) LIKE '%E001C%' THEN 1 END) &gt; 0 );</t>
    </r>
  </si>
  <si>
    <t>Nhóm tag quét giống nhau (Name and Address - Entity): 51D, 50N, 59N, 41D, 42D, 58D, 53D, 57D</t>
  </si>
  <si>
    <t>Update testdata các tag có đuôi R thành IR và Expected result thêm  tag 50N, 59N HIT với rule [E001C] Part-standardized name exact, country sau đó thêm điều kiện cho câu query</t>
  </si>
  <si>
    <t>Sàng lọc giao dịch MT 700 - Identifier - Entity</t>
  </si>
  <si>
    <t>1. Đẩy giao dịch vào API Post Message với trường thông tin 51A, 42A, 58A, 53A, 57A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</si>
  <si>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{2:I700MCOBVNVXXXXXN}
{3:{108:MT700TEST0003}}
{4:
:27:1/1
:40A:IRREVOCABLE
:20:DCI2607240003
:31C:260415
:40E:UCP LATEST VERSION
:31D:261231SINGAPORE
:51A:/BFICCUHH
SCBLSGSG
:50N:MEKONG TRADING JOINT STOCK CO
:50S:12 NGUYEN HUE STREET
:50T:HO CHI MINH CITY
:50R:VN
:59N:SUNRISE IMPORT EXPORT PTE LTD
:59S:18 MARINA BOULEVARD
:59T:SINGAPORE
:59R:SG
:32B:USD50000,
:41A:SCBLSGSG
BY PAYMENT
:42C:AT SIGHT
:42A:/BFICCUHH
SCBLSGSG
:49:WITHOUT
:58A:/BFICCUHH
SCBLSGSG
:53A:/BFICCUHH
SCBLSGSG
:57A:/BFICCUHH
SCBLSGSG
-}{5:{MAC:00000000}{CHK:1A2B3C4D5E6F}}</t>
  </si>
  <si>
    <t>2. Hệ thống trả kết quả: HIT với Webservice Identifier loại chủ thể Entity và không HIT với chủ thể Individual, Vessel, Aircraft, Port
Câu query kiểm tra kết quả (KET_QUA = HIT):
SELECT CASE
         WHEN COUNT(*) = 5 THEN 'HIT'
         ELSE 'NO HIT'
       END AS KET_QUA
FROM (
    SELECT T.V_TAG_NAME
    FROM FSI_RT_AL_WLS_RESPONSE T
    WHERE T.N_GRP_MSG_ID = :N_GRP_MSG_ID
      AND T.N_WEBSERVICE_ID = 2
      AND T.V_TAG_NAME IN ('51A', '42A', '58A', '53A', '57A')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</si>
  <si>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51A, 42A, 58A, 53A, 57A</t>
  </si>
  <si>
    <t>1. Đẩy giao dịch vào API Post Message với trường thông tin 51D, 42D, 58D, 53D, 57D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</si>
  <si>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{2:I700MCOBVNVXXXXXN}
{3:{108:MT700TEST0003}}
{4:
:27:1/1
:40A:IRREVOCABLE
:20:DCI2607240003
:31C:260415
:40E:UCP LATEST VERSION
:31D:261231SINGAPORE
:51D:/BFICCUHH
SCBLSGSG
:50N:MEKONG TRADING JOINT STOCK CO
:50S:12 NGUYEN HUE STREET
:50T:HO CHI MINH CITY
:50R:VN
:59N:SUNRISE IMPORT EXPORT PTE LTD
:59S:18 MARINA BOULEVARD
:59T:SINGAPORE
:59R:SG
:32B:USD50000,
:41A:SCBLSGSG
BY PAYMENT
:42C:AT SIGHT
:42D:/BFICCUHH
SCBLSGSG
:49:WITHOUT
:58D:/BFICCUHH
SCBLSGSG
:53D:/BFICCUHH
SCBLSGSG
:57D:/BFICCUHH
SCBLSGSG
-}{5:{MAC:00000000}{CHK:1A2B3C4D5E6F}}</t>
  </si>
  <si>
    <t>2. Hệ thống trả kết quả: HIT với Webservice Identifier loại chủ thể Entity và không HIT với chủ thể Individual, Vessel, Aircraft, Port
Câu query kiểm tra kết quả (KET_QUA = HIT):
SELECT CASE
         WHEN COUNT(*) = 5 THEN 'HIT'
         ELSE 'NO HIT'
       END AS KET_QUA
FROM (
    SELECT T.V_TAG_NAME
    FROM FSI_RT_AL_WLS_RESPONSE T
    WHERE T.N_GRP_MSG_ID = :N_GRP_MSG_ID
      AND T.N_WEBSERVICE_ID = 2
      AND T.V_TAG_NAME IN ('51D', '42D', '58D', '53D', '57D')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</si>
  <si>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51D, 42D, 58D, 53D, 57D</t>
  </si>
  <si>
    <t>Bổ sung</t>
  </si>
  <si>
    <t>MT700.06</t>
  </si>
  <si>
    <t>1. Đẩy giao dịch vào API Post Message với trường thông tin 57B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</si>
  <si>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{2:I700MCOBVNVXXXXXN}
{3:{108:MT700TEST0003}}
{4:
:27:1/1
:40A:IRREVOCABLE
:20:DCI2607240003
:31C:260415
:40E:UCP LATEST VERSION
:31D:261231SINGAPORE
:51A:/BFICCUHH
SCBLSGSG
:50N:MEKONG TRADING JOINT STOCK CO
:50S:12 NGUYEN HUE STREET
:50T:HO CHI MINH CITY
:50R:VN
:59N:SUNRISE IMPORT EXPORT PTE LTD
:59S:18 MARINA BOULEVARD
:59T:SINGAPORE
:59R:SG
:32B:USD50000,
:41A:SCBLSGSG
BY PAYMENT
:42C:AT SIGHT
:42A:/BFICCUHH
SCBLSGSG
:49:WITHOUT
:58A:/BFICCUHH
SCBLSGSG
:53A:/BFICCUHH
SCBLSGSG
:57B:/BFICCUHH
SCBLSGSG
-}{5:{MAC:00000000}{CHK:1A2B3C4D5E6F}}</t>
  </si>
  <si>
    <t>2. Hệ thống trả kết quả: HIT với Webservice Identifier loại chủ thể Entity và không HIT với chủ thể Individual, Vessel, Aircraft, Port
Câu query kiểm tra kết quả (KET_QUA = HIT):
SELECT CASE
         WHEN COUNT(*) = 1 THEN 'HIT'
         ELSE 'NO HIT'
       END AS KET_QUA
FROM (
    SELECT T.V_TAG_NAME
    FROM FSI_RT_AL_WLS_RESPONSE T
    WHERE T.N_GRP_MSG_ID = :N_GRP_MSG_ID
      AND T.N_WEBSERVICE_ID = 2
      AND T.V_TAG_NAME IN ('57B')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</si>
  <si>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MT700.07</t>
  </si>
  <si>
    <t>Sàng lọc giao dịch MT 700 - Country and City</t>
  </si>
  <si>
    <t>1. Đẩy giao dịch vào API Post Message với trường thông tin 50R, 59R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</si>
  <si>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 xml:space="preserve">{1:F01SCBLSGSGAXXX0000000000}
{2:I700MCOBVNVXXXXXN}
{3:{108:MT700TEST0004}}
{4:
:27:1/1
:40A:IRREVOCABLE
:20:DCI2607240004
:31C:260415
:40E:UCP LATEST VERSION
:31D:261231SINGAPORE
:50N:MEKONG TRADING JOINT STOCK CO
:50S:12 NGUYEN HUE STREET
:50T:HO CHI MINH CITY
</t>
    </r>
    <r>
      <rPr>
        <sz val="11"/>
        <color rgb="FFFF0000"/>
        <rFont val="Times New Roman"/>
      </rPr>
      <t xml:space="preserve">:50R:IR
</t>
    </r>
    <r>
      <rPr>
        <sz val="11"/>
        <color rgb="FF000000"/>
        <rFont val="Times New Roman"/>
      </rPr>
      <t xml:space="preserve">:59N:SUNRISE IMPORT EXPORT PTE LTD
:59S:18 MARINA BOULEVARD
:59T:SINGAPORE
</t>
    </r>
    <r>
      <rPr>
        <sz val="11"/>
        <color rgb="FFFF0000"/>
        <rFont val="Times New Roman"/>
      </rPr>
      <t xml:space="preserve">:59R:IR
</t>
    </r>
    <r>
      <rPr>
        <sz val="11"/>
        <color rgb="FF000000"/>
        <rFont val="Times New Roman"/>
      </rPr>
      <t>:32B:USD50000,
:41A:SCBLSGSG
BY PAYMENT
:49:WITHOUT
-}{5:{MAC:00000000}{CHK:1A2B3C4D5E6F}}</t>
    </r>
  </si>
  <si>
    <t>2. Hệ thống trả kết quả: HIT với Webservice Country and City
Câu query kiểm tra kết quả (KET_QUA = HIT):
SELECT CASE
         WHEN COUNT(*) = 2 THEN 'HIT'
         ELSE 'NO HIT'
       END AS KET_QUA
FROM (
    SELECT T.V_TAG_NAME
    FROM FSI_RT_AL_WLS_RESPONSE T
    WHERE T.N_GRP_MSG_ID = :N_GRP_MSG_ID
      AND T.N_WEBSERVICE_ID = 3
      AND T.V_TAG_NAME IN ('50R', '59R')
    GROUP BY T.V_TAG_NAME
    HAVING COUNT(CASE WHEN T.V_MATCHED_LIST_NAME = 'Blacklisted Country' THEN 1 END) &gt; 0
);</t>
  </si>
  <si>
    <t>Nhóm tag quét giống nhau (Country and city - Danh sách Quốc gia Knock-out): 50R, 59R</t>
  </si>
  <si>
    <t>MT700.08</t>
  </si>
  <si>
    <t>Sàng lọc giao dịch MT 700 - Port, Narrative - Port</t>
  </si>
  <si>
    <t>1. Đẩy giao dịch vào API Post Message với trường thông tin 44A, 44E, 44F, 44B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</si>
  <si>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 xml:space="preserve">{1:F01SCBLSGSGAXXX0000000000}
{2:I700MCOBVNVXXXXXN}
{3:{108:MT700TEST0005}}
{4:
:27:1/1
:40A:IRREVOCABLE
:20:DCI2607240005
:31C:260415
:40E:UCP LATEST VERSION
:31D:261231SINGAPORE
:50N:MEKONG TRADING JOINT STOCK CO
:50S:12 NGUYEN HUE STREET
:50T:HO CHI MINH CITY
:50R:VN
:59N:SUNRISE IMPORT EXPORT PTE LTD
:59S:18 MARINA BOULEVARD
:59T:SINGAPORE
:59R:SG
:32B:USD50000,
:41A:SCBLSGSG
BY PAYMENT
</t>
    </r>
    <r>
      <rPr>
        <sz val="11"/>
        <color rgb="FFFF0000"/>
        <rFont val="Times New Roman"/>
      </rPr>
      <t xml:space="preserve">:44A:EMBER SUMMIT
:44E:EMBER SUMMIT
:44F:EMBER SUMMIT
:44B:EMBER SUMMIT
</t>
    </r>
    <r>
      <rPr>
        <sz val="11"/>
        <color rgb="FF000000"/>
        <rFont val="Times New Roman"/>
      </rPr>
      <t>:49:WITHOUT
-}{5:{MAC:00000000}{CHK:1A2B3C4D5E6F}}</t>
    </r>
  </si>
  <si>
    <t>2. Hệ thống trả kết quả: HIT với Webservice Port và Narrative loại chủ thể Port và không HIT với chủ thể Individual, Entity, Vessel, Aircraft
Câu query kiểm tra kết quả (KET_QUA = HIT):
SELECT CASE
         WHEN COUNT(*) = 2 THEN 'HIT'
         ELSE 'NO HIT'
       END AS KET_QUA
FROM (
    SELECT T.N_WEBSERVICE_ID
    FROM FSI_RT_AL_WLS_RESPONSE T
    WHERE T.N_GRP_MSG_ID = :N_GRP_MSG_ID
      AND T.N_WEBSERVICE_ID IN (4, 5)
      AND T.V_TAG_NAME IN ('44A', '44E', '44F', '44B')
    GROUP BY T.N_WEBSERVICE_ID
    HAVING COUNT(DISTINCT T.V_TAG_NAME) = 4
       AND COUNT(CASE WHEN UPPER(T.V_MATCHED_TYPE) = 'PORT' THEN 1 END) &gt; 0
       AND COUNT(CASE WHEN UPPER(T.V_MATCHED_TYPE) = 'ENTITY' THEN 1 END) = 0
       AND COUNT(CASE WHEN UPPER(T.V_MATCHED_TYPE) = 'INDIVIDUAL' THEN 1 END) = 0
       AND COUNT(CASE WHEN UPPER(T.V_MATCHED_TYPE) = 'VESSEL' THEN 1 END) = 0
       AND COUNT(CASE WHEN UPPER(T.V_MATCHED_TYPE) = 'AIRCRAFT' THEN 1 END) = 0
);</t>
  </si>
  <si>
    <t>Nhóm tag quét giống nhau (Port, Narrative or Free Text Information - Port): 44A, 44E, 44F, 44B</t>
  </si>
  <si>
    <t>MT700.09</t>
  </si>
  <si>
    <t>Sàng lọc giao dịch MT 700 - Narrative - All</t>
  </si>
  <si>
    <t>1. Đẩy giao dịch vào API Post Message với trường thông tin 45A, 42M, 42P, 46A, 47A, 49G, 49H, 71D, 78K, 72Z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</si>
  <si>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{1:F01SCBLSGSGAXXX0000000000}
{2:I700MCOBVNVXXXXXN}
{3:{108:MT700TEST0006}}
{4:
:27:1/1
:40A:IRREVOCABLE
:20:DCI2607240006
:31C:260415
:40E:UCP LATEST VERSION
:31D:261231SINGAPORE
:50N:MEKONG TRADING JOINT STOCK CO
:50S:12 NGUYEN HUE STREET
:50T:HO CHI MINH CITY
:50R:VN
:59N:SUNRISE IMPORT EXPORT PTE LTD
:59S:18 MARINA BOULEVARD
:59T:SINGAPORE
:59R:SG
:32B:USD50000,
:41A:SCBLSGSG
BY PAYMENT
:42M:</t>
    </r>
    <r>
      <rPr>
        <sz val="11"/>
        <color rgb="FFFF0000"/>
        <rFont val="Times New Roman"/>
      </rPr>
      <t xml:space="preserve">0099887766
:42P:0099887766
:45A:0099887766
</t>
    </r>
    <r>
      <rPr>
        <sz val="11"/>
        <color rgb="FF000000"/>
        <rFont val="Times New Roman"/>
      </rPr>
      <t>:46A:</t>
    </r>
    <r>
      <rPr>
        <sz val="11"/>
        <color rgb="FFFF0000"/>
        <rFont val="Times New Roman"/>
      </rPr>
      <t xml:space="preserve">0099887766
</t>
    </r>
    <r>
      <rPr>
        <sz val="11"/>
        <color rgb="FF000000"/>
        <rFont val="Times New Roman"/>
      </rPr>
      <t>:47A:</t>
    </r>
    <r>
      <rPr>
        <sz val="11"/>
        <color rgb="FFFF0000"/>
        <rFont val="Times New Roman"/>
      </rPr>
      <t xml:space="preserve">0099887766
</t>
    </r>
    <r>
      <rPr>
        <sz val="11"/>
        <color rgb="FF000000"/>
        <rFont val="Times New Roman"/>
      </rPr>
      <t>:49G:</t>
    </r>
    <r>
      <rPr>
        <sz val="11"/>
        <color rgb="FFFF0000"/>
        <rFont val="Times New Roman"/>
      </rPr>
      <t xml:space="preserve">0099887766
</t>
    </r>
    <r>
      <rPr>
        <sz val="11"/>
        <color rgb="FF000000"/>
        <rFont val="Times New Roman"/>
      </rPr>
      <t>:49H:</t>
    </r>
    <r>
      <rPr>
        <sz val="11"/>
        <color rgb="FFFF0000"/>
        <rFont val="Times New Roman"/>
      </rPr>
      <t xml:space="preserve">0099887766
</t>
    </r>
    <r>
      <rPr>
        <sz val="11"/>
        <color rgb="FF000000"/>
        <rFont val="Times New Roman"/>
      </rPr>
      <t>:71D:</t>
    </r>
    <r>
      <rPr>
        <sz val="11"/>
        <color rgb="FFFF0000"/>
        <rFont val="Times New Roman"/>
      </rPr>
      <t xml:space="preserve">0099887766
</t>
    </r>
    <r>
      <rPr>
        <sz val="11"/>
        <color rgb="FF000000"/>
        <rFont val="Times New Roman"/>
      </rPr>
      <t>:49:WITHOUT
:78K:</t>
    </r>
    <r>
      <rPr>
        <sz val="11"/>
        <color rgb="FFFF0000"/>
        <rFont val="Times New Roman"/>
      </rPr>
      <t xml:space="preserve">0099887766
</t>
    </r>
    <r>
      <rPr>
        <sz val="11"/>
        <color rgb="FF000000"/>
        <rFont val="Times New Roman"/>
      </rPr>
      <t>:72Z:</t>
    </r>
    <r>
      <rPr>
        <sz val="11"/>
        <color rgb="FFFF0000"/>
        <rFont val="Times New Roman"/>
      </rPr>
      <t xml:space="preserve">0099887766
</t>
    </r>
    <r>
      <rPr>
        <sz val="11"/>
        <color rgb="FF000000"/>
        <rFont val="Times New Roman"/>
      </rPr>
      <t>-}{5:{MAC:00000000}{CHK:1A2B3C4D5E6F}}</t>
    </r>
  </si>
  <si>
    <t>2. Hệ thống trả kết quả: HIT với Webservice Narrative loại chủ thể Individual, Entity, Port, Vessel, Aircraft
Câu query kiểm tra kết quả (KET_QUA = HIT):
SELECT CASE
         WHEN COUNT(*) = 10 THEN 'HIT'
         ELSE 'NO HIT'
       END AS KET_QUA
FROM (
    SELECT T.V_TAG_NAME
    FROM FSI_RT_AL_WLS_RESPONSE T
    WHERE T.N_GRP_MSG_ID = :N_GRP_MSG_ID
      AND T.N_WEBSERVICE_ID = 4
      AND T.V_TAG_NAME IN ('42M','42P', '45A', 46A', '47A', '49G', '49H', '71D', '78K', '72Z')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</si>
  <si>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42M, 46A, 47A, 49G, 49H, 71D, 78K, 72Z,45A</t>
  </si>
  <si>
    <t>Update thêm tag 45A và bỏ testcase 45A - stopkeywords</t>
  </si>
  <si>
    <t>Sàng lọc giao dịch MT 707</t>
  </si>
  <si>
    <t>MT707</t>
  </si>
  <si>
    <t>Sàng lọc giao dịch MT 707 - Identifier, Name and Address, Country and City - Entity</t>
  </si>
  <si>
    <t> </t>
  </si>
  <si>
    <t>1. Đẩy giao dịch vào API Post Message với trường thông tin Basic Header Block, Application Header - Input 52A, 41A, 42A, 58A, 53A, 57A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</si>
  <si>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{2:I707BFICCUHHXXXXN}
{3:{108:MT707TEST0001}}
{4:
:27:1/1
:20:AMD2607240001
:21:LC26001234567890
:23:ADVREF26001
:52A:BFICCUHH
:31C:260415
:26E:1
:30:260415
:22A:ISSU
:41A:BFICCUHH
BY PAYMENT
:42C:AT SIGHT
:42A:BFICCUHH
:58A:BFICCUHH
:53A:BFICCUHH
:57A:BFICCUHH
-}{5:{MAC:00000000}{CHK:1A2B3C4D5E6F}}</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</si>
  <si>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('Basic Header Block', 'Application Header - Input', '52A', '41A', '42A', '58A', '53A', '57A')
    GROUP BY T.N_WEBSERVICE_ID
    HAVING COUNT(DISTINCT T.V_TAG_NAME) = 8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</si>
  <si>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52A, 41A, 42A, 58A, 53A, 57A</t>
  </si>
  <si>
    <t>1. Đẩy giao dịch vào API Post Message với trường thông tin Application Header - Output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</si>
  <si>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{1:F01MCOBVNVXAXXX0000000000}
{2:O7071201260724BFICCUHHAXXX00010000012607241201N}
{3:{108:MT707TEST0008}}
{4:
:27:1/1
:20:AMD2607240008
:21:LC26001234567890
:23:ADVREF26001
:52A:SCBLSGSG
:31C:260415
:26E:1
:30:260415
:22A:ISSU
:41A:SCBLSGSG
BY PAYMENT
:42C:AT SIGHT
:42A:SCBLSGSG
:58A:SCBLSGSG
:53A:SCBLSGSG
:57A:SCBLSGSG
-}{5:{MAC:00000000}{CHK:1A2B3C4D5E6F}}</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</si>
  <si>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('Application Header - Output')
    GROUP BY T.N_WEBSERVICE_ID
    HAVING COUNT(DISTINCT T.V_TAG_NAME) = 1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</si>
  <si>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Sàng lọc giao dịch MT 707 - Name and Address - Entity</t>
  </si>
  <si>
    <t>1. Đẩy giao dịch vào API Post Message với trường thông tin 52D, 50E, 50N, 59N, 41D, 42D, 58D, 53D, 57D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</si>
  <si>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 xml:space="preserve">{1:F01SCBLSGSGAXXX0000000000}
{2:I707MCOBVNVXXXXXN}
{3:{108:MT707TEST0002}}
{4:
:27:1/1
:20:AMD2607240002
:21:LC26001234567890
:23:ADVREF26001
</t>
    </r>
    <r>
      <rPr>
        <sz val="11"/>
        <color rgb="FFFF0000"/>
        <rFont val="Times New Roman"/>
      </rPr>
      <t xml:space="preserve">:52D:SUMMIT EMBER
:50E:SUMMIT EMBER
</t>
    </r>
    <r>
      <rPr>
        <sz val="11"/>
        <color rgb="FF000000"/>
        <rFont val="Times New Roman"/>
      </rPr>
      <t xml:space="preserve">:50I:88 TRAN HUNG DAO STREET
:50M:DA NANG
:50W:VN
:31C:260415
:26E:1
:30:260415
:22A:ISSU
</t>
    </r>
    <r>
      <rPr>
        <sz val="11"/>
        <color rgb="FFFF0000"/>
        <rFont val="Times New Roman"/>
      </rPr>
      <t xml:space="preserve">:50N:SUMMIT EMBER
</t>
    </r>
    <r>
      <rPr>
        <sz val="11"/>
        <color rgb="FF000000"/>
        <rFont val="Times New Roman"/>
      </rPr>
      <t xml:space="preserve">:50S:12 NGUYEN HUE STREET
:50T:HO CHI MINH CITY
:50R:IR
</t>
    </r>
    <r>
      <rPr>
        <sz val="11"/>
        <color rgb="FFFF0000"/>
        <rFont val="Times New Roman"/>
      </rPr>
      <t xml:space="preserve">:59N:SUMMIT EMBER
</t>
    </r>
    <r>
      <rPr>
        <sz val="11"/>
        <color rgb="FF000000"/>
        <rFont val="Times New Roman"/>
      </rPr>
      <t xml:space="preserve">:59S:18 MARINA BOULEVARD
:59T:SINGAPORE
:59R:IR
</t>
    </r>
    <r>
      <rPr>
        <sz val="11"/>
        <color rgb="FFFF0000"/>
        <rFont val="Times New Roman"/>
      </rPr>
      <t xml:space="preserve">:41D:SUMMIT EMBER
</t>
    </r>
    <r>
      <rPr>
        <sz val="11"/>
        <color rgb="FF000000"/>
        <rFont val="Times New Roman"/>
      </rPr>
      <t xml:space="preserve">BY PAYMENT
:42C:AT SIGHT
</t>
    </r>
    <r>
      <rPr>
        <sz val="11"/>
        <color rgb="FFFF0000"/>
        <rFont val="Times New Roman"/>
      </rPr>
      <t xml:space="preserve">:42D:SUMMIT EMBER
:58D:SUMMIT EMBER
:53D:SUMMIT EMBER
:57D:SUMMIT EMBER
</t>
    </r>
    <r>
      <rPr>
        <sz val="11"/>
        <color rgb="FF000000"/>
        <rFont val="Times New Roman"/>
      </rPr>
      <t>-}{5:{MAC:00000000}{CHK:1A2B3C4D5E6F}}</t>
    </r>
  </si>
  <si>
    <r>
      <rPr>
        <sz val="11"/>
        <color rgb="FF000000"/>
        <rFont val="Times New Roman"/>
      </rPr>
      <t xml:space="preserve">2. Hệ thống trả kết quả: HIT với Webservice Name and Address loại chủ thể Entity và không HIT với chủ thể Individual, Vessel, Aircraft
Câu query kiểm tra kết quả (KET_QUA = HIT):
SELECT CASE
         WHEN COUNT(*) = 9 THEN 'HIT'
         ELSE 'NO HIT'
       END AS KET_QUA
FROM (
    SELECT T.V_TAG_NAME
    FROM FSI_RT_AL_WLS_RESPONSE T
    WHERE T.N_GRP_MSG_ID = :N_GRP_MSG_ID
      AND T.N_WEBSERVICE_ID = 1
      AND T.V_TAG_NAME IN ('52D', '50E', '50N', '59N', '41D', '42D', '58D', '53D', '57D')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r>
    <r>
      <rPr>
        <sz val="11"/>
        <color rgb="FFFF0000"/>
        <rFont val="Times New Roman"/>
      </rPr>
      <t xml:space="preserve">       AND COUNT(CASEWHEN T.V_TAG_NAME = '50N(Sequence B)' AND UPPER(TRIM(T.V_RULE_NAME)) LIKE '%E001C%' THEN  END ) &gt; 0
AND COUNT( CASE WHEN T.V_TAG_NAME = '59N(Sequence C)' AND UPPER(TRIM(T.V_RULE_NAME)) LIKE '%E001C%' THEN 1 END) &gt; 0 );</t>
    </r>
  </si>
  <si>
    <t>Nhóm tag quét giống nhau (Name and Address - Entity): 52D, 50E, 50N, 59N, 41D, 42D, 58D, 53D, 57D</t>
  </si>
  <si>
    <t>Sàng lọc giao dịch MT 707 - Identifier - Entity</t>
  </si>
  <si>
    <t>1. Đẩy giao dịch vào API Post Message với trường thông tin 52A, 42A, 58A, 53A, 57A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</si>
  <si>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{2:I707MCOBVNVXXXXXN}
{3:{108:MT707TEST0003}}
{4:
:27:1/1
:20:AMD2607240003
:21:LC26001234567890
:23:ADVREF26001
:52A:/BFICCUHH
SCBLSGSG
:31C:260415
:26E:1
:30:260415
:22A:ISSU
:42C:AT SIGHT
:42A:/BFICCUHH
SCBLSGSG
:58A:/BFICCUHH
SCBLSGSG
:53A:/BFICCUHH
SCBLSGSG
:57A:/BFICCUHH
SCBLSGSG
-}{5:{MAC:00000000}{CHK:1A2B3C4D5E6F}}</t>
  </si>
  <si>
    <t>2. Hệ thống trả kết quả: HIT với Webservice Identifier loại chủ thể Entity và không HIT với chủ thể Individual, Vessel, Aircraft, Port
Câu query kiểm tra kết quả (KET_QUA = HIT):
SELECT CASE
         WHEN COUNT(*) = 5 THEN 'HIT'
         ELSE 'NO HIT'
       END AS KET_QUA
FROM (
    SELECT T.V_TAG_NAME
    FROM FSI_RT_AL_WLS_RESPONSE T
    WHERE T.N_GRP_MSG_ID = :N_GRP_MSG_ID
      AND T.N_WEBSERVICE_ID = 2
      AND T.V_TAG_NAME IN ('52A', '42A', '58A', '53A', '57A')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</si>
  <si>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52A, 42A, 58A, 53A, 57A</t>
  </si>
  <si>
    <t>1. Đẩy giao dịch vào API Post Message với trường thông tin 52D, 42D, 58D, 53D, 57D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</si>
  <si>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{2:I707MCOBVNVXXXXXN}
{3:{108:MT707TEST0003}}
{4:
:27:1/1
:20:AMD2607240003
:21:LC26001234567890
:23:ADVREF26001
:52D:/BFICCUHH
SCBLSGSG
:31C:260415
:26E:1
:30:260415
:22A:ISSU
:42C:AT SIGHT
:42D:/BFICCUHH
SCBLSGSG
:58D:/BFICCUHH
SCBLSGSG
:53D:/BFICCUHH
SCBLSGSG
:57D:/BFICCUHH
SCBLSGSG
-}{5:{MAC:00000000}{CHK:1A2B3C4D5E6F}}</t>
  </si>
  <si>
    <t>Sàng lọc giao dịch MT 707 - Country and City</t>
  </si>
  <si>
    <t>1. Đẩy giao dịch vào API Post Message với trường thông tin 50W, 50R, 59R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</si>
  <si>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t>{1:F01SCBLSGSGAXXX0000000000}
{2:I707MCOBVNVXXXXXN}
{3:{108:MT707TEST0004}}
{4:
:27:1/1
:20:AMD2607240004
:21:LC26001234567890
:23:ADVREF26001
:50E:ORIENT CAPITAL COMPANY LIMITED
:50I:88 TRAN HUNG DAO STREET
:50M:DA NANG</t>
    </r>
    <r>
      <rPr>
        <sz val="11"/>
        <color rgb="FFFF0000"/>
        <rFont val="Times New Roman"/>
      </rPr>
      <t xml:space="preserve">
:50W:IR</t>
    </r>
    <r>
      <rPr>
        <sz val="11"/>
        <color rgb="FF000000"/>
        <rFont val="Times New Roman"/>
      </rPr>
      <t xml:space="preserve">
:31C:260415
:26E:1
:30:260415
:22A:ISSU
:50N:MEKONG TRADING JOINT STOCK CO
:50S:12 NGUYEN HUE STREET
:50T:HO CHI MINH CITY</t>
    </r>
    <r>
      <rPr>
        <sz val="11"/>
        <color rgb="FFFF0000"/>
        <rFont val="Times New Roman"/>
      </rPr>
      <t xml:space="preserve">
:50R:IR</t>
    </r>
    <r>
      <rPr>
        <sz val="11"/>
        <color rgb="FF000000"/>
        <rFont val="Times New Roman"/>
      </rPr>
      <t xml:space="preserve">
:59N:SUNRISE IMPORT EXPORT PTE LTD
:59S:18 MARINA BOULEVARD
:59T:SINGAPORE</t>
    </r>
    <r>
      <rPr>
        <sz val="11"/>
        <color rgb="FFFF0000"/>
        <rFont val="Times New Roman"/>
      </rPr>
      <t xml:space="preserve">
:59R:IR</t>
    </r>
    <r>
      <rPr>
        <sz val="11"/>
        <color rgb="FF000000"/>
        <rFont val="Times New Roman"/>
      </rPr>
      <t xml:space="preserve">
-}{5:{MAC:00000000}{CHK:1A2B3C4D5E6F}}</t>
    </r>
  </si>
  <si>
    <t>2. Hệ thống trả kết quả: HIT với Webservice Country and City
Câu query kiểm tra kết quả (KET_QUA = HIT):
SELECT CASE
         WHEN COUNT(*) = 3 THEN 'HIT'
         ELSE 'NO HIT'
       END AS KET_QUA
FROM (
    SELECT T.V_TAG_NAME
    FROM FSI_RT_AL_WLS_RESPONSE T
    WHERE T.N_GRP_MSG_ID = :N_GRP_MSG_ID
      AND T.N_WEBSERVICE_ID = 3
      AND T.V_TAG_NAME IN ('50W', '50R', '59R')
    GROUP BY T.V_TAG_NAME
    HAVING COUNT(CASE WHEN T.V_MATCHED_LIST_NAME = 'Blacklisted Country' THEN 1 END) &gt; 0
);</t>
  </si>
  <si>
    <t>Nhóm tag quét giống nhau (Country and city - Danh sách Quốc gia Knock-out): 50W, 50R, 59R</t>
  </si>
  <si>
    <t>MT707.06</t>
  </si>
  <si>
    <t>Sàng lọc giao dịch MT 707 - Port, Narrative - Port</t>
  </si>
  <si>
    <t>1. Đẩy giao dịch vào API Post Message với trường thông tin 44A, 44E, 44F, 44B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</si>
  <si>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t>{1:F01SCBLSGSGAXXX0000000000}
{2:I707MCOBVNVXXXXXN}
{3:{108:MT707TEST0005}}
{4:
:27:1/1
:20:AMD2607240005
:21:LC26001234567890
:23:ADVREF26001
:31C:260415
:26E:1
:30:260415
:22A:ISSU</t>
    </r>
    <r>
      <rPr>
        <sz val="11"/>
        <color rgb="FFFF0000"/>
        <rFont val="Times New Roman"/>
        <charset val="1"/>
      </rPr>
      <t xml:space="preserve">
:44A:EMBER SUMMIT
:44E:EMBER SUMMIT
:44F:EMBER SUMMIT
:44B:EMBER SUMMIT</t>
    </r>
    <r>
      <rPr>
        <sz val="11"/>
        <color rgb="FF000000"/>
        <rFont val="Times New Roman"/>
        <charset val="1"/>
      </rPr>
      <t xml:space="preserve">
-}{5:{MAC:00000000}{CHK:1A2B3C4D5E6F}}</t>
    </r>
  </si>
  <si>
    <t>MT707.07</t>
  </si>
  <si>
    <t>Sàng lọc giao dịch MT 707 - Narrative - All</t>
  </si>
  <si>
    <t>1. Đẩy giao dịch vào API Post Message với trường thông tin 42M, 46B, 47B, 49M, 49N, 71D, 71N, 78K, 72Z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</si>
  <si>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t>{1:F01SCBLSGSGAXXX0000000000}
{2:I707MCOBVNVXXXXXN}
{3:{108:MT707TEST0006}}
{4:
:27:1/1
:20:AMD2607240006
:21:LC26001234567890
:23:ADVREF26001
:31C:260415
:26E:1
:30:260415
:22A:ISSU
:42M:</t>
    </r>
    <r>
      <rPr>
        <sz val="11"/>
        <color rgb="FFFF0000"/>
        <rFont val="Times New Roman"/>
      </rPr>
      <t>0099887766</t>
    </r>
    <r>
      <rPr>
        <sz val="11"/>
        <color rgb="FF000000"/>
        <rFont val="Times New Roman"/>
      </rPr>
      <t xml:space="preserve">
:46B:</t>
    </r>
    <r>
      <rPr>
        <sz val="11"/>
        <color rgb="FFFF0000"/>
        <rFont val="Times New Roman"/>
      </rPr>
      <t>0099887766</t>
    </r>
    <r>
      <rPr>
        <sz val="11"/>
        <color rgb="FF000000"/>
        <rFont val="Times New Roman"/>
      </rPr>
      <t xml:space="preserve">
:47B:</t>
    </r>
    <r>
      <rPr>
        <sz val="11"/>
        <color rgb="FFFF0000"/>
        <rFont val="Times New Roman"/>
      </rPr>
      <t>0099887766</t>
    </r>
    <r>
      <rPr>
        <sz val="11"/>
        <color rgb="FF000000"/>
        <rFont val="Times New Roman"/>
      </rPr>
      <t xml:space="preserve">
:49M:</t>
    </r>
    <r>
      <rPr>
        <sz val="11"/>
        <color rgb="FFFF0000"/>
        <rFont val="Times New Roman"/>
      </rPr>
      <t>0099887766</t>
    </r>
    <r>
      <rPr>
        <sz val="11"/>
        <color rgb="FF000000"/>
        <rFont val="Times New Roman"/>
      </rPr>
      <t xml:space="preserve">
:49N:</t>
    </r>
    <r>
      <rPr>
        <sz val="11"/>
        <color rgb="FFFF0000"/>
        <rFont val="Times New Roman"/>
      </rPr>
      <t>0099887766</t>
    </r>
    <r>
      <rPr>
        <sz val="11"/>
        <color rgb="FF000000"/>
        <rFont val="Times New Roman"/>
      </rPr>
      <t xml:space="preserve">
:71D:</t>
    </r>
    <r>
      <rPr>
        <sz val="11"/>
        <color rgb="FFFF0000"/>
        <rFont val="Times New Roman"/>
      </rPr>
      <t>0099887766</t>
    </r>
    <r>
      <rPr>
        <sz val="11"/>
        <color rgb="FF000000"/>
        <rFont val="Times New Roman"/>
      </rPr>
      <t xml:space="preserve">
:71N:</t>
    </r>
    <r>
      <rPr>
        <sz val="11"/>
        <color rgb="FFFF0000"/>
        <rFont val="Times New Roman"/>
      </rPr>
      <t>0099887766</t>
    </r>
    <r>
      <rPr>
        <sz val="11"/>
        <color rgb="FF000000"/>
        <rFont val="Times New Roman"/>
      </rPr>
      <t xml:space="preserve">
:78K:</t>
    </r>
    <r>
      <rPr>
        <sz val="11"/>
        <color rgb="FFFF0000"/>
        <rFont val="Times New Roman"/>
      </rPr>
      <t>0099887766</t>
    </r>
    <r>
      <rPr>
        <sz val="11"/>
        <color rgb="FF000000"/>
        <rFont val="Times New Roman"/>
      </rPr>
      <t xml:space="preserve">
:72Z:</t>
    </r>
    <r>
      <rPr>
        <sz val="11"/>
        <color rgb="FFFF0000"/>
        <rFont val="Times New Roman"/>
      </rPr>
      <t>0099887766</t>
    </r>
    <r>
      <rPr>
        <sz val="11"/>
        <color rgb="FF000000"/>
        <rFont val="Times New Roman"/>
      </rPr>
      <t xml:space="preserve">
-}{5:{MAC:00000000}{CHK:1A2B3C4D5E6F}}</t>
    </r>
  </si>
  <si>
    <t>2. Hệ thống trả kết quả: HIT với Webservice Narrative loại chủ thể Individual, Entity, Port, Vessel, Aircraft
Câu query kiểm tra kết quả (KET_QUA = HIT):
SELECT CASE
         WHEN COUNT(*) = 9 THEN 'HIT'
         ELSE 'NO HIT'
       END AS KET_QUA
FROM (
    SELECT T.V_TAG_NAME
    FROM FSI_RT_AL_WLS_RESPONSE T
    WHERE T.N_GRP_MSG_ID = :N_GRP_MSG_ID
      AND T.N_WEBSERVICE_ID = 4
      AND T.V_TAG_NAME IN ('42M', '46B', '47B', '49M', '49N', '71D', '71N', '78K', '72Z')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</si>
  <si>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42M, 46B, 47B, 49M, 49N, 71D, 71N, 78K, 72Z</t>
  </si>
  <si>
    <t>MT707.08</t>
  </si>
  <si>
    <t>1. Đẩy giao dịch vào API Post Message với trường thông tin 45B có dữ liệu nằm trong các danh sách Stopkeywords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</si>
  <si>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{1:F01SCBLSGSGAXXX0000000000}
{2:I707MCOBVNVXXXXXN}
{3:{108:MT707TEST0007}}
{4:
:27:1/1
:20:AMD2607240007
:21:LC26001234567890
:23:ADVREF26001
:31C:260415
:26E:1
:30:260415
:22A:ISSU
:45B:</t>
    </r>
    <r>
      <rPr>
        <sz val="11"/>
        <color rgb="FFFF0000"/>
        <rFont val="Times New Roman"/>
      </rPr>
      <t xml:space="preserve">0099887766
</t>
    </r>
    <r>
      <rPr>
        <sz val="11"/>
        <color rgb="FF000000"/>
        <rFont val="Times New Roman"/>
      </rPr>
      <t>-}{5:{MAC:00000000}{CHK:1A2B3C4D5E6F}}</t>
    </r>
  </si>
  <si>
    <t>2. Hệ thống trả kết quả: HIT với Webservice Narrative với Matched List = Stop Keywords và không HIT với các chủ thể Individual, Entity, Port, Vessel, Aircraft
Câu query kiểm tra kết quả (KET_QUA = HIT):
SELECT CASE
         WHEN COUNT(*) = 1 THEN 'HIT'
         ELSE 'NO HIT'
       END AS KET_QUA
FROM (
    SELECT T.V_TAG_NAME
    FROM FSI_RT_AL_WLS_RESPONSE T
    WHERE T.N_GRP_MSG_ID = :N_GRP_MSG_ID
      AND T.N_WEBSERVICE_ID = 4
      AND T.V_TAG_NAME = '45B'
    GROUP BY T.V_TAG_NAME
    HAVING COUNT(CASE WHEN UPPER(T.V_MATCHED_TYPE) = 'STK' THEN 1 END) &gt; 0
       AND COUNT(CASE WHEN UPPER(T.V_MATCHED_TYPE) = 'INDIVIDUAL' THEN 1 END) = 0
       AND COUNT(CASE WHEN UPPER(T.V_MATCHED_TYPE) = 'VESSEL' THEN 1 END) = 0
       AND COUNT(CASE WHEN UPPER(T.V_MATCHED_TYPE) = 'AIRCRAFT' THEN 1 END) = 0
       AND COUNT(CASE WHEN UPPER(T.V_MATCHED_TYPE) = 'PORT' THEN 1 END) = 0
       AND COUNT(CASE WHEN UPPER(T.V_MATCHED_TYPE) = 'ENTITY' THEN 1 END) = 0
);</t>
  </si>
  <si>
    <t>Nhóm tag quét giống nhau (Narrative or Free Text Information - Stop Keywords): 45B</t>
  </si>
  <si>
    <t>Sàng lọc giao dịch MT 710</t>
  </si>
  <si>
    <t>MT710</t>
  </si>
  <si>
    <t>Sàng lọc giao dịch MT 710 - Identifier, Name and Address, Country and City - Entity</t>
  </si>
  <si>
    <t>1. Đẩy giao dịch vào API Post Message với trường thông tin Basic Header Block, Application Header - Input, 52A, 51A, 41A, 42A, 58A, 53A, 57A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</si>
  <si>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{2:I710BFICCUHHXXXXN}
{3:{108:MT710TEST0001}}
{4:
:27:1/1
:40B:IRREVOCABLE
WITHOUT
:20:ADV2607240001
:21:LC26001234567890
:31C:260415
:40E:UCP LATEST VERSION
:31D:261231SINGAPORE
:52A:BFICCUHH
:51A:BFICCUHH
:50N:MEKONG TRADING JOINT STOCK CO
:50S:12 NGUYEN HUE STREET
:50T:HO CHI MINH CITY
:50R:VN
:59N:SUNRISE IMPORT EXPORT PTE LTD
:59S:18 MARINA BOULEVARD
:59T:SINGAPORE
:59R:SG
:32B:USD50000,
:41A:BFICCUHH
BY PAYMENT
:42C:AT SIGHT
:42A:BFICCUHH
:49:WITHOUT
:58A:BFICCUHH
:53A:BFICCUHH
:57A:BFICCUHH
-}{5:{MAC:00000000}{CHK:1A2B3C4D5E6F}}</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</si>
  <si>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('Basic Header Block', 'Application Header - Input', '52A', '51A', '41A', '42A', '58A', '53A', '57A')
    GROUP BY T.N_WEBSERVICE_ID
    HAVING COUNT(DISTINCT T.V_TAG_NAME) = 9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</si>
  <si>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52A, 51A, 41A, 42A, 58A, 53A, 57A</t>
  </si>
  <si>
    <t>{1:F01MCOBVNVXAXXX0000000000}
{2:O7101201260724BFICCUHHAXXX00010000012607241201N}
{3:{108:MT710TEST0008}}
{4:
:27:1/1
:40B:IRREVOCABLE
WITHOUT
:20:ADV2607240008
:21:LC26001234567890
:31C:260415
:40E:UCP LATEST VERSION
:31D:261231SINGAPORE
:52A:SCBLSGSG
:51A:SCBLSGSG
:50N:MEKONG TRADING JOINT STOCK CO
:50S:12 NGUYEN HUE STREET
:50T:HO CHI MINH CITY
:50R:VN
:59N:SUNRISE IMPORT EXPORT PTE LTD
:59S:18 MARINA BOULEVARD
:59T:SINGAPORE
:59R:SG
:32B:USD50000,
:41A:SCBLSGSG
BY PAYMENT
:42C:AT SIGHT
:42A:SCBLSGSG
:49:WITHOUT
:58A:SCBLSGSG
:53A:SCBLSGSG
:57A:SCBLSGSG
-}{5:{MAC:00000000}{CHK:1A2B3C4D5E6F}}</t>
  </si>
  <si>
    <t>Sàng lọc giao dịch MT 710 - Name and Address - Entity</t>
  </si>
  <si>
    <t>1. Đẩy giao dịch vào API Post Message với trường thông tin 52D, 50E, 51D, 50N, 59N, 41D, 42D, 58D, 53D, 57D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</si>
  <si>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 xml:space="preserve">{1:F01SCBLSGSGAXXX0000000000}
{2:I710MCOBVNVXXXXXN}
{3:{108:MT710TEST0002}}
{4:
:27:1/1
:40B:IRREVOCABLE
WITHOUT
:20:ADV2607240002
:21:LC26001234567890
:31C:260415
:40E:UCP LATEST VERSION
:31D:261231SINGAPORE
</t>
    </r>
    <r>
      <rPr>
        <sz val="11"/>
        <color rgb="FFFF0000"/>
        <rFont val="Times New Roman"/>
      </rPr>
      <t xml:space="preserve">:52D:SUMMIT EMBER
:50E:SUMMIT EMBER
</t>
    </r>
    <r>
      <rPr>
        <sz val="11"/>
        <color rgb="FF000000"/>
        <rFont val="Times New Roman"/>
      </rPr>
      <t xml:space="preserve">:50I:88 TRAN HUNG DAO STREET
:50M:DA NANG
:50W:VN
</t>
    </r>
    <r>
      <rPr>
        <sz val="11"/>
        <color rgb="FFFF0000"/>
        <rFont val="Times New Roman"/>
      </rPr>
      <t xml:space="preserve">:51D:SUMMIT EMBER
:50N:SUMMIT EMBER
</t>
    </r>
    <r>
      <rPr>
        <sz val="11"/>
        <color rgb="FF000000"/>
        <rFont val="Times New Roman"/>
      </rPr>
      <t xml:space="preserve">:50S:12 NGUYEN HUE STREET
:50T:HO CHI MINH CITY
:50R:VN
</t>
    </r>
    <r>
      <rPr>
        <sz val="11"/>
        <color rgb="FFFF0000"/>
        <rFont val="Times New Roman"/>
      </rPr>
      <t xml:space="preserve">:59N:SUMMIT EMBER
</t>
    </r>
    <r>
      <rPr>
        <sz val="11"/>
        <color rgb="FF000000"/>
        <rFont val="Times New Roman"/>
      </rPr>
      <t xml:space="preserve">:59S:18 MARINA BOULEVARD
:59T:SINGAPORE
:59R:SG
:32B:USD50000,
</t>
    </r>
    <r>
      <rPr>
        <sz val="11"/>
        <color rgb="FFFF0000"/>
        <rFont val="Times New Roman"/>
      </rPr>
      <t xml:space="preserve">:41D:SUMMIT EMBER
</t>
    </r>
    <r>
      <rPr>
        <sz val="11"/>
        <color rgb="FF000000"/>
        <rFont val="Times New Roman"/>
      </rPr>
      <t xml:space="preserve">BY PAYMENT
:42C:AT SIGHT
</t>
    </r>
    <r>
      <rPr>
        <sz val="11"/>
        <color rgb="FFFF0000"/>
        <rFont val="Times New Roman"/>
      </rPr>
      <t xml:space="preserve">:42D:SUMMIT EMBER
</t>
    </r>
    <r>
      <rPr>
        <sz val="11"/>
        <color rgb="FF000000"/>
        <rFont val="Times New Roman"/>
      </rPr>
      <t xml:space="preserve">:49:WITHOUT
</t>
    </r>
    <r>
      <rPr>
        <sz val="11"/>
        <color rgb="FFFF0000"/>
        <rFont val="Times New Roman"/>
      </rPr>
      <t xml:space="preserve">:58D:SUMMIT EMBER
:53D:SUMMIT EMBER
:57D:SUMMIT EMBER
</t>
    </r>
    <r>
      <rPr>
        <sz val="11"/>
        <color rgb="FF000000"/>
        <rFont val="Times New Roman"/>
      </rPr>
      <t>-}{5:{MAC:00000000}{CHK:1A2B3C4D5E6F}}</t>
    </r>
  </si>
  <si>
    <t>2. Hệ thống trả kết quả: HIT với Webservice Name and Address loại chủ thể Entity và không HIT với chủ thể Individual, Vessel, Aircraft
Câu query kiểm tra kết quả (KET_QUA = HIT):
SELECT CASE
         WHEN COUNT(*) = 10 THEN 'HIT'
         ELSE 'NO HIT'
       END AS KET_QUA
FROM (
    SELECT T.V_TAG_NAME
    FROM FSI_RT_AL_WLS_RESPONSE T
    WHERE T.N_GRP_MSG_ID = :N_GRP_MSG_ID
      AND T.N_WEBSERVICE_ID = 1
      AND T.V_TAG_NAME IN ('52D', '50E', '51D', '50N', '59N', '41D', '42D', '58D', '53D', '57D')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</si>
  <si>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Nhóm tag quét giống nhau (Name and Address - Entity): 52D, 50E, 51D, 50N, 59N, 41D, 42D, 58D, 53D, 57D</t>
  </si>
  <si>
    <t>Sàng lọc giao dịch MT 710 - Identifier - Entity</t>
  </si>
  <si>
    <t>1. Đẩy giao dịch vào API Post Message với trường thông tin 52A, 51A, 42A, 58A, 53A, 57A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</si>
  <si>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{2:I710MCOBVNVXXXXXN}
{3:{108:MT710TEST0003}}
{4:
:27:1/1
:40B:IRREVOCABLE
WITHOUT
:20:ADV2607240003
:21:LC26001234567890
:31C:260415
:40E:UCP LATEST VERSION
:31D:261231SINGAPORE
:52A:/BFICCUHH
SCBLSGSG
:51A:/BFICCUHH
SCBLSGSG
:50N:MEKONG TRADING JOINT STOCK CO
:50S:12 NGUYEN HUE STREET
:50T:HO CHI MINH CITY
:50R:VN
:59N:SUNRISE IMPORT EXPORT PTE LTD
:59S:18 MARINA BOULEVARD
:59T:SINGAPORE
:59R:SG
:32B:USD50000,
:41A:SCBLSGSG
BY PAYMENT
:42C:AT SIGHT
:42A:/BFICCUHH
SCBLSGSG
:49:WITHOUT
:58A:/BFICCUHH
SCBLSGSG
:53A:/BFICCUHH
SCBLSGSG
:57A:/BFICCUHH
SCBLSGSG
-}{5:{MAC:00000000}{CHK:1A2B3C4D5E6F}}</t>
  </si>
  <si>
    <t>2. Hệ thống trả kết quả: HIT với Webservice Identifier loại chủ thể Entity và không HIT với chủ thể Individual, Vessel, Aircraft, Port
Câu query kiểm tra kết quả (KET_QUA = HIT):
SELECT CASE
         WHEN COUNT(*) = 6 THEN 'HIT'
         ELSE 'NO HIT'
       END AS KET_QUA
FROM (
    SELECT T.V_TAG_NAME
    FROM FSI_RT_AL_WLS_RESPONSE T
    WHERE T.N_GRP_MSG_ID = :N_GRP_MSG_ID
      AND T.N_WEBSERVICE_ID = 2
      AND T.V_TAG_NAME IN ('52A', '51A', '42A', '58A', '53A', '57A')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</si>
  <si>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52A, 51A, 42A, 58A, 53A, 57A</t>
  </si>
  <si>
    <t>1. Đẩy giao dịch vào API Post Message với trường thông tin 52D, 51D, 42D, 58D, 53D, 57D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</si>
  <si>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{2:I710MCOBVNVXXXXXN}
{3:{108:MT710TEST0003}}
{4:
:27:1/1
:40B:IRREVOCABLE
WITHOUT
:20:ADV2607240003
:21:LC26001234567890
:31C:260415
:40E:UCP LATEST VERSION
:31D:261231SINGAPORE
:52D:/BFICCUHH
SCBLSGSG
:51D:/BFICCUHH
SCBLSGSG
:50N:MEKONG TRADING JOINT STOCK CO
:50S:12 NGUYEN HUE STREET
:50T:HO CHI MINH CITY
:50R:VN
:59N:SUNRISE IMPORT EXPORT PTE LTD
:59S:18 MARINA BOULEVARD
:59T:SINGAPORE
:59R:SG
:32B:USD50000,
:41A:SCBLSGSG
BY PAYMENT
:42D:AT SIGHT
:42A:/BFICCUHH
SCBLSGSG
:49:WITHOUT
:58D:/BFICCUHH
SCBLSGSG
:53D:/BFICCUHH
SCBLSGSG
:57D:/BFICCUHH
SCBLSGSG
-}{5:{MAC:00000000}{CHK:1A2B3C4D5E6F}}</t>
  </si>
  <si>
    <t>1. Đẩy giao dịch vào API Post Message với trường thông tin 57B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</si>
  <si>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{2:I710MCOBVNVXXXXXN}
{3:{108:MT710TEST0003}}
{4:
:27:1/1
:40B:IRREVOCABLE
WITHOUT
:20:ADV2607240003
:21:LC26001234567890
:31C:260415
:40E:UCP LATEST VERSION
:31D:261231SINGAPORE
:52D:/BFICCUHH
SCBLSGSG
:51D:/BFICCUHH
SCBLSGSG
:50N:MEKONG TRADING JOINT STOCK CO
:50S:12 NGUYEN HUE STREET
:50T:HO CHI MINH CITY
:50R:VN
:59N:SUNRISE IMPORT EXPORT PTE LTD
:59S:18 MARINA BOULEVARD
:59T:SINGAPORE
:59R:SG
:32B:USD50000,
:41A:SCBLSGSG
BY PAYMENT
:42D:AT SIGHT
:42A:/BFICCUHH
SCBLSGSG
:49:WITHOUT
:58D:/BFICCUHH
SCBLSGSG
:53D:/BFICCUHH
SCBLSGSG
:57B:/BFICCUHH
SCBLSGSG
-}{5:{MAC:00000000}{CHK:1A2B3C4D5E6F}}</t>
  </si>
  <si>
    <t>Sàng lọc giao dịch MT 710 - Country and City</t>
  </si>
  <si>
    <r>
      <t>{1:F01SCBLSGSGAXXX0000000000}
{2:I710MCOBVNVXXXXXN}
{3:{108:MT710TEST0004}}
{4:
:27:1/1
:40B:IRREVOCABLE
WITHOUT
:20:ADV2607240004
:21:LC26001234567890
:31C:260415
:40E:UCP LATEST VERSION
:31D:261231SINGAPORE
:50E:ORIENT CAPITAL COMPANY LIMITED
:50I:88 TRAN HUNG DAO STREET
:50M:DA NANG</t>
    </r>
    <r>
      <rPr>
        <sz val="11"/>
        <color rgb="FFFF0000"/>
        <rFont val="Times New Roman"/>
      </rPr>
      <t xml:space="preserve">
:50W:IR</t>
    </r>
    <r>
      <rPr>
        <sz val="11"/>
        <color rgb="FF000000"/>
        <rFont val="Times New Roman"/>
      </rPr>
      <t xml:space="preserve">
:50N:MEKONG TRADING JOINT STOCK CO
:50S:12 NGUYEN HUE STREET
:50T:HO CHI MINH CITY</t>
    </r>
    <r>
      <rPr>
        <sz val="11"/>
        <color rgb="FFFF0000"/>
        <rFont val="Times New Roman"/>
      </rPr>
      <t xml:space="preserve">
:50R:IR</t>
    </r>
    <r>
      <rPr>
        <sz val="11"/>
        <color rgb="FF000000"/>
        <rFont val="Times New Roman"/>
      </rPr>
      <t xml:space="preserve">
:59N:SUNRISE IMPORT EXPORT PTE LTD
:59S:18 MARINA BOULEVARD
:59T:SINGAPORE</t>
    </r>
    <r>
      <rPr>
        <sz val="11"/>
        <color rgb="FFFF0000"/>
        <rFont val="Times New Roman"/>
      </rPr>
      <t xml:space="preserve">
:59R:IR</t>
    </r>
    <r>
      <rPr>
        <sz val="11"/>
        <color rgb="FF000000"/>
        <rFont val="Times New Roman"/>
      </rPr>
      <t xml:space="preserve">
:32B:USD50000,
:41A:SCBLSGSG
BY PAYMENT
:49:WITHOUT
-}{5:{MAC:00000000}{CHK:1A2B3C4D5E6F}}</t>
    </r>
  </si>
  <si>
    <t>MT710.06</t>
  </si>
  <si>
    <t>Sàng lọc giao dịch MT 710 - Port, Narrative - Port</t>
  </si>
  <si>
    <r>
      <t>{1:F01SCBLSGSGAXXX0000000000}
{2:I710MCOBVNVXXXXXN}
{3:{108:MT710TEST0005}}
{4:
:27:1/1
:40B:IRREVOCABLE
WITHOUT
:20:ADV2607240005
:21:LC26001234567890
:31C:260415
:40E:UCP LATEST VERSION
:31D:261231SINGAPORE
:50N:MEKONG TRADING JOINT STOCK CO
:50S:12 NGUYEN HUE STREET
:50T:HO CHI MINH CITY
:50R:VN
:59N:SUNRISE IMPORT EXPORT PTE LTD
:59S:18 MARINA BOULEVARD
:59T:SINGAPORE
:59R:SG
:32B:USD50000,
:41A:SCBLSGSG
BY PAYMENT</t>
    </r>
    <r>
      <rPr>
        <sz val="11"/>
        <color rgb="FFFF0000"/>
        <rFont val="Times New Roman"/>
      </rPr>
      <t xml:space="preserve">
:44A:EMBER SUMMIT
:44E:EMBER SUMMIT
:44F:EMBER SUMMIT
:44B:EMBER SUMMIT</t>
    </r>
    <r>
      <rPr>
        <sz val="11"/>
        <color rgb="FF000000"/>
        <rFont val="Times New Roman"/>
      </rPr>
      <t xml:space="preserve">
:49:WITHOUT
-}{5:{MAC:00000000}{CHK:1A2B3C4D5E6F}}</t>
    </r>
  </si>
  <si>
    <t>MT710.07</t>
  </si>
  <si>
    <t>Sàng lọc giao dịch MT 710 - Narrative - All</t>
  </si>
  <si>
    <t>1. Đẩy giao dịch vào API Post Message với trường thông tin 42M, 46A, 47A, 49G, 49H, 71D, 78K, 78D, 72Z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</si>
  <si>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t>{1:F01SCBLSGSGAXXX0000000000}
{2:I710MCOBVNVXXXXXN}
{3:{108:MT710TEST0006}}
{4:
:27:1/1
:40B:IRREVOCABLE
WITHOUT
:20:ADV2607240006
:21:LC26001234567890
:31C:260415
:40E:UCP LATEST VERSION
:31D:261231SINGAPORE
:50N:MEKONG TRADING JOINT STOCK CO
:50S:12 NGUYEN HUE STREET
:50T:HO CHI MINH CITY
:50R:VN
:59N:SUNRISE IMPORT EXPORT PTE LTD
:59S:18 MARINA BOULEVARD
:59T:SINGAPORE
:59R:SG
:32B:USD50000,
:41A:SCBLSGSG
BY PAYMENT
:42M:</t>
    </r>
    <r>
      <rPr>
        <sz val="11"/>
        <color rgb="FFFF0000"/>
        <rFont val="Times New Roman"/>
      </rPr>
      <t>0099887766</t>
    </r>
    <r>
      <rPr>
        <sz val="11"/>
        <color rgb="FF000000"/>
        <rFont val="Times New Roman"/>
      </rPr>
      <t xml:space="preserve">
:46A:</t>
    </r>
    <r>
      <rPr>
        <sz val="11"/>
        <color rgb="FFFF0000"/>
        <rFont val="Times New Roman"/>
      </rPr>
      <t>0099887766</t>
    </r>
    <r>
      <rPr>
        <sz val="11"/>
        <color rgb="FF000000"/>
        <rFont val="Times New Roman"/>
      </rPr>
      <t xml:space="preserve">
:47A:</t>
    </r>
    <r>
      <rPr>
        <sz val="11"/>
        <color rgb="FFFF0000"/>
        <rFont val="Times New Roman"/>
      </rPr>
      <t>0099887766</t>
    </r>
    <r>
      <rPr>
        <sz val="11"/>
        <color rgb="FF000000"/>
        <rFont val="Times New Roman"/>
      </rPr>
      <t xml:space="preserve">
:49G:</t>
    </r>
    <r>
      <rPr>
        <sz val="11"/>
        <color rgb="FFFF0000"/>
        <rFont val="Times New Roman"/>
      </rPr>
      <t>0099887766</t>
    </r>
    <r>
      <rPr>
        <sz val="11"/>
        <color rgb="FF000000"/>
        <rFont val="Times New Roman"/>
      </rPr>
      <t xml:space="preserve">
:49H:</t>
    </r>
    <r>
      <rPr>
        <sz val="11"/>
        <color rgb="FFFF0000"/>
        <rFont val="Times New Roman"/>
      </rPr>
      <t>0099887766</t>
    </r>
    <r>
      <rPr>
        <sz val="11"/>
        <color rgb="FF000000"/>
        <rFont val="Times New Roman"/>
      </rPr>
      <t xml:space="preserve">
:71D:</t>
    </r>
    <r>
      <rPr>
        <sz val="11"/>
        <color rgb="FFFF0000"/>
        <rFont val="Times New Roman"/>
      </rPr>
      <t>0099887766</t>
    </r>
    <r>
      <rPr>
        <sz val="11"/>
        <color rgb="FF000000"/>
        <rFont val="Times New Roman"/>
      </rPr>
      <t xml:space="preserve">
:49:WITHOUT
:78K:</t>
    </r>
    <r>
      <rPr>
        <sz val="11"/>
        <color rgb="FFFF0000"/>
        <rFont val="Times New Roman"/>
      </rPr>
      <t>0099887766</t>
    </r>
    <r>
      <rPr>
        <sz val="11"/>
        <color rgb="FF000000"/>
        <rFont val="Times New Roman"/>
      </rPr>
      <t xml:space="preserve">
:78D:</t>
    </r>
    <r>
      <rPr>
        <sz val="11"/>
        <color rgb="FFFF0000"/>
        <rFont val="Times New Roman"/>
      </rPr>
      <t>0099887766</t>
    </r>
    <r>
      <rPr>
        <sz val="11"/>
        <color rgb="FF000000"/>
        <rFont val="Times New Roman"/>
      </rPr>
      <t xml:space="preserve">
:72Z:</t>
    </r>
    <r>
      <rPr>
        <sz val="11"/>
        <color rgb="FFFF0000"/>
        <rFont val="Times New Roman"/>
      </rPr>
      <t>0099887766</t>
    </r>
    <r>
      <rPr>
        <sz val="11"/>
        <color rgb="FF000000"/>
        <rFont val="Times New Roman"/>
      </rPr>
      <t xml:space="preserve">
-}{5:{MAC:00000000}{CHK:1A2B3C4D5E6F}}</t>
    </r>
  </si>
  <si>
    <t>2. Hệ thống trả kết quả: HIT với Webservice Narrative loại chủ thể Individual, Entity, Port, Vessel, Aircraft
Câu query kiểm tra kết quả (KET_QUA = HIT):
SELECT CASE
         WHEN COUNT(*) = 9 THEN 'HIT'
         ELSE 'NO HIT'
       END AS KET_QUA
FROM (
    SELECT T.V_TAG_NAME
    FROM FSI_RT_AL_WLS_RESPONSE T
    WHERE T.N_GRP_MSG_ID = :N_GRP_MSG_ID
      AND T.N_WEBSERVICE_ID = 4
      AND T.V_TAG_NAME IN ('42M', '46A', '47A', '49G', '49H', '71D', '78K', '78D', '72Z')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</si>
  <si>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42M, 46A, 47A, 49G, 49H, 71D, 78K, 78D, 72Z</t>
  </si>
  <si>
    <t>MT710.08</t>
  </si>
  <si>
    <t>1. Đẩy giao dịch vào API Post Message với trường thông tin 45A có dữ liệu nằm trong các danh sách Stopkeywords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</si>
  <si>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t>{1:F01SCBLSGSGAXXX0000000000}
{2:I710MCOBVNVXXXXXN}
{3:{108:MT710TEST0007}}
{4:
:27:1/1
:40B:IRREVOCABLE
WITHOUT
:20:ADV2607240007
:21:LC26001234567890
:31C:260415
:40E:UCP LATEST VERSION
:31D:261231SINGAPORE
:50N:MEKONG TRADING JOINT STOCK CO
:50S:12 NGUYEN HUE STREET
:50T:HO CHI MINH CITY
:50R:VN
:59N:SUNRISE IMPORT EXPORT PTE LTD
:59S:18 MARINA BOULEVARD
:59T:SINGAPORE
:59R:SG
:32B:USD50000,
:41A:SCBLSGSG
BY PAYMENT
:45A:</t>
    </r>
    <r>
      <rPr>
        <sz val="11"/>
        <color rgb="FFFF0000"/>
        <rFont val="Times New Roman"/>
      </rPr>
      <t>0099887766</t>
    </r>
    <r>
      <rPr>
        <sz val="11"/>
        <color rgb="FF000000"/>
        <rFont val="Times New Roman"/>
      </rPr>
      <t xml:space="preserve">
:49:WITHOUT
-}{5:{MAC:00000000}{CHK:1A2B3C4D5E6F}}</t>
    </r>
  </si>
  <si>
    <t>2. Hệ thống trả kết quả: HIT với Webservice Narrative với Matched List = Stop Keywords và không HIT với các chủ thể Individual, Entity, Port, Vessel, Aircraft
Câu query kiểm tra kết quả (KET_QUA = HIT):
SELECT CASE
         WHEN COUNT(*) = 1 THEN 'HIT'
         ELSE 'NO HIT'
       END AS KET_QUA
FROM (
    SELECT T.V_TAG_NAME
    FROM FSI_RT_AL_WLS_RESPONSE T
    WHERE T.N_GRP_MSG_ID = :N_GRP_MSG_ID
      AND T.N_WEBSERVICE_ID = 4
      AND T.V_TAG_NAME = '45A'
    GROUP BY T.V_TAG_NAME
    HAVING COUNT(CASE WHEN UPPER(T.V_MATCHED_TYPE) = 'STK' THEN 1 END) &gt; 0
       AND COUNT(CASE WHEN UPPER(T.V_MATCHED_TYPE) = 'INDIVIDUAL' THEN 1 END) = 0
       AND COUNT(CASE WHEN UPPER(T.V_MATCHED_TYPE) = 'VESSEL' THEN 1 END) = 0
       AND COUNT(CASE WHEN UPPER(T.V_MATCHED_TYPE) = 'AIRCRAFT' THEN 1 END) = 0
       AND COUNT(CASE WHEN UPPER(T.V_MATCHED_TYPE) = 'PORT' THEN 1 END) = 0
       AND COUNT(CASE WHEN UPPER(T.V_MATCHED_TYPE) = 'ENTITY' THEN 1 END) = 0
);</t>
  </si>
  <si>
    <t>Nhóm tag quét giống nhau (Narrative or Free Text Information - Stop Keywords): 45A</t>
  </si>
  <si>
    <t>Sàng lọc giao dịch MT 720</t>
  </si>
  <si>
    <t>MT720</t>
  </si>
  <si>
    <t>Sàng lọc giao dịch MT 720 - Identifier, Name and Address, Country and City - Entity</t>
  </si>
  <si>
    <t>1. Đẩy giao dịch vào API Post Message với trường thông tin Basic Header Block, Application Header - Input, 52A, 41A, 42A, 58A, 57A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</si>
  <si>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{2:I720BFICCUHHXXXXN}
{3:{108:MT720TEST0001}}
{4:
:27:1/1
:40B:IRREVOCABLE
WITHOUT
:20:TRF2607240001
:21:LC26001234567890
:31C:260415
:40E:UCP LATEST VERSION
:31D:261231SINGAPORE
:52A:BFICCUHH
:50N:MEKONG TRADING JOINT STOCK CO
:50S:12 NGUYEN HUE STREET
:50T:HO CHI MINH CITY
:50R:VN
:59N:SUNRISE IMPORT EXPORT PTE LTD
:59S:18 MARINA BOULEVARD
:59T:SINGAPORE
:59R:SG
:32B:USD50000,
:41A:BFICCUHH
BY PAYMENT
:42C:AT SIGHT
:42A:BFICCUHH
:49:WITHOUT
:58A:BFICCUHH
:57A:BFICCUHH
-}{5:{MAC:00000000}{CHK:1A2B3C4D5E6F}}</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</si>
  <si>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('Basic Header Block', 'Application Header - Input', '52A', '41A', '42A', '58A', '57A')
    GROUP BY T.N_WEBSERVICE_ID
    HAVING COUNT(DISTINCT T.V_TAG_NAME) = 7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</si>
  <si>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52A, 41A, 42A, 58A, 57A</t>
  </si>
  <si>
    <t>{1:F01MCOBVNVXAXXX0000000000}
{2:O7201201260724BFICCUHHAXXX00010000012607241201N}
{3:{108:MT720TEST0008}}
{4:
:27:1/1
:40B:IRREVOCABLE
WITHOUT
:20:TRF2607240008
:21:LC26001234567890
:31C:260415
:40E:UCP LATEST VERSION
:31D:261231SINGAPORE
:52A:SCBLSGSG
:50N:MEKONG TRADING JOINT STOCK CO
:50S:12 NGUYEN HUE STREET
:50T:HO CHI MINH CITY
:50R:VN
:59N:SUNRISE IMPORT EXPORT PTE LTD
:59S:18 MARINA BOULEVARD
:59T:SINGAPORE
:59R:SG
:32B:USD50000,
:41A:SCBLSGSG
BY PAYMENT
:42C:AT SIGHT
:42A:SCBLSGSG
:49:WITHOUT
:58A:SCBLSGSG
:57A:SCBLSGSG
-}{5:{MAC:00000000}{CHK:1A2B3C4D5E6F}}</t>
  </si>
  <si>
    <t>2. Hệ thống trả kết quả: HIT với Webservice Name and Address loại chủ thể Entity và không HIT với chủ thể Individual, Vessel, Aircraft
Câu query kiểm tra kết quả (KET_QUA = HIT):
SELECT CASE
         WHEN COUNT(*) = 8 THEN 'HIT'
         ELSE 'NO HIT'
       END AS KET_QUA
FROM (
    SELECT T.V_TAG_NAME
    FROM FSI_RT_AL_WLS_RESPONSE T
    WHERE T.N_GRP_MSG_ID = :N_GRP_MSG_ID
      AND T.N_WEBSERVICE_ID = 1
      AND T.V_TAG_NAME IN ('52D', '50E', '50N', '59N', '41D', '42D', '58D', '57D')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</si>
  <si>
    <t>Sàng lọc giao dịch MT 720 - Name and Address - Entity</t>
  </si>
  <si>
    <t>1. Đẩy giao dịch vào API Post Message với trường thông tin 52D, 50E, 50N, 59N, 41D, 42D, 58D, 57D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</si>
  <si>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 xml:space="preserve">{1:F01SCBLSGSGAXXX0000000000}
{2:I720MCOBVNVXXXXXN}
{3:{108:MT720TEST0002}}
{4:
:27:1/1
:40B:IRREVOCABLE
WITHOUT
:20:TRF2607240002
:21:LC26001234567890
:31C:260415
:40E:UCP LATEST VERSION
:31D:261231SINGAPORE
</t>
    </r>
    <r>
      <rPr>
        <sz val="11"/>
        <color rgb="FFFF0000"/>
        <rFont val="Times New Roman"/>
      </rPr>
      <t xml:space="preserve">:52D:SUMMIT EMBER
:50E:SUMMIT EMBER
</t>
    </r>
    <r>
      <rPr>
        <sz val="11"/>
        <color rgb="FF000000"/>
        <rFont val="Times New Roman"/>
      </rPr>
      <t xml:space="preserve">:50I:88 TRAN HUNG DAO STREET
:50M:DA NANG
</t>
    </r>
    <r>
      <rPr>
        <sz val="11"/>
        <color rgb="FFFF0000"/>
        <rFont val="Times New Roman"/>
      </rPr>
      <t xml:space="preserve">:50W:IR
:50N:SUMMIT EMBER
</t>
    </r>
    <r>
      <rPr>
        <sz val="11"/>
        <color rgb="FF000000"/>
        <rFont val="Times New Roman"/>
      </rPr>
      <t xml:space="preserve">:50S:12 NGUYEN HUE STREET
:50T:HO CHI MINH CITY
:50R:IR
</t>
    </r>
    <r>
      <rPr>
        <sz val="11"/>
        <color rgb="FFFF0000"/>
        <rFont val="Times New Roman"/>
      </rPr>
      <t xml:space="preserve">:59N:SUMMIT EMBER
</t>
    </r>
    <r>
      <rPr>
        <sz val="11"/>
        <color rgb="FF000000"/>
        <rFont val="Times New Roman"/>
      </rPr>
      <t xml:space="preserve">:59S:18 MARINA BOULEVARD
:59T:SINGAPORE
:59R:IR
:32B:USD50000,
</t>
    </r>
    <r>
      <rPr>
        <sz val="11"/>
        <color rgb="FFFF0000"/>
        <rFont val="Times New Roman"/>
      </rPr>
      <t xml:space="preserve">:41D:SUMMIT EMBER
</t>
    </r>
    <r>
      <rPr>
        <sz val="11"/>
        <color rgb="FF000000"/>
        <rFont val="Times New Roman"/>
      </rPr>
      <t xml:space="preserve">BY PAYMENT
:42C:AT SIGHT
</t>
    </r>
    <r>
      <rPr>
        <sz val="11"/>
        <color rgb="FFFF0000"/>
        <rFont val="Times New Roman"/>
      </rPr>
      <t xml:space="preserve">:42D:SUMMIT EMBER
</t>
    </r>
    <r>
      <rPr>
        <sz val="11"/>
        <color rgb="FF000000"/>
        <rFont val="Times New Roman"/>
      </rPr>
      <t xml:space="preserve">:49:WITHOUT
</t>
    </r>
    <r>
      <rPr>
        <sz val="11"/>
        <color rgb="FFFF0000"/>
        <rFont val="Times New Roman"/>
      </rPr>
      <t xml:space="preserve">:58D:SUMMIT EMBER
:57D:SUMMIT EMBER
</t>
    </r>
    <r>
      <rPr>
        <sz val="11"/>
        <color rgb="FF000000"/>
        <rFont val="Times New Roman"/>
      </rPr>
      <t>-}{5:{MAC:00000000}{CHK:1A2B3C4D5E6F}}</t>
    </r>
  </si>
  <si>
    <r>
      <rPr>
        <sz val="11"/>
        <color rgb="FF000000"/>
        <rFont val="Times New Roman"/>
      </rPr>
      <t xml:space="preserve">2. Hệ thống trả kết quả: HIT với Webservice Name and Address loại chủ thể Entity và không HIT với chủ thể Individual, Vessel, Aircraft
</t>
    </r>
    <r>
      <rPr>
        <sz val="11"/>
        <color rgb="FFFF0000"/>
        <rFont val="Times New Roman"/>
      </rPr>
      <t xml:space="preserve">Và tag 50E, 50N, 59N HIT với rule [E001C] Part-standardized name exact, country
</t>
    </r>
    <r>
      <rPr>
        <sz val="11"/>
        <color rgb="FF000000"/>
        <rFont val="Times New Roman"/>
      </rPr>
      <t xml:space="preserve">
Câu query kiểm tra kết quả (KET_QUA = HIT):
SELECT CASE
         WHEN COUNT(*) = 8 THEN 'HIT'
         ELSE 'NO HIT'
       END AS KET_QUA
FROM (
    SELECT T.V_TAG_NAME
    FROM FSI_RT_AL_WLS_RESPONSE T
    WHERE T.N_GRP_MSG_ID = :N_GRP_MSG_ID
      AND T.N_WEBSERVICE_ID = 1
      AND T.V_TAG_NAME IN ('52D', '50E', '50N', '59N', '41D', '42D', '58D', '57D')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COUNT(CASEWHEN T.V_TAG_NAME = '50E(Sequence A)' AND UPPER(TRIM(T.V_RULE_NAME)) LIKE '%E001C%' THEN  END ) &gt; 0
AND COUNT( CASE WHEN T.V_TAG_NAME = '50N(Sequence B)' AND UPPER(TRIM(T.V_RULE_NAME)) LIKE '%E001C%' THEN 1 END) &gt; 0 )
AND COUNT( CASE WHEN T.V_TAG_NAME = '59N(Sequence C)' AND UPPER(TRIM(T.V_RULE_NAME)) LIKE '%E001C%' THEN 1 END) &gt; 0 );</t>
    </r>
  </si>
  <si>
    <t>Nhóm tag quét giống nhau (Name and Address - Entity): 52D, 50E, 50N, 59N, 41D, 42D, 58D, 57D</t>
  </si>
  <si>
    <t>Sàng lọc giao dịch MT 720 - Identifier - Entity</t>
  </si>
  <si>
    <t>1. Đẩy giao dịch vào API Post Message với trường thông tin 52A, 42A, 58A, 57A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</si>
  <si>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{2:I720MCOBVNVXXXXXN}
{3:{108:MT720TEST0003}}
{4:
:27:1/1
:40B:IRREVOCABLE
WITHOUT
:20:TRF2607240003
:21:LC26001234567890
:31C:260415
:40E:UCP LATEST VERSION
:31D:261231SINGAPORE
:52A:/BFICCUHH
SCBLSGSG
:50N:MEKONG TRADING JOINT STOCK CO
:50S:12 NGUYEN HUE STREET
:50T:HO CHI MINH CITY
:50R:VN
:59N:SUNRISE IMPORT EXPORT PTE LTD
:59S:18 MARINA BOULEVARD
:59T:SINGAPORE
:59R:SG
:32B:USD50000,
:41A:SCBLSGSG
BY PAYMENT
:42C:AT SIGHT
:42A:/BFICCUHH
SCBLSGSG
:49:WITHOUT
:58A:/BFICCUHH
SCBLSGSG
:57A:/BFICCUHH
SCBLSGSG
-}{5:{MAC:00000000}{CHK:1A2B3C4D5E6F}}</t>
  </si>
  <si>
    <t>2. Hệ thống trả kết quả: HIT với Webservice Identifier loại chủ thể Entity và không HIT với chủ thể Individual, Vessel, Aircraft, Port
Câu query kiểm tra kết quả (KET_QUA = HIT):
SELECT CASE
         WHEN COUNT(*) = 4 THEN 'HIT'
         ELSE 'NO HIT'
       END AS KET_QUA
FROM (
    SELECT T.V_TAG_NAME
    FROM FSI_RT_AL_WLS_RESPONSE T
    WHERE T.N_GRP_MSG_ID = :N_GRP_MSG_ID
      AND T.N_WEBSERVICE_ID = 2
      AND T.V_TAG_NAME IN ('52A', '42A', '58A', '57A')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</si>
  <si>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52A, 42A, 58A, 57A</t>
  </si>
  <si>
    <t>1. Đẩy giao dịch vào API Post Message với trường thông tin 52D, 42D, 58D, 57D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</si>
  <si>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{2:I720MCOBVNVXXXXXN}
{3:{108:MT720TEST0003}}
{4:
:27:1/1
:40B:IRREVOCABLE
WITHOUT
:20:TRF2607240003
:21:LC26001234567890
:31C:260415
:40E:UCP LATEST VERSION
:31D:261231SINGAPORE
:52D:/BFICCUHH
SCBLSGSG
:50N:MEKONG TRADING JOINT STOCK CO
:50S:12 NGUYEN HUE STREET
:50T:HO CHI MINH CITY
:50R:VN
:59N:SUNRISE IMPORT EXPORT PTE LTD
:59S:18 MARINA BOULEVARD
:59T:SINGAPORE
:59R:SG
:32B:USD50000,
:41A:SCBLSGSG
BY PAYMENT
:42C:AT SIGHT
:42D:/BFICCUHH
SCBLSGSG
:49:WITHOUT
:58D:/BFICCUHH
SCBLSGSG
:57D:/BFICCUHH
SCBLSGSG
-}{5:{MAC:00000000}{CHK:1A2B3C4D5E6F}}</t>
  </si>
  <si>
    <t>2. Hệ thống trả kết quả: HIT với Webservice Identifier loại chủ thể Entity và không HIT với chủ thể Individual, Vessel, Aircraft, Port
Câu query kiểm tra kết quả (KET_QUA = HIT):
SELECT CASE
         WHEN COUNT(*) = 4 THEN 'HIT'
         ELSE 'NO HIT'
       END AS KET_QUA
FROM (
    SELECT T.V_TAG_NAME
    FROM FSI_RT_AL_WLS_RESPONSE T
    WHERE T.N_GRP_MSG_ID = :N_GRP_MSG_ID
      AND T.N_WEBSERVICE_ID = 2
      AND T.V_TAG_NAME IN ('52D', '42D', '58D', '57D')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</si>
  <si>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{1:F01SCBLSGSGAXXX0000000000}
{2:I720MCOBVNVXXXXXN}
{3:{108:MT720TEST0003}}
{4:
:27:1/1
:40B:IRREVOCABLE
WITHOUT
:20:TRF2607240003
:21:LC26001234567890
:31C:260415
:40E:UCP LATEST VERSION
:31D:261231SINGAPORE
:52D:/BFICCUHH
SCBLSGSG
:50N:MEKONG TRADING JOINT STOCK CO
:50S:12 NGUYEN HUE STREET
:50T:HO CHI MINH CITY
:50R:VN
:59N:SUNRISE IMPORT EXPORT PTE LTD
:59S:18 MARINA BOULEVARD
:59T:SINGAPORE
:59R:SG
:32B:USD50000,
:41A:SCBLSGSG
BY PAYMENT
:42C:AT SIGHT
:42D:/BFICCUHH
SCBLSGSG
:49:WITHOUT
:58D:/BFICCUHH
SCBLSGSG
:57B:/BFICCUHH
SCBLSGSG
-}{5:{MAC:00000000}{CHK:1A2B3C4D5E6F}}</t>
  </si>
  <si>
    <t>2. Hệ thống trả kết quả: HIT với Webservice Identifier loại chủ thể Entity và không HIT với chủ thể Individual, Vessel, Aircraft, Port
Câu query kiểm tra kết quả (KET_QUA = HIT):
SELECT CASE
         WHEN COUNT(*) = 1 THEN 'HIT'
         ELSE 'NO HIT'
       END AS KET_QUA
FROM (
    SELECT T.V_TAG_NAME
    FROM FSI_RT_AL_WLS_RESPONSE T
    WHERE T.N_GRP_MSG_ID = :N_GRP_MSG_ID
      AND T.N_WEBSERVICE_ID = 2
      AND T.V_TAG_NAME IN ('52B')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</si>
  <si>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Sàng lọc giao dịch MT 720 - Country and City</t>
  </si>
  <si>
    <r>
      <t>{1:F01SCBLSGSGAXXX0000000000}
{2:I720MCOBVNVXXXXXN}
{3:{108:MT720TEST0004}}
{4:
:27:1/1
:40B:IRREVOCABLE
WITHOUT
:20:TRF2607240004
:21:LC26001234567890
:31C:260415
:40E:UCP LATEST VERSION
:31D:261231SINGAPORE
:50E:ORIENT CAPITAL COMPANY LIMITED
:50I:88 TRAN HUNG DAO STREET
:50M:DA NANG</t>
    </r>
    <r>
      <rPr>
        <sz val="11"/>
        <color rgb="FFFF0000"/>
        <rFont val="Times New Roman"/>
        <charset val="1"/>
      </rPr>
      <t xml:space="preserve">
:50W:IR</t>
    </r>
    <r>
      <rPr>
        <sz val="11"/>
        <color rgb="FF000000"/>
        <rFont val="Times New Roman"/>
        <charset val="1"/>
      </rPr>
      <t xml:space="preserve">
:50N:MEKONG TRADING JOINT STOCK CO
:50S:12 NGUYEN HUE STREET
:50T:HO CHI MINH CITY</t>
    </r>
    <r>
      <rPr>
        <sz val="11"/>
        <color rgb="FFFF0000"/>
        <rFont val="Times New Roman"/>
        <charset val="1"/>
      </rPr>
      <t xml:space="preserve">
:50R:IR</t>
    </r>
    <r>
      <rPr>
        <sz val="11"/>
        <color rgb="FF000000"/>
        <rFont val="Times New Roman"/>
        <charset val="1"/>
      </rPr>
      <t xml:space="preserve">
:59N:SUNRISE IMPORT EXPORT PTE LTD
:59S:18 MARINA BOULEVARD
:59T:SINGAPORE</t>
    </r>
    <r>
      <rPr>
        <sz val="11"/>
        <color rgb="FFFF0000"/>
        <rFont val="Times New Roman"/>
        <charset val="1"/>
      </rPr>
      <t xml:space="preserve">
:59R:IR</t>
    </r>
    <r>
      <rPr>
        <sz val="11"/>
        <color rgb="FF000000"/>
        <rFont val="Times New Roman"/>
        <charset val="1"/>
      </rPr>
      <t xml:space="preserve">
:32B:USD50000,
:41A:SCBLSGSG
BY PAYMENT
:49:WITHOUT
-}{5:{MAC:00000000}{CHK:1A2B3C4D5E6F}}</t>
    </r>
  </si>
  <si>
    <t>MT720.06</t>
  </si>
  <si>
    <t>Sàng lọc giao dịch MT 720 - Port, Narrative - Port</t>
  </si>
  <si>
    <r>
      <rPr>
        <sz val="11"/>
        <color rgb="FF000000"/>
        <rFont val="Times New Roman"/>
      </rPr>
      <t xml:space="preserve">{1:F01SCBLSGSGAXXX0000000000}
{2:I720MCOBVNVXXXXXN}
{3:{108:MT720TEST0005}}
{4:
:27:1/1
:40B:IRREVOCABLE
WITHOUT
:20:TRF2607240005
:21:LC26001234567890
:31C:260415
:40E:UCP LATEST VERSION
:31D:261231SINGAPORE
:50N:MEKONG TRADING JOINT STOCK CO
:50S:12 NGUYEN HUE STREET
:50T:HO CHI MINH CITY
:50R:VN
:59N:SUNRISE IMPORT EXPORT PTE LTD
:59S:18 MARINA BOULEVARD
:59T:SINGAPORE
:59R:SG
:32B:USD50000,
:41A:SCBLSGSG
BY PAYMENT
</t>
    </r>
    <r>
      <rPr>
        <sz val="11"/>
        <color rgb="FFFF0000"/>
        <rFont val="Times New Roman"/>
      </rPr>
      <t xml:space="preserve">:44A:EMBER SUMMIT
:44E:EMBER SUMMIT
:44F:EMBER SUMMIT
:44B:EMBER SUMMIT
</t>
    </r>
    <r>
      <rPr>
        <sz val="11"/>
        <color rgb="FF000000"/>
        <rFont val="Times New Roman"/>
      </rPr>
      <t>:49:WITHOUT
-}{5:{MAC:00000000}{CHK:1A2B3C4D5E6F}}</t>
    </r>
  </si>
  <si>
    <t>MT720.07</t>
  </si>
  <si>
    <t>Sàng lọc giao dịch MT 720 - Narrative - All</t>
  </si>
  <si>
    <t>1. Đẩy giao dịch vào API Post Message với trường thông tin 45A, 42M, 46A, 47A, 49G, 49H, 71D, 78K, 78D, 72Z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</si>
  <si>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{1:F01SCBLSGSGAXXX0000000000}
{2:I720MCOBVNVXXXXXN}
{3:{108:MT720TEST0006}}
{4:
:27:1/1
:40B:IRREVOCABLE
WITHOUT
:20:TRF2607240006
:21:LC26001234567890
:31C:260415
:40E:UCP LATEST VERSION
:31D:261231SINGAPORE
:50N:MEKONG TRADING JOINT STOCK CO
:50S:12 NGUYEN HUE STREET
:50T:HO CHI MINH CITY
:50R:VN
:59N:SUNRISE IMPORT EXPORT PTE LTD
:59S:18 MARINA BOULEVARD
:59T:SINGAPORE
:59R:SG
:32B:USD50000,
:41A:SCBLSGSG
BY PAYMENT
:42M:</t>
    </r>
    <r>
      <rPr>
        <sz val="11"/>
        <color rgb="FFFF0000"/>
        <rFont val="Times New Roman"/>
      </rPr>
      <t xml:space="preserve">0099887766
:45A:EMBER SUMMIT
</t>
    </r>
    <r>
      <rPr>
        <sz val="11"/>
        <color rgb="FF000000"/>
        <rFont val="Times New Roman"/>
      </rPr>
      <t>:46A:</t>
    </r>
    <r>
      <rPr>
        <sz val="11"/>
        <color rgb="FFFF0000"/>
        <rFont val="Times New Roman"/>
      </rPr>
      <t xml:space="preserve">0099887766
</t>
    </r>
    <r>
      <rPr>
        <sz val="11"/>
        <color rgb="FF000000"/>
        <rFont val="Times New Roman"/>
      </rPr>
      <t>:47A:</t>
    </r>
    <r>
      <rPr>
        <sz val="11"/>
        <color rgb="FFFF0000"/>
        <rFont val="Times New Roman"/>
      </rPr>
      <t xml:space="preserve">0099887766
</t>
    </r>
    <r>
      <rPr>
        <sz val="11"/>
        <color rgb="FF000000"/>
        <rFont val="Times New Roman"/>
      </rPr>
      <t>:49G:</t>
    </r>
    <r>
      <rPr>
        <sz val="11"/>
        <color rgb="FFFF0000"/>
        <rFont val="Times New Roman"/>
      </rPr>
      <t xml:space="preserve">0099887766
</t>
    </r>
    <r>
      <rPr>
        <sz val="11"/>
        <color rgb="FF000000"/>
        <rFont val="Times New Roman"/>
      </rPr>
      <t>:49H:</t>
    </r>
    <r>
      <rPr>
        <sz val="11"/>
        <color rgb="FFFF0000"/>
        <rFont val="Times New Roman"/>
      </rPr>
      <t xml:space="preserve">0099887766
</t>
    </r>
    <r>
      <rPr>
        <sz val="11"/>
        <color rgb="FF000000"/>
        <rFont val="Times New Roman"/>
      </rPr>
      <t>:71D:</t>
    </r>
    <r>
      <rPr>
        <sz val="11"/>
        <color rgb="FFFF0000"/>
        <rFont val="Times New Roman"/>
      </rPr>
      <t xml:space="preserve">0099887766
</t>
    </r>
    <r>
      <rPr>
        <sz val="11"/>
        <color rgb="FF000000"/>
        <rFont val="Times New Roman"/>
      </rPr>
      <t>:49:WITHOUT
:78K:</t>
    </r>
    <r>
      <rPr>
        <sz val="11"/>
        <color rgb="FFFF0000"/>
        <rFont val="Times New Roman"/>
      </rPr>
      <t xml:space="preserve">0099887766
</t>
    </r>
    <r>
      <rPr>
        <sz val="11"/>
        <color rgb="FF000000"/>
        <rFont val="Times New Roman"/>
      </rPr>
      <t>:78D:</t>
    </r>
    <r>
      <rPr>
        <sz val="11"/>
        <color rgb="FFFF0000"/>
        <rFont val="Times New Roman"/>
      </rPr>
      <t xml:space="preserve">0099887766
</t>
    </r>
    <r>
      <rPr>
        <sz val="11"/>
        <color rgb="FF000000"/>
        <rFont val="Times New Roman"/>
      </rPr>
      <t>:72Z:</t>
    </r>
    <r>
      <rPr>
        <sz val="11"/>
        <color rgb="FFFF0000"/>
        <rFont val="Times New Roman"/>
      </rPr>
      <t xml:space="preserve">0099887766
</t>
    </r>
    <r>
      <rPr>
        <sz val="11"/>
        <color rgb="FF000000"/>
        <rFont val="Times New Roman"/>
      </rPr>
      <t>-}{5:{MAC:00000000}{CHK:1A2B3C4D5E6F}}</t>
    </r>
  </si>
  <si>
    <t>2. Hệ thống trả kết quả: HIT với Webservice Narrative loại chủ thể Individual, Entity, Port, Vessel, Aircraft
Câu query kiểm tra kết quả (KET_QUA = HIT):
SELECT CASE
         WHEN COUNT(*) = 9 THEN 'HIT'
         ELSE 'NO HIT'
       END AS KET_QUA
FROM (
    SELECT T.V_TAG_NAME
    FROM FSI_RT_AL_WLS_RESPONSE T
    WHERE T.N_GRP_MSG_ID = :N_GRP_MSG_ID
      AND T.N_WEBSERVICE_ID = 4
      AND T.V_TAG_NAME IN ('45A','42M', '46A', '47A', '49G', '49H', '71D', '78K', '78D', '72Z')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</si>
  <si>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Sàng lọc giao dịch MT 740</t>
  </si>
  <si>
    <t>MT740</t>
  </si>
  <si>
    <t>Sàng lọc giao dịch MT 740 - Identifier, Name and Address, Country and City - Entity</t>
  </si>
  <si>
    <t>1. Đẩy giao dịch vào API Post Message với trường thông tin Basic Header Block, Application Header - Input, 58A, 41A, 42A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</si>
  <si>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{2:I740BFICCUHHXXXXN}
{3:{108:MT740TEST0001}}
{4:
:20:ATR2607240001
:40F:URR LATEST VERSION
:58A:BFICCUHH
:32B:USD50000,
:41A:BFICCUHH
BY PAYMENT
:42C:AT SIGHT
:42A:BFICCUHH
-}{5:{MAC:00000000}{CHK:1A2B3C4D5E6F}}</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</si>
  <si>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('Basic Header Block', 'Application Header - Input', '58A', '41A', '42A')
    GROUP BY T.N_WEBSERVICE_ID
    HAVING COUNT(DISTINCT T.V_TAG_NAME) = 5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</si>
  <si>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58A, 41A, 42A</t>
  </si>
  <si>
    <t>{1:F01MCOBVNVXAXXX0000000000}
{2:O7401201260724BFICCUHHAXXX00010000012607241201N}
{3:{108:MT740TEST0006}}
{4:
:20:ATR2607240006
:40F:URR LATEST VERSION
:58A:SCBLSGSG
:32B:USD50000,
:41A:SCBLSGSG
BY PAYMENT
:42C:AT SIGHT
:42A:SCBLSGSG
-}{5:{MAC:00000000}{CHK:1A2B3C4D5E6F}}</t>
  </si>
  <si>
    <t>Sàng lọc giao dịch MT 740 - Name and Address - Entity</t>
  </si>
  <si>
    <t>1. Đẩy giao dịch vào API Post Message với trường thông tin 58D, 59N, 41D, 42D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</si>
  <si>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 xml:space="preserve">{1:F01SCBLSGSGAXXX0000000000}
{2:I740MCOBVNVXXXXXN}
{3:{108:MT740TEST0002}}
{4:
:20:ATR2607240002
:40F:URR LATEST VERSION
</t>
    </r>
    <r>
      <rPr>
        <sz val="11"/>
        <color rgb="FFFF0000"/>
        <rFont val="Times New Roman"/>
      </rPr>
      <t xml:space="preserve">:58D:SUMMIT EMBER
:59N:SUMMIT EMBER
</t>
    </r>
    <r>
      <rPr>
        <sz val="11"/>
        <color rgb="FF000000"/>
        <rFont val="Times New Roman"/>
      </rPr>
      <t xml:space="preserve">:59S:18 MARINA BOULEVARD
:59T:SINGAPORE
:59R:IR
:32B:USD50000,
</t>
    </r>
    <r>
      <rPr>
        <sz val="11"/>
        <color rgb="FFFF0000"/>
        <rFont val="Times New Roman"/>
      </rPr>
      <t xml:space="preserve">:41D:SUMMIT EMBER
</t>
    </r>
    <r>
      <rPr>
        <sz val="11"/>
        <color rgb="FF000000"/>
        <rFont val="Times New Roman"/>
      </rPr>
      <t xml:space="preserve">BY PAYMENT
:42C:AT SIGHT
</t>
    </r>
    <r>
      <rPr>
        <sz val="11"/>
        <color rgb="FFFF0000"/>
        <rFont val="Times New Roman"/>
      </rPr>
      <t xml:space="preserve">:42D:SUMMIT EMBER
</t>
    </r>
    <r>
      <rPr>
        <sz val="11"/>
        <color rgb="FF000000"/>
        <rFont val="Times New Roman"/>
      </rPr>
      <t>-}{5:{MAC:00000000}{CHK:1A2B3C4D5E6F}}</t>
    </r>
  </si>
  <si>
    <r>
      <rPr>
        <sz val="11"/>
        <color rgb="FF000000"/>
        <rFont val="Times New Roman"/>
      </rPr>
      <t xml:space="preserve">2. Hệ thống trả kết quả: HIT với Webservice Name and Address loại chủ thể Entity và không HIT với chủ thể Individual, Vessel, Aircraft
</t>
    </r>
    <r>
      <rPr>
        <sz val="11"/>
        <color rgb="FFFF0000"/>
        <rFont val="Times New Roman"/>
      </rPr>
      <t xml:space="preserve">Và tag 59N HIT với rule [E001C] Part-standardized name exact, country
</t>
    </r>
    <r>
      <rPr>
        <sz val="11"/>
        <color rgb="FF000000"/>
        <rFont val="Times New Roman"/>
      </rPr>
      <t xml:space="preserve">
Câu query kiểm tra kết quả (KET_QUA = HIT):
SELECT CASE
         WHEN COUNT(*) = 4 THEN 'HIT'
         ELSE 'NO HIT'
       END AS KET_QUA
FROM (
    SELECT T.V_TAG_NAME
    FROM FSI_RT_AL_WLS_RESPONSE T
    WHERE T.N_GRP_MSG_ID = :N_GRP_MSG_ID
      AND T.N_WEBSERVICE_ID = 1
      AND T.V_TAG_NAME IN ('58D', '59N', '41D', '42D')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r>
    <r>
      <rPr>
        <sz val="11"/>
        <color rgb="FFFF0000"/>
        <rFont val="Times New Roman"/>
      </rPr>
      <t xml:space="preserve">       AND COUNT(CASEWHEN T.V_TAG_NAME = '59N(Sequence A)' AND UPPER(TRIM(T.V_RULE_NAME)) LIKE '%E001C%' THEN  END ) &gt; 0
</t>
    </r>
    <r>
      <rPr>
        <sz val="11"/>
        <color rgb="FF000000"/>
        <rFont val="Times New Roman"/>
      </rPr>
      <t>);</t>
    </r>
  </si>
  <si>
    <t>Nhóm tag quét giống nhau (Name and Address - Entity): 58D, 59N, 41D, 42D</t>
  </si>
  <si>
    <t>Sàng lọc giao dịch MT 740 - Identifier - Entity</t>
  </si>
  <si>
    <t>1. Đẩy giao dịch vào API Post Message với trường thông tin 58A, 42A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</si>
  <si>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{2:I740MCOBVNVXXXXXN}
{3:{108:MT740TEST0003}}
{4:
:20:ATR2607240003
:40F:URR LATEST VERSION
:58A:/BFICCUHH
SCBLSGSG
:32B:USD50000,
:41A:SCBLSGSG
BY PAYMENT
:42C:AT SIGHT
:42A:/BFICCUHH
SCBLSGSG
-}{5:{MAC:00000000}{CHK:1A2B3C4D5E6F}}</t>
  </si>
  <si>
    <t>2. Hệ thống trả kết quả: HIT với Webservice Identifier loại chủ thể Entity và không HIT với chủ thể Individual, Vessel, Aircraft, Port
Câu query kiểm tra kết quả (KET_QUA = HIT):
SELECT CASE
         WHEN COUNT(*) = 2 THEN 'HIT'
         ELSE 'NO HIT'
       END AS KET_QUA
FROM (
    SELECT T.V_TAG_NAME
    FROM FSI_RT_AL_WLS_RESPONSE T
    WHERE T.N_GRP_MSG_ID = :N_GRP_MSG_ID
      AND T.N_WEBSERVICE_ID = 2
      AND T.V_TAG_NAME IN ('58A', '42A')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</si>
  <si>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58A, 42A</t>
  </si>
  <si>
    <t>1. Đẩy giao dịch vào API Post Message với trường thông tin 58D, 42D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</si>
  <si>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{2:I740MCOBVNVXXXXXN}
{3:{108:MT740TEST0003}}
{4:
:20:ATR2607240003
:40F:URR LATEST VERSION
:58D:/BFICCUHH
SCBLSGSG
:32B:USD50000,
:41A:SCBLSGSG
BY PAYMENT
:42C:AT SIGHT
:42D:/BFICCUHH
SCBLSGSG
-}{5:{MAC:00000000}{CHK:1A2B3C4D5E6F}}</t>
  </si>
  <si>
    <t>2. Hệ thống trả kết quả: HIT với Webservice Identifier loại chủ thể Entity và không HIT với chủ thể Individual, Vessel, Aircraft, Port
Câu query kiểm tra kết quả (KET_QUA = HIT):
SELECT CASE
         WHEN COUNT(*) = 2 THEN 'HIT'
         ELSE 'NO HIT'
       END AS KET_QUA
FROM (
    SELECT T.V_TAG_NAME
    FROM FSI_RT_AL_WLS_RESPONSE T
    WHERE T.N_GRP_MSG_ID = :N_GRP_MSG_ID
      AND T.N_WEBSERVICE_ID = 2
      AND T.V_TAG_NAME IN ('58D', '42D')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</si>
  <si>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MT740.05</t>
  </si>
  <si>
    <t>Sàng lọc giao dịch MT 740 - Country and City</t>
  </si>
  <si>
    <t>1. Đẩy giao dịch vào API Post Message với trường thông tin 59R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</si>
  <si>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t>{1:F01SCBLSGSGAXXX0000000000}
{2:I740MCOBVNVXXXXXN}
{3:{108:MT740TEST0004}}
{4:
:20:ATR2607240004
:40F:URR LATEST VERSION
:59N:SUNRISE IMPORT EXPORT PTE LTD
:59S:18 MARINA BOULEVARD
:59T:SINGAPORE</t>
    </r>
    <r>
      <rPr>
        <sz val="11"/>
        <color rgb="FFFF0000"/>
        <rFont val="Times New Roman"/>
      </rPr>
      <t xml:space="preserve">
:59R:IR</t>
    </r>
    <r>
      <rPr>
        <sz val="11"/>
        <color rgb="FF000000"/>
        <rFont val="Times New Roman"/>
      </rPr>
      <t xml:space="preserve">
:32B:USD50000,
:41A:SCBLSGSG
BY PAYMENT
-}{5:{MAC:00000000}{CHK:1A2B3C4D5E6F}}</t>
    </r>
  </si>
  <si>
    <t>2. Hệ thống trả kết quả: HIT với Webservice Country and City
Câu query kiểm tra kết quả (KET_QUA = HIT):
SELECT CASE
         WHEN COUNT(*) = 1 THEN 'HIT'
         ELSE 'NO HIT'
       END AS KET_QUA
FROM (
    SELECT T.V_TAG_NAME
    FROM FSI_RT_AL_WLS_RESPONSE T
    WHERE T.N_GRP_MSG_ID = :N_GRP_MSG_ID
      AND T.N_WEBSERVICE_ID = 3
      AND T.V_TAG_NAME = '59R'
    GROUP BY T.V_TAG_NAME
    HAVING COUNT(CASE WHEN T.V_MATCHED_LIST_NAME = 'Blacklisted Country' THEN 1 END) &gt; 0
);</t>
  </si>
  <si>
    <t>Nhóm tag quét giống nhau (Country and city - Danh sách Quốc gia Knock-out): 59R</t>
  </si>
  <si>
    <t>MT740.06</t>
  </si>
  <si>
    <t>Sàng lọc giao dịch MT 740 - Narrative - All</t>
  </si>
  <si>
    <t>1. Đẩy giao dịch vào API Post Message với trường thông tin 42M, 71D, 72Z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</si>
  <si>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{1:F01SCBLSGSGAXXX0000000000}
{2:I740MCOBVNVXXXXXN}
{3:{108:MT740TEST0005}}
{4:
:20:ATR2607240005
:40F:URR LATEST VERSION
:32B:USD50000,
:41A:SCBLSGSG
BY PAYMENT
:42M:</t>
    </r>
    <r>
      <rPr>
        <sz val="11"/>
        <color rgb="FFFF0000"/>
        <rFont val="Times New Roman"/>
      </rPr>
      <t xml:space="preserve">0099887766
</t>
    </r>
    <r>
      <rPr>
        <sz val="11"/>
        <color rgb="FF000000"/>
        <rFont val="Times New Roman"/>
      </rPr>
      <t>:71D:</t>
    </r>
    <r>
      <rPr>
        <sz val="11"/>
        <color rgb="FFFF0000"/>
        <rFont val="Times New Roman"/>
      </rPr>
      <t xml:space="preserve">0099887766
</t>
    </r>
    <r>
      <rPr>
        <sz val="11"/>
        <color rgb="FF000000"/>
        <rFont val="Times New Roman"/>
      </rPr>
      <t>:72Z:</t>
    </r>
    <r>
      <rPr>
        <sz val="11"/>
        <color rgb="FFFF0000"/>
        <rFont val="Times New Roman"/>
      </rPr>
      <t xml:space="preserve">0099887766
</t>
    </r>
    <r>
      <rPr>
        <sz val="11"/>
        <color rgb="FF000000"/>
        <rFont val="Times New Roman"/>
      </rPr>
      <t>-}{5:{MAC:00000000}{CHK:1A2B3C4D5E6F}}</t>
    </r>
  </si>
  <si>
    <t>2. Hệ thống trả kết quả: HIT với Webservice Narrative loại chủ thể Individual, Entity, Port, Vessel, Aircraft
Câu query kiểm tra kết quả (KET_QUA = HIT):
SELECT CASE
         WHEN COUNT(*) = 3 THEN 'HIT'
         ELSE 'NO HIT'
       END AS KET_QUA
FROM (
    SELECT T.V_TAG_NAME
    FROM FSI_RT_AL_WLS_RESPONSE T
    WHERE T.N_GRP_MSG_ID = :N_GRP_MSG_ID
      AND T.N_WEBSERVICE_ID = 4
      AND T.V_TAG_NAME IN ('42M', '71D', '72Z')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</si>
  <si>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42M, 71D, 72Z</t>
  </si>
  <si>
    <t>Sàng lọc giao dịch MT 760</t>
  </si>
  <si>
    <t>MT760</t>
  </si>
  <si>
    <t>Sàng lọc giao dịch MT 760 - Identifier, Name and Address, Country and City - Entity</t>
  </si>
  <si>
    <t>1. Đẩy giao dịch vào API Post Message với trường thông tin Basic Header Block, Application Header - Input, 52A(Sequence B), 59E(Sequence B), 56A(Sequence B), 57A(Sequence B), 41F(Sequence B), 58A(Sequence B), 52A(Sequence C), 57A(Sequence C), 41F(Sequence 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</si>
  <si>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{2:I760BFICCUHHXXXXN}
{3:{108:MT760TEST0001}}
{4:
:15A:
:27:1/1
:22A:ISCO
:15B:
:20:GTE2607240001
:30:260415
:22D:DGAR
:40C:URDG
:23B:FIXD
:52A:BFICCUHH
:59E:BFICCUHH
:56A:BFICCUHH
:57A:BFICCUHH
:32B:USD50000,
:41F:BFICCUHH
BY PAYMENT
:77U:GUARANTEE TERMS AND CONDITIONS AS PER STANDARD FORM
:58A:BFICCUHH
:15C:
:22D:DGAR
:40C:URDG
:23B:FIXD
:52A:BFICCUHH
:32B:USD50000,
:57A:BFICCUHH
:41F:BFICCUHH
BY PAYMENT
:45L:UNDERLYING TRADE CONTRACT NO 2026-001
-}{5:{MAC:00000000}{CHK:1A2B3C4D5E6F}}</t>
  </si>
  <si>
    <t>2. Hệ thống trả kết quả: HIT với Webservice Identifier, Name and Address, Country and City loại chủ thể Entity; đồng thời HIT danh sách Quốc gia Knock-out (quốc gia cấm vận) và không HIT với chủ thể Individual, Vessel, Aircraft
Câu query kiểm tra kết quả (KET_QUA = HIT):
SELECT CASE
         WHEN COUNT(*) = 3 THEN 'HIT'
         ELSE 'NO HIT'
       END AS KET_QUA
FROM (
    SELECT T.N_WEBSERVICE_ID
    FROM FSI_RT_AL_WLS_RESPONSE T
    WHERE T.N_GRP_MSG_ID = :N_GRP_MSG_ID
      AND T.N_WEBSERVICE_ID IN (1, 2, 3)
      AND T.V_TAG_NAME IN ('Basic Header Block', 'Application Header - Input', '52A(Sequence B)
    GROUP BY T.N_WEBSERVICE_ID
    HAVING COUNT(DISTINCT T.V_TAG_NAME) = 2
       AND COUNT(CASE WHEN UPPER(NVL(T.V_MATCHED_TYPE,DECODE(T.V_MATCHED_LIST_NAME,'Blacklisted Country','ENTITY','N/A'))) = 'ENTITY' THEN 1 END) &gt; 0
       AND COUNT(CASE WHEN UPPER(T.V_MATCHED_TYPE) = 'INDIVIDUAL' THEN 1 END) = 0
       AND COUNT(CASE WHEN UPPER(T.V_MATCHED_TYPE) = 'VESSEL' THEN 1 END) = 0
       AND COUNT(CASE WHEN UPPER(T.V_MATCHED_TYPE) = 'AIRCRAFT' THEN 1 END) = 0
);</t>
  </si>
  <si>
    <t>Nhóm tag quét giống nhau (Identifier, Name and Address, Country and City - Entity): Basic Header Block, Application Header - Input, 52A(Sequence B), 59E(Sequence B), 56A(Sequence B), 57A(Sequence B), 41F(Sequence B), 58A(Sequence B), 52A(Sequence C), 57A(Sequence C), 41F(Sequence C)</t>
  </si>
  <si>
    <t>{1:F01MCOBVNVXAXXX0000000000}
{2:O7601201260724BFICCUHHAXXX00010000012607241201N}
{3:{108:MT760TEST0007}}
{4:
:15A:
:27:1/1
:22A:ISCO
:15B:
:20:GTE2607240007
:30:260415
:22D:DGAR
:40C:URDG
:23B:FIXD
:52A:SCBLSGSG
:59E:SCBLSGSG
:56A:SCBLSGSG
:57A:SCBLSGSG
:32B:USD50000,
:41F:SCBLSGSG
BY PAYMENT
:77U:GUARANTEE TERMS AND CONDITIONS AS PER STANDARD FORM
:58A:SCBLSGSG
:15C:
:22D:DGAR
:40C:URDG
:23B:FIXD
:52A:SCBLSGSG
:32B:USD50000,
:57A:SCBLSGSG
:41F:SCBLSGSG
BY PAYMENT
:45L:UNDERLYING TRADE CONTRACT NO 2026-001
-}{5:{MAC:00000000}{CHK:1A2B3C4D5E6F}}</t>
  </si>
  <si>
    <t>Sàng lọc giao dịch MT 760 - Name and Address - Entity</t>
  </si>
  <si>
    <t>1. Đẩy giao dịch vào API Post Message với trường thông tin 50N(Sequence B), 51N(Sequence B), 52D(Sequence B), 59N(Sequence B), 56D(Sequence B), 57D(Sequence B), 41G(Sequence B), 58D(Sequence B), 50N(Sequence C), 51N(Sequence C), 52D(Sequence C), 59N(Sequence C), 57D(Sequence C), 41G(Sequence 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</si>
  <si>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 xml:space="preserve">{1:F01SCBLSGSGAXXX0000000000}
{2:I760MCOBVNVXXXXXN}
{3:{108:MT760TEST0002}}
{4:
:15A:
:27:1/1
:22A:ISCO
:15B:
:20:GTE2607240002
:30:260415
:22D:DGAR
:40C:URDG
:23B:FIXD
</t>
    </r>
    <r>
      <rPr>
        <sz val="11"/>
        <color rgb="FFFF0000"/>
        <rFont val="Times New Roman"/>
      </rPr>
      <t xml:space="preserve">:50N:SUMMIT EMBER
</t>
    </r>
    <r>
      <rPr>
        <sz val="11"/>
        <color rgb="FF000000"/>
        <rFont val="Times New Roman"/>
      </rPr>
      <t xml:space="preserve">:50S:12 NGUYEN HUE STREET
:50T:HO CHI MINH CITY
</t>
    </r>
    <r>
      <rPr>
        <sz val="11"/>
        <color rgb="FFFF0000"/>
        <rFont val="Times New Roman"/>
      </rPr>
      <t xml:space="preserve">:50R:IR
:51N:SUMMIT EMBER
</t>
    </r>
    <r>
      <rPr>
        <sz val="11"/>
        <color rgb="FF000000"/>
        <rFont val="Times New Roman"/>
      </rPr>
      <t xml:space="preserve">:51S:25 LE LOI STREET
:51T:HANOI
</t>
    </r>
    <r>
      <rPr>
        <sz val="11"/>
        <color rgb="FFFF0000"/>
        <rFont val="Times New Roman"/>
      </rPr>
      <t xml:space="preserve">:51R:IR
:52D:SUMMIT EMBER
:59N:SUMMIT EMBER
</t>
    </r>
    <r>
      <rPr>
        <sz val="11"/>
        <color rgb="FF000000"/>
        <rFont val="Times New Roman"/>
      </rPr>
      <t xml:space="preserve">:59S:18 MARINA BOULEVARD
:59T:SINGAPORE
</t>
    </r>
    <r>
      <rPr>
        <sz val="11"/>
        <color rgb="FFFF0000"/>
        <rFont val="Times New Roman"/>
      </rPr>
      <t xml:space="preserve">:59R:IR
:56D:SUMMIT EMBER
:57D:SUMMIT EMBER
</t>
    </r>
    <r>
      <rPr>
        <sz val="11"/>
        <color rgb="FF000000"/>
        <rFont val="Times New Roman"/>
      </rPr>
      <t xml:space="preserve">:32B:USD50000,
</t>
    </r>
    <r>
      <rPr>
        <sz val="11"/>
        <color rgb="FFFF0000"/>
        <rFont val="Times New Roman"/>
      </rPr>
      <t xml:space="preserve">:41G:SUMMIT EMBER
</t>
    </r>
    <r>
      <rPr>
        <sz val="11"/>
        <color rgb="FF000000"/>
        <rFont val="Times New Roman"/>
      </rPr>
      <t xml:space="preserve">BY PAYMENT
:77U:GUARANTEE TERMS AND CONDITIONS AS PER STANDARD FORM
</t>
    </r>
    <r>
      <rPr>
        <sz val="11"/>
        <color rgb="FFFF0000"/>
        <rFont val="Times New Roman"/>
      </rPr>
      <t xml:space="preserve">:58D:SUMMIT EMBER
</t>
    </r>
    <r>
      <rPr>
        <sz val="11"/>
        <color rgb="FF000000"/>
        <rFont val="Times New Roman"/>
      </rPr>
      <t xml:space="preserve">:15C:
:22D:DGAR
:40C:URDG
:23B:FIXD
</t>
    </r>
    <r>
      <rPr>
        <sz val="11"/>
        <color rgb="FFFF0000"/>
        <rFont val="Times New Roman"/>
      </rPr>
      <t xml:space="preserve">:50N:SUMMIT EMBER
</t>
    </r>
    <r>
      <rPr>
        <sz val="11"/>
        <color rgb="FF000000"/>
        <rFont val="Times New Roman"/>
      </rPr>
      <t xml:space="preserve">:50S:12 NGUYEN HUE STREET
:50T:HO CHI MINH CITY
:50R:IR
</t>
    </r>
    <r>
      <rPr>
        <sz val="11"/>
        <color rgb="FFFF0000"/>
        <rFont val="Times New Roman"/>
      </rPr>
      <t xml:space="preserve">:51N:SUMMIT EMBER
</t>
    </r>
    <r>
      <rPr>
        <sz val="11"/>
        <color rgb="FF000000"/>
        <rFont val="Times New Roman"/>
      </rPr>
      <t xml:space="preserve">:51S:25 LE LOI STREET
:51T:HANOI
:51R:IR
</t>
    </r>
    <r>
      <rPr>
        <sz val="11"/>
        <color rgb="FFFF0000"/>
        <rFont val="Times New Roman"/>
      </rPr>
      <t xml:space="preserve">:52D:SUMMIT EMBER
:59N:SUMMIT EMBER
</t>
    </r>
    <r>
      <rPr>
        <sz val="11"/>
        <color rgb="FF000000"/>
        <rFont val="Times New Roman"/>
      </rPr>
      <t xml:space="preserve">:59S:18 MARINA BOULEVARD
:59T:SINGAPORE
:59R:IR
:32B:USD50000,
</t>
    </r>
    <r>
      <rPr>
        <sz val="11"/>
        <color rgb="FFFF0000"/>
        <rFont val="Times New Roman"/>
      </rPr>
      <t xml:space="preserve">:57D:SUMMIT EMBER
:41G:SUMMIT EMBER
</t>
    </r>
    <r>
      <rPr>
        <sz val="11"/>
        <color rgb="FF000000"/>
        <rFont val="Times New Roman"/>
      </rPr>
      <t>BY PAYMENT
:45L:UNDERLYING TRADE CONTRACT NO 2026-001
-}{5:{MAC:00000000}{CHK:1A2B3C4D5E6F}}</t>
    </r>
  </si>
  <si>
    <r>
      <rPr>
        <sz val="11"/>
        <color rgb="FF000000"/>
        <rFont val="Times New Roman"/>
      </rPr>
      <t xml:space="preserve">2. Hệ thống trả kết quả: HIT với Webservice Name and Address loại chủ thể Entity và không HIT với chủ thể Individual, Vessel, Aircraft
Câu query kiểm tra kết quả (KET_QUA = HIT):
SELECT CASE
         WHEN COUNT(*) = 0 THEN 'HIT'
         ELSE 'NO HIT'
       END AS KET_QUA
FROM (
    SELECT T.V_TAG_NAME
    FROM FSI_RT_AL_WLS_RESPONSE T
    WHERE T.N_GRP_MSG_ID = :N_GRP_MSG_ID
      AND T.N_WEBSERVICE_ID = 1
      AND T.V_TAG_NAME IN ('50N(Sequence B)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t>
    </r>
    <r>
      <rPr>
        <sz val="11"/>
        <color rgb="FFFF0000"/>
        <rFont val="Times New Roman"/>
      </rPr>
      <t xml:space="preserve">AND COUNT(CASEWHEN T.V_TAG_NAME = '50N(Sequence B)' AND UPPER(TRIM(T.V_RULE_NAME)) LIKE '%E001C%' THEN  END ) &gt; 0
AND COUNT( CASE WHEN T.V_TAG_NAME = '51N(Sequence B)' AND UPPER(TRIM(T.V_RULE_NAME)) LIKE '%E001C%' THEN 1 END) &gt; 0 )
AND COUNT(CASEWHEN T.V_TAG_NAME = '59N(Sequence B)' AND UPPER(TRIM(T.V_RULE_NAME)) LIKE '%E001C%' THEN  END ) &gt; 0
AND COUNT( CASE WHEN T.V_TAG_NAME = '50N(Sequence C)' AND UPPER(TRIM(T.V_RULE_NAME)) LIKE '%E001C%' THEN 1 END) &gt; 0 )
AND COUNT(CASEWHEN T.V_TAG_NAME = '59N(Sequence C)' AND UPPER(TRIM(T.V_RULE_NAME)) LIKE '%E001C%' THEN  END ) &gt; 0
AND COUNT( CASE WHEN T.V_TAG_NAME = '51N(Sequence C)' AND UPPER(TRIM(T.V_RULE_NAME)) LIKE '%E001C%' THEN 1 END) &gt; 0 )
</t>
    </r>
    <r>
      <rPr>
        <sz val="11"/>
        <color rgb="FF000000"/>
        <rFont val="Times New Roman"/>
      </rPr>
      <t>);</t>
    </r>
  </si>
  <si>
    <t>Nhóm tag quét giống nhau (Name and Address - Entity): 50N(Sequence B), 51N(Sequence B), 52D(Sequence B), 59N(Sequence B), 56D(Sequence B), 57D(Sequence B), 41G(Sequence B), 58D(Sequence B), 50N(Sequence C), 51N(Sequence C), 52D(Sequence C), 59N(Sequence C), 57D(Sequence C), 41G(Sequence C)</t>
  </si>
  <si>
    <t>Sàng lọc giao dịch MT 760 - Name and Address - Individual, Entity</t>
  </si>
  <si>
    <t>1. Đẩy giao dịch vào API Post Message với trường thông tin 24G(Sequence B), 24G(Sequence 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</si>
  <si>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 xml:space="preserve">{1:F01SCBLSGSGAXXX0000000000}
{2:I760MCOBVNVXXXXXN}
{3:{108:MT760TEST0003}}
{4:
:15A:
:27:1/1
:22A:ISCO
:15B:
:20:GTE2607240003
:30:260415
:22D:DGAR
:40C:URDG
:23B:FIXD
:52A:SCBLSGSG
:32B:USD50000,
:77U:GUARANTEE TERMS AND CONDITIONS AS PER STANDARD FORM
:24G:OTHR
</t>
    </r>
    <r>
      <rPr>
        <sz val="11"/>
        <color rgb="FFFF0000"/>
        <rFont val="Times New Roman"/>
      </rPr>
      <t xml:space="preserve">SUMMIT EMBER
</t>
    </r>
    <r>
      <rPr>
        <sz val="11"/>
        <color rgb="FF000000"/>
        <rFont val="Times New Roman"/>
      </rPr>
      <t xml:space="preserve">:15C:
:22D:DGAR
:40C:URDG
:23B:FIXD
:32B:USD50000,
:45L:UNDERLYING TRADE CONTRACT NO 2026-001
:24G:OTHR
</t>
    </r>
    <r>
      <rPr>
        <sz val="11"/>
        <color rgb="FFFF0000"/>
        <rFont val="Times New Roman"/>
      </rPr>
      <t xml:space="preserve">SUMMIT EMBER
</t>
    </r>
    <r>
      <rPr>
        <sz val="11"/>
        <color rgb="FF000000"/>
        <rFont val="Times New Roman"/>
      </rPr>
      <t>-}{5:{MAC:00000000}{CHK:1A2B3C4D5E6F}}</t>
    </r>
  </si>
  <si>
    <t>2. Hệ thống trả kết quả: HIT với Webservice Name and Address loại chủ thể Individual, Entity và không HIT với chủ thể Vessel, Aircraft, Port
Câu query kiểm tra kết quả (KET_QUA = HIT):
SELECT CASE
         WHEN COUNT(*) = 1 THEN 'HIT'
         ELSE 'NO HIT'
       END AS KET_QUA
FROM (
    SELECT T.V_TAG_NAME
    FROM FSI_RT_AL_WLS_RESPONSE T
    WHERE T.N_GRP_MSG_ID = :N_GRP_MSG_ID
      AND T.N_WEBSERVICE_ID = 1
      AND T.V_TAG_NAME IN ('24G(Sequence B)
    GROUP BY T.V_TAG_NAME
    HAVING COUNT(CASE WHEN UPPER(T.V_MATCHED_TYPE) = 'ENTITY' THEN 1 END) &gt; 0
       AND COUNT(CASE WHEN UPPER(T.V_MATCHED_TYPE) = 'INDIVIDUAL' THEN 1 END) &gt; 0
       AND COUNT(CASE WHEN UPPER(T.V_MATCHED_TYPE) = 'VESSEL' THEN 1 END) = 0
       AND COUNT(CASE WHEN UPPER(T.V_MATCHED_TYPE) = 'AIRCRAFT' THEN 1 END) = 0
);</t>
  </si>
  <si>
    <t>Nhóm tag quét giống nhau (Name and Address - Individual, Entity): 24G(Sequence B), 24G(Sequence C)</t>
  </si>
  <si>
    <t>MT760.05</t>
  </si>
  <si>
    <t>Sàng lọc giao dịch MT 760 - Identifier - Entity</t>
  </si>
  <si>
    <t>1. Đẩy giao dịch vào API Post Message với trường thông tin 52A(Sequence B), 56A(Sequence B), 57A(Sequence B), 58A(Sequence B), 52A(Sequence C), 57A(Sequence 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</si>
  <si>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{2:I760MCOBVNVXXXXXN}
{3:{108:MT760TEST0004}}
{4:
:15A:
:27:1/1
:22A:ISCO
:15B:
:20:GTE2607240004
:30:260415
:22D:DGAR
:40C:URDG
:23B:FIXD
:52A:/BFICCUHH
SCBLSGSG
:56A:/BFICCUHH
SCBLSGSG
:57A:/BFICCUHH
SCBLSGSG
:32B:USD50000,
:77U:GUARANTEE TERMS AND CONDITIONS AS PER STANDARD FORM
:58A:/BFICCUHH
SCBLSGSG
:15C:
:22D:DGAR
:40C:URDG
:23B:FIXD
:52A:/BFICCUHH
SCBLSGSG
:32B:USD50000,
:57A:/BFICCUHH
SCBLSGSG
:45L:UNDERLYING TRADE CONTRACT NO 2026-001
-}{5:{MAC:00000000}{CHK:1A2B3C4D5E6F}}</t>
  </si>
  <si>
    <t>2. Hệ thống trả kết quả: HIT với Webservice Identifier loại chủ thể Entity và không HIT với chủ thể Individual, Vessel, Aircraft, Port
Câu query kiểm tra kết quả (KET_QUA = HIT):
SELECT CASE
         WHEN COUNT(*) = 6 THEN 'HIT'
         ELSE 'NO HIT'
       END AS KET_QUA
FROM (
    SELECT T.V_TAG_NAME
    FROM FSI_RT_AL_WLS_RESPONSE T
    WHERE T.N_GRP_MSG_ID = :N_GRP_MSG_ID
      AND T.N_WEBSERVICE_ID = 2
      AND T.V_TAG_NAME IN ( '52A(Sequence B)', '56A(Sequence B)', '57A(Sequence B)', '58A(Sequence B)', '52A(Sequence C)', '57A(Sequence C)')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);x`</t>
  </si>
  <si>
    <t>Nhóm tag quét giống nhau (Identifier - Entity): 52A(Sequence B), 56A(Sequence B), 57A(Sequence B), 58A(Sequence B), 52A(Sequence C), 57A(Sequence C)</t>
  </si>
  <si>
    <t>1. Đẩy giao dịch vào API Post Message với trường thông tin 52D(Sequence B), 56D(Sequence B), 57D(Sequence B), 58D(Sequence B), 52D(Sequence C), 57D(Sequence 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</si>
  <si>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{2:I760MCOBVNVXXXXXN}
{3:{108:MT760TEST0004}}
{4:
:15A:
:27:1/1
:22A:ISCO
:15B:
:20:GTE2607240004
:30:260415
:22D:DGAR
:40C:URDG
:23B:FIXD
:52D:/BFICCUHH
SCBLSGSG
:56D:/BFICCUHH
SCBLSGSG
:57D:/BFICCUHH
SCBLSGSG
:32B:USD50000,
:77U:GUARANTEE TERMS AND CONDITIONS AS PER STANDARD FORM
:58D:/BFICCUHH
SCBLSGSG
:15C:
:22D:DGAR
:40C:URDG
:23B:FIXD
:52D:/BFICCUHH
SCBLSGSG
:32B:USD50000,
:57D:/BFICCUHH
SCBLSGSG
:45L:UNDERLYING TRADE CONTRACT NO 2026-001
-}{5:{MAC:00000000}{CHK:1A2B3C4D5E6F}}</t>
  </si>
  <si>
    <t>2. Hệ thống trả kết quả: HIT với Webservice Identifier loại chủ thể Entity và không HIT với chủ thể Individual, Vessel, Aircraft, Port
Câu query kiểm tra kết quả (KET_QUA = HIT):
SELECT CASE
         WHEN COUNT(*) = 6 THEN 'HIT'
         ELSE 'NO HIT'
       END AS KET_QUA
FROM (
    SELECT T.V_TAG_NAME
    FROM FSI_RT_AL_WLS_RESPONSE T
    WHERE T.N_GRP_MSG_ID = :N_GRP_MSG_ID
      AND T.N_WEBSERVICE_ID = 2
      AND T.V_TAG_NAME IN ('52D(Sequence B)', '56D(Sequence B)', '57D(Sequence B)', '58D(Sequence B)', '52D(Sequence C)', '57D(Sequence C)')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</si>
  <si>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MT760.06</t>
  </si>
  <si>
    <t>Sàng lọc giao dịch MT 760 - Country and City</t>
  </si>
  <si>
    <t>1. Đẩy giao dịch vào API Post Message với trường thông tin 50R(Sequence B), 51R(Sequence B), 59R(Sequence B), 50R(Sequence C), 51R(Sequence C), 59R(Sequence 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</si>
  <si>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t>{1:F01SCBLSGSGAXXX0000000000}
{2:I760MCOBVNVXXXXXN}
{3:{108:MT760TEST0005}}
{4:
:15A:
:27:1/1
:22A:ISCO
:15B:
:20:GTE2607240005
:30:260415
:22D:DGAR
:40C:URDG
:23B:FIXD
:50N:MEKONG TRADING JOINT STOCK CO
:50S:12 NGUYEN HUE STREET
:50T:HO CHI MINH CITY</t>
    </r>
    <r>
      <rPr>
        <sz val="11"/>
        <color rgb="FFFF0000"/>
        <rFont val="Times New Roman"/>
        <charset val="1"/>
      </rPr>
      <t xml:space="preserve">
:50R:IR</t>
    </r>
    <r>
      <rPr>
        <sz val="11"/>
        <color rgb="FF000000"/>
        <rFont val="Times New Roman"/>
        <charset val="1"/>
      </rPr>
      <t xml:space="preserve">
:51N:DELTA HOLDINGS COMPANY LIMITED
:51S:25 LE LOI STREET
:51T:HANOI</t>
    </r>
    <r>
      <rPr>
        <sz val="11"/>
        <color rgb="FFFF0000"/>
        <rFont val="Times New Roman"/>
        <charset val="1"/>
      </rPr>
      <t xml:space="preserve">
:51R:IR</t>
    </r>
    <r>
      <rPr>
        <sz val="11"/>
        <color rgb="FF000000"/>
        <rFont val="Times New Roman"/>
        <charset val="1"/>
      </rPr>
      <t xml:space="preserve">
:52A:SCBLSGSG
:59N:SUNRISE IMPORT EXPORT PTE LTD
:59S:18 MARINA BOULEVARD
:59T:SINGAPORE</t>
    </r>
    <r>
      <rPr>
        <sz val="11"/>
        <color rgb="FFFF0000"/>
        <rFont val="Times New Roman"/>
        <charset val="1"/>
      </rPr>
      <t xml:space="preserve">
:59R:IR</t>
    </r>
    <r>
      <rPr>
        <sz val="11"/>
        <color rgb="FF000000"/>
        <rFont val="Times New Roman"/>
        <charset val="1"/>
      </rPr>
      <t xml:space="preserve">
:32B:USD50000,
:77U:GUARANTEE TERMS AND CONDITIONS AS PER STANDARD FORM
:15C:
:22D:DGAR
:40C:URDG
:23B:FIXD
:50N:MEKONG TRADING JOINT STOCK CO
:50S:12 NGUYEN HUE STREET
:50T:HO CHI MINH CITY</t>
    </r>
    <r>
      <rPr>
        <sz val="11"/>
        <color rgb="FFFF0000"/>
        <rFont val="Times New Roman"/>
        <charset val="1"/>
      </rPr>
      <t xml:space="preserve">
:50R:IR</t>
    </r>
    <r>
      <rPr>
        <sz val="11"/>
        <color rgb="FF000000"/>
        <rFont val="Times New Roman"/>
        <charset val="1"/>
      </rPr>
      <t xml:space="preserve">
:51N:DELTA HOLDINGS COMPANY LIMITED
:51S:25 LE LOI STREET
:51T:HANOI</t>
    </r>
    <r>
      <rPr>
        <sz val="11"/>
        <color rgb="FFFF0000"/>
        <rFont val="Times New Roman"/>
        <charset val="1"/>
      </rPr>
      <t xml:space="preserve">
:51R:IR</t>
    </r>
    <r>
      <rPr>
        <sz val="11"/>
        <color rgb="FF000000"/>
        <rFont val="Times New Roman"/>
        <charset val="1"/>
      </rPr>
      <t xml:space="preserve">
:59N:SUNRISE IMPORT EXPORT PTE LTD
:59S:18 MARINA BOULEVARD
:59T:SINGAPORE</t>
    </r>
    <r>
      <rPr>
        <sz val="11"/>
        <color rgb="FFFF0000"/>
        <rFont val="Times New Roman"/>
        <charset val="1"/>
      </rPr>
      <t xml:space="preserve">
:59R:IR</t>
    </r>
    <r>
      <rPr>
        <sz val="11"/>
        <color rgb="FF000000"/>
        <rFont val="Times New Roman"/>
        <charset val="1"/>
      </rPr>
      <t xml:space="preserve">
:32B:USD50000,
:45L:UNDERLYING TRADE CONTRACT NO 2026-001
-}{5:{MAC:00000000}{CHK:1A2B3C4D5E6F}}</t>
    </r>
  </si>
  <si>
    <t>2. Hệ thống trả kết quả: HIT với Webservice Country and City
Câu query kiểm tra kết quả (KET_QUA = HIT):
SELECT CASE
         WHEN COUNT(*) = 0 THEN 'HIT'
         ELSE 'NO HIT'
       END AS KET_QUA
FROM (
    SELECT T.V_TAG_NAME
    FROM FSI_RT_AL_WLS_RESPONSE T
    WHERE T.N_GRP_MSG_ID = :N_GRP_MSG_ID
      AND T.N_WEBSERVICE_ID = 3
      AND T.V_TAG_NAME IN ('50R(Sequence B)
    GROUP BY T.V_TAG_NAME
    HAVING COUNT(CASE WHEN T.V_MATCHED_LIST_NAME = 'Blacklisted Country' THEN 1 END) &gt; 0
);</t>
  </si>
  <si>
    <t>Nhóm tag quét giống nhau (Country and city - Danh sách Quốc gia Knock-out): 50R(Sequence B), 51R(Sequence B), 59R(Sequence B), 50R(Sequence C), 51R(Sequence C), 59R(Sequence C)</t>
  </si>
  <si>
    <t>MT760.07</t>
  </si>
  <si>
    <t>Sàng lọc giao dịch MT 760 - Narrative - All</t>
  </si>
  <si>
    <t>1. Đẩy giao dịch vào API Post Message với trường thông tin 72Z(Sequence A), 35G(Sequence B), 39F(Sequence B), 71D(Sequence B), 45C(Sequence B), 77U(Sequence B), 78(Sequence B), 39E(Sequence B), 45L(Sequence B), 35G(Sequence C), 39F(Sequence C), 71D(Sequence C), 45C(Sequence C), 77L(Sequence C), 78(Sequence C), 39E(Sequence C), 45L(Sequence 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</si>
  <si>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{1:F01SCBLSGSGAXXX0000000000}
{2:I760MCOBVNVXXXXXN}
{3:{108:MT760TEST0006}}
{4:
:15A:
:27:1/1
:22A:ISCO
:72Z:</t>
    </r>
    <r>
      <rPr>
        <sz val="11"/>
        <color rgb="FFFF0000"/>
        <rFont val="Times New Roman"/>
      </rPr>
      <t xml:space="preserve">0099887766
</t>
    </r>
    <r>
      <rPr>
        <sz val="11"/>
        <color rgb="FF000000"/>
        <rFont val="Times New Roman"/>
      </rPr>
      <t>:15B:
:20:GTE2607240006
:30:260415
:22D:DGAR
:40C:URDG
:23B:COND
:35G:</t>
    </r>
    <r>
      <rPr>
        <sz val="11"/>
        <color rgb="FFFF0000"/>
        <rFont val="Times New Roman"/>
      </rPr>
      <t xml:space="preserve">0099887766
</t>
    </r>
    <r>
      <rPr>
        <sz val="11"/>
        <color rgb="FF000000"/>
        <rFont val="Times New Roman"/>
      </rPr>
      <t>:52A:SCBLSGSG
:32B:USD50000,
:39F:</t>
    </r>
    <r>
      <rPr>
        <sz val="11"/>
        <color rgb="FFFF0000"/>
        <rFont val="Times New Roman"/>
      </rPr>
      <t xml:space="preserve">0099887766
</t>
    </r>
    <r>
      <rPr>
        <sz val="11"/>
        <color rgb="FF000000"/>
        <rFont val="Times New Roman"/>
      </rPr>
      <t>:71D:</t>
    </r>
    <r>
      <rPr>
        <sz val="11"/>
        <color rgb="FFFF0000"/>
        <rFont val="Times New Roman"/>
      </rPr>
      <t xml:space="preserve">0099887766
</t>
    </r>
    <r>
      <rPr>
        <sz val="11"/>
        <color rgb="FF000000"/>
        <rFont val="Times New Roman"/>
      </rPr>
      <t>:45C:</t>
    </r>
    <r>
      <rPr>
        <sz val="11"/>
        <color rgb="FFFF0000"/>
        <rFont val="Times New Roman"/>
      </rPr>
      <t xml:space="preserve">0099887766
</t>
    </r>
    <r>
      <rPr>
        <sz val="11"/>
        <color rgb="FF000000"/>
        <rFont val="Times New Roman"/>
      </rPr>
      <t>:77U:</t>
    </r>
    <r>
      <rPr>
        <sz val="11"/>
        <color rgb="FFFF0000"/>
        <rFont val="Times New Roman"/>
      </rPr>
      <t xml:space="preserve">0099887766
</t>
    </r>
    <r>
      <rPr>
        <sz val="11"/>
        <color rgb="FF000000"/>
        <rFont val="Times New Roman"/>
      </rPr>
      <t>:78:</t>
    </r>
    <r>
      <rPr>
        <sz val="11"/>
        <color rgb="FFFF0000"/>
        <rFont val="Times New Roman"/>
      </rPr>
      <t xml:space="preserve">0099887766
</t>
    </r>
    <r>
      <rPr>
        <sz val="11"/>
        <color rgb="FF000000"/>
        <rFont val="Times New Roman"/>
      </rPr>
      <t>:39E:</t>
    </r>
    <r>
      <rPr>
        <sz val="11"/>
        <color rgb="FFFF0000"/>
        <rFont val="Times New Roman"/>
      </rPr>
      <t xml:space="preserve">0099887766
</t>
    </r>
    <r>
      <rPr>
        <sz val="11"/>
        <color rgb="FF000000"/>
        <rFont val="Times New Roman"/>
      </rPr>
      <t>:45L:</t>
    </r>
    <r>
      <rPr>
        <sz val="11"/>
        <color rgb="FFFF0000"/>
        <rFont val="Times New Roman"/>
      </rPr>
      <t xml:space="preserve">0099887766
</t>
    </r>
    <r>
      <rPr>
        <sz val="11"/>
        <color rgb="FF000000"/>
        <rFont val="Times New Roman"/>
      </rPr>
      <t>:15C:
:22D:DGAR
:40C:URDG
:23B:COND
:35G:</t>
    </r>
    <r>
      <rPr>
        <sz val="11"/>
        <color rgb="FFFF0000"/>
        <rFont val="Times New Roman"/>
      </rPr>
      <t xml:space="preserve">0099887766
</t>
    </r>
    <r>
      <rPr>
        <sz val="11"/>
        <color rgb="FF000000"/>
        <rFont val="Times New Roman"/>
      </rPr>
      <t>:32B:USD50000,
:39F:</t>
    </r>
    <r>
      <rPr>
        <sz val="11"/>
        <color rgb="FFFF0000"/>
        <rFont val="Times New Roman"/>
      </rPr>
      <t xml:space="preserve">0099887766
</t>
    </r>
    <r>
      <rPr>
        <sz val="11"/>
        <color rgb="FF000000"/>
        <rFont val="Times New Roman"/>
      </rPr>
      <t>:71D:</t>
    </r>
    <r>
      <rPr>
        <sz val="11"/>
        <color rgb="FFFF0000"/>
        <rFont val="Times New Roman"/>
      </rPr>
      <t xml:space="preserve">0099887766
</t>
    </r>
    <r>
      <rPr>
        <sz val="11"/>
        <color rgb="FF000000"/>
        <rFont val="Times New Roman"/>
      </rPr>
      <t>:45C:</t>
    </r>
    <r>
      <rPr>
        <sz val="11"/>
        <color rgb="FFFF0000"/>
        <rFont val="Times New Roman"/>
      </rPr>
      <t xml:space="preserve">0099887766
</t>
    </r>
    <r>
      <rPr>
        <sz val="11"/>
        <color rgb="FF000000"/>
        <rFont val="Times New Roman"/>
      </rPr>
      <t>:77L:</t>
    </r>
    <r>
      <rPr>
        <sz val="11"/>
        <color rgb="FFFF0000"/>
        <rFont val="Times New Roman"/>
      </rPr>
      <t xml:space="preserve">0099887766
</t>
    </r>
    <r>
      <rPr>
        <sz val="11"/>
        <color rgb="FF000000"/>
        <rFont val="Times New Roman"/>
      </rPr>
      <t>:78:</t>
    </r>
    <r>
      <rPr>
        <sz val="11"/>
        <color rgb="FFFF0000"/>
        <rFont val="Times New Roman"/>
      </rPr>
      <t xml:space="preserve">0099887766
</t>
    </r>
    <r>
      <rPr>
        <sz val="11"/>
        <color rgb="FF000000"/>
        <rFont val="Times New Roman"/>
      </rPr>
      <t>:39E:</t>
    </r>
    <r>
      <rPr>
        <sz val="11"/>
        <color rgb="FFFF0000"/>
        <rFont val="Times New Roman"/>
      </rPr>
      <t xml:space="preserve">0099887766
</t>
    </r>
    <r>
      <rPr>
        <sz val="11"/>
        <color rgb="FF000000"/>
        <rFont val="Times New Roman"/>
      </rPr>
      <t>:45L:</t>
    </r>
    <r>
      <rPr>
        <sz val="11"/>
        <color rgb="FFFF0000"/>
        <rFont val="Times New Roman"/>
      </rPr>
      <t xml:space="preserve">0099887766
</t>
    </r>
    <r>
      <rPr>
        <sz val="11"/>
        <color rgb="FF000000"/>
        <rFont val="Times New Roman"/>
      </rPr>
      <t>-}{5:{MAC:00000000}{CHK:1A2B3C4D5E6F}}</t>
    </r>
  </si>
  <si>
    <t>2. Hệ thống trả kết quả: HIT với Webservice Narrative loại chủ thể Individual, Entity, Port, Vessel, Aircraft
Câu query kiểm tra kết quả (KET_QUA = HIT):
SELECT CASE
         WHEN COUNT(*) = 0 THEN 'HIT'
         ELSE 'NO HIT'
       END AS KET_QUA
FROM (
    SELECT T.V_TAG_NAME
    FROM FSI_RT_AL_WLS_RESPONSE T
    WHERE T.N_GRP_MSG_ID = :N_GRP_MSG_ID
      AND T.N_WEBSERVICE_ID = 4
      AND T.V_TAG_NAME IN ('72Z(Sequence A)
    GROUP BY T.V_TAG_NAME
    HAVING COUNT(CASE WHEN UPPER(T.V_MATCHED_TYPE) = 'ENTITY' THEN 1 END) &gt; 0
       AND COUNT(CASE WHEN UPPER(T.V_MATCHED_TYPE) = 'INDIVIDUAL' THEN 1 END) &gt; 0
       AND COUNT(CASE WHEN UPPER(T.V_MATCHED_TYPE) = 'VESSEL' THEN 1 END) &gt; 0
       AND COUNT(CASE WHEN UPPER(T.V_MATCHED_TYPE) = 'AIRCRAFT' THEN 1 END) &gt; 0
       AND COUNT(CASE WHEN UPPER(T.V_MATCHED_TYPE) = 'PORT' THEN 1 END) &gt; 0
       AND COUNT(CASE WHEN UPPER(T.V_MATCHED_TYPE) = 'STK' THEN 1 END) &gt; 0
);</t>
  </si>
  <si>
    <t>Nhóm tag quét giống nhau (Narrative or Free Text Information - All): 72Z(Sequence A), 35G(Sequence B), 39F(Sequence B), 71D(Sequence B), 45C(Sequence B), 77U(Sequence B), 78(Sequence B), 39E(Sequence B), 45L(Sequence B), 35G(Sequence C), 39F(Sequence C), 71D(Sequence C), 45C(Sequence C), 77L(Sequence C), 78(Sequence C), 39E(Sequence C), 45L(Sequence C)</t>
  </si>
  <si>
    <t>Sàng lọc giao dịch MT 767</t>
  </si>
  <si>
    <t>MT767</t>
  </si>
  <si>
    <t>Sàng lọc giao dịch MT 767 - Identifier, Name and Address, Country and City - Entity</t>
  </si>
  <si>
    <t>1. Đẩy giao dịch vào API Post Message với trường thông tin Basic Header Block, Application Header - Input, 52A(Sequence B), 59E(Sequence 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</si>
  <si>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{1:F01BFICCUHHAXXX0000000000}
{2:I767BFICCUHHXXXXN}
{3:{108:MT767TEST0001}}
{4:
:15A:
:27:1/1
:21:LC26001234567890
:22A:ISSU
:15B:
:20:GAM2607240001
:26E:1
:30:260415
:52A:BFICCUHH
:59E:BFICCUHH
-}{5:{MAC:00000000}{CHK:1A2B3C4D5E6F}}</t>
  </si>
  <si>
    <t>Nhóm tag quét giống nhau (Identifier, Name and Address, Country and City - Entity): Basic Header Block, Application Header - Input, 52A(Sequence B), 59E(Sequence B)</t>
  </si>
  <si>
    <t>{1:F01MCOBVNVXAXXX0000000000}
{2:O7671201260724BFICCUHHAXXX00010000012607241201N}
{3:{108:MT767TEST0007}}
{4:
:15A:
:27:1/1
:21:LC26001234567890
:22A:ISSU
:15B:
:20:GAM2607240007
:26E:1
:30:260415
:52A:SCBLSGSG
:59E:SCBLSGSG
-}{5:{MAC:00000000}{CHK:1A2B3C4D5E6F}}</t>
  </si>
  <si>
    <t>Sàng lọc giao dịch MT 767 - Name and Address - Entity</t>
  </si>
  <si>
    <t>1. Đẩy giao dịch vào API Post Message với trường thông tin 52D(Sequence B), 59N(Sequence B), 59N(Sequence 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</si>
  <si>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 xml:space="preserve">{1:F01SCBLSGSGAXXX0000000000}
{2:I767MCOBVNVXXXXXN}
{3:{108:MT767TEST0002}}
{4:
:15A:
:27:1/1
:21:LC26001234567890
:22A:ISCA
:15B:
:20:GAM2607240002
:26E:1
:30:260415
</t>
    </r>
    <r>
      <rPr>
        <sz val="11"/>
        <color rgb="FFFF0000"/>
        <rFont val="Times New Roman"/>
      </rPr>
      <t xml:space="preserve">:52D:SUMMIT EMBER
:59N:SUMMIT EMBER
</t>
    </r>
    <r>
      <rPr>
        <sz val="11"/>
        <color rgb="FF000000"/>
        <rFont val="Times New Roman"/>
      </rPr>
      <t xml:space="preserve">:59S:18 MARINA BOULEVARD
:59T:SINGAPORE
:59R:IR
:15C:
</t>
    </r>
    <r>
      <rPr>
        <sz val="11"/>
        <color rgb="FFFF0000"/>
        <rFont val="Times New Roman"/>
      </rPr>
      <t xml:space="preserve">:59N:SUMMIT EMBER
</t>
    </r>
    <r>
      <rPr>
        <sz val="11"/>
        <color rgb="FF000000"/>
        <rFont val="Times New Roman"/>
      </rPr>
      <t>:59S:18 MARINA BOULEVARD
:59T:SINGAPORE
:59R: IR
-}{5:{MAC:00000000}{CHK:1A2B3C4D5E6F}}</t>
    </r>
  </si>
  <si>
    <t xml:space="preserve">2. Hệ thống trả kết quả: HIT với Webservice Name and Address loại chủ thể Entity và không HIT với chủ thể Individual, Vessel, Aircraft
Câu query kiểm tra kết quả (KET_QUA = HIT):
SELECT CASE
         WHEN COUNT(*) = 0 THEN 'HIT'
         ELSE 'NO HIT'
       END AS KET_QUA
FROM (
    SELECT T.V_TAG_NAME
    FROM FSI_RT_AL_WLS_RESPONSE T
    WHERE T.N_GRP_MSG_ID = :N_GRP_MSG_ID
      AND T.N_WEBSERVICE_ID = 1
      AND T.V_TAG_NAME IN ('52D(Sequence B)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COUNT(CASEWHEN T.V_TAG_NAME = '59N(Sequence B)' AND UPPER(TRIM(T.V_RULE_NAME)) LIKE '%E001C%' THEN  END ) &gt; 0
AND COUNT( CASE WHEN T.V_TAG_NAME = '59N(Sequence C)' AND UPPER(TRIM(T.V_RULE_NAME)) LIKE '%E001C%' THEN 1 END) &gt; 0 )
;
</t>
  </si>
  <si>
    <t>Nhóm tag quét giống nhau (Name and Address - Entity): 52D(Sequence B), 59N(Sequence B), 59N(Sequence C)</t>
  </si>
  <si>
    <t>Sàng lọc giao dịch MT 767 - Name and Address - Individual, Entity</t>
  </si>
  <si>
    <r>
      <rPr>
        <sz val="11"/>
        <color rgb="FF000000"/>
        <rFont val="Times New Roman"/>
      </rPr>
      <t xml:space="preserve">{1:F01SCBLSGSGAXXX0000000000}
{2:I767MCOBVNVXXXXXN}
{3:{108:MT767TEST0003}}
{4:
:15A:
:27:1/1
:21:LC26001234567890
:22A:ISCA
:15B:
:20:GAM2607240003
:26E:1
:30:260415
:52A:SCBLSGSG
:24G:OTHR
</t>
    </r>
    <r>
      <rPr>
        <sz val="11"/>
        <color rgb="FFFF0000"/>
        <rFont val="Times New Roman"/>
      </rPr>
      <t xml:space="preserve">SUMMIT EMBER
</t>
    </r>
    <r>
      <rPr>
        <sz val="11"/>
        <color rgb="FF000000"/>
        <rFont val="Times New Roman"/>
      </rPr>
      <t xml:space="preserve">:15C:
:24G:OTHR
</t>
    </r>
    <r>
      <rPr>
        <sz val="11"/>
        <color rgb="FFFF0000"/>
        <rFont val="Times New Roman"/>
      </rPr>
      <t xml:space="preserve">SUMMIT EMBER
</t>
    </r>
    <r>
      <rPr>
        <sz val="11"/>
        <color rgb="FF000000"/>
        <rFont val="Times New Roman"/>
      </rPr>
      <t>-}{5:{MAC:00000000}{CHK:1A2B3C4D5E6F}}</t>
    </r>
  </si>
  <si>
    <t>MT767.05</t>
  </si>
  <si>
    <t>Sàng lọc giao dịch MT 767 - Identifier - Entity</t>
  </si>
  <si>
    <t>1. Đẩy giao dịch vào API Post Message với trường thông tin 52A(Sequence 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</si>
  <si>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{2:I767MCOBVNVXXXXXN}
{3:{108:MT767TEST0004}}
{4:
:15A:
:27:1/1
:21:LC26001234567890
:22A:ISSU
:15B:
:20:GAM2607240004
:26E:1
:30:260415
:52A:/BFICCUHH
SCBLSGSG
-}{5:{MAC:00000000}{CHK:1A2B3C4D5E6F}}</t>
  </si>
  <si>
    <t>2. Hệ thống trả kết quả: HIT với Webservice Identifier loại chủ thể Entity và không HIT với chủ thể Individual, Vessel, Aircraft, Port
Câu query kiểm tra kết quả (KET_QUA = HIT):
SELECT CASE
         WHEN COUNT(*) = 1 THEN 'HIT'
         ELSE 'NO HIT'
       END AS KET_QUA
FROM (
    SELECT T.V_TAG_NAME
    FROM FSI_RT_AL_WLS_RESPONSE T
    WHERE T.N_GRP_MSG_ID = :N_GRP_MSG_ID
      AND T.N_WEBSERVICE_ID = 2
      AND T.V_TAG_NAME = '52A(Sequence B)'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</si>
  <si>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Nhóm tag quét giống nhau (Identifier - Entity): 52A(Sequence B)</t>
  </si>
  <si>
    <t>MT768</t>
  </si>
  <si>
    <t>MT767.06</t>
  </si>
  <si>
    <t>1. Đẩy giao dịch vào API Post Message với trường thông tin 52D(Sequence B)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</si>
  <si>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t>{1:F01SCBLSGSGAXXX0000000000}
{2:I767MCOBVNVXXXXXN}
{3:{108:MT767TEST0004}}
{4:
:15A:
:27:1/1
:21:LC26001234567890
:22A:ISSU
:15B:
:20:GAM2607240004
:26E:1
:30:260415
:52D:/BFICCUHH
SCBLSGSG
-}{5:{MAC:00000000}{CHK:1A2B3C4D5E6F}}</t>
  </si>
  <si>
    <t>2. Hệ thống trả kết quả: HIT với Webservice Identifier loại chủ thể Entity và không HIT với chủ thể Individual, Vessel, Aircraft, Port
Câu query kiểm tra kết quả (KET_QUA = HIT):
SELECT CASE
         WHEN COUNT(*) = 1 THEN 'HIT'
         ELSE 'NO HIT'
       END AS KET_QUA
FROM (
    SELECT T.V_TAG_NAME
    FROM FSI_RT_AL_WLS_RESPONSE T
    WHERE T.N_GRP_MSG_ID = :N_GRP_MSG_ID
      AND T.N_WEBSERVICE_ID = 2
      AND T.V_TAG_NAME = '52D(Sequence B)'
    GROUP BY T.V_TAG_NAME
    HAVING COUNT(CASE WHEN UPPER(T.V_MATCHED_TYPE) = 'ENTITY' THEN 1 END) &gt; 0
       AND COUNT(CASE WHEN UPPER(T.V_MATCHED_TYPE) = 'INDIVIDUAL' THEN 1 END) = 0
       AND COUNT(CASE WHEN UPPER(T.V_MATCHED_TYPE) = 'VESSEL' THEN 1 END) = 0
       AND COUNT(CASE WHEN UPPER(T.V_MATCHED_TYPE) = 'AIRCRAFT' THEN 1 END) = 0
       AND COUNT(CASE WHEN UPPER(T.V_MATCHED_TYPE) = 'PORT' THEN 1 END) = 0
);</t>
  </si>
  <si>
    <t>MT767.07</t>
  </si>
  <si>
    <t>Sàng lọc giao dịch MT 767 - Country and City</t>
  </si>
  <si>
    <t>1. Đẩy giao dịch vào API Post Message với trường thông tin 59R(Sequence B), 59R(Sequence 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</si>
  <si>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 xml:space="preserve">{1:F01SCBLSGSGAXXX0000000000}
{2:I767MCOBVNVXXXXXN}
{3:{108:MT767TEST0005}}
{4:
:15A:
:27:1/1
:21:LC26001234567890
:22A:ISCA
:15B:
:20:GAM2607240005
:26E:1
:30:260415
:52A:SCBLSGSG
:59N:SUNRISE IMPORT EXPORT PTE LTD
:59S:18 MARINA BOULEVARD
:59T:SINGAPORE
</t>
    </r>
    <r>
      <rPr>
        <sz val="11"/>
        <color rgb="FFFF0000"/>
        <rFont val="Times New Roman"/>
      </rPr>
      <t xml:space="preserve">:59R:IR
</t>
    </r>
    <r>
      <rPr>
        <sz val="11"/>
        <color rgb="FF000000"/>
        <rFont val="Times New Roman"/>
      </rPr>
      <t xml:space="preserve">:15C:
:59N:SUNRISE IMPORT EXPORT PTE LTD
:59S:18 MARINA BOULEVARD
:59T:SINGAPORE
</t>
    </r>
    <r>
      <rPr>
        <sz val="11"/>
        <color rgb="FFFF0000"/>
        <rFont val="Times New Roman"/>
      </rPr>
      <t xml:space="preserve">:59R:IR
</t>
    </r>
    <r>
      <rPr>
        <sz val="11"/>
        <color rgb="FF000000"/>
        <rFont val="Times New Roman"/>
      </rPr>
      <t>-}{5:{MAC:00000000}{CHK:1A2B3C4D5E6F}}</t>
    </r>
  </si>
  <si>
    <t>2. Hệ thống trả kết quả: HIT với Webservice Country and City
Câu query kiểm tra kết quả (KET_QUA = HIT):
SELECT CASE
         WHEN COUNT(*) = 0 THEN 'HIT'
         ELSE 'NO HIT'
       END AS KET_QUA
FROM (
    SELECT T.V_TAG_NAME
    FROM FSI_RT_AL_WLS_RESPONSE T
    WHERE T.N_GRP_MSG_ID = :N_GRP_MSG_ID
      AND T.N_WEBSERVICE_ID = 3
      AND T.V_TAG_NAME IN ('59R(Sequence B)
    GROUP BY T.V_TAG_NAME
    HAVING COUNT(CASE WHEN T.V_MATCHED_LIST_NAME = 'Blacklisted Country' THEN 1 END) &gt; 0
 AND COUNT(CASEWHEN T.V_TAG_NAME = '59N(Sequence B)' AND UPPER(TRIM(T.V_RULE_NAME)) LIKE '%E001C%' THEN  END ) &gt; 0
AND COUNT( CASE WHEN T.V_TAG_NAME = '59N(Sequence C)' AND UPPER(TRIM(T.V_RULE_NAME)) LIKE '%E001C%' THEN 1 END) &gt; 0 );
);</t>
  </si>
  <si>
    <t>Nhóm tag quét giống nhau (Country and city - Danh sách Quốc gia Knock-out): 59R(Sequence B), 59R(Sequence C)</t>
  </si>
  <si>
    <t>MT767.08</t>
  </si>
  <si>
    <t>Sàng lọc giao dịch MT 767 - Narrative - All</t>
  </si>
  <si>
    <t>1. Đẩy giao dịch vào API Post Message với trường thông tin 72Z(Sequence A), 35G(Sequence B), 77U(Sequence B), 35G(Sequence C), 77L(Sequence C) có dữ liệu nằm trong các danh sách theo dõi
&lt;Link URL hệ thống AML ở môi trường SIT&gt;
Path: transaction-screening/v1/transaction-screening
Method: POST
Request Header:
Authorization: Basic Auth
(Username and password to login to application)
Content-Type: text/plain
Accept: */*
Request Body: cột Test Datas
2. Kiểm tra thông tin Event của giao dịch theo đường dẫn Financial Services Analytical Applications Transactions Filtering &gt; Financial services Sanctions Pack &gt; Transaction Filtering Alert List
Chọn Filter, nhập thông tin tìm kiếm theo AlertID, nhấn &lt;Search&gt;
Click mã AlertID và kiểm tra các thông tin
Hoặc kiểm tra các thông tin trong file kết quả truy vấn Database</t>
  </si>
  <si>
    <r>
      <rPr>
        <sz val="11"/>
        <color rgb="FF000000"/>
        <rFont val="Times New Roman"/>
      </rPr>
      <t>{1:F01SCBLSGSGAXXX0000000000}
{2:I767MCOBVNVXXXXXN}
{3:{108:MT767TEST0006}}
{4:
:15A:
:27:1/1
:21:LC26001234567890
:22A:ISCA
:72Z:</t>
    </r>
    <r>
      <rPr>
        <sz val="11"/>
        <color rgb="FFFF0000"/>
        <rFont val="Times New Roman"/>
      </rPr>
      <t xml:space="preserve">0099887766
</t>
    </r>
    <r>
      <rPr>
        <sz val="11"/>
        <color rgb="FF000000"/>
        <rFont val="Times New Roman"/>
      </rPr>
      <t>:15B:
:20:GAM2607240006
:26E:1
:30:260415
:52A:SCBLSGSG
:35G:</t>
    </r>
    <r>
      <rPr>
        <sz val="11"/>
        <color rgb="FFFF0000"/>
        <rFont val="Times New Roman"/>
      </rPr>
      <t xml:space="preserve">0099887766
</t>
    </r>
    <r>
      <rPr>
        <sz val="11"/>
        <color rgb="FF000000"/>
        <rFont val="Times New Roman"/>
      </rPr>
      <t>:77U:</t>
    </r>
    <r>
      <rPr>
        <sz val="11"/>
        <color rgb="FFFF0000"/>
        <rFont val="Times New Roman"/>
      </rPr>
      <t xml:space="preserve">0099887766
</t>
    </r>
    <r>
      <rPr>
        <sz val="11"/>
        <color rgb="FF000000"/>
        <rFont val="Times New Roman"/>
      </rPr>
      <t>:15C:
:35G:</t>
    </r>
    <r>
      <rPr>
        <sz val="11"/>
        <color rgb="FFFF0000"/>
        <rFont val="Times New Roman"/>
      </rPr>
      <t xml:space="preserve">0099887766
</t>
    </r>
    <r>
      <rPr>
        <sz val="11"/>
        <color rgb="FF000000"/>
        <rFont val="Times New Roman"/>
      </rPr>
      <t>:77L:</t>
    </r>
    <r>
      <rPr>
        <sz val="11"/>
        <color rgb="FFFF0000"/>
        <rFont val="Times New Roman"/>
      </rPr>
      <t xml:space="preserve">0099887766
</t>
    </r>
    <r>
      <rPr>
        <sz val="11"/>
        <color rgb="FF000000"/>
        <rFont val="Times New Roman"/>
      </rPr>
      <t>-}{5:{MAC:00000000}{CHK:1A2B3C4D5E6F}}</t>
    </r>
  </si>
  <si>
    <t>Nhóm tag quét giống nhau (Narrative or Free Text Information - All): 72Z(Sequence A), 35G(Sequence B), 77U(Sequence B), 35G(Sequence C), 77L(Sequence C)</t>
  </si>
  <si>
    <t>[Review] MT707 THIẾU 1 TC: Identifier - Entity cho 57B (mapping MT707 có 57B - Party Identifier, tương ứng MT700.06). Sau khi bổ sung TC 57B + gán ID dòng option D + gộp 45B vào Narrative thì cần đánh lại ID theo thứ tự MT700 (.01 → .09).</t>
  </si>
  <si>
    <t>[Review] Test Step thiếu dấu phẩy giữa 'Application Header - Input' và '52A'.</t>
  </si>
  <si>
    <t>[Review] So với chuẩn MT700.03 (đã update): (1) Test data 50W vẫn là VN → 50E không thỏa rule E001C, cần IR như 50R/59R; (2) Expected result thiếu dòng 'Và tag 50E, 50N, 59N HIT với rule [E001C] Part-standardized name exact, country'; (3) Query: IN list ghi '50N','59N' không có (Sequence) trong khi điều kiện E001C ghi '50N(Sequence B)','59N(Sequence C)' → lệch; thiếu điều kiện E001C cho '50E(Sequence A)'; còn lỗi cú pháp CASEWHEN / THEN END (kế thừa MT700.03).</t>
  </si>
  <si>
    <t>[Review] TC Identifier option D: (1) chưa có Test case ID (theo MT700 là MT707.05); (2) Notes vẫn ghi 52A, 42A, 58A, 53A, 57A → phải là 52D, 42D, 58D, 53D, 57D; (3) Query IN list vẫn là tag option A → phải là '52D','42D','58D','53D','57D'.</t>
  </si>
  <si>
    <t>[Review] Narrative - All thiếu 42P (mapping MT707 tick Narrative) và 45B (chuẩn MT700.09 đã gộp 45A vào Narrative, bỏ TC Stop Keywords) ở Test Step, Test Datas, Query (COUNT phải = 11) và Notes.</t>
  </si>
  <si>
    <t>[Review] TC 45B - Stop Keywords: theo chuẩn MT700 đã bỏ TC riêng này, gộp 45B vào TC Narrative - All (dòng 32). Title 'Narrative - All' cũng không khớp nội dung Stop Keywords.</t>
  </si>
  <si>
    <t>[Review] MT710 không thiếu TC. Cần: gán ID cho 2 dòng option D (dòng 39) và 57B (dòng 40), gộp 45A vào Narrative (bỏ dòng 44) rồi đánh lại ID theo thứ tự MT700 (.01 → .09).</t>
  </si>
  <si>
    <t>[Review] So với chuẩn MT700.03: (1) Test data 50W:VN, 50R:VN, 59R:SG → cần đổi thành IR để thỏa rule E001C; (2) Expected result thiếu dòng 'Và tag 50E, 50N, 59N HIT với rule [E001C] Part-standardized name exact, country'; (3) Query thiếu điều kiện E001C cho 50E(Sequence A), 50N(Sequence B), 59N(Sequence C).</t>
  </si>
  <si>
    <t>[Review] TC Identifier option D: (1) chưa có ID (theo MT700 là MT710.05); (2) Notes vẫn ghi 52A, 51A, 42A, 58A, 53A, 57A → phải là 52D, 51D, 42D, 58D, 53D, 57D; (3) Query IN list vẫn là tag option A → đổi sang option D; (4) Test data sai tag: ':42D:AT SIGHT' phải là ':42C:AT SIGHT', và ':42A:/BFICCUHH SCBLSGSG' phải là ':42D:'.</t>
  </si>
  <si>
    <t>[Review] TC 57B: (1) chưa có ID (theo MT700 là MT710.06); (2) Notes ghi nhóm 52A, 51A... không đúng với TC 57B; (3) Query sai → phải là IN ('57B') và COUNT(*) = 1; (4) Test data cùng lỗi ':42D:AT SIGHT' / ':42A:' như dòng 39.</t>
  </si>
  <si>
    <t>[Review] Narrative - All: (1) có 78D nhưng mapping MT710 không có trường 78D (78D chỉ có ở MT720) → thừa ở Test Step, Test Datas, Query, Notes; (2) thiếu 42P và 45A (chuẩn MT700.09 gộp 45A, bỏ TC Stop Keywords).</t>
  </si>
  <si>
    <t>[Review] TC 45A - Stop Keywords: theo chuẩn MT700 đã bỏ TC riêng này, gộp 45A vào TC Narrative - All (dòng 43). Title 'Narrative - All' cũng không khớp nội dung Stop Keywords.</t>
  </si>
  <si>
    <t>[Review] MT720 không thiếu TC. ID MT720.04 đang bị trùng ở 3 dòng (49, 50, 51) → đánh lại .04 / .05 / .06, các TC sau lùi thành .07 Country, .08 Port, .09 Narrative.</t>
  </si>
  <si>
    <t>[Review] Expected result + Query copy nhầm từ TC Name and Address (Webservice = 1, tag 52D, 50E...). Theo MT700.02 phải là: HIT Identifier, Name and Address, Country and City; N_WEBSERVICE_ID IN (1, 2, 3); V_TAG_NAME = 'Application Header - Output'; COUNT(*) = 3; COUNT(DISTINCT) = 1.</t>
  </si>
  <si>
    <t>[Review] Query: (1) thừa dấu ')' sau điều kiện 50N(Sequence B) → đóng subquery sớm, SQL lỗi; (2) IN list ghi '50E','50N','59N' không có (Sequence), lệch với điều kiện E001C; (3) lỗi cú pháp CASEWHEN / THEN END (kế thừa MT700.03).</t>
  </si>
  <si>
    <t>[Review] ID trùng MT720.04 (theo MT700 là MT720.05); Notes vẫn ghi 52A, 42A, 58A, 57A → phải là 52D, 42D, 58D, 57D.</t>
  </si>
  <si>
    <t>[Review] ID trùng MT720.04 (theo MT700 là MT720.06); Query IN ('52B') sai → phải là '57B'.</t>
  </si>
  <si>
    <t>[Review] (1) Thiếu 42P (mapping MT720 tick Narrative) ở Test Step, Test Datas, Query, Notes; (2) Notes thiếu 45A; (3) Query IN list có 10 tag nhưng COUNT(*) = 9 (bổ sung 42P thì phải = 11); (4) Test data 45A = 'EMBER SUMMIT' khác chuẩn MT700.09 (0099887766).</t>
  </si>
  <si>
    <t>[Review] MT740 không thiếu TC (MT740 không có trường 57B và Port). ID MT740.04 trùng ở 2 dòng (59, 60) → đánh lại .04 / .05, Country .06, Narrative .07.</t>
  </si>
  <si>
    <t>[Review] Query: IN list ghi '59N' nhưng điều kiện E001C ghi '59N(Sequence A)' → lệch (MT700.03 dùng tên có Sequence ở cả 2 chỗ); lỗi cú pháp CASEWHEN / THEN END (kế thừa MT700.03).</t>
  </si>
  <si>
    <t>[Review] ID trùng MT740.04 (theo MT700 là MT740.05); Notes vẫn ghi 58A, 42A → phải là 58D, 42D.</t>
  </si>
  <si>
    <t>[Review] Thiếu 42P (mapping MT740 tick Narrative) ở Test Step, Test Datas, Query (COUNT phải = 4) và Notes.</t>
  </si>
  <si>
    <t>[Review] MT760 không thiếu TC (MT760 không có trường 57B và Port; có thêm TC 24G Individual, Entity). ID MT760.05 trùng ở 2 dòng (68, 69) → cần đánh lại ID các TC từ dòng 69.</t>
  </si>
  <si>
    <t>[Review] Query bị cắt: IN list chỉ còn 'Basic Header Block', 'Application Header - Input', '52A(Sequence B) (thiếu nháy đóng và 8 tag còn lại); COUNT(DISTINCT) = 2 → phải = 11.</t>
  </si>
  <si>
    <t>[Review] (1) Expected result thiếu dòng 'Và tag 50N, 51N, 59N (Sequence B, C) HIT với rule [E001C]...' như MT700.03; (2) Query bị cắt: IN list chỉ còn '50N(Sequence B) (thiếu nháy đóng + 13 tag), COUNT(*) = 0 → phải = 14; thừa dấu ')' sau các điều kiện 51N(Sequence B), 50N(Sequence C), 51N(Sequence C); lỗi CASEWHEN / THEN END.</t>
  </si>
  <si>
    <t>[Review] Query bị cắt: IN list chỉ còn '24G(Sequence B) (thiếu nháy đóng + 24G(Sequence C)); COUNT(*) = 1 → phải = 2; Expected ghi không HIT Port nhưng query không kiểm tra PORT.</t>
  </si>
  <si>
    <t>[Review] Query có ký tự thừa 'x`' sau dấu ';' cuối câu.</t>
  </si>
  <si>
    <t>[Review] ID trùng MT760.05 (theo MT700 là MT760.06); Notes trống → cần ghi 52D, 56D, 57D, 58D (Sequence B), 52D, 57D (Sequence C).</t>
  </si>
  <si>
    <t>[Review] Query bị cắt: IN list chỉ còn '50R(Sequence B) (thiếu nháy đóng + 5 tag); COUNT(*) = 0 → phải = 6.</t>
  </si>
  <si>
    <t>[Review] Query bị cắt: IN list chỉ còn '72Z(Sequence A) (thiếu nháy đóng + 16 tag); COUNT(*) = 0 → phải = 17.</t>
  </si>
  <si>
    <t>[Review] Query bị cắt: IN list chỉ còn ..., '52A(Sequence B) (thiếu nháy đóng + 59E(Sequence B)); COUNT(DISTINCT) = 2 → phải = 4.</t>
  </si>
  <si>
    <t>[Review] (1) Expected result thiếu dòng 'Và tag 59N (Sequence B, C) HIT với rule [E001C]...'; (2) Query bị cắt: IN list chỉ còn '52D(Sequence B) (thiếu nháy đóng + 2 tag), COUNT(*) = 0 → phải = 3; lỗi CASEWHEN / THEN END; (3) Test data ':59R: IR' (Sequence C) có dấu cách thừa trước IR.</t>
  </si>
  <si>
    <t>[Review] Query bị cắt: IN list chỉ còn '24G(Sequence B) (thiếu nháy đóng + 24G(Sequence C)); COUNT(*) = 1 → phải = 2.</t>
  </si>
  <si>
    <t>[Review] Loại điện ghi MT768 → phải là MT767; Notes trống → cần ghi 52D(Sequence B).</t>
  </si>
  <si>
    <t>[Review] Query bị cắt: IN list chỉ còn '59R(Sequence B) (thiếu 59R(Sequence C)), COUNT(*) = 0 → phải = 2; chèn nhầm điều kiện E001C của 59N vào TC Country and City (MT700.07 không có); thừa ');' ở cuối.</t>
  </si>
  <si>
    <t>[Review] Query bị cắt: IN list chỉ còn '72Z(Sequence A) (thiếu nháy đóng + 4 tag); COUNT(*) = 0 → phải =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</si>
</sst>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d\-mmm\-yy;@"/>
    <numFmt numFmtId="165" formatCode="[$-409]0"/>
    <numFmt numFmtId="166" formatCode="0.0"/>
    <numFmt numFmtId="167" formatCode="[$-409]d\-mmm\-yy;@"/>
    <numFmt numFmtId="168" formatCode="d\-mmm\-yy;@"/>
  </numFmts>
  <fonts count="55">
    <font>
      <sz val="11"/>
      <color theme="1"/>
      <name val="Calibri"/>
      <family val="2"/>
      <charset val="1"/>
    </font>
    <font>
      <u/>
      <sz val="11"/>
      <color theme="10"/>
      <name val="Calibri"/>
      <family val="2"/>
      <charset val="1"/>
    </font>
    <font>
      <sz val="11"/>
      <color rgb="FF000000"/>
      <name val="Calibri"/>
      <family val="2"/>
      <charset val="1"/>
    </font>
    <font>
      <sz val="11"/>
      <name val="明朝"/>
      <family val="1"/>
      <charset val="128"/>
    </font>
    <font>
      <sz val="11"/>
      <name val="Tahoma"/>
      <family val="2"/>
      <charset val="1"/>
    </font>
    <font>
      <sz val="10"/>
      <name val="Tahoma"/>
      <family val="2"/>
      <charset val="1"/>
    </font>
    <font>
      <b/>
      <sz val="9"/>
      <color rgb="FF333399"/>
      <name val="Tahoma"/>
      <family val="2"/>
      <charset val="1"/>
    </font>
    <font>
      <b/>
      <sz val="9"/>
      <name val="Tahoma"/>
      <family val="2"/>
      <charset val="1"/>
    </font>
    <font>
      <b/>
      <sz val="26"/>
      <color rgb="FF008000"/>
      <name val="Tahoma"/>
      <family val="2"/>
      <charset val="1"/>
    </font>
    <font>
      <b/>
      <sz val="26"/>
      <name val="Tahoma"/>
      <family val="2"/>
      <charset val="1"/>
    </font>
    <font>
      <b/>
      <sz val="36"/>
      <color rgb="FF1F497D"/>
      <name val="Arial"/>
      <family val="2"/>
      <charset val="1"/>
    </font>
    <font>
      <b/>
      <sz val="9"/>
      <color rgb="FF0000FF"/>
      <name val="Tahoma"/>
      <family val="2"/>
      <charset val="1"/>
    </font>
    <font>
      <b/>
      <sz val="10"/>
      <color rgb="FF1F497D"/>
      <name val="Arial"/>
      <family val="2"/>
      <charset val="1"/>
    </font>
    <font>
      <b/>
      <sz val="10"/>
      <color rgb="FF44546A"/>
      <name val="Arial"/>
      <family val="2"/>
      <charset val="1"/>
    </font>
    <font>
      <sz val="10"/>
      <color rgb="FF1F497D"/>
      <name val="Arial"/>
      <family val="2"/>
      <charset val="1"/>
    </font>
    <font>
      <sz val="9"/>
      <color rgb="FF0000FF"/>
      <name val="Tahoma"/>
      <family val="2"/>
      <charset val="1"/>
    </font>
    <font>
      <sz val="9"/>
      <name val="Tahoma"/>
      <family val="2"/>
      <charset val="1"/>
    </font>
    <font>
      <sz val="10"/>
      <name val="Arial"/>
      <family val="2"/>
      <charset val="1"/>
    </font>
    <font>
      <b/>
      <sz val="14"/>
      <color rgb="FF1F497D"/>
      <name val="Arial"/>
      <family val="2"/>
      <charset val="1"/>
    </font>
    <font>
      <b/>
      <sz val="10"/>
      <color rgb="FF0000FF"/>
      <name val="Arial"/>
      <family val="2"/>
      <charset val="1"/>
    </font>
    <font>
      <b/>
      <sz val="10"/>
      <color rgb="FFFFFFFF"/>
      <name val="Arial"/>
      <family val="2"/>
      <charset val="1"/>
    </font>
    <font>
      <sz val="10"/>
      <color rgb="FF000000"/>
      <name val="Arial"/>
      <family val="2"/>
      <charset val="1"/>
    </font>
    <font>
      <sz val="10"/>
      <name val="Arial"/>
      <family val="2"/>
    </font>
    <font>
      <b/>
      <sz val="10"/>
      <name val="Arial"/>
      <family val="2"/>
      <charset val="1"/>
    </font>
    <font>
      <b/>
      <sz val="22"/>
      <name val="Arial"/>
      <family val="2"/>
      <charset val="1"/>
    </font>
    <font>
      <b/>
      <sz val="8"/>
      <name val="Arial"/>
      <family val="2"/>
      <charset val="1"/>
    </font>
    <font>
      <sz val="9"/>
      <color rgb="FF000000"/>
      <name val="Arial"/>
      <family val="2"/>
      <charset val="1"/>
    </font>
    <font>
      <sz val="9"/>
      <name val="Arial"/>
      <family val="2"/>
      <charset val="1"/>
    </font>
    <font>
      <b/>
      <sz val="11"/>
      <color rgb="FFFF0000"/>
      <name val="Arial"/>
      <family val="2"/>
      <charset val="1"/>
    </font>
    <font>
      <b/>
      <sz val="8"/>
      <color rgb="FF000000"/>
      <name val="Arial"/>
      <family val="2"/>
      <charset val="1"/>
    </font>
    <font>
      <i/>
      <sz val="10"/>
      <color rgb="FF000000"/>
      <name val="Arial"/>
      <family val="2"/>
      <charset val="1"/>
    </font>
    <font>
      <b/>
      <sz val="10"/>
      <color rgb="FF000000"/>
      <name val="Arial"/>
      <family val="2"/>
      <charset val="1"/>
    </font>
    <font>
      <b/>
      <sz val="12"/>
      <color rgb="FF1F497D"/>
      <name val="Times New Roman"/>
      <family val="1"/>
      <charset val="1"/>
    </font>
    <font>
      <b/>
      <sz val="12"/>
      <color rgb="FF000000"/>
      <name val="Times New Roman"/>
      <family val="1"/>
      <charset val="1"/>
    </font>
    <font>
      <sz val="12"/>
      <name val="Times New Roman"/>
      <family val="1"/>
      <charset val="1"/>
    </font>
    <font>
      <sz val="12"/>
      <color rgb="FF000000"/>
      <name val="Times New Roman"/>
      <family val="1"/>
      <charset val="1"/>
    </font>
    <font>
      <b/>
      <sz val="12"/>
      <name val="Times New Roman"/>
      <family val="1"/>
      <charset val="1"/>
    </font>
    <font>
      <b/>
      <sz val="12"/>
      <color theme="0"/>
      <name val="Times New Roman"/>
      <family val="1"/>
      <charset val="1"/>
    </font>
    <font>
      <b/>
      <sz val="12"/>
      <color rgb="FFFFFFFF"/>
      <name val="Times New Roman"/>
      <family val="1"/>
      <charset val="1"/>
    </font>
    <font>
      <b/>
      <sz val="11"/>
      <color theme="1"/>
      <name val="Calibri"/>
      <family val="2"/>
      <charset val="1"/>
    </font>
    <font>
      <sz val="11"/>
      <name val="Times New Roman"/>
      <charset val="1"/>
    </font>
    <font>
      <sz val="11"/>
      <color theme="1"/>
      <name val="Times New Roman"/>
      <charset val="1"/>
    </font>
    <font>
      <sz val="11"/>
      <color theme="1"/>
      <name val="Times New Roman"/>
      <family val="1"/>
      <charset val="1"/>
    </font>
    <font>
      <b/>
      <sz val="11"/>
      <color rgb="FF1F497D"/>
      <name val="Times New Roman"/>
      <charset val="1"/>
    </font>
    <font>
      <b/>
      <sz val="11"/>
      <color rgb="FFFFFFFF"/>
      <name val="Times New Roman"/>
      <charset val="1"/>
    </font>
    <font>
      <b/>
      <sz val="11"/>
      <color rgb="FF000000"/>
      <name val="Times New Roman"/>
      <charset val="1"/>
    </font>
    <font>
      <sz val="11"/>
      <color rgb="FF000000"/>
      <name val="Times New Roman"/>
      <charset val="1"/>
    </font>
    <font>
      <b/>
      <sz val="11"/>
      <color rgb="FF1F3864"/>
      <name val="Times New Roman"/>
      <charset val="1"/>
    </font>
    <font>
      <b/>
      <sz val="10"/>
      <name val="Times New Roman"/>
      <charset val="1"/>
    </font>
    <font>
      <sz val="11"/>
      <color rgb="FFFF0000"/>
      <name val="Times New Roman"/>
      <charset val="1"/>
    </font>
    <font>
      <sz val="11"/>
      <color rgb="FF000000"/>
      <name val="Times New Roman"/>
    </font>
    <font>
      <sz val="11"/>
      <color rgb="FFFF0000"/>
      <name val="Times New Roman"/>
    </font>
    <font>
      <sz val="11"/>
      <color theme="1"/>
      <name val="Times New Roman"/>
    </font>
    <font>
      <b/>
      <sz val="11"/>
      <color rgb="FF1F3864"/>
      <name val="Times New Roman"/>
    </font>
    <font>
      <sz val="11"/>
      <name val="Times New Roman"/>
    </font>
  </fonts>
  <fills count="20">
    <fill>
      <patternFill patternType="none"/>
    </fill>
    <fill>
      <patternFill patternType="gray125"/>
    </fill>
    <fill>
      <patternFill patternType="solid">
        <fgColor rgb="FFFFFFFF"/>
        <bgColor rgb="FFFFF2CC"/>
      </patternFill>
    </fill>
    <fill>
      <patternFill patternType="solid">
        <fgColor rgb="FFCCFFCC"/>
        <bgColor rgb="FFDDEBF7"/>
      </patternFill>
    </fill>
    <fill>
      <patternFill patternType="solid">
        <fgColor rgb="FF2E75B6"/>
        <bgColor rgb="FF2F5597"/>
      </patternFill>
    </fill>
    <fill>
      <patternFill patternType="solid">
        <fgColor rgb="FFF8CBAD"/>
        <bgColor rgb="FFFFF2CC"/>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rgb="FFFFFF00"/>
        <bgColor rgb="FFFFFF00"/>
      </patternFill>
    </fill>
    <fill>
      <patternFill patternType="solid">
        <fgColor rgb="FF2F5597"/>
        <bgColor rgb="FF305496"/>
      </patternFill>
    </fill>
    <fill>
      <patternFill patternType="solid">
        <fgColor rgb="FF7030A0"/>
        <bgColor rgb="FF993366"/>
      </patternFill>
    </fill>
    <fill>
      <patternFill patternType="solid">
        <fgColor theme="9" tint="0.59959715567491678"/>
        <bgColor rgb="FFBDD7EE"/>
      </patternFill>
    </fill>
    <fill>
      <patternFill patternType="solid">
        <fgColor rgb="FFFFF2CC"/>
        <bgColor rgb="FFFFFFFF"/>
      </patternFill>
    </fill>
    <fill>
      <patternFill patternType="solid">
        <fgColor rgb="FF305496"/>
        <bgColor rgb="FF2F5597"/>
      </patternFill>
    </fill>
    <fill>
      <patternFill patternType="solid">
        <fgColor rgb="FFDDEBF7"/>
        <bgColor rgb="FFCCFFCC"/>
      </patternFill>
    </fill>
    <fill>
      <patternFill patternType="solid">
        <fgColor rgb="FFFFFF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6666"/>
        <bgColor indexed="64"/>
      </patternFill>
    </fill>
  </fills>
  <borders count="42">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8497B0"/>
      </left>
      <right style="thin">
        <color rgb="FF8497B0"/>
      </right>
      <top style="medium">
        <color rgb="FF8497B0"/>
      </top>
      <bottom style="thin">
        <color rgb="FF8497B0"/>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thin">
        <color rgb="FF8497B0"/>
      </left>
      <right style="thin">
        <color rgb="FF8497B0"/>
      </right>
      <top style="medium">
        <color rgb="FF8497B0"/>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medium">
        <color rgb="FF8497B0"/>
      </left>
      <right style="thin">
        <color rgb="FF8497B0"/>
      </right>
      <top style="thin">
        <color rgb="FF8497B0"/>
      </top>
      <bottom/>
      <diagonal/>
    </border>
    <border>
      <left style="medium">
        <color rgb="FF8497B0"/>
      </left>
      <right style="thin">
        <color rgb="FF8497B0"/>
      </right>
      <top/>
      <bottom style="thin">
        <color rgb="FF8497B0"/>
      </bottom>
      <diagonal/>
    </border>
    <border>
      <left style="thin">
        <color rgb="FF8497B0"/>
      </left>
      <right style="thin">
        <color rgb="FF8497B0"/>
      </right>
      <top style="thin">
        <color rgb="FF8497B0"/>
      </top>
      <bottom/>
      <diagonal/>
    </border>
    <border>
      <left style="medium">
        <color rgb="FF8497B0"/>
      </left>
      <right/>
      <top style="thin">
        <color rgb="FF8497B0"/>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s>
  <cellStyleXfs count="5">
    <xf numFmtId="0" fontId="0" fillId="0" borderId="0"/>
    <xf numFmtId="0" fontId="1" fillId="0" borderId="0"/>
    <xf numFmtId="164" fontId="2" fillId="0" borderId="0"/>
    <xf numFmtId="164" fontId="2" fillId="0" borderId="0"/>
    <xf numFmtId="164" fontId="3" fillId="0" borderId="0"/>
  </cellStyleXfs>
  <cellXfs count="239">
    <xf numFmtId="0" fontId="0" fillId="0" borderId="0" xfId="0"/>
    <xf numFmtId="164" fontId="20" fillId="4" borderId="8" xfId="0" applyNumberFormat="1" applyFont="1" applyFill="1" applyBorder="1" applyAlignment="1">
      <alignment horizontal="center" vertical="center" wrapText="1"/>
    </xf>
    <xf numFmtId="164" fontId="12" fillId="3" borderId="0" xfId="0" applyNumberFormat="1" applyFont="1" applyFill="1" applyAlignment="1">
      <alignment horizontal="left" vertical="center" wrapText="1"/>
    </xf>
    <xf numFmtId="164" fontId="4" fillId="2" borderId="0" xfId="0" applyNumberFormat="1" applyFont="1" applyFill="1" applyAlignment="1">
      <alignment vertical="center"/>
    </xf>
    <xf numFmtId="164" fontId="5" fillId="2" borderId="0" xfId="0" applyNumberFormat="1" applyFont="1" applyFill="1"/>
    <xf numFmtId="164" fontId="7" fillId="3" borderId="3" xfId="0" applyNumberFormat="1" applyFont="1" applyFill="1" applyBorder="1" applyAlignment="1">
      <alignment shrinkToFit="1"/>
    </xf>
    <xf numFmtId="164" fontId="7" fillId="3" borderId="0" xfId="0" applyNumberFormat="1" applyFont="1" applyFill="1" applyAlignment="1">
      <alignment shrinkToFit="1"/>
    </xf>
    <xf numFmtId="164" fontId="7" fillId="3" borderId="4" xfId="0" applyNumberFormat="1" applyFont="1" applyFill="1" applyBorder="1" applyAlignment="1">
      <alignment shrinkToFit="1"/>
    </xf>
    <xf numFmtId="164" fontId="9" fillId="3" borderId="3" xfId="0" applyNumberFormat="1" applyFont="1" applyFill="1" applyBorder="1" applyAlignment="1">
      <alignment horizontal="center" vertical="center" wrapText="1"/>
    </xf>
    <xf numFmtId="164" fontId="9" fillId="3" borderId="0" xfId="0" applyNumberFormat="1" applyFont="1" applyFill="1" applyAlignment="1">
      <alignment horizontal="center" vertical="center" wrapText="1"/>
    </xf>
    <xf numFmtId="164" fontId="9" fillId="3" borderId="4" xfId="0" applyNumberFormat="1" applyFont="1" applyFill="1" applyBorder="1" applyAlignment="1">
      <alignment horizontal="center" vertical="center" wrapText="1"/>
    </xf>
    <xf numFmtId="164" fontId="11" fillId="3" borderId="4" xfId="0" applyNumberFormat="1" applyFont="1" applyFill="1" applyBorder="1" applyAlignment="1">
      <alignment horizontal="center"/>
    </xf>
    <xf numFmtId="164" fontId="11" fillId="3" borderId="3" xfId="0" applyNumberFormat="1" applyFont="1" applyFill="1" applyBorder="1" applyAlignment="1">
      <alignment horizontal="left"/>
    </xf>
    <xf numFmtId="164" fontId="13" fillId="0" borderId="0" xfId="0" applyNumberFormat="1" applyFont="1" applyAlignment="1">
      <alignment horizontal="left" vertical="center" wrapText="1"/>
    </xf>
    <xf numFmtId="164" fontId="12" fillId="3" borderId="0" xfId="0" applyNumberFormat="1" applyFont="1" applyFill="1" applyAlignment="1">
      <alignment horizontal="left"/>
    </xf>
    <xf numFmtId="164" fontId="11" fillId="3" borderId="0" xfId="0" applyNumberFormat="1" applyFont="1" applyFill="1" applyAlignment="1">
      <alignment horizontal="left"/>
    </xf>
    <xf numFmtId="164" fontId="11" fillId="3" borderId="4" xfId="0" applyNumberFormat="1" applyFont="1" applyFill="1" applyBorder="1" applyAlignment="1">
      <alignment horizontal="left"/>
    </xf>
    <xf numFmtId="164" fontId="11" fillId="3" borderId="3" xfId="0" applyNumberFormat="1" applyFont="1" applyFill="1" applyBorder="1" applyAlignment="1">
      <alignment horizontal="left" vertical="center" wrapText="1"/>
    </xf>
    <xf numFmtId="164" fontId="14" fillId="3" borderId="0" xfId="0" applyNumberFormat="1" applyFont="1" applyFill="1" applyAlignment="1">
      <alignment horizontal="left" vertical="center" wrapText="1"/>
    </xf>
    <xf numFmtId="164" fontId="15" fillId="3" borderId="0" xfId="0" applyNumberFormat="1" applyFont="1" applyFill="1" applyAlignment="1">
      <alignment horizontal="left" vertical="center" wrapText="1"/>
    </xf>
    <xf numFmtId="164" fontId="15" fillId="3" borderId="4" xfId="0" applyNumberFormat="1" applyFont="1" applyFill="1" applyBorder="1" applyAlignment="1">
      <alignment horizontal="left" vertical="center" wrapText="1"/>
    </xf>
    <xf numFmtId="49" fontId="13" fillId="0" borderId="0" xfId="0" applyNumberFormat="1" applyFont="1" applyAlignment="1">
      <alignment horizontal="left" vertical="center" wrapText="1"/>
    </xf>
    <xf numFmtId="164" fontId="16" fillId="3" borderId="3" xfId="0" applyNumberFormat="1" applyFont="1" applyFill="1" applyBorder="1"/>
    <xf numFmtId="164" fontId="16" fillId="3" borderId="0" xfId="0" applyNumberFormat="1" applyFont="1" applyFill="1"/>
    <xf numFmtId="164" fontId="16" fillId="3" borderId="0" xfId="0" applyNumberFormat="1" applyFont="1" applyFill="1" applyAlignment="1">
      <alignment vertical="center"/>
    </xf>
    <xf numFmtId="164" fontId="16" fillId="3" borderId="4" xfId="0" applyNumberFormat="1" applyFont="1" applyFill="1" applyBorder="1" applyAlignment="1">
      <alignment vertical="center"/>
    </xf>
    <xf numFmtId="164" fontId="16" fillId="3" borderId="3" xfId="0" applyNumberFormat="1" applyFont="1" applyFill="1" applyBorder="1" applyAlignment="1">
      <alignment vertical="center"/>
    </xf>
    <xf numFmtId="164" fontId="16" fillId="3" borderId="5" xfId="0" applyNumberFormat="1" applyFont="1" applyFill="1" applyBorder="1" applyAlignment="1">
      <alignment vertical="center"/>
    </xf>
    <xf numFmtId="164" fontId="16" fillId="3" borderId="6" xfId="0" applyNumberFormat="1" applyFont="1" applyFill="1" applyBorder="1" applyAlignment="1">
      <alignment vertical="center"/>
    </xf>
    <xf numFmtId="164" fontId="16" fillId="3" borderId="7" xfId="0" applyNumberFormat="1" applyFont="1" applyFill="1" applyBorder="1" applyAlignment="1">
      <alignment vertical="center"/>
    </xf>
    <xf numFmtId="164" fontId="17" fillId="2" borderId="0" xfId="0" applyNumberFormat="1" applyFont="1" applyFill="1"/>
    <xf numFmtId="164" fontId="18" fillId="2" borderId="0" xfId="0" applyNumberFormat="1" applyFont="1" applyFill="1" applyAlignment="1">
      <alignment vertical="center"/>
    </xf>
    <xf numFmtId="164" fontId="19" fillId="2" borderId="0" xfId="0" applyNumberFormat="1" applyFont="1" applyFill="1"/>
    <xf numFmtId="165" fontId="17" fillId="2" borderId="9" xfId="0" applyNumberFormat="1" applyFont="1" applyFill="1" applyBorder="1" applyAlignment="1">
      <alignment horizontal="center" vertical="center" wrapText="1"/>
    </xf>
    <xf numFmtId="164" fontId="1" fillId="2" borderId="10" xfId="0" applyNumberFormat="1" applyFont="1" applyFill="1" applyBorder="1" applyAlignment="1">
      <alignment vertical="top" wrapText="1"/>
    </xf>
    <xf numFmtId="164" fontId="19" fillId="2" borderId="0" xfId="0" applyNumberFormat="1" applyFont="1" applyFill="1" applyAlignment="1">
      <alignment horizontal="left" vertical="center" wrapText="1"/>
    </xf>
    <xf numFmtId="164" fontId="21" fillId="2" borderId="0" xfId="0" applyNumberFormat="1" applyFont="1" applyFill="1"/>
    <xf numFmtId="164" fontId="17" fillId="2" borderId="9" xfId="0" applyNumberFormat="1" applyFont="1" applyFill="1" applyBorder="1" applyAlignment="1">
      <alignment horizontal="center" vertical="center" wrapText="1"/>
    </xf>
    <xf numFmtId="164" fontId="17" fillId="2" borderId="10" xfId="0" applyNumberFormat="1" applyFont="1" applyFill="1" applyBorder="1" applyAlignment="1">
      <alignment horizontal="center" vertical="center" wrapText="1"/>
    </xf>
    <xf numFmtId="166" fontId="17" fillId="2" borderId="10" xfId="0" applyNumberFormat="1" applyFont="1" applyFill="1" applyBorder="1" applyAlignment="1">
      <alignment horizontal="center" vertical="center" wrapText="1"/>
    </xf>
    <xf numFmtId="164" fontId="17" fillId="2" borderId="11" xfId="0" applyNumberFormat="1" applyFont="1" applyFill="1" applyBorder="1" applyAlignment="1">
      <alignment horizontal="center" vertical="center" wrapText="1"/>
    </xf>
    <xf numFmtId="167" fontId="23" fillId="2" borderId="0" xfId="0" applyNumberFormat="1" applyFont="1" applyFill="1" applyAlignment="1">
      <alignment vertical="center"/>
    </xf>
    <xf numFmtId="167" fontId="17" fillId="2" borderId="0" xfId="0" applyNumberFormat="1" applyFont="1" applyFill="1" applyAlignment="1">
      <alignment vertical="center"/>
    </xf>
    <xf numFmtId="168" fontId="17" fillId="2" borderId="0" xfId="0" applyNumberFormat="1" applyFont="1" applyFill="1" applyAlignment="1">
      <alignment vertical="center"/>
    </xf>
    <xf numFmtId="0" fontId="5" fillId="2" borderId="0" xfId="0" applyFont="1" applyFill="1" applyAlignment="1">
      <alignment vertical="center"/>
    </xf>
    <xf numFmtId="0" fontId="24" fillId="2" borderId="0" xfId="0" applyFont="1" applyFill="1" applyAlignment="1">
      <alignment vertical="center"/>
    </xf>
    <xf numFmtId="164" fontId="25" fillId="5" borderId="13" xfId="0" applyNumberFormat="1" applyFont="1" applyFill="1" applyBorder="1" applyAlignment="1">
      <alignment horizontal="left" vertical="center" wrapText="1"/>
    </xf>
    <xf numFmtId="164" fontId="25" fillId="5" borderId="14" xfId="0" applyNumberFormat="1" applyFont="1" applyFill="1" applyBorder="1" applyAlignment="1">
      <alignment horizontal="left" vertical="center" wrapText="1"/>
    </xf>
    <xf numFmtId="164" fontId="25" fillId="5" borderId="15" xfId="0" applyNumberFormat="1" applyFont="1" applyFill="1" applyBorder="1" applyAlignment="1">
      <alignment horizontal="left" vertical="center" wrapText="1"/>
    </xf>
    <xf numFmtId="164" fontId="25" fillId="5" borderId="17" xfId="0" applyNumberFormat="1" applyFont="1" applyFill="1" applyBorder="1" applyAlignment="1">
      <alignment vertical="center" wrapText="1"/>
    </xf>
    <xf numFmtId="164" fontId="25" fillId="5" borderId="18" xfId="0" applyNumberFormat="1" applyFont="1" applyFill="1" applyBorder="1" applyAlignment="1">
      <alignment vertical="center" wrapText="1"/>
    </xf>
    <xf numFmtId="164" fontId="25" fillId="5" borderId="19" xfId="0" applyNumberFormat="1" applyFont="1" applyFill="1" applyBorder="1" applyAlignment="1">
      <alignment vertical="center" wrapText="1"/>
    </xf>
    <xf numFmtId="164" fontId="27" fillId="2" borderId="21" xfId="0" applyNumberFormat="1" applyFont="1" applyFill="1" applyBorder="1" applyAlignment="1">
      <alignment horizontal="left" vertical="center" wrapText="1"/>
    </xf>
    <xf numFmtId="164" fontId="27" fillId="2" borderId="22" xfId="0" applyNumberFormat="1" applyFont="1" applyFill="1" applyBorder="1" applyAlignment="1">
      <alignment horizontal="left" vertical="center" wrapText="1"/>
    </xf>
    <xf numFmtId="167" fontId="26" fillId="2" borderId="19" xfId="0" applyNumberFormat="1" applyFont="1" applyFill="1" applyBorder="1" applyAlignment="1">
      <alignment horizontal="left" vertical="center" wrapText="1"/>
    </xf>
    <xf numFmtId="167" fontId="26" fillId="2" borderId="23" xfId="0" applyNumberFormat="1" applyFont="1" applyFill="1" applyBorder="1" applyAlignment="1">
      <alignment horizontal="left" vertical="center" wrapText="1"/>
    </xf>
    <xf numFmtId="167" fontId="26" fillId="2" borderId="24" xfId="0" applyNumberFormat="1" applyFont="1" applyFill="1" applyBorder="1" applyAlignment="1">
      <alignment horizontal="left" vertical="center" wrapText="1"/>
    </xf>
    <xf numFmtId="164" fontId="28" fillId="6" borderId="27" xfId="0" applyNumberFormat="1" applyFont="1" applyFill="1" applyBorder="1" applyAlignment="1">
      <alignment horizontal="center" vertical="center" wrapText="1"/>
    </xf>
    <xf numFmtId="164" fontId="28" fillId="6" borderId="28" xfId="0" applyNumberFormat="1" applyFont="1" applyFill="1" applyBorder="1" applyAlignment="1">
      <alignment horizontal="center" vertical="center" wrapText="1"/>
    </xf>
    <xf numFmtId="0" fontId="29" fillId="7" borderId="17" xfId="0" applyFont="1" applyFill="1" applyBorder="1" applyAlignment="1">
      <alignment horizontal="left" vertical="center"/>
    </xf>
    <xf numFmtId="0" fontId="26" fillId="2" borderId="29" xfId="0" applyFont="1" applyFill="1" applyBorder="1" applyAlignment="1">
      <alignment horizontal="left" vertical="center"/>
    </xf>
    <xf numFmtId="0" fontId="26" fillId="2" borderId="30" xfId="0" applyFont="1" applyFill="1" applyBorder="1" applyAlignment="1">
      <alignment horizontal="left" vertical="center"/>
    </xf>
    <xf numFmtId="0" fontId="26" fillId="2" borderId="31" xfId="0" applyFont="1" applyFill="1" applyBorder="1" applyAlignment="1">
      <alignment horizontal="left" vertical="center"/>
    </xf>
    <xf numFmtId="0" fontId="29" fillId="7" borderId="17" xfId="0" applyFont="1" applyFill="1" applyBorder="1" applyAlignment="1">
      <alignment vertical="center"/>
    </xf>
    <xf numFmtId="167" fontId="26" fillId="2" borderId="19" xfId="0" applyNumberFormat="1" applyFont="1" applyFill="1" applyBorder="1" applyAlignment="1">
      <alignment horizontal="left" vertical="center"/>
    </xf>
    <xf numFmtId="167" fontId="26" fillId="2" borderId="23" xfId="0" applyNumberFormat="1" applyFont="1" applyFill="1" applyBorder="1" applyAlignment="1">
      <alignment horizontal="left" vertical="center"/>
    </xf>
    <xf numFmtId="167" fontId="26" fillId="2" borderId="24" xfId="0" applyNumberFormat="1" applyFont="1" applyFill="1" applyBorder="1" applyAlignment="1">
      <alignment horizontal="left" vertical="center"/>
    </xf>
    <xf numFmtId="164" fontId="25" fillId="5" borderId="32" xfId="0" applyNumberFormat="1" applyFont="1" applyFill="1" applyBorder="1" applyAlignment="1">
      <alignment horizontal="left" vertical="center" wrapText="1"/>
    </xf>
    <xf numFmtId="0" fontId="29" fillId="7" borderId="18" xfId="0" applyFont="1" applyFill="1" applyBorder="1" applyAlignment="1">
      <alignment horizontal="center" vertical="center"/>
    </xf>
    <xf numFmtId="0" fontId="29" fillId="7" borderId="18" xfId="0" applyFont="1" applyFill="1" applyBorder="1" applyAlignment="1">
      <alignment horizontal="center" vertical="center" wrapText="1"/>
    </xf>
    <xf numFmtId="0" fontId="29" fillId="7" borderId="19" xfId="0" applyFont="1" applyFill="1" applyBorder="1" applyAlignment="1">
      <alignment horizontal="center" vertical="center" wrapText="1"/>
    </xf>
    <xf numFmtId="0" fontId="29" fillId="7" borderId="20" xfId="0" applyFont="1" applyFill="1" applyBorder="1" applyAlignment="1">
      <alignment horizontal="center" vertical="center" wrapText="1"/>
    </xf>
    <xf numFmtId="164" fontId="25" fillId="5" borderId="33" xfId="0" applyNumberFormat="1" applyFont="1" applyFill="1" applyBorder="1" applyAlignment="1">
      <alignment horizontal="left" vertical="center" wrapText="1"/>
    </xf>
    <xf numFmtId="1" fontId="30" fillId="8" borderId="34" xfId="0" applyNumberFormat="1" applyFont="1" applyFill="1" applyBorder="1" applyAlignment="1">
      <alignment horizontal="center" vertical="center"/>
    </xf>
    <xf numFmtId="1" fontId="30" fillId="8" borderId="20" xfId="0" applyNumberFormat="1" applyFont="1" applyFill="1" applyBorder="1" applyAlignment="1">
      <alignment vertical="center"/>
    </xf>
    <xf numFmtId="0" fontId="21" fillId="7" borderId="17" xfId="0" applyFont="1" applyFill="1" applyBorder="1" applyAlignment="1">
      <alignment horizontal="right" vertical="center"/>
    </xf>
    <xf numFmtId="1" fontId="30" fillId="2" borderId="18" xfId="0" applyNumberFormat="1" applyFont="1" applyFill="1" applyBorder="1" applyAlignment="1">
      <alignment horizontal="center" vertical="center"/>
    </xf>
    <xf numFmtId="0" fontId="31" fillId="7" borderId="35" xfId="0" applyFont="1" applyFill="1" applyBorder="1" applyAlignment="1">
      <alignment horizontal="left" vertical="center"/>
    </xf>
    <xf numFmtId="10" fontId="0" fillId="0" borderId="0" xfId="0" applyNumberFormat="1"/>
    <xf numFmtId="0" fontId="0" fillId="0" borderId="0" xfId="0" applyAlignment="1">
      <alignment vertical="center"/>
    </xf>
    <xf numFmtId="0" fontId="0" fillId="0" borderId="0" xfId="0" applyAlignment="1">
      <alignment horizontal="center" vertical="center"/>
    </xf>
    <xf numFmtId="164" fontId="32" fillId="0" borderId="36" xfId="0" applyNumberFormat="1" applyFont="1" applyBorder="1" applyAlignment="1">
      <alignment horizontal="left" vertical="center" wrapText="1"/>
    </xf>
    <xf numFmtId="164" fontId="33" fillId="0" borderId="36" xfId="0" applyNumberFormat="1" applyFont="1" applyBorder="1" applyAlignment="1">
      <alignment horizontal="left" vertical="center" wrapText="1"/>
    </xf>
    <xf numFmtId="49" fontId="33" fillId="0" borderId="0" xfId="0" applyNumberFormat="1" applyFont="1" applyAlignment="1">
      <alignment horizontal="left" vertical="center" wrapText="1"/>
    </xf>
    <xf numFmtId="164" fontId="34" fillId="0" borderId="0" xfId="0" applyNumberFormat="1" applyFont="1" applyAlignment="1">
      <alignment horizontal="left" vertical="center" wrapText="1"/>
    </xf>
    <xf numFmtId="164" fontId="35" fillId="0" borderId="0" xfId="0" applyNumberFormat="1" applyFont="1" applyAlignment="1">
      <alignment horizontal="center" vertical="center" wrapText="1"/>
    </xf>
    <xf numFmtId="164" fontId="35" fillId="0" borderId="0" xfId="0" applyNumberFormat="1" applyFont="1" applyAlignment="1">
      <alignment vertical="center" wrapText="1"/>
    </xf>
    <xf numFmtId="164" fontId="35" fillId="0" borderId="0" xfId="0" applyNumberFormat="1" applyFont="1" applyAlignment="1">
      <alignment horizontal="left" vertical="center" wrapText="1"/>
    </xf>
    <xf numFmtId="0" fontId="36" fillId="0" borderId="37" xfId="0" applyFont="1" applyBorder="1" applyAlignment="1">
      <alignment horizontal="left" vertical="center" wrapText="1"/>
    </xf>
    <xf numFmtId="164" fontId="36" fillId="0" borderId="37" xfId="0" applyNumberFormat="1" applyFont="1" applyBorder="1" applyAlignment="1">
      <alignment horizontal="left" vertical="center" wrapText="1"/>
    </xf>
    <xf numFmtId="164" fontId="33" fillId="0" borderId="37" xfId="0" applyNumberFormat="1" applyFont="1" applyBorder="1" applyAlignment="1">
      <alignment horizontal="left" vertical="center" wrapText="1"/>
    </xf>
    <xf numFmtId="0" fontId="34" fillId="0" borderId="0" xfId="0" applyFont="1" applyAlignment="1">
      <alignment horizontal="center" vertical="center" wrapText="1"/>
    </xf>
    <xf numFmtId="0" fontId="34" fillId="0" borderId="0" xfId="0" applyFont="1" applyAlignment="1">
      <alignment vertical="center" wrapText="1"/>
    </xf>
    <xf numFmtId="0" fontId="34" fillId="0" borderId="0" xfId="0" applyFont="1" applyAlignment="1">
      <alignment horizontal="left" vertical="center" wrapText="1"/>
    </xf>
    <xf numFmtId="164" fontId="37" fillId="4" borderId="36" xfId="0" applyNumberFormat="1" applyFont="1" applyFill="1" applyBorder="1" applyAlignment="1">
      <alignment horizontal="center" vertical="center" wrapText="1"/>
    </xf>
    <xf numFmtId="165" fontId="37" fillId="4" borderId="36" xfId="0" applyNumberFormat="1" applyFont="1" applyFill="1" applyBorder="1" applyAlignment="1">
      <alignment horizontal="center" vertical="center" wrapText="1"/>
    </xf>
    <xf numFmtId="0" fontId="34" fillId="2" borderId="0" xfId="0" applyFont="1" applyFill="1" applyAlignment="1">
      <alignment vertical="center" wrapText="1"/>
    </xf>
    <xf numFmtId="164" fontId="34" fillId="2" borderId="0" xfId="0" applyNumberFormat="1" applyFont="1" applyFill="1" applyAlignment="1">
      <alignment vertical="center" wrapText="1"/>
    </xf>
    <xf numFmtId="0" fontId="34" fillId="2" borderId="0" xfId="0" applyFont="1" applyFill="1" applyAlignment="1">
      <alignment horizontal="center" vertical="center" wrapText="1"/>
    </xf>
    <xf numFmtId="0" fontId="35" fillId="3" borderId="36" xfId="0" applyFont="1" applyFill="1" applyBorder="1" applyAlignment="1">
      <alignment horizontal="center" vertical="center" wrapText="1"/>
    </xf>
    <xf numFmtId="1" fontId="35" fillId="3" borderId="36" xfId="0" applyNumberFormat="1" applyFont="1" applyFill="1" applyBorder="1" applyAlignment="1">
      <alignment horizontal="center" vertical="center" wrapText="1"/>
    </xf>
    <xf numFmtId="1" fontId="35" fillId="9" borderId="36" xfId="0" applyNumberFormat="1" applyFont="1" applyFill="1" applyBorder="1" applyAlignment="1">
      <alignment horizontal="center" vertical="center" wrapText="1"/>
    </xf>
    <xf numFmtId="165" fontId="35" fillId="0" borderId="36" xfId="0" applyNumberFormat="1" applyFont="1" applyBorder="1" applyAlignment="1">
      <alignment horizontal="center" vertical="center" wrapText="1"/>
    </xf>
    <xf numFmtId="164" fontId="34" fillId="0" borderId="0" xfId="0" applyNumberFormat="1" applyFont="1" applyAlignment="1">
      <alignment vertical="center" wrapText="1"/>
    </xf>
    <xf numFmtId="0" fontId="38" fillId="10" borderId="36" xfId="0" applyFont="1" applyFill="1" applyBorder="1" applyAlignment="1">
      <alignment horizontal="center" vertical="center" wrapText="1"/>
    </xf>
    <xf numFmtId="0" fontId="38" fillId="11" borderId="36" xfId="0" applyFont="1" applyFill="1" applyBorder="1" applyAlignment="1">
      <alignment horizontal="center" vertical="center" wrapText="1"/>
    </xf>
    <xf numFmtId="164" fontId="33" fillId="12" borderId="37" xfId="0" applyNumberFormat="1" applyFont="1" applyFill="1" applyBorder="1" applyAlignment="1">
      <alignment horizontal="left" vertical="center" wrapText="1"/>
    </xf>
    <xf numFmtId="0" fontId="39" fillId="12" borderId="37" xfId="0" applyFont="1" applyFill="1" applyBorder="1" applyAlignment="1">
      <alignment vertical="center"/>
    </xf>
    <xf numFmtId="0" fontId="0" fillId="12" borderId="37" xfId="0" applyFill="1" applyBorder="1" applyAlignment="1">
      <alignment vertical="center"/>
    </xf>
    <xf numFmtId="0" fontId="0" fillId="12" borderId="37" xfId="0" applyFill="1" applyBorder="1" applyAlignment="1">
      <alignment horizontal="center" vertical="center"/>
    </xf>
    <xf numFmtId="0" fontId="40" fillId="0" borderId="36" xfId="0" applyFont="1" applyBorder="1" applyAlignment="1">
      <alignment vertical="center" wrapText="1"/>
    </xf>
    <xf numFmtId="0" fontId="41" fillId="0" borderId="36" xfId="0" applyFont="1" applyBorder="1" applyAlignment="1">
      <alignment vertical="center" wrapText="1"/>
    </xf>
    <xf numFmtId="0" fontId="41" fillId="0" borderId="36" xfId="0" applyFont="1" applyBorder="1" applyAlignment="1">
      <alignment vertical="center"/>
    </xf>
    <xf numFmtId="0" fontId="41" fillId="0" borderId="36" xfId="0" applyFont="1" applyBorder="1" applyAlignment="1">
      <alignment horizontal="center" vertical="center"/>
    </xf>
    <xf numFmtId="0" fontId="0" fillId="5" borderId="0" xfId="0" applyFill="1" applyAlignment="1">
      <alignment vertical="center"/>
    </xf>
    <xf numFmtId="0" fontId="36" fillId="0" borderId="36" xfId="0" applyFont="1" applyBorder="1" applyAlignment="1">
      <alignment horizontal="left" vertical="center" wrapText="1"/>
    </xf>
    <xf numFmtId="164" fontId="36" fillId="0" borderId="36" xfId="0" applyNumberFormat="1" applyFont="1" applyBorder="1" applyAlignment="1">
      <alignment horizontal="left" vertical="center" wrapText="1"/>
    </xf>
    <xf numFmtId="0" fontId="42" fillId="0" borderId="36" xfId="0" applyFont="1" applyBorder="1" applyAlignment="1">
      <alignment vertical="center" wrapText="1"/>
    </xf>
    <xf numFmtId="0" fontId="42" fillId="9" borderId="36" xfId="0" applyFont="1" applyFill="1" applyBorder="1" applyAlignment="1">
      <alignment vertical="center" wrapText="1"/>
    </xf>
    <xf numFmtId="0" fontId="42" fillId="0" borderId="36" xfId="0" applyFont="1" applyBorder="1" applyAlignment="1">
      <alignment vertical="center"/>
    </xf>
    <xf numFmtId="0" fontId="0" fillId="0" borderId="36" xfId="0" applyBorder="1" applyAlignment="1">
      <alignment horizontal="center" vertical="center"/>
    </xf>
    <xf numFmtId="0" fontId="0" fillId="0" borderId="36" xfId="0" applyBorder="1" applyAlignment="1">
      <alignment vertical="center"/>
    </xf>
    <xf numFmtId="0" fontId="42" fillId="13" borderId="36" xfId="0" applyFont="1" applyFill="1" applyBorder="1" applyAlignment="1">
      <alignment vertical="center" wrapText="1"/>
    </xf>
    <xf numFmtId="0" fontId="1" fillId="0" borderId="36" xfId="1" applyBorder="1" applyAlignment="1">
      <alignment vertical="center"/>
    </xf>
    <xf numFmtId="0" fontId="42" fillId="9" borderId="36" xfId="0" applyFont="1" applyFill="1" applyBorder="1" applyAlignment="1">
      <alignment vertical="top" wrapText="1"/>
    </xf>
    <xf numFmtId="0" fontId="0" fillId="12" borderId="37" xfId="0" applyFill="1" applyBorder="1" applyAlignment="1">
      <alignment vertical="top"/>
    </xf>
    <xf numFmtId="0" fontId="42" fillId="13" borderId="36" xfId="0" applyFont="1" applyFill="1" applyBorder="1" applyAlignment="1">
      <alignment vertical="top" wrapText="1"/>
    </xf>
    <xf numFmtId="0" fontId="41" fillId="0" borderId="38" xfId="0" applyFont="1" applyBorder="1" applyAlignment="1">
      <alignment vertical="top" wrapText="1"/>
    </xf>
    <xf numFmtId="0" fontId="49" fillId="0" borderId="38" xfId="0" applyFont="1" applyBorder="1" applyAlignment="1">
      <alignment vertical="top" wrapText="1"/>
    </xf>
    <xf numFmtId="0" fontId="40" fillId="0" borderId="38" xfId="0" applyFont="1" applyBorder="1" applyAlignment="1">
      <alignment horizontal="left" vertical="top" wrapText="1"/>
    </xf>
    <xf numFmtId="0" fontId="46" fillId="0" borderId="38" xfId="0" applyFont="1" applyBorder="1" applyAlignment="1">
      <alignment vertical="top" wrapText="1"/>
    </xf>
    <xf numFmtId="0" fontId="50" fillId="0" borderId="38" xfId="0" applyFont="1" applyBorder="1" applyAlignment="1">
      <alignment vertical="top" wrapText="1"/>
    </xf>
    <xf numFmtId="0" fontId="41" fillId="16" borderId="38" xfId="0" applyFont="1" applyFill="1" applyBorder="1" applyAlignment="1">
      <alignment vertical="top" wrapText="1"/>
    </xf>
    <xf numFmtId="0" fontId="50" fillId="16" borderId="38" xfId="0" applyFont="1" applyFill="1" applyBorder="1" applyAlignment="1">
      <alignment vertical="top" wrapText="1"/>
    </xf>
    <xf numFmtId="0" fontId="40" fillId="16" borderId="38" xfId="0" applyFont="1" applyFill="1" applyBorder="1" applyAlignment="1">
      <alignment horizontal="left" vertical="top" wrapText="1"/>
    </xf>
    <xf numFmtId="0" fontId="46" fillId="16" borderId="38" xfId="0" applyFont="1" applyFill="1" applyBorder="1" applyAlignment="1">
      <alignment vertical="top" wrapText="1"/>
    </xf>
    <xf numFmtId="0" fontId="43" fillId="0" borderId="0" xfId="0" applyFont="1" applyAlignment="1">
      <alignment horizontal="left" vertical="top"/>
    </xf>
    <xf numFmtId="0" fontId="0" fillId="0" borderId="0" xfId="0" applyAlignment="1">
      <alignment vertical="top"/>
    </xf>
    <xf numFmtId="0" fontId="0" fillId="0" borderId="0" xfId="0" applyAlignment="1">
      <alignment horizontal="center" vertical="top"/>
    </xf>
    <xf numFmtId="0" fontId="44" fillId="4" borderId="36" xfId="0" applyFont="1" applyFill="1" applyBorder="1" applyAlignment="1">
      <alignment horizontal="center" vertical="top"/>
    </xf>
    <xf numFmtId="165" fontId="37" fillId="4" borderId="36" xfId="0" applyNumberFormat="1" applyFont="1" applyFill="1" applyBorder="1" applyAlignment="1">
      <alignment horizontal="center" vertical="top" wrapText="1"/>
    </xf>
    <xf numFmtId="0" fontId="45" fillId="3" borderId="36" xfId="0" applyFont="1" applyFill="1" applyBorder="1" applyAlignment="1">
      <alignment horizontal="center" vertical="top"/>
    </xf>
    <xf numFmtId="0" fontId="46" fillId="3" borderId="36" xfId="0" applyFont="1" applyFill="1" applyBorder="1" applyAlignment="1">
      <alignment horizontal="center" vertical="top"/>
    </xf>
    <xf numFmtId="1" fontId="35" fillId="3" borderId="36" xfId="0" applyNumberFormat="1" applyFont="1" applyFill="1" applyBorder="1" applyAlignment="1">
      <alignment horizontal="center" vertical="top" wrapText="1"/>
    </xf>
    <xf numFmtId="0" fontId="45" fillId="0" borderId="36" xfId="0" applyFont="1" applyBorder="1" applyAlignment="1">
      <alignment horizontal="left" vertical="top"/>
    </xf>
    <xf numFmtId="0" fontId="46" fillId="0" borderId="36" xfId="0" applyFont="1" applyBorder="1" applyAlignment="1">
      <alignment horizontal="center" vertical="top"/>
    </xf>
    <xf numFmtId="165" fontId="35" fillId="0" borderId="36" xfId="0" applyNumberFormat="1" applyFont="1" applyBorder="1" applyAlignment="1">
      <alignment horizontal="center" vertical="top" wrapText="1"/>
    </xf>
    <xf numFmtId="0" fontId="44" fillId="14" borderId="38" xfId="0" applyFont="1" applyFill="1" applyBorder="1" applyAlignment="1">
      <alignment horizontal="center" vertical="top" wrapText="1"/>
    </xf>
    <xf numFmtId="0" fontId="47" fillId="15" borderId="38" xfId="0" applyFont="1" applyFill="1" applyBorder="1" applyAlignment="1">
      <alignment horizontal="left" vertical="top"/>
    </xf>
    <xf numFmtId="0" fontId="48" fillId="0" borderId="38" xfId="0" applyFont="1" applyBorder="1" applyAlignment="1">
      <alignment horizontal="center" vertical="top" wrapText="1"/>
    </xf>
    <xf numFmtId="0" fontId="41" fillId="0" borderId="38" xfId="0" applyFont="1" applyBorder="1" applyAlignment="1">
      <alignment horizontal="center" vertical="top" wrapText="1"/>
    </xf>
    <xf numFmtId="0" fontId="48" fillId="16" borderId="38" xfId="0" applyFont="1" applyFill="1" applyBorder="1" applyAlignment="1">
      <alignment horizontal="center" vertical="top" wrapText="1"/>
    </xf>
    <xf numFmtId="0" fontId="41" fillId="16" borderId="38" xfId="0" applyFont="1" applyFill="1" applyBorder="1" applyAlignment="1">
      <alignment horizontal="center" vertical="top" wrapText="1"/>
    </xf>
    <xf numFmtId="0" fontId="0" fillId="16" borderId="0" xfId="0" applyFill="1" applyAlignment="1">
      <alignment vertical="top"/>
    </xf>
    <xf numFmtId="0" fontId="41" fillId="17" borderId="38" xfId="0" applyFont="1" applyFill="1" applyBorder="1" applyAlignment="1">
      <alignment vertical="top" wrapText="1"/>
    </xf>
    <xf numFmtId="0" fontId="41" fillId="17" borderId="38" xfId="0" applyFont="1" applyFill="1" applyBorder="1" applyAlignment="1">
      <alignment horizontal="center" vertical="top" wrapText="1"/>
    </xf>
    <xf numFmtId="0" fontId="0" fillId="17" borderId="0" xfId="0" applyFill="1" applyAlignment="1">
      <alignment vertical="top"/>
    </xf>
    <xf numFmtId="0" fontId="52" fillId="0" borderId="38" xfId="0" applyFont="1" applyBorder="1" applyAlignment="1">
      <alignment vertical="center" wrapText="1"/>
    </xf>
    <xf numFmtId="0" fontId="53" fillId="15" borderId="38" xfId="0" applyFont="1" applyFill="1" applyBorder="1" applyAlignment="1">
      <alignment horizontal="left" vertical="top"/>
    </xf>
    <xf numFmtId="0" fontId="52" fillId="0" borderId="38" xfId="0" applyFont="1" applyBorder="1" applyAlignment="1">
      <alignment vertical="top" wrapText="1"/>
    </xf>
    <xf numFmtId="0" fontId="52" fillId="0" borderId="38" xfId="0" applyFont="1" applyBorder="1" applyAlignment="1">
      <alignment horizontal="center" vertical="center" wrapText="1"/>
    </xf>
    <xf numFmtId="0" fontId="0" fillId="16" borderId="0" xfId="0" applyFill="1" applyAlignment="1">
      <alignment vertical="top" wrapText="1"/>
    </xf>
    <xf numFmtId="0" fontId="48" fillId="0" borderId="38" xfId="0" applyFont="1" applyBorder="1" applyAlignment="1">
      <alignment wrapText="1"/>
    </xf>
    <xf numFmtId="0" fontId="46" fillId="0" borderId="39" xfId="0" applyFont="1" applyBorder="1" applyAlignment="1">
      <alignment wrapText="1"/>
    </xf>
    <xf numFmtId="0" fontId="49" fillId="0" borderId="39" xfId="0" applyFont="1" applyBorder="1" applyAlignment="1">
      <alignment wrapText="1"/>
    </xf>
    <xf numFmtId="0" fontId="40" fillId="0" borderId="39" xfId="0" applyFont="1" applyBorder="1" applyAlignment="1">
      <alignment wrapText="1"/>
    </xf>
    <xf numFmtId="0" fontId="48" fillId="0" borderId="40" xfId="0" applyFont="1" applyBorder="1" applyAlignment="1">
      <alignment wrapText="1"/>
    </xf>
    <xf numFmtId="0" fontId="46" fillId="0" borderId="41" xfId="0" applyFont="1" applyBorder="1" applyAlignment="1">
      <alignment wrapText="1"/>
    </xf>
    <xf numFmtId="0" fontId="40" fillId="0" borderId="41" xfId="0" applyFont="1" applyBorder="1" applyAlignment="1">
      <alignment wrapText="1"/>
    </xf>
    <xf numFmtId="0" fontId="50" fillId="0" borderId="41" xfId="0" applyFont="1" applyBorder="1" applyAlignment="1">
      <alignment wrapText="1"/>
    </xf>
    <xf numFmtId="0" fontId="54" fillId="0" borderId="38" xfId="0" applyFont="1" applyBorder="1" applyAlignment="1">
      <alignment horizontal="left" vertical="top" wrapText="1"/>
    </xf>
    <xf numFmtId="0" fontId="48" fillId="16" borderId="40" xfId="0" applyFont="1" applyFill="1" applyBorder="1" applyAlignment="1">
      <alignment wrapText="1"/>
    </xf>
    <xf numFmtId="0" fontId="46" fillId="16" borderId="41" xfId="0" applyFont="1" applyFill="1" applyBorder="1" applyAlignment="1">
      <alignment wrapText="1"/>
    </xf>
    <xf numFmtId="0" fontId="50" fillId="16" borderId="41" xfId="0" applyFont="1" applyFill="1" applyBorder="1" applyAlignment="1">
      <alignment wrapText="1"/>
    </xf>
    <xf numFmtId="0" fontId="48" fillId="18" borderId="40" xfId="0" applyFont="1" applyFill="1" applyBorder="1" applyAlignment="1">
      <alignment wrapText="1"/>
    </xf>
    <xf numFmtId="0" fontId="46" fillId="18" borderId="41" xfId="0" applyFont="1" applyFill="1" applyBorder="1" applyAlignment="1">
      <alignment wrapText="1"/>
    </xf>
    <xf numFmtId="0" fontId="40" fillId="18" borderId="41" xfId="0" applyFont="1" applyFill="1" applyBorder="1" applyAlignment="1">
      <alignment wrapText="1"/>
    </xf>
    <xf numFmtId="0" fontId="41" fillId="18" borderId="38" xfId="0" applyFont="1" applyFill="1" applyBorder="1" applyAlignment="1">
      <alignment vertical="top" wrapText="1"/>
    </xf>
    <xf numFmtId="0" fontId="41" fillId="18" borderId="38" xfId="0" applyFont="1" applyFill="1" applyBorder="1" applyAlignment="1">
      <alignment horizontal="center" vertical="top" wrapText="1"/>
    </xf>
    <xf numFmtId="0" fontId="0" fillId="18" borderId="0" xfId="0" applyFill="1" applyAlignment="1">
      <alignment vertical="top"/>
    </xf>
    <xf numFmtId="0" fontId="48" fillId="18" borderId="38" xfId="0" applyFont="1" applyFill="1" applyBorder="1" applyAlignment="1">
      <alignment wrapText="1"/>
    </xf>
    <xf numFmtId="0" fontId="46" fillId="18" borderId="39" xfId="0" applyFont="1" applyFill="1" applyBorder="1" applyAlignment="1">
      <alignment wrapText="1"/>
    </xf>
    <xf numFmtId="0" fontId="49" fillId="18" borderId="39" xfId="0" applyFont="1" applyFill="1" applyBorder="1" applyAlignment="1">
      <alignment wrapText="1"/>
    </xf>
    <xf numFmtId="0" fontId="40" fillId="18" borderId="39" xfId="0" applyFont="1" applyFill="1" applyBorder="1" applyAlignment="1">
      <alignment wrapText="1"/>
    </xf>
    <xf numFmtId="0" fontId="48" fillId="18" borderId="40" xfId="0" applyFont="1" applyFill="1" applyBorder="1" applyAlignment="1">
      <alignment vertical="top" wrapText="1"/>
    </xf>
    <xf numFmtId="0" fontId="46" fillId="18" borderId="41" xfId="0" applyFont="1" applyFill="1" applyBorder="1" applyAlignment="1">
      <alignment vertical="top" wrapText="1"/>
    </xf>
    <xf numFmtId="0" fontId="50" fillId="18" borderId="41" xfId="0" applyFont="1" applyFill="1" applyBorder="1" applyAlignment="1">
      <alignment vertical="top" wrapText="1"/>
    </xf>
    <xf numFmtId="0" fontId="40" fillId="18" borderId="41" xfId="0" applyFont="1" applyFill="1" applyBorder="1" applyAlignment="1">
      <alignment vertical="top" wrapText="1"/>
    </xf>
    <xf numFmtId="0" fontId="52" fillId="16" borderId="38" xfId="0" applyFont="1" applyFill="1" applyBorder="1" applyAlignment="1">
      <alignment vertical="top" wrapText="1"/>
    </xf>
    <xf numFmtId="0" fontId="46" fillId="16" borderId="41" xfId="0" applyFont="1" applyFill="1" applyBorder="1" applyAlignment="1">
      <alignment vertical="top" wrapText="1"/>
    </xf>
    <xf numFmtId="0" fontId="40" fillId="16" borderId="41" xfId="0" applyFont="1" applyFill="1" applyBorder="1" applyAlignment="1">
      <alignment vertical="top" wrapText="1"/>
    </xf>
    <xf numFmtId="0" fontId="40" fillId="0" borderId="41" xfId="0" applyFont="1" applyBorder="1" applyAlignment="1">
      <alignment vertical="top" wrapText="1"/>
    </xf>
    <xf numFmtId="0" fontId="46" fillId="0" borderId="41" xfId="0" applyFont="1" applyBorder="1" applyAlignment="1">
      <alignment vertical="top" wrapText="1"/>
    </xf>
    <xf numFmtId="0" fontId="50" fillId="0" borderId="41" xfId="0" applyFont="1" applyBorder="1" applyAlignment="1">
      <alignment vertical="top" wrapText="1"/>
    </xf>
    <xf numFmtId="0" fontId="41" fillId="19" borderId="38" xfId="0" applyFont="1" applyFill="1" applyBorder="1" applyAlignment="1">
      <alignment vertical="top" wrapText="1"/>
    </xf>
    <xf numFmtId="0" fontId="46" fillId="19" borderId="39" xfId="0" applyFont="1" applyFill="1" applyBorder="1" applyAlignment="1">
      <alignment vertical="top" wrapText="1"/>
    </xf>
    <xf numFmtId="0" fontId="50" fillId="19" borderId="41" xfId="0" applyFont="1" applyFill="1" applyBorder="1" applyAlignment="1">
      <alignment vertical="top" wrapText="1"/>
    </xf>
    <xf numFmtId="0" fontId="54" fillId="19" borderId="41" xfId="0" applyFont="1" applyFill="1" applyBorder="1" applyAlignment="1">
      <alignment vertical="top" wrapText="1"/>
    </xf>
    <xf numFmtId="0" fontId="46" fillId="19" borderId="41" xfId="0" applyFont="1" applyFill="1" applyBorder="1" applyAlignment="1">
      <alignment wrapText="1"/>
    </xf>
    <xf numFmtId="0" fontId="40" fillId="19" borderId="41" xfId="0" applyFont="1" applyFill="1" applyBorder="1" applyAlignment="1">
      <alignment vertical="top" wrapText="1"/>
    </xf>
    <xf numFmtId="0" fontId="41" fillId="19" borderId="38" xfId="0" applyFont="1" applyFill="1" applyBorder="1" applyAlignment="1">
      <alignment vertical="top" wrapText="1"/>
    </xf>
    <xf numFmtId="0" fontId="46" fillId="19" borderId="41" xfId="0" applyFont="1" applyFill="1" applyBorder="1" applyAlignment="1">
      <alignment wrapText="1"/>
    </xf>
    <xf numFmtId="0" fontId="50" fillId="19" borderId="41" xfId="0" applyFont="1" applyFill="1" applyBorder="1" applyAlignment="1">
      <alignment wrapText="1"/>
    </xf>
    <xf numFmtId="0" fontId="40" fillId="19" borderId="41" xfId="0" applyFont="1" applyFill="1" applyBorder="1" applyAlignment="1">
      <alignment vertical="top" wrapText="1"/>
    </xf>
    <xf numFmtId="0" fontId="48" fillId="19" borderId="40" xfId="0" applyFont="1" applyFill="1" applyBorder="1" applyAlignment="1">
      <alignment wrapText="1"/>
    </xf>
    <xf numFmtId="0" fontId="46" fillId="19" borderId="41" xfId="0" applyFont="1" applyFill="1" applyBorder="1" applyAlignment="1">
      <alignment vertical="top" wrapText="1"/>
    </xf>
    <xf numFmtId="0" fontId="50" fillId="19" borderId="41" xfId="0" applyFont="1" applyFill="1" applyBorder="1" applyAlignment="1">
      <alignment wrapText="1"/>
    </xf>
    <xf numFmtId="0" fontId="40" fillId="19" borderId="41" xfId="0" applyFont="1" applyFill="1" applyBorder="1" applyAlignment="1">
      <alignment wrapText="1"/>
    </xf>
    <xf numFmtId="0" fontId="40" fillId="19" borderId="41" xfId="0" applyFont="1" applyFill="1" applyBorder="1" applyAlignment="1">
      <alignment wrapText="1"/>
    </xf>
    <xf numFmtId="0" fontId="54" fillId="19" borderId="41" xfId="0" applyFont="1" applyFill="1" applyBorder="1" applyAlignment="1">
      <alignment vertical="top" wrapText="1"/>
    </xf>
    <xf numFmtId="0" fontId="46" fillId="19" borderId="41" xfId="0" applyFont="1" applyFill="1" applyBorder="1" applyAlignment="1">
      <alignment vertical="top" wrapText="1"/>
    </xf>
    <xf numFmtId="0" fontId="41" fillId="19" borderId="38" xfId="0" applyFont="1" applyFill="1" applyBorder="1" applyAlignment="1">
      <alignment vertical="top" wrapText="1"/>
    </xf>
    <xf numFmtId="0" fontId="46" fillId="19" borderId="41" xfId="0" applyFont="1" applyFill="1" applyBorder="1" applyAlignment="1">
      <alignment wrapText="1"/>
    </xf>
    <xf numFmtId="0" fontId="50" fillId="19" borderId="41" xfId="0" applyFont="1" applyFill="1" applyBorder="1" applyAlignment="1">
      <alignment wrapText="1"/>
    </xf>
    <xf numFmtId="0" fontId="40" fillId="19" borderId="41" xfId="0" applyFont="1" applyFill="1" applyBorder="1" applyAlignment="1">
      <alignment wrapText="1"/>
    </xf>
    <xf numFmtId="0" fontId="40" fillId="19" borderId="39" xfId="0" applyFont="1" applyFill="1" applyBorder="1" applyAlignment="1">
      <alignment wrapText="1"/>
    </xf>
    <xf numFmtId="0" fontId="48" fillId="19" borderId="40" xfId="0" applyFont="1" applyFill="1" applyBorder="1" applyAlignment="1">
      <alignment wrapText="1"/>
    </xf>
    <xf numFmtId="0" fontId="54" fillId="19" borderId="41" xfId="0" applyFont="1" applyFill="1" applyBorder="1" applyAlignment="1">
      <alignment wrapText="1"/>
    </xf>
    <xf numFmtId="164" fontId="12" fillId="3" borderId="0" xfId="0" applyNumberFormat="1" applyFont="1" applyFill="1" applyAlignment="1">
      <alignment horizontal="left" vertical="center"/>
    </xf>
    <xf numFmtId="164" fontId="11" fillId="3" borderId="3" xfId="0" applyNumberFormat="1" applyFont="1" applyFill="1" applyBorder="1" applyAlignment="1">
      <alignment horizontal="center"/>
    </xf>
    <xf numFmtId="164" fontId="12" fillId="3" borderId="0" xfId="0" applyNumberFormat="1" applyFont="1" applyFill="1" applyAlignment="1">
      <alignment horizontal="left" vertical="center" wrapText="1"/>
    </xf>
    <xf numFmtId="164" fontId="6" fillId="3" borderId="1" xfId="0" applyNumberFormat="1" applyFont="1" applyFill="1" applyBorder="1" applyAlignment="1">
      <alignment horizontal="center"/>
    </xf>
    <xf numFmtId="164" fontId="6" fillId="3" borderId="2" xfId="0" applyNumberFormat="1" applyFont="1" applyFill="1" applyBorder="1" applyAlignment="1">
      <alignment horizontal="center"/>
    </xf>
    <xf numFmtId="164" fontId="8" fillId="3" borderId="2" xfId="0" applyNumberFormat="1" applyFont="1" applyFill="1" applyBorder="1" applyAlignment="1">
      <alignment horizontal="center" vertical="center" wrapText="1"/>
    </xf>
    <xf numFmtId="164" fontId="10" fillId="3" borderId="0" xfId="0" applyNumberFormat="1" applyFont="1" applyFill="1" applyAlignment="1">
      <alignment horizontal="center" vertical="center" wrapText="1"/>
    </xf>
    <xf numFmtId="164" fontId="11" fillId="3" borderId="2" xfId="0" applyNumberFormat="1" applyFont="1" applyFill="1" applyBorder="1" applyAlignment="1">
      <alignment horizontal="center" vertical="center" wrapText="1"/>
    </xf>
    <xf numFmtId="164" fontId="20" fillId="4" borderId="12" xfId="0" applyNumberFormat="1" applyFont="1" applyFill="1" applyBorder="1" applyAlignment="1">
      <alignment horizontal="center" vertical="center" wrapText="1"/>
    </xf>
    <xf numFmtId="164" fontId="17" fillId="0" borderId="10" xfId="0" applyNumberFormat="1" applyFont="1" applyBorder="1" applyAlignment="1">
      <alignment horizontal="left" vertical="center" wrapText="1"/>
    </xf>
    <xf numFmtId="164" fontId="20" fillId="4" borderId="8" xfId="0" applyNumberFormat="1" applyFont="1" applyFill="1" applyBorder="1" applyAlignment="1">
      <alignment horizontal="center" vertical="center" wrapText="1"/>
    </xf>
    <xf numFmtId="164" fontId="17" fillId="0" borderId="11" xfId="0" applyNumberFormat="1" applyFont="1" applyBorder="1" applyAlignment="1">
      <alignment horizontal="left" vertical="center" wrapText="1"/>
    </xf>
    <xf numFmtId="164" fontId="27" fillId="2" borderId="18" xfId="0" applyNumberFormat="1" applyFont="1" applyFill="1" applyBorder="1" applyAlignment="1">
      <alignment horizontal="left" vertical="center" wrapText="1"/>
    </xf>
    <xf numFmtId="167" fontId="26" fillId="2" borderId="20" xfId="0" applyNumberFormat="1" applyFont="1" applyFill="1" applyBorder="1" applyAlignment="1">
      <alignment horizontal="left" vertical="center" wrapText="1"/>
    </xf>
    <xf numFmtId="167" fontId="27" fillId="2" borderId="25" xfId="0" applyNumberFormat="1" applyFont="1" applyFill="1" applyBorder="1" applyAlignment="1">
      <alignment horizontal="left" vertical="center" wrapText="1"/>
    </xf>
    <xf numFmtId="164" fontId="28" fillId="6" borderId="26" xfId="0" applyNumberFormat="1" applyFont="1" applyFill="1" applyBorder="1" applyAlignment="1">
      <alignment horizontal="left" vertical="center" wrapText="1"/>
    </xf>
    <xf numFmtId="164" fontId="26" fillId="2" borderId="8" xfId="0" applyNumberFormat="1" applyFont="1" applyFill="1" applyBorder="1" applyAlignment="1">
      <alignment horizontal="left" vertical="center" wrapText="1"/>
    </xf>
    <xf numFmtId="164" fontId="26" fillId="2" borderId="16" xfId="0" applyNumberFormat="1" applyFont="1" applyFill="1" applyBorder="1" applyAlignment="1">
      <alignment horizontal="left" vertical="center" wrapText="1"/>
    </xf>
    <xf numFmtId="164" fontId="26" fillId="2" borderId="18" xfId="0" applyNumberFormat="1" applyFont="1" applyFill="1" applyBorder="1" applyAlignment="1">
      <alignment horizontal="left" vertical="center" wrapText="1"/>
    </xf>
    <xf numFmtId="164" fontId="27" fillId="2" borderId="20" xfId="0" applyNumberFormat="1" applyFont="1" applyFill="1" applyBorder="1" applyAlignment="1">
      <alignment horizontal="left" vertical="center" wrapText="1"/>
    </xf>
    <xf numFmtId="164" fontId="33" fillId="12" borderId="36" xfId="0" applyNumberFormat="1" applyFont="1" applyFill="1" applyBorder="1" applyAlignment="1">
      <alignment horizontal="left" vertical="center" wrapText="1"/>
    </xf>
  </cellXfs>
  <cellStyles count="5">
    <cellStyle name="Hyperlink 1" xfId="1" xr:uid="{00000000-0005-0000-0000-000006000000}"/>
    <cellStyle name="Normal" xfId="0" builtinId="0"/>
    <cellStyle name="Normal 2" xfId="2" xr:uid="{00000000-0005-0000-0000-000007000000}"/>
    <cellStyle name="Normal 6" xfId="3" xr:uid="{00000000-0005-0000-0000-000008000000}"/>
    <cellStyle name="標準_打刻ﾃﾞｰﾀ収集" xfId="4" xr:uid="{00000000-0005-0000-0000-000009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F5597"/>
      <rgbColor rgb="FFBFBFBF"/>
      <rgbColor rgb="FF548DD4"/>
      <rgbColor rgb="FF9999FF"/>
      <rgbColor rgb="FF7030A0"/>
      <rgbColor rgb="FFFFF2CC"/>
      <rgbColor rgb="FFDDEBF7"/>
      <rgbColor rgb="FF660066"/>
      <rgbColor rgb="FFFF8080"/>
      <rgbColor rgb="FF0563C1"/>
      <rgbColor rgb="FFBDD7EE"/>
      <rgbColor rgb="FF000080"/>
      <rgbColor rgb="FFFF00FF"/>
      <rgbColor rgb="FFFFFF00"/>
      <rgbColor rgb="FF00FFFF"/>
      <rgbColor rgb="FF800080"/>
      <rgbColor rgb="FF800000"/>
      <rgbColor rgb="FF305496"/>
      <rgbColor rgb="FF0000FF"/>
      <rgbColor rgb="FF00CCFF"/>
      <rgbColor rgb="FFC5E0B4"/>
      <rgbColor rgb="FFCCFFCC"/>
      <rgbColor rgb="FFFFFF99"/>
      <rgbColor rgb="FFA7D6E3"/>
      <rgbColor rgb="FFFF99CC"/>
      <rgbColor rgb="FFB4C7E7"/>
      <rgbColor rgb="FFF8CBAD"/>
      <rgbColor rgb="FF2E75B6"/>
      <rgbColor rgb="FF33CCCC"/>
      <rgbColor rgb="FF92D050"/>
      <rgbColor rgb="FFFFCC00"/>
      <rgbColor rgb="FFFF9900"/>
      <rgbColor rgb="FFFF6600"/>
      <rgbColor rgb="FF44546A"/>
      <rgbColor rgb="FF8497B0"/>
      <rgbColor rgb="FF1F3864"/>
      <rgbColor rgb="FF339966"/>
      <rgbColor rgb="FF003300"/>
      <rgbColor rgb="FF333300"/>
      <rgbColor rgb="FF993300"/>
      <rgbColor rgb="FF993366"/>
      <rgbColor rgb="FF333399"/>
      <rgbColor rgb="FF1F497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9"/>
  <sheetViews>
    <sheetView zoomScaleNormal="100" workbookViewId="0">
      <selection activeCell="M18" sqref="M18"/>
    </sheetView>
  </sheetViews>
  <sheetFormatPr defaultColWidth="9.140625" defaultRowHeight="15"/>
  <cols>
    <col min="1" max="1" width="9.140625" style="3"/>
    <col min="2" max="2" width="5.7109375" style="3" customWidth="1"/>
    <col min="3" max="4" width="9.140625" style="3"/>
    <col min="5" max="5" width="45.42578125" style="3" customWidth="1"/>
    <col min="6" max="6" width="9.140625" style="3"/>
    <col min="7" max="7" width="16.5703125" style="3" customWidth="1"/>
    <col min="8" max="8" width="31.7109375" style="3" customWidth="1"/>
    <col min="9" max="1024" width="9.140625" style="3"/>
  </cols>
  <sheetData>
    <row r="1" spans="1:10" ht="15" customHeight="1">
      <c r="A1" s="4"/>
      <c r="B1" s="4"/>
      <c r="C1" s="4"/>
      <c r="D1" s="4"/>
      <c r="E1" s="4"/>
      <c r="F1" s="4"/>
      <c r="G1" s="4"/>
      <c r="H1" s="4"/>
      <c r="I1" s="4"/>
      <c r="J1" s="4"/>
    </row>
    <row r="2" spans="1:10" s="3" customFormat="1" ht="13.5" customHeight="1">
      <c r="A2" s="4"/>
      <c r="B2" s="221"/>
      <c r="C2" s="221"/>
      <c r="D2" s="221"/>
      <c r="E2" s="221"/>
      <c r="F2" s="221"/>
      <c r="G2" s="221"/>
      <c r="H2" s="221"/>
      <c r="I2" s="221"/>
      <c r="J2" s="221"/>
    </row>
    <row r="3" spans="1:10" s="3" customFormat="1" ht="13.5" customHeight="1">
      <c r="A3" s="4"/>
      <c r="B3" s="222"/>
      <c r="C3" s="222"/>
      <c r="D3" s="222"/>
      <c r="E3" s="222"/>
      <c r="F3" s="222"/>
      <c r="G3" s="222"/>
      <c r="H3" s="222"/>
      <c r="I3" s="222"/>
      <c r="J3" s="222"/>
    </row>
    <row r="4" spans="1:10" s="3" customFormat="1" ht="13.5" customHeight="1">
      <c r="A4" s="4"/>
      <c r="B4" s="5"/>
      <c r="C4" s="6"/>
      <c r="D4" s="6"/>
      <c r="E4" s="6"/>
      <c r="F4" s="6"/>
      <c r="G4" s="6"/>
      <c r="H4" s="6"/>
      <c r="I4" s="6"/>
      <c r="J4" s="7"/>
    </row>
    <row r="5" spans="1:10" s="3" customFormat="1" ht="13.5" customHeight="1">
      <c r="A5" s="4"/>
      <c r="B5" s="5"/>
      <c r="C5" s="6"/>
      <c r="D5" s="6"/>
      <c r="E5" s="6"/>
      <c r="F5" s="6"/>
      <c r="G5" s="6"/>
      <c r="H5" s="6"/>
      <c r="I5" s="6"/>
      <c r="J5" s="7"/>
    </row>
    <row r="6" spans="1:10" s="3" customFormat="1" ht="13.5" customHeight="1">
      <c r="A6" s="4"/>
      <c r="B6" s="223"/>
      <c r="C6" s="223"/>
      <c r="D6" s="223"/>
      <c r="E6" s="223"/>
      <c r="F6" s="223"/>
      <c r="G6" s="223"/>
      <c r="H6" s="223"/>
      <c r="I6" s="223"/>
      <c r="J6" s="223"/>
    </row>
    <row r="7" spans="1:10" s="3" customFormat="1" ht="13.5" customHeight="1">
      <c r="A7" s="4"/>
      <c r="B7" s="223"/>
      <c r="C7" s="223"/>
      <c r="D7" s="223"/>
      <c r="E7" s="223"/>
      <c r="F7" s="223"/>
      <c r="G7" s="223"/>
      <c r="H7" s="223"/>
      <c r="I7" s="223"/>
      <c r="J7" s="223"/>
    </row>
    <row r="8" spans="1:10" s="3" customFormat="1" ht="31.5" customHeight="1">
      <c r="A8" s="4"/>
      <c r="B8" s="8"/>
      <c r="C8" s="9"/>
      <c r="D8" s="9"/>
      <c r="E8" s="224" t="s">
        <v>0</v>
      </c>
      <c r="F8" s="224"/>
      <c r="G8" s="224"/>
      <c r="H8" s="224"/>
      <c r="I8" s="9"/>
      <c r="J8" s="10"/>
    </row>
    <row r="9" spans="1:10" s="3" customFormat="1" ht="13.5" customHeight="1">
      <c r="A9" s="4"/>
      <c r="B9" s="225"/>
      <c r="C9" s="225"/>
      <c r="D9" s="225"/>
      <c r="E9" s="225"/>
      <c r="F9" s="225"/>
      <c r="G9" s="225"/>
      <c r="H9" s="225"/>
      <c r="I9" s="225"/>
      <c r="J9" s="225"/>
    </row>
    <row r="10" spans="1:10" s="3" customFormat="1" ht="13.5" customHeight="1">
      <c r="A10" s="4"/>
      <c r="B10" s="219"/>
      <c r="C10" s="219"/>
      <c r="D10" s="219"/>
      <c r="E10" s="219"/>
      <c r="F10" s="219"/>
      <c r="G10" s="219"/>
      <c r="H10" s="219"/>
      <c r="I10" s="219"/>
      <c r="J10" s="11"/>
    </row>
    <row r="11" spans="1:10" s="3" customFormat="1" ht="26.25" customHeight="1">
      <c r="A11" s="4"/>
      <c r="B11" s="12"/>
      <c r="C11" s="218" t="s">
        <v>1</v>
      </c>
      <c r="D11" s="218"/>
      <c r="E11" s="13" t="s">
        <v>2</v>
      </c>
      <c r="F11" s="14"/>
      <c r="G11" s="2" t="s">
        <v>3</v>
      </c>
      <c r="H11" s="13"/>
      <c r="I11" s="15"/>
      <c r="J11" s="16"/>
    </row>
    <row r="12" spans="1:10" s="3" customFormat="1" ht="14.25" customHeight="1">
      <c r="A12" s="4"/>
      <c r="B12" s="17" t="s">
        <v>4</v>
      </c>
      <c r="C12" s="220" t="s">
        <v>5</v>
      </c>
      <c r="D12" s="220"/>
      <c r="E12" s="13" t="s">
        <v>6</v>
      </c>
      <c r="F12" s="18"/>
      <c r="G12" s="2" t="s">
        <v>7</v>
      </c>
      <c r="H12" s="13"/>
      <c r="I12" s="19"/>
      <c r="J12" s="20"/>
    </row>
    <row r="13" spans="1:10" s="3" customFormat="1" ht="13.5" customHeight="1">
      <c r="A13" s="4"/>
      <c r="B13" s="12"/>
      <c r="C13" s="218" t="s">
        <v>8</v>
      </c>
      <c r="D13" s="218"/>
      <c r="E13" s="13"/>
      <c r="F13" s="14"/>
      <c r="G13" s="2" t="s">
        <v>9</v>
      </c>
      <c r="H13" s="13"/>
      <c r="I13" s="15"/>
      <c r="J13" s="16"/>
    </row>
    <row r="14" spans="1:10" s="3" customFormat="1" ht="13.5" customHeight="1">
      <c r="A14" s="4"/>
      <c r="B14" s="12"/>
      <c r="C14" s="218" t="s">
        <v>7</v>
      </c>
      <c r="D14" s="218"/>
      <c r="E14" s="13"/>
      <c r="F14" s="14"/>
      <c r="G14" s="2" t="s">
        <v>10</v>
      </c>
      <c r="H14" s="13"/>
      <c r="I14" s="15"/>
      <c r="J14" s="16"/>
    </row>
    <row r="15" spans="1:10" s="3" customFormat="1" ht="13.5" customHeight="1">
      <c r="A15" s="4"/>
      <c r="B15" s="12"/>
      <c r="C15" s="218" t="s">
        <v>11</v>
      </c>
      <c r="D15" s="218"/>
      <c r="E15" s="13">
        <v>46153</v>
      </c>
      <c r="F15" s="14"/>
      <c r="G15" s="2" t="s">
        <v>7</v>
      </c>
      <c r="H15" s="13"/>
      <c r="I15" s="15"/>
      <c r="J15" s="16"/>
    </row>
    <row r="16" spans="1:10" s="3" customFormat="1" ht="13.5" customHeight="1">
      <c r="A16" s="4"/>
      <c r="B16" s="12"/>
      <c r="C16" s="218" t="s">
        <v>12</v>
      </c>
      <c r="D16" s="218"/>
      <c r="E16" s="21" t="s">
        <v>13</v>
      </c>
      <c r="F16" s="14"/>
      <c r="G16" s="2" t="s">
        <v>14</v>
      </c>
      <c r="H16" s="13"/>
      <c r="I16" s="15"/>
      <c r="J16" s="16"/>
    </row>
    <row r="17" spans="1:10" s="3" customFormat="1" ht="13.5" customHeight="1">
      <c r="A17" s="4"/>
      <c r="B17" s="22"/>
      <c r="C17" s="23"/>
      <c r="D17" s="23"/>
      <c r="E17" s="24"/>
      <c r="F17" s="24"/>
      <c r="G17" s="24"/>
      <c r="H17" s="24"/>
      <c r="I17" s="24"/>
      <c r="J17" s="25"/>
    </row>
    <row r="18" spans="1:10" s="3" customFormat="1" ht="13.5" customHeight="1">
      <c r="B18" s="26"/>
      <c r="C18" s="24"/>
      <c r="D18" s="24"/>
      <c r="E18" s="24"/>
      <c r="F18" s="24"/>
      <c r="G18" s="24"/>
      <c r="H18" s="24"/>
      <c r="I18" s="24"/>
      <c r="J18" s="25"/>
    </row>
    <row r="19" spans="1:10" ht="15" customHeight="1">
      <c r="B19" s="27"/>
      <c r="C19" s="28"/>
      <c r="D19" s="28"/>
      <c r="E19" s="28"/>
      <c r="F19" s="28"/>
      <c r="G19" s="28"/>
      <c r="H19" s="28"/>
      <c r="I19" s="28"/>
      <c r="J19" s="29"/>
    </row>
  </sheetData>
  <mergeCells count="12">
    <mergeCell ref="B2:J2"/>
    <mergeCell ref="B3:J3"/>
    <mergeCell ref="B6:J7"/>
    <mergeCell ref="E8:H8"/>
    <mergeCell ref="B9:J9"/>
    <mergeCell ref="C15:D15"/>
    <mergeCell ref="C16:D16"/>
    <mergeCell ref="B10:I10"/>
    <mergeCell ref="C11:D11"/>
    <mergeCell ref="C12:D12"/>
    <mergeCell ref="C13:D13"/>
    <mergeCell ref="C14:D14"/>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0"/>
  <sheetViews>
    <sheetView zoomScaleNormal="100" workbookViewId="0">
      <selection activeCell="B20" sqref="B20"/>
    </sheetView>
  </sheetViews>
  <sheetFormatPr defaultColWidth="9.140625" defaultRowHeight="15"/>
  <cols>
    <col min="1" max="1" width="21.42578125" style="30" customWidth="1"/>
    <col min="2" max="2" width="22.5703125" style="30" customWidth="1"/>
    <col min="3" max="3" width="14.140625" style="30" customWidth="1"/>
    <col min="4" max="4" width="11.5703125" style="30" customWidth="1"/>
    <col min="5" max="5" width="10.5703125" style="30" customWidth="1"/>
    <col min="6" max="6" width="12.7109375" style="30" customWidth="1"/>
    <col min="7" max="7" width="14" style="30" customWidth="1"/>
    <col min="8" max="1024" width="9.140625" style="30"/>
  </cols>
  <sheetData>
    <row r="1" spans="1:7" ht="17.25" customHeight="1">
      <c r="A1" s="31" t="s">
        <v>15</v>
      </c>
      <c r="B1" s="32"/>
    </row>
    <row r="2" spans="1:7" ht="15" customHeight="1"/>
    <row r="3" spans="1:7" ht="14.25" customHeight="1">
      <c r="A3" s="1" t="s">
        <v>16</v>
      </c>
      <c r="B3" s="1" t="s">
        <v>17</v>
      </c>
      <c r="C3" s="228" t="s">
        <v>18</v>
      </c>
      <c r="D3" s="228"/>
      <c r="E3" s="228"/>
      <c r="F3" s="228"/>
      <c r="G3" s="228"/>
    </row>
    <row r="4" spans="1:7" ht="14.25" customHeight="1">
      <c r="A4" s="33">
        <v>1</v>
      </c>
      <c r="B4" s="34" t="s">
        <v>19</v>
      </c>
      <c r="C4" s="229" t="s">
        <v>19</v>
      </c>
      <c r="D4" s="229"/>
      <c r="E4" s="229"/>
      <c r="F4" s="229"/>
      <c r="G4" s="229"/>
    </row>
    <row r="5" spans="1:7" ht="14.25" customHeight="1">
      <c r="A5" s="33">
        <v>2</v>
      </c>
      <c r="B5" s="34" t="s">
        <v>20</v>
      </c>
      <c r="C5" s="229" t="s">
        <v>21</v>
      </c>
      <c r="D5" s="229"/>
      <c r="E5" s="229"/>
      <c r="F5" s="229"/>
      <c r="G5" s="229"/>
    </row>
    <row r="6" spans="1:7" ht="14.25" customHeight="1">
      <c r="A6" s="33">
        <v>3</v>
      </c>
      <c r="B6" s="34" t="s">
        <v>22</v>
      </c>
      <c r="C6" s="229" t="s">
        <v>23</v>
      </c>
      <c r="D6" s="229"/>
      <c r="E6" s="229"/>
      <c r="F6" s="229"/>
      <c r="G6" s="229"/>
    </row>
    <row r="7" spans="1:7" ht="14.25" customHeight="1">
      <c r="A7" s="33">
        <v>4</v>
      </c>
      <c r="B7" s="34" t="s">
        <v>24</v>
      </c>
      <c r="C7" s="229" t="s">
        <v>25</v>
      </c>
      <c r="D7" s="229"/>
      <c r="E7" s="229"/>
      <c r="F7" s="229"/>
      <c r="G7" s="229"/>
    </row>
    <row r="8" spans="1:7" ht="15" customHeight="1">
      <c r="A8" s="35"/>
      <c r="B8" s="36"/>
      <c r="C8" s="36"/>
      <c r="D8" s="36"/>
      <c r="E8" s="36"/>
    </row>
    <row r="9" spans="1:7" ht="14.25" customHeight="1">
      <c r="A9" s="1" t="s">
        <v>26</v>
      </c>
      <c r="B9" s="1" t="s">
        <v>27</v>
      </c>
      <c r="C9" s="226" t="s">
        <v>28</v>
      </c>
      <c r="D9" s="226"/>
      <c r="E9" s="226"/>
      <c r="F9" s="1" t="s">
        <v>29</v>
      </c>
      <c r="G9" s="1" t="s">
        <v>30</v>
      </c>
    </row>
    <row r="10" spans="1:7" ht="14.25" customHeight="1">
      <c r="A10" s="37">
        <v>46153</v>
      </c>
      <c r="B10" s="38" t="s">
        <v>31</v>
      </c>
      <c r="C10" s="227" t="s">
        <v>32</v>
      </c>
      <c r="D10" s="227"/>
      <c r="E10" s="227"/>
      <c r="F10" s="39">
        <v>1</v>
      </c>
      <c r="G10" s="40"/>
    </row>
  </sheetData>
  <mergeCells count="7">
    <mergeCell ref="C9:E9"/>
    <mergeCell ref="C10:E10"/>
    <mergeCell ref="C3:G3"/>
    <mergeCell ref="C4:G4"/>
    <mergeCell ref="C5:G5"/>
    <mergeCell ref="C6:G6"/>
    <mergeCell ref="C7:G7"/>
  </mergeCells>
  <hyperlinks>
    <hyperlink ref="B4" location="Cover!A1" display="Cover" xr:uid="{00000000-0004-0000-0100-000000000000}"/>
    <hyperlink ref="B5" location="Records!A1" display="Records" xr:uid="{00000000-0004-0000-0100-000001000000}"/>
    <hyperlink ref="B6" location="Funtion!A1" display="Function" xr:uid="{00000000-0004-0000-0100-000002000000}"/>
    <hyperlink ref="B7" location="'Screen Element'!A1" display="Screen Element" xr:uid="{00000000-0004-0000-0100-000003000000}"/>
  </hyperlink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
  <sheetViews>
    <sheetView topLeftCell="A2" zoomScaleNormal="100" workbookViewId="0">
      <selection activeCell="B16" sqref="B16:H16"/>
    </sheetView>
  </sheetViews>
  <sheetFormatPr defaultColWidth="8.7109375" defaultRowHeight="15"/>
  <cols>
    <col min="1" max="1" width="24.140625" customWidth="1"/>
    <col min="2" max="2" width="15.42578125" customWidth="1"/>
    <col min="3" max="3" width="16" customWidth="1"/>
    <col min="4" max="5" width="15.42578125" customWidth="1"/>
    <col min="6" max="6" width="19.42578125" customWidth="1"/>
    <col min="9" max="9" width="8.5703125" customWidth="1"/>
  </cols>
  <sheetData>
    <row r="1" spans="1:8" ht="14.25" customHeight="1">
      <c r="A1" s="41"/>
      <c r="B1" s="42"/>
      <c r="C1" s="42"/>
      <c r="D1" s="42"/>
      <c r="E1" s="42"/>
      <c r="F1" s="42"/>
      <c r="G1" s="42"/>
      <c r="H1" s="43"/>
    </row>
    <row r="2" spans="1:8" ht="27.75" customHeight="1">
      <c r="A2" s="44"/>
      <c r="B2" s="45" t="s">
        <v>33</v>
      </c>
      <c r="C2" s="44"/>
      <c r="D2" s="44"/>
      <c r="E2" s="44"/>
      <c r="F2" s="44"/>
      <c r="G2" s="44"/>
      <c r="H2" s="44"/>
    </row>
    <row r="3" spans="1:8" ht="14.25" customHeight="1">
      <c r="A3" s="44"/>
      <c r="B3" s="44"/>
      <c r="C3" s="44"/>
      <c r="D3" s="44"/>
      <c r="E3" s="44"/>
      <c r="F3" s="44"/>
      <c r="G3" s="44"/>
      <c r="H3" s="44"/>
    </row>
    <row r="4" spans="1:8" ht="15" customHeight="1">
      <c r="A4" s="44"/>
      <c r="B4" s="44"/>
      <c r="C4" s="44"/>
      <c r="D4" s="44"/>
      <c r="E4" s="44"/>
      <c r="F4" s="44"/>
      <c r="G4" s="44"/>
      <c r="H4" s="44"/>
    </row>
    <row r="5" spans="1:8" ht="33" customHeight="1">
      <c r="A5" s="46" t="s">
        <v>34</v>
      </c>
      <c r="B5" s="234" t="e">
        <f>#NAME?</f>
        <v>#NAME?</v>
      </c>
      <c r="C5" s="234"/>
      <c r="D5" s="47" t="s">
        <v>35</v>
      </c>
      <c r="E5" s="48"/>
      <c r="F5" s="235"/>
      <c r="G5" s="235"/>
      <c r="H5" s="235"/>
    </row>
    <row r="6" spans="1:8" ht="14.25" customHeight="1">
      <c r="A6" s="49" t="s">
        <v>36</v>
      </c>
      <c r="B6" s="236"/>
      <c r="C6" s="236"/>
      <c r="D6" s="50" t="s">
        <v>37</v>
      </c>
      <c r="E6" s="51"/>
      <c r="F6" s="231"/>
      <c r="G6" s="231"/>
      <c r="H6" s="231"/>
    </row>
    <row r="7" spans="1:8" ht="14.25" customHeight="1">
      <c r="A7" s="49" t="s">
        <v>38</v>
      </c>
      <c r="B7" s="230"/>
      <c r="C7" s="230"/>
      <c r="D7" s="50" t="s">
        <v>39</v>
      </c>
      <c r="E7" s="51"/>
      <c r="F7" s="237"/>
      <c r="G7" s="237"/>
      <c r="H7" s="237"/>
    </row>
    <row r="8" spans="1:8" ht="14.25" customHeight="1">
      <c r="A8" s="49" t="s">
        <v>40</v>
      </c>
      <c r="B8" s="230"/>
      <c r="C8" s="230"/>
      <c r="D8" s="50" t="s">
        <v>41</v>
      </c>
      <c r="E8" s="51"/>
      <c r="F8" s="231"/>
      <c r="G8" s="231"/>
      <c r="H8" s="231"/>
    </row>
    <row r="9" spans="1:8" ht="14.25" customHeight="1">
      <c r="A9" s="49" t="s">
        <v>42</v>
      </c>
      <c r="B9" s="52" t="s">
        <v>43</v>
      </c>
      <c r="C9" s="53"/>
      <c r="D9" s="50"/>
      <c r="E9" s="51"/>
      <c r="F9" s="54"/>
      <c r="G9" s="55"/>
      <c r="H9" s="56"/>
    </row>
    <row r="10" spans="1:8" ht="14.25" customHeight="1">
      <c r="A10" s="49" t="s">
        <v>44</v>
      </c>
      <c r="B10" s="232"/>
      <c r="C10" s="232"/>
      <c r="D10" s="50"/>
      <c r="E10" s="51"/>
      <c r="F10" s="231"/>
      <c r="G10" s="231"/>
      <c r="H10" s="231"/>
    </row>
    <row r="11" spans="1:8" ht="14.25" customHeight="1">
      <c r="A11" s="233" t="s">
        <v>45</v>
      </c>
      <c r="B11" s="233"/>
      <c r="C11" s="57"/>
      <c r="D11" s="57"/>
      <c r="E11" s="57"/>
      <c r="F11" s="57"/>
      <c r="G11" s="57"/>
      <c r="H11" s="58"/>
    </row>
    <row r="12" spans="1:8" ht="14.25" customHeight="1">
      <c r="A12" s="59" t="s">
        <v>46</v>
      </c>
      <c r="B12" s="60"/>
      <c r="C12" s="61"/>
      <c r="D12" s="61"/>
      <c r="E12" s="61"/>
      <c r="F12" s="61"/>
      <c r="G12" s="61"/>
      <c r="H12" s="62"/>
    </row>
    <row r="13" spans="1:8" ht="14.25" customHeight="1">
      <c r="A13" s="63" t="s">
        <v>47</v>
      </c>
      <c r="B13" s="64"/>
      <c r="C13" s="65"/>
      <c r="D13" s="65"/>
      <c r="E13" s="65"/>
      <c r="F13" s="65"/>
      <c r="G13" s="65"/>
      <c r="H13" s="66"/>
    </row>
    <row r="14" spans="1:8" ht="14.25" customHeight="1">
      <c r="A14" s="67" t="s">
        <v>48</v>
      </c>
      <c r="B14" s="68" t="s">
        <v>49</v>
      </c>
      <c r="C14" s="69" t="s">
        <v>50</v>
      </c>
      <c r="D14" s="69" t="s">
        <v>51</v>
      </c>
      <c r="E14" s="69" t="s">
        <v>52</v>
      </c>
      <c r="F14" s="69" t="s">
        <v>53</v>
      </c>
      <c r="G14" s="70" t="s">
        <v>54</v>
      </c>
      <c r="H14" s="71" t="s">
        <v>55</v>
      </c>
    </row>
    <row r="15" spans="1:8" ht="14.25" customHeight="1">
      <c r="A15" s="72" t="s">
        <v>55</v>
      </c>
      <c r="B15" s="73">
        <f t="shared" ref="B15:G15" si="0">SUM(B16:B18)</f>
        <v>81</v>
      </c>
      <c r="C15" s="73">
        <f t="shared" si="0"/>
        <v>1</v>
      </c>
      <c r="D15" s="73">
        <f t="shared" si="0"/>
        <v>0</v>
      </c>
      <c r="E15" s="73">
        <f t="shared" si="0"/>
        <v>0</v>
      </c>
      <c r="F15" s="73">
        <f t="shared" si="0"/>
        <v>0</v>
      </c>
      <c r="G15" s="73">
        <f t="shared" si="0"/>
        <v>52</v>
      </c>
      <c r="H15" s="74">
        <f>SUM(B15:G15)</f>
        <v>134</v>
      </c>
    </row>
    <row r="16" spans="1:8" ht="14.25" customHeight="1">
      <c r="A16" s="75" t="s">
        <v>56</v>
      </c>
      <c r="B16" s="76">
        <f>'Cấu hình điện'!E6</f>
        <v>31</v>
      </c>
      <c r="C16" s="76">
        <f>'Cấu hình điện'!E7</f>
        <v>1</v>
      </c>
      <c r="D16" s="76">
        <f>'Cấu hình điện'!E8</f>
        <v>0</v>
      </c>
      <c r="E16" s="76">
        <f>'Cấu hình điện'!E12</f>
        <v>0</v>
      </c>
      <c r="F16" s="76">
        <f>'Cấu hình điện'!E9</f>
        <v>0</v>
      </c>
      <c r="G16" s="76">
        <f>'Cấu hình điện'!E10</f>
        <v>0</v>
      </c>
      <c r="H16" s="76">
        <f>SUM(B16:G16)</f>
        <v>32</v>
      </c>
    </row>
    <row r="17" spans="1:8" ht="14.25" customHeight="1">
      <c r="A17" s="75" t="s">
        <v>57</v>
      </c>
      <c r="B17" s="76">
        <f>'Cấu hình chủ thể'!E6</f>
        <v>42</v>
      </c>
      <c r="C17" s="76">
        <f>'Cấu hình chủ thể'!E7</f>
        <v>0</v>
      </c>
      <c r="D17" s="76">
        <f>'Cấu hình chủ thể'!E8</f>
        <v>0</v>
      </c>
      <c r="E17" s="76">
        <f>'Cấu hình chủ thể'!E11</f>
        <v>0</v>
      </c>
      <c r="F17" s="76">
        <f>'Cấu hình chủ thể'!E10</f>
        <v>0</v>
      </c>
      <c r="G17" s="76">
        <f>'Cấu hình chủ thể'!E9</f>
        <v>0</v>
      </c>
      <c r="H17" s="76">
        <f>SUM(B17:G17)</f>
        <v>42</v>
      </c>
    </row>
    <row r="18" spans="1:8" ht="14.25" customHeight="1">
      <c r="A18" s="75" t="s">
        <v>58</v>
      </c>
      <c r="B18" s="76">
        <f>'Sàng lọc điện'!E6</f>
        <v>8</v>
      </c>
      <c r="C18" s="76">
        <f>'Sàng lọc điện'!E7</f>
        <v>0</v>
      </c>
      <c r="D18" s="76">
        <f>'Sàng lọc điện'!E11</f>
        <v>0</v>
      </c>
      <c r="E18" s="76">
        <f>'Sàng lọc điện'!E10</f>
        <v>0</v>
      </c>
      <c r="F18" s="76">
        <f>'Sàng lọc điện'!E9</f>
        <v>0</v>
      </c>
      <c r="G18" s="76">
        <f>'Sàng lọc điện'!E8</f>
        <v>52</v>
      </c>
      <c r="H18" s="76">
        <f>SUM(B18:G18)</f>
        <v>60</v>
      </c>
    </row>
    <row r="19" spans="1:8">
      <c r="A19" s="77" t="s">
        <v>59</v>
      </c>
    </row>
    <row r="20" spans="1:8">
      <c r="A20" s="75" t="s">
        <v>59</v>
      </c>
      <c r="H20" s="78">
        <f>IFERROR(SUM(B15,C15,F15)/H15, 0)</f>
        <v>0.61194029850746268</v>
      </c>
    </row>
    <row r="21" spans="1:8">
      <c r="A21" s="75" t="s">
        <v>60</v>
      </c>
      <c r="H21" s="78">
        <f>IFERROR(SUM(B15,F15)/H15, 0)</f>
        <v>0.60447761194029848</v>
      </c>
    </row>
    <row r="22" spans="1:8">
      <c r="A22" s="77" t="s">
        <v>61</v>
      </c>
      <c r="B22" t="s">
        <v>4</v>
      </c>
    </row>
    <row r="23" spans="1:8">
      <c r="A23" s="77" t="s">
        <v>62</v>
      </c>
    </row>
    <row r="24" spans="1:8">
      <c r="A24" s="77" t="s">
        <v>63</v>
      </c>
    </row>
  </sheetData>
  <mergeCells count="11">
    <mergeCell ref="B5:C5"/>
    <mergeCell ref="F5:H5"/>
    <mergeCell ref="B6:C6"/>
    <mergeCell ref="F6:H6"/>
    <mergeCell ref="B7:C7"/>
    <mergeCell ref="F7:H7"/>
    <mergeCell ref="B8:C8"/>
    <mergeCell ref="F8:H8"/>
    <mergeCell ref="B10:C10"/>
    <mergeCell ref="F10:H10"/>
    <mergeCell ref="A11:B11"/>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U54"/>
  <sheetViews>
    <sheetView topLeftCell="A35" zoomScaleNormal="100" workbookViewId="0">
      <selection activeCell="B140" sqref="B140:B143"/>
    </sheetView>
  </sheetViews>
  <sheetFormatPr defaultColWidth="9.42578125" defaultRowHeight="23.25" customHeight="1" outlineLevelRow="1"/>
  <cols>
    <col min="1" max="1" width="12.5703125" style="79" customWidth="1"/>
    <col min="2" max="2" width="24.28515625" style="79" customWidth="1"/>
    <col min="3" max="3" width="9.42578125" style="79"/>
    <col min="4" max="4" width="42.42578125" style="79" customWidth="1"/>
    <col min="5" max="5" width="17.5703125" style="79" customWidth="1"/>
    <col min="6" max="6" width="54.85546875" style="79" customWidth="1"/>
    <col min="7" max="7" width="9.42578125" style="79"/>
    <col min="8" max="8" width="9.42578125" style="80"/>
    <col min="9" max="9" width="19.42578125" style="80" customWidth="1"/>
    <col min="10" max="12" width="16.28515625" style="80" customWidth="1"/>
    <col min="13" max="16384" width="9.42578125" style="79"/>
  </cols>
  <sheetData>
    <row r="1" spans="1:47" s="87" customFormat="1" ht="23.25" customHeight="1">
      <c r="A1" s="81" t="s">
        <v>64</v>
      </c>
      <c r="B1" s="81" t="s">
        <v>65</v>
      </c>
      <c r="C1" s="81"/>
      <c r="D1" s="81"/>
      <c r="E1" s="82"/>
      <c r="F1" s="83"/>
      <c r="G1" s="84"/>
      <c r="H1" s="85"/>
      <c r="I1" s="85"/>
      <c r="J1" s="85"/>
      <c r="K1" s="85"/>
      <c r="L1" s="85"/>
      <c r="M1" s="85"/>
      <c r="N1" s="86"/>
    </row>
    <row r="2" spans="1:47" s="87" customFormat="1" ht="23.25" customHeight="1">
      <c r="A2" s="81" t="s">
        <v>66</v>
      </c>
      <c r="B2" s="81" t="s">
        <v>67</v>
      </c>
      <c r="C2" s="81"/>
      <c r="D2" s="81"/>
      <c r="E2" s="82"/>
      <c r="F2" s="83"/>
      <c r="G2" s="84"/>
      <c r="H2" s="85"/>
      <c r="I2" s="85"/>
      <c r="J2" s="85"/>
      <c r="K2" s="85"/>
      <c r="L2" s="85"/>
      <c r="M2" s="85"/>
      <c r="N2" s="86"/>
    </row>
    <row r="3" spans="1:47" s="93" customFormat="1" ht="23.25" customHeight="1">
      <c r="A3" s="88"/>
      <c r="B3" s="89"/>
      <c r="C3" s="89"/>
      <c r="D3" s="89"/>
      <c r="E3" s="90"/>
      <c r="F3" s="83"/>
      <c r="G3" s="84"/>
      <c r="H3" s="85"/>
      <c r="I3" s="91"/>
      <c r="J3" s="91"/>
      <c r="K3" s="91"/>
      <c r="L3" s="91"/>
      <c r="M3" s="91"/>
      <c r="N3" s="92"/>
    </row>
    <row r="4" spans="1:47" s="96" customFormat="1" ht="23.25" customHeight="1">
      <c r="A4" s="94"/>
      <c r="B4" s="95" t="s">
        <v>68</v>
      </c>
      <c r="C4" s="95" t="s">
        <v>69</v>
      </c>
      <c r="D4" s="95" t="s">
        <v>70</v>
      </c>
      <c r="E4" s="95" t="s">
        <v>55</v>
      </c>
      <c r="G4" s="97"/>
      <c r="H4" s="98"/>
      <c r="I4" s="98"/>
      <c r="J4" s="98"/>
      <c r="K4" s="98"/>
      <c r="L4" s="98"/>
    </row>
    <row r="5" spans="1:47" s="96" customFormat="1" ht="23.25" customHeight="1">
      <c r="A5" s="99"/>
      <c r="B5" s="100">
        <f>SUM(B6:B11)</f>
        <v>0</v>
      </c>
      <c r="C5" s="100">
        <f>SUM(C6:C11)</f>
        <v>32</v>
      </c>
      <c r="D5" s="100">
        <f>SUM(D6:D11)</f>
        <v>0</v>
      </c>
      <c r="E5" s="101">
        <f t="shared" ref="E5:E12" si="0">SUM(B5:D5)</f>
        <v>32</v>
      </c>
      <c r="G5" s="97"/>
      <c r="H5" s="98"/>
      <c r="I5" s="98"/>
      <c r="J5" s="98"/>
      <c r="K5" s="98"/>
      <c r="L5" s="98"/>
    </row>
    <row r="6" spans="1:47" s="92" customFormat="1" ht="23.25" customHeight="1">
      <c r="A6" s="82" t="s">
        <v>49</v>
      </c>
      <c r="B6" s="102">
        <f>COUNTIFS($J:$J, $A$6,$H:$H,B$4)</f>
        <v>0</v>
      </c>
      <c r="C6" s="102">
        <f>COUNTIFS($J:$J, $A$6,$H:$H,C$4)</f>
        <v>31</v>
      </c>
      <c r="D6" s="102">
        <f>COUNTIFS($J:$J, $A$6,$H:$H,D$4)</f>
        <v>0</v>
      </c>
      <c r="E6" s="102">
        <f t="shared" si="0"/>
        <v>31</v>
      </c>
      <c r="G6" s="103"/>
      <c r="H6" s="91"/>
      <c r="I6" s="91"/>
      <c r="J6" s="91"/>
      <c r="K6" s="91"/>
      <c r="L6" s="91"/>
    </row>
    <row r="7" spans="1:47" s="92" customFormat="1" ht="23.25" customHeight="1">
      <c r="A7" s="82" t="s">
        <v>50</v>
      </c>
      <c r="B7" s="102">
        <f>COUNTIFS($J:$J, $A$7,$H:$H,B$4)</f>
        <v>0</v>
      </c>
      <c r="C7" s="102">
        <f>COUNTIFS($J:$J, $A$7,$H:$H,C$4)</f>
        <v>1</v>
      </c>
      <c r="D7" s="102">
        <f>COUNTIFS($J:$J, $A$7,$H:$H,D$4)</f>
        <v>0</v>
      </c>
      <c r="E7" s="102">
        <f t="shared" si="0"/>
        <v>1</v>
      </c>
      <c r="G7" s="103"/>
      <c r="H7" s="91"/>
      <c r="I7" s="91"/>
      <c r="J7" s="91"/>
      <c r="K7" s="91"/>
      <c r="L7" s="91"/>
    </row>
    <row r="8" spans="1:47" s="92" customFormat="1" ht="23.25" customHeight="1">
      <c r="A8" s="82" t="s">
        <v>51</v>
      </c>
      <c r="B8" s="102">
        <f t="shared" ref="B8:D9" si="1">COUNTIFS($J:$J, $A$8,H:H,B$4)</f>
        <v>0</v>
      </c>
      <c r="C8" s="102">
        <f t="shared" si="1"/>
        <v>0</v>
      </c>
      <c r="D8" s="102">
        <f t="shared" si="1"/>
        <v>0</v>
      </c>
      <c r="E8" s="102">
        <f t="shared" si="0"/>
        <v>0</v>
      </c>
      <c r="G8" s="103"/>
      <c r="H8" s="91"/>
      <c r="I8" s="91"/>
      <c r="J8" s="91"/>
      <c r="K8" s="91"/>
      <c r="L8" s="91"/>
    </row>
    <row r="9" spans="1:47" s="92" customFormat="1" ht="23.25" customHeight="1">
      <c r="A9" s="82" t="s">
        <v>71</v>
      </c>
      <c r="B9" s="102">
        <f t="shared" si="1"/>
        <v>0</v>
      </c>
      <c r="C9" s="102">
        <f t="shared" si="1"/>
        <v>0</v>
      </c>
      <c r="D9" s="102">
        <f t="shared" si="1"/>
        <v>0</v>
      </c>
      <c r="E9" s="102">
        <f t="shared" si="0"/>
        <v>0</v>
      </c>
      <c r="F9" s="79"/>
      <c r="G9" s="79"/>
      <c r="H9" s="80"/>
      <c r="I9" s="80"/>
      <c r="J9" s="80"/>
      <c r="K9" s="80"/>
      <c r="L9" s="80"/>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row>
    <row r="10" spans="1:47" s="92" customFormat="1" ht="23.25" customHeight="1">
      <c r="A10" s="82" t="s">
        <v>54</v>
      </c>
      <c r="B10" s="102">
        <f>COUNTIFS($J:$J, $A$10,$H:$H,B$4)</f>
        <v>0</v>
      </c>
      <c r="C10" s="102">
        <f>COUNTIFS($J:$J, $A$10,$H:$H,C$4)</f>
        <v>0</v>
      </c>
      <c r="D10" s="102">
        <f>COUNTIFS($J:$J, $A$10,$H:$H,D$4)</f>
        <v>0</v>
      </c>
      <c r="E10" s="102">
        <f t="shared" si="0"/>
        <v>0</v>
      </c>
      <c r="G10" s="103"/>
      <c r="H10" s="91"/>
      <c r="I10" s="91"/>
      <c r="J10" s="91"/>
      <c r="K10" s="91"/>
      <c r="L10" s="91"/>
    </row>
    <row r="11" spans="1:47" s="92" customFormat="1" ht="23.25" customHeight="1">
      <c r="A11" s="82" t="s">
        <v>72</v>
      </c>
      <c r="B11" s="102">
        <f>COUNTIFS($J:$J, $A$11,$H:$H,B$4)</f>
        <v>0</v>
      </c>
      <c r="C11" s="102">
        <f>COUNTIFS($J:$J, $A$11,$H:$H,C$4)</f>
        <v>0</v>
      </c>
      <c r="D11" s="102">
        <f>COUNTIFS($J:$J, $A$11,$H:$H,D$4)</f>
        <v>0</v>
      </c>
      <c r="E11" s="102">
        <f t="shared" si="0"/>
        <v>0</v>
      </c>
      <c r="G11" s="103"/>
      <c r="H11" s="91"/>
      <c r="I11" s="91"/>
      <c r="J11" s="91"/>
      <c r="K11" s="91"/>
      <c r="L11" s="91"/>
    </row>
    <row r="12" spans="1:47" s="92" customFormat="1" ht="23.25" customHeight="1">
      <c r="A12" s="82" t="s">
        <v>52</v>
      </c>
      <c r="B12" s="102">
        <f>COUNTIFS($J:$J, $A$12,H:H,B$4)</f>
        <v>0</v>
      </c>
      <c r="C12" s="102">
        <f>COUNTIFS($J:$J, $A$12,I:I,C$4)</f>
        <v>0</v>
      </c>
      <c r="D12" s="102">
        <f>COUNTIFS($J:$J, $A$12,J:J,D$4)</f>
        <v>0</v>
      </c>
      <c r="E12" s="102">
        <f t="shared" si="0"/>
        <v>0</v>
      </c>
      <c r="G12" s="103"/>
      <c r="H12" s="91"/>
      <c r="I12" s="91"/>
      <c r="J12" s="91"/>
      <c r="K12" s="91"/>
      <c r="L12" s="91"/>
    </row>
    <row r="13" spans="1:47" ht="23.25" customHeight="1">
      <c r="H13" s="79"/>
      <c r="I13" s="79"/>
      <c r="J13" s="79"/>
      <c r="K13" s="79"/>
      <c r="L13" s="79"/>
    </row>
    <row r="15" spans="1:47" ht="23.25" customHeight="1">
      <c r="A15" s="104" t="s">
        <v>73</v>
      </c>
      <c r="B15" s="104" t="s">
        <v>74</v>
      </c>
      <c r="C15" s="104" t="s">
        <v>75</v>
      </c>
      <c r="D15" s="104" t="s">
        <v>76</v>
      </c>
      <c r="E15" s="104" t="s">
        <v>77</v>
      </c>
      <c r="F15" s="104" t="s">
        <v>78</v>
      </c>
      <c r="G15" s="104" t="s">
        <v>42</v>
      </c>
      <c r="H15" s="105" t="s">
        <v>79</v>
      </c>
      <c r="I15" s="105" t="s">
        <v>80</v>
      </c>
      <c r="J15" s="105" t="s">
        <v>81</v>
      </c>
      <c r="K15" s="105" t="s">
        <v>82</v>
      </c>
      <c r="L15" s="105" t="s">
        <v>83</v>
      </c>
      <c r="M15" s="104" t="s">
        <v>84</v>
      </c>
      <c r="N15" s="104" t="s">
        <v>85</v>
      </c>
    </row>
    <row r="16" spans="1:47" ht="23.25" customHeight="1">
      <c r="A16" s="106"/>
      <c r="B16" s="107" t="s">
        <v>86</v>
      </c>
      <c r="C16" s="108"/>
      <c r="D16" s="108"/>
      <c r="E16" s="108"/>
      <c r="F16" s="108"/>
      <c r="G16" s="108"/>
      <c r="H16" s="109"/>
      <c r="I16" s="109"/>
      <c r="J16" s="109"/>
      <c r="K16" s="109"/>
      <c r="L16" s="109"/>
      <c r="M16" s="108"/>
      <c r="N16" s="108"/>
    </row>
    <row r="17" spans="1:47" ht="23.25" customHeight="1" outlineLevel="1">
      <c r="A17" s="110" t="s">
        <v>87</v>
      </c>
      <c r="B17" s="110" t="s">
        <v>88</v>
      </c>
      <c r="C17" s="111"/>
      <c r="D17" s="110" t="s">
        <v>89</v>
      </c>
      <c r="E17" s="112"/>
      <c r="F17" s="110" t="s">
        <v>90</v>
      </c>
      <c r="G17" s="113"/>
      <c r="H17" s="113" t="s">
        <v>69</v>
      </c>
      <c r="I17" s="113" t="s">
        <v>91</v>
      </c>
      <c r="J17" s="113" t="s">
        <v>49</v>
      </c>
      <c r="K17" s="113" t="s">
        <v>54</v>
      </c>
      <c r="L17" s="113" t="s">
        <v>54</v>
      </c>
      <c r="M17" s="112"/>
      <c r="N17" s="112"/>
    </row>
    <row r="18" spans="1:47" s="114" customFormat="1" ht="23.25" customHeight="1" outlineLevel="1">
      <c r="A18" s="110" t="s">
        <v>92</v>
      </c>
      <c r="B18" s="110" t="s">
        <v>93</v>
      </c>
      <c r="C18" s="111"/>
      <c r="D18" s="110" t="s">
        <v>94</v>
      </c>
      <c r="E18" s="112"/>
      <c r="F18" s="110" t="s">
        <v>95</v>
      </c>
      <c r="G18" s="113"/>
      <c r="H18" s="113" t="s">
        <v>69</v>
      </c>
      <c r="I18" s="113" t="s">
        <v>91</v>
      </c>
      <c r="J18" s="113" t="s">
        <v>49</v>
      </c>
      <c r="K18" s="113" t="s">
        <v>54</v>
      </c>
      <c r="L18" s="113" t="s">
        <v>54</v>
      </c>
      <c r="M18" s="112"/>
      <c r="N18" s="112"/>
      <c r="O18" s="79"/>
      <c r="P18" s="79"/>
      <c r="Q18" s="79"/>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row>
    <row r="19" spans="1:47" ht="23.25" customHeight="1">
      <c r="A19" s="110" t="s">
        <v>96</v>
      </c>
      <c r="B19" s="110" t="s">
        <v>97</v>
      </c>
      <c r="C19" s="111"/>
      <c r="D19" s="110" t="s">
        <v>98</v>
      </c>
      <c r="E19" s="112"/>
      <c r="F19" s="110" t="s">
        <v>99</v>
      </c>
      <c r="G19" s="113"/>
      <c r="H19" s="113" t="s">
        <v>69</v>
      </c>
      <c r="I19" s="113" t="s">
        <v>91</v>
      </c>
      <c r="J19" s="113" t="s">
        <v>49</v>
      </c>
      <c r="K19" s="113" t="s">
        <v>54</v>
      </c>
      <c r="L19" s="113" t="s">
        <v>54</v>
      </c>
      <c r="M19" s="112"/>
      <c r="N19" s="112"/>
    </row>
    <row r="20" spans="1:47" ht="23.25" customHeight="1">
      <c r="A20" s="110" t="s">
        <v>100</v>
      </c>
      <c r="B20" s="110" t="s">
        <v>101</v>
      </c>
      <c r="C20" s="111"/>
      <c r="D20" s="110" t="s">
        <v>102</v>
      </c>
      <c r="E20" s="112"/>
      <c r="F20" s="110" t="s">
        <v>103</v>
      </c>
      <c r="G20" s="113"/>
      <c r="H20" s="113" t="s">
        <v>69</v>
      </c>
      <c r="I20" s="113" t="s">
        <v>91</v>
      </c>
      <c r="J20" s="113" t="s">
        <v>49</v>
      </c>
      <c r="K20" s="113" t="s">
        <v>54</v>
      </c>
      <c r="L20" s="113" t="s">
        <v>54</v>
      </c>
      <c r="M20" s="112"/>
      <c r="N20" s="112"/>
    </row>
    <row r="21" spans="1:47" ht="23.25" customHeight="1">
      <c r="A21" s="110" t="s">
        <v>104</v>
      </c>
      <c r="B21" s="110" t="s">
        <v>105</v>
      </c>
      <c r="C21" s="111"/>
      <c r="D21" s="110" t="s">
        <v>106</v>
      </c>
      <c r="E21" s="112"/>
      <c r="F21" s="110" t="s">
        <v>107</v>
      </c>
      <c r="G21" s="113"/>
      <c r="H21" s="113" t="s">
        <v>69</v>
      </c>
      <c r="I21" s="113" t="s">
        <v>91</v>
      </c>
      <c r="J21" s="113" t="s">
        <v>49</v>
      </c>
      <c r="K21" s="113" t="s">
        <v>54</v>
      </c>
      <c r="L21" s="113" t="s">
        <v>54</v>
      </c>
      <c r="M21" s="112"/>
      <c r="N21" s="112"/>
    </row>
    <row r="22" spans="1:47" ht="23.25" customHeight="1">
      <c r="A22" s="106"/>
      <c r="B22" s="107" t="s">
        <v>108</v>
      </c>
      <c r="C22" s="108"/>
      <c r="D22" s="108"/>
      <c r="E22" s="108"/>
      <c r="F22" s="108"/>
      <c r="G22" s="108"/>
      <c r="H22" s="109"/>
      <c r="I22" s="109"/>
      <c r="J22" s="109"/>
      <c r="K22" s="109"/>
      <c r="L22" s="109"/>
      <c r="M22" s="108"/>
      <c r="N22" s="108"/>
    </row>
    <row r="23" spans="1:47" ht="23.25" customHeight="1" outlineLevel="1">
      <c r="A23" s="110" t="s">
        <v>109</v>
      </c>
      <c r="B23" s="110" t="s">
        <v>110</v>
      </c>
      <c r="C23" s="111"/>
      <c r="D23" s="110" t="s">
        <v>111</v>
      </c>
      <c r="E23" s="112"/>
      <c r="F23" s="110" t="s">
        <v>112</v>
      </c>
      <c r="G23" s="113"/>
      <c r="H23" s="113" t="s">
        <v>69</v>
      </c>
      <c r="I23" s="113" t="s">
        <v>91</v>
      </c>
      <c r="J23" s="113" t="s">
        <v>49</v>
      </c>
      <c r="K23" s="113" t="s">
        <v>54</v>
      </c>
      <c r="L23" s="113" t="s">
        <v>54</v>
      </c>
      <c r="M23" s="112"/>
      <c r="N23" s="112"/>
    </row>
    <row r="24" spans="1:47" s="114" customFormat="1" ht="23.25" customHeight="1" outlineLevel="1">
      <c r="A24" s="110" t="s">
        <v>113</v>
      </c>
      <c r="B24" s="110" t="s">
        <v>114</v>
      </c>
      <c r="C24" s="111"/>
      <c r="D24" s="110" t="s">
        <v>115</v>
      </c>
      <c r="E24" s="112"/>
      <c r="F24" s="110" t="s">
        <v>116</v>
      </c>
      <c r="G24" s="113"/>
      <c r="H24" s="113" t="s">
        <v>69</v>
      </c>
      <c r="I24" s="113" t="s">
        <v>91</v>
      </c>
      <c r="J24" s="113" t="s">
        <v>49</v>
      </c>
      <c r="K24" s="113" t="s">
        <v>54</v>
      </c>
      <c r="L24" s="113" t="s">
        <v>54</v>
      </c>
      <c r="M24" s="112"/>
      <c r="N24" s="112"/>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row>
    <row r="25" spans="1:47" ht="23.25" customHeight="1">
      <c r="A25" s="110" t="s">
        <v>117</v>
      </c>
      <c r="B25" s="110" t="s">
        <v>118</v>
      </c>
      <c r="C25" s="111"/>
      <c r="D25" s="110" t="s">
        <v>119</v>
      </c>
      <c r="E25" s="112"/>
      <c r="F25" s="110" t="s">
        <v>99</v>
      </c>
      <c r="G25" s="113"/>
      <c r="H25" s="113" t="s">
        <v>69</v>
      </c>
      <c r="I25" s="113" t="s">
        <v>91</v>
      </c>
      <c r="J25" s="113" t="s">
        <v>49</v>
      </c>
      <c r="K25" s="113" t="s">
        <v>54</v>
      </c>
      <c r="L25" s="113" t="s">
        <v>54</v>
      </c>
      <c r="M25" s="112"/>
      <c r="N25" s="112"/>
    </row>
    <row r="26" spans="1:47" ht="23.25" customHeight="1">
      <c r="A26" s="110" t="s">
        <v>120</v>
      </c>
      <c r="B26" s="110" t="s">
        <v>121</v>
      </c>
      <c r="C26" s="111"/>
      <c r="D26" s="110" t="s">
        <v>122</v>
      </c>
      <c r="E26" s="112"/>
      <c r="F26" s="110" t="s">
        <v>123</v>
      </c>
      <c r="G26" s="113"/>
      <c r="H26" s="113" t="s">
        <v>69</v>
      </c>
      <c r="I26" s="113" t="s">
        <v>91</v>
      </c>
      <c r="J26" s="113" t="s">
        <v>49</v>
      </c>
      <c r="K26" s="113" t="s">
        <v>54</v>
      </c>
      <c r="L26" s="113" t="s">
        <v>54</v>
      </c>
      <c r="M26" s="112"/>
      <c r="N26" s="112"/>
    </row>
    <row r="27" spans="1:47" ht="23.25" customHeight="1">
      <c r="A27" s="110" t="s">
        <v>124</v>
      </c>
      <c r="B27" s="110" t="s">
        <v>125</v>
      </c>
      <c r="C27" s="111"/>
      <c r="D27" s="110" t="s">
        <v>126</v>
      </c>
      <c r="E27" s="112"/>
      <c r="F27" s="110" t="s">
        <v>127</v>
      </c>
      <c r="G27" s="113"/>
      <c r="H27" s="113" t="s">
        <v>69</v>
      </c>
      <c r="I27" s="113" t="s">
        <v>91</v>
      </c>
      <c r="J27" s="113" t="s">
        <v>49</v>
      </c>
      <c r="K27" s="113" t="s">
        <v>54</v>
      </c>
      <c r="L27" s="113" t="s">
        <v>54</v>
      </c>
      <c r="M27" s="112"/>
      <c r="N27" s="112"/>
    </row>
    <row r="28" spans="1:47" ht="23.25" customHeight="1">
      <c r="A28" s="106"/>
      <c r="B28" s="107" t="s">
        <v>128</v>
      </c>
      <c r="C28" s="108"/>
      <c r="D28" s="108"/>
      <c r="E28" s="108"/>
      <c r="F28" s="108"/>
      <c r="G28" s="108"/>
      <c r="H28" s="109"/>
      <c r="I28" s="109"/>
      <c r="J28" s="109"/>
      <c r="K28" s="109"/>
      <c r="L28" s="109"/>
      <c r="M28" s="108"/>
      <c r="N28" s="108"/>
    </row>
    <row r="29" spans="1:47" ht="23.25" customHeight="1" outlineLevel="1">
      <c r="A29" s="110" t="s">
        <v>129</v>
      </c>
      <c r="B29" s="110" t="s">
        <v>130</v>
      </c>
      <c r="C29" s="111"/>
      <c r="D29" s="110" t="s">
        <v>131</v>
      </c>
      <c r="E29" s="112"/>
      <c r="F29" s="110" t="s">
        <v>132</v>
      </c>
      <c r="G29" s="113"/>
      <c r="H29" s="113" t="s">
        <v>69</v>
      </c>
      <c r="I29" s="113" t="s">
        <v>91</v>
      </c>
      <c r="J29" s="113" t="s">
        <v>49</v>
      </c>
      <c r="K29" s="113" t="s">
        <v>54</v>
      </c>
      <c r="L29" s="113" t="s">
        <v>54</v>
      </c>
      <c r="M29" s="112"/>
      <c r="N29" s="112"/>
    </row>
    <row r="30" spans="1:47" s="114" customFormat="1" ht="23.25" customHeight="1" outlineLevel="1">
      <c r="A30" s="110" t="s">
        <v>133</v>
      </c>
      <c r="B30" s="110" t="s">
        <v>134</v>
      </c>
      <c r="C30" s="111"/>
      <c r="D30" s="110" t="s">
        <v>135</v>
      </c>
      <c r="E30" s="112"/>
      <c r="F30" s="110" t="s">
        <v>136</v>
      </c>
      <c r="G30" s="113"/>
      <c r="H30" s="113" t="s">
        <v>69</v>
      </c>
      <c r="I30" s="113" t="s">
        <v>91</v>
      </c>
      <c r="J30" s="113" t="s">
        <v>49</v>
      </c>
      <c r="K30" s="113" t="s">
        <v>54</v>
      </c>
      <c r="L30" s="113" t="s">
        <v>54</v>
      </c>
      <c r="M30" s="112"/>
      <c r="N30" s="112"/>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row>
    <row r="31" spans="1:47" ht="23.25" customHeight="1">
      <c r="A31" s="110" t="s">
        <v>137</v>
      </c>
      <c r="B31" s="110" t="s">
        <v>138</v>
      </c>
      <c r="C31" s="111"/>
      <c r="D31" s="110" t="s">
        <v>139</v>
      </c>
      <c r="E31" s="112"/>
      <c r="F31" s="110" t="s">
        <v>99</v>
      </c>
      <c r="G31" s="113"/>
      <c r="H31" s="113" t="s">
        <v>69</v>
      </c>
      <c r="I31" s="113" t="s">
        <v>91</v>
      </c>
      <c r="J31" s="113" t="s">
        <v>49</v>
      </c>
      <c r="K31" s="113" t="s">
        <v>54</v>
      </c>
      <c r="L31" s="113" t="s">
        <v>54</v>
      </c>
      <c r="M31" s="112"/>
      <c r="N31" s="112"/>
    </row>
    <row r="32" spans="1:47" ht="23.25" customHeight="1">
      <c r="A32" s="110" t="s">
        <v>140</v>
      </c>
      <c r="B32" s="110" t="s">
        <v>141</v>
      </c>
      <c r="C32" s="111"/>
      <c r="D32" s="110" t="s">
        <v>142</v>
      </c>
      <c r="E32" s="112"/>
      <c r="F32" s="110" t="s">
        <v>103</v>
      </c>
      <c r="G32" s="113"/>
      <c r="H32" s="113" t="s">
        <v>69</v>
      </c>
      <c r="I32" s="113" t="s">
        <v>91</v>
      </c>
      <c r="J32" s="113" t="s">
        <v>49</v>
      </c>
      <c r="K32" s="113" t="s">
        <v>54</v>
      </c>
      <c r="L32" s="113" t="s">
        <v>54</v>
      </c>
      <c r="M32" s="112"/>
      <c r="N32" s="112"/>
    </row>
    <row r="33" spans="1:47" ht="23.25" customHeight="1">
      <c r="A33" s="110" t="s">
        <v>143</v>
      </c>
      <c r="B33" s="110" t="s">
        <v>144</v>
      </c>
      <c r="C33" s="111"/>
      <c r="D33" s="110" t="s">
        <v>145</v>
      </c>
      <c r="E33" s="112"/>
      <c r="F33" s="110" t="s">
        <v>146</v>
      </c>
      <c r="G33" s="113"/>
      <c r="H33" s="113" t="s">
        <v>69</v>
      </c>
      <c r="I33" s="113" t="s">
        <v>91</v>
      </c>
      <c r="J33" s="113" t="s">
        <v>49</v>
      </c>
      <c r="K33" s="113" t="s">
        <v>54</v>
      </c>
      <c r="L33" s="113" t="s">
        <v>54</v>
      </c>
      <c r="M33" s="112"/>
      <c r="N33" s="112"/>
    </row>
    <row r="34" spans="1:47" ht="23.25" customHeight="1">
      <c r="A34" s="106"/>
      <c r="B34" s="107" t="s">
        <v>147</v>
      </c>
      <c r="C34" s="108"/>
      <c r="D34" s="108"/>
      <c r="E34" s="108"/>
      <c r="F34" s="108"/>
      <c r="G34" s="108"/>
      <c r="H34" s="109"/>
      <c r="I34" s="109"/>
      <c r="J34" s="109"/>
      <c r="K34" s="109"/>
      <c r="L34" s="109"/>
      <c r="M34" s="108"/>
      <c r="N34" s="108"/>
    </row>
    <row r="35" spans="1:47" ht="300" outlineLevel="1">
      <c r="A35" s="110" t="s">
        <v>148</v>
      </c>
      <c r="B35" s="110" t="s">
        <v>149</v>
      </c>
      <c r="C35" s="111"/>
      <c r="D35" s="110" t="s">
        <v>150</v>
      </c>
      <c r="E35" s="112"/>
      <c r="F35" s="110" t="s">
        <v>151</v>
      </c>
      <c r="G35" s="113"/>
      <c r="H35" s="113" t="s">
        <v>69</v>
      </c>
      <c r="I35" s="113" t="s">
        <v>91</v>
      </c>
      <c r="J35" s="113" t="s">
        <v>49</v>
      </c>
      <c r="K35" s="113" t="s">
        <v>54</v>
      </c>
      <c r="L35" s="113" t="s">
        <v>54</v>
      </c>
      <c r="M35" s="112"/>
      <c r="N35" s="112"/>
    </row>
    <row r="36" spans="1:47" s="114" customFormat="1" ht="210" outlineLevel="1">
      <c r="A36" s="110" t="s">
        <v>152</v>
      </c>
      <c r="B36" s="110" t="s">
        <v>153</v>
      </c>
      <c r="C36" s="111"/>
      <c r="D36" s="110" t="s">
        <v>154</v>
      </c>
      <c r="E36" s="112"/>
      <c r="F36" s="110" t="s">
        <v>155</v>
      </c>
      <c r="G36" s="113"/>
      <c r="H36" s="113" t="s">
        <v>69</v>
      </c>
      <c r="I36" s="113" t="s">
        <v>91</v>
      </c>
      <c r="J36" s="113" t="s">
        <v>49</v>
      </c>
      <c r="K36" s="113" t="s">
        <v>54</v>
      </c>
      <c r="L36" s="113" t="s">
        <v>54</v>
      </c>
      <c r="M36" s="112"/>
      <c r="N36" s="112"/>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row>
    <row r="37" spans="1:47" ht="165">
      <c r="A37" s="110" t="s">
        <v>156</v>
      </c>
      <c r="B37" s="110" t="s">
        <v>157</v>
      </c>
      <c r="C37" s="111"/>
      <c r="D37" s="110" t="s">
        <v>158</v>
      </c>
      <c r="E37" s="112"/>
      <c r="F37" s="110" t="s">
        <v>99</v>
      </c>
      <c r="G37" s="113"/>
      <c r="H37" s="113" t="s">
        <v>69</v>
      </c>
      <c r="I37" s="113" t="s">
        <v>91</v>
      </c>
      <c r="J37" s="113" t="s">
        <v>49</v>
      </c>
      <c r="K37" s="113" t="s">
        <v>54</v>
      </c>
      <c r="L37" s="113" t="s">
        <v>54</v>
      </c>
      <c r="M37" s="112"/>
      <c r="N37" s="112"/>
    </row>
    <row r="38" spans="1:47" ht="300">
      <c r="A38" s="110" t="s">
        <v>159</v>
      </c>
      <c r="B38" s="110" t="s">
        <v>160</v>
      </c>
      <c r="C38" s="111"/>
      <c r="D38" s="110" t="s">
        <v>161</v>
      </c>
      <c r="E38" s="112"/>
      <c r="F38" s="110" t="s">
        <v>162</v>
      </c>
      <c r="G38" s="113"/>
      <c r="H38" s="113" t="s">
        <v>69</v>
      </c>
      <c r="I38" s="113" t="s">
        <v>91</v>
      </c>
      <c r="J38" s="113" t="s">
        <v>49</v>
      </c>
      <c r="K38" s="113" t="s">
        <v>54</v>
      </c>
      <c r="L38" s="113" t="s">
        <v>54</v>
      </c>
      <c r="M38" s="112"/>
      <c r="N38" s="112"/>
    </row>
    <row r="39" spans="1:47" ht="285">
      <c r="A39" s="110" t="s">
        <v>163</v>
      </c>
      <c r="B39" s="110" t="s">
        <v>164</v>
      </c>
      <c r="C39" s="111"/>
      <c r="D39" s="110" t="s">
        <v>165</v>
      </c>
      <c r="E39" s="112"/>
      <c r="F39" s="110" t="s">
        <v>166</v>
      </c>
      <c r="G39" s="113"/>
      <c r="H39" s="113" t="s">
        <v>69</v>
      </c>
      <c r="I39" s="113" t="s">
        <v>91</v>
      </c>
      <c r="J39" s="113" t="s">
        <v>49</v>
      </c>
      <c r="K39" s="113" t="s">
        <v>54</v>
      </c>
      <c r="L39" s="113" t="s">
        <v>54</v>
      </c>
      <c r="M39" s="112"/>
      <c r="N39" s="112"/>
    </row>
    <row r="40" spans="1:47" ht="23.25" customHeight="1">
      <c r="A40" s="106"/>
      <c r="B40" s="107" t="s">
        <v>167</v>
      </c>
      <c r="C40" s="108"/>
      <c r="D40" s="108"/>
      <c r="E40" s="108"/>
      <c r="F40" s="108"/>
      <c r="G40" s="108"/>
      <c r="H40" s="109"/>
      <c r="I40" s="109"/>
      <c r="J40" s="109"/>
      <c r="K40" s="109"/>
      <c r="L40" s="109"/>
      <c r="M40" s="108"/>
      <c r="N40" s="108"/>
    </row>
    <row r="41" spans="1:47" ht="23.25" customHeight="1" outlineLevel="1">
      <c r="A41" s="110" t="s">
        <v>168</v>
      </c>
      <c r="B41" s="110" t="s">
        <v>169</v>
      </c>
      <c r="C41" s="111"/>
      <c r="D41" s="110" t="s">
        <v>170</v>
      </c>
      <c r="E41" s="112"/>
      <c r="F41" s="110" t="s">
        <v>171</v>
      </c>
      <c r="G41" s="113"/>
      <c r="H41" s="113" t="s">
        <v>69</v>
      </c>
      <c r="I41" s="113" t="s">
        <v>91</v>
      </c>
      <c r="J41" s="113" t="s">
        <v>49</v>
      </c>
      <c r="K41" s="113" t="s">
        <v>54</v>
      </c>
      <c r="L41" s="113" t="s">
        <v>54</v>
      </c>
      <c r="M41" s="112"/>
      <c r="N41" s="112"/>
    </row>
    <row r="42" spans="1:47" s="114" customFormat="1" ht="23.25" customHeight="1" outlineLevel="1">
      <c r="A42" s="110" t="s">
        <v>172</v>
      </c>
      <c r="B42" s="110" t="s">
        <v>173</v>
      </c>
      <c r="C42" s="111"/>
      <c r="D42" s="110" t="s">
        <v>174</v>
      </c>
      <c r="E42" s="112"/>
      <c r="F42" s="110" t="s">
        <v>175</v>
      </c>
      <c r="G42" s="113"/>
      <c r="H42" s="113" t="s">
        <v>69</v>
      </c>
      <c r="I42" s="113" t="s">
        <v>91</v>
      </c>
      <c r="J42" s="113" t="s">
        <v>49</v>
      </c>
      <c r="K42" s="113" t="s">
        <v>54</v>
      </c>
      <c r="L42" s="113" t="s">
        <v>54</v>
      </c>
      <c r="M42" s="112"/>
      <c r="N42" s="112"/>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row>
    <row r="43" spans="1:47" ht="23.25" customHeight="1">
      <c r="A43" s="110" t="s">
        <v>176</v>
      </c>
      <c r="B43" s="110" t="s">
        <v>177</v>
      </c>
      <c r="C43" s="111"/>
      <c r="D43" s="110" t="s">
        <v>178</v>
      </c>
      <c r="E43" s="112"/>
      <c r="F43" s="110" t="s">
        <v>179</v>
      </c>
      <c r="G43" s="113"/>
      <c r="H43" s="113" t="s">
        <v>69</v>
      </c>
      <c r="I43" s="113" t="s">
        <v>91</v>
      </c>
      <c r="J43" s="113" t="s">
        <v>49</v>
      </c>
      <c r="K43" s="113" t="s">
        <v>54</v>
      </c>
      <c r="L43" s="113" t="s">
        <v>54</v>
      </c>
      <c r="M43" s="112"/>
      <c r="N43" s="112"/>
    </row>
    <row r="44" spans="1:47" ht="23.25" customHeight="1">
      <c r="A44" s="110" t="s">
        <v>180</v>
      </c>
      <c r="B44" s="110" t="s">
        <v>181</v>
      </c>
      <c r="C44" s="111"/>
      <c r="D44" s="110" t="s">
        <v>182</v>
      </c>
      <c r="E44" s="112"/>
      <c r="F44" s="110" t="s">
        <v>183</v>
      </c>
      <c r="G44" s="113"/>
      <c r="H44" s="113" t="s">
        <v>69</v>
      </c>
      <c r="I44" s="113" t="s">
        <v>91</v>
      </c>
      <c r="J44" s="113" t="s">
        <v>49</v>
      </c>
      <c r="K44" s="113" t="s">
        <v>54</v>
      </c>
      <c r="L44" s="113" t="s">
        <v>54</v>
      </c>
      <c r="M44" s="112"/>
      <c r="N44" s="112"/>
    </row>
    <row r="45" spans="1:47" ht="23.25" customHeight="1">
      <c r="A45" s="106"/>
      <c r="B45" s="107" t="s">
        <v>184</v>
      </c>
      <c r="C45" s="108"/>
      <c r="D45" s="108"/>
      <c r="E45" s="108"/>
      <c r="F45" s="108"/>
      <c r="G45" s="108"/>
      <c r="H45" s="109"/>
      <c r="I45" s="109"/>
      <c r="J45" s="109"/>
      <c r="K45" s="109"/>
      <c r="L45" s="109"/>
      <c r="M45" s="108"/>
      <c r="N45" s="108"/>
    </row>
    <row r="46" spans="1:47" ht="23.25" customHeight="1" outlineLevel="1">
      <c r="A46" s="110" t="s">
        <v>185</v>
      </c>
      <c r="B46" s="110" t="s">
        <v>186</v>
      </c>
      <c r="C46" s="111"/>
      <c r="D46" s="110" t="s">
        <v>187</v>
      </c>
      <c r="E46" s="112"/>
      <c r="F46" s="110" t="s">
        <v>188</v>
      </c>
      <c r="G46" s="113"/>
      <c r="H46" s="113" t="s">
        <v>69</v>
      </c>
      <c r="I46" s="113" t="s">
        <v>91</v>
      </c>
      <c r="J46" s="113" t="s">
        <v>49</v>
      </c>
      <c r="K46" s="113" t="s">
        <v>54</v>
      </c>
      <c r="L46" s="113" t="s">
        <v>54</v>
      </c>
      <c r="M46" s="112"/>
      <c r="N46" s="112"/>
    </row>
    <row r="47" spans="1:47" s="114" customFormat="1" ht="23.25" customHeight="1" outlineLevel="1">
      <c r="A47" s="110" t="s">
        <v>189</v>
      </c>
      <c r="B47" s="110" t="s">
        <v>190</v>
      </c>
      <c r="C47" s="111"/>
      <c r="D47" s="110" t="s">
        <v>191</v>
      </c>
      <c r="E47" s="112"/>
      <c r="F47" s="110" t="s">
        <v>192</v>
      </c>
      <c r="G47" s="113"/>
      <c r="H47" s="113" t="s">
        <v>69</v>
      </c>
      <c r="I47" s="113" t="s">
        <v>91</v>
      </c>
      <c r="J47" s="113" t="s">
        <v>50</v>
      </c>
      <c r="K47" s="113" t="s">
        <v>54</v>
      </c>
      <c r="L47" s="113" t="s">
        <v>54</v>
      </c>
      <c r="M47" s="112"/>
      <c r="N47" s="112"/>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row>
    <row r="48" spans="1:47" ht="23.25" customHeight="1">
      <c r="A48" s="110" t="s">
        <v>193</v>
      </c>
      <c r="B48" s="110" t="s">
        <v>194</v>
      </c>
      <c r="C48" s="111"/>
      <c r="D48" s="110" t="s">
        <v>195</v>
      </c>
      <c r="E48" s="112"/>
      <c r="F48" s="110" t="s">
        <v>196</v>
      </c>
      <c r="G48" s="113"/>
      <c r="H48" s="113" t="s">
        <v>69</v>
      </c>
      <c r="I48" s="113" t="s">
        <v>91</v>
      </c>
      <c r="J48" s="113" t="s">
        <v>49</v>
      </c>
      <c r="K48" s="113" t="s">
        <v>54</v>
      </c>
      <c r="L48" s="113" t="s">
        <v>54</v>
      </c>
      <c r="M48" s="112"/>
      <c r="N48" s="112"/>
    </row>
    <row r="49" spans="1:47" ht="23.25" customHeight="1">
      <c r="A49" s="110" t="s">
        <v>197</v>
      </c>
      <c r="B49" s="110" t="s">
        <v>198</v>
      </c>
      <c r="C49" s="111"/>
      <c r="D49" s="110" t="s">
        <v>199</v>
      </c>
      <c r="E49" s="112"/>
      <c r="F49" s="110" t="s">
        <v>200</v>
      </c>
      <c r="G49" s="113"/>
      <c r="H49" s="113" t="s">
        <v>69</v>
      </c>
      <c r="I49" s="113" t="s">
        <v>91</v>
      </c>
      <c r="J49" s="113" t="s">
        <v>49</v>
      </c>
      <c r="K49" s="113" t="s">
        <v>54</v>
      </c>
      <c r="L49" s="113" t="s">
        <v>54</v>
      </c>
      <c r="M49" s="112"/>
      <c r="N49" s="112"/>
    </row>
    <row r="50" spans="1:47" ht="23.25" customHeight="1">
      <c r="A50" s="106"/>
      <c r="B50" s="107" t="s">
        <v>201</v>
      </c>
      <c r="C50" s="108"/>
      <c r="D50" s="108"/>
      <c r="E50" s="108"/>
      <c r="F50" s="108"/>
      <c r="G50" s="108"/>
      <c r="H50" s="109"/>
      <c r="I50" s="109"/>
      <c r="J50" s="109"/>
      <c r="K50" s="109"/>
      <c r="L50" s="109"/>
      <c r="M50" s="108"/>
      <c r="N50" s="108"/>
    </row>
    <row r="51" spans="1:47" ht="23.25" customHeight="1" outlineLevel="1">
      <c r="A51" s="110" t="s">
        <v>202</v>
      </c>
      <c r="B51" s="110" t="s">
        <v>203</v>
      </c>
      <c r="C51" s="111"/>
      <c r="D51" s="110" t="s">
        <v>204</v>
      </c>
      <c r="E51" s="112"/>
      <c r="F51" s="110" t="s">
        <v>205</v>
      </c>
      <c r="G51" s="113"/>
      <c r="H51" s="113" t="s">
        <v>69</v>
      </c>
      <c r="I51" s="113" t="s">
        <v>91</v>
      </c>
      <c r="J51" s="113" t="s">
        <v>49</v>
      </c>
      <c r="K51" s="113" t="s">
        <v>54</v>
      </c>
      <c r="L51" s="113" t="s">
        <v>54</v>
      </c>
      <c r="M51" s="112"/>
      <c r="N51" s="112"/>
    </row>
    <row r="52" spans="1:47" s="114" customFormat="1" ht="23.25" customHeight="1" outlineLevel="1">
      <c r="A52" s="110" t="s">
        <v>206</v>
      </c>
      <c r="B52" s="110" t="s">
        <v>207</v>
      </c>
      <c r="C52" s="111"/>
      <c r="D52" s="110" t="s">
        <v>208</v>
      </c>
      <c r="E52" s="112"/>
      <c r="F52" s="110" t="s">
        <v>209</v>
      </c>
      <c r="G52" s="113"/>
      <c r="H52" s="113" t="s">
        <v>69</v>
      </c>
      <c r="I52" s="113" t="s">
        <v>91</v>
      </c>
      <c r="J52" s="113" t="s">
        <v>49</v>
      </c>
      <c r="K52" s="113" t="s">
        <v>54</v>
      </c>
      <c r="L52" s="113" t="s">
        <v>54</v>
      </c>
      <c r="M52" s="112"/>
      <c r="N52" s="112"/>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row>
    <row r="53" spans="1:47" ht="23.25" customHeight="1">
      <c r="A53" s="110" t="s">
        <v>210</v>
      </c>
      <c r="B53" s="110" t="s">
        <v>211</v>
      </c>
      <c r="C53" s="111"/>
      <c r="D53" s="110" t="s">
        <v>212</v>
      </c>
      <c r="E53" s="112"/>
      <c r="F53" s="110" t="s">
        <v>213</v>
      </c>
      <c r="G53" s="113"/>
      <c r="H53" s="113" t="s">
        <v>69</v>
      </c>
      <c r="I53" s="113" t="s">
        <v>91</v>
      </c>
      <c r="J53" s="113" t="s">
        <v>49</v>
      </c>
      <c r="K53" s="113" t="s">
        <v>54</v>
      </c>
      <c r="L53" s="113" t="s">
        <v>54</v>
      </c>
      <c r="M53" s="112"/>
      <c r="N53" s="112"/>
    </row>
    <row r="54" spans="1:47" ht="23.25" customHeight="1">
      <c r="A54" s="110" t="s">
        <v>214</v>
      </c>
      <c r="B54" s="110" t="s">
        <v>215</v>
      </c>
      <c r="C54" s="111"/>
      <c r="D54" s="110" t="s">
        <v>216</v>
      </c>
      <c r="E54" s="112"/>
      <c r="F54" s="110" t="s">
        <v>217</v>
      </c>
      <c r="G54" s="113"/>
      <c r="H54" s="113" t="s">
        <v>69</v>
      </c>
      <c r="I54" s="113" t="s">
        <v>91</v>
      </c>
      <c r="J54" s="113" t="s">
        <v>49</v>
      </c>
      <c r="K54" s="113" t="s">
        <v>54</v>
      </c>
      <c r="L54" s="113" t="s">
        <v>54</v>
      </c>
      <c r="M54" s="112"/>
      <c r="N54" s="112"/>
    </row>
  </sheetData>
  <autoFilter ref="A15:N15" xr:uid="{00000000-0001-0000-0400-000000000000}"/>
  <dataValidations count="1">
    <dataValidation type="list" allowBlank="1" showInputMessage="1" showErrorMessage="1" sqref="J16:L44 K45:K54 L45:L54 J45:J54" xr:uid="{00000000-0002-0000-0400-000000000000}">
      <formula1>"Passed,Failed,Untested,Accepted,Pending,Canceled"</formula1>
      <formula2>0</formula2>
    </dataValidation>
  </dataValidation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63"/>
  <sheetViews>
    <sheetView topLeftCell="A34" zoomScaleNormal="100" workbookViewId="0">
      <selection activeCell="D16" sqref="D16"/>
    </sheetView>
  </sheetViews>
  <sheetFormatPr defaultColWidth="13" defaultRowHeight="27" customHeight="1"/>
  <cols>
    <col min="1" max="1" width="24.5703125" style="79" customWidth="1"/>
    <col min="2" max="2" width="34" style="79" customWidth="1"/>
    <col min="3" max="7" width="13" style="79"/>
    <col min="8" max="12" width="13" style="80"/>
    <col min="13" max="16384" width="13" style="79"/>
  </cols>
  <sheetData>
    <row r="1" spans="1:14" s="87" customFormat="1" ht="27" customHeight="1">
      <c r="A1" s="81" t="s">
        <v>64</v>
      </c>
      <c r="B1" s="81" t="s">
        <v>65</v>
      </c>
      <c r="C1" s="81"/>
      <c r="D1" s="81"/>
      <c r="E1" s="82"/>
      <c r="F1" s="83"/>
      <c r="G1" s="84"/>
      <c r="H1" s="85"/>
      <c r="I1" s="85"/>
      <c r="J1" s="85"/>
      <c r="K1" s="85"/>
      <c r="L1" s="85"/>
      <c r="M1" s="85"/>
      <c r="N1" s="86"/>
    </row>
    <row r="2" spans="1:14" s="87" customFormat="1" ht="27" customHeight="1">
      <c r="A2" s="81" t="s">
        <v>66</v>
      </c>
      <c r="B2" s="81" t="s">
        <v>67</v>
      </c>
      <c r="C2" s="81"/>
      <c r="D2" s="81"/>
      <c r="E2" s="82"/>
      <c r="F2" s="83"/>
      <c r="G2" s="84"/>
      <c r="H2" s="85"/>
      <c r="I2" s="85"/>
      <c r="J2" s="85"/>
      <c r="K2" s="85"/>
      <c r="L2" s="85"/>
      <c r="M2" s="85"/>
      <c r="N2" s="86"/>
    </row>
    <row r="3" spans="1:14" s="93" customFormat="1" ht="27" customHeight="1">
      <c r="A3" s="115"/>
      <c r="B3" s="116"/>
      <c r="C3" s="116"/>
      <c r="D3" s="116"/>
      <c r="E3" s="82"/>
      <c r="F3" s="83"/>
      <c r="G3" s="84"/>
      <c r="H3" s="85"/>
      <c r="I3" s="91"/>
      <c r="J3" s="91"/>
      <c r="K3" s="91"/>
      <c r="L3" s="91"/>
      <c r="M3" s="91"/>
      <c r="N3" s="92"/>
    </row>
    <row r="4" spans="1:14" s="96" customFormat="1" ht="27" customHeight="1">
      <c r="A4" s="94"/>
      <c r="B4" s="95" t="s">
        <v>68</v>
      </c>
      <c r="C4" s="95" t="s">
        <v>69</v>
      </c>
      <c r="D4" s="95" t="s">
        <v>70</v>
      </c>
      <c r="E4" s="95" t="s">
        <v>55</v>
      </c>
      <c r="G4" s="97"/>
      <c r="H4" s="98"/>
      <c r="I4" s="98"/>
      <c r="J4" s="98"/>
      <c r="K4" s="98"/>
      <c r="L4" s="98"/>
    </row>
    <row r="5" spans="1:14" s="96" customFormat="1" ht="27" customHeight="1">
      <c r="A5" s="99"/>
      <c r="B5" s="100"/>
      <c r="C5" s="100">
        <f>SUM(C6:C11)</f>
        <v>42</v>
      </c>
      <c r="D5" s="100">
        <f>SUM(D6:D11)</f>
        <v>0</v>
      </c>
      <c r="E5" s="100">
        <f t="shared" ref="E5:E11" si="0">SUM(B5:D5)</f>
        <v>42</v>
      </c>
      <c r="G5" s="97"/>
      <c r="H5" s="98"/>
      <c r="I5" s="98"/>
      <c r="J5" s="98"/>
      <c r="K5" s="98"/>
      <c r="L5" s="98"/>
    </row>
    <row r="6" spans="1:14" s="92" customFormat="1" ht="27" customHeight="1">
      <c r="A6" s="82" t="s">
        <v>49</v>
      </c>
      <c r="B6" s="102">
        <f>COUNTIFS($J:$J, $A$6,$H:$H,B$4)</f>
        <v>0</v>
      </c>
      <c r="C6" s="102">
        <f>COUNTIFS($J:$J, $A$6,$H:$H,C$4)</f>
        <v>42</v>
      </c>
      <c r="D6" s="102">
        <f>COUNTIFS($J:$J, $A$6,$H:$H,D$4)</f>
        <v>0</v>
      </c>
      <c r="E6" s="102">
        <f t="shared" si="0"/>
        <v>42</v>
      </c>
      <c r="G6" s="103"/>
      <c r="H6" s="91"/>
      <c r="I6" s="91"/>
      <c r="J6" s="91"/>
      <c r="K6" s="91"/>
      <c r="L6" s="91"/>
    </row>
    <row r="7" spans="1:14" s="92" customFormat="1" ht="27" customHeight="1">
      <c r="A7" s="82" t="s">
        <v>50</v>
      </c>
      <c r="B7" s="102">
        <f>COUNTIFS($J:$J, $A$7,$H:$H,B$4)</f>
        <v>0</v>
      </c>
      <c r="C7" s="102">
        <f>COUNTIFS($J:$J, $A$7,$H:$H,C$4)</f>
        <v>0</v>
      </c>
      <c r="D7" s="102">
        <f>COUNTIFS($J:$J, $A$7,$H:$H,D$4)</f>
        <v>0</v>
      </c>
      <c r="E7" s="102">
        <f t="shared" si="0"/>
        <v>0</v>
      </c>
      <c r="G7" s="103"/>
      <c r="H7" s="91"/>
      <c r="I7" s="91"/>
      <c r="J7" s="91"/>
      <c r="K7" s="91"/>
      <c r="L7" s="91"/>
    </row>
    <row r="8" spans="1:14" s="92" customFormat="1" ht="27" customHeight="1">
      <c r="A8" s="82" t="s">
        <v>51</v>
      </c>
      <c r="B8" s="102">
        <f>COUNTIFS($J:$J, $A$8,H:H,B$4)</f>
        <v>0</v>
      </c>
      <c r="C8" s="102">
        <f>COUNTIFS($J:$J, $A$8,I:I,C$4)</f>
        <v>0</v>
      </c>
      <c r="D8" s="102">
        <f>COUNTIFS($J:$J, $A$8,J:J,D$4)</f>
        <v>0</v>
      </c>
      <c r="E8" s="102">
        <f t="shared" si="0"/>
        <v>0</v>
      </c>
      <c r="G8" s="103"/>
      <c r="H8" s="91"/>
      <c r="I8" s="91"/>
      <c r="J8" s="91"/>
      <c r="K8" s="91"/>
      <c r="L8" s="91"/>
    </row>
    <row r="9" spans="1:14" s="92" customFormat="1" ht="27" customHeight="1">
      <c r="A9" s="82" t="s">
        <v>54</v>
      </c>
      <c r="B9" s="102">
        <f>COUNTIFS($J:$J, $A$9,$H:$H,B$4)</f>
        <v>0</v>
      </c>
      <c r="C9" s="102">
        <f>COUNTIFS($J:$J, $A$9,$H:$H,C$4)</f>
        <v>0</v>
      </c>
      <c r="D9" s="102">
        <f>COUNTIFS($J:$J, $A$9,$H:$H,D$4)</f>
        <v>0</v>
      </c>
      <c r="E9" s="102">
        <f t="shared" si="0"/>
        <v>0</v>
      </c>
      <c r="G9" s="103"/>
      <c r="H9" s="91"/>
      <c r="I9" s="91"/>
      <c r="J9" s="91"/>
      <c r="K9" s="91"/>
      <c r="L9" s="91"/>
    </row>
    <row r="10" spans="1:14" s="92" customFormat="1" ht="27" customHeight="1">
      <c r="A10" s="82" t="s">
        <v>71</v>
      </c>
      <c r="B10" s="102">
        <f>COUNTIFS($J:$J, $A$10,$H:$H,B$4)</f>
        <v>0</v>
      </c>
      <c r="C10" s="102">
        <f>COUNTIFS($J:$J, $A$10,$H:$H,C$4)</f>
        <v>0</v>
      </c>
      <c r="D10" s="102">
        <f>COUNTIFS($J:$J, $A$10,$H:$H,D$4)</f>
        <v>0</v>
      </c>
      <c r="E10" s="102">
        <f t="shared" si="0"/>
        <v>0</v>
      </c>
      <c r="G10" s="103"/>
      <c r="H10" s="91"/>
      <c r="I10" s="91"/>
      <c r="J10" s="91"/>
      <c r="K10" s="91"/>
      <c r="L10" s="91"/>
    </row>
    <row r="11" spans="1:14" s="92" customFormat="1" ht="27" customHeight="1">
      <c r="A11" s="82" t="s">
        <v>52</v>
      </c>
      <c r="B11" s="102">
        <f>COUNTIFS($J:$J,$A$11,$H:$H,B$4)</f>
        <v>0</v>
      </c>
      <c r="C11" s="102">
        <f>COUNTIFS($J:$J,$A$11,$H:$H,C$4)</f>
        <v>0</v>
      </c>
      <c r="D11" s="102">
        <f>COUNTIFS($J:$J,$A$11,$H:$H,D$4)</f>
        <v>0</v>
      </c>
      <c r="E11" s="102">
        <f t="shared" si="0"/>
        <v>0</v>
      </c>
      <c r="G11" s="103"/>
      <c r="H11" s="91"/>
      <c r="I11" s="91"/>
      <c r="J11" s="91"/>
      <c r="K11" s="91"/>
      <c r="L11" s="91"/>
    </row>
    <row r="12" spans="1:14" s="92" customFormat="1" ht="27" customHeight="1"/>
    <row r="14" spans="1:14" ht="27" customHeight="1">
      <c r="A14" s="104" t="s">
        <v>73</v>
      </c>
      <c r="B14" s="104" t="s">
        <v>74</v>
      </c>
      <c r="C14" s="104" t="s">
        <v>75</v>
      </c>
      <c r="D14" s="104" t="s">
        <v>76</v>
      </c>
      <c r="E14" s="104" t="s">
        <v>77</v>
      </c>
      <c r="F14" s="104" t="s">
        <v>78</v>
      </c>
      <c r="G14" s="104" t="s">
        <v>42</v>
      </c>
      <c r="H14" s="105" t="s">
        <v>79</v>
      </c>
      <c r="I14" s="105" t="s">
        <v>80</v>
      </c>
      <c r="J14" s="105" t="s">
        <v>81</v>
      </c>
      <c r="K14" s="105" t="s">
        <v>82</v>
      </c>
      <c r="L14" s="105" t="s">
        <v>218</v>
      </c>
      <c r="M14" s="104" t="s">
        <v>84</v>
      </c>
      <c r="N14" s="104" t="s">
        <v>85</v>
      </c>
    </row>
    <row r="15" spans="1:14" ht="27" customHeight="1">
      <c r="A15" s="106"/>
      <c r="B15" s="238" t="s">
        <v>219</v>
      </c>
      <c r="C15" s="238"/>
      <c r="D15" s="108"/>
      <c r="E15" s="108"/>
      <c r="F15" s="108"/>
      <c r="G15" s="108"/>
      <c r="H15" s="109"/>
      <c r="I15" s="109"/>
      <c r="J15" s="109"/>
      <c r="K15" s="109"/>
      <c r="L15" s="109"/>
      <c r="M15" s="108"/>
      <c r="N15" s="108"/>
    </row>
    <row r="16" spans="1:14" ht="27" customHeight="1">
      <c r="A16" s="117" t="s">
        <v>220</v>
      </c>
      <c r="B16" s="117" t="s">
        <v>221</v>
      </c>
      <c r="C16" s="117"/>
      <c r="D16" s="118" t="s">
        <v>222</v>
      </c>
      <c r="E16" s="119"/>
      <c r="F16" s="122" t="s">
        <v>223</v>
      </c>
      <c r="G16" s="120"/>
      <c r="H16" s="120" t="s">
        <v>69</v>
      </c>
      <c r="I16" s="120" t="s">
        <v>91</v>
      </c>
      <c r="J16" s="120" t="s">
        <v>49</v>
      </c>
      <c r="K16" s="120" t="s">
        <v>54</v>
      </c>
      <c r="L16" s="120" t="s">
        <v>54</v>
      </c>
      <c r="M16" s="121"/>
      <c r="N16" s="121"/>
    </row>
    <row r="17" spans="1:14" ht="27" customHeight="1">
      <c r="A17" s="117" t="s">
        <v>224</v>
      </c>
      <c r="B17" s="117" t="s">
        <v>225</v>
      </c>
      <c r="C17" s="117"/>
      <c r="D17" s="118" t="s">
        <v>226</v>
      </c>
      <c r="E17" s="119"/>
      <c r="F17" s="118" t="s">
        <v>227</v>
      </c>
      <c r="G17" s="120"/>
      <c r="H17" s="120" t="s">
        <v>69</v>
      </c>
      <c r="I17" s="120" t="s">
        <v>91</v>
      </c>
      <c r="J17" s="120" t="s">
        <v>49</v>
      </c>
      <c r="K17" s="120" t="s">
        <v>54</v>
      </c>
      <c r="L17" s="120" t="s">
        <v>54</v>
      </c>
      <c r="M17" s="121"/>
      <c r="N17" s="121"/>
    </row>
    <row r="18" spans="1:14" ht="27" customHeight="1">
      <c r="A18" s="117" t="s">
        <v>228</v>
      </c>
      <c r="B18" s="117" t="s">
        <v>229</v>
      </c>
      <c r="C18" s="117"/>
      <c r="D18" s="118" t="s">
        <v>230</v>
      </c>
      <c r="E18" s="119"/>
      <c r="F18" s="122" t="s">
        <v>231</v>
      </c>
      <c r="G18" s="120"/>
      <c r="H18" s="120" t="s">
        <v>69</v>
      </c>
      <c r="I18" s="120" t="s">
        <v>91</v>
      </c>
      <c r="J18" s="120" t="s">
        <v>49</v>
      </c>
      <c r="K18" s="120" t="s">
        <v>54</v>
      </c>
      <c r="L18" s="120" t="s">
        <v>54</v>
      </c>
      <c r="M18" s="121"/>
      <c r="N18" s="121"/>
    </row>
    <row r="19" spans="1:14" ht="27" customHeight="1">
      <c r="A19" s="117" t="s">
        <v>232</v>
      </c>
      <c r="B19" s="117" t="s">
        <v>233</v>
      </c>
      <c r="C19" s="117"/>
      <c r="D19" s="118" t="s">
        <v>234</v>
      </c>
      <c r="E19" s="119"/>
      <c r="F19" s="118" t="s">
        <v>235</v>
      </c>
      <c r="G19" s="120"/>
      <c r="H19" s="120" t="s">
        <v>69</v>
      </c>
      <c r="I19" s="120" t="s">
        <v>91</v>
      </c>
      <c r="J19" s="120" t="s">
        <v>49</v>
      </c>
      <c r="K19" s="120" t="s">
        <v>54</v>
      </c>
      <c r="L19" s="120" t="s">
        <v>54</v>
      </c>
      <c r="M19" s="121"/>
      <c r="N19" s="121"/>
    </row>
    <row r="20" spans="1:14" ht="27" customHeight="1">
      <c r="A20" s="117" t="s">
        <v>236</v>
      </c>
      <c r="B20" s="117" t="s">
        <v>237</v>
      </c>
      <c r="C20" s="117"/>
      <c r="D20" s="118" t="s">
        <v>238</v>
      </c>
      <c r="E20" s="119"/>
      <c r="F20" s="118" t="s">
        <v>239</v>
      </c>
      <c r="G20" s="120"/>
      <c r="H20" s="120" t="s">
        <v>69</v>
      </c>
      <c r="I20" s="120" t="s">
        <v>91</v>
      </c>
      <c r="J20" s="120" t="s">
        <v>49</v>
      </c>
      <c r="K20" s="120" t="s">
        <v>54</v>
      </c>
      <c r="L20" s="120" t="s">
        <v>54</v>
      </c>
      <c r="M20" s="121"/>
      <c r="N20" s="121"/>
    </row>
    <row r="21" spans="1:14" ht="27" customHeight="1">
      <c r="A21" s="117" t="s">
        <v>240</v>
      </c>
      <c r="B21" s="117" t="s">
        <v>241</v>
      </c>
      <c r="C21" s="117"/>
      <c r="D21" s="118" t="s">
        <v>242</v>
      </c>
      <c r="E21" s="119"/>
      <c r="F21" s="122" t="s">
        <v>243</v>
      </c>
      <c r="G21" s="120"/>
      <c r="H21" s="120" t="s">
        <v>69</v>
      </c>
      <c r="I21" s="120" t="s">
        <v>91</v>
      </c>
      <c r="J21" s="120" t="s">
        <v>49</v>
      </c>
      <c r="K21" s="120" t="s">
        <v>54</v>
      </c>
      <c r="L21" s="120" t="s">
        <v>54</v>
      </c>
      <c r="M21" s="121"/>
      <c r="N21" s="121"/>
    </row>
    <row r="22" spans="1:14" ht="27" customHeight="1">
      <c r="A22" s="117" t="s">
        <v>244</v>
      </c>
      <c r="B22" s="117" t="s">
        <v>245</v>
      </c>
      <c r="C22" s="117"/>
      <c r="D22" s="118" t="s">
        <v>246</v>
      </c>
      <c r="E22" s="119"/>
      <c r="F22" s="118" t="s">
        <v>239</v>
      </c>
      <c r="G22" s="120"/>
      <c r="H22" s="120" t="s">
        <v>69</v>
      </c>
      <c r="I22" s="120" t="s">
        <v>91</v>
      </c>
      <c r="J22" s="120" t="s">
        <v>49</v>
      </c>
      <c r="K22" s="120" t="s">
        <v>54</v>
      </c>
      <c r="L22" s="120" t="s">
        <v>54</v>
      </c>
      <c r="M22" s="121"/>
      <c r="N22" s="121"/>
    </row>
    <row r="23" spans="1:14" ht="27" customHeight="1">
      <c r="A23" s="106"/>
      <c r="B23" s="238" t="s">
        <v>247</v>
      </c>
      <c r="C23" s="238"/>
      <c r="D23" s="108"/>
      <c r="E23" s="108"/>
      <c r="F23" s="108"/>
      <c r="G23" s="108"/>
      <c r="H23" s="109"/>
      <c r="I23" s="109"/>
      <c r="J23" s="109"/>
      <c r="K23" s="109"/>
      <c r="L23" s="109"/>
      <c r="M23" s="108"/>
      <c r="N23" s="108"/>
    </row>
    <row r="24" spans="1:14" ht="27" customHeight="1">
      <c r="A24" s="117" t="s">
        <v>248</v>
      </c>
      <c r="B24" s="117" t="s">
        <v>221</v>
      </c>
      <c r="C24" s="117"/>
      <c r="D24" s="118" t="s">
        <v>249</v>
      </c>
      <c r="E24" s="119"/>
      <c r="F24" s="122" t="s">
        <v>250</v>
      </c>
      <c r="G24" s="120"/>
      <c r="H24" s="120" t="s">
        <v>69</v>
      </c>
      <c r="I24" s="120" t="s">
        <v>91</v>
      </c>
      <c r="J24" s="120" t="s">
        <v>49</v>
      </c>
      <c r="K24" s="120" t="s">
        <v>54</v>
      </c>
      <c r="L24" s="120" t="s">
        <v>54</v>
      </c>
      <c r="M24" s="121"/>
      <c r="N24" s="121"/>
    </row>
    <row r="25" spans="1:14" ht="27" customHeight="1">
      <c r="A25" s="117" t="s">
        <v>251</v>
      </c>
      <c r="B25" s="117" t="s">
        <v>225</v>
      </c>
      <c r="C25" s="117"/>
      <c r="D25" s="118" t="s">
        <v>252</v>
      </c>
      <c r="E25" s="119"/>
      <c r="F25" s="118" t="s">
        <v>253</v>
      </c>
      <c r="G25" s="120"/>
      <c r="H25" s="120" t="s">
        <v>69</v>
      </c>
      <c r="I25" s="120" t="s">
        <v>91</v>
      </c>
      <c r="J25" s="120" t="s">
        <v>49</v>
      </c>
      <c r="K25" s="120" t="s">
        <v>54</v>
      </c>
      <c r="L25" s="120" t="s">
        <v>54</v>
      </c>
      <c r="M25" s="121"/>
      <c r="N25" s="121"/>
    </row>
    <row r="26" spans="1:14" ht="27" customHeight="1">
      <c r="A26" s="117" t="s">
        <v>254</v>
      </c>
      <c r="B26" s="117" t="s">
        <v>229</v>
      </c>
      <c r="C26" s="117"/>
      <c r="D26" s="118" t="s">
        <v>255</v>
      </c>
      <c r="E26" s="119"/>
      <c r="F26" s="122" t="s">
        <v>256</v>
      </c>
      <c r="G26" s="120"/>
      <c r="H26" s="120" t="s">
        <v>69</v>
      </c>
      <c r="I26" s="120" t="s">
        <v>91</v>
      </c>
      <c r="J26" s="120" t="s">
        <v>49</v>
      </c>
      <c r="K26" s="120" t="s">
        <v>54</v>
      </c>
      <c r="L26" s="120" t="s">
        <v>54</v>
      </c>
      <c r="M26" s="121"/>
      <c r="N26" s="121"/>
    </row>
    <row r="27" spans="1:14" ht="27" customHeight="1">
      <c r="A27" s="117" t="s">
        <v>257</v>
      </c>
      <c r="B27" s="117" t="s">
        <v>233</v>
      </c>
      <c r="C27" s="117"/>
      <c r="D27" s="118" t="s">
        <v>258</v>
      </c>
      <c r="E27" s="119"/>
      <c r="F27" s="118" t="s">
        <v>259</v>
      </c>
      <c r="G27" s="120"/>
      <c r="H27" s="120" t="s">
        <v>69</v>
      </c>
      <c r="I27" s="120" t="s">
        <v>91</v>
      </c>
      <c r="J27" s="120" t="s">
        <v>49</v>
      </c>
      <c r="K27" s="120" t="s">
        <v>54</v>
      </c>
      <c r="L27" s="120" t="s">
        <v>54</v>
      </c>
      <c r="M27" s="121"/>
      <c r="N27" s="121"/>
    </row>
    <row r="28" spans="1:14" ht="27" customHeight="1">
      <c r="A28" s="117" t="s">
        <v>260</v>
      </c>
      <c r="B28" s="117" t="s">
        <v>237</v>
      </c>
      <c r="C28" s="117"/>
      <c r="D28" s="118" t="s">
        <v>261</v>
      </c>
      <c r="E28" s="119"/>
      <c r="F28" s="118" t="s">
        <v>239</v>
      </c>
      <c r="G28" s="120"/>
      <c r="H28" s="120" t="s">
        <v>69</v>
      </c>
      <c r="I28" s="120" t="s">
        <v>91</v>
      </c>
      <c r="J28" s="120" t="s">
        <v>49</v>
      </c>
      <c r="K28" s="120" t="s">
        <v>54</v>
      </c>
      <c r="L28" s="120" t="s">
        <v>54</v>
      </c>
      <c r="M28" s="121"/>
      <c r="N28" s="121"/>
    </row>
    <row r="29" spans="1:14" ht="27" customHeight="1">
      <c r="A29" s="117" t="s">
        <v>262</v>
      </c>
      <c r="B29" s="117" t="s">
        <v>241</v>
      </c>
      <c r="C29" s="117"/>
      <c r="D29" s="118" t="s">
        <v>263</v>
      </c>
      <c r="E29" s="119"/>
      <c r="F29" s="122" t="s">
        <v>264</v>
      </c>
      <c r="G29" s="120"/>
      <c r="H29" s="120" t="s">
        <v>69</v>
      </c>
      <c r="I29" s="120" t="s">
        <v>91</v>
      </c>
      <c r="J29" s="120" t="s">
        <v>49</v>
      </c>
      <c r="K29" s="120" t="s">
        <v>54</v>
      </c>
      <c r="L29" s="120" t="s">
        <v>54</v>
      </c>
      <c r="M29" s="121"/>
      <c r="N29" s="121"/>
    </row>
    <row r="30" spans="1:14" ht="27" customHeight="1">
      <c r="A30" s="117" t="s">
        <v>265</v>
      </c>
      <c r="B30" s="117" t="s">
        <v>245</v>
      </c>
      <c r="C30" s="117"/>
      <c r="D30" s="118" t="s">
        <v>266</v>
      </c>
      <c r="E30" s="119"/>
      <c r="F30" s="118" t="s">
        <v>239</v>
      </c>
      <c r="G30" s="120"/>
      <c r="H30" s="120" t="s">
        <v>69</v>
      </c>
      <c r="I30" s="120" t="s">
        <v>91</v>
      </c>
      <c r="J30" s="120" t="s">
        <v>49</v>
      </c>
      <c r="K30" s="120" t="s">
        <v>54</v>
      </c>
      <c r="L30" s="120" t="s">
        <v>54</v>
      </c>
      <c r="M30" s="121"/>
      <c r="N30" s="121"/>
    </row>
    <row r="31" spans="1:14" ht="27" customHeight="1">
      <c r="A31" s="106"/>
      <c r="B31" s="238" t="s">
        <v>267</v>
      </c>
      <c r="C31" s="238"/>
      <c r="D31" s="108"/>
      <c r="E31" s="108"/>
      <c r="F31" s="108"/>
      <c r="G31" s="108"/>
      <c r="H31" s="109"/>
      <c r="I31" s="109"/>
      <c r="J31" s="109"/>
      <c r="K31" s="109"/>
      <c r="L31" s="109"/>
      <c r="M31" s="108"/>
      <c r="N31" s="108"/>
    </row>
    <row r="32" spans="1:14" ht="27" customHeight="1">
      <c r="A32" s="117" t="s">
        <v>268</v>
      </c>
      <c r="B32" s="117" t="s">
        <v>221</v>
      </c>
      <c r="C32" s="117"/>
      <c r="D32" s="118" t="s">
        <v>269</v>
      </c>
      <c r="E32" s="119"/>
      <c r="F32" s="122" t="s">
        <v>270</v>
      </c>
      <c r="G32" s="120"/>
      <c r="H32" s="120" t="s">
        <v>69</v>
      </c>
      <c r="I32" s="120" t="s">
        <v>91</v>
      </c>
      <c r="J32" s="120" t="s">
        <v>49</v>
      </c>
      <c r="K32" s="120" t="s">
        <v>54</v>
      </c>
      <c r="L32" s="120" t="s">
        <v>54</v>
      </c>
      <c r="M32" s="121"/>
      <c r="N32" s="121"/>
    </row>
    <row r="33" spans="1:14" ht="27" customHeight="1">
      <c r="A33" s="117" t="s">
        <v>271</v>
      </c>
      <c r="B33" s="117" t="s">
        <v>225</v>
      </c>
      <c r="C33" s="117"/>
      <c r="D33" s="118" t="s">
        <v>272</v>
      </c>
      <c r="E33" s="119"/>
      <c r="F33" s="118" t="s">
        <v>273</v>
      </c>
      <c r="G33" s="120"/>
      <c r="H33" s="120" t="s">
        <v>69</v>
      </c>
      <c r="I33" s="120" t="s">
        <v>91</v>
      </c>
      <c r="J33" s="120" t="s">
        <v>49</v>
      </c>
      <c r="K33" s="120" t="s">
        <v>54</v>
      </c>
      <c r="L33" s="120" t="s">
        <v>54</v>
      </c>
      <c r="M33" s="121"/>
      <c r="N33" s="121"/>
    </row>
    <row r="34" spans="1:14" ht="27" customHeight="1">
      <c r="A34" s="117" t="s">
        <v>274</v>
      </c>
      <c r="B34" s="117" t="s">
        <v>229</v>
      </c>
      <c r="C34" s="117"/>
      <c r="D34" s="118" t="s">
        <v>275</v>
      </c>
      <c r="E34" s="119"/>
      <c r="F34" s="122" t="s">
        <v>276</v>
      </c>
      <c r="G34" s="120"/>
      <c r="H34" s="120" t="s">
        <v>69</v>
      </c>
      <c r="I34" s="120" t="s">
        <v>91</v>
      </c>
      <c r="J34" s="120" t="s">
        <v>49</v>
      </c>
      <c r="K34" s="120" t="s">
        <v>54</v>
      </c>
      <c r="L34" s="120" t="s">
        <v>54</v>
      </c>
      <c r="M34" s="121"/>
      <c r="N34" s="121"/>
    </row>
    <row r="35" spans="1:14" ht="27" customHeight="1">
      <c r="A35" s="117" t="s">
        <v>277</v>
      </c>
      <c r="B35" s="117" t="s">
        <v>233</v>
      </c>
      <c r="C35" s="117"/>
      <c r="D35" s="118" t="s">
        <v>278</v>
      </c>
      <c r="E35" s="119"/>
      <c r="F35" s="118" t="s">
        <v>235</v>
      </c>
      <c r="G35" s="120"/>
      <c r="H35" s="120" t="s">
        <v>69</v>
      </c>
      <c r="I35" s="120" t="s">
        <v>91</v>
      </c>
      <c r="J35" s="120" t="s">
        <v>49</v>
      </c>
      <c r="K35" s="120" t="s">
        <v>54</v>
      </c>
      <c r="L35" s="120" t="s">
        <v>54</v>
      </c>
      <c r="M35" s="121"/>
      <c r="N35" s="121"/>
    </row>
    <row r="36" spans="1:14" ht="27" customHeight="1">
      <c r="A36" s="117" t="s">
        <v>279</v>
      </c>
      <c r="B36" s="117" t="s">
        <v>237</v>
      </c>
      <c r="C36" s="117"/>
      <c r="D36" s="118" t="s">
        <v>280</v>
      </c>
      <c r="E36" s="119"/>
      <c r="F36" s="118" t="s">
        <v>239</v>
      </c>
      <c r="G36" s="120"/>
      <c r="H36" s="120" t="s">
        <v>69</v>
      </c>
      <c r="I36" s="120" t="s">
        <v>91</v>
      </c>
      <c r="J36" s="120" t="s">
        <v>49</v>
      </c>
      <c r="K36" s="120" t="s">
        <v>54</v>
      </c>
      <c r="L36" s="120" t="s">
        <v>54</v>
      </c>
      <c r="M36" s="121"/>
      <c r="N36" s="121"/>
    </row>
    <row r="37" spans="1:14" ht="27" customHeight="1">
      <c r="A37" s="117" t="s">
        <v>281</v>
      </c>
      <c r="B37" s="117" t="s">
        <v>241</v>
      </c>
      <c r="C37" s="117"/>
      <c r="D37" s="118" t="s">
        <v>282</v>
      </c>
      <c r="E37" s="119"/>
      <c r="F37" s="122" t="s">
        <v>283</v>
      </c>
      <c r="G37" s="120"/>
      <c r="H37" s="120" t="s">
        <v>69</v>
      </c>
      <c r="I37" s="120" t="s">
        <v>91</v>
      </c>
      <c r="J37" s="120" t="s">
        <v>49</v>
      </c>
      <c r="K37" s="120" t="s">
        <v>54</v>
      </c>
      <c r="L37" s="120" t="s">
        <v>54</v>
      </c>
      <c r="M37" s="121"/>
      <c r="N37" s="121"/>
    </row>
    <row r="38" spans="1:14" ht="27" customHeight="1">
      <c r="A38" s="117" t="s">
        <v>284</v>
      </c>
      <c r="B38" s="117" t="s">
        <v>245</v>
      </c>
      <c r="C38" s="117"/>
      <c r="D38" s="118" t="s">
        <v>285</v>
      </c>
      <c r="E38" s="119"/>
      <c r="F38" s="118" t="s">
        <v>239</v>
      </c>
      <c r="G38" s="120"/>
      <c r="H38" s="120" t="s">
        <v>69</v>
      </c>
      <c r="I38" s="120" t="s">
        <v>91</v>
      </c>
      <c r="J38" s="120" t="s">
        <v>49</v>
      </c>
      <c r="K38" s="120" t="s">
        <v>54</v>
      </c>
      <c r="L38" s="120" t="s">
        <v>54</v>
      </c>
      <c r="M38" s="121"/>
      <c r="N38" s="121"/>
    </row>
    <row r="39" spans="1:14" ht="27" customHeight="1">
      <c r="A39" s="106"/>
      <c r="B39" s="238" t="s">
        <v>286</v>
      </c>
      <c r="C39" s="238"/>
      <c r="D39" s="108"/>
      <c r="E39" s="108"/>
      <c r="F39" s="108"/>
      <c r="G39" s="108"/>
      <c r="H39" s="109"/>
      <c r="I39" s="109"/>
      <c r="J39" s="109"/>
      <c r="K39" s="109"/>
      <c r="L39" s="109"/>
      <c r="M39" s="108"/>
      <c r="N39" s="108"/>
    </row>
    <row r="40" spans="1:14" ht="27" customHeight="1">
      <c r="A40" s="117" t="s">
        <v>287</v>
      </c>
      <c r="B40" s="117" t="s">
        <v>221</v>
      </c>
      <c r="C40" s="117"/>
      <c r="D40" s="118" t="s">
        <v>288</v>
      </c>
      <c r="E40" s="119"/>
      <c r="F40" s="122" t="s">
        <v>289</v>
      </c>
      <c r="G40" s="120"/>
      <c r="H40" s="120" t="s">
        <v>69</v>
      </c>
      <c r="I40" s="120" t="s">
        <v>91</v>
      </c>
      <c r="J40" s="120" t="s">
        <v>49</v>
      </c>
      <c r="K40" s="120" t="s">
        <v>54</v>
      </c>
      <c r="L40" s="120" t="s">
        <v>54</v>
      </c>
      <c r="M40" s="123"/>
      <c r="N40" s="121"/>
    </row>
    <row r="41" spans="1:14" ht="27" customHeight="1">
      <c r="A41" s="117" t="s">
        <v>290</v>
      </c>
      <c r="B41" s="117" t="s">
        <v>225</v>
      </c>
      <c r="C41" s="117"/>
      <c r="D41" s="118" t="s">
        <v>291</v>
      </c>
      <c r="E41" s="119"/>
      <c r="F41" s="118" t="s">
        <v>292</v>
      </c>
      <c r="G41" s="120"/>
      <c r="H41" s="120" t="s">
        <v>69</v>
      </c>
      <c r="I41" s="120" t="s">
        <v>91</v>
      </c>
      <c r="J41" s="120" t="s">
        <v>49</v>
      </c>
      <c r="K41" s="120" t="s">
        <v>54</v>
      </c>
      <c r="L41" s="120" t="s">
        <v>54</v>
      </c>
      <c r="M41" s="121"/>
      <c r="N41" s="121"/>
    </row>
    <row r="42" spans="1:14" ht="27" customHeight="1">
      <c r="A42" s="117" t="s">
        <v>293</v>
      </c>
      <c r="B42" s="117" t="s">
        <v>229</v>
      </c>
      <c r="C42" s="117"/>
      <c r="D42" s="118" t="s">
        <v>294</v>
      </c>
      <c r="E42" s="119"/>
      <c r="F42" s="122" t="s">
        <v>295</v>
      </c>
      <c r="G42" s="120"/>
      <c r="H42" s="120" t="s">
        <v>69</v>
      </c>
      <c r="I42" s="120" t="s">
        <v>91</v>
      </c>
      <c r="J42" s="120" t="s">
        <v>49</v>
      </c>
      <c r="K42" s="120" t="s">
        <v>54</v>
      </c>
      <c r="L42" s="120" t="s">
        <v>54</v>
      </c>
      <c r="M42" s="121"/>
      <c r="N42" s="121"/>
    </row>
    <row r="43" spans="1:14" ht="27" customHeight="1">
      <c r="A43" s="117" t="s">
        <v>296</v>
      </c>
      <c r="B43" s="117" t="s">
        <v>233</v>
      </c>
      <c r="C43" s="117"/>
      <c r="D43" s="118" t="s">
        <v>297</v>
      </c>
      <c r="E43" s="119"/>
      <c r="F43" s="118" t="s">
        <v>235</v>
      </c>
      <c r="G43" s="120"/>
      <c r="H43" s="120" t="s">
        <v>69</v>
      </c>
      <c r="I43" s="120" t="s">
        <v>91</v>
      </c>
      <c r="J43" s="120" t="s">
        <v>49</v>
      </c>
      <c r="K43" s="120" t="s">
        <v>54</v>
      </c>
      <c r="L43" s="120" t="s">
        <v>54</v>
      </c>
      <c r="M43" s="121"/>
      <c r="N43" s="121"/>
    </row>
    <row r="44" spans="1:14" ht="27" customHeight="1">
      <c r="A44" s="117" t="s">
        <v>298</v>
      </c>
      <c r="B44" s="117" t="s">
        <v>237</v>
      </c>
      <c r="C44" s="117"/>
      <c r="D44" s="118" t="s">
        <v>299</v>
      </c>
      <c r="E44" s="119"/>
      <c r="F44" s="118" t="s">
        <v>239</v>
      </c>
      <c r="G44" s="120"/>
      <c r="H44" s="120" t="s">
        <v>69</v>
      </c>
      <c r="I44" s="120" t="s">
        <v>91</v>
      </c>
      <c r="J44" s="120" t="s">
        <v>49</v>
      </c>
      <c r="K44" s="120" t="s">
        <v>54</v>
      </c>
      <c r="L44" s="120" t="s">
        <v>54</v>
      </c>
      <c r="M44" s="121"/>
      <c r="N44" s="121"/>
    </row>
    <row r="45" spans="1:14" ht="27" customHeight="1">
      <c r="A45" s="117" t="s">
        <v>300</v>
      </c>
      <c r="B45" s="117" t="s">
        <v>241</v>
      </c>
      <c r="C45" s="117"/>
      <c r="D45" s="118" t="s">
        <v>301</v>
      </c>
      <c r="E45" s="119"/>
      <c r="F45" s="122" t="s">
        <v>283</v>
      </c>
      <c r="G45" s="120"/>
      <c r="H45" s="120" t="s">
        <v>69</v>
      </c>
      <c r="I45" s="120" t="s">
        <v>91</v>
      </c>
      <c r="J45" s="120" t="s">
        <v>49</v>
      </c>
      <c r="K45" s="120" t="s">
        <v>54</v>
      </c>
      <c r="L45" s="120" t="s">
        <v>54</v>
      </c>
      <c r="M45" s="121"/>
      <c r="N45" s="121"/>
    </row>
    <row r="46" spans="1:14" ht="27" customHeight="1">
      <c r="A46" s="117" t="s">
        <v>302</v>
      </c>
      <c r="B46" s="117" t="s">
        <v>245</v>
      </c>
      <c r="C46" s="117"/>
      <c r="D46" s="118" t="s">
        <v>303</v>
      </c>
      <c r="E46" s="119"/>
      <c r="F46" s="118" t="s">
        <v>239</v>
      </c>
      <c r="G46" s="120"/>
      <c r="H46" s="120" t="s">
        <v>69</v>
      </c>
      <c r="I46" s="120" t="s">
        <v>91</v>
      </c>
      <c r="J46" s="120" t="s">
        <v>49</v>
      </c>
      <c r="K46" s="120" t="s">
        <v>54</v>
      </c>
      <c r="L46" s="120" t="s">
        <v>54</v>
      </c>
      <c r="M46" s="121"/>
      <c r="N46" s="121"/>
    </row>
    <row r="47" spans="1:14" ht="27" customHeight="1">
      <c r="A47" s="106"/>
      <c r="B47" s="238" t="s">
        <v>304</v>
      </c>
      <c r="C47" s="238"/>
      <c r="D47" s="108"/>
      <c r="E47" s="108"/>
      <c r="F47" s="108"/>
      <c r="G47" s="108"/>
      <c r="H47" s="109"/>
      <c r="I47" s="109"/>
      <c r="J47" s="109"/>
      <c r="K47" s="109"/>
      <c r="L47" s="109"/>
      <c r="M47" s="108"/>
      <c r="N47" s="108"/>
    </row>
    <row r="48" spans="1:14" ht="27" customHeight="1">
      <c r="A48" s="117" t="s">
        <v>305</v>
      </c>
      <c r="B48" s="117" t="s">
        <v>221</v>
      </c>
      <c r="C48" s="117"/>
      <c r="D48" s="118" t="s">
        <v>306</v>
      </c>
      <c r="E48" s="119"/>
      <c r="F48" s="122" t="s">
        <v>307</v>
      </c>
      <c r="G48" s="120"/>
      <c r="H48" s="120" t="s">
        <v>69</v>
      </c>
      <c r="I48" s="120" t="s">
        <v>91</v>
      </c>
      <c r="J48" s="120" t="s">
        <v>49</v>
      </c>
      <c r="K48" s="120" t="s">
        <v>54</v>
      </c>
      <c r="L48" s="120" t="s">
        <v>54</v>
      </c>
      <c r="M48" s="121"/>
      <c r="N48" s="121"/>
    </row>
    <row r="49" spans="1:14" ht="27" customHeight="1">
      <c r="A49" s="117" t="s">
        <v>308</v>
      </c>
      <c r="B49" s="117" t="s">
        <v>225</v>
      </c>
      <c r="C49" s="117"/>
      <c r="D49" s="118" t="s">
        <v>309</v>
      </c>
      <c r="E49" s="119"/>
      <c r="F49" s="118" t="s">
        <v>310</v>
      </c>
      <c r="G49" s="120"/>
      <c r="H49" s="120" t="s">
        <v>69</v>
      </c>
      <c r="I49" s="120" t="s">
        <v>91</v>
      </c>
      <c r="J49" s="120" t="s">
        <v>49</v>
      </c>
      <c r="K49" s="120" t="s">
        <v>54</v>
      </c>
      <c r="L49" s="120" t="s">
        <v>54</v>
      </c>
      <c r="M49" s="121"/>
      <c r="N49" s="121"/>
    </row>
    <row r="50" spans="1:14" ht="27" customHeight="1">
      <c r="A50" s="117" t="s">
        <v>311</v>
      </c>
      <c r="B50" s="117" t="s">
        <v>229</v>
      </c>
      <c r="C50" s="117"/>
      <c r="D50" s="118" t="s">
        <v>312</v>
      </c>
      <c r="E50" s="119"/>
      <c r="F50" s="122" t="s">
        <v>313</v>
      </c>
      <c r="G50" s="120"/>
      <c r="H50" s="120" t="s">
        <v>69</v>
      </c>
      <c r="I50" s="120" t="s">
        <v>91</v>
      </c>
      <c r="J50" s="120" t="s">
        <v>49</v>
      </c>
      <c r="K50" s="120" t="s">
        <v>54</v>
      </c>
      <c r="L50" s="120" t="s">
        <v>54</v>
      </c>
      <c r="M50" s="121"/>
      <c r="N50" s="121"/>
    </row>
    <row r="51" spans="1:14" ht="27" customHeight="1">
      <c r="A51" s="117" t="s">
        <v>314</v>
      </c>
      <c r="B51" s="117" t="s">
        <v>241</v>
      </c>
      <c r="C51" s="117"/>
      <c r="D51" s="118" t="s">
        <v>315</v>
      </c>
      <c r="E51" s="119"/>
      <c r="F51" s="118" t="s">
        <v>316</v>
      </c>
      <c r="G51" s="120"/>
      <c r="H51" s="120" t="s">
        <v>69</v>
      </c>
      <c r="I51" s="120" t="s">
        <v>91</v>
      </c>
      <c r="J51" s="120" t="s">
        <v>49</v>
      </c>
      <c r="K51" s="120" t="s">
        <v>54</v>
      </c>
      <c r="L51" s="120" t="s">
        <v>54</v>
      </c>
      <c r="M51" s="121"/>
      <c r="N51" s="121"/>
    </row>
    <row r="52" spans="1:14" ht="27" customHeight="1">
      <c r="A52" s="106"/>
      <c r="B52" s="238" t="s">
        <v>317</v>
      </c>
      <c r="C52" s="238"/>
      <c r="D52" s="108"/>
      <c r="E52" s="108"/>
      <c r="F52" s="125"/>
      <c r="G52" s="108"/>
      <c r="H52" s="109"/>
      <c r="I52" s="109"/>
      <c r="J52" s="109"/>
      <c r="K52" s="109"/>
      <c r="L52" s="109"/>
      <c r="M52" s="108"/>
      <c r="N52" s="108"/>
    </row>
    <row r="53" spans="1:14" ht="27" customHeight="1">
      <c r="A53" s="117" t="s">
        <v>318</v>
      </c>
      <c r="B53" s="117" t="s">
        <v>221</v>
      </c>
      <c r="C53" s="117"/>
      <c r="D53" s="118" t="s">
        <v>319</v>
      </c>
      <c r="E53" s="119"/>
      <c r="F53" s="126" t="s">
        <v>320</v>
      </c>
      <c r="G53" s="120"/>
      <c r="H53" s="120" t="s">
        <v>69</v>
      </c>
      <c r="I53" s="120" t="s">
        <v>91</v>
      </c>
      <c r="J53" s="120" t="s">
        <v>49</v>
      </c>
      <c r="K53" s="120" t="s">
        <v>54</v>
      </c>
      <c r="L53" s="120" t="s">
        <v>54</v>
      </c>
      <c r="M53" s="121"/>
      <c r="N53" s="121"/>
    </row>
    <row r="54" spans="1:14" ht="27" customHeight="1">
      <c r="A54" s="117" t="s">
        <v>321</v>
      </c>
      <c r="B54" s="117" t="s">
        <v>322</v>
      </c>
      <c r="C54" s="117"/>
      <c r="D54" s="118" t="s">
        <v>323</v>
      </c>
      <c r="E54" s="119"/>
      <c r="F54" s="124" t="s">
        <v>324</v>
      </c>
      <c r="G54" s="120"/>
      <c r="H54" s="120" t="s">
        <v>69</v>
      </c>
      <c r="I54" s="120" t="s">
        <v>91</v>
      </c>
      <c r="J54" s="120" t="s">
        <v>49</v>
      </c>
      <c r="K54" s="120" t="s">
        <v>54</v>
      </c>
      <c r="L54" s="120" t="s">
        <v>54</v>
      </c>
      <c r="M54" s="121"/>
      <c r="N54" s="121"/>
    </row>
    <row r="55" spans="1:14" ht="27" customHeight="1">
      <c r="A55" s="117" t="s">
        <v>325</v>
      </c>
      <c r="B55" s="117" t="s">
        <v>225</v>
      </c>
      <c r="C55" s="117"/>
      <c r="D55" s="118" t="s">
        <v>326</v>
      </c>
      <c r="E55" s="119"/>
      <c r="F55" s="126" t="s">
        <v>327</v>
      </c>
      <c r="G55" s="120"/>
      <c r="H55" s="120" t="s">
        <v>69</v>
      </c>
      <c r="I55" s="120" t="s">
        <v>91</v>
      </c>
      <c r="J55" s="120" t="s">
        <v>49</v>
      </c>
      <c r="K55" s="120" t="s">
        <v>54</v>
      </c>
      <c r="L55" s="120" t="s">
        <v>54</v>
      </c>
      <c r="M55" s="121"/>
      <c r="N55" s="121"/>
    </row>
    <row r="56" spans="1:14" ht="27" customHeight="1">
      <c r="A56" s="117" t="s">
        <v>328</v>
      </c>
      <c r="B56" s="117" t="s">
        <v>229</v>
      </c>
      <c r="C56" s="117"/>
      <c r="D56" s="118" t="s">
        <v>329</v>
      </c>
      <c r="E56" s="119"/>
      <c r="F56" s="126" t="s">
        <v>330</v>
      </c>
      <c r="G56" s="120"/>
      <c r="H56" s="120" t="s">
        <v>69</v>
      </c>
      <c r="I56" s="120" t="s">
        <v>91</v>
      </c>
      <c r="J56" s="120" t="s">
        <v>49</v>
      </c>
      <c r="K56" s="120" t="s">
        <v>54</v>
      </c>
      <c r="L56" s="120" t="s">
        <v>54</v>
      </c>
      <c r="M56" s="121"/>
      <c r="N56" s="121"/>
    </row>
    <row r="57" spans="1:14" ht="27" customHeight="1">
      <c r="A57" s="117" t="s">
        <v>331</v>
      </c>
      <c r="B57" s="117" t="s">
        <v>241</v>
      </c>
      <c r="C57" s="117"/>
      <c r="D57" s="118" t="s">
        <v>332</v>
      </c>
      <c r="E57" s="119"/>
      <c r="F57" s="124" t="s">
        <v>333</v>
      </c>
      <c r="G57" s="120"/>
      <c r="H57" s="120" t="s">
        <v>69</v>
      </c>
      <c r="I57" s="120" t="s">
        <v>91</v>
      </c>
      <c r="J57" s="120" t="s">
        <v>49</v>
      </c>
      <c r="K57" s="120" t="s">
        <v>54</v>
      </c>
      <c r="L57" s="120" t="s">
        <v>54</v>
      </c>
      <c r="M57" s="121"/>
      <c r="N57" s="121"/>
    </row>
    <row r="58" spans="1:14" ht="27" customHeight="1">
      <c r="A58" s="106"/>
      <c r="B58" s="238" t="s">
        <v>334</v>
      </c>
      <c r="C58" s="238"/>
      <c r="D58" s="108"/>
      <c r="E58" s="108"/>
      <c r="F58" s="125"/>
      <c r="G58" s="108"/>
      <c r="H58" s="109"/>
      <c r="I58" s="109"/>
      <c r="J58" s="109"/>
      <c r="K58" s="109"/>
      <c r="L58" s="109"/>
      <c r="M58" s="108"/>
      <c r="N58" s="108"/>
    </row>
    <row r="59" spans="1:14" ht="27" customHeight="1">
      <c r="A59" s="117" t="s">
        <v>335</v>
      </c>
      <c r="B59" s="117" t="s">
        <v>221</v>
      </c>
      <c r="C59" s="117"/>
      <c r="D59" s="118" t="s">
        <v>336</v>
      </c>
      <c r="E59" s="119"/>
      <c r="F59" s="126" t="s">
        <v>337</v>
      </c>
      <c r="G59" s="120"/>
      <c r="H59" s="120" t="s">
        <v>69</v>
      </c>
      <c r="I59" s="120" t="s">
        <v>91</v>
      </c>
      <c r="J59" s="120" t="s">
        <v>49</v>
      </c>
      <c r="K59" s="120" t="s">
        <v>54</v>
      </c>
      <c r="L59" s="120" t="s">
        <v>54</v>
      </c>
      <c r="M59" s="121"/>
      <c r="N59" s="121"/>
    </row>
    <row r="60" spans="1:14" ht="27" customHeight="1">
      <c r="A60" s="117" t="s">
        <v>338</v>
      </c>
      <c r="B60" s="117" t="s">
        <v>322</v>
      </c>
      <c r="C60" s="117"/>
      <c r="D60" s="118" t="s">
        <v>339</v>
      </c>
      <c r="E60" s="119"/>
      <c r="F60" s="124" t="s">
        <v>324</v>
      </c>
      <c r="G60" s="120"/>
      <c r="H60" s="120" t="s">
        <v>69</v>
      </c>
      <c r="I60" s="120" t="s">
        <v>91</v>
      </c>
      <c r="J60" s="120" t="s">
        <v>49</v>
      </c>
      <c r="K60" s="120" t="s">
        <v>54</v>
      </c>
      <c r="L60" s="120" t="s">
        <v>54</v>
      </c>
      <c r="M60" s="121"/>
      <c r="N60" s="121"/>
    </row>
    <row r="61" spans="1:14" ht="27" customHeight="1">
      <c r="A61" s="117" t="s">
        <v>340</v>
      </c>
      <c r="B61" s="117" t="s">
        <v>225</v>
      </c>
      <c r="C61" s="117"/>
      <c r="D61" s="118" t="s">
        <v>341</v>
      </c>
      <c r="E61" s="119"/>
      <c r="F61" s="126" t="s">
        <v>342</v>
      </c>
      <c r="G61" s="120"/>
      <c r="H61" s="120" t="s">
        <v>69</v>
      </c>
      <c r="I61" s="120" t="s">
        <v>91</v>
      </c>
      <c r="J61" s="120" t="s">
        <v>49</v>
      </c>
      <c r="K61" s="120" t="s">
        <v>54</v>
      </c>
      <c r="L61" s="120" t="s">
        <v>54</v>
      </c>
      <c r="M61" s="121"/>
      <c r="N61" s="121"/>
    </row>
    <row r="62" spans="1:14" ht="27" customHeight="1">
      <c r="A62" s="117" t="s">
        <v>343</v>
      </c>
      <c r="B62" s="117" t="s">
        <v>229</v>
      </c>
      <c r="C62" s="117"/>
      <c r="D62" s="118" t="s">
        <v>344</v>
      </c>
      <c r="E62" s="119"/>
      <c r="F62" s="126" t="s">
        <v>345</v>
      </c>
      <c r="G62" s="120"/>
      <c r="H62" s="120" t="s">
        <v>69</v>
      </c>
      <c r="I62" s="120" t="s">
        <v>91</v>
      </c>
      <c r="J62" s="120" t="s">
        <v>49</v>
      </c>
      <c r="K62" s="120" t="s">
        <v>54</v>
      </c>
      <c r="L62" s="120" t="s">
        <v>54</v>
      </c>
      <c r="M62" s="121"/>
      <c r="N62" s="121"/>
    </row>
    <row r="63" spans="1:14" ht="27" customHeight="1">
      <c r="A63" s="117" t="s">
        <v>346</v>
      </c>
      <c r="B63" s="117" t="s">
        <v>241</v>
      </c>
      <c r="C63" s="117"/>
      <c r="D63" s="118" t="s">
        <v>347</v>
      </c>
      <c r="E63" s="119"/>
      <c r="F63" s="118" t="s">
        <v>348</v>
      </c>
      <c r="G63" s="120"/>
      <c r="H63" s="120" t="s">
        <v>69</v>
      </c>
      <c r="I63" s="120" t="s">
        <v>91</v>
      </c>
      <c r="J63" s="120" t="s">
        <v>49</v>
      </c>
      <c r="K63" s="120" t="s">
        <v>54</v>
      </c>
      <c r="L63" s="120" t="s">
        <v>54</v>
      </c>
      <c r="M63" s="121"/>
      <c r="N63" s="121"/>
    </row>
  </sheetData>
  <autoFilter ref="A14:N63" xr:uid="{00000000-0009-0000-0000-000005000000}"/>
  <mergeCells count="7">
    <mergeCell ref="B52:C52"/>
    <mergeCell ref="B58:C58"/>
    <mergeCell ref="B15:C15"/>
    <mergeCell ref="B23:C23"/>
    <mergeCell ref="B31:C31"/>
    <mergeCell ref="B39:C39"/>
    <mergeCell ref="B47:C47"/>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80"/>
  <sheetViews>
    <sheetView tabSelected="1" zoomScaleNormal="100" workbookViewId="0">
      <pane ySplit="13" topLeftCell="A14" activePane="bottomLeft" state="frozen"/>
      <selection pane="bottomLeft" activeCell="F78" sqref="F78"/>
    </sheetView>
  </sheetViews>
  <sheetFormatPr defaultColWidth="8.7109375" defaultRowHeight="15"/>
  <cols>
    <col min="1" max="2" width="12" style="137" customWidth="1"/>
    <col min="3" max="3" width="46.140625" style="137" customWidth="1"/>
    <col min="4" max="4" width="9.140625" style="137" customWidth="1"/>
    <col min="5" max="5" width="40" style="137" customWidth="1"/>
    <col min="6" max="6" width="46" style="137" customWidth="1"/>
    <col min="7" max="7" width="59.7109375" style="137" customWidth="1"/>
    <col min="8" max="8" width="16" style="137" customWidth="1"/>
    <col min="9" max="9" width="10" style="138" customWidth="1"/>
    <col min="10" max="10" width="12.5703125" style="138" customWidth="1"/>
    <col min="11" max="11" width="14" style="138" customWidth="1"/>
    <col min="12" max="13" width="16.42578125" style="138" customWidth="1"/>
    <col min="14" max="14" width="10" style="137" customWidth="1"/>
    <col min="15" max="15" width="30" style="137" customWidth="1"/>
    <col min="16" max="16" width="50.85546875" style="137" customWidth="1"/>
    <col min="17" max="17" width="52.140625" style="137" customWidth="1"/>
    <col min="18" max="16384" width="8.7109375" style="137"/>
  </cols>
  <sheetData>
    <row r="1" spans="1:15" hidden="1">
      <c r="A1" s="136" t="s">
        <v>64</v>
      </c>
      <c r="B1" s="136" t="s">
        <v>349</v>
      </c>
    </row>
    <row r="2" spans="1:15" hidden="1">
      <c r="A2" s="136" t="s">
        <v>66</v>
      </c>
      <c r="B2" s="136" t="s">
        <v>67</v>
      </c>
    </row>
    <row r="3" spans="1:15" hidden="1"/>
    <row r="4" spans="1:15" ht="15.75" hidden="1" customHeight="1">
      <c r="A4" s="139" t="s">
        <v>350</v>
      </c>
      <c r="B4" s="139" t="s">
        <v>68</v>
      </c>
      <c r="C4" s="139" t="s">
        <v>69</v>
      </c>
      <c r="D4" s="139" t="s">
        <v>70</v>
      </c>
      <c r="E4" s="139" t="s">
        <v>55</v>
      </c>
      <c r="F4" s="140"/>
    </row>
    <row r="5" spans="1:15" ht="15.75" hidden="1" customHeight="1">
      <c r="A5" s="141" t="s">
        <v>55</v>
      </c>
      <c r="B5" s="142">
        <f>COUNTIFS($I$14:$I$80,"High")</f>
        <v>60</v>
      </c>
      <c r="C5" s="142">
        <f>COUNTIFS($I$14:$I$80,"Medium")</f>
        <v>0</v>
      </c>
      <c r="D5" s="142">
        <f>COUNTIFS($I$14:$I$80,"Low")</f>
        <v>0</v>
      </c>
      <c r="E5" s="142">
        <f>SUM(B5:D5)</f>
        <v>60</v>
      </c>
      <c r="F5" s="143"/>
    </row>
    <row r="6" spans="1:15" ht="15.75" hidden="1" customHeight="1">
      <c r="A6" s="144" t="s">
        <v>49</v>
      </c>
      <c r="B6" s="145">
        <f>COUNTIFS($K$14:$K$80,$A$6,$I$14:$I$80,"High")</f>
        <v>8</v>
      </c>
      <c r="C6" s="145">
        <f>COUNTIFS($K$14:$K$80,$A$6,$I$14:$I$80,"Medium")</f>
        <v>0</v>
      </c>
      <c r="D6" s="145">
        <f>COUNTIFS($K$14:$K$80,$A$6,$I$14:$I$80,"Low")</f>
        <v>0</v>
      </c>
      <c r="E6" s="145">
        <f>SUM(B6:D6)</f>
        <v>8</v>
      </c>
      <c r="F6" s="146"/>
      <c r="L6" s="138">
        <v>10</v>
      </c>
    </row>
    <row r="7" spans="1:15" ht="15.75" hidden="1" customHeight="1">
      <c r="A7" s="144" t="s">
        <v>50</v>
      </c>
      <c r="B7" s="145">
        <f>COUNTIFS($K$14:$K$80,$A$7,$I$14:$I$80,"High")</f>
        <v>0</v>
      </c>
      <c r="C7" s="145">
        <f>COUNTIFS($K$14:$K$80,$A$7,$I$14:$I$80,"Medium")</f>
        <v>0</v>
      </c>
      <c r="D7" s="145">
        <f>COUNTIFS($K$14:$K$80,$A$7,$I$14:$I$80,"Low")</f>
        <v>0</v>
      </c>
      <c r="E7" s="145">
        <f>SUM(B7:D7)</f>
        <v>0</v>
      </c>
      <c r="F7" s="146"/>
      <c r="L7" s="138">
        <v>5</v>
      </c>
    </row>
    <row r="8" spans="1:15" ht="15.75" hidden="1" customHeight="1">
      <c r="A8" s="144" t="s">
        <v>54</v>
      </c>
      <c r="B8" s="145">
        <f>COUNTIFS($K$14:$K$80,$A$8,$I$14:$I$80,"High")</f>
        <v>52</v>
      </c>
      <c r="C8" s="145">
        <f>COUNTIFS($K$14:$K$80,$A$8,$I$14:$I$80,"Medium")</f>
        <v>0</v>
      </c>
      <c r="D8" s="145">
        <f>COUNTIFS($K$14:$K$80,$A$8,$I$14:$I$80,"Low")</f>
        <v>0</v>
      </c>
      <c r="E8" s="145">
        <f>SUM(B8:D8)</f>
        <v>52</v>
      </c>
      <c r="F8" s="146"/>
      <c r="L8" s="138">
        <v>115</v>
      </c>
    </row>
    <row r="9" spans="1:15" ht="15.75" hidden="1" customHeight="1">
      <c r="A9" s="144" t="s">
        <v>71</v>
      </c>
      <c r="B9" s="145">
        <f>COUNTIFS($K$14:$K$80,$A$9,$I$14:$I$80,"High")</f>
        <v>0</v>
      </c>
      <c r="C9" s="145">
        <f>COUNTIFS($K$14:$K$80,$A$9,$I$14:$I$80,"Medium")</f>
        <v>0</v>
      </c>
      <c r="D9" s="145">
        <f>COUNTIFS($K$14:$K$80,$A$9,$I$14:$I$80,"Low")</f>
        <v>0</v>
      </c>
      <c r="E9" s="145">
        <f>SUM(B9:D9)</f>
        <v>0</v>
      </c>
      <c r="F9" s="146"/>
    </row>
    <row r="10" spans="1:15" ht="15.75" hidden="1" customHeight="1">
      <c r="A10" s="144" t="s">
        <v>351</v>
      </c>
      <c r="B10" s="145">
        <f>COUNTIFS($K$14:$K$80,$A$10,$I$14:$I$80,"High")</f>
        <v>0</v>
      </c>
      <c r="C10" s="145">
        <f>COUNTIFS($K$14:$K$80,$A$10,$I$14:$I$80,"High")</f>
        <v>0</v>
      </c>
      <c r="D10" s="145">
        <f>COUNTIFS($K$14:$K$80,$A$10,$I$14:$I$80,"High")</f>
        <v>0</v>
      </c>
      <c r="E10" s="145">
        <f>COUNTIFS($K$14:$K$80,$A$10,$I$14:$I$80,"High")</f>
        <v>0</v>
      </c>
      <c r="F10" s="146"/>
    </row>
    <row r="11" spans="1:15" ht="15.75" hidden="1" customHeight="1">
      <c r="A11" s="144" t="s">
        <v>51</v>
      </c>
      <c r="B11" s="145">
        <f>COUNTIFS($K$14:$K$80,$A$11,$I$14:$I$80,"High")</f>
        <v>0</v>
      </c>
      <c r="C11" s="145">
        <f>COUNTIFS($K$14:$K$80,$A$11,$I$14:$I$80,"Medium")</f>
        <v>0</v>
      </c>
      <c r="D11" s="145">
        <f>COUNTIFS($K$14:$K$80,$A$11,$I$14:$I$80,"Low")</f>
        <v>0</v>
      </c>
      <c r="E11" s="145">
        <f>SUM(B11:D11)</f>
        <v>0</v>
      </c>
      <c r="F11" s="146"/>
    </row>
    <row r="12" spans="1:15" hidden="1"/>
    <row r="13" spans="1:15" ht="28.5" customHeight="1">
      <c r="A13" s="147" t="s">
        <v>352</v>
      </c>
      <c r="B13" s="147" t="s">
        <v>73</v>
      </c>
      <c r="C13" s="147" t="s">
        <v>74</v>
      </c>
      <c r="D13" s="147" t="s">
        <v>75</v>
      </c>
      <c r="E13" s="147" t="s">
        <v>76</v>
      </c>
      <c r="F13" s="147" t="s">
        <v>77</v>
      </c>
      <c r="G13" s="147" t="s">
        <v>78</v>
      </c>
      <c r="H13" s="147" t="s">
        <v>42</v>
      </c>
      <c r="I13" s="147" t="s">
        <v>79</v>
      </c>
      <c r="J13" s="147" t="s">
        <v>80</v>
      </c>
      <c r="K13" s="147" t="s">
        <v>81</v>
      </c>
      <c r="L13" s="147" t="s">
        <v>82</v>
      </c>
      <c r="M13" s="147" t="s">
        <v>83</v>
      </c>
      <c r="N13" s="147" t="s">
        <v>84</v>
      </c>
      <c r="O13" s="147" t="s">
        <v>85</v>
      </c>
    </row>
    <row r="14" spans="1:15" ht="36.75" customHeight="1">
      <c r="A14" s="148" t="s">
        <v>353</v>
      </c>
      <c r="B14" s="148"/>
      <c r="C14" s="148"/>
      <c r="D14" s="148"/>
      <c r="E14" s="148"/>
      <c r="F14" s="148"/>
      <c r="G14" s="148"/>
      <c r="H14" s="148"/>
      <c r="I14" s="148"/>
      <c r="J14" s="148"/>
      <c r="K14" s="148"/>
      <c r="L14" s="148"/>
      <c r="M14" s="148"/>
      <c r="N14" s="148"/>
      <c r="O14" s="148"/>
    </row>
    <row r="15" spans="1:15" ht="63.75" customHeight="1">
      <c r="A15" s="149" t="s">
        <v>354</v>
      </c>
      <c r="B15" s="127" t="s">
        <v>87</v>
      </c>
      <c r="C15" s="127" t="s">
        <v>355</v>
      </c>
      <c r="D15" s="127"/>
      <c r="E15" s="127" t="s">
        <v>356</v>
      </c>
      <c r="F15" s="128" t="s">
        <v>357</v>
      </c>
      <c r="G15" s="129" t="s">
        <v>358</v>
      </c>
      <c r="H15" s="127"/>
      <c r="I15" s="150" t="s">
        <v>68</v>
      </c>
      <c r="J15" s="150" t="s">
        <v>91</v>
      </c>
      <c r="K15" s="150" t="s">
        <v>54</v>
      </c>
      <c r="L15" s="150" t="s">
        <v>54</v>
      </c>
      <c r="M15" s="150" t="s">
        <v>54</v>
      </c>
      <c r="N15" s="127"/>
      <c r="O15" s="127" t="s">
        <v>359</v>
      </c>
    </row>
    <row r="16" spans="1:15" ht="48" customHeight="1">
      <c r="A16" s="149" t="s">
        <v>354</v>
      </c>
      <c r="B16" s="127" t="s">
        <v>92</v>
      </c>
      <c r="C16" s="127" t="s">
        <v>355</v>
      </c>
      <c r="D16" s="127"/>
      <c r="E16" s="127" t="s">
        <v>360</v>
      </c>
      <c r="F16" s="130" t="s">
        <v>361</v>
      </c>
      <c r="G16" s="129" t="s">
        <v>362</v>
      </c>
      <c r="H16" s="127"/>
      <c r="I16" s="150" t="s">
        <v>68</v>
      </c>
      <c r="J16" s="150" t="s">
        <v>91</v>
      </c>
      <c r="K16" s="150" t="s">
        <v>54</v>
      </c>
      <c r="L16" s="150" t="s">
        <v>54</v>
      </c>
      <c r="M16" s="150" t="s">
        <v>54</v>
      </c>
      <c r="N16" s="127"/>
      <c r="O16" s="127" t="s">
        <v>363</v>
      </c>
    </row>
    <row r="17" spans="1:16" s="153" customFormat="1" ht="48" customHeight="1">
      <c r="A17" s="151" t="s">
        <v>354</v>
      </c>
      <c r="B17" s="132" t="s">
        <v>96</v>
      </c>
      <c r="C17" s="132" t="s">
        <v>364</v>
      </c>
      <c r="D17" s="132"/>
      <c r="E17" s="132" t="s">
        <v>365</v>
      </c>
      <c r="F17" s="133" t="s">
        <v>366</v>
      </c>
      <c r="G17" s="170" t="s">
        <v>367</v>
      </c>
      <c r="H17" s="132"/>
      <c r="I17" s="152" t="s">
        <v>68</v>
      </c>
      <c r="J17" s="152" t="s">
        <v>91</v>
      </c>
      <c r="K17" s="152" t="s">
        <v>54</v>
      </c>
      <c r="L17" s="152" t="s">
        <v>54</v>
      </c>
      <c r="M17" s="152" t="s">
        <v>54</v>
      </c>
      <c r="N17" s="132"/>
      <c r="O17" s="132" t="s">
        <v>368</v>
      </c>
      <c r="P17" s="161" t="s">
        <v>369</v>
      </c>
    </row>
    <row r="18" spans="1:16" ht="48" customHeight="1">
      <c r="A18" s="149" t="s">
        <v>354</v>
      </c>
      <c r="B18" s="127" t="s">
        <v>100</v>
      </c>
      <c r="C18" s="127" t="s">
        <v>370</v>
      </c>
      <c r="D18" s="127"/>
      <c r="E18" s="127" t="s">
        <v>371</v>
      </c>
      <c r="F18" s="130" t="s">
        <v>372</v>
      </c>
      <c r="G18" s="129" t="s">
        <v>373</v>
      </c>
      <c r="H18" s="127"/>
      <c r="I18" s="150" t="s">
        <v>68</v>
      </c>
      <c r="J18" s="150" t="s">
        <v>91</v>
      </c>
      <c r="K18" s="150" t="s">
        <v>54</v>
      </c>
      <c r="L18" s="150" t="s">
        <v>54</v>
      </c>
      <c r="M18" s="150" t="s">
        <v>54</v>
      </c>
      <c r="N18" s="127"/>
      <c r="O18" s="127" t="s">
        <v>374</v>
      </c>
    </row>
    <row r="19" spans="1:16" s="153" customFormat="1" ht="36.75" customHeight="1">
      <c r="A19" s="151" t="s">
        <v>354</v>
      </c>
      <c r="B19" s="132" t="s">
        <v>104</v>
      </c>
      <c r="C19" s="132" t="s">
        <v>370</v>
      </c>
      <c r="D19" s="132"/>
      <c r="E19" s="132" t="s">
        <v>375</v>
      </c>
      <c r="F19" s="135" t="s">
        <v>376</v>
      </c>
      <c r="G19" s="134" t="s">
        <v>377</v>
      </c>
      <c r="H19" s="132"/>
      <c r="I19" s="152" t="s">
        <v>68</v>
      </c>
      <c r="J19" s="152" t="s">
        <v>91</v>
      </c>
      <c r="K19" s="152" t="s">
        <v>54</v>
      </c>
      <c r="L19" s="152" t="s">
        <v>54</v>
      </c>
      <c r="M19" s="152" t="s">
        <v>54</v>
      </c>
      <c r="N19" s="132"/>
      <c r="O19" s="132" t="s">
        <v>378</v>
      </c>
      <c r="P19" s="153" t="s">
        <v>379</v>
      </c>
    </row>
    <row r="20" spans="1:16" s="153" customFormat="1" ht="36.75" customHeight="1">
      <c r="A20" s="151" t="s">
        <v>354</v>
      </c>
      <c r="B20" s="132" t="s">
        <v>380</v>
      </c>
      <c r="C20" s="132" t="s">
        <v>370</v>
      </c>
      <c r="D20" s="132"/>
      <c r="E20" s="132" t="s">
        <v>381</v>
      </c>
      <c r="F20" s="135" t="s">
        <v>382</v>
      </c>
      <c r="G20" s="134" t="s">
        <v>383</v>
      </c>
      <c r="H20" s="132"/>
      <c r="I20" s="152" t="s">
        <v>68</v>
      </c>
      <c r="J20" s="152" t="s">
        <v>91</v>
      </c>
      <c r="K20" s="152" t="s">
        <v>54</v>
      </c>
      <c r="L20" s="152" t="s">
        <v>54</v>
      </c>
      <c r="M20" s="152" t="s">
        <v>54</v>
      </c>
      <c r="N20" s="132"/>
      <c r="O20" s="132"/>
      <c r="P20" s="153" t="s">
        <v>379</v>
      </c>
    </row>
    <row r="21" spans="1:16" ht="36.75" customHeight="1">
      <c r="A21" s="149" t="s">
        <v>354</v>
      </c>
      <c r="B21" s="127" t="s">
        <v>384</v>
      </c>
      <c r="C21" s="127" t="s">
        <v>385</v>
      </c>
      <c r="D21" s="127"/>
      <c r="E21" s="127" t="s">
        <v>386</v>
      </c>
      <c r="F21" s="131" t="s">
        <v>387</v>
      </c>
      <c r="G21" s="129" t="s">
        <v>388</v>
      </c>
      <c r="H21" s="127"/>
      <c r="I21" s="150" t="s">
        <v>68</v>
      </c>
      <c r="J21" s="150" t="s">
        <v>91</v>
      </c>
      <c r="K21" s="150" t="s">
        <v>54</v>
      </c>
      <c r="L21" s="150" t="s">
        <v>54</v>
      </c>
      <c r="M21" s="150" t="s">
        <v>54</v>
      </c>
      <c r="N21" s="127"/>
      <c r="O21" s="127" t="s">
        <v>389</v>
      </c>
    </row>
    <row r="22" spans="1:16" ht="36.75" customHeight="1">
      <c r="A22" s="149" t="s">
        <v>354</v>
      </c>
      <c r="B22" s="127" t="s">
        <v>390</v>
      </c>
      <c r="C22" s="127" t="s">
        <v>391</v>
      </c>
      <c r="D22" s="127"/>
      <c r="E22" s="127" t="s">
        <v>392</v>
      </c>
      <c r="F22" s="131" t="s">
        <v>393</v>
      </c>
      <c r="G22" s="129" t="s">
        <v>394</v>
      </c>
      <c r="H22" s="127"/>
      <c r="I22" s="150" t="s">
        <v>68</v>
      </c>
      <c r="J22" s="150" t="s">
        <v>91</v>
      </c>
      <c r="K22" s="150" t="s">
        <v>54</v>
      </c>
      <c r="L22" s="150" t="s">
        <v>54</v>
      </c>
      <c r="M22" s="150" t="s">
        <v>54</v>
      </c>
      <c r="N22" s="127"/>
      <c r="O22" s="127" t="s">
        <v>395</v>
      </c>
    </row>
    <row r="23" spans="1:16" s="153" customFormat="1" ht="38.25" customHeight="1">
      <c r="A23" s="151" t="s">
        <v>354</v>
      </c>
      <c r="B23" s="132" t="s">
        <v>396</v>
      </c>
      <c r="C23" s="132" t="s">
        <v>397</v>
      </c>
      <c r="D23" s="132"/>
      <c r="E23" s="132" t="s">
        <v>398</v>
      </c>
      <c r="F23" s="133" t="s">
        <v>399</v>
      </c>
      <c r="G23" s="134" t="s">
        <v>400</v>
      </c>
      <c r="H23" s="132"/>
      <c r="I23" s="152" t="s">
        <v>68</v>
      </c>
      <c r="J23" s="152" t="s">
        <v>91</v>
      </c>
      <c r="K23" s="152" t="s">
        <v>54</v>
      </c>
      <c r="L23" s="152" t="s">
        <v>54</v>
      </c>
      <c r="M23" s="152" t="s">
        <v>54</v>
      </c>
      <c r="N23" s="132"/>
      <c r="O23" s="132" t="s">
        <v>401</v>
      </c>
      <c r="P23" s="153" t="s">
        <v>402</v>
      </c>
    </row>
    <row r="24" spans="1:16" ht="36.75" customHeight="1">
      <c r="A24" s="148" t="s">
        <v>403</v>
      </c>
      <c r="B24" s="148"/>
      <c r="C24" s="148"/>
      <c r="D24" s="148"/>
      <c r="E24" s="148"/>
      <c r="F24" s="148"/>
      <c r="G24" s="148"/>
      <c r="H24" s="148"/>
      <c r="I24" s="148"/>
      <c r="J24" s="148"/>
      <c r="K24" s="148"/>
      <c r="L24" s="148"/>
      <c r="M24" s="148"/>
      <c r="N24" s="148"/>
      <c r="O24" s="148"/>
      <c r="P24" s="194" t="s">
        <v>626</v>
      </c>
    </row>
    <row r="25" spans="1:16" ht="61.5" customHeight="1">
      <c r="A25" s="162" t="s">
        <v>404</v>
      </c>
      <c r="B25" s="163" t="s">
        <v>109</v>
      </c>
      <c r="C25" s="163" t="s">
        <v>405</v>
      </c>
      <c r="D25" s="163" t="s">
        <v>406</v>
      </c>
      <c r="E25" s="195" t="s">
        <v>407</v>
      </c>
      <c r="F25" s="164" t="s">
        <v>408</v>
      </c>
      <c r="G25" s="165" t="s">
        <v>409</v>
      </c>
      <c r="H25" s="159"/>
      <c r="I25" s="150" t="s">
        <v>68</v>
      </c>
      <c r="J25" s="150" t="s">
        <v>91</v>
      </c>
      <c r="K25" s="150" t="s">
        <v>54</v>
      </c>
      <c r="L25" s="150" t="s">
        <v>54</v>
      </c>
      <c r="M25" s="150" t="s">
        <v>54</v>
      </c>
      <c r="N25" s="127"/>
      <c r="O25" s="127" t="s">
        <v>410</v>
      </c>
      <c r="P25" s="194" t="s">
        <v>627</v>
      </c>
    </row>
    <row r="26" spans="1:16" ht="61.5" customHeight="1">
      <c r="A26" s="166" t="s">
        <v>404</v>
      </c>
      <c r="B26" s="167" t="s">
        <v>113</v>
      </c>
      <c r="C26" s="167" t="s">
        <v>405</v>
      </c>
      <c r="D26" s="167" t="s">
        <v>406</v>
      </c>
      <c r="E26" s="192" t="s">
        <v>411</v>
      </c>
      <c r="F26" s="167" t="s">
        <v>412</v>
      </c>
      <c r="G26" s="168" t="s">
        <v>413</v>
      </c>
      <c r="H26" s="159"/>
      <c r="I26" s="150" t="s">
        <v>68</v>
      </c>
      <c r="J26" s="150" t="s">
        <v>91</v>
      </c>
      <c r="K26" s="150" t="s">
        <v>54</v>
      </c>
      <c r="L26" s="150" t="s">
        <v>54</v>
      </c>
      <c r="M26" s="150" t="s">
        <v>54</v>
      </c>
      <c r="N26" s="127"/>
      <c r="O26" s="127" t="s">
        <v>363</v>
      </c>
    </row>
    <row r="27" spans="1:16" s="153" customFormat="1" ht="61.5" customHeight="1">
      <c r="A27" s="171" t="s">
        <v>404</v>
      </c>
      <c r="B27" s="172" t="s">
        <v>117</v>
      </c>
      <c r="C27" s="189" t="s">
        <v>414</v>
      </c>
      <c r="D27" s="189" t="s">
        <v>406</v>
      </c>
      <c r="E27" s="189" t="s">
        <v>415</v>
      </c>
      <c r="F27" s="196" t="s">
        <v>416</v>
      </c>
      <c r="G27" s="197" t="s">
        <v>417</v>
      </c>
      <c r="H27" s="188"/>
      <c r="I27" s="152" t="s">
        <v>68</v>
      </c>
      <c r="J27" s="152" t="s">
        <v>91</v>
      </c>
      <c r="K27" s="152" t="s">
        <v>54</v>
      </c>
      <c r="L27" s="152" t="s">
        <v>54</v>
      </c>
      <c r="M27" s="152" t="s">
        <v>54</v>
      </c>
      <c r="N27" s="132"/>
      <c r="O27" s="132" t="s">
        <v>418</v>
      </c>
      <c r="P27" s="194" t="s">
        <v>628</v>
      </c>
    </row>
    <row r="28" spans="1:16" ht="61.5" customHeight="1">
      <c r="A28" s="166" t="s">
        <v>404</v>
      </c>
      <c r="B28" s="167" t="s">
        <v>120</v>
      </c>
      <c r="C28" s="167" t="s">
        <v>419</v>
      </c>
      <c r="D28" s="167" t="s">
        <v>406</v>
      </c>
      <c r="E28" s="192" t="s">
        <v>420</v>
      </c>
      <c r="F28" s="167" t="s">
        <v>421</v>
      </c>
      <c r="G28" s="168" t="s">
        <v>422</v>
      </c>
      <c r="H28" s="159"/>
      <c r="I28" s="150" t="s">
        <v>68</v>
      </c>
      <c r="J28" s="150" t="s">
        <v>91</v>
      </c>
      <c r="K28" s="150" t="s">
        <v>54</v>
      </c>
      <c r="L28" s="150" t="s">
        <v>54</v>
      </c>
      <c r="M28" s="150" t="s">
        <v>54</v>
      </c>
      <c r="N28" s="127"/>
      <c r="O28" s="127" t="s">
        <v>423</v>
      </c>
    </row>
    <row r="29" spans="1:16" s="153" customFormat="1" ht="61.5" customHeight="1">
      <c r="A29" s="171" t="s">
        <v>404</v>
      </c>
      <c r="B29" s="198"/>
      <c r="C29" s="172" t="s">
        <v>419</v>
      </c>
      <c r="D29" s="172" t="s">
        <v>406</v>
      </c>
      <c r="E29" s="189" t="s">
        <v>424</v>
      </c>
      <c r="F29" s="172" t="s">
        <v>425</v>
      </c>
      <c r="G29" s="199" t="s">
        <v>422</v>
      </c>
      <c r="H29" s="188"/>
      <c r="I29" s="152" t="s">
        <v>68</v>
      </c>
      <c r="J29" s="152" t="s">
        <v>91</v>
      </c>
      <c r="K29" s="152" t="s">
        <v>54</v>
      </c>
      <c r="L29" s="152" t="s">
        <v>54</v>
      </c>
      <c r="M29" s="152" t="s">
        <v>54</v>
      </c>
      <c r="N29" s="132"/>
      <c r="O29" s="200" t="s">
        <v>423</v>
      </c>
      <c r="P29" s="194" t="s">
        <v>629</v>
      </c>
    </row>
    <row r="30" spans="1:16" ht="44.25" customHeight="1">
      <c r="A30" s="166" t="s">
        <v>404</v>
      </c>
      <c r="B30" s="167" t="s">
        <v>124</v>
      </c>
      <c r="C30" s="167" t="s">
        <v>426</v>
      </c>
      <c r="D30" s="167" t="s">
        <v>406</v>
      </c>
      <c r="E30" s="192" t="s">
        <v>427</v>
      </c>
      <c r="F30" s="169" t="s">
        <v>428</v>
      </c>
      <c r="G30" s="191" t="s">
        <v>429</v>
      </c>
      <c r="H30" s="159"/>
      <c r="I30" s="150" t="s">
        <v>68</v>
      </c>
      <c r="J30" s="150" t="s">
        <v>91</v>
      </c>
      <c r="K30" s="150" t="s">
        <v>54</v>
      </c>
      <c r="L30" s="150" t="s">
        <v>54</v>
      </c>
      <c r="M30" s="150" t="s">
        <v>54</v>
      </c>
      <c r="N30" s="127"/>
      <c r="O30" s="127" t="s">
        <v>430</v>
      </c>
    </row>
    <row r="31" spans="1:16" ht="44.25" customHeight="1">
      <c r="A31" s="166" t="s">
        <v>404</v>
      </c>
      <c r="B31" s="167" t="s">
        <v>431</v>
      </c>
      <c r="C31" s="167" t="s">
        <v>432</v>
      </c>
      <c r="D31" s="167" t="s">
        <v>406</v>
      </c>
      <c r="E31" s="192" t="s">
        <v>433</v>
      </c>
      <c r="F31" s="167" t="s">
        <v>434</v>
      </c>
      <c r="G31" s="191" t="s">
        <v>394</v>
      </c>
      <c r="H31" s="159"/>
      <c r="I31" s="150" t="s">
        <v>68</v>
      </c>
      <c r="J31" s="150" t="s">
        <v>91</v>
      </c>
      <c r="K31" s="150" t="s">
        <v>54</v>
      </c>
      <c r="L31" s="150" t="s">
        <v>54</v>
      </c>
      <c r="M31" s="150" t="s">
        <v>54</v>
      </c>
      <c r="N31" s="127"/>
      <c r="O31" s="127" t="s">
        <v>395</v>
      </c>
    </row>
    <row r="32" spans="1:16" ht="44.25" customHeight="1">
      <c r="A32" s="166" t="s">
        <v>404</v>
      </c>
      <c r="B32" s="167" t="s">
        <v>435</v>
      </c>
      <c r="C32" s="167" t="s">
        <v>436</v>
      </c>
      <c r="D32" s="167" t="s">
        <v>406</v>
      </c>
      <c r="E32" s="201" t="s">
        <v>437</v>
      </c>
      <c r="F32" s="202" t="s">
        <v>438</v>
      </c>
      <c r="G32" s="203" t="s">
        <v>439</v>
      </c>
      <c r="H32" s="159"/>
      <c r="I32" s="150" t="s">
        <v>68</v>
      </c>
      <c r="J32" s="150" t="s">
        <v>91</v>
      </c>
      <c r="K32" s="150" t="s">
        <v>54</v>
      </c>
      <c r="L32" s="150" t="s">
        <v>54</v>
      </c>
      <c r="M32" s="150" t="s">
        <v>54</v>
      </c>
      <c r="N32" s="127"/>
      <c r="O32" s="194" t="s">
        <v>440</v>
      </c>
      <c r="P32" s="194" t="s">
        <v>630</v>
      </c>
    </row>
    <row r="33" spans="1:16" s="153" customFormat="1" ht="49.5" customHeight="1">
      <c r="A33" s="204" t="s">
        <v>404</v>
      </c>
      <c r="B33" s="198" t="s">
        <v>441</v>
      </c>
      <c r="C33" s="198" t="s">
        <v>436</v>
      </c>
      <c r="D33" s="198" t="s">
        <v>406</v>
      </c>
      <c r="E33" s="205" t="s">
        <v>442</v>
      </c>
      <c r="F33" s="206" t="s">
        <v>443</v>
      </c>
      <c r="G33" s="199" t="s">
        <v>444</v>
      </c>
      <c r="H33" s="188"/>
      <c r="I33" s="152" t="s">
        <v>68</v>
      </c>
      <c r="J33" s="152" t="s">
        <v>91</v>
      </c>
      <c r="K33" s="152" t="s">
        <v>54</v>
      </c>
      <c r="L33" s="152" t="s">
        <v>54</v>
      </c>
      <c r="M33" s="152" t="s">
        <v>54</v>
      </c>
      <c r="N33" s="132"/>
      <c r="O33" s="200" t="s">
        <v>445</v>
      </c>
      <c r="P33" s="194" t="s">
        <v>631</v>
      </c>
    </row>
    <row r="34" spans="1:16" ht="36.75" customHeight="1">
      <c r="A34" s="148" t="s">
        <v>446</v>
      </c>
      <c r="B34" s="158"/>
      <c r="C34" s="158"/>
      <c r="D34" s="158"/>
      <c r="E34" s="158"/>
      <c r="F34" s="158"/>
      <c r="G34" s="158"/>
      <c r="H34" s="158"/>
      <c r="I34" s="148"/>
      <c r="J34" s="148"/>
      <c r="K34" s="148"/>
      <c r="L34" s="148"/>
      <c r="M34" s="148"/>
      <c r="N34" s="148"/>
      <c r="O34" s="148"/>
      <c r="P34" s="194" t="s">
        <v>632</v>
      </c>
    </row>
    <row r="35" spans="1:16" ht="102" customHeight="1">
      <c r="A35" s="162" t="s">
        <v>447</v>
      </c>
      <c r="B35" s="163" t="s">
        <v>129</v>
      </c>
      <c r="C35" s="163" t="s">
        <v>448</v>
      </c>
      <c r="D35" s="163" t="s">
        <v>406</v>
      </c>
      <c r="E35" s="163" t="s">
        <v>449</v>
      </c>
      <c r="F35" s="164" t="s">
        <v>450</v>
      </c>
      <c r="G35" s="165" t="s">
        <v>451</v>
      </c>
      <c r="H35" s="127"/>
      <c r="I35" s="150" t="s">
        <v>68</v>
      </c>
      <c r="J35" s="150" t="s">
        <v>91</v>
      </c>
      <c r="K35" s="150" t="s">
        <v>54</v>
      </c>
      <c r="L35" s="150" t="s">
        <v>54</v>
      </c>
      <c r="M35" s="150" t="s">
        <v>54</v>
      </c>
      <c r="N35" s="127"/>
      <c r="O35" s="127" t="s">
        <v>452</v>
      </c>
    </row>
    <row r="36" spans="1:16" ht="36.75" customHeight="1">
      <c r="A36" s="166" t="s">
        <v>447</v>
      </c>
      <c r="B36" s="167" t="s">
        <v>133</v>
      </c>
      <c r="C36" s="167" t="s">
        <v>448</v>
      </c>
      <c r="D36" s="167" t="s">
        <v>406</v>
      </c>
      <c r="E36" s="167" t="s">
        <v>411</v>
      </c>
      <c r="F36" s="167" t="s">
        <v>453</v>
      </c>
      <c r="G36" s="168" t="s">
        <v>413</v>
      </c>
      <c r="H36" s="127"/>
      <c r="I36" s="150" t="s">
        <v>68</v>
      </c>
      <c r="J36" s="150" t="s">
        <v>91</v>
      </c>
      <c r="K36" s="150" t="s">
        <v>54</v>
      </c>
      <c r="L36" s="150" t="s">
        <v>54</v>
      </c>
      <c r="M36" s="150" t="s">
        <v>54</v>
      </c>
      <c r="N36" s="127"/>
      <c r="O36" s="127" t="s">
        <v>363</v>
      </c>
    </row>
    <row r="37" spans="1:16" ht="36.75" customHeight="1">
      <c r="A37" s="166" t="s">
        <v>447</v>
      </c>
      <c r="B37" s="167" t="s">
        <v>137</v>
      </c>
      <c r="C37" s="167" t="s">
        <v>454</v>
      </c>
      <c r="D37" s="167" t="s">
        <v>406</v>
      </c>
      <c r="E37" s="167" t="s">
        <v>455</v>
      </c>
      <c r="F37" s="202" t="s">
        <v>456</v>
      </c>
      <c r="G37" s="207" t="s">
        <v>457</v>
      </c>
      <c r="H37" s="127"/>
      <c r="I37" s="150" t="s">
        <v>68</v>
      </c>
      <c r="J37" s="150" t="s">
        <v>91</v>
      </c>
      <c r="K37" s="150" t="s">
        <v>54</v>
      </c>
      <c r="L37" s="150" t="s">
        <v>54</v>
      </c>
      <c r="M37" s="150" t="s">
        <v>54</v>
      </c>
      <c r="N37" s="127"/>
      <c r="O37" s="127" t="s">
        <v>458</v>
      </c>
      <c r="P37" s="194" t="s">
        <v>633</v>
      </c>
    </row>
    <row r="38" spans="1:16" ht="36.75" customHeight="1">
      <c r="A38" s="166" t="s">
        <v>447</v>
      </c>
      <c r="B38" s="167" t="s">
        <v>140</v>
      </c>
      <c r="C38" s="167" t="s">
        <v>459</v>
      </c>
      <c r="D38" s="167" t="s">
        <v>406</v>
      </c>
      <c r="E38" s="167" t="s">
        <v>460</v>
      </c>
      <c r="F38" s="167" t="s">
        <v>461</v>
      </c>
      <c r="G38" s="168" t="s">
        <v>462</v>
      </c>
      <c r="H38" s="127"/>
      <c r="I38" s="150" t="s">
        <v>68</v>
      </c>
      <c r="J38" s="150" t="s">
        <v>91</v>
      </c>
      <c r="K38" s="150" t="s">
        <v>54</v>
      </c>
      <c r="L38" s="150" t="s">
        <v>54</v>
      </c>
      <c r="M38" s="150" t="s">
        <v>54</v>
      </c>
      <c r="N38" s="127"/>
      <c r="O38" s="127" t="s">
        <v>463</v>
      </c>
    </row>
    <row r="39" spans="1:16" s="153" customFormat="1" ht="36.75" customHeight="1">
      <c r="A39" s="171" t="s">
        <v>447</v>
      </c>
      <c r="B39" s="198"/>
      <c r="C39" s="172" t="s">
        <v>459</v>
      </c>
      <c r="D39" s="172" t="s">
        <v>406</v>
      </c>
      <c r="E39" s="172" t="s">
        <v>464</v>
      </c>
      <c r="F39" s="198" t="s">
        <v>465</v>
      </c>
      <c r="G39" s="208" t="s">
        <v>462</v>
      </c>
      <c r="H39" s="132"/>
      <c r="I39" s="152" t="s">
        <v>68</v>
      </c>
      <c r="J39" s="152" t="s">
        <v>91</v>
      </c>
      <c r="K39" s="152" t="s">
        <v>54</v>
      </c>
      <c r="L39" s="152" t="s">
        <v>54</v>
      </c>
      <c r="M39" s="152" t="s">
        <v>54</v>
      </c>
      <c r="N39" s="132"/>
      <c r="O39" s="200" t="s">
        <v>463</v>
      </c>
      <c r="P39" s="194" t="s">
        <v>634</v>
      </c>
    </row>
    <row r="40" spans="1:16" s="153" customFormat="1" ht="36.75" customHeight="1">
      <c r="A40" s="171" t="s">
        <v>447</v>
      </c>
      <c r="B40" s="198"/>
      <c r="C40" s="172" t="s">
        <v>459</v>
      </c>
      <c r="D40" s="172" t="s">
        <v>406</v>
      </c>
      <c r="E40" s="172" t="s">
        <v>466</v>
      </c>
      <c r="F40" s="198" t="s">
        <v>467</v>
      </c>
      <c r="G40" s="208" t="s">
        <v>462</v>
      </c>
      <c r="H40" s="132"/>
      <c r="I40" s="152" t="s">
        <v>68</v>
      </c>
      <c r="J40" s="152" t="s">
        <v>91</v>
      </c>
      <c r="K40" s="152" t="s">
        <v>54</v>
      </c>
      <c r="L40" s="152" t="s">
        <v>54</v>
      </c>
      <c r="M40" s="152" t="s">
        <v>54</v>
      </c>
      <c r="N40" s="132"/>
      <c r="O40" s="200" t="s">
        <v>463</v>
      </c>
      <c r="P40" s="194" t="s">
        <v>635</v>
      </c>
    </row>
    <row r="41" spans="1:16" ht="36.75" customHeight="1">
      <c r="A41" s="166" t="s">
        <v>447</v>
      </c>
      <c r="B41" s="167" t="s">
        <v>143</v>
      </c>
      <c r="C41" s="167" t="s">
        <v>468</v>
      </c>
      <c r="D41" s="167" t="s">
        <v>406</v>
      </c>
      <c r="E41" s="167" t="s">
        <v>427</v>
      </c>
      <c r="F41" s="169" t="s">
        <v>469</v>
      </c>
      <c r="G41" s="168" t="s">
        <v>429</v>
      </c>
      <c r="H41" s="127"/>
      <c r="I41" s="150" t="s">
        <v>68</v>
      </c>
      <c r="J41" s="150" t="s">
        <v>91</v>
      </c>
      <c r="K41" s="150" t="s">
        <v>54</v>
      </c>
      <c r="L41" s="150" t="s">
        <v>54</v>
      </c>
      <c r="M41" s="150" t="s">
        <v>54</v>
      </c>
      <c r="N41" s="127"/>
      <c r="O41" s="127" t="s">
        <v>430</v>
      </c>
    </row>
    <row r="42" spans="1:16" ht="36.75" customHeight="1">
      <c r="A42" s="166" t="s">
        <v>447</v>
      </c>
      <c r="B42" s="167" t="s">
        <v>470</v>
      </c>
      <c r="C42" s="167" t="s">
        <v>471</v>
      </c>
      <c r="D42" s="167" t="s">
        <v>406</v>
      </c>
      <c r="E42" s="167" t="s">
        <v>433</v>
      </c>
      <c r="F42" s="169" t="s">
        <v>472</v>
      </c>
      <c r="G42" s="168" t="s">
        <v>394</v>
      </c>
      <c r="H42" s="127"/>
      <c r="I42" s="150" t="s">
        <v>68</v>
      </c>
      <c r="J42" s="150" t="s">
        <v>91</v>
      </c>
      <c r="K42" s="150" t="s">
        <v>54</v>
      </c>
      <c r="L42" s="150" t="s">
        <v>54</v>
      </c>
      <c r="M42" s="150" t="s">
        <v>54</v>
      </c>
      <c r="N42" s="127"/>
      <c r="O42" s="127" t="s">
        <v>395</v>
      </c>
    </row>
    <row r="43" spans="1:16" ht="78" customHeight="1">
      <c r="A43" s="166" t="s">
        <v>447</v>
      </c>
      <c r="B43" s="167" t="s">
        <v>473</v>
      </c>
      <c r="C43" s="167" t="s">
        <v>474</v>
      </c>
      <c r="D43" s="167" t="s">
        <v>406</v>
      </c>
      <c r="E43" s="201" t="s">
        <v>475</v>
      </c>
      <c r="F43" s="202" t="s">
        <v>476</v>
      </c>
      <c r="G43" s="207" t="s">
        <v>477</v>
      </c>
      <c r="H43" s="127"/>
      <c r="I43" s="150" t="s">
        <v>68</v>
      </c>
      <c r="J43" s="150" t="s">
        <v>91</v>
      </c>
      <c r="K43" s="150" t="s">
        <v>54</v>
      </c>
      <c r="L43" s="150" t="s">
        <v>54</v>
      </c>
      <c r="M43" s="150" t="s">
        <v>54</v>
      </c>
      <c r="N43" s="127"/>
      <c r="O43" s="194" t="s">
        <v>478</v>
      </c>
      <c r="P43" s="194" t="s">
        <v>636</v>
      </c>
    </row>
    <row r="44" spans="1:16" s="153" customFormat="1" ht="36.75" customHeight="1">
      <c r="A44" s="204" t="s">
        <v>447</v>
      </c>
      <c r="B44" s="198" t="s">
        <v>479</v>
      </c>
      <c r="C44" s="198" t="s">
        <v>474</v>
      </c>
      <c r="D44" s="198" t="s">
        <v>406</v>
      </c>
      <c r="E44" s="198" t="s">
        <v>480</v>
      </c>
      <c r="F44" s="206" t="s">
        <v>481</v>
      </c>
      <c r="G44" s="208" t="s">
        <v>482</v>
      </c>
      <c r="H44" s="132"/>
      <c r="I44" s="152" t="s">
        <v>68</v>
      </c>
      <c r="J44" s="152" t="s">
        <v>91</v>
      </c>
      <c r="K44" s="152" t="s">
        <v>54</v>
      </c>
      <c r="L44" s="152" t="s">
        <v>54</v>
      </c>
      <c r="M44" s="152" t="s">
        <v>54</v>
      </c>
      <c r="N44" s="132"/>
      <c r="O44" s="200" t="s">
        <v>483</v>
      </c>
      <c r="P44" s="194" t="s">
        <v>637</v>
      </c>
    </row>
    <row r="45" spans="1:16" ht="36.75" customHeight="1">
      <c r="A45" s="148" t="s">
        <v>484</v>
      </c>
      <c r="B45" s="148"/>
      <c r="C45" s="148"/>
      <c r="D45" s="148"/>
      <c r="E45" s="148"/>
      <c r="F45" s="148"/>
      <c r="G45" s="148"/>
      <c r="H45" s="148"/>
      <c r="I45" s="148"/>
      <c r="J45" s="148"/>
      <c r="K45" s="148"/>
      <c r="L45" s="148"/>
      <c r="M45" s="148"/>
      <c r="N45" s="148"/>
      <c r="O45" s="148"/>
      <c r="P45" s="194" t="s">
        <v>638</v>
      </c>
    </row>
    <row r="46" spans="1:16" ht="36.75" customHeight="1">
      <c r="A46" s="162" t="s">
        <v>485</v>
      </c>
      <c r="B46" s="163" t="s">
        <v>148</v>
      </c>
      <c r="C46" s="163" t="s">
        <v>486</v>
      </c>
      <c r="D46" s="163" t="s">
        <v>406</v>
      </c>
      <c r="E46" s="163" t="s">
        <v>487</v>
      </c>
      <c r="F46" s="164" t="s">
        <v>488</v>
      </c>
      <c r="G46" s="165" t="s">
        <v>489</v>
      </c>
      <c r="H46" s="127"/>
      <c r="I46" s="150" t="s">
        <v>68</v>
      </c>
      <c r="J46" s="150" t="s">
        <v>91</v>
      </c>
      <c r="K46" s="150" t="s">
        <v>54</v>
      </c>
      <c r="L46" s="150" t="s">
        <v>54</v>
      </c>
      <c r="M46" s="150" t="s">
        <v>54</v>
      </c>
      <c r="N46" s="127"/>
      <c r="O46" s="127" t="s">
        <v>490</v>
      </c>
    </row>
    <row r="47" spans="1:16" ht="82.5" customHeight="1">
      <c r="A47" s="166" t="s">
        <v>485</v>
      </c>
      <c r="B47" s="167" t="s">
        <v>152</v>
      </c>
      <c r="C47" s="167" t="s">
        <v>486</v>
      </c>
      <c r="D47" s="167" t="s">
        <v>406</v>
      </c>
      <c r="E47" s="167" t="s">
        <v>411</v>
      </c>
      <c r="F47" s="167" t="s">
        <v>491</v>
      </c>
      <c r="G47" s="207" t="s">
        <v>492</v>
      </c>
      <c r="H47" s="127"/>
      <c r="I47" s="150" t="s">
        <v>68</v>
      </c>
      <c r="J47" s="150" t="s">
        <v>91</v>
      </c>
      <c r="K47" s="150" t="s">
        <v>54</v>
      </c>
      <c r="L47" s="150" t="s">
        <v>54</v>
      </c>
      <c r="M47" s="150" t="s">
        <v>54</v>
      </c>
      <c r="N47" s="127"/>
      <c r="O47" s="127" t="s">
        <v>363</v>
      </c>
      <c r="P47" s="194" t="s">
        <v>639</v>
      </c>
    </row>
    <row r="48" spans="1:16" ht="82.5" customHeight="1">
      <c r="A48" s="171" t="s">
        <v>485</v>
      </c>
      <c r="B48" s="172" t="s">
        <v>156</v>
      </c>
      <c r="C48" s="172" t="s">
        <v>493</v>
      </c>
      <c r="D48" s="172" t="s">
        <v>406</v>
      </c>
      <c r="E48" s="172" t="s">
        <v>494</v>
      </c>
      <c r="F48" s="173" t="s">
        <v>495</v>
      </c>
      <c r="G48" s="197" t="s">
        <v>496</v>
      </c>
      <c r="H48" s="127"/>
      <c r="I48" s="150" t="s">
        <v>68</v>
      </c>
      <c r="J48" s="150" t="s">
        <v>91</v>
      </c>
      <c r="K48" s="150" t="s">
        <v>54</v>
      </c>
      <c r="L48" s="150" t="s">
        <v>54</v>
      </c>
      <c r="M48" s="150" t="s">
        <v>54</v>
      </c>
      <c r="N48" s="127"/>
      <c r="O48" s="127" t="s">
        <v>497</v>
      </c>
      <c r="P48" s="194" t="s">
        <v>640</v>
      </c>
    </row>
    <row r="49" spans="1:16" ht="36.75" customHeight="1">
      <c r="A49" s="166" t="s">
        <v>485</v>
      </c>
      <c r="B49" s="167" t="s">
        <v>159</v>
      </c>
      <c r="C49" s="167" t="s">
        <v>498</v>
      </c>
      <c r="D49" s="167" t="s">
        <v>406</v>
      </c>
      <c r="E49" s="167" t="s">
        <v>499</v>
      </c>
      <c r="F49" s="167" t="s">
        <v>500</v>
      </c>
      <c r="G49" s="191" t="s">
        <v>501</v>
      </c>
      <c r="H49" s="127"/>
      <c r="I49" s="150" t="s">
        <v>68</v>
      </c>
      <c r="J49" s="150" t="s">
        <v>91</v>
      </c>
      <c r="K49" s="150" t="s">
        <v>54</v>
      </c>
      <c r="L49" s="150" t="s">
        <v>54</v>
      </c>
      <c r="M49" s="150" t="s">
        <v>54</v>
      </c>
      <c r="N49" s="127"/>
      <c r="O49" s="127" t="s">
        <v>502</v>
      </c>
    </row>
    <row r="50" spans="1:16" s="153" customFormat="1" ht="73.5" customHeight="1">
      <c r="A50" s="171" t="s">
        <v>485</v>
      </c>
      <c r="B50" s="198" t="s">
        <v>159</v>
      </c>
      <c r="C50" s="172" t="s">
        <v>498</v>
      </c>
      <c r="D50" s="172" t="s">
        <v>406</v>
      </c>
      <c r="E50" s="172" t="s">
        <v>503</v>
      </c>
      <c r="F50" s="172" t="s">
        <v>504</v>
      </c>
      <c r="G50" s="190" t="s">
        <v>505</v>
      </c>
      <c r="H50" s="132"/>
      <c r="I50" s="150" t="s">
        <v>68</v>
      </c>
      <c r="J50" s="150" t="s">
        <v>91</v>
      </c>
      <c r="K50" s="150" t="s">
        <v>54</v>
      </c>
      <c r="L50" s="150" t="s">
        <v>54</v>
      </c>
      <c r="M50" s="150" t="s">
        <v>54</v>
      </c>
      <c r="N50" s="127"/>
      <c r="O50" s="194" t="s">
        <v>502</v>
      </c>
      <c r="P50" s="194" t="s">
        <v>641</v>
      </c>
    </row>
    <row r="51" spans="1:16" s="153" customFormat="1" ht="73.5" customHeight="1">
      <c r="A51" s="171" t="s">
        <v>485</v>
      </c>
      <c r="B51" s="198" t="s">
        <v>159</v>
      </c>
      <c r="C51" s="172" t="s">
        <v>498</v>
      </c>
      <c r="D51" s="172" t="s">
        <v>406</v>
      </c>
      <c r="E51" s="172" t="s">
        <v>466</v>
      </c>
      <c r="F51" s="172" t="s">
        <v>506</v>
      </c>
      <c r="G51" s="199" t="s">
        <v>507</v>
      </c>
      <c r="H51" s="132"/>
      <c r="I51" s="150" t="s">
        <v>68</v>
      </c>
      <c r="J51" s="150" t="s">
        <v>91</v>
      </c>
      <c r="K51" s="150" t="s">
        <v>54</v>
      </c>
      <c r="L51" s="150" t="s">
        <v>54</v>
      </c>
      <c r="M51" s="150" t="s">
        <v>54</v>
      </c>
      <c r="N51" s="127"/>
      <c r="O51" s="132"/>
      <c r="P51" s="194" t="s">
        <v>642</v>
      </c>
    </row>
    <row r="52" spans="1:16" ht="36.75" customHeight="1">
      <c r="A52" s="166" t="s">
        <v>485</v>
      </c>
      <c r="B52" s="167" t="s">
        <v>163</v>
      </c>
      <c r="C52" s="167" t="s">
        <v>508</v>
      </c>
      <c r="D52" s="167" t="s">
        <v>406</v>
      </c>
      <c r="E52" s="167" t="s">
        <v>427</v>
      </c>
      <c r="F52" s="167" t="s">
        <v>509</v>
      </c>
      <c r="G52" s="168" t="s">
        <v>429</v>
      </c>
      <c r="H52" s="127"/>
      <c r="I52" s="150" t="s">
        <v>68</v>
      </c>
      <c r="J52" s="150" t="s">
        <v>91</v>
      </c>
      <c r="K52" s="150" t="s">
        <v>54</v>
      </c>
      <c r="L52" s="150" t="s">
        <v>54</v>
      </c>
      <c r="M52" s="150" t="s">
        <v>54</v>
      </c>
      <c r="N52" s="127"/>
      <c r="O52" s="127" t="s">
        <v>430</v>
      </c>
    </row>
    <row r="53" spans="1:16" ht="36.75" customHeight="1">
      <c r="A53" s="166" t="s">
        <v>485</v>
      </c>
      <c r="B53" s="167" t="s">
        <v>510</v>
      </c>
      <c r="C53" s="167" t="s">
        <v>511</v>
      </c>
      <c r="D53" s="167" t="s">
        <v>406</v>
      </c>
      <c r="E53" s="167" t="s">
        <v>433</v>
      </c>
      <c r="F53" s="169" t="s">
        <v>512</v>
      </c>
      <c r="G53" s="168" t="s">
        <v>394</v>
      </c>
      <c r="H53" s="127"/>
      <c r="I53" s="150" t="s">
        <v>68</v>
      </c>
      <c r="J53" s="150" t="s">
        <v>91</v>
      </c>
      <c r="K53" s="150" t="s">
        <v>54</v>
      </c>
      <c r="L53" s="150" t="s">
        <v>54</v>
      </c>
      <c r="M53" s="150" t="s">
        <v>54</v>
      </c>
      <c r="N53" s="127"/>
      <c r="O53" s="127" t="s">
        <v>395</v>
      </c>
    </row>
    <row r="54" spans="1:16" s="153" customFormat="1" ht="79.5" customHeight="1">
      <c r="A54" s="171" t="s">
        <v>485</v>
      </c>
      <c r="B54" s="172" t="s">
        <v>513</v>
      </c>
      <c r="C54" s="172" t="s">
        <v>514</v>
      </c>
      <c r="D54" s="172" t="s">
        <v>406</v>
      </c>
      <c r="E54" s="198" t="s">
        <v>515</v>
      </c>
      <c r="F54" s="206" t="s">
        <v>516</v>
      </c>
      <c r="G54" s="208" t="s">
        <v>517</v>
      </c>
      <c r="H54" s="132"/>
      <c r="I54" s="152" t="s">
        <v>68</v>
      </c>
      <c r="J54" s="152" t="s">
        <v>91</v>
      </c>
      <c r="K54" s="152" t="s">
        <v>54</v>
      </c>
      <c r="L54" s="152" t="s">
        <v>54</v>
      </c>
      <c r="M54" s="152" t="s">
        <v>54</v>
      </c>
      <c r="N54" s="132"/>
      <c r="O54" s="200" t="s">
        <v>478</v>
      </c>
      <c r="P54" s="194" t="s">
        <v>643</v>
      </c>
    </row>
    <row r="55" spans="1:16" ht="36.75" customHeight="1">
      <c r="A55" s="148" t="s">
        <v>518</v>
      </c>
      <c r="B55" s="148"/>
      <c r="C55" s="148"/>
      <c r="D55" s="148"/>
      <c r="E55" s="148"/>
      <c r="F55" s="148"/>
      <c r="G55" s="148"/>
      <c r="H55" s="148"/>
      <c r="I55" s="148"/>
      <c r="J55" s="148"/>
      <c r="K55" s="148"/>
      <c r="L55" s="148"/>
      <c r="M55" s="148"/>
      <c r="N55" s="148"/>
      <c r="O55" s="148"/>
      <c r="P55" s="194" t="s">
        <v>644</v>
      </c>
    </row>
    <row r="56" spans="1:16" s="179" customFormat="1" ht="87.75" customHeight="1">
      <c r="A56" s="180" t="s">
        <v>519</v>
      </c>
      <c r="B56" s="181" t="s">
        <v>168</v>
      </c>
      <c r="C56" s="181" t="s">
        <v>520</v>
      </c>
      <c r="D56" s="181" t="s">
        <v>406</v>
      </c>
      <c r="E56" s="181" t="s">
        <v>521</v>
      </c>
      <c r="F56" s="182" t="s">
        <v>522</v>
      </c>
      <c r="G56" s="183" t="s">
        <v>523</v>
      </c>
      <c r="H56" s="177"/>
      <c r="I56" s="178" t="s">
        <v>68</v>
      </c>
      <c r="J56" s="178" t="s">
        <v>91</v>
      </c>
      <c r="K56" s="178" t="s">
        <v>54</v>
      </c>
      <c r="L56" s="178" t="s">
        <v>54</v>
      </c>
      <c r="M56" s="178" t="s">
        <v>54</v>
      </c>
      <c r="N56" s="177"/>
      <c r="O56" s="177" t="s">
        <v>524</v>
      </c>
    </row>
    <row r="57" spans="1:16" s="179" customFormat="1" ht="87.75" customHeight="1">
      <c r="A57" s="174" t="s">
        <v>519</v>
      </c>
      <c r="B57" s="175" t="s">
        <v>172</v>
      </c>
      <c r="C57" s="175" t="s">
        <v>520</v>
      </c>
      <c r="D57" s="175" t="s">
        <v>406</v>
      </c>
      <c r="E57" s="175" t="s">
        <v>411</v>
      </c>
      <c r="F57" s="175" t="s">
        <v>525</v>
      </c>
      <c r="G57" s="176" t="s">
        <v>413</v>
      </c>
      <c r="H57" s="177"/>
      <c r="I57" s="178" t="s">
        <v>68</v>
      </c>
      <c r="J57" s="178" t="s">
        <v>91</v>
      </c>
      <c r="K57" s="178" t="s">
        <v>54</v>
      </c>
      <c r="L57" s="178" t="s">
        <v>54</v>
      </c>
      <c r="M57" s="178" t="s">
        <v>54</v>
      </c>
      <c r="N57" s="177"/>
      <c r="O57" s="177" t="s">
        <v>363</v>
      </c>
    </row>
    <row r="58" spans="1:16" s="179" customFormat="1" ht="43.5" customHeight="1">
      <c r="A58" s="184" t="s">
        <v>519</v>
      </c>
      <c r="B58" s="185" t="s">
        <v>176</v>
      </c>
      <c r="C58" s="185" t="s">
        <v>526</v>
      </c>
      <c r="D58" s="185" t="s">
        <v>406</v>
      </c>
      <c r="E58" s="185" t="s">
        <v>527</v>
      </c>
      <c r="F58" s="186" t="s">
        <v>528</v>
      </c>
      <c r="G58" s="209" t="s">
        <v>529</v>
      </c>
      <c r="H58" s="177"/>
      <c r="I58" s="178" t="s">
        <v>68</v>
      </c>
      <c r="J58" s="178" t="s">
        <v>91</v>
      </c>
      <c r="K58" s="178" t="s">
        <v>54</v>
      </c>
      <c r="L58" s="178" t="s">
        <v>54</v>
      </c>
      <c r="M58" s="178" t="s">
        <v>54</v>
      </c>
      <c r="N58" s="177"/>
      <c r="O58" s="177" t="s">
        <v>530</v>
      </c>
      <c r="P58" s="194" t="s">
        <v>645</v>
      </c>
    </row>
    <row r="59" spans="1:16" s="179" customFormat="1" ht="43.5" customHeight="1">
      <c r="A59" s="184" t="s">
        <v>519</v>
      </c>
      <c r="B59" s="185" t="s">
        <v>180</v>
      </c>
      <c r="C59" s="185" t="s">
        <v>531</v>
      </c>
      <c r="D59" s="185" t="s">
        <v>406</v>
      </c>
      <c r="E59" s="185" t="s">
        <v>532</v>
      </c>
      <c r="F59" s="185" t="s">
        <v>533</v>
      </c>
      <c r="G59" s="187" t="s">
        <v>534</v>
      </c>
      <c r="H59" s="177"/>
      <c r="I59" s="178" t="s">
        <v>68</v>
      </c>
      <c r="J59" s="178" t="s">
        <v>91</v>
      </c>
      <c r="K59" s="178" t="s">
        <v>54</v>
      </c>
      <c r="L59" s="178" t="s">
        <v>54</v>
      </c>
      <c r="M59" s="178" t="s">
        <v>54</v>
      </c>
      <c r="N59" s="177"/>
      <c r="O59" s="177" t="s">
        <v>535</v>
      </c>
    </row>
    <row r="60" spans="1:16" s="179" customFormat="1" ht="43.5" customHeight="1">
      <c r="A60" s="184" t="s">
        <v>519</v>
      </c>
      <c r="B60" s="210" t="s">
        <v>180</v>
      </c>
      <c r="C60" s="185" t="s">
        <v>531</v>
      </c>
      <c r="D60" s="185" t="s">
        <v>406</v>
      </c>
      <c r="E60" s="185" t="s">
        <v>536</v>
      </c>
      <c r="F60" s="185" t="s">
        <v>537</v>
      </c>
      <c r="G60" s="187" t="s">
        <v>538</v>
      </c>
      <c r="H60" s="177"/>
      <c r="I60" s="178" t="s">
        <v>68</v>
      </c>
      <c r="J60" s="178" t="s">
        <v>91</v>
      </c>
      <c r="K60" s="178" t="s">
        <v>54</v>
      </c>
      <c r="L60" s="178" t="s">
        <v>54</v>
      </c>
      <c r="M60" s="178" t="s">
        <v>54</v>
      </c>
      <c r="N60" s="177"/>
      <c r="O60" s="211" t="s">
        <v>535</v>
      </c>
      <c r="P60" s="194" t="s">
        <v>646</v>
      </c>
    </row>
    <row r="61" spans="1:16" s="156" customFormat="1" ht="92.25" customHeight="1">
      <c r="A61" s="166" t="s">
        <v>519</v>
      </c>
      <c r="B61" s="167" t="s">
        <v>539</v>
      </c>
      <c r="C61" s="167" t="s">
        <v>540</v>
      </c>
      <c r="D61" s="167" t="s">
        <v>406</v>
      </c>
      <c r="E61" s="167" t="s">
        <v>541</v>
      </c>
      <c r="F61" s="169" t="s">
        <v>542</v>
      </c>
      <c r="G61" s="168" t="s">
        <v>543</v>
      </c>
      <c r="H61" s="154"/>
      <c r="I61" s="155" t="s">
        <v>68</v>
      </c>
      <c r="J61" s="155" t="s">
        <v>91</v>
      </c>
      <c r="K61" s="155" t="s">
        <v>54</v>
      </c>
      <c r="L61" s="155" t="s">
        <v>54</v>
      </c>
      <c r="M61" s="155" t="s">
        <v>54</v>
      </c>
      <c r="N61" s="154"/>
      <c r="O61" s="154" t="s">
        <v>544</v>
      </c>
    </row>
    <row r="62" spans="1:16" s="179" customFormat="1" ht="92.25" customHeight="1">
      <c r="A62" s="174" t="s">
        <v>519</v>
      </c>
      <c r="B62" s="175" t="s">
        <v>545</v>
      </c>
      <c r="C62" s="175" t="s">
        <v>546</v>
      </c>
      <c r="D62" s="175" t="s">
        <v>406</v>
      </c>
      <c r="E62" s="212" t="s">
        <v>547</v>
      </c>
      <c r="F62" s="213" t="s">
        <v>548</v>
      </c>
      <c r="G62" s="214" t="s">
        <v>549</v>
      </c>
      <c r="H62" s="177"/>
      <c r="I62" s="178" t="s">
        <v>68</v>
      </c>
      <c r="J62" s="178" t="s">
        <v>91</v>
      </c>
      <c r="K62" s="178" t="s">
        <v>54</v>
      </c>
      <c r="L62" s="178" t="s">
        <v>54</v>
      </c>
      <c r="M62" s="178" t="s">
        <v>54</v>
      </c>
      <c r="N62" s="177"/>
      <c r="O62" s="211" t="s">
        <v>550</v>
      </c>
      <c r="P62" s="194" t="s">
        <v>647</v>
      </c>
    </row>
    <row r="63" spans="1:16" ht="36.75" customHeight="1">
      <c r="A63" s="148" t="s">
        <v>551</v>
      </c>
      <c r="B63" s="148"/>
      <c r="C63" s="148"/>
      <c r="D63" s="148"/>
      <c r="E63" s="148"/>
      <c r="F63" s="148"/>
      <c r="G63" s="148"/>
      <c r="H63" s="148"/>
      <c r="I63" s="148"/>
      <c r="J63" s="148"/>
      <c r="K63" s="148"/>
      <c r="L63" s="148"/>
      <c r="M63" s="148"/>
      <c r="N63" s="148"/>
      <c r="O63" s="148"/>
      <c r="P63" s="194" t="s">
        <v>648</v>
      </c>
    </row>
    <row r="64" spans="1:16" ht="36.75" customHeight="1">
      <c r="A64" s="162" t="s">
        <v>552</v>
      </c>
      <c r="B64" s="163" t="s">
        <v>185</v>
      </c>
      <c r="C64" s="163" t="s">
        <v>553</v>
      </c>
      <c r="D64" s="163" t="s">
        <v>406</v>
      </c>
      <c r="E64" s="163" t="s">
        <v>554</v>
      </c>
      <c r="F64" s="164" t="s">
        <v>555</v>
      </c>
      <c r="G64" s="215" t="s">
        <v>556</v>
      </c>
      <c r="H64" s="127"/>
      <c r="I64" s="150" t="s">
        <v>68</v>
      </c>
      <c r="J64" s="150" t="s">
        <v>91</v>
      </c>
      <c r="K64" s="150" t="s">
        <v>54</v>
      </c>
      <c r="L64" s="150" t="s">
        <v>54</v>
      </c>
      <c r="M64" s="150" t="s">
        <v>54</v>
      </c>
      <c r="N64" s="127"/>
      <c r="O64" s="127" t="s">
        <v>557</v>
      </c>
      <c r="P64" s="194" t="s">
        <v>649</v>
      </c>
    </row>
    <row r="65" spans="1:16" ht="36.75" customHeight="1">
      <c r="A65" s="166" t="s">
        <v>552</v>
      </c>
      <c r="B65" s="167" t="s">
        <v>189</v>
      </c>
      <c r="C65" s="167" t="s">
        <v>553</v>
      </c>
      <c r="D65" s="167" t="s">
        <v>406</v>
      </c>
      <c r="E65" s="167" t="s">
        <v>411</v>
      </c>
      <c r="F65" s="167" t="s">
        <v>558</v>
      </c>
      <c r="G65" s="168" t="s">
        <v>413</v>
      </c>
      <c r="H65" s="127"/>
      <c r="I65" s="150" t="s">
        <v>68</v>
      </c>
      <c r="J65" s="150" t="s">
        <v>91</v>
      </c>
      <c r="K65" s="150" t="s">
        <v>54</v>
      </c>
      <c r="L65" s="150" t="s">
        <v>54</v>
      </c>
      <c r="M65" s="150" t="s">
        <v>54</v>
      </c>
      <c r="N65" s="127"/>
      <c r="O65" s="127" t="s">
        <v>363</v>
      </c>
    </row>
    <row r="66" spans="1:16" s="153" customFormat="1" ht="210.75" customHeight="1">
      <c r="A66" s="171" t="s">
        <v>552</v>
      </c>
      <c r="B66" s="172" t="s">
        <v>193</v>
      </c>
      <c r="C66" s="172" t="s">
        <v>559</v>
      </c>
      <c r="D66" s="172" t="s">
        <v>406</v>
      </c>
      <c r="E66" s="172" t="s">
        <v>560</v>
      </c>
      <c r="F66" s="173" t="s">
        <v>561</v>
      </c>
      <c r="G66" s="197" t="s">
        <v>562</v>
      </c>
      <c r="H66" s="132"/>
      <c r="I66" s="152" t="s">
        <v>68</v>
      </c>
      <c r="J66" s="152" t="s">
        <v>91</v>
      </c>
      <c r="K66" s="152" t="s">
        <v>54</v>
      </c>
      <c r="L66" s="152" t="s">
        <v>54</v>
      </c>
      <c r="M66" s="152" t="s">
        <v>54</v>
      </c>
      <c r="N66" s="132"/>
      <c r="O66" s="132" t="s">
        <v>563</v>
      </c>
      <c r="P66" s="194" t="s">
        <v>650</v>
      </c>
    </row>
    <row r="67" spans="1:16" ht="36.75" customHeight="1">
      <c r="A67" s="166" t="s">
        <v>552</v>
      </c>
      <c r="B67" s="167" t="s">
        <v>197</v>
      </c>
      <c r="C67" s="167" t="s">
        <v>564</v>
      </c>
      <c r="D67" s="167" t="s">
        <v>406</v>
      </c>
      <c r="E67" s="192" t="s">
        <v>565</v>
      </c>
      <c r="F67" s="193" t="s">
        <v>566</v>
      </c>
      <c r="G67" s="203" t="s">
        <v>567</v>
      </c>
      <c r="H67" s="127"/>
      <c r="I67" s="150" t="s">
        <v>68</v>
      </c>
      <c r="J67" s="150" t="s">
        <v>91</v>
      </c>
      <c r="K67" s="150" t="s">
        <v>54</v>
      </c>
      <c r="L67" s="150" t="s">
        <v>54</v>
      </c>
      <c r="M67" s="150" t="s">
        <v>54</v>
      </c>
      <c r="N67" s="127"/>
      <c r="O67" s="127" t="s">
        <v>568</v>
      </c>
      <c r="P67" s="194" t="s">
        <v>651</v>
      </c>
    </row>
    <row r="68" spans="1:16" ht="36.75" customHeight="1">
      <c r="A68" s="166" t="s">
        <v>552</v>
      </c>
      <c r="B68" s="167" t="s">
        <v>569</v>
      </c>
      <c r="C68" s="167" t="s">
        <v>570</v>
      </c>
      <c r="D68" s="167" t="s">
        <v>406</v>
      </c>
      <c r="E68" s="192" t="s">
        <v>571</v>
      </c>
      <c r="F68" s="192" t="s">
        <v>572</v>
      </c>
      <c r="G68" s="203" t="s">
        <v>573</v>
      </c>
      <c r="H68" s="127"/>
      <c r="I68" s="150" t="s">
        <v>68</v>
      </c>
      <c r="J68" s="150" t="s">
        <v>91</v>
      </c>
      <c r="K68" s="150" t="s">
        <v>54</v>
      </c>
      <c r="L68" s="150" t="s">
        <v>54</v>
      </c>
      <c r="M68" s="150" t="s">
        <v>54</v>
      </c>
      <c r="N68" s="127"/>
      <c r="O68" s="127" t="s">
        <v>574</v>
      </c>
      <c r="P68" s="194" t="s">
        <v>652</v>
      </c>
    </row>
    <row r="69" spans="1:16" s="153" customFormat="1" ht="36.75" customHeight="1">
      <c r="A69" s="171" t="s">
        <v>552</v>
      </c>
      <c r="B69" s="198" t="s">
        <v>569</v>
      </c>
      <c r="C69" s="172" t="s">
        <v>570</v>
      </c>
      <c r="D69" s="172" t="s">
        <v>406</v>
      </c>
      <c r="E69" s="189" t="s">
        <v>575</v>
      </c>
      <c r="F69" s="189" t="s">
        <v>576</v>
      </c>
      <c r="G69" s="190" t="s">
        <v>577</v>
      </c>
      <c r="H69" s="132"/>
      <c r="I69" s="152" t="s">
        <v>68</v>
      </c>
      <c r="J69" s="152" t="s">
        <v>91</v>
      </c>
      <c r="K69" s="152" t="s">
        <v>54</v>
      </c>
      <c r="L69" s="152" t="s">
        <v>54</v>
      </c>
      <c r="M69" s="152" t="s">
        <v>54</v>
      </c>
      <c r="N69" s="132"/>
      <c r="O69" s="200"/>
      <c r="P69" s="194" t="s">
        <v>653</v>
      </c>
    </row>
    <row r="70" spans="1:16" ht="36.75" customHeight="1">
      <c r="A70" s="166" t="s">
        <v>552</v>
      </c>
      <c r="B70" s="167" t="s">
        <v>578</v>
      </c>
      <c r="C70" s="167" t="s">
        <v>579</v>
      </c>
      <c r="D70" s="167" t="s">
        <v>406</v>
      </c>
      <c r="E70" s="192" t="s">
        <v>580</v>
      </c>
      <c r="F70" s="192" t="s">
        <v>581</v>
      </c>
      <c r="G70" s="203" t="s">
        <v>582</v>
      </c>
      <c r="H70" s="127"/>
      <c r="I70" s="150" t="s">
        <v>68</v>
      </c>
      <c r="J70" s="150" t="s">
        <v>91</v>
      </c>
      <c r="K70" s="150" t="s">
        <v>54</v>
      </c>
      <c r="L70" s="150" t="s">
        <v>54</v>
      </c>
      <c r="M70" s="150" t="s">
        <v>54</v>
      </c>
      <c r="N70" s="127"/>
      <c r="O70" s="127" t="s">
        <v>583</v>
      </c>
      <c r="P70" s="194" t="s">
        <v>654</v>
      </c>
    </row>
    <row r="71" spans="1:16" ht="36.75" customHeight="1">
      <c r="A71" s="166" t="s">
        <v>552</v>
      </c>
      <c r="B71" s="167" t="s">
        <v>584</v>
      </c>
      <c r="C71" s="167" t="s">
        <v>585</v>
      </c>
      <c r="D71" s="167" t="s">
        <v>406</v>
      </c>
      <c r="E71" s="192" t="s">
        <v>586</v>
      </c>
      <c r="F71" s="193" t="s">
        <v>587</v>
      </c>
      <c r="G71" s="203" t="s">
        <v>588</v>
      </c>
      <c r="H71" s="127" t="s">
        <v>4</v>
      </c>
      <c r="I71" s="150" t="s">
        <v>68</v>
      </c>
      <c r="J71" s="150" t="s">
        <v>91</v>
      </c>
      <c r="K71" s="150" t="s">
        <v>54</v>
      </c>
      <c r="L71" s="150" t="s">
        <v>54</v>
      </c>
      <c r="M71" s="150" t="s">
        <v>54</v>
      </c>
      <c r="N71" s="127"/>
      <c r="O71" s="127" t="s">
        <v>589</v>
      </c>
      <c r="P71" s="194" t="s">
        <v>655</v>
      </c>
    </row>
    <row r="72" spans="1:16" ht="36.75" customHeight="1">
      <c r="A72" s="148" t="s">
        <v>590</v>
      </c>
      <c r="B72" s="148"/>
      <c r="C72" s="148"/>
      <c r="D72" s="148"/>
      <c r="E72" s="148"/>
      <c r="F72" s="148"/>
      <c r="G72" s="148"/>
      <c r="H72" s="148"/>
      <c r="I72" s="148"/>
      <c r="J72" s="148"/>
      <c r="K72" s="148"/>
      <c r="L72" s="148"/>
      <c r="M72" s="148"/>
      <c r="N72" s="148"/>
      <c r="O72" s="148"/>
    </row>
    <row r="73" spans="1:16" ht="237.75" customHeight="1">
      <c r="A73" s="162" t="s">
        <v>591</v>
      </c>
      <c r="B73" s="163" t="s">
        <v>202</v>
      </c>
      <c r="C73" s="163" t="s">
        <v>592</v>
      </c>
      <c r="D73" s="163" t="s">
        <v>406</v>
      </c>
      <c r="E73" s="163" t="s">
        <v>593</v>
      </c>
      <c r="F73" s="164" t="s">
        <v>594</v>
      </c>
      <c r="G73" s="215" t="s">
        <v>556</v>
      </c>
      <c r="H73" s="157"/>
      <c r="I73" s="160" t="s">
        <v>68</v>
      </c>
      <c r="J73" s="160" t="s">
        <v>91</v>
      </c>
      <c r="K73" s="160" t="s">
        <v>49</v>
      </c>
      <c r="L73" s="160" t="s">
        <v>49</v>
      </c>
      <c r="M73" s="160" t="s">
        <v>54</v>
      </c>
      <c r="N73" s="127"/>
      <c r="O73" s="127" t="s">
        <v>595</v>
      </c>
      <c r="P73" s="194" t="s">
        <v>656</v>
      </c>
    </row>
    <row r="74" spans="1:16" ht="237.75" customHeight="1">
      <c r="A74" s="166" t="s">
        <v>591</v>
      </c>
      <c r="B74" s="167" t="s">
        <v>206</v>
      </c>
      <c r="C74" s="167" t="s">
        <v>592</v>
      </c>
      <c r="D74" s="167" t="s">
        <v>406</v>
      </c>
      <c r="E74" s="167" t="s">
        <v>411</v>
      </c>
      <c r="F74" s="167" t="s">
        <v>596</v>
      </c>
      <c r="G74" s="168" t="s">
        <v>413</v>
      </c>
      <c r="H74" s="157"/>
      <c r="I74" s="160" t="s">
        <v>68</v>
      </c>
      <c r="J74" s="160" t="s">
        <v>91</v>
      </c>
      <c r="K74" s="160" t="s">
        <v>49</v>
      </c>
      <c r="L74" s="160" t="s">
        <v>49</v>
      </c>
      <c r="M74" s="160" t="s">
        <v>54</v>
      </c>
      <c r="N74" s="127"/>
      <c r="O74" s="127" t="s">
        <v>363</v>
      </c>
    </row>
    <row r="75" spans="1:16" ht="237.75" customHeight="1">
      <c r="A75" s="166" t="s">
        <v>591</v>
      </c>
      <c r="B75" s="167" t="s">
        <v>210</v>
      </c>
      <c r="C75" s="167" t="s">
        <v>597</v>
      </c>
      <c r="D75" s="167" t="s">
        <v>406</v>
      </c>
      <c r="E75" s="167" t="s">
        <v>598</v>
      </c>
      <c r="F75" s="202" t="s">
        <v>599</v>
      </c>
      <c r="G75" s="207" t="s">
        <v>600</v>
      </c>
      <c r="H75" s="157"/>
      <c r="I75" s="160" t="s">
        <v>68</v>
      </c>
      <c r="J75" s="160" t="s">
        <v>91</v>
      </c>
      <c r="K75" s="160" t="s">
        <v>49</v>
      </c>
      <c r="L75" s="160" t="s">
        <v>49</v>
      </c>
      <c r="M75" s="160" t="s">
        <v>54</v>
      </c>
      <c r="N75" s="127"/>
      <c r="O75" s="127" t="s">
        <v>601</v>
      </c>
      <c r="P75" s="194" t="s">
        <v>657</v>
      </c>
    </row>
    <row r="76" spans="1:16" ht="237.75" customHeight="1">
      <c r="A76" s="166" t="s">
        <v>591</v>
      </c>
      <c r="B76" s="167" t="s">
        <v>214</v>
      </c>
      <c r="C76" s="167" t="s">
        <v>602</v>
      </c>
      <c r="D76" s="167" t="s">
        <v>406</v>
      </c>
      <c r="E76" s="167" t="s">
        <v>565</v>
      </c>
      <c r="F76" s="169" t="s">
        <v>603</v>
      </c>
      <c r="G76" s="207" t="s">
        <v>567</v>
      </c>
      <c r="H76" s="157"/>
      <c r="I76" s="160" t="s">
        <v>68</v>
      </c>
      <c r="J76" s="160" t="s">
        <v>91</v>
      </c>
      <c r="K76" s="160" t="s">
        <v>49</v>
      </c>
      <c r="L76" s="160" t="s">
        <v>49</v>
      </c>
      <c r="M76" s="160" t="s">
        <v>54</v>
      </c>
      <c r="N76" s="127"/>
      <c r="O76" s="127" t="s">
        <v>568</v>
      </c>
      <c r="P76" s="194" t="s">
        <v>658</v>
      </c>
    </row>
    <row r="77" spans="1:16" ht="65.25" customHeight="1">
      <c r="A77" s="166" t="s">
        <v>591</v>
      </c>
      <c r="B77" s="167" t="s">
        <v>604</v>
      </c>
      <c r="C77" s="167" t="s">
        <v>605</v>
      </c>
      <c r="D77" s="167" t="s">
        <v>406</v>
      </c>
      <c r="E77" s="167" t="s">
        <v>606</v>
      </c>
      <c r="F77" s="167" t="s">
        <v>607</v>
      </c>
      <c r="G77" s="168" t="s">
        <v>608</v>
      </c>
      <c r="H77" s="157"/>
      <c r="I77" s="160" t="s">
        <v>68</v>
      </c>
      <c r="J77" s="160" t="s">
        <v>91</v>
      </c>
      <c r="K77" s="160" t="s">
        <v>49</v>
      </c>
      <c r="L77" s="160" t="s">
        <v>49</v>
      </c>
      <c r="M77" s="160" t="s">
        <v>54</v>
      </c>
      <c r="N77" s="127"/>
      <c r="O77" s="127" t="s">
        <v>609</v>
      </c>
    </row>
    <row r="78" spans="1:16" ht="65.25" customHeight="1">
      <c r="A78" s="216" t="s">
        <v>610</v>
      </c>
      <c r="B78" s="167" t="s">
        <v>611</v>
      </c>
      <c r="C78" s="167" t="s">
        <v>605</v>
      </c>
      <c r="D78" s="167"/>
      <c r="E78" s="167" t="s">
        <v>612</v>
      </c>
      <c r="F78" s="167" t="s">
        <v>613</v>
      </c>
      <c r="G78" s="168" t="s">
        <v>614</v>
      </c>
      <c r="H78" s="157"/>
      <c r="I78" s="160" t="s">
        <v>68</v>
      </c>
      <c r="J78" s="160" t="s">
        <v>91</v>
      </c>
      <c r="K78" s="160" t="s">
        <v>49</v>
      </c>
      <c r="L78" s="160" t="s">
        <v>49</v>
      </c>
      <c r="M78" s="160" t="s">
        <v>54</v>
      </c>
      <c r="N78" s="127"/>
      <c r="O78" s="194"/>
      <c r="P78" s="194" t="s">
        <v>659</v>
      </c>
    </row>
    <row r="79" spans="1:16" ht="65.25" customHeight="1">
      <c r="A79" s="166" t="s">
        <v>591</v>
      </c>
      <c r="B79" s="167" t="s">
        <v>615</v>
      </c>
      <c r="C79" s="167" t="s">
        <v>616</v>
      </c>
      <c r="D79" s="167" t="s">
        <v>406</v>
      </c>
      <c r="E79" s="167" t="s">
        <v>617</v>
      </c>
      <c r="F79" s="169" t="s">
        <v>618</v>
      </c>
      <c r="G79" s="207" t="s">
        <v>619</v>
      </c>
      <c r="H79" s="157"/>
      <c r="I79" s="160" t="s">
        <v>68</v>
      </c>
      <c r="J79" s="160" t="s">
        <v>91</v>
      </c>
      <c r="K79" s="160" t="s">
        <v>49</v>
      </c>
      <c r="L79" s="160" t="s">
        <v>49</v>
      </c>
      <c r="M79" s="160" t="s">
        <v>54</v>
      </c>
      <c r="N79" s="127"/>
      <c r="O79" s="127" t="s">
        <v>620</v>
      </c>
      <c r="P79" s="194" t="s">
        <v>660</v>
      </c>
    </row>
    <row r="80" spans="1:16" ht="65.25" customHeight="1">
      <c r="A80" s="166" t="s">
        <v>591</v>
      </c>
      <c r="B80" s="167" t="s">
        <v>621</v>
      </c>
      <c r="C80" s="167" t="s">
        <v>622</v>
      </c>
      <c r="D80" s="167" t="s">
        <v>406</v>
      </c>
      <c r="E80" s="167" t="s">
        <v>623</v>
      </c>
      <c r="F80" s="167" t="s">
        <v>624</v>
      </c>
      <c r="G80" s="217" t="s">
        <v>588</v>
      </c>
      <c r="H80" s="157"/>
      <c r="I80" s="160" t="s">
        <v>68</v>
      </c>
      <c r="J80" s="160" t="s">
        <v>91</v>
      </c>
      <c r="K80" s="160" t="s">
        <v>49</v>
      </c>
      <c r="L80" s="160" t="s">
        <v>49</v>
      </c>
      <c r="M80" s="160" t="s">
        <v>54</v>
      </c>
      <c r="N80" s="127"/>
      <c r="O80" s="127" t="s">
        <v>625</v>
      </c>
      <c r="P80" s="194" t="s">
        <v>661</v>
      </c>
    </row>
  </sheetData>
  <autoFilter ref="A13:O80" xr:uid="{00000000-0001-0000-0600-000000000000}"/>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Records</vt:lpstr>
      <vt:lpstr>Test Report</vt:lpstr>
      <vt:lpstr>Cấu hình điện</vt:lpstr>
      <vt:lpstr>Cấu hình chủ thể</vt:lpstr>
      <vt:lpstr>Sàng lọc điện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Dung Nguyen Thuy (SI - AgileCoE)</cp:lastModifiedBy>
  <cp:revision>0</cp:revision>
  <dcterms:created xsi:type="dcterms:W3CDTF">2026-07-20T09:34:47Z</dcterms:created>
  <dcterms:modified xsi:type="dcterms:W3CDTF">2026-09-14T04:37:05Z</dcterms:modified>
  <cp:category/>
  <cp:contentStatus/>
</cp:coreProperties>
</file>