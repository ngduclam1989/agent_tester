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xr:revisionPtr revIDLastSave="1" documentId="11_7CE9B18EB568F92F109D07A76324EA94331D447B" xr6:coauthVersionLast="47" xr6:coauthVersionMax="47" xr10:uidLastSave="{9F105F2D-87F3-49CA-8A27-AE92B9124436}"/>
  <bookViews>
    <workbookView xWindow="0" yWindow="0" windowWidth="16384" windowHeight="8192" tabRatio="500" firstSheet="3" activeTab="3" xr2:uid="{00000000-000D-0000-FFFF-FFFF00000000}"/>
  </bookViews>
  <sheets>
    <sheet name="Cover" sheetId="1" r:id="rId1"/>
    <sheet name="Records" sheetId="2" r:id="rId2"/>
    <sheet name="Test Report" sheetId="3" r:id="rId3"/>
    <sheet name="Case List" sheetId="4" r:id="rId4"/>
    <sheet name="Case Detail" sheetId="5" r:id="rId5"/>
    <sheet name="Legend" sheetId="6" r:id="rId6"/>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20" i="5" l="1"/>
  <c r="D20" i="5"/>
  <c r="C20" i="5"/>
  <c r="F20" i="5" s="1"/>
  <c r="E19" i="5"/>
  <c r="D19" i="5"/>
  <c r="C19" i="5"/>
  <c r="F19" i="5" s="1"/>
  <c r="E18" i="5"/>
  <c r="D18" i="5"/>
  <c r="C18" i="5"/>
  <c r="F18" i="5" s="1"/>
  <c r="E17" i="5"/>
  <c r="D17" i="5"/>
  <c r="C17" i="5"/>
  <c r="F17" i="5" s="1"/>
  <c r="E16" i="5"/>
  <c r="D16" i="5"/>
  <c r="C16" i="5"/>
  <c r="F16" i="5" s="1"/>
  <c r="E15" i="5"/>
  <c r="D15" i="5"/>
  <c r="C15" i="5"/>
  <c r="F15" i="5" s="1"/>
  <c r="E14" i="5"/>
  <c r="D14" i="5"/>
  <c r="C14" i="5"/>
  <c r="F14" i="5" s="1"/>
  <c r="E11" i="5"/>
  <c r="D11" i="5"/>
  <c r="C11" i="5"/>
  <c r="F11" i="5" s="1"/>
  <c r="E10" i="5"/>
  <c r="D10" i="5"/>
  <c r="C10" i="5"/>
  <c r="F10" i="5" s="1"/>
  <c r="E9" i="5"/>
  <c r="D9" i="5"/>
  <c r="C9" i="5"/>
  <c r="F9" i="5" s="1"/>
  <c r="E8" i="5"/>
  <c r="D8" i="5"/>
  <c r="C8" i="5"/>
  <c r="F8" i="5" s="1"/>
  <c r="E7" i="5"/>
  <c r="D7" i="5"/>
  <c r="C7" i="5"/>
  <c r="F7" i="5" s="1"/>
  <c r="E6" i="5"/>
  <c r="D6" i="5"/>
  <c r="C6" i="5"/>
  <c r="F6" i="5" s="1"/>
  <c r="E5" i="5"/>
  <c r="D5" i="5"/>
  <c r="C5" i="5"/>
  <c r="F5" i="5" s="1"/>
  <c r="F18" i="3"/>
  <c r="E18" i="3"/>
  <c r="D18" i="3"/>
  <c r="C18" i="3"/>
  <c r="B18" i="3"/>
  <c r="H18" i="3" s="1"/>
  <c r="F15" i="3"/>
  <c r="E15" i="3"/>
  <c r="D15" i="3"/>
  <c r="C15" i="3"/>
  <c r="B15" i="3"/>
  <c r="H15" i="3" s="1"/>
  <c r="E20" i="4"/>
  <c r="D20" i="4"/>
  <c r="C20" i="4"/>
  <c r="F20" i="4" s="1"/>
  <c r="E19" i="4"/>
  <c r="D19" i="4"/>
  <c r="C19" i="4"/>
  <c r="F19" i="4" s="1"/>
  <c r="E18" i="4"/>
  <c r="D18" i="4"/>
  <c r="C18" i="4"/>
  <c r="F18" i="4" s="1"/>
  <c r="E17" i="4"/>
  <c r="D17" i="4"/>
  <c r="C17" i="4"/>
  <c r="F17" i="4" s="1"/>
  <c r="E16" i="4"/>
  <c r="D16" i="4"/>
  <c r="C16" i="4"/>
  <c r="F16" i="4" s="1"/>
  <c r="E15" i="4"/>
  <c r="D15" i="4"/>
  <c r="C15" i="4"/>
  <c r="F15" i="4" s="1"/>
  <c r="E14" i="4"/>
  <c r="D14" i="4"/>
  <c r="C14" i="4"/>
  <c r="F14" i="4" s="1"/>
  <c r="E11" i="4"/>
  <c r="D11" i="4"/>
  <c r="C11" i="4"/>
  <c r="F11" i="4" s="1"/>
  <c r="E10" i="4"/>
  <c r="D10" i="4"/>
  <c r="C10" i="4"/>
  <c r="F10" i="4" s="1"/>
  <c r="E9" i="4"/>
  <c r="D9" i="4"/>
  <c r="C9" i="4"/>
  <c r="F9" i="4" s="1"/>
  <c r="E8" i="4"/>
  <c r="D8" i="4"/>
  <c r="C8" i="4"/>
  <c r="F8" i="4" s="1"/>
  <c r="E7" i="4"/>
  <c r="D7" i="4"/>
  <c r="C7" i="4"/>
  <c r="F7" i="4" s="1"/>
  <c r="E6" i="4"/>
  <c r="D6" i="4"/>
  <c r="C6" i="4"/>
  <c r="F6" i="4" s="1"/>
  <c r="E5" i="4"/>
  <c r="D5" i="4"/>
  <c r="C5" i="4"/>
  <c r="F5"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100-000001000000}">
      <text>
        <r>
          <rPr>
            <sz val="10"/>
            <rFont val="Arial"/>
            <family val="2"/>
          </rPr>
          <t>PC:
A: Add
M: Modify
D: Delete</t>
        </r>
      </text>
    </comment>
  </commentList>
</comments>
</file>

<file path=xl/sharedStrings.xml><?xml version="1.0" encoding="utf-8"?>
<sst xmlns="http://schemas.openxmlformats.org/spreadsheetml/2006/main" count="925" uniqueCount="607">
  <si>
    <t>Test Report</t>
  </si>
  <si>
    <t>Project Name:</t>
  </si>
  <si>
    <t>DỰ ÁN TRIỂN KHAI BẢN QUYỀN PHẦN MỀM HỆ THỐNG AML MỚI</t>
  </si>
  <si>
    <t>Reviewer:</t>
  </si>
  <si>
    <t xml:space="preserve"> </t>
  </si>
  <si>
    <t>Document Code:</t>
  </si>
  <si>
    <t>Position:</t>
  </si>
  <si>
    <t>Originator:</t>
  </si>
  <si>
    <t>Reviewed Date:</t>
  </si>
  <si>
    <t>Approver:</t>
  </si>
  <si>
    <t>Created Date:</t>
  </si>
  <si>
    <t>2026-09-14</t>
  </si>
  <si>
    <t>Version:</t>
  </si>
  <si>
    <t>1.2</t>
  </si>
  <si>
    <t>Approved Date:</t>
  </si>
  <si>
    <t>TABLE OF CONTENT</t>
  </si>
  <si>
    <t>Cover</t>
  </si>
  <si>
    <t>Records</t>
  </si>
  <si>
    <t>Record of changes</t>
  </si>
  <si>
    <t>Tổng hợp kết quả kiểm thử (điền sau khi thực hiện test thực tế)</t>
  </si>
  <si>
    <t>Case List</t>
  </si>
  <si>
    <t>Testcase UI - Màn hình danh sách case, tìm kiếm case, tạo case thủ công</t>
  </si>
  <si>
    <t>Case Detail</t>
  </si>
  <si>
    <t>Testcase UI - Màn hình chi tiết case: Event/Account/Customer/Transaction, Điều phối &amp; phân công (CM-4), Take Action, Send Email/RFI, ghi chú đính kèm, Audit Trail</t>
  </si>
  <si>
    <t>Legend</t>
  </si>
  <si>
    <t>Chú giải Test Level/Priority/Automation Status/Status</t>
  </si>
  <si>
    <t>RECORD OF CHANGES</t>
  </si>
  <si>
    <t>Effective Date</t>
  </si>
  <si>
    <t>A, M, D</t>
  </si>
  <si>
    <t xml:space="preserve">Change Description </t>
  </si>
  <si>
    <t>New Version</t>
  </si>
  <si>
    <t>Author</t>
  </si>
  <si>
    <t>A</t>
  </si>
  <si>
    <t>Tạo mới bộ testcase UI cho module Transaction Monitoring (TM) - MSB, dùng khung mẫu theo tempt_MSB_AML_TM_Noi_dung_nghiep_vu_v1.0 (do MSB cung cấp) và nội dung nghiệp vụ theo MSB_BRD_TM_v1.8_20260817.</t>
  </si>
  <si>
    <t>1.0</t>
  </si>
  <si>
    <t>M</t>
  </si>
  <si>
    <t>Cập nhật theo phản hồi: (1) Bỏ sheet Scenario Management/Whitelist/Workflow/Reporting do đã có bộ testcase riêng; (2) Áp dụng Group Rows (outline +/-) cho các nhóm testcase; (3) Rà soát, bổ sung thêm testcase cho sheet Case Detail (33 -&gt; 51 testcase, thêm nhóm CM-4 Điều phối &amp; phân công xử lý case).</t>
  </si>
  <si>
    <t>1.1</t>
  </si>
  <si>
    <t>Sửa testcase TM_UI_CASE_DETAIL.10.3 theo góp ý: CM-1 (cách thức nhập - drop-down list) và CM-4 (quy tắc gán giá trị mặc định cho user tạo case) là 2 khía cạnh khác nhau, không mâu thuẫn - bỏ khung [Cần xác nhận] về mâu thuẫn; bổ sung testcase 10.4 kiểm tra khả năng đổi Assignee khỏi giá trị mặc định.</t>
  </si>
  <si>
    <t>PHẠM VI &amp; GHI CHÚ</t>
  </si>
  <si>
    <t>1. Phạm vi: Bộ testcase này chỉ kiểm thử GIAO DIỆN (UI) của Case List và Case Detail (Quản lý Case) theo MSB_BRD_TM_v1.8_20260817. Scenario Management, Whitelist, Workflow (luồng xử lý theo vai trò) và Reporting ĐÃ CÓ bộ testcase riêng tương ứng ở ngoài file này nên không đưa vào đây. Test logic tính toán/ngưỡng của từng kịch bản AML-01 đến AML-14 cũng không thuộc phạm vi (thuộc bộ testcase nghiệp vụ/kịch bản riêng theo KHCN/KHTC).</t>
  </si>
  <si>
    <t>2. Khung sheet (Cover/Records/Test Report/Legend, cột STT-Test case Id-...-Notes, dashboard Round1/Round2 theo Priority) giữ NGUYÊN theo file mẫu MSB (tempt_MSB_AML_TM_Noi_dung_nghiep_vu_v1_0.xlsx, sheet 'Noi dung testcase'). File mẫu vốn có 1 sheet nội dung dùng chung; ở đây được nhân bản thành 2 sheet (Case List, Case Detail), mỗi sheet giữ đúng cấu trúc/công thức dashboard của sheet mẫu.</t>
  </si>
  <si>
    <t>3. Đã áp dụng Group Rows (outline +/-) cho từng nhóm chức năng: các dòng testcase con được gộp nhóm với dòng tiêu đề (nền xanh nhạt) phía trên. Dùng nút +/- hoặc số 1/2 ở lề trái mỗi sheet để thu gọn/mở rộng từng nhóm (mặc định đang ở trạng thái mở rộng toàn bộ).</t>
  </si>
  <si>
    <t>4. STT chỉ đánh số cho các dòng testcase thực thi (con); dòng tiêu đề nhóm chức năng là dòng phân nhóm, không phải 1 testcase nên để trống STT.</t>
  </si>
  <si>
    <t>5. Cột 1st/2nd/3rd Test Results và BugID để trống vì đây là bộ testcase mới soạn, chưa thực hiện kiểm thử thực tế. Cột Automation Status dùng giá trị Y/N theo đúng Legend gốc của MSB (N = Manual - toàn bộ testcase hiện đang ở dạng thủ công).</t>
  </si>
  <si>
    <t>6. Đã bổ sung data validation (dropdown) cho cột Priority, Automation Status, 1st/2nd/3rd Test Results dựa đúng theo các giá trị trong sheet Legend, để thuận tiện nhập liệu khi thực hiện test thực tế (file mẫu gốc chưa có sẵn dropdown này).</t>
  </si>
  <si>
    <t>7. Sheet Case Detail đã được rà soát và bổ sung thêm so với bản trước (33 -&gt; 52 testcase): bổ sung nhóm testcase riêng cho Điều phối &amp; phân công xử lý case (CM-4, trước đó chưa có), thêm các testcase về trường hợp nhiều tài khoản/khách hàng/giao dịch trên 1 case, thêm testcase đính kèm file vượt dung lượng tại chức năng ghi chú (CM-7), thêm testcase giới hạn domain người nhận email, thêm testcase kiểm tra khả năng đổi Assignee khỏi giá trị mặc định.</t>
  </si>
  <si>
    <t>8. [Cần xác nhận] Công thức Total của dashboard Round1/Round2 trong file mẫu MSB (dòng 5 và 14 mỗi sheet, vd C5=SUM(C6:C10)) đang KHÔNG cộng dòng 'Cancel' (dòng 11/20) - đã giữ nguyên công thức gốc, cần MSB xác nhận đây có phải chủ ý hay không.</t>
  </si>
  <si>
    <t>9. [Cần xác nhận] Trạng thái 'Accepted' có trong dashboard Round1/Round2 nhưng chưa có mô tả trong bảng Trạng thái/Status ở sheet Legend (chỉ liệt kê Untested/Passed/Failed/Pending/Cancel).</t>
  </si>
  <si>
    <t>10. Màn hình/Template STR (Phụ lục 6.1) và nội dung chi tiết các mẫu email EM-1 đến EM-10 (Phụ lục 5) không có nội dung chi tiết trong tài liệu BRD được cung cấp nên chưa thể soạn testcase ở mức trường dữ liệu cho 2 phần này; mới kiểm tra ở mức hành động nghiệp vụ (VD: tạo STR, hệ thống có gửi email thông báo).</t>
  </si>
  <si>
    <t>11. Các dòng có ghi chú "[Cần xác nhận]"/"[Suy luận]" tại cột Notes trong từng sheet là các điểm BRD chưa mô tả rõ, có khả năng chưa nhất quán giữa các mục, hoặc là suy luận hợp lý dựa trên thông lệ chung - cần đội dự án MSB/nhà thầu OFSAA xác nhận lại so với hệ thống thực tế trước khi thực hiện kiểm thử.</t>
  </si>
  <si>
    <t>SYSTEM TEST REPORT</t>
  </si>
  <si>
    <t>Project</t>
  </si>
  <si>
    <t>Project manager</t>
  </si>
  <si>
    <t>Application</t>
  </si>
  <si>
    <t>Module Transaction Monitoring (TM) - OFSAA</t>
  </si>
  <si>
    <t>Approved Date</t>
  </si>
  <si>
    <t>Consolidated By</t>
  </si>
  <si>
    <t>Reviewed By</t>
  </si>
  <si>
    <t>Build Versions</t>
  </si>
  <si>
    <t>Reviewed date</t>
  </si>
  <si>
    <t>Test Environment</t>
  </si>
  <si>
    <t>SIT</t>
  </si>
  <si>
    <t>Last Updated Date</t>
  </si>
  <si>
    <t>Test Execution Summary</t>
  </si>
  <si>
    <t>Reported by</t>
  </si>
  <si>
    <t>Date</t>
  </si>
  <si>
    <t>Test Results (Round1)</t>
  </si>
  <si>
    <t>Passed</t>
  </si>
  <si>
    <t>Failed</t>
  </si>
  <si>
    <t>Untested</t>
  </si>
  <si>
    <t>Accepted</t>
  </si>
  <si>
    <t>Pending</t>
  </si>
  <si>
    <t>Cancel</t>
  </si>
  <si>
    <t>Total</t>
  </si>
  <si>
    <t xml:space="preserve">Test cases </t>
  </si>
  <si>
    <t>Test Results (Round2)</t>
  </si>
  <si>
    <t>Test coverage</t>
  </si>
  <si>
    <t>Test successful coverage</t>
  </si>
  <si>
    <t>Issues</t>
  </si>
  <si>
    <t>1. Block testing issue</t>
  </si>
  <si>
    <t>2. Critical defects</t>
  </si>
  <si>
    <t xml:space="preserve">  </t>
  </si>
  <si>
    <t>Functions</t>
  </si>
  <si>
    <t>Danh sách &amp; tìm kiếm Case (Case List)</t>
  </si>
  <si>
    <t>Build Version</t>
  </si>
  <si>
    <t>v1.0</t>
  </si>
  <si>
    <t>ROUND 1</t>
  </si>
  <si>
    <t>High</t>
  </si>
  <si>
    <t>Medium</t>
  </si>
  <si>
    <t>Low</t>
  </si>
  <si>
    <t>ROUND2</t>
  </si>
  <si>
    <t>STT</t>
  </si>
  <si>
    <t>Test case Id</t>
  </si>
  <si>
    <t>Test case Title</t>
  </si>
  <si>
    <t>Pre-conditions</t>
  </si>
  <si>
    <t>Test Steps</t>
  </si>
  <si>
    <t>Test Datas</t>
  </si>
  <si>
    <t>Expected result</t>
  </si>
  <si>
    <t>Priority</t>
  </si>
  <si>
    <t>Automation Status</t>
  </si>
  <si>
    <t>1st Test Results</t>
  </si>
  <si>
    <t>2nd Test Results</t>
  </si>
  <si>
    <t>3rd Test Results</t>
  </si>
  <si>
    <t>BugID</t>
  </si>
  <si>
    <t>Notes</t>
  </si>
  <si>
    <t>TM_UI_CASE_LIST.01</t>
  </si>
  <si>
    <t>Kiểm tra giao diện hiển thị màn hình Case List (BRD - CM-3.1)</t>
  </si>
  <si>
    <t>TM_UI_CASE_LIST.01.1</t>
  </si>
  <si>
    <t>Kiểm tra hiển thị danh sách case</t>
  </si>
  <si>
    <t>Đã có case phát sinh trên hệ thống</t>
  </si>
  <si>
    <t>1. Đăng nhập hệ thống AML
2. Mở màn hình Enterprise Case Investigation/Case Search and List
3. Kiểm tra các trường hiển thị tại lưới danh sách case</t>
  </si>
  <si>
    <t>Màn hình hiển thị tối thiểu các trường: Case ID, Title, Type, Due Date, Priority, Status, Owner, Assigned to, Created, Jurisdiction, Business Domain.</t>
  </si>
  <si>
    <t>N</t>
  </si>
  <si>
    <t>TM_UI_CASE_LIST.01.2</t>
  </si>
  <si>
    <t>Kiểm tra định dạng cột Due Date</t>
  </si>
  <si>
    <t>1. Mở màn hình Case List
2. Kiểm tra định dạng dữ liệu cột Due Date</t>
  </si>
  <si>
    <t>Cột Due Date hiển thị theo định dạng MM/DD/YYYY.</t>
  </si>
  <si>
    <t>TM_UI_CASE_LIST.01.3</t>
  </si>
  <si>
    <t>Kiểm tra định dạng cột Created</t>
  </si>
  <si>
    <t>1. Mở màn hình Case List
2. Kiểm tra định dạng dữ liệu cột Created</t>
  </si>
  <si>
    <t>Cột Created hiển thị theo định dạng MM/DD/YYYY hh:mm:ss.</t>
  </si>
  <si>
    <t>TM_UI_CASE_LIST.01.4</t>
  </si>
  <si>
    <t>Kiểm tra Case ID là hyperlink điều hướng sang Case Details</t>
  </si>
  <si>
    <t>1. Mở màn hình Case List
2. Click vào giá trị Case ID của 1 bản ghi bất kỳ</t>
  </si>
  <si>
    <t>Hệ thống điều hướng người dùng sang màn hình Case Summary/Case Details tương ứng.</t>
  </si>
  <si>
    <t>TM_UI_CASE_LIST.01.5</t>
  </si>
  <si>
    <t>Kiểm tra giá trị mặc định cột Jurisdiction/Business Domain</t>
  </si>
  <si>
    <t>1. Mở màn hình Case List
2. Kiểm tra giá trị cột Jurisdiction và Business Domain</t>
  </si>
  <si>
    <t>Cả 2 cột mặc định hiển thị giá trị "All".</t>
  </si>
  <si>
    <t>TM_UI_CASE_LIST.02</t>
  </si>
  <si>
    <t>Kiểm tra chức năng tìm kiếm case (BRD - CM-2.2)</t>
  </si>
  <si>
    <t>TM_UI_CASE_LIST.02.1</t>
  </si>
  <si>
    <t>Kiểm tra các trường hiển thị trên màn hình tìm kiếm case</t>
  </si>
  <si>
    <t>1. Đăng nhập hệ thống AML
2. Mở màn hình Case Search and List
3. Kiểm tra các trường hiển thị trên màn hình tìm kiếm</t>
  </si>
  <si>
    <t>Màn hình tìm kiếm hiển thị đầy đủ các trường: Case ID, Event ID, Created From-To, Age, Class, Type, Jurisdiction, Business Domain, Status, Created by, Entity type, Entity ID, Entity Name, Branch, Assignee, Title, Scenario, Description, Identification number.</t>
  </si>
  <si>
    <t>TM_UI_CASE_LIST.02.2</t>
  </si>
  <si>
    <t>Kiểm tra chức năng tìm kiếm case theo Case ID</t>
  </si>
  <si>
    <t>1. Đăng nhập hệ thống AML
2. Mở màn hình Case Search and List
3. Nhập điều kiện tìm kiếm trường Case ID
4. Nhấn nút Search</t>
  </si>
  <si>
    <t>CASE-000123</t>
  </si>
  <si>
    <t>Hệ thống hiển thị các bản ghi thoả mãn điều kiện tìm kiếm đã nhập.</t>
  </si>
  <si>
    <t>TM_UI_CASE_LIST.02.3</t>
  </si>
  <si>
    <t>Kiểm tra chức năng tìm kiếm case theo Event ID</t>
  </si>
  <si>
    <t>1. Đăng nhập hệ thống AML
2. Mở màn hình Case Search and List
3. Nhập điều kiện tìm kiếm trường Event ID
4. Nhấn nút Search</t>
  </si>
  <si>
    <t>EVT-000456</t>
  </si>
  <si>
    <t>TM_UI_CASE_LIST.02.4</t>
  </si>
  <si>
    <t>Kiểm tra chức năng tìm kiếm case theo Created From - To</t>
  </si>
  <si>
    <t>1. Đăng nhập hệ thống AML
2. Mở màn hình Case Search and List
3. Nhập điều kiện tìm kiếm trường Created From - To
4. Nhấn nút Search</t>
  </si>
  <si>
    <t>09/01/2026 - 09/14/2026</t>
  </si>
  <si>
    <t>Hệ thống cho phép chọn ngày theo định dạng date-picker.
Hệ thống hiển thị các bản ghi thoả mãn điều kiện tìm kiếm đã nhập.</t>
  </si>
  <si>
    <t>TM_UI_CASE_LIST.02.5</t>
  </si>
  <si>
    <t>Kiểm tra chức năng tìm kiếm case theo Age</t>
  </si>
  <si>
    <t>1. Đăng nhập hệ thống AML
2. Mở màn hình Case Search and List
3. Nhập điều kiện tìm kiếm trường Age
4. Nhấn nút Search</t>
  </si>
  <si>
    <t>&lt;= 3</t>
  </si>
  <si>
    <t>Hệ thống hiển thị droplist toán tử so sánh:
- &lt;=
- =
- &gt;=
Sau đó cho phép nhập số ngày tương ứng.
Hệ thống hiển thị các bản ghi thoả mãn điều kiện tìm kiếm đã nhập.</t>
  </si>
  <si>
    <t>TM_UI_CASE_LIST.02.6</t>
  </si>
  <si>
    <t>Kiểm tra chức năng tìm kiếm case theo Class</t>
  </si>
  <si>
    <t>1. Đăng nhập hệ thống AML
2. Mở màn hình Case Search and List
3. Nhập điều kiện tìm kiếm trường Class
4. Nhấn nút Search</t>
  </si>
  <si>
    <t>AML</t>
  </si>
  <si>
    <t>Hệ thống hiển thị droplist Class với giá trị "AML" (case type nhóm nghiệp vụ TM theo BRD là "AML").
Hệ thống hiển thị các bản ghi thoả mãn điều kiện tìm kiếm đã nhập.</t>
  </si>
  <si>
    <t>TM_UI_CASE_LIST.02.7</t>
  </si>
  <si>
    <t>Kiểm tra chức năng tìm kiếm case theo Type</t>
  </si>
  <si>
    <t>1. Đăng nhập hệ thống AML
2. Mở màn hình Case Search and List
3. Nhập điều kiện tìm kiếm trường Type
4. Nhấn nút Search</t>
  </si>
  <si>
    <t>AML_SURV</t>
  </si>
  <si>
    <t>Hệ thống hiển thị droplist:
- AML_MN (Case thủ công)
- AML_SURV (Case tự động)
Hệ thống hiển thị các bản ghi thoả mãn điều kiện tìm kiếm đã nhập.</t>
  </si>
  <si>
    <t>TM_UI_CASE_LIST.02.8</t>
  </si>
  <si>
    <t>Kiểm tra chức năng tìm kiếm case theo Jurisdiction</t>
  </si>
  <si>
    <t>1. Đăng nhập hệ thống AML
2. Mở màn hình Case Search and List
3. Nhập điều kiện tìm kiếm trường Jurisdiction
4. Nhấn nút Search</t>
  </si>
  <si>
    <t>All</t>
  </si>
  <si>
    <t>Hệ thống hiển thị droplist, mặc định giá trị "All".
Hệ thống hiển thị các bản ghi thoả mãn điều kiện tìm kiếm đã nhập.</t>
  </si>
  <si>
    <t>TM_UI_CASE_LIST.02.9</t>
  </si>
  <si>
    <t>Kiểm tra chức năng tìm kiếm case theo Business Domain</t>
  </si>
  <si>
    <t>1. Đăng nhập hệ thống AML
2. Mở màn hình Case Search and List
3. Nhập điều kiện tìm kiếm trường Business Domain
4. Nhấn nút Search</t>
  </si>
  <si>
    <t>TM_UI_CASE_LIST.02.10</t>
  </si>
  <si>
    <t>Kiểm tra chức năng tìm kiếm case theo Status</t>
  </si>
  <si>
    <t>1. Đăng nhập hệ thống AML
2. Mở màn hình Case Search and List
3. Nhập điều kiện tìm kiếm trường Status
4. Nhấn nút Search</t>
  </si>
  <si>
    <t>Pending Checker Review</t>
  </si>
  <si>
    <t>Hệ thống hiển thị droplist cho phép chọn nhiều giá trị cùng lúc (lọc theo nhiều trạng thái), gồm các trạng thái nghiệp vụ:
- New
- Pending Checker Review
- Pending Maker
- Closed - No Further Action
- Pending Generate STR
- Closed - Under Monitoring
- Pending Checker Review STR
- Rejected sending STR
- Pending Supervisor Review
- Pending AML Maker
- Pending AML Checker review
- Closed - Not Send STR
- Approved STR
Hệ thống hiển thị các bản ghi thoả mãn điều kiện tìm kiếm đã nhập.</t>
  </si>
  <si>
    <t>TM_UI_CASE_LIST.02.11</t>
  </si>
  <si>
    <t>Kiểm tra chức năng tìm kiếm case theo Created by</t>
  </si>
  <si>
    <t>1. Đăng nhập hệ thống AML
2. Mở màn hình Case Search and List
3. Nhập điều kiện tìm kiếm trường Created by
4. Nhấn nút Search</t>
  </si>
  <si>
    <t>dvkh_maker01</t>
  </si>
  <si>
    <t>Hệ thống hiển thị droplist danh sách người dùng.
Hệ thống hiển thị các bản ghi thoả mãn điều kiện tìm kiếm đã nhập.</t>
  </si>
  <si>
    <t>TM_UI_CASE_LIST.02.12</t>
  </si>
  <si>
    <t>Kiểm tra chức năng tìm kiếm case theo Entity type</t>
  </si>
  <si>
    <t>1. Đăng nhập hệ thống AML
2. Mở màn hình Case Search and List
3. Nhập điều kiện tìm kiếm trường Entity type
4. Nhấn nút Search</t>
  </si>
  <si>
    <t>Entity type</t>
  </si>
  <si>
    <t>Hệ thống hiển thị droplist loại đối tượng.
Hệ thống hiển thị các bản ghi thoả mãn điều kiện tìm kiếm đã nhập.</t>
  </si>
  <si>
    <t>[Cần xác nhận] BRD chưa nêu cụ thể danh sách giá trị của Entity type.</t>
  </si>
  <si>
    <t>TM_UI_CASE_LIST.02.13</t>
  </si>
  <si>
    <t>Kiểm tra chức năng tìm kiếm case theo Entity ID</t>
  </si>
  <si>
    <t>1. Đăng nhập hệ thống AML
2. Mở màn hình Case Search and List
3. Nhập điều kiện tìm kiếm trường Entity ID
4. Nhấn nút Search</t>
  </si>
  <si>
    <t>1032xxxxxx</t>
  </si>
  <si>
    <t>TM_UI_CASE_LIST.02.14</t>
  </si>
  <si>
    <t>Kiểm tra chức năng tìm kiếm case theo Entity Name</t>
  </si>
  <si>
    <t>1. Đăng nhập hệ thống AML
2. Mở màn hình Case Search and List
3. Nhập điều kiện tìm kiếm trường Entity Name
4. Nhấn nút Search</t>
  </si>
  <si>
    <t>Nguyen Van A</t>
  </si>
  <si>
    <t>TM_UI_CASE_LIST.02.15</t>
  </si>
  <si>
    <t>Kiểm tra chức năng tìm kiếm case theo Branch</t>
  </si>
  <si>
    <t>1. Đăng nhập hệ thống AML
2. Mở màn hình Case Search and List
3. Nhập điều kiện tìm kiếm trường Branch
4. Nhấn nút Search</t>
  </si>
  <si>
    <t>Chi nhánh Hà Nội</t>
  </si>
  <si>
    <t>Hệ thống hiển thị droplist danh sách chi nhánh.
Hệ thống hiển thị các bản ghi thoả mãn điều kiện tìm kiếm đã nhập.</t>
  </si>
  <si>
    <t>TM_UI_CASE_LIST.02.16</t>
  </si>
  <si>
    <t>Kiểm tra chức năng tìm kiếm case theo Assignee</t>
  </si>
  <si>
    <t>1. Đăng nhập hệ thống AML
2. Mở màn hình Case Search and List
3. Nhập điều kiện tìm kiếm trường Assignee
4. Nhấn nút Search</t>
  </si>
  <si>
    <t>checker01</t>
  </si>
  <si>
    <t>Hệ thống hiển thị droplist danh sách người dùng đang xử lý case.
Hệ thống hiển thị các bản ghi thoả mãn điều kiện tìm kiếm đã nhập.</t>
  </si>
  <si>
    <t>TM_UI_CASE_LIST.02.17</t>
  </si>
  <si>
    <t>Kiểm tra chức năng tìm kiếm case theo Title</t>
  </si>
  <si>
    <t>1. Đăng nhập hệ thống AML
2. Mở màn hình Case Search and List
3. Nhập điều kiện tìm kiếm trường Title
4. Nhấn nút Search</t>
  </si>
  <si>
    <t>%AML%</t>
  </si>
  <si>
    <t>Hệ thống cho phép tìm kiếm theo ký tự con chứa trong Title bằng cách thêm dấu "%". Ví dụ nhập "%AML%" sẽ tìm tất cả case có tên chứa "AML".
Hệ thống hiển thị các bản ghi thoả mãn điều kiện tìm kiếm đã nhập.</t>
  </si>
  <si>
    <t>TM_UI_CASE_LIST.02.18</t>
  </si>
  <si>
    <t>Kiểm tra chức năng tìm kiếm case theo Scenario</t>
  </si>
  <si>
    <t>1. Đăng nhập hệ thống AML
2. Mở màn hình Case Search and List
3. Nhập điều kiện tìm kiếm trường Scenario
4. Nhấn nút Search</t>
  </si>
  <si>
    <t>AML-01</t>
  </si>
  <si>
    <t>Hệ thống hiển thị droplist danh sách kịch bản, cho phép chọn 1 hoặc nhiều kịch bản.
Hệ thống hiển thị các bản ghi thoả mãn điều kiện tìm kiếm đã nhập.</t>
  </si>
  <si>
    <t>TM_UI_CASE_LIST.02.19</t>
  </si>
  <si>
    <t>Kiểm tra chức năng tìm kiếm case theo Description</t>
  </si>
  <si>
    <t>1. Đăng nhập hệ thống AML
2. Mở màn hình Case Search and List
3. Nhập điều kiện tìm kiếm trường Description
4. Nhấn nút Search</t>
  </si>
  <si>
    <t>%chuyển tiền nhanh%</t>
  </si>
  <si>
    <t>Hệ thống cho phép tìm kiếm theo ký tự đại diện "%" tương tự trường Title.
Hệ thống hiển thị các bản ghi thoả mãn điều kiện tìm kiếm đã nhập.</t>
  </si>
  <si>
    <t>TM_UI_CASE_LIST.02.20</t>
  </si>
  <si>
    <t>Kiểm tra chức năng tìm kiếm case theo Identification number</t>
  </si>
  <si>
    <t>1. Đăng nhập hệ thống AML
2. Mở màn hình Case Search and List
3. Nhập điều kiện tìm kiếm trường Identification number
4. Nhấn nút Search</t>
  </si>
  <si>
    <t>001200011122</t>
  </si>
  <si>
    <t>Trường hiển thị/áp dụng khi Type được chọn là AML_MN hoặc AML_SURV.
Hệ thống hiển thị các bản ghi thoả mãn điều kiện tìm kiếm đã nhập.</t>
  </si>
  <si>
    <t>Diễn giải theo đúng câu chữ BRD ("Khi chọn Type: AML_MN, AML_SURV"); cần xác nhận thêm ý nghĩa chính xác (điều kiện hiển thị trường hay điều kiện áp dụng tìm kiếm).</t>
  </si>
  <si>
    <t>TM_UI_CASE_LIST.02.21</t>
  </si>
  <si>
    <t>Kiểm tra tìm kiếm kết hợp nhiều tiêu chí cùng lúc</t>
  </si>
  <si>
    <t>1. Mở màn hình Case Search and List
2. Nhập đồng thời từ 2 tiêu chí tìm kiếm trở lên (VD: Type + Status + Created From-To)
3. Nhấn Search</t>
  </si>
  <si>
    <t>Hệ thống trả về danh sách case thoả mãn đồng thời TẤT CẢ các tiêu chí đã nhập (điều kiện AND).</t>
  </si>
  <si>
    <t>TM_UI_CASE_LIST.02.22</t>
  </si>
  <si>
    <t>Kiểm tra tìm kiếm không có kết quả</t>
  </si>
  <si>
    <t>1. Mở màn hình Case Search and List
2. Nhập điều kiện tìm kiếm không khớp bản ghi nào
3. Nhấn Search</t>
  </si>
  <si>
    <t>Hệ thống hiển thị danh sách rỗng/thông báo không tìm thấy bản ghi phù hợp.</t>
  </si>
  <si>
    <t>TM_UI_CASE_LIST.02.23</t>
  </si>
  <si>
    <t>Kiểm tra chức năng Reset điều kiện tìm kiếm</t>
  </si>
  <si>
    <t>1. Mở màn hình Case Search and List
2. Nhập một số điều kiện tìm kiếm
3. Nhấn nút Reset</t>
  </si>
  <si>
    <t>Toàn bộ điều kiện đã nhập bị xoá, các trường trở về trạng thái mặc định ban đầu.</t>
  </si>
  <si>
    <t>TM_UI_CASE_LIST.03</t>
  </si>
  <si>
    <t>Kiểm tra chức năng Tạo case thủ công (BRD - CM-1)</t>
  </si>
  <si>
    <t>TM_UI_CASE_LIST.03.1</t>
  </si>
  <si>
    <t>Kiểm tra giao diện màn hình tạo case thủ công</t>
  </si>
  <si>
    <t>Người dùng có quyền xử lý case nghiệp vụ TM</t>
  </si>
  <si>
    <t>1. Mở màn hình Case List
2. Chọn chức năng Tạo case thủ công (Create Case)
3. Kiểm tra các trường hiển thị trên màn hình</t>
  </si>
  <si>
    <t>Màn hình hiển thị đầy đủ các trường: Type, Title, Jurisdiction, Business domain, Priority, Due, Owner, Assignee, Created By, Description.</t>
  </si>
  <si>
    <t>TM_UI_CASE_LIST.03.2</t>
  </si>
  <si>
    <t>Kiểm tra trường Type khi tạo case thủ công</t>
  </si>
  <si>
    <t>1. Tại màn hình Tạo case thủ công
2. Kiểm tra trường Type</t>
  </si>
  <si>
    <t>Trường Type là droplist bắt buộc chọn (M), giá trị hiển thị: AML_MN.</t>
  </si>
  <si>
    <t>TM_UI_CASE_LIST.03.3</t>
  </si>
  <si>
    <t>Kiểm tra trường Title khi tạo case thủ công</t>
  </si>
  <si>
    <t>1. Tại màn hình Tạo case thủ công
2. Nhập giá trị trường Title</t>
  </si>
  <si>
    <t>Nghi ngờ giao dịch bất thường - KH Nguyen Van A</t>
  </si>
  <si>
    <t>Trường Title cho phép nhập free-text, không bắt buộc (O).</t>
  </si>
  <si>
    <t>TM_UI_CASE_LIST.03.4</t>
  </si>
  <si>
    <t>Kiểm tra trường Jurisdiction khi tạo case thủ công</t>
  </si>
  <si>
    <t>1. Tại màn hình Tạo case thủ công
2. Kiểm tra trường Jurisdiction</t>
  </si>
  <si>
    <t>Trường Jurisdiction bắt buộc (M), giá trị mặc định "All".</t>
  </si>
  <si>
    <t>TM_UI_CASE_LIST.03.5</t>
  </si>
  <si>
    <t>Kiểm tra trường Business domain khi tạo case thủ công</t>
  </si>
  <si>
    <t>1. Tại màn hình Tạo case thủ công
2. Kiểm tra trường Business domain</t>
  </si>
  <si>
    <t>Trường Business domain bắt buộc (M), giá trị mặc định "All".</t>
  </si>
  <si>
    <t>TM_UI_CASE_LIST.03.6</t>
  </si>
  <si>
    <t>Kiểm tra trường Priority khi tạo case thủ công</t>
  </si>
  <si>
    <t>1. Tại màn hình Tạo case thủ công
2. Kiểm tra trường Priority</t>
  </si>
  <si>
    <t>Trường Priority là droplist không bắt buộc (O), gồm 3 giá trị: High/Medium/Low.</t>
  </si>
  <si>
    <t>TM_UI_CASE_LIST.03.7</t>
  </si>
  <si>
    <t>Kiểm tra trường Due khi tạo case thủ công</t>
  </si>
  <si>
    <t>1. Tại màn hình Tạo case thủ công
2. Nhập giá trị trường Due</t>
  </si>
  <si>
    <t>12/31/2026</t>
  </si>
  <si>
    <t>Trường Due cho phép chọn ngày định dạng MM/DD/YYYY, không bắt buộc (O).</t>
  </si>
  <si>
    <t>TM_UI_CASE_LIST.03.8</t>
  </si>
  <si>
    <t>Kiểm tra trường Owner khi tạo case thủ công</t>
  </si>
  <si>
    <t>1. Tại màn hình Tạo case thủ công
2. Kiểm tra trường Owner</t>
  </si>
  <si>
    <t>Trường Owner là droplist bắt buộc chọn (M).</t>
  </si>
  <si>
    <t>TM_UI_CASE_LIST.03.9</t>
  </si>
  <si>
    <t>Kiểm tra trường Assignee khi tạo case thủ công</t>
  </si>
  <si>
    <t>1. Tại màn hình Tạo case thủ công
2. Kiểm tra trường Assignee sau khi hoàn tất tạo case</t>
  </si>
  <si>
    <t>Trường Assignee bắt buộc (M); theo quy định điều phối (CM-4), hệ thống mặc định gán Assignee = user đang thực hiện tạo case.</t>
  </si>
  <si>
    <t>[Cần xác nhận] Bảng trường CM-1 mô tả Assignee là droplist cho chọn giá trị, trong khi CM-4 quy định mặc định gán theo người tạo case - cần làm rõ Assignee có cho chọn user khác hay bắt buộc giữ nguyên.</t>
  </si>
  <si>
    <t>TM_UI_CASE_LIST.03.10</t>
  </si>
  <si>
    <t>Kiểm tra trường Created By khi tạo case thủ công</t>
  </si>
  <si>
    <t>1. Tại màn hình Tạo case thủ công
2. Kiểm tra trường Created By</t>
  </si>
  <si>
    <t>Trường Created By là droplist bắt buộc (M).</t>
  </si>
  <si>
    <t>TM_UI_CASE_LIST.03.11</t>
  </si>
  <si>
    <t>Kiểm tra trường Description khi tạo case thủ công</t>
  </si>
  <si>
    <t>1. Tại màn hình Tạo case thủ công
2. Nhập giá trị trường Description</t>
  </si>
  <si>
    <t>Khách hàng có dấu hiệu chuyển tiền bất thường tới nhiều tài khoản</t>
  </si>
  <si>
    <t>Trường Description cho phép nhập free-text, bắt buộc (M).</t>
  </si>
  <si>
    <t>TM_UI_CASE_LIST.03.12</t>
  </si>
  <si>
    <t>Kiểm tra phân quyền tạo case thủ công</t>
  </si>
  <si>
    <t>Người dùng KHÔNG được phân quyền xử lý case nhóm case type TM (AML)</t>
  </si>
  <si>
    <t>1. Đăng nhập bằng tài khoản không có quyền case type TM
2. Kiểm tra khả năng truy cập chức năng Tạo case thủ công nhóm TM</t>
  </si>
  <si>
    <t>Người dùng không thể tạo case thủ công thuộc nhóm case type TM (chỉ user được phân quyền xử lý case TM mới thực hiện được).</t>
  </si>
  <si>
    <t>TM_UI_CASE_LIST.03.13</t>
  </si>
  <si>
    <t>Kiểm tra chức năng tìm kiếm/gán giao dịch vào case thủ công</t>
  </si>
  <si>
    <t>1. Tại màn hình Tạo/Chi tiết case thủ công
2. Sử dụng chức năng tìm kiếm giao dịch theo Transaction ID/Transaction type/Transaction base amount/Transaction date/Party ID
3. Chọn giao dịch tìm được để gán vào case</t>
  </si>
  <si>
    <t>Hệ thống tìm và hiển thị đúng giao dịch theo điều kiện; giao dịch được chọn gán thành công vào case thủ công.</t>
  </si>
  <si>
    <t>TM_UI_CASE_LIST.03.14</t>
  </si>
  <si>
    <t>Kiểm tra tạo case thủ công thành công</t>
  </si>
  <si>
    <t>1. Nhập đầy đủ thông tin bắt buộc tại màn hình Tạo case thủ công
2. Nhấn Lưu/Tạo case</t>
  </si>
  <si>
    <t>Case ID được hệ thống sinh tự động; case mới ở trạng thái "Pending Checker Review"; Assignee = user vừa tạo case.</t>
  </si>
  <si>
    <t>TM_UI_CASE_LIST.03.15</t>
  </si>
  <si>
    <t>Kiểm tra tạo case thủ công thất bại khi thiếu trường bắt buộc</t>
  </si>
  <si>
    <t>1. Bỏ trống 1 trong các trường bắt buộc (Type/Jurisdiction/Business domain/Owner/Assignee/Created By/Description)
2. Nhấn Lưu/Tạo case</t>
  </si>
  <si>
    <t>Hệ thống báo lỗi thiếu thông tin bắt buộc, không cho tạo case.</t>
  </si>
  <si>
    <t>Chi tiết Case (Case Detail)</t>
  </si>
  <si>
    <t>TM_UI_CASE_DETAIL.01</t>
  </si>
  <si>
    <t>Kiểm tra giao diện tổng quan Case Details (BRD - CM-3.2, CM-3)</t>
  </si>
  <si>
    <t>TM_UI_CASE_DETAIL.01.1</t>
  </si>
  <si>
    <t>Kiểm tra hiển thị thông tin tổng quan case</t>
  </si>
  <si>
    <t>Đã có AML case cần kiểm tra chi tiết</t>
  </si>
  <si>
    <t>1. Mở màn hình Case List
2. Truy cập vào 1 case bất kỳ
3. Kiểm tra thông tin tổng quan hiển thị đầu màn hình Case Details</t>
  </si>
  <si>
    <t>Màn hình hiển thị đầy đủ thông tin tổng quan: Case ID, Title, Status, Priority.</t>
  </si>
  <si>
    <t>TM_UI_CASE_DETAIL.01.2</t>
  </si>
  <si>
    <t>Kiểm tra hiển thị nút "MSB Guideline"</t>
  </si>
  <si>
    <t>1. Tại màn hình Case Details
2. Kiểm tra nút "MSB Guideline"
3. Nhấn nút "MSB Guideline"</t>
  </si>
  <si>
    <t>Nút "MSB Guideline" hiển thị trên màn hình chi tiết cảnh báo; khi nhấn, hệ thống mở/tải file tài liệu Hướng dẫn xử lý AML đã được đính kèm.</t>
  </si>
  <si>
    <t>TM_UI_CASE_DETAIL.01.3</t>
  </si>
  <si>
    <t>Kiểm tra chức năng cập nhật (thay thế) file MSB Guideline</t>
  </si>
  <si>
    <t>Người dùng có quyền quản trị nội dung Guideline</t>
  </si>
  <si>
    <t>1. Tại chức năng MSB Guideline
2. Chọn tải lên (upload) file hướng dẫn mới
3. Xác nhận thay thế file cũ</t>
  </si>
  <si>
    <t>Hệ thống cho phép thay đổi file Guideline theo quy định từng thời kỳ bằng cách upload file mới lên server hệ thống; file mới thay thế file cũ.</t>
  </si>
  <si>
    <t>TM_UI_CASE_DETAIL.01.4</t>
  </si>
  <si>
    <t>Kiểm tra tính nhất quán Case ID/Title giữa Case List và Case Detail</t>
  </si>
  <si>
    <t>Đã xác định 1 case cụ thể tại màn hình Case List</t>
  </si>
  <si>
    <t>1. Tại Case List, ghi nhận Case ID/Title của 1 case
2. Click vào Case ID (hyperlink)
3. Kiểm tra Case ID/Title hiển thị tại màn hình Case Details</t>
  </si>
  <si>
    <t>Case ID và Title hiển thị tại Case Details khớp đúng với case đã chọn từ Case List, không lệch/nhầm sang case khác.</t>
  </si>
  <si>
    <t>TM_UI_CASE_DETAIL.02</t>
  </si>
  <si>
    <t>Kiểm tra tab Event Details (BRD - CM-3.2, CM-1.1)</t>
  </si>
  <si>
    <t>TM_UI_CASE_DETAIL.02.1</t>
  </si>
  <si>
    <t>Kiểm tra hiển thị Event List</t>
  </si>
  <si>
    <t>Case có ít nhất 1 Event (HIT kịch bản)</t>
  </si>
  <si>
    <t>1. Tại màn hình Case Details, truy cập tab Event Details
2. Kiểm tra các trường hiển thị tại bảng Event List</t>
  </si>
  <si>
    <t>Bảng Event List hiển thị tối thiểu các trường: Event ID, Loại đối tượng, Mã khách hàng, Tên đối tượng trong event, Tên kịch bản, Ngày tạo event, Highlight, Ngày event được promote, Trạng thái của event.</t>
  </si>
  <si>
    <t>TM_UI_CASE_DETAIL.02.2</t>
  </si>
  <si>
    <t>Kiểm tra 1 khách hàng HIT nhiều kịch bản sinh nhiều Event trên cùng 1 Case</t>
  </si>
  <si>
    <t>Khách hàng có giao dịch thỏa điều kiện HIT từ 2 kịch bản trở lên trong cùng 1 ngày</t>
  </si>
  <si>
    <t>1. Xác định khách hàng HIT nhiều kịch bản trong ngày
2. Mở Case tương ứng khách hàng đó
3. Kiểm tra bảng Event List</t>
  </si>
  <si>
    <t>Event List hiển thị đầy đủ các Event tương ứng với từng kịch bản mà khách hàng đã HIT; các Event phát sinh cùng ngày của cùng khách hàng được gộp vào cùng 1 Case.</t>
  </si>
  <si>
    <t>Theo BRD CM-1.1: hệ thống tự động tạo case theo cơ chế tổng hợp các Event của cùng 1 khách hàng sinh ra trong cùng 1 ngày thành 1 Case.</t>
  </si>
  <si>
    <t>TM_UI_CASE_DETAIL.02.3</t>
  </si>
  <si>
    <t>Kiểm tra xem Event Details</t>
  </si>
  <si>
    <t>1. Tại tab Event Details, chọn 1 Event trong Event List
2. Chọn xem Event Details</t>
  </si>
  <si>
    <t>Hệ thống hiển thị thông tin chi tiết liên quan đến Event đã chọn, gồm thông tin giao dịch và thông tin khách hàng liên quan.</t>
  </si>
  <si>
    <t>TM_UI_CASE_DETAIL.02.4</t>
  </si>
  <si>
    <t>Kiểm tra trường Highlight của Event được cấu hình theo từng kịch bản</t>
  </si>
  <si>
    <t>Case có Event phát sinh từ ít nhất 2 kịch bản khác nhau, mỗi kịch bản có cấu hình Highlight riêng</t>
  </si>
  <si>
    <t>1. Tại tab Event Details, kiểm tra trường Highlight của từng Event
2. So sánh nội dung Highlight giữa các Event thuộc kịch bản khác nhau</t>
  </si>
  <si>
    <t>Nội dung Highlight hiển thị đúng theo cấu hình riêng của từng kịch bản (không giống nhau giữa các kịch bản khác nhau).</t>
  </si>
  <si>
    <t>Giá trị Highlight cụ thể phụ thuộc cấu hình từng kịch bản trên hệ thống thực tế; BRD không nêu chi tiết nội dung Highlight của từng kịch bản.</t>
  </si>
  <si>
    <t>TM_UI_CASE_DETAIL.02.5</t>
  </si>
  <si>
    <t>Kiểm tra trường Ngày event được promote</t>
  </si>
  <si>
    <t>1. Tại tab Event Details
2. Kiểm tra trường Ngày event được promote của 1 Event đã được đưa vào Case</t>
  </si>
  <si>
    <t>Hệ thống hiển thị đúng ngày Event được promote (đưa vào Case) trong Event List.</t>
  </si>
  <si>
    <t>TM_UI_CASE_DETAIL.03</t>
  </si>
  <si>
    <t>Kiểm tra tab Account (thông tin tài khoản) (BRD - CM-3.2)</t>
  </si>
  <si>
    <t>TM_UI_CASE_DETAIL.03.1</t>
  </si>
  <si>
    <t>Kiểm tra hiển thị thông tin chi tiết tài khoản</t>
  </si>
  <si>
    <t>Case liên quan đến ít nhất 1 tài khoản</t>
  </si>
  <si>
    <t>1. Tại màn hình Case Details, truy cập tab Account
2. Kiểm tra các trường thông tin hiển thị</t>
  </si>
  <si>
    <t>Tab Account hiển thị tối thiểu: Số tài khoản, Tên tài khoản, Status, Loại chủ sở hữu.</t>
  </si>
  <si>
    <t>TM_UI_CASE_DETAIL.03.2</t>
  </si>
  <si>
    <t>Kiểm tra hiển thị khi Case liên quan nhiều hơn 1 tài khoản</t>
  </si>
  <si>
    <t>Case liên quan từ 2 tài khoản trở lên</t>
  </si>
  <si>
    <t>1. Tại tab Account
2. Kiểm tra danh sách tài khoản hiển thị</t>
  </si>
  <si>
    <t>Tab Account hiển thị đầy đủ danh sách tất cả tài khoản liên quan đến Case, mỗi tài khoản có đủ 4 trường: Số tài khoản, Tên tài khoản, Status, Loại chủ sở hữu.</t>
  </si>
  <si>
    <t>TM_UI_CASE_DETAIL.03.3</t>
  </si>
  <si>
    <t>Kiểm tra hiển thị trường Status với các giá trị khác nhau</t>
  </si>
  <si>
    <t>1. Tại tab Account
2. Kiểm tra trường Status của tài khoản (VD: Active, Đóng tài khoản, Không hoạt động...)</t>
  </si>
  <si>
    <t>Trường Status hiển thị đúng trạng thái thực tế của tài khoản tại thời điểm xem.</t>
  </si>
  <si>
    <t>[Cần xác nhận] BRD không liệt kê danh sách đầy đủ các giá trị Status của tài khoản; cần MSB xác nhận danh sách giá trị cụ thể.</t>
  </si>
  <si>
    <t>TM_UI_CASE_DETAIL.04</t>
  </si>
  <si>
    <t>Kiểm tra tab Customer (thông tin khách hàng) (BRD - CM-3.2)</t>
  </si>
  <si>
    <t>TM_UI_CASE_DETAIL.04.1</t>
  </si>
  <si>
    <t>Kiểm tra hiển thị thông tin chi tiết khách hàng</t>
  </si>
  <si>
    <t>Case liên quan đến ít nhất 1 khách hàng</t>
  </si>
  <si>
    <t>1. Tại màn hình Case Details, truy cập tab Customer
2. Kiểm tra các trường thông tin hiển thị</t>
  </si>
  <si>
    <t>Tab Customer hiển thị tối thiểu: Loại khách hàng, Tên khách hàng, Số GTTT/ĐKKD, Mã khách hàng (CIF), Địa chỉ, Số điện thoại, Email, Số tài khoản, Điểm rủi ro của khách hàng.</t>
  </si>
  <si>
    <t>TM_UI_CASE_DETAIL.04.2</t>
  </si>
  <si>
    <t>Kiểm tra hiển thị khi Case liên quan nhiều hơn 1 khách hàng</t>
  </si>
  <si>
    <t>Case liên quan từ 2 khách hàng trở lên (VD: kịch bản Hub-Spoke, Cùng địa chỉ IP)</t>
  </si>
  <si>
    <t>1. Tại tab Customer
2. Kiểm tra danh sách khách hàng hiển thị</t>
  </si>
  <si>
    <t>Tab Customer hiển thị đầy đủ thông tin của tất cả khách hàng liên quan đến Case.</t>
  </si>
  <si>
    <t>TM_UI_CASE_DETAIL.04.3</t>
  </si>
  <si>
    <t>Kiểm tra hiển thị đúng Loại khách hàng (Cá nhân/Tổ chức)</t>
  </si>
  <si>
    <t>1. Tại tab Customer
2. Kiểm tra trường Loại khách hàng với 1 case của khách hàng cá nhân và 1 case của khách hàng tổ chức</t>
  </si>
  <si>
    <t>Trường Loại khách hàng hiển thị đúng theo từng khách hàng (Cá nhân/Tổ chức).</t>
  </si>
  <si>
    <t>TM_UI_CASE_DETAIL.04.4</t>
  </si>
  <si>
    <t>Kiểm tra hiển thị Điểm rủi ro của khách hàng</t>
  </si>
  <si>
    <t>1. Tại tab Customer
2. Kiểm tra trường Điểm rủi ro của khách hàng</t>
  </si>
  <si>
    <t>Trường Điểm rủi ro hiển thị đúng giá trị điểm rủi ro hiện tại của khách hàng.</t>
  </si>
  <si>
    <t>Theo BRD AML-02, điểm rủi ro khách hàng được quy đổi từ phân hệ KYC; cần xác nhận cơ chế đồng bộ hiển thị tại đây là realtime hay theo batch.</t>
  </si>
  <si>
    <t>TM_UI_CASE_DETAIL.05</t>
  </si>
  <si>
    <t>Kiểm tra tab Transaction (thông tin giao dịch) (BRD - CM-3.2)</t>
  </si>
  <si>
    <t>TM_UI_CASE_DETAIL.05.1</t>
  </si>
  <si>
    <t>Kiểm tra hiển thị danh sách giao dịch liên quan case</t>
  </si>
  <si>
    <t>Case có giao dịch liên quan</t>
  </si>
  <si>
    <t>1. Tại màn hình Case Details, truy cập tab Transaction
2. Kiểm tra các trường thông tin hiển thị</t>
  </si>
  <si>
    <t>Tab Transaction hiển thị tối thiểu: Ngày giao dịch, Loại giao dịch, Số tiền giao dịch, Đơn vị tiền tệ, Thông tin của bên đối ứng.</t>
  </si>
  <si>
    <t>TM_UI_CASE_DETAIL.05.2</t>
  </si>
  <si>
    <t>Kiểm tra hiển thị danh sách nhiều giao dịch liên quan Case</t>
  </si>
  <si>
    <t>Case có từ 2 giao dịch liên quan trở lên</t>
  </si>
  <si>
    <t>1. Tại tab Transaction
2. Kiểm tra danh sách giao dịch hiển thị</t>
  </si>
  <si>
    <t>Tab Transaction hiển thị đầy đủ danh sách tất cả giao dịch liên quan đến Case, không thiếu giao dịch.</t>
  </si>
  <si>
    <t>TM_UI_CASE_DETAIL.05.3</t>
  </si>
  <si>
    <t>Kiểm tra hiển thị thông tin bên đối ứng của giao dịch</t>
  </si>
  <si>
    <t>1. Tại tab Transaction
2. Kiểm tra trường thông tin bên đối ứng của 1 giao dịch</t>
  </si>
  <si>
    <t>Hệ thống hiển thị đầy đủ thông tin bên đối ứng của giao dịch (tối thiểu: tên bên đối ứng, số tài khoản đối ứng).</t>
  </si>
  <si>
    <t>Theo BRD AML-07 (Hub-Spoke), đối tác đối ứng không trùng lặp được xác định dựa trên Tên khách hàng + STK; testcase tham chiếu quy tắc này để kiểm tra tính đầy đủ trường.</t>
  </si>
  <si>
    <t>TM_UI_CASE_DETAIL.05.4</t>
  </si>
  <si>
    <t>Kiểm tra hiển thị đúng Loại giao dịch (ghi Nợ/ghi Có)</t>
  </si>
  <si>
    <t>1. Tại tab Transaction
2. Kiểm tra trường Loại giao dịch với các giao dịch ghi Nợ và ghi Có khác nhau</t>
  </si>
  <si>
    <t>Trường Loại giao dịch phân biệt rõ và hiển thị đúng giao dịch ghi Nợ/ghi Có.</t>
  </si>
  <si>
    <t>TM_UI_CASE_DETAIL.06</t>
  </si>
  <si>
    <t>Kiểm tra chức năng Take Action (BRD - CM-5)</t>
  </si>
  <si>
    <t>TM_UI_CASE_DETAIL.06.1</t>
  </si>
  <si>
    <t>Kiểm tra hiển thị nút "Take Action"</t>
  </si>
  <si>
    <t>1. Tại màn hình Case Details/Case ECM
2. Kiểm tra nút chức năng "Take Action"</t>
  </si>
  <si>
    <t>Nút "Take Action" hiển thị trên màn hình Case ECM.</t>
  </si>
  <si>
    <t>TM_UI_CASE_DETAIL.06.2</t>
  </si>
  <si>
    <t>Kiểm tra bắt buộc nhập Comment khi Take Action</t>
  </si>
  <si>
    <t>1. Nhấn nút "Take Action"
2. Chọn 1 action, để trống Comment
3. Nhấn hoàn thành</t>
  </si>
  <si>
    <t>Hệ thống báo lỗi yêu cầu nhập Comment, không cho hoàn thành Take Action khi chưa nhập Comment.</t>
  </si>
  <si>
    <t>TM_UI_CASE_DETAIL.06.3</t>
  </si>
  <si>
    <t>Kiểm tra đính kèm file hợp lệ (định dạng word/excel/text/PDF, dung lượng ≤ 9MB)</t>
  </si>
  <si>
    <t>1. Nhấn nút "Take Action"
2. Nhập Comment
3. Đính kèm 1 file định dạng word/excel/text/PDF, dung lượng ≤ 9MB
4. Hoàn thành Take Action</t>
  </si>
  <si>
    <t>Hệ thống đính kèm file thành công, Take Action hoàn tất.</t>
  </si>
  <si>
    <t>TM_UI_CASE_DETAIL.06.4</t>
  </si>
  <si>
    <t>Kiểm tra đính kèm file vượt quá 9MB</t>
  </si>
  <si>
    <t>1. Nhấn nút "Take Action"
2. Đính kèm 1 file dung lượng &gt; 9MB</t>
  </si>
  <si>
    <t>Hệ thống từ chối file đính kèm, báo lỗi vượt quá dung lượng cho phép (9MB).</t>
  </si>
  <si>
    <t>TM_UI_CASE_DETAIL.06.5</t>
  </si>
  <si>
    <t>Kiểm tra đính kèm file sai định dạng</t>
  </si>
  <si>
    <t>1. Nhấn nút "Take Action"
2. Đính kèm 1 file định dạng khác word/excel/text/PDF (VD: .exe, .zip)</t>
  </si>
  <si>
    <t>Hệ thống từ chối đính kèm, báo lỗi định dạng file không hợp lệ.</t>
  </si>
  <si>
    <t>TM_UI_CASE_DETAIL.06.6</t>
  </si>
  <si>
    <t>Kiểm tra đính kèm nhiều file không giới hạn số lượng trong 1 lần Take Action</t>
  </si>
  <si>
    <t>1. Nhấn nút "Take Action"
2. Đính kèm nhiều hơn 1 file hợp lệ cùng lúc
3. Hoàn thành Take Action</t>
  </si>
  <si>
    <t>Hệ thống cho phép đính kèm không giới hạn số lượng file (mỗi file ≤ 9MB, đúng định dạng).</t>
  </si>
  <si>
    <t>TM_UI_CASE_DETAIL.07</t>
  </si>
  <si>
    <t>Kiểm tra chức năng Send Email/RFI (BRD - CM-6)</t>
  </si>
  <si>
    <t>TM_UI_CASE_DETAIL.07.1</t>
  </si>
  <si>
    <t>Kiểm tra hiển thị các trường màn hình Send Email</t>
  </si>
  <si>
    <t>1. Tại màn hình Case Details
2. Chọn chức năng Send Email/RFI
3. Kiểm tra các trường hiển thị</t>
  </si>
  <si>
    <t>Màn hình hiển thị đầy đủ các trường: From, To, Cc, Subject, Attach, Include Case Details, Email content.</t>
  </si>
  <si>
    <t>TM_UI_CASE_DETAIL.07.2</t>
  </si>
  <si>
    <t>Kiểm tra trường From</t>
  </si>
  <si>
    <t>1. Tại màn hình Send Email
2. Kiểm tra trường From</t>
  </si>
  <si>
    <t>Trường From mặc định hiển thị 1 địa chỉ email chung áp dụng cho tất cả các case.</t>
  </si>
  <si>
    <t>[Cần xác nhận] BRD chưa nêu rõ From có cho phép chỉnh sửa hay cố định.</t>
  </si>
  <si>
    <t>TM_UI_CASE_DETAIL.07.3</t>
  </si>
  <si>
    <t>Kiểm tra trường To - nhập nhiều người nhận</t>
  </si>
  <si>
    <t>1. Tại màn hình Send Email
2. Nhập nhiều địa chỉ email vào trường To, phân cách bằng dấu phẩy "," không chứa dấu cách</t>
  </si>
  <si>
    <t>a@msb.com.vn,b@msb.com.vn</t>
  </si>
  <si>
    <t>Hệ thống cho phép gửi email tới nhiều người nhận cùng lúc theo đúng định dạng phân cách bằng dấu phẩy, không dấu cách.</t>
  </si>
  <si>
    <t>TM_UI_CASE_DETAIL.07.4</t>
  </si>
  <si>
    <t>Kiểm tra trường Cc</t>
  </si>
  <si>
    <t>1. Tại màn hình Send Email
2. Nhập email vào trường Cc</t>
  </si>
  <si>
    <t>cc@msb.com.vn</t>
  </si>
  <si>
    <t>Hệ thống cho phép nhập email người nhận gián tiếp (Cc).</t>
  </si>
  <si>
    <t>TM_UI_CASE_DETAIL.07.5</t>
  </si>
  <si>
    <t>Kiểm tra trường Subject</t>
  </si>
  <si>
    <t>1. Tại màn hình Send Email
2. Nhập nội dung trường Subject</t>
  </si>
  <si>
    <t>Yêu cầu bổ sung thông tin case CASE-000123</t>
  </si>
  <si>
    <t>Trường Subject cho phép nhập free-text.</t>
  </si>
  <si>
    <t>TM_UI_CASE_DETAIL.07.6</t>
  </si>
  <si>
    <t>Kiểm tra chức năng Attach file</t>
  </si>
  <si>
    <t>1. Tại màn hình Send Email
2. Đính kèm file định dạng word/excel/pdf/hình ảnh/audio</t>
  </si>
  <si>
    <t>Hệ thống cho phép đính kèm file các định dạng: word, excel, pdf, hình ảnh, audio.</t>
  </si>
  <si>
    <t>TM_UI_CASE_DETAIL.07.7</t>
  </si>
  <si>
    <t>Kiểm tra tuỳ chọn Include Case Details</t>
  </si>
  <si>
    <t>1. Tại màn hình Send Email
2. Tích chọn Include Case Details
3. Gửi email</t>
  </si>
  <si>
    <t>Khi được chọn, hệ thống gửi kèm thông tin chi tiết case trong nội dung email.</t>
  </si>
  <si>
    <t>TM_UI_CASE_DETAIL.07.8</t>
  </si>
  <si>
    <t>Kiểm tra trường Email content</t>
  </si>
  <si>
    <t>1. Tại màn hình Send Email
2. Nhập nội dung trường Email content</t>
  </si>
  <si>
    <t>Đề nghị Quý khách cung cấp thêm hồ sơ chứng minh nguồn gốc giao dịch</t>
  </si>
  <si>
    <t>Trường Email content cho phép nhập free-text nội dung muốn gửi.</t>
  </si>
  <si>
    <t>TM_UI_CASE_DETAIL.07.9</t>
  </si>
  <si>
    <t>Kiểm tra gửi email thành công và lưu vết trên hệ thống</t>
  </si>
  <si>
    <t>1. Nhập đầy đủ thông tin màn hình Send Email
2. Nhấn Gửi</t>
  </si>
  <si>
    <t>Email được gửi thành công; nội dung email đã gửi được lưu lại trên hệ thống OFSAA.</t>
  </si>
  <si>
    <t>TM_UI_CASE_DETAIL.07.10</t>
  </si>
  <si>
    <t>Kiểm tra tính năng gửi email chỉ theo 1 chiều (không nhận phản hồi)</t>
  </si>
  <si>
    <t>Đã gửi email/RFI cho địa chỉ bên ngoài</t>
  </si>
  <si>
    <t>1. Gửi email cho 1 địa chỉ nhận
2. Kiểm tra khả năng hệ thống ghi nhận phản hồi trả lời từ người nhận</t>
  </si>
  <si>
    <t>Hệ thống chỉ hỗ trợ gửi email 1 chiều, không có chức năng tiếp nhận phản hồi trả lời từ email đã gửi.</t>
  </si>
  <si>
    <t>TM_UI_CASE_DETAIL.07.11</t>
  </si>
  <si>
    <t>Kiểm tra giới hạn domain người nhận (To) khi được cấu hình</t>
  </si>
  <si>
    <t>Hệ thống được cấu hình giới hạn domain người nhận hợp lệ</t>
  </si>
  <si>
    <t>1. Tại màn hình Send Email
2. Nhập vào trường To 1 địa chỉ email KHÔNG thuộc domain được phép
3. Gửi email</t>
  </si>
  <si>
    <t>Hệ thống từ chối/cảnh báo khi địa chỉ nhận không thuộc domain được phép (khi tính năng giới hạn domain được bật).</t>
  </si>
  <si>
    <t>[Cần xác nhận] BRD chỉ nêu hệ thống 'cho phép giới hạn domain trong trường hợp có nhu cầu', chưa mô tả rõ cơ chế cấu hình bật/tắt và nội dung thông báo lỗi cụ thể.</t>
  </si>
  <si>
    <t>TM_UI_CASE_DETAIL.08</t>
  </si>
  <si>
    <t>Kiểm tra chức năng Ghi chú, bình luận, đính kèm tài liệu (BRD - CM-7)</t>
  </si>
  <si>
    <t>TM_UI_CASE_DETAIL.08.1</t>
  </si>
  <si>
    <t>Kiểm tra hiển thị màn hình thêm ghi chú/đính kèm</t>
  </si>
  <si>
    <t>1. Tại màn hình Case Details
2. Chọn chức năng thêm Ghi chú/đính kèm
3. Kiểm tra các trường hiển thị</t>
  </si>
  <si>
    <t>Màn hình hiển thị tối thiểu: Loại hồ sơ/giấy tờ, Ghi chú tiêu chuẩn, Ghi chú/bình luận nhập thủ công, khu vực đính kèm file.</t>
  </si>
  <si>
    <t>TM_UI_CASE_DETAIL.08.2</t>
  </si>
  <si>
    <t>Kiểm tra chọn Loại hồ sơ/giấy tờ</t>
  </si>
  <si>
    <t>1. Tại màn hình thêm ghi chú/đính kèm
2. Kiểm tra droplist Loại hồ sơ/giấy tờ</t>
  </si>
  <si>
    <t>Hệ thống hiển thị droplist các loại hồ sơ/giấy tờ để người dùng lựa chọn.</t>
  </si>
  <si>
    <t>TM_UI_CASE_DETAIL.08.3</t>
  </si>
  <si>
    <t>Kiểm tra chọn Ghi chú tiêu chuẩn (theo mẫu có sẵn)</t>
  </si>
  <si>
    <t>1. Tại màn hình thêm ghi chú/đính kèm
2. Chọn 1 giá trị từ Ghi chú tiêu chuẩn</t>
  </si>
  <si>
    <t>Hệ thống hiển thị droplist các mẫu ghi chú tiêu chuẩn có sẵn để chọn nhanh.</t>
  </si>
  <si>
    <t>TM_UI_CASE_DETAIL.08.4</t>
  </si>
  <si>
    <t>Kiểm tra nhập Ghi chú/bình luận thủ công</t>
  </si>
  <si>
    <t>1. Tại màn hình thêm ghi chú/đính kèm
2. Nhập nội dung Ghi chú/bình luận</t>
  </si>
  <si>
    <t>Đã liên hệ khách hàng xác minh mục đích giao dịch</t>
  </si>
  <si>
    <t>Hệ thống cho phép nhập ghi chú/bình luận dạng free-text.</t>
  </si>
  <si>
    <t>TM_UI_CASE_DETAIL.08.5</t>
  </si>
  <si>
    <t>Kiểm tra đính kèm file cùng ghi chú/bình luận (dung lượng tối đa 10MB)</t>
  </si>
  <si>
    <t>1. Tại màn hình thêm ghi chú/đính kèm
2. Nhập ghi chú và đính kèm 1 file ≤ 10MB
3. Lưu</t>
  </si>
  <si>
    <t>Hệ thống lưu thành công ghi chú kèm file đính kèm.</t>
  </si>
  <si>
    <t>BRD (CM-7) nêu dung lượng file mặc định 10MB (có thể điều chỉnh theo nhu cầu MSB), khác với ngưỡng 9MB nêu tại CM-5 (Take Action) - cần xác nhận lại với MSB xem đây là 2 giới hạn độc lập cho 2 chức năng khác nhau hay là 1 điểm chưa thống nhất trong BRD.</t>
  </si>
  <si>
    <t>TM_UI_CASE_DETAIL.08.6</t>
  </si>
  <si>
    <t>Kiểm tra đính kèm file vượt quá dung lượng cho phép (&gt;10MB)</t>
  </si>
  <si>
    <t>1. Tại màn hình thêm ghi chú/đính kèm
2. Đính kèm 1 file dung lượng &gt; 10MB</t>
  </si>
  <si>
    <t>Hệ thống từ chối file đính kèm, báo lỗi vượt quá dung lượng cho phép.</t>
  </si>
  <si>
    <t>TM_UI_CASE_DETAIL.08.7</t>
  </si>
  <si>
    <t>Kiểm tra số lượng file đính kèm không giới hạn</t>
  </si>
  <si>
    <t>1. Tại màn hình thêm ghi chú/đính kèm
2. Đính kèm nhiều file hợp lệ cùng lúc</t>
  </si>
  <si>
    <t>Hệ thống không giới hạn số lượng file đính kèm (phụ thuộc hạ tầng cung cấp).</t>
  </si>
  <si>
    <t>TM_UI_CASE_DETAIL.09</t>
  </si>
  <si>
    <t>Kiểm tra tính năng Audit Trail (BRD - CM-8)</t>
  </si>
  <si>
    <t>TM_UI_CASE_DETAIL.09.1</t>
  </si>
  <si>
    <t>Kiểm tra hiển thị tab/màn hình Audit Trail</t>
  </si>
  <si>
    <t>Case đã có ít nhất 1 hành động được thực hiện</t>
  </si>
  <si>
    <t>1. Tại màn hình Case Details
2. Truy cập tab Audit Trail
3. Kiểm tra các trường hiển thị</t>
  </si>
  <si>
    <t>Màn hình hiển thị tối thiểu: Tên người dùng, Thời gian thực hiện (ngày, giờ), Hành động đối với case, Người tạo case, Người xử lý hiện tại, Trạng thái của case, Comment, Thời hạn xử lý case.</t>
  </si>
  <si>
    <t>TM_UI_CASE_DETAIL.09.2</t>
  </si>
  <si>
    <t>Kiểm tra Audit Trail ghi nhận đầy đủ và đúng trình tự thời gian</t>
  </si>
  <si>
    <t>1. Thực hiện liên tiếp từ 2 hành động trở lên trên case (VD: Take Action, gửi email, thêm ghi chú)
2. Mở tab Audit Trail
3. Kiểm tra thứ tự và nội dung các bản ghi</t>
  </si>
  <si>
    <t>Mỗi hành động thực hiện trên case đều được ghi nhận đầy đủ trên Audit Trail, sắp xếp đúng trình tự thời gian thực hiện.</t>
  </si>
  <si>
    <t>TM_UI_CASE_DETAIL.09.3</t>
  </si>
  <si>
    <t>Kiểm tra Audit Trail không cho phép chỉnh sửa/xóa lịch sử</t>
  </si>
  <si>
    <t>1. Tại tab Audit Trail
2. Kiểm tra khả năng chỉnh sửa hoặc xóa 1 bản ghi lịch sử</t>
  </si>
  <si>
    <t>Hệ thống không cho phép người dùng chỉnh sửa hoặc xóa bất kỳ bản ghi nào trên Audit Trail, đảm bảo tính toàn vẹn vết kiểm toán.</t>
  </si>
  <si>
    <t>[Suy luận] BRD không mô tả trực tiếp yêu cầu này; đây là nguyên tắc chuẩn đối với chức năng lưu vết kiểm toán nói chung - cần MSB xác nhận.</t>
  </si>
  <si>
    <t>TM_UI_CASE_DETAIL.10</t>
  </si>
  <si>
    <t>Kiểm tra Điều phối và phân công xử lý case (BRD - CM-4)</t>
  </si>
  <si>
    <t>TM_UI_CASE_DETAIL.10.1</t>
  </si>
  <si>
    <t>Kiểm tra case hệ thống tự động phân công cho nhóm user có quyền case type TM</t>
  </si>
  <si>
    <t>Case mới phát sinh từ hệ thống, chưa có user nào mở</t>
  </si>
  <si>
    <t>1. Kịch bản chạy sinh Case mới
2. Kiểm tra trường Owner/Assignee của Case vừa phát sinh</t>
  </si>
  <si>
    <t>Case được tự động phân công cho nhóm user được gán quyền xử lý case type TM, chưa gán đích danh 1 user cụ thể cho tới khi có người mở case.</t>
  </si>
  <si>
    <t>TM_UI_CASE_DETAIL.10.2</t>
  </si>
  <si>
    <t>Kiểm tra user đầu tiên mở Case được gán làm người xử lý (Assignee)</t>
  </si>
  <si>
    <t>Case đang ở trạng thái mới phân công cho nhóm, chưa có Assignee cụ thể</t>
  </si>
  <si>
    <t>1. User A (thuộc nhóm quyền TM) mở Case lần đầu tiên
2. Kiểm tra trường Assignee của Case sau khi mở</t>
  </si>
  <si>
    <t>Hệ thống tự động gán User A vào trường Assignee/người xử lý của Case ngay sau khi User A mở case đầu tiên.</t>
  </si>
  <si>
    <t>TM_UI_CASE_DETAIL.10.3</t>
  </si>
  <si>
    <t>Kiểm tra Assignee của case tạo thủ công mặc định được gán cho user tạo case</t>
  </si>
  <si>
    <t>1. User B tạo Case thủ công
2. Kiểm tra trường Assignee của Case vừa tạo</t>
  </si>
  <si>
    <t>Trường Assignee (control dạng drop-down list theo CM-1) mặc định hiển thị/chọn sẵn giá trị là chính User B - user vừa tạo case thủ công, đúng theo quy tắc điều phối tại CM-4.</t>
  </si>
  <si>
    <t>CM-1 mô tả cách thức NHẬP LIỆU của trường Assignee tại màn tạo case thủ công là drop-down list; CM-4 quy định giá trị MẶC ĐỊNH được hệ thống gán là user tạo case. Đây là 2 khía cạnh khác nhau (loại control nhập liệu và quy tắc gán giá trị mặc định), không mâu thuẫn nhau.</t>
  </si>
  <si>
    <t>TM_UI_CASE_DETAIL.10.4</t>
  </si>
  <si>
    <t>Kiểm tra khả năng đổi Assignee khỏi giá trị mặc định (user tạo case)</t>
  </si>
  <si>
    <t>Case thủ công vừa được tạo, Assignee đang mặc định là user tạo case</t>
  </si>
  <si>
    <t>1. Tại màn hình tạo/case vừa tạo thủ công
2. Mở drop-down list Assignee
3. Chọn 1 user khác để thay thế</t>
  </si>
  <si>
    <t>Hệ thống cho phép chọn user khác trong drop-down list để thay đổi Assignee, do trường này có cách thức nhập là drop-down list theo CM-1.</t>
  </si>
  <si>
    <t>[Cần xác nhận] BRD chưa nêu rõ có ràng buộc/giới hạn quyền nào khi đổi Assignee khỏi giá trị mặc định hay không (VD: chỉ Owner/Supervisor mới được đổi).</t>
  </si>
  <si>
    <t>TM_UI_CASE_DETAIL.10.5</t>
  </si>
  <si>
    <t>Kiểm tra các user cùng nhóm quyền thực hiện được thao tác giống nhau trên case</t>
  </si>
  <si>
    <t>User A và User B cùng thuộc 1 nhóm quyền case type TM</t>
  </si>
  <si>
    <t>1. User A mở 1 Case (được gán làm Assignee)
2. User B (cùng nhóm quyền) truy cập cùng Case
3. Kiểm tra các chức năng/thao tác User B có thể thực hiện trên Case</t>
  </si>
  <si>
    <t>User B (cùng nhóm quyền với User A) có thể thực hiện các thao tác tương tự User A trên Case (VD: Take Action, Send Email, thêm ghi chú...).</t>
  </si>
  <si>
    <t>Giai đoạn kiểm thử</t>
  </si>
  <si>
    <t>Test Level</t>
  </si>
  <si>
    <t>Giá trị</t>
  </si>
  <si>
    <t>Giải thích</t>
  </si>
  <si>
    <t>Value</t>
  </si>
  <si>
    <t>Description</t>
  </si>
  <si>
    <t>UT</t>
  </si>
  <si>
    <t>Kiểm thử kỹ thuật (Unit Test) (IT thực hiện)</t>
  </si>
  <si>
    <t>Kiểm thử tích hợp hệ thống (System Integration Test) (IT thực hiện)</t>
  </si>
  <si>
    <t>OAT</t>
  </si>
  <si>
    <t>Kiểm thử vận hành (Operation Acceptance Test) (IT thực hiện)</t>
  </si>
  <si>
    <t>ST</t>
  </si>
  <si>
    <t>Kiểm thử an ninh thông tin (Security Test) (IT thực hiện)</t>
  </si>
  <si>
    <t>UAT</t>
  </si>
  <si>
    <t>Kiểm thử người dùng cuối (User Acceptance Test) (ĐVNV thực hiện)</t>
  </si>
  <si>
    <t>Độ ưu tiên</t>
  </si>
  <si>
    <t>Ưu tiên cao</t>
  </si>
  <si>
    <t>Ưu tiên trung bình</t>
  </si>
  <si>
    <t>Ưu tiên thấp/không ưu tiên</t>
  </si>
  <si>
    <t>Cách thực hiện test</t>
  </si>
  <si>
    <t>Y</t>
  </si>
  <si>
    <t>Thực hiện Auto test</t>
  </si>
  <si>
    <t>Thực hiện Manual test</t>
  </si>
  <si>
    <t>Trạng thái</t>
  </si>
  <si>
    <t>Status</t>
  </si>
  <si>
    <t>Chưa thực hiện</t>
  </si>
  <si>
    <t>Đạt yêu cầu</t>
  </si>
  <si>
    <t>Không đạt yêu cầu</t>
  </si>
  <si>
    <t>Một testcase tạm dừng thực hiện do ảnh hưởng bởi testcase khác fail hoặc cần xác nhận từ các bên liên quan.</t>
  </si>
  <si>
    <t>Không thực hiện</t>
  </si>
  <si>
    <t>Total = 'Untested' + 'Passed' + 'Failed' + 'Pending' + 'Cancel</t>
  </si>
  <si>
    <t>% Executed</t>
  </si>
  <si>
    <t>% Executed = ('Total' - 'Todo' - 'Un-executed')/'Total'</t>
  </si>
  <si>
    <t>% Pass</t>
  </si>
  <si>
    <t>% Pass = 'Pass'/'Total'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</si>
</sst>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409]dd\-mmm\-yy;@"/>
    <numFmt numFmtId="165" formatCode="[$-409]d\-mmm\-yy;@"/>
    <numFmt numFmtId="166" formatCode="[$]@"/>
    <numFmt numFmtId="167" formatCode="[$-409]General"/>
    <numFmt numFmtId="168" formatCode="d\-mmm\-yy;@"/>
    <numFmt numFmtId="169" formatCode="[$-409]0"/>
  </numFmts>
  <fonts count="48">
    <font>
      <sz val="11"/>
      <color theme="1"/>
      <name val="Calibri"/>
      <family val="2"/>
      <charset val="1"/>
    </font>
    <font>
      <sz val="11"/>
      <color rgb="FF000000"/>
      <name val="Calibri"/>
      <family val="2"/>
      <charset val="1"/>
    </font>
    <font>
      <sz val="11"/>
      <name val="ＭＳ Ｐゴシック"/>
      <family val="3"/>
      <charset val="128"/>
    </font>
    <font>
      <sz val="10"/>
      <name val="Arial"/>
      <family val="2"/>
      <charset val="1"/>
    </font>
    <font>
      <sz val="11"/>
      <name val="明朝"/>
      <family val="1"/>
      <charset val="128"/>
    </font>
    <font>
      <sz val="11"/>
      <name val="Tahoma"/>
      <family val="2"/>
      <charset val="1"/>
    </font>
    <font>
      <sz val="10"/>
      <name val="Tahoma"/>
      <family val="2"/>
      <charset val="1"/>
    </font>
    <font>
      <b/>
      <sz val="9"/>
      <color rgb="FF333399"/>
      <name val="Tahoma"/>
      <family val="2"/>
      <charset val="1"/>
    </font>
    <font>
      <b/>
      <sz val="9"/>
      <name val="Tahoma"/>
      <family val="2"/>
      <charset val="1"/>
    </font>
    <font>
      <b/>
      <sz val="26"/>
      <color rgb="FF008000"/>
      <name val="Tahoma"/>
      <family val="2"/>
      <charset val="1"/>
    </font>
    <font>
      <b/>
      <sz val="26"/>
      <name val="Tahoma"/>
      <family val="2"/>
      <charset val="1"/>
    </font>
    <font>
      <b/>
      <sz val="36"/>
      <color rgb="FF1F497D"/>
      <name val="Arial"/>
      <family val="2"/>
      <charset val="1"/>
    </font>
    <font>
      <b/>
      <sz val="9"/>
      <color rgb="FF0000FF"/>
      <name val="Tahoma"/>
      <family val="2"/>
      <charset val="1"/>
    </font>
    <font>
      <b/>
      <sz val="10"/>
      <color rgb="FF1F497D"/>
      <name val="Arial"/>
      <family val="2"/>
      <charset val="1"/>
    </font>
    <font>
      <b/>
      <sz val="10"/>
      <color rgb="FF44546A"/>
      <name val="Arial"/>
      <family val="2"/>
      <charset val="1"/>
    </font>
    <font>
      <sz val="10"/>
      <color rgb="FF1F497D"/>
      <name val="Arial"/>
      <family val="2"/>
      <charset val="1"/>
    </font>
    <font>
      <sz val="9"/>
      <color rgb="FF0000FF"/>
      <name val="Tahoma"/>
      <family val="2"/>
      <charset val="1"/>
    </font>
    <font>
      <sz val="9"/>
      <name val="Tahoma"/>
      <family val="2"/>
      <charset val="1"/>
    </font>
    <font>
      <b/>
      <sz val="14"/>
      <color rgb="FF1F497D"/>
      <name val="Arial"/>
      <family val="2"/>
      <charset val="1"/>
    </font>
    <font>
      <b/>
      <sz val="10"/>
      <color rgb="FF0000FF"/>
      <name val="Arial"/>
      <family val="2"/>
      <charset val="1"/>
    </font>
    <font>
      <sz val="11"/>
      <name val="Times New Roman"/>
      <charset val="1"/>
    </font>
    <font>
      <sz val="11"/>
      <color rgb="FF0000FF"/>
      <name val="Times New Roman"/>
      <charset val="1"/>
    </font>
    <font>
      <u/>
      <sz val="11"/>
      <color theme="10"/>
      <name val="Calibri"/>
      <family val="2"/>
      <charset val="1"/>
    </font>
    <font>
      <b/>
      <sz val="12"/>
      <name val="Times New Roman"/>
      <charset val="1"/>
    </font>
    <font>
      <sz val="10"/>
      <color rgb="FF000000"/>
      <name val="Arial"/>
      <family val="2"/>
      <charset val="1"/>
    </font>
    <font>
      <b/>
      <sz val="11"/>
      <name val="Times New Roman"/>
      <charset val="1"/>
    </font>
    <font>
      <b/>
      <sz val="10"/>
      <color rgb="FFFFFFFF"/>
      <name val="Arial"/>
      <family val="2"/>
      <charset val="1"/>
    </font>
    <font>
      <sz val="10"/>
      <name val="Arial"/>
      <family val="2"/>
    </font>
    <font>
      <b/>
      <sz val="10"/>
      <name val="Arial"/>
      <family val="2"/>
      <charset val="1"/>
    </font>
    <font>
      <b/>
      <sz val="22"/>
      <name val="Arial"/>
      <family val="2"/>
      <charset val="1"/>
    </font>
    <font>
      <b/>
      <sz val="8"/>
      <name val="Arial"/>
      <family val="2"/>
      <charset val="1"/>
    </font>
    <font>
      <sz val="9"/>
      <color rgb="FF000000"/>
      <name val="Arial"/>
      <family val="2"/>
      <charset val="1"/>
    </font>
    <font>
      <sz val="9"/>
      <name val="Arial"/>
      <family val="2"/>
      <charset val="1"/>
    </font>
    <font>
      <b/>
      <sz val="11"/>
      <color rgb="FFFF0000"/>
      <name val="Arial"/>
      <family val="2"/>
      <charset val="1"/>
    </font>
    <font>
      <b/>
      <sz val="11"/>
      <color rgb="FF000000"/>
      <name val="Calibri"/>
      <family val="2"/>
      <charset val="1"/>
    </font>
    <font>
      <b/>
      <sz val="8"/>
      <color rgb="FF000000"/>
      <name val="Arial"/>
      <family val="2"/>
      <charset val="1"/>
    </font>
    <font>
      <b/>
      <i/>
      <sz val="8"/>
      <color rgb="FF000000"/>
      <name val="Arial"/>
      <family val="2"/>
      <charset val="1"/>
    </font>
    <font>
      <i/>
      <sz val="10"/>
      <color rgb="FF000000"/>
      <name val="Arial"/>
      <family val="2"/>
      <charset val="1"/>
    </font>
    <font>
      <b/>
      <sz val="10"/>
      <color rgb="FF000000"/>
      <name val="Arial"/>
      <family val="2"/>
      <charset val="1"/>
    </font>
    <font>
      <b/>
      <sz val="12"/>
      <color rgb="FF1F497D"/>
      <name val="Times New Roman"/>
      <family val="1"/>
      <charset val="1"/>
    </font>
    <font>
      <b/>
      <sz val="11"/>
      <name val="Times New Roman"/>
      <family val="1"/>
      <charset val="1"/>
    </font>
    <font>
      <sz val="11"/>
      <name val="Times New Roman"/>
      <family val="1"/>
      <charset val="1"/>
    </font>
    <font>
      <b/>
      <sz val="12"/>
      <name val="Times New Roman"/>
      <family val="1"/>
      <charset val="1"/>
    </font>
    <font>
      <b/>
      <sz val="11"/>
      <color rgb="FFC00000"/>
      <name val="Times New Roman"/>
      <family val="1"/>
      <charset val="1"/>
    </font>
    <font>
      <b/>
      <sz val="11"/>
      <color rgb="FF000000"/>
      <name val="Times New Roman"/>
      <charset val="1"/>
    </font>
    <font>
      <b/>
      <sz val="12"/>
      <color rgb="FFFF0000"/>
      <name val="Times New Roman"/>
      <charset val="1"/>
    </font>
    <font>
      <i/>
      <sz val="12"/>
      <color rgb="FFFF0000"/>
      <name val="Times New Roman"/>
      <charset val="1"/>
    </font>
    <font>
      <sz val="12"/>
      <color rgb="FF000000"/>
      <name val="Times New Roman"/>
      <charset val="1"/>
    </font>
  </fonts>
  <fills count="19">
    <fill>
      <patternFill patternType="none"/>
    </fill>
    <fill>
      <patternFill patternType="gray125"/>
    </fill>
    <fill>
      <patternFill patternType="solid">
        <fgColor rgb="FFFFFFFF"/>
        <bgColor rgb="FFFFF2CC"/>
      </patternFill>
    </fill>
    <fill>
      <patternFill patternType="solid">
        <fgColor rgb="FFCCFFCC"/>
        <bgColor rgb="FFCCFFFF"/>
      </patternFill>
    </fill>
    <fill>
      <patternFill patternType="solid">
        <fgColor theme="4"/>
        <bgColor rgb="FF548DD4"/>
      </patternFill>
    </fill>
    <fill>
      <patternFill patternType="solid">
        <fgColor rgb="FFF8CBAD"/>
        <bgColor rgb="FFFAC090"/>
      </patternFill>
    </fill>
    <fill>
      <patternFill patternType="solid">
        <fgColor rgb="FFA7D6E3"/>
        <bgColor rgb="FFBDD7EE"/>
      </patternFill>
    </fill>
    <fill>
      <patternFill patternType="solid">
        <fgColor rgb="FFBDD7EE"/>
        <bgColor rgb="FFA7D6E3"/>
      </patternFill>
    </fill>
    <fill>
      <patternFill patternType="solid">
        <fgColor rgb="FFB4C7E7"/>
        <bgColor rgb="FFBDD7EE"/>
      </patternFill>
    </fill>
    <fill>
      <patternFill patternType="solid">
        <fgColor theme="7" tint="0.59987182226020086"/>
        <bgColor rgb="FFBFBFBF"/>
      </patternFill>
    </fill>
    <fill>
      <patternFill patternType="solid">
        <fgColor rgb="FFFFF2CC"/>
        <bgColor rgb="FFFDE9D9"/>
      </patternFill>
    </fill>
    <fill>
      <patternFill patternType="solid">
        <fgColor rgb="FF2F5597"/>
        <bgColor rgb="FF1F497D"/>
      </patternFill>
    </fill>
    <fill>
      <patternFill patternType="solid">
        <fgColor rgb="FFD9E8D3"/>
        <bgColor rgb="FFCCFFCC"/>
      </patternFill>
    </fill>
    <fill>
      <patternFill patternType="solid">
        <fgColor rgb="FFFDE9D9"/>
        <bgColor rgb="FFFFF2CC"/>
      </patternFill>
    </fill>
    <fill>
      <patternFill patternType="solid">
        <fgColor rgb="FF00B0F0"/>
        <bgColor rgb="FF008080"/>
      </patternFill>
    </fill>
    <fill>
      <patternFill patternType="solid">
        <fgColor rgb="FF92D050"/>
        <bgColor rgb="FFBFBFBF"/>
      </patternFill>
    </fill>
    <fill>
      <patternFill patternType="solid">
        <fgColor rgb="FFFF0000"/>
        <bgColor rgb="FFC00000"/>
      </patternFill>
    </fill>
    <fill>
      <patternFill patternType="solid">
        <fgColor rgb="FFFFC000"/>
        <bgColor rgb="FFFF9900"/>
      </patternFill>
    </fill>
    <fill>
      <patternFill patternType="solid">
        <fgColor rgb="FF7F7F7F"/>
        <bgColor rgb="FF808080"/>
      </patternFill>
    </fill>
  </fills>
  <borders count="44">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theme="3" tint="0.39988402966399123"/>
      </left>
      <right style="thin">
        <color theme="3" tint="0.39988402966399123"/>
      </right>
      <top style="thin">
        <color theme="3" tint="0.39988402966399123"/>
      </top>
      <bottom style="thin">
        <color theme="3" tint="0.39988402966399123"/>
      </bottom>
      <diagonal/>
    </border>
    <border>
      <left style="thin">
        <color rgb="FF8497B0"/>
      </left>
      <right style="thin">
        <color rgb="FF8497B0"/>
      </right>
      <top style="medium">
        <color rgb="FF8497B0"/>
      </top>
      <bottom style="thin">
        <color rgb="FF8497B0"/>
      </bottom>
      <diagonal/>
    </border>
    <border>
      <left style="thin">
        <color rgb="FF8497B0"/>
      </left>
      <right style="thin">
        <color rgb="FF8497B0"/>
      </right>
      <top style="medium">
        <color rgb="FF8497B0"/>
      </top>
      <bottom style="thin">
        <color rgb="FF548DD4"/>
      </bottom>
      <diagonal/>
    </border>
    <border>
      <left style="medium">
        <color rgb="FF548DD4"/>
      </left>
      <right style="thin">
        <color rgb="FF548DD4"/>
      </right>
      <top style="thin">
        <color rgb="FF548DD4"/>
      </top>
      <bottom style="thin">
        <color rgb="FF548DD4"/>
      </bottom>
      <diagonal/>
    </border>
    <border>
      <left style="thin">
        <color rgb="FF548DD4"/>
      </left>
      <right style="thin">
        <color rgb="FF548DD4"/>
      </right>
      <top style="thin">
        <color rgb="FF548DD4"/>
      </top>
      <bottom style="thin">
        <color rgb="FF548DD4"/>
      </bottom>
      <diagonal/>
    </border>
    <border>
      <left style="thin">
        <color rgb="FF548DD4"/>
      </left>
      <right style="medium">
        <color rgb="FF548DD4"/>
      </right>
      <top style="thin">
        <color rgb="FF548DD4"/>
      </top>
      <bottom style="thin">
        <color rgb="FF548DD4"/>
      </bottom>
      <diagonal/>
    </border>
    <border>
      <left style="medium">
        <color rgb="FF8497B0"/>
      </left>
      <right style="thin">
        <color rgb="FF8497B0"/>
      </right>
      <top style="medium">
        <color rgb="FF8497B0"/>
      </top>
      <bottom style="thin">
        <color rgb="FF8497B0"/>
      </bottom>
      <diagonal/>
    </border>
    <border>
      <left/>
      <right style="thin">
        <color rgb="FF8497B0"/>
      </right>
      <top style="medium">
        <color rgb="FF8497B0"/>
      </top>
      <bottom style="thin">
        <color rgb="FF8497B0"/>
      </bottom>
      <diagonal/>
    </border>
    <border>
      <left style="thin">
        <color rgb="FF8497B0"/>
      </left>
      <right style="medium">
        <color rgb="FF8497B0"/>
      </right>
      <top style="medium">
        <color rgb="FF8497B0"/>
      </top>
      <bottom style="thin">
        <color rgb="FF8497B0"/>
      </bottom>
      <diagonal/>
    </border>
    <border>
      <left style="medium">
        <color rgb="FF8497B0"/>
      </left>
      <right style="thin">
        <color rgb="FF8497B0"/>
      </right>
      <top style="thin">
        <color rgb="FF8497B0"/>
      </top>
      <bottom style="thin">
        <color rgb="FF8497B0"/>
      </bottom>
      <diagonal/>
    </border>
    <border>
      <left style="thin">
        <color rgb="FF8497B0"/>
      </left>
      <right style="thin">
        <color rgb="FF8497B0"/>
      </right>
      <top style="thin">
        <color rgb="FF8497B0"/>
      </top>
      <bottom style="thin">
        <color rgb="FF8497B0"/>
      </bottom>
      <diagonal/>
    </border>
    <border>
      <left style="thin">
        <color rgb="FF8497B0"/>
      </left>
      <right style="medium">
        <color rgb="FF8497B0"/>
      </right>
      <top style="thin">
        <color rgb="FF8497B0"/>
      </top>
      <bottom style="thin">
        <color rgb="FF8497B0"/>
      </bottom>
      <diagonal/>
    </border>
    <border>
      <left style="thin">
        <color rgb="FF8497B0"/>
      </left>
      <right/>
      <top style="thin">
        <color rgb="FF8497B0"/>
      </top>
      <bottom/>
      <diagonal/>
    </border>
    <border>
      <left/>
      <right style="thin">
        <color rgb="FF8497B0"/>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right style="medium">
        <color rgb="FF8497B0"/>
      </right>
      <top style="thin">
        <color rgb="FF8497B0"/>
      </top>
      <bottom style="thin">
        <color rgb="FF8497B0"/>
      </bottom>
      <diagonal/>
    </border>
    <border>
      <left style="thin">
        <color rgb="FF8497B0"/>
      </left>
      <right style="thin">
        <color rgb="FF8497B0"/>
      </right>
      <top style="thin">
        <color rgb="FF8497B0"/>
      </top>
      <bottom style="thin">
        <color rgb="FF548DD4"/>
      </bottom>
      <diagonal/>
    </border>
    <border>
      <left style="medium">
        <color rgb="FF548DD4"/>
      </left>
      <right/>
      <top style="thin">
        <color rgb="FF548DD4"/>
      </top>
      <bottom style="thin">
        <color rgb="FF548DD4"/>
      </bottom>
      <diagonal/>
    </border>
    <border>
      <left/>
      <right/>
      <top style="thin">
        <color rgb="FF548DD4"/>
      </top>
      <bottom style="thin">
        <color rgb="FF548DD4"/>
      </bottom>
      <diagonal/>
    </border>
    <border>
      <left/>
      <right style="medium">
        <color rgb="FF8497B0"/>
      </right>
      <top style="thin">
        <color rgb="FF548DD4"/>
      </top>
      <bottom style="thin">
        <color rgb="FF548DD4"/>
      </bottom>
      <diagonal/>
    </border>
    <border>
      <left style="thin">
        <color rgb="FF8497B0"/>
      </left>
      <right/>
      <top style="thin">
        <color rgb="FF548DD4"/>
      </top>
      <bottom style="thin">
        <color rgb="FF8497B0"/>
      </bottom>
      <diagonal/>
    </border>
    <border>
      <left/>
      <right/>
      <top style="thin">
        <color rgb="FF548DD4"/>
      </top>
      <bottom style="thin">
        <color rgb="FF8497B0"/>
      </bottom>
      <diagonal/>
    </border>
    <border>
      <left/>
      <right style="medium">
        <color rgb="FF8497B0"/>
      </right>
      <top style="thin">
        <color rgb="FF548DD4"/>
      </top>
      <bottom style="thin">
        <color rgb="FF8497B0"/>
      </bottom>
      <diagonal/>
    </border>
    <border>
      <left style="thin">
        <color rgb="FF8497B0"/>
      </left>
      <right style="medium">
        <color rgb="FF8497B0"/>
      </right>
      <top style="thin">
        <color rgb="FF8497B0"/>
      </top>
      <bottom/>
      <diagonal/>
    </border>
    <border>
      <left style="thin">
        <color auto="1"/>
      </left>
      <right style="thin">
        <color auto="1"/>
      </right>
      <top style="thin">
        <color auto="1"/>
      </top>
      <bottom style="thin">
        <color auto="1"/>
      </bottom>
      <diagonal/>
    </border>
    <border>
      <left style="medium">
        <color rgb="FF8497B0"/>
      </left>
      <right/>
      <top style="thin">
        <color rgb="FF8497B0"/>
      </top>
      <bottom style="thin">
        <color rgb="FF8497B0"/>
      </bottom>
      <diagonal/>
    </border>
    <border>
      <left style="medium">
        <color rgb="FF8497B0"/>
      </left>
      <right/>
      <top style="thin">
        <color rgb="FF8497B0"/>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bottom/>
      <diagonal/>
    </border>
    <border>
      <left style="thin">
        <color rgb="FFBFBFBF"/>
      </left>
      <right style="thin">
        <color rgb="FFBFBFBF"/>
      </right>
      <top style="thin">
        <color rgb="FFBFBFBF"/>
      </top>
      <bottom style="thin">
        <color rgb="FFBFBFBF"/>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s>
  <cellStyleXfs count="10">
    <xf numFmtId="0" fontId="0" fillId="0" borderId="0"/>
    <xf numFmtId="0" fontId="22" fillId="0" borderId="0"/>
    <xf numFmtId="164" fontId="1" fillId="0" borderId="0"/>
    <xf numFmtId="164" fontId="1" fillId="0" borderId="0"/>
    <xf numFmtId="165" fontId="2" fillId="0" borderId="0"/>
    <xf numFmtId="164" fontId="2" fillId="0" borderId="0">
      <alignment vertical="center"/>
    </xf>
    <xf numFmtId="164" fontId="2" fillId="0" borderId="0"/>
    <xf numFmtId="164" fontId="3" fillId="0" borderId="0"/>
    <xf numFmtId="164" fontId="4" fillId="0" borderId="0"/>
    <xf numFmtId="0" fontId="34" fillId="0" borderId="0"/>
  </cellStyleXfs>
  <cellXfs count="153">
    <xf numFmtId="0" fontId="0" fillId="0" borderId="0" xfId="0"/>
    <xf numFmtId="165" fontId="31" fillId="2" borderId="19" xfId="6" applyNumberFormat="1" applyFont="1" applyFill="1" applyBorder="1" applyAlignment="1">
      <alignment horizontal="left" vertical="center" wrapText="1"/>
    </xf>
    <xf numFmtId="164" fontId="20" fillId="2" borderId="18" xfId="6" applyFont="1" applyFill="1" applyBorder="1" applyAlignment="1">
      <alignment horizontal="left" vertical="center" wrapText="1"/>
    </xf>
    <xf numFmtId="164" fontId="31" fillId="2" borderId="16" xfId="6" applyFont="1" applyFill="1" applyBorder="1" applyAlignment="1">
      <alignment horizontal="left" vertical="center" wrapText="1"/>
    </xf>
    <xf numFmtId="164" fontId="31" fillId="2" borderId="9" xfId="6" applyFont="1" applyFill="1" applyBorder="1" applyAlignment="1">
      <alignment horizontal="left" vertical="center" wrapText="1"/>
    </xf>
    <xf numFmtId="0" fontId="20" fillId="0" borderId="0" xfId="0" applyFont="1" applyAlignment="1">
      <alignment vertical="top" wrapText="1"/>
    </xf>
    <xf numFmtId="164" fontId="13" fillId="3" borderId="0" xfId="5" applyFont="1" applyFill="1" applyAlignment="1">
      <alignment horizontal="left" vertical="center" wrapText="1"/>
    </xf>
    <xf numFmtId="164" fontId="13" fillId="3" borderId="0" xfId="5" applyFont="1" applyFill="1" applyAlignment="1">
      <alignment horizontal="left" vertical="center"/>
    </xf>
    <xf numFmtId="164" fontId="12" fillId="3" borderId="3" xfId="5" applyFont="1" applyFill="1" applyBorder="1" applyAlignment="1">
      <alignment horizontal="center"/>
    </xf>
    <xf numFmtId="164" fontId="12" fillId="3" borderId="2" xfId="5" applyFont="1" applyFill="1" applyBorder="1" applyAlignment="1">
      <alignment horizontal="center" vertical="center" wrapText="1"/>
    </xf>
    <xf numFmtId="164" fontId="11" fillId="3" borderId="0" xfId="5" applyFont="1" applyFill="1" applyAlignment="1">
      <alignment horizontal="center" vertical="center" wrapText="1"/>
    </xf>
    <xf numFmtId="164" fontId="9" fillId="3" borderId="2" xfId="5" applyFont="1" applyFill="1" applyBorder="1" applyAlignment="1">
      <alignment horizontal="center" vertical="center" wrapText="1"/>
    </xf>
    <xf numFmtId="164" fontId="7" fillId="3" borderId="2" xfId="5" applyFont="1" applyFill="1" applyBorder="1" applyAlignment="1">
      <alignment horizontal="center"/>
    </xf>
    <xf numFmtId="164" fontId="7" fillId="3" borderId="1" xfId="5" applyFont="1" applyFill="1" applyBorder="1" applyAlignment="1">
      <alignment horizontal="center"/>
    </xf>
    <xf numFmtId="164" fontId="5" fillId="2" borderId="0" xfId="5" applyFont="1" applyFill="1">
      <alignment vertical="center"/>
    </xf>
    <xf numFmtId="164" fontId="6" fillId="2" borderId="0" xfId="7" applyFont="1" applyFill="1"/>
    <xf numFmtId="164" fontId="8" fillId="3" borderId="3" xfId="5" applyFont="1" applyFill="1" applyBorder="1" applyAlignment="1">
      <alignment shrinkToFit="1"/>
    </xf>
    <xf numFmtId="164" fontId="8" fillId="3" borderId="0" xfId="5" applyFont="1" applyFill="1" applyAlignment="1">
      <alignment shrinkToFit="1"/>
    </xf>
    <xf numFmtId="164" fontId="8" fillId="3" borderId="4" xfId="5" applyFont="1" applyFill="1" applyBorder="1" applyAlignment="1">
      <alignment shrinkToFit="1"/>
    </xf>
    <xf numFmtId="164" fontId="10" fillId="3" borderId="3" xfId="5" applyFont="1" applyFill="1" applyBorder="1" applyAlignment="1">
      <alignment horizontal="center" vertical="center" wrapText="1"/>
    </xf>
    <xf numFmtId="164" fontId="10" fillId="3" borderId="0" xfId="5" applyFont="1" applyFill="1" applyAlignment="1">
      <alignment horizontal="center" vertical="center" wrapText="1"/>
    </xf>
    <xf numFmtId="164" fontId="10" fillId="3" borderId="4" xfId="5" applyFont="1" applyFill="1" applyBorder="1" applyAlignment="1">
      <alignment horizontal="center" vertical="center" wrapText="1"/>
    </xf>
    <xf numFmtId="164" fontId="12" fillId="3" borderId="4" xfId="5" applyFont="1" applyFill="1" applyBorder="1" applyAlignment="1">
      <alignment horizontal="center"/>
    </xf>
    <xf numFmtId="164" fontId="12" fillId="3" borderId="3" xfId="5" applyFont="1" applyFill="1" applyBorder="1" applyAlignment="1">
      <alignment horizontal="left"/>
    </xf>
    <xf numFmtId="164" fontId="14" fillId="0" borderId="0" xfId="5" applyFont="1" applyAlignment="1">
      <alignment horizontal="left" vertical="center" wrapText="1"/>
    </xf>
    <xf numFmtId="164" fontId="13" fillId="3" borderId="0" xfId="5" applyFont="1" applyFill="1" applyAlignment="1">
      <alignment horizontal="left"/>
    </xf>
    <xf numFmtId="164" fontId="13" fillId="3" borderId="0" xfId="5" applyFont="1" applyFill="1" applyAlignment="1">
      <alignment horizontal="left" vertical="center" wrapText="1"/>
    </xf>
    <xf numFmtId="164" fontId="12" fillId="3" borderId="0" xfId="5" applyFont="1" applyFill="1" applyAlignment="1">
      <alignment horizontal="left"/>
    </xf>
    <xf numFmtId="164" fontId="12" fillId="3" borderId="4" xfId="5" applyFont="1" applyFill="1" applyBorder="1" applyAlignment="1">
      <alignment horizontal="left"/>
    </xf>
    <xf numFmtId="164" fontId="12" fillId="3" borderId="3" xfId="5" applyFont="1" applyFill="1" applyBorder="1" applyAlignment="1">
      <alignment horizontal="left" vertical="center" wrapText="1"/>
    </xf>
    <xf numFmtId="164" fontId="15" fillId="3" borderId="0" xfId="5" applyFont="1" applyFill="1" applyAlignment="1">
      <alignment horizontal="left" vertical="center" wrapText="1"/>
    </xf>
    <xf numFmtId="164" fontId="16" fillId="3" borderId="0" xfId="5" applyFont="1" applyFill="1" applyAlignment="1">
      <alignment horizontal="left" vertical="center" wrapText="1"/>
    </xf>
    <xf numFmtId="164" fontId="16" fillId="3" borderId="4" xfId="5" applyFont="1" applyFill="1" applyBorder="1" applyAlignment="1">
      <alignment horizontal="left" vertical="center" wrapText="1"/>
    </xf>
    <xf numFmtId="166" fontId="14" fillId="0" borderId="0" xfId="5" applyNumberFormat="1" applyFont="1" applyAlignment="1">
      <alignment horizontal="left" vertical="center" wrapText="1"/>
    </xf>
    <xf numFmtId="164" fontId="17" fillId="3" borderId="3" xfId="5" applyFont="1" applyFill="1" applyBorder="1" applyAlignment="1"/>
    <xf numFmtId="164" fontId="17" fillId="3" borderId="0" xfId="5" applyFont="1" applyFill="1" applyAlignment="1"/>
    <xf numFmtId="164" fontId="17" fillId="3" borderId="0" xfId="5" applyFont="1" applyFill="1">
      <alignment vertical="center"/>
    </xf>
    <xf numFmtId="164" fontId="17" fillId="3" borderId="4" xfId="5" applyFont="1" applyFill="1" applyBorder="1">
      <alignment vertical="center"/>
    </xf>
    <xf numFmtId="164" fontId="17" fillId="3" borderId="3" xfId="5" applyFont="1" applyFill="1" applyBorder="1">
      <alignment vertical="center"/>
    </xf>
    <xf numFmtId="164" fontId="17" fillId="3" borderId="5" xfId="5" applyFont="1" applyFill="1" applyBorder="1">
      <alignment vertical="center"/>
    </xf>
    <xf numFmtId="164" fontId="17" fillId="3" borderId="6" xfId="5" applyFont="1" applyFill="1" applyBorder="1">
      <alignment vertical="center"/>
    </xf>
    <xf numFmtId="164" fontId="17" fillId="3" borderId="7" xfId="5" applyFont="1" applyFill="1" applyBorder="1">
      <alignment vertical="center"/>
    </xf>
    <xf numFmtId="164" fontId="3" fillId="2" borderId="0" xfId="2" applyFont="1" applyFill="1"/>
    <xf numFmtId="164" fontId="18" fillId="2" borderId="0" xfId="2" applyFont="1" applyFill="1" applyAlignment="1">
      <alignment vertical="center"/>
    </xf>
    <xf numFmtId="164" fontId="19" fillId="2" borderId="0" xfId="2" applyFont="1" applyFill="1"/>
    <xf numFmtId="167" fontId="20" fillId="4" borderId="8" xfId="6" applyNumberFormat="1" applyFont="1" applyFill="1" applyBorder="1" applyAlignment="1">
      <alignment horizontal="center" vertical="center" wrapText="1"/>
    </xf>
    <xf numFmtId="167" fontId="20" fillId="4" borderId="8" xfId="6" applyNumberFormat="1" applyFont="1" applyFill="1" applyBorder="1" applyAlignment="1">
      <alignment vertical="top" wrapText="1"/>
    </xf>
    <xf numFmtId="0" fontId="0" fillId="4" borderId="8" xfId="0" applyFill="1" applyBorder="1" applyAlignment="1">
      <alignment horizontal="center"/>
    </xf>
    <xf numFmtId="167" fontId="20" fillId="2" borderId="8" xfId="2" applyNumberFormat="1" applyFont="1" applyFill="1" applyBorder="1" applyAlignment="1">
      <alignment horizontal="center" vertical="center" wrapText="1"/>
    </xf>
    <xf numFmtId="0" fontId="21" fillId="2" borderId="8" xfId="1" applyFont="1" applyFill="1" applyBorder="1" applyAlignment="1">
      <alignment vertical="top" wrapText="1"/>
    </xf>
    <xf numFmtId="167" fontId="20" fillId="0" borderId="8" xfId="2" applyNumberFormat="1" applyFont="1" applyBorder="1" applyAlignment="1">
      <alignment vertical="top" wrapText="1"/>
    </xf>
    <xf numFmtId="0" fontId="21" fillId="0" borderId="8" xfId="1" applyFont="1" applyBorder="1"/>
    <xf numFmtId="0" fontId="21" fillId="0" borderId="8" xfId="1" applyFont="1" applyBorder="1" applyAlignment="1">
      <alignment vertical="center"/>
    </xf>
    <xf numFmtId="0" fontId="0" fillId="0" borderId="0" xfId="0" applyAlignment="1">
      <alignment vertical="center"/>
    </xf>
    <xf numFmtId="167" fontId="3" fillId="2" borderId="0" xfId="2" applyNumberFormat="1" applyFont="1" applyFill="1" applyAlignment="1">
      <alignment vertical="center"/>
    </xf>
    <xf numFmtId="167" fontId="3" fillId="2" borderId="8" xfId="2" applyNumberFormat="1" applyFont="1" applyFill="1" applyBorder="1" applyAlignment="1">
      <alignment horizontal="center" vertical="center" wrapText="1"/>
    </xf>
    <xf numFmtId="0" fontId="22" fillId="0" borderId="8" xfId="1" applyBorder="1"/>
    <xf numFmtId="167" fontId="3" fillId="0" borderId="8" xfId="2" applyNumberFormat="1" applyFont="1" applyBorder="1" applyAlignment="1">
      <alignment horizontal="left" vertical="center" wrapText="1"/>
    </xf>
    <xf numFmtId="167" fontId="23" fillId="2" borderId="0" xfId="2" applyNumberFormat="1" applyFont="1" applyFill="1" applyAlignment="1">
      <alignment horizontal="left" vertical="center" wrapText="1"/>
    </xf>
    <xf numFmtId="167" fontId="24" fillId="2" borderId="0" xfId="2" applyNumberFormat="1" applyFont="1" applyFill="1"/>
    <xf numFmtId="167" fontId="25" fillId="4" borderId="9" xfId="6" applyNumberFormat="1" applyFont="1" applyFill="1" applyBorder="1" applyAlignment="1">
      <alignment horizontal="center" vertical="center" wrapText="1"/>
    </xf>
    <xf numFmtId="167" fontId="25" fillId="4" borderId="10" xfId="6" applyNumberFormat="1" applyFont="1" applyFill="1" applyBorder="1" applyAlignment="1">
      <alignment horizontal="center" vertical="center" wrapText="1"/>
    </xf>
    <xf numFmtId="0" fontId="25" fillId="0" borderId="0" xfId="0" applyFont="1"/>
    <xf numFmtId="167" fontId="26" fillId="4" borderId="9" xfId="6" applyNumberFormat="1" applyFont="1" applyFill="1" applyBorder="1" applyAlignment="1">
      <alignment horizontal="center" vertical="center" wrapText="1"/>
    </xf>
    <xf numFmtId="0" fontId="20" fillId="2" borderId="11" xfId="1" applyFont="1" applyFill="1" applyBorder="1" applyAlignment="1">
      <alignment horizontal="center" vertical="center" wrapText="1"/>
    </xf>
    <xf numFmtId="0" fontId="20" fillId="2" borderId="12" xfId="1" applyFont="1" applyFill="1" applyBorder="1" applyAlignment="1">
      <alignment horizontal="center" vertical="center" wrapText="1"/>
    </xf>
    <xf numFmtId="167" fontId="20" fillId="0" borderId="12" xfId="2" applyNumberFormat="1" applyFont="1" applyBorder="1" applyAlignment="1">
      <alignment vertical="top" wrapText="1"/>
    </xf>
    <xf numFmtId="0" fontId="20" fillId="0" borderId="0" xfId="0" applyFont="1"/>
    <xf numFmtId="0" fontId="3" fillId="2" borderId="12" xfId="1" applyFont="1" applyFill="1" applyBorder="1" applyAlignment="1">
      <alignment horizontal="center" vertical="center" wrapText="1"/>
    </xf>
    <xf numFmtId="0" fontId="3" fillId="2" borderId="13" xfId="1" applyFont="1" applyFill="1" applyBorder="1" applyAlignment="1">
      <alignment horizontal="center" vertical="center" wrapText="1"/>
    </xf>
    <xf numFmtId="0" fontId="20" fillId="0" borderId="0" xfId="0" applyFont="1" applyAlignment="1">
      <alignment vertical="top" wrapText="1"/>
    </xf>
    <xf numFmtId="0" fontId="23" fillId="0" borderId="0" xfId="0" applyFont="1"/>
    <xf numFmtId="165" fontId="28" fillId="2" borderId="0" xfId="4" applyFont="1" applyFill="1" applyAlignment="1">
      <alignment vertical="center"/>
    </xf>
    <xf numFmtId="165" fontId="3" fillId="2" borderId="0" xfId="4" applyFont="1" applyFill="1" applyAlignment="1">
      <alignment vertical="center"/>
    </xf>
    <xf numFmtId="168" fontId="3" fillId="2" borderId="0" xfId="4" applyNumberFormat="1" applyFont="1" applyFill="1" applyAlignment="1">
      <alignment vertical="center"/>
    </xf>
    <xf numFmtId="0" fontId="6" fillId="2" borderId="0" xfId="0" applyFont="1" applyFill="1" applyAlignment="1">
      <alignment vertical="center"/>
    </xf>
    <xf numFmtId="0" fontId="29" fillId="2" borderId="0" xfId="0" applyFont="1" applyFill="1" applyAlignment="1">
      <alignment vertical="center"/>
    </xf>
    <xf numFmtId="164" fontId="30" fillId="5" borderId="14" xfId="6" applyFont="1" applyFill="1" applyBorder="1" applyAlignment="1">
      <alignment horizontal="left" vertical="center" wrapText="1"/>
    </xf>
    <xf numFmtId="164" fontId="30" fillId="5" borderId="15" xfId="6" applyFont="1" applyFill="1" applyBorder="1" applyAlignment="1">
      <alignment horizontal="left" vertical="center" wrapText="1"/>
    </xf>
    <xf numFmtId="164" fontId="30" fillId="5" borderId="17" xfId="6" applyFont="1" applyFill="1" applyBorder="1" applyAlignment="1">
      <alignment vertical="center" wrapText="1"/>
    </xf>
    <xf numFmtId="164" fontId="30" fillId="5" borderId="18" xfId="6" applyFont="1" applyFill="1" applyBorder="1" applyAlignment="1">
      <alignment vertical="center" wrapText="1"/>
    </xf>
    <xf numFmtId="164" fontId="32" fillId="2" borderId="20" xfId="6" applyFont="1" applyFill="1" applyBorder="1" applyAlignment="1">
      <alignment horizontal="left" vertical="center" wrapText="1"/>
    </xf>
    <xf numFmtId="164" fontId="32" fillId="2" borderId="21" xfId="6" applyFont="1" applyFill="1" applyBorder="1" applyAlignment="1">
      <alignment horizontal="left" vertical="center" wrapText="1"/>
    </xf>
    <xf numFmtId="165" fontId="31" fillId="2" borderId="22" xfId="6" applyNumberFormat="1" applyFont="1" applyFill="1" applyBorder="1" applyAlignment="1">
      <alignment horizontal="left" vertical="center" wrapText="1"/>
    </xf>
    <xf numFmtId="165" fontId="31" fillId="2" borderId="23" xfId="6" applyNumberFormat="1" applyFont="1" applyFill="1" applyBorder="1" applyAlignment="1">
      <alignment horizontal="left" vertical="center" wrapText="1"/>
    </xf>
    <xf numFmtId="165" fontId="31" fillId="2" borderId="24" xfId="6" applyNumberFormat="1" applyFont="1" applyFill="1" applyBorder="1" applyAlignment="1">
      <alignment horizontal="left" vertical="center" wrapText="1"/>
    </xf>
    <xf numFmtId="164" fontId="33" fillId="6" borderId="27" xfId="9" applyNumberFormat="1" applyFont="1" applyFill="1" applyBorder="1" applyAlignment="1">
      <alignment horizontal="center" vertical="center" wrapText="1"/>
    </xf>
    <xf numFmtId="164" fontId="33" fillId="6" borderId="28" xfId="9" applyNumberFormat="1" applyFont="1" applyFill="1" applyBorder="1" applyAlignment="1">
      <alignment horizontal="center" vertical="center" wrapText="1"/>
    </xf>
    <xf numFmtId="0" fontId="35" fillId="7" borderId="17" xfId="0" applyFont="1" applyFill="1" applyBorder="1" applyAlignment="1">
      <alignment horizontal="left" vertical="center"/>
    </xf>
    <xf numFmtId="0" fontId="31" fillId="2" borderId="29" xfId="0" applyFont="1" applyFill="1" applyBorder="1" applyAlignment="1">
      <alignment horizontal="left" vertical="center"/>
    </xf>
    <xf numFmtId="0" fontId="31" fillId="2" borderId="30" xfId="0" applyFont="1" applyFill="1" applyBorder="1" applyAlignment="1">
      <alignment horizontal="left" vertical="center"/>
    </xf>
    <xf numFmtId="0" fontId="31" fillId="2" borderId="31" xfId="0" applyFont="1" applyFill="1" applyBorder="1" applyAlignment="1">
      <alignment horizontal="left" vertical="center"/>
    </xf>
    <xf numFmtId="0" fontId="35" fillId="7" borderId="17" xfId="0" applyFont="1" applyFill="1" applyBorder="1" applyAlignment="1">
      <alignment vertical="center"/>
    </xf>
    <xf numFmtId="165" fontId="31" fillId="2" borderId="22" xfId="0" applyNumberFormat="1" applyFont="1" applyFill="1" applyBorder="1" applyAlignment="1">
      <alignment horizontal="left" vertical="center"/>
    </xf>
    <xf numFmtId="165" fontId="31" fillId="2" borderId="23" xfId="0" applyNumberFormat="1" applyFont="1" applyFill="1" applyBorder="1" applyAlignment="1">
      <alignment horizontal="left" vertical="center"/>
    </xf>
    <xf numFmtId="165" fontId="31" fillId="2" borderId="24" xfId="0" applyNumberFormat="1" applyFont="1" applyFill="1" applyBorder="1" applyAlignment="1">
      <alignment horizontal="left" vertical="center"/>
    </xf>
    <xf numFmtId="0" fontId="36" fillId="7" borderId="32" xfId="0" applyFont="1" applyFill="1" applyBorder="1" applyAlignment="1">
      <alignment horizontal="center" vertical="center" wrapText="1"/>
    </xf>
    <xf numFmtId="0" fontId="35" fillId="7" borderId="32" xfId="0" applyFont="1" applyFill="1" applyBorder="1" applyAlignment="1">
      <alignment horizontal="center" vertical="center" wrapText="1"/>
    </xf>
    <xf numFmtId="1" fontId="37" fillId="8" borderId="33" xfId="0" applyNumberFormat="1" applyFont="1" applyFill="1" applyBorder="1" applyAlignment="1">
      <alignment horizontal="center" vertical="center"/>
    </xf>
    <xf numFmtId="1" fontId="37" fillId="8" borderId="33" xfId="0" applyNumberFormat="1" applyFont="1" applyFill="1" applyBorder="1" applyAlignment="1">
      <alignment vertical="center"/>
    </xf>
    <xf numFmtId="0" fontId="24" fillId="7" borderId="34" xfId="0" applyFont="1" applyFill="1" applyBorder="1" applyAlignment="1">
      <alignment horizontal="right" vertical="center"/>
    </xf>
    <xf numFmtId="1" fontId="37" fillId="2" borderId="33" xfId="0" applyNumberFormat="1" applyFont="1" applyFill="1" applyBorder="1" applyAlignment="1">
      <alignment horizontal="center" vertical="center"/>
    </xf>
    <xf numFmtId="1" fontId="37" fillId="2" borderId="33" xfId="0" applyNumberFormat="1" applyFont="1" applyFill="1" applyBorder="1" applyAlignment="1">
      <alignment vertical="center"/>
    </xf>
    <xf numFmtId="0" fontId="24" fillId="7" borderId="35" xfId="0" applyFont="1" applyFill="1" applyBorder="1" applyAlignment="1">
      <alignment horizontal="right" vertical="center"/>
    </xf>
    <xf numFmtId="164" fontId="30" fillId="5" borderId="35" xfId="6" applyFont="1" applyFill="1" applyBorder="1" applyAlignment="1">
      <alignment horizontal="left" vertical="center" wrapText="1"/>
    </xf>
    <xf numFmtId="0" fontId="38" fillId="7" borderId="35" xfId="0" applyFont="1" applyFill="1" applyBorder="1" applyAlignment="1">
      <alignment horizontal="left" vertical="center"/>
    </xf>
    <xf numFmtId="0" fontId="37" fillId="2" borderId="33" xfId="0" applyFont="1" applyFill="1" applyBorder="1" applyAlignment="1">
      <alignment horizontal="center" vertical="center"/>
    </xf>
    <xf numFmtId="0" fontId="37" fillId="2" borderId="33" xfId="0" applyFont="1" applyFill="1" applyBorder="1" applyAlignment="1">
      <alignment horizontal="center" vertical="center" wrapText="1"/>
    </xf>
    <xf numFmtId="0" fontId="37" fillId="2" borderId="33" xfId="0" applyFont="1" applyFill="1" applyBorder="1" applyAlignment="1">
      <alignment vertical="center"/>
    </xf>
    <xf numFmtId="10" fontId="37" fillId="2" borderId="33" xfId="0" applyNumberFormat="1" applyFont="1" applyFill="1" applyBorder="1" applyAlignment="1">
      <alignment vertical="center"/>
    </xf>
    <xf numFmtId="0" fontId="38" fillId="0" borderId="33" xfId="0" applyFont="1" applyBorder="1" applyAlignment="1">
      <alignment horizontal="left" vertical="center"/>
    </xf>
    <xf numFmtId="0" fontId="0" fillId="0" borderId="0" xfId="0" applyAlignment="1">
      <alignment horizontal="center"/>
    </xf>
    <xf numFmtId="0" fontId="0" fillId="0" borderId="0" xfId="0" applyAlignment="1">
      <alignment vertical="top"/>
    </xf>
    <xf numFmtId="164" fontId="39" fillId="0" borderId="36" xfId="0" applyNumberFormat="1" applyFont="1" applyBorder="1" applyAlignment="1">
      <alignment horizontal="left" vertical="center" wrapText="1"/>
    </xf>
    <xf numFmtId="164" fontId="39" fillId="0" borderId="33" xfId="0" applyNumberFormat="1" applyFont="1" applyBorder="1" applyAlignment="1">
      <alignment horizontal="left" vertical="center" wrapText="1"/>
    </xf>
    <xf numFmtId="0" fontId="1" fillId="0" borderId="0" xfId="0" applyFont="1"/>
    <xf numFmtId="164" fontId="40" fillId="9" borderId="37" xfId="8" applyFont="1" applyFill="1" applyBorder="1" applyAlignment="1">
      <alignment horizontal="left" vertical="center" wrapText="1"/>
    </xf>
    <xf numFmtId="169" fontId="41" fillId="9" borderId="37" xfId="8" applyNumberFormat="1" applyFont="1" applyFill="1" applyBorder="1" applyAlignment="1">
      <alignment horizontal="center" vertical="center" wrapText="1"/>
    </xf>
    <xf numFmtId="0" fontId="1" fillId="9" borderId="0" xfId="0" applyFont="1" applyFill="1"/>
    <xf numFmtId="164" fontId="42" fillId="5" borderId="36" xfId="6" applyFont="1" applyFill="1" applyBorder="1" applyAlignment="1">
      <alignment horizontal="center" vertical="top" wrapText="1"/>
    </xf>
    <xf numFmtId="169" fontId="40" fillId="7" borderId="36" xfId="6" applyNumberFormat="1" applyFont="1" applyFill="1" applyBorder="1" applyAlignment="1">
      <alignment horizontal="center" vertical="center" wrapText="1"/>
    </xf>
    <xf numFmtId="0" fontId="40" fillId="7" borderId="36" xfId="0" applyFont="1" applyFill="1" applyBorder="1" applyAlignment="1">
      <alignment wrapText="1"/>
    </xf>
    <xf numFmtId="0" fontId="42" fillId="5" borderId="36" xfId="0" applyFont="1" applyFill="1" applyBorder="1" applyAlignment="1">
      <alignment horizontal="left" vertical="top" wrapText="1"/>
    </xf>
    <xf numFmtId="1" fontId="43" fillId="10" borderId="36" xfId="0" applyNumberFormat="1" applyFont="1" applyFill="1" applyBorder="1" applyAlignment="1">
      <alignment horizontal="center" vertical="center" wrapText="1"/>
    </xf>
    <xf numFmtId="164" fontId="40" fillId="5" borderId="36" xfId="8" applyFont="1" applyFill="1" applyBorder="1" applyAlignment="1">
      <alignment horizontal="left" vertical="center" wrapText="1"/>
    </xf>
    <xf numFmtId="169" fontId="41" fillId="0" borderId="36" xfId="8" applyNumberFormat="1" applyFont="1" applyBorder="1" applyAlignment="1">
      <alignment horizontal="center" vertical="center" wrapText="1"/>
    </xf>
    <xf numFmtId="0" fontId="26" fillId="11" borderId="33" xfId="0" applyFont="1" applyFill="1" applyBorder="1" applyAlignment="1">
      <alignment horizontal="center" vertical="center" wrapText="1"/>
    </xf>
    <xf numFmtId="0" fontId="0" fillId="0" borderId="0" xfId="0" applyAlignment="1">
      <alignment horizontal="center" vertical="center"/>
    </xf>
    <xf numFmtId="0" fontId="44" fillId="12" borderId="38" xfId="0" applyFont="1" applyFill="1" applyBorder="1" applyAlignment="1">
      <alignment vertical="top" wrapText="1"/>
    </xf>
    <xf numFmtId="0" fontId="20" fillId="2" borderId="38" xfId="0" applyFont="1" applyFill="1" applyBorder="1" applyAlignment="1">
      <alignment horizontal="center" vertical="top" wrapText="1"/>
    </xf>
    <xf numFmtId="0" fontId="20" fillId="2" borderId="38" xfId="0" applyFont="1" applyFill="1" applyBorder="1" applyAlignment="1">
      <alignment vertical="top" wrapText="1"/>
    </xf>
    <xf numFmtId="0" fontId="45" fillId="0" borderId="41" xfId="0" applyFont="1" applyBorder="1" applyAlignment="1">
      <alignment horizontal="center" vertical="center" wrapText="1"/>
    </xf>
    <xf numFmtId="0" fontId="46" fillId="0" borderId="42" xfId="0" applyFont="1" applyBorder="1" applyAlignment="1">
      <alignment horizontal="center" vertical="center" wrapText="1"/>
    </xf>
    <xf numFmtId="0" fontId="47" fillId="0" borderId="33" xfId="0" applyFont="1" applyBorder="1" applyAlignment="1">
      <alignment horizontal="center" vertical="center"/>
    </xf>
    <xf numFmtId="0" fontId="47" fillId="0" borderId="33" xfId="0" applyFont="1" applyBorder="1" applyAlignment="1">
      <alignment horizontal="left" vertical="center" wrapText="1"/>
    </xf>
    <xf numFmtId="0" fontId="47" fillId="0" borderId="0" xfId="0" applyFont="1" applyAlignment="1">
      <alignment horizontal="center" vertical="center"/>
    </xf>
    <xf numFmtId="0" fontId="47" fillId="0" borderId="0" xfId="0" applyFont="1"/>
    <xf numFmtId="0" fontId="47" fillId="0" borderId="41" xfId="0" applyFont="1" applyBorder="1" applyAlignment="1">
      <alignment horizontal="center" vertical="center"/>
    </xf>
    <xf numFmtId="0" fontId="47" fillId="0" borderId="41" xfId="0" applyFont="1" applyBorder="1" applyAlignment="1">
      <alignment horizontal="left" vertical="center" wrapText="1"/>
    </xf>
    <xf numFmtId="164" fontId="40" fillId="5" borderId="37" xfId="8" applyFont="1" applyFill="1" applyBorder="1" applyAlignment="1">
      <alignment horizontal="left" vertical="center" wrapText="1"/>
    </xf>
    <xf numFmtId="0" fontId="47" fillId="14" borderId="41" xfId="0" applyFont="1" applyFill="1" applyBorder="1" applyAlignment="1">
      <alignment horizontal="center" vertical="center"/>
    </xf>
    <xf numFmtId="0" fontId="47" fillId="15" borderId="41" xfId="0" applyFont="1" applyFill="1" applyBorder="1" applyAlignment="1">
      <alignment horizontal="center" vertical="center"/>
    </xf>
    <xf numFmtId="0" fontId="47" fillId="16" borderId="41" xfId="0" applyFont="1" applyFill="1" applyBorder="1" applyAlignment="1">
      <alignment horizontal="center" vertical="center"/>
    </xf>
    <xf numFmtId="0" fontId="47" fillId="0" borderId="43" xfId="0" applyFont="1" applyBorder="1" applyAlignment="1">
      <alignment horizontal="left" vertical="center" wrapText="1"/>
    </xf>
    <xf numFmtId="0" fontId="47" fillId="18" borderId="41" xfId="0" applyFont="1" applyFill="1" applyBorder="1" applyAlignment="1">
      <alignment horizontal="center" vertical="center"/>
    </xf>
    <xf numFmtId="164" fontId="32" fillId="2" borderId="18" xfId="6" applyFont="1" applyFill="1" applyBorder="1" applyAlignment="1">
      <alignment horizontal="left" vertical="center" wrapText="1"/>
    </xf>
    <xf numFmtId="164" fontId="32" fillId="2" borderId="19" xfId="6" applyFont="1" applyFill="1" applyBorder="1" applyAlignment="1">
      <alignment horizontal="left" vertical="center" wrapText="1"/>
    </xf>
    <xf numFmtId="165" fontId="32" fillId="2" borderId="25" xfId="6" applyNumberFormat="1" applyFont="1" applyFill="1" applyBorder="1" applyAlignment="1">
      <alignment horizontal="left" vertical="center" wrapText="1"/>
    </xf>
    <xf numFmtId="164" fontId="33" fillId="6" borderId="26" xfId="9" applyNumberFormat="1" applyFont="1" applyFill="1" applyBorder="1" applyAlignment="1">
      <alignment horizontal="left" vertical="center" wrapText="1"/>
    </xf>
    <xf numFmtId="164" fontId="30" fillId="5" borderId="17" xfId="6" applyFont="1" applyFill="1" applyBorder="1" applyAlignment="1">
      <alignment horizontal="left" vertical="center" wrapText="1"/>
    </xf>
    <xf numFmtId="0" fontId="45" fillId="13" borderId="39" xfId="0" applyFont="1" applyFill="1" applyBorder="1" applyAlignment="1">
      <alignment horizontal="center" vertical="center" wrapText="1"/>
    </xf>
    <xf numFmtId="0" fontId="46" fillId="13" borderId="40" xfId="0" applyFont="1" applyFill="1" applyBorder="1" applyAlignment="1">
      <alignment horizontal="center" vertical="center" wrapText="1"/>
    </xf>
    <xf numFmtId="0" fontId="47" fillId="17" borderId="41" xfId="0" applyFont="1" applyFill="1" applyBorder="1" applyAlignment="1">
      <alignment horizontal="center" vertical="center"/>
    </xf>
  </cellXfs>
  <cellStyles count="10">
    <cellStyle name="Excel Built-in RowLevel_0" xfId="9" xr:uid="{00000000-0005-0000-0000-00000E000000}"/>
    <cellStyle name="Hyperlink" xfId="1" builtinId="8"/>
    <cellStyle name="Normal" xfId="0" builtinId="0"/>
    <cellStyle name="Normal 2" xfId="2" xr:uid="{00000000-0005-0000-0000-000006000000}"/>
    <cellStyle name="Normal 6" xfId="3" xr:uid="{00000000-0005-0000-0000-000007000000}"/>
    <cellStyle name="Normal_Functional Test Case v1.0" xfId="4" xr:uid="{00000000-0005-0000-0000-000008000000}"/>
    <cellStyle name="Normal_PBP_Application_TC v1.0" xfId="5" xr:uid="{00000000-0005-0000-0000-000009000000}"/>
    <cellStyle name="Normal_Sheet1" xfId="6" xr:uid="{00000000-0005-0000-0000-00000A000000}"/>
    <cellStyle name="Normal_Sheet1_BlueSword-3_Browser_Func_TC_v1.0 )" xfId="7" xr:uid="{00000000-0005-0000-0000-00000B000000}"/>
    <cellStyle name="標準_打刻ﾃﾞｰﾀ収集" xfId="8" xr:uid="{00000000-0005-0000-0000-00000C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B4C7E7"/>
      <rgbColor rgb="FF7030A0"/>
      <rgbColor rgb="FFFFF2CC"/>
      <rgbColor rgb="FFD9E8D3"/>
      <rgbColor rgb="FF660066"/>
      <rgbColor rgb="FFFF8080"/>
      <rgbColor rgb="FF2F5597"/>
      <rgbColor rgb="FFBDD7EE"/>
      <rgbColor rgb="FF000080"/>
      <rgbColor rgb="FFFF00FF"/>
      <rgbColor rgb="FFFFFF00"/>
      <rgbColor rgb="FF00FFFF"/>
      <rgbColor rgb="FF800080"/>
      <rgbColor rgb="FF800000"/>
      <rgbColor rgb="FF008080"/>
      <rgbColor rgb="FF0000FF"/>
      <rgbColor rgb="FF00B0F0"/>
      <rgbColor rgb="FFCCFFFF"/>
      <rgbColor rgb="FFCCFFCC"/>
      <rgbColor rgb="FFFDE9D9"/>
      <rgbColor rgb="FFA7D6E3"/>
      <rgbColor rgb="FFFAC090"/>
      <rgbColor rgb="FFCCC1DA"/>
      <rgbColor rgb="FFF8CBAD"/>
      <rgbColor rgb="FF4F81BD"/>
      <rgbColor rgb="FF558ED5"/>
      <rgbColor rgb="FF92D050"/>
      <rgbColor rgb="FFFFC000"/>
      <rgbColor rgb="FFFF9900"/>
      <rgbColor rgb="FFFF6600"/>
      <rgbColor rgb="FF7F7F7F"/>
      <rgbColor rgb="FF8497B0"/>
      <rgbColor rgb="FF1F497D"/>
      <rgbColor rgb="FF548DD4"/>
      <rgbColor rgb="FF003300"/>
      <rgbColor rgb="FF333300"/>
      <rgbColor rgb="FF993300"/>
      <rgbColor rgb="FF993366"/>
      <rgbColor rgb="FF333399"/>
      <rgbColor rgb="FF44546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9"/>
  <sheetViews>
    <sheetView zoomScaleNormal="100" workbookViewId="0">
      <selection activeCell="E15" sqref="E15"/>
    </sheetView>
  </sheetViews>
  <sheetFormatPr defaultColWidth="9.140625" defaultRowHeight="14.25"/>
  <cols>
    <col min="1" max="1" width="9.140625" style="14"/>
    <col min="2" max="2" width="5.7109375" style="14" customWidth="1"/>
    <col min="3" max="4" width="9.140625" style="14"/>
    <col min="5" max="5" width="45.42578125" style="14" customWidth="1"/>
    <col min="6" max="6" width="9.140625" style="14"/>
    <col min="7" max="7" width="16.5703125" style="14" customWidth="1"/>
    <col min="8" max="8" width="31.7109375" style="14" customWidth="1"/>
    <col min="9" max="1024" width="9.140625" style="14"/>
  </cols>
  <sheetData>
    <row r="1" spans="1:10" ht="15" customHeight="1">
      <c r="A1" s="15"/>
      <c r="B1" s="15"/>
      <c r="C1" s="15"/>
      <c r="D1" s="15"/>
      <c r="E1" s="15"/>
      <c r="F1" s="15"/>
      <c r="G1" s="15"/>
      <c r="H1" s="15"/>
      <c r="I1" s="15"/>
      <c r="J1" s="15"/>
    </row>
    <row r="2" spans="1:10" s="14" customFormat="1" ht="13.5" customHeight="1">
      <c r="A2" s="15"/>
      <c r="B2" s="13"/>
      <c r="C2" s="13"/>
      <c r="D2" s="13"/>
      <c r="E2" s="13"/>
      <c r="F2" s="13"/>
      <c r="G2" s="13"/>
      <c r="H2" s="13"/>
      <c r="I2" s="13"/>
      <c r="J2" s="13"/>
    </row>
    <row r="3" spans="1:10" s="14" customFormat="1" ht="13.5" customHeight="1">
      <c r="A3" s="15"/>
      <c r="B3" s="12"/>
      <c r="C3" s="12"/>
      <c r="D3" s="12"/>
      <c r="E3" s="12"/>
      <c r="F3" s="12"/>
      <c r="G3" s="12"/>
      <c r="H3" s="12"/>
      <c r="I3" s="12"/>
      <c r="J3" s="12"/>
    </row>
    <row r="4" spans="1:10" s="14" customFormat="1" ht="13.5" customHeight="1">
      <c r="A4" s="15"/>
      <c r="B4" s="16"/>
      <c r="C4" s="17"/>
      <c r="D4" s="17"/>
      <c r="E4" s="17"/>
      <c r="F4" s="17"/>
      <c r="G4" s="17"/>
      <c r="H4" s="17"/>
      <c r="I4" s="17"/>
      <c r="J4" s="18"/>
    </row>
    <row r="5" spans="1:10" s="14" customFormat="1" ht="13.5" customHeight="1">
      <c r="A5" s="15"/>
      <c r="B5" s="16"/>
      <c r="C5" s="17"/>
      <c r="D5" s="17"/>
      <c r="E5" s="17"/>
      <c r="F5" s="17"/>
      <c r="G5" s="17"/>
      <c r="H5" s="17"/>
      <c r="I5" s="17"/>
      <c r="J5" s="18"/>
    </row>
    <row r="6" spans="1:10" s="14" customFormat="1" ht="13.5" customHeight="1">
      <c r="A6" s="15"/>
      <c r="B6" s="11"/>
      <c r="C6" s="11"/>
      <c r="D6" s="11"/>
      <c r="E6" s="11"/>
      <c r="F6" s="11"/>
      <c r="G6" s="11"/>
      <c r="H6" s="11"/>
      <c r="I6" s="11"/>
      <c r="J6" s="11"/>
    </row>
    <row r="7" spans="1:10" s="14" customFormat="1" ht="13.5" customHeight="1">
      <c r="A7" s="15"/>
      <c r="B7" s="11"/>
      <c r="C7" s="11"/>
      <c r="D7" s="11"/>
      <c r="E7" s="11"/>
      <c r="F7" s="11"/>
      <c r="G7" s="11"/>
      <c r="H7" s="11"/>
      <c r="I7" s="11"/>
      <c r="J7" s="11"/>
    </row>
    <row r="8" spans="1:10" s="14" customFormat="1" ht="45" customHeight="1">
      <c r="A8" s="15"/>
      <c r="B8" s="19"/>
      <c r="C8" s="20"/>
      <c r="D8" s="20"/>
      <c r="E8" s="10" t="s">
        <v>0</v>
      </c>
      <c r="F8" s="10"/>
      <c r="G8" s="10"/>
      <c r="H8" s="10"/>
      <c r="I8" s="20"/>
      <c r="J8" s="21"/>
    </row>
    <row r="9" spans="1:10" s="14" customFormat="1" ht="13.5" customHeight="1">
      <c r="A9" s="15"/>
      <c r="B9" s="9"/>
      <c r="C9" s="9"/>
      <c r="D9" s="9"/>
      <c r="E9" s="9"/>
      <c r="F9" s="9"/>
      <c r="G9" s="9"/>
      <c r="H9" s="9"/>
      <c r="I9" s="9"/>
      <c r="J9" s="9"/>
    </row>
    <row r="10" spans="1:10" s="14" customFormat="1" ht="13.5" customHeight="1">
      <c r="A10" s="15"/>
      <c r="B10" s="8"/>
      <c r="C10" s="8"/>
      <c r="D10" s="8"/>
      <c r="E10" s="8"/>
      <c r="F10" s="8"/>
      <c r="G10" s="8"/>
      <c r="H10" s="8"/>
      <c r="I10" s="8"/>
      <c r="J10" s="22"/>
    </row>
    <row r="11" spans="1:10" s="14" customFormat="1" ht="26.25" customHeight="1">
      <c r="A11" s="15"/>
      <c r="B11" s="23"/>
      <c r="C11" s="7" t="s">
        <v>1</v>
      </c>
      <c r="D11" s="7"/>
      <c r="E11" s="24" t="s">
        <v>2</v>
      </c>
      <c r="F11" s="25"/>
      <c r="G11" s="26" t="s">
        <v>3</v>
      </c>
      <c r="H11" s="24"/>
      <c r="I11" s="27"/>
      <c r="J11" s="28"/>
    </row>
    <row r="12" spans="1:10" s="14" customFormat="1" ht="13.5" customHeight="1">
      <c r="A12" s="15"/>
      <c r="B12" s="29" t="s">
        <v>4</v>
      </c>
      <c r="C12" s="6" t="s">
        <v>5</v>
      </c>
      <c r="D12" s="6"/>
      <c r="E12" s="24"/>
      <c r="F12" s="30"/>
      <c r="G12" s="26" t="s">
        <v>6</v>
      </c>
      <c r="H12" s="24"/>
      <c r="I12" s="31"/>
      <c r="J12" s="32"/>
    </row>
    <row r="13" spans="1:10" s="14" customFormat="1" ht="13.5" customHeight="1">
      <c r="A13" s="15"/>
      <c r="B13" s="23"/>
      <c r="C13" s="7" t="s">
        <v>7</v>
      </c>
      <c r="D13" s="7"/>
      <c r="E13" s="24"/>
      <c r="F13" s="25"/>
      <c r="G13" s="26" t="s">
        <v>8</v>
      </c>
      <c r="H13" s="24"/>
      <c r="I13" s="27"/>
      <c r="J13" s="28"/>
    </row>
    <row r="14" spans="1:10" s="14" customFormat="1" ht="13.5" customHeight="1">
      <c r="A14" s="15"/>
      <c r="B14" s="23"/>
      <c r="C14" s="7" t="s">
        <v>6</v>
      </c>
      <c r="D14" s="7"/>
      <c r="E14" s="24"/>
      <c r="F14" s="25"/>
      <c r="G14" s="26" t="s">
        <v>9</v>
      </c>
      <c r="H14" s="24"/>
      <c r="I14" s="27"/>
      <c r="J14" s="28"/>
    </row>
    <row r="15" spans="1:10" s="14" customFormat="1" ht="13.5" customHeight="1">
      <c r="A15" s="15"/>
      <c r="B15" s="23"/>
      <c r="C15" s="7" t="s">
        <v>10</v>
      </c>
      <c r="D15" s="7"/>
      <c r="E15" s="24" t="s">
        <v>11</v>
      </c>
      <c r="F15" s="25"/>
      <c r="G15" s="26" t="s">
        <v>6</v>
      </c>
      <c r="H15" s="24"/>
      <c r="I15" s="27"/>
      <c r="J15" s="28"/>
    </row>
    <row r="16" spans="1:10" s="14" customFormat="1" ht="13.5" customHeight="1">
      <c r="A16" s="15"/>
      <c r="B16" s="23"/>
      <c r="C16" s="7" t="s">
        <v>12</v>
      </c>
      <c r="D16" s="7"/>
      <c r="E16" s="33" t="s">
        <v>13</v>
      </c>
      <c r="F16" s="25"/>
      <c r="G16" s="26" t="s">
        <v>14</v>
      </c>
      <c r="H16" s="24"/>
      <c r="I16" s="27"/>
      <c r="J16" s="28"/>
    </row>
    <row r="17" spans="1:10" s="14" customFormat="1" ht="13.5" customHeight="1">
      <c r="A17" s="15"/>
      <c r="B17" s="34"/>
      <c r="C17" s="35"/>
      <c r="D17" s="35"/>
      <c r="E17" s="36"/>
      <c r="F17" s="36"/>
      <c r="G17" s="36"/>
      <c r="H17" s="36"/>
      <c r="I17" s="36"/>
      <c r="J17" s="37"/>
    </row>
    <row r="18" spans="1:10" s="14" customFormat="1" ht="13.5" customHeight="1">
      <c r="B18" s="38"/>
      <c r="C18" s="36"/>
      <c r="D18" s="36"/>
      <c r="E18" s="36"/>
      <c r="F18" s="36"/>
      <c r="G18" s="36"/>
      <c r="H18" s="36"/>
      <c r="I18" s="36"/>
      <c r="J18" s="37"/>
    </row>
    <row r="19" spans="1:10" ht="15" customHeight="1">
      <c r="B19" s="39"/>
      <c r="C19" s="40"/>
      <c r="D19" s="40"/>
      <c r="E19" s="40"/>
      <c r="F19" s="40"/>
      <c r="G19" s="40"/>
      <c r="H19" s="40"/>
      <c r="I19" s="40"/>
      <c r="J19" s="41"/>
    </row>
  </sheetData>
  <mergeCells count="12">
    <mergeCell ref="C15:D15"/>
    <mergeCell ref="C16:D16"/>
    <mergeCell ref="B10:I10"/>
    <mergeCell ref="C11:D11"/>
    <mergeCell ref="C12:D12"/>
    <mergeCell ref="C13:D13"/>
    <mergeCell ref="C14:D14"/>
    <mergeCell ref="B2:J2"/>
    <mergeCell ref="B3:J3"/>
    <mergeCell ref="B6:J7"/>
    <mergeCell ref="E8:H8"/>
    <mergeCell ref="B9:J9"/>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27"/>
  <sheetViews>
    <sheetView zoomScaleNormal="100" workbookViewId="0">
      <selection activeCell="F24" sqref="F24"/>
    </sheetView>
  </sheetViews>
  <sheetFormatPr defaultColWidth="9.140625" defaultRowHeight="14.25"/>
  <cols>
    <col min="1" max="1" width="8" style="42" customWidth="1"/>
    <col min="2" max="2" width="26" style="42" customWidth="1"/>
    <col min="3" max="3" width="70" style="42" customWidth="1"/>
    <col min="4" max="4" width="14" style="42" customWidth="1"/>
    <col min="5" max="5" width="16" style="42" customWidth="1"/>
    <col min="6" max="6" width="12.7109375" style="42" customWidth="1"/>
    <col min="7" max="7" width="14" style="42" customWidth="1"/>
    <col min="8" max="1024" width="9.140625" style="42"/>
  </cols>
  <sheetData>
    <row r="1" spans="1:1024" ht="17.25" customHeight="1">
      <c r="A1" s="43" t="s">
        <v>15</v>
      </c>
      <c r="B1" s="44"/>
    </row>
    <row r="2" spans="1:1024" ht="15" customHeight="1"/>
    <row r="3" spans="1:1024">
      <c r="A3" s="45">
        <v>1</v>
      </c>
      <c r="B3" s="45" t="s">
        <v>16</v>
      </c>
      <c r="C3" s="46" t="s">
        <v>16</v>
      </c>
      <c r="D3" s="47"/>
      <c r="E3" s="47"/>
      <c r="F3" s="47"/>
      <c r="G3" s="47"/>
    </row>
    <row r="4" spans="1:1024">
      <c r="A4" s="48">
        <v>2</v>
      </c>
      <c r="B4" s="49" t="s">
        <v>17</v>
      </c>
      <c r="C4" s="50" t="s">
        <v>18</v>
      </c>
    </row>
    <row r="5" spans="1:1024" ht="14.25" customHeight="1">
      <c r="A5" s="48">
        <v>3</v>
      </c>
      <c r="B5" s="51" t="s">
        <v>0</v>
      </c>
      <c r="C5" s="50" t="s">
        <v>19</v>
      </c>
    </row>
    <row r="6" spans="1:1024" ht="14.25" customHeight="1">
      <c r="A6" s="48">
        <v>4</v>
      </c>
      <c r="B6" s="51" t="s">
        <v>20</v>
      </c>
      <c r="C6" s="50" t="s">
        <v>21</v>
      </c>
    </row>
    <row r="7" spans="1:1024" s="53" customFormat="1" ht="38.25" customHeight="1">
      <c r="A7" s="48">
        <v>5</v>
      </c>
      <c r="B7" s="52" t="s">
        <v>22</v>
      </c>
      <c r="C7" s="50" t="s">
        <v>23</v>
      </c>
      <c r="H7" s="54"/>
      <c r="I7" s="54"/>
      <c r="J7" s="54"/>
      <c r="K7" s="54"/>
      <c r="L7" s="54"/>
      <c r="M7" s="54"/>
      <c r="N7" s="54"/>
      <c r="O7" s="54"/>
      <c r="P7" s="54"/>
      <c r="Q7" s="54"/>
      <c r="R7" s="54"/>
      <c r="S7" s="54"/>
      <c r="T7" s="54"/>
      <c r="U7" s="54"/>
      <c r="V7" s="54"/>
      <c r="W7" s="54"/>
      <c r="X7" s="54"/>
      <c r="Y7" s="54"/>
      <c r="Z7" s="54"/>
      <c r="AA7" s="54"/>
      <c r="AB7" s="54"/>
      <c r="AC7" s="54"/>
      <c r="AD7" s="54"/>
      <c r="AE7" s="54"/>
      <c r="AF7" s="54"/>
      <c r="AG7" s="54"/>
      <c r="AH7" s="54"/>
      <c r="AI7" s="54"/>
      <c r="AJ7" s="54"/>
      <c r="AK7" s="54"/>
      <c r="AL7" s="54"/>
      <c r="AM7" s="54"/>
      <c r="AN7" s="54"/>
      <c r="AO7" s="54"/>
      <c r="AP7" s="54"/>
      <c r="AQ7" s="54"/>
      <c r="AR7" s="54"/>
      <c r="AS7" s="54"/>
      <c r="AT7" s="54"/>
      <c r="AU7" s="54"/>
      <c r="AV7" s="54"/>
      <c r="AW7" s="54"/>
      <c r="AX7" s="54"/>
      <c r="AY7" s="54"/>
      <c r="AZ7" s="54"/>
      <c r="BA7" s="54"/>
      <c r="BB7" s="54"/>
      <c r="BC7" s="54"/>
      <c r="BD7" s="54"/>
      <c r="BE7" s="54"/>
      <c r="BF7" s="54"/>
      <c r="BG7" s="54"/>
      <c r="BH7" s="54"/>
      <c r="BI7" s="54"/>
      <c r="BJ7" s="54"/>
      <c r="BK7" s="54"/>
      <c r="BL7" s="54"/>
      <c r="BM7" s="54"/>
      <c r="BN7" s="54"/>
      <c r="BO7" s="54"/>
      <c r="BP7" s="54"/>
      <c r="BQ7" s="54"/>
      <c r="BR7" s="54"/>
      <c r="BS7" s="54"/>
      <c r="BT7" s="54"/>
      <c r="BU7" s="54"/>
      <c r="BV7" s="54"/>
      <c r="BW7" s="54"/>
      <c r="BX7" s="54"/>
      <c r="BY7" s="54"/>
      <c r="BZ7" s="54"/>
      <c r="CA7" s="54"/>
      <c r="CB7" s="54"/>
      <c r="CC7" s="54"/>
      <c r="CD7" s="54"/>
      <c r="CE7" s="54"/>
      <c r="CF7" s="54"/>
      <c r="CG7" s="54"/>
      <c r="CH7" s="54"/>
      <c r="CI7" s="54"/>
      <c r="CJ7" s="54"/>
      <c r="CK7" s="54"/>
      <c r="CL7" s="54"/>
      <c r="CM7" s="54"/>
      <c r="CN7" s="54"/>
      <c r="CO7" s="54"/>
      <c r="CP7" s="54"/>
      <c r="CQ7" s="54"/>
      <c r="CR7" s="54"/>
      <c r="CS7" s="54"/>
      <c r="CT7" s="54"/>
      <c r="CU7" s="54"/>
      <c r="CV7" s="54"/>
      <c r="CW7" s="54"/>
      <c r="CX7" s="54"/>
      <c r="CY7" s="54"/>
      <c r="CZ7" s="54"/>
      <c r="DA7" s="54"/>
      <c r="DB7" s="54"/>
      <c r="DC7" s="54"/>
      <c r="DD7" s="54"/>
      <c r="DE7" s="54"/>
      <c r="DF7" s="54"/>
      <c r="DG7" s="54"/>
      <c r="DH7" s="54"/>
      <c r="DI7" s="54"/>
      <c r="DJ7" s="54"/>
      <c r="DK7" s="54"/>
      <c r="DL7" s="54"/>
      <c r="DM7" s="54"/>
      <c r="DN7" s="54"/>
      <c r="DO7" s="54"/>
      <c r="DP7" s="54"/>
      <c r="DQ7" s="54"/>
      <c r="DR7" s="54"/>
      <c r="DS7" s="54"/>
      <c r="DT7" s="54"/>
      <c r="DU7" s="54"/>
      <c r="DV7" s="54"/>
      <c r="DW7" s="54"/>
      <c r="DX7" s="54"/>
      <c r="DY7" s="54"/>
      <c r="DZ7" s="54"/>
      <c r="EA7" s="54"/>
      <c r="EB7" s="54"/>
      <c r="EC7" s="54"/>
      <c r="ED7" s="54"/>
      <c r="EE7" s="54"/>
      <c r="EF7" s="54"/>
      <c r="EG7" s="54"/>
      <c r="EH7" s="54"/>
      <c r="EI7" s="54"/>
      <c r="EJ7" s="54"/>
      <c r="EK7" s="54"/>
      <c r="EL7" s="54"/>
      <c r="EM7" s="54"/>
      <c r="EN7" s="54"/>
      <c r="EO7" s="54"/>
      <c r="EP7" s="54"/>
      <c r="EQ7" s="54"/>
      <c r="ER7" s="54"/>
      <c r="ES7" s="54"/>
      <c r="ET7" s="54"/>
      <c r="EU7" s="54"/>
      <c r="EV7" s="54"/>
      <c r="EW7" s="54"/>
      <c r="EX7" s="54"/>
      <c r="EY7" s="54"/>
      <c r="EZ7" s="54"/>
      <c r="FA7" s="54"/>
      <c r="FB7" s="54"/>
      <c r="FC7" s="54"/>
      <c r="FD7" s="54"/>
      <c r="FE7" s="54"/>
      <c r="FF7" s="54"/>
      <c r="FG7" s="54"/>
      <c r="FH7" s="54"/>
      <c r="FI7" s="54"/>
      <c r="FJ7" s="54"/>
      <c r="FK7" s="54"/>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54"/>
      <c r="HM7" s="54"/>
      <c r="HN7" s="54"/>
      <c r="HO7" s="54"/>
      <c r="HP7" s="54"/>
      <c r="HQ7" s="54"/>
      <c r="HR7" s="54"/>
      <c r="HS7" s="54"/>
      <c r="HT7" s="54"/>
      <c r="HU7" s="54"/>
      <c r="HV7" s="54"/>
      <c r="HW7" s="54"/>
      <c r="HX7" s="54"/>
      <c r="HY7" s="54"/>
      <c r="HZ7" s="54"/>
      <c r="IA7" s="54"/>
      <c r="IB7" s="54"/>
      <c r="IC7" s="54"/>
      <c r="ID7" s="54"/>
      <c r="IE7" s="54"/>
      <c r="IF7" s="54"/>
      <c r="IG7" s="54"/>
      <c r="IH7" s="54"/>
      <c r="II7" s="54"/>
      <c r="IJ7" s="54"/>
      <c r="IK7" s="54"/>
      <c r="IL7" s="54"/>
      <c r="IM7" s="54"/>
      <c r="IN7" s="54"/>
      <c r="IO7" s="54"/>
      <c r="IP7" s="54"/>
      <c r="IQ7" s="54"/>
      <c r="IR7" s="54"/>
      <c r="IS7" s="54"/>
      <c r="IT7" s="54"/>
      <c r="IU7" s="54"/>
      <c r="IV7" s="54"/>
      <c r="IW7" s="54"/>
      <c r="IX7" s="54"/>
      <c r="IY7" s="54"/>
      <c r="IZ7" s="54"/>
      <c r="JA7" s="54"/>
      <c r="JB7" s="54"/>
      <c r="JC7" s="54"/>
      <c r="JD7" s="54"/>
      <c r="JE7" s="54"/>
      <c r="JF7" s="54"/>
      <c r="JG7" s="54"/>
      <c r="JH7" s="54"/>
      <c r="JI7" s="54"/>
      <c r="JJ7" s="54"/>
      <c r="JK7" s="54"/>
      <c r="JL7" s="54"/>
      <c r="JM7" s="54"/>
      <c r="JN7" s="54"/>
      <c r="JO7" s="54"/>
      <c r="JP7" s="54"/>
      <c r="JQ7" s="54"/>
      <c r="JR7" s="54"/>
      <c r="JS7" s="54"/>
      <c r="JT7" s="54"/>
      <c r="JU7" s="54"/>
      <c r="JV7" s="54"/>
      <c r="JW7" s="54"/>
      <c r="JX7" s="54"/>
      <c r="JY7" s="54"/>
      <c r="JZ7" s="54"/>
      <c r="KA7" s="54"/>
      <c r="KB7" s="54"/>
      <c r="KC7" s="54"/>
      <c r="KD7" s="54"/>
      <c r="KE7" s="54"/>
      <c r="KF7" s="54"/>
      <c r="KG7" s="54"/>
      <c r="KH7" s="54"/>
      <c r="KI7" s="54"/>
      <c r="KJ7" s="54"/>
      <c r="KK7" s="54"/>
      <c r="KL7" s="54"/>
      <c r="KM7" s="54"/>
      <c r="KN7" s="54"/>
      <c r="KO7" s="54"/>
      <c r="KP7" s="54"/>
      <c r="KQ7" s="54"/>
      <c r="KR7" s="54"/>
      <c r="KS7" s="54"/>
      <c r="KT7" s="54"/>
      <c r="KU7" s="54"/>
      <c r="KV7" s="54"/>
      <c r="KW7" s="54"/>
      <c r="KX7" s="54"/>
      <c r="KY7" s="54"/>
      <c r="KZ7" s="54"/>
      <c r="LA7" s="54"/>
      <c r="LB7" s="54"/>
      <c r="LC7" s="54"/>
      <c r="LD7" s="54"/>
      <c r="LE7" s="54"/>
      <c r="LF7" s="54"/>
      <c r="LG7" s="54"/>
      <c r="LH7" s="54"/>
      <c r="LI7" s="54"/>
      <c r="LJ7" s="54"/>
      <c r="LK7" s="54"/>
      <c r="LL7" s="54"/>
      <c r="LM7" s="54"/>
      <c r="LN7" s="54"/>
      <c r="LO7" s="54"/>
      <c r="LP7" s="54"/>
      <c r="LQ7" s="54"/>
      <c r="LR7" s="54"/>
      <c r="LS7" s="54"/>
      <c r="LT7" s="54"/>
      <c r="LU7" s="54"/>
      <c r="LV7" s="54"/>
      <c r="LW7" s="54"/>
      <c r="LX7" s="54"/>
      <c r="LY7" s="54"/>
      <c r="LZ7" s="54"/>
      <c r="MA7" s="54"/>
      <c r="MB7" s="54"/>
      <c r="MC7" s="54"/>
      <c r="MD7" s="54"/>
      <c r="ME7" s="54"/>
      <c r="MF7" s="54"/>
      <c r="MG7" s="54"/>
      <c r="MH7" s="54"/>
      <c r="MI7" s="54"/>
      <c r="MJ7" s="54"/>
      <c r="MK7" s="54"/>
      <c r="ML7" s="54"/>
      <c r="MM7" s="54"/>
      <c r="MN7" s="54"/>
      <c r="MO7" s="54"/>
      <c r="MP7" s="54"/>
      <c r="MQ7" s="54"/>
      <c r="MR7" s="54"/>
      <c r="MS7" s="54"/>
      <c r="MT7" s="54"/>
      <c r="MU7" s="54"/>
      <c r="MV7" s="54"/>
      <c r="MW7" s="54"/>
      <c r="MX7" s="54"/>
      <c r="MY7" s="54"/>
      <c r="MZ7" s="54"/>
      <c r="NA7" s="54"/>
      <c r="NB7" s="54"/>
      <c r="NC7" s="54"/>
      <c r="ND7" s="54"/>
      <c r="NE7" s="54"/>
      <c r="NF7" s="54"/>
      <c r="NG7" s="54"/>
      <c r="NH7" s="54"/>
      <c r="NI7" s="54"/>
      <c r="NJ7" s="54"/>
      <c r="NK7" s="54"/>
      <c r="NL7" s="54"/>
      <c r="NM7" s="54"/>
      <c r="NN7" s="54"/>
      <c r="NO7" s="54"/>
      <c r="NP7" s="54"/>
      <c r="NQ7" s="54"/>
      <c r="NR7" s="54"/>
      <c r="NS7" s="54"/>
      <c r="NT7" s="54"/>
      <c r="NU7" s="54"/>
      <c r="NV7" s="54"/>
      <c r="NW7" s="54"/>
      <c r="NX7" s="54"/>
      <c r="NY7" s="54"/>
      <c r="NZ7" s="54"/>
      <c r="OA7" s="54"/>
      <c r="OB7" s="54"/>
      <c r="OC7" s="54"/>
      <c r="OD7" s="54"/>
      <c r="OE7" s="54"/>
      <c r="OF7" s="54"/>
      <c r="OG7" s="54"/>
      <c r="OH7" s="54"/>
      <c r="OI7" s="54"/>
      <c r="OJ7" s="54"/>
      <c r="OK7" s="54"/>
      <c r="OL7" s="54"/>
      <c r="OM7" s="54"/>
      <c r="ON7" s="54"/>
      <c r="OO7" s="54"/>
      <c r="OP7" s="54"/>
      <c r="OQ7" s="54"/>
      <c r="OR7" s="54"/>
      <c r="OS7" s="54"/>
      <c r="OT7" s="54"/>
      <c r="OU7" s="54"/>
      <c r="OV7" s="54"/>
      <c r="OW7" s="54"/>
      <c r="OX7" s="54"/>
      <c r="OY7" s="54"/>
      <c r="OZ7" s="54"/>
      <c r="PA7" s="54"/>
      <c r="PB7" s="54"/>
      <c r="PC7" s="54"/>
      <c r="PD7" s="54"/>
      <c r="PE7" s="54"/>
      <c r="PF7" s="54"/>
      <c r="PG7" s="54"/>
      <c r="PH7" s="54"/>
      <c r="PI7" s="54"/>
      <c r="PJ7" s="54"/>
      <c r="PK7" s="54"/>
      <c r="PL7" s="54"/>
      <c r="PM7" s="54"/>
      <c r="PN7" s="54"/>
      <c r="PO7" s="54"/>
      <c r="PP7" s="54"/>
      <c r="PQ7" s="54"/>
      <c r="PR7" s="54"/>
      <c r="PS7" s="54"/>
      <c r="PT7" s="54"/>
      <c r="PU7" s="54"/>
      <c r="PV7" s="54"/>
      <c r="PW7" s="54"/>
      <c r="PX7" s="54"/>
      <c r="PY7" s="54"/>
      <c r="PZ7" s="54"/>
      <c r="QA7" s="54"/>
      <c r="QB7" s="54"/>
      <c r="QC7" s="54"/>
      <c r="QD7" s="54"/>
      <c r="QE7" s="54"/>
      <c r="QF7" s="54"/>
      <c r="QG7" s="54"/>
      <c r="QH7" s="54"/>
      <c r="QI7" s="54"/>
      <c r="QJ7" s="54"/>
      <c r="QK7" s="54"/>
      <c r="QL7" s="54"/>
      <c r="QM7" s="54"/>
      <c r="QN7" s="54"/>
      <c r="QO7" s="54"/>
      <c r="QP7" s="54"/>
      <c r="QQ7" s="54"/>
      <c r="QR7" s="54"/>
      <c r="QS7" s="54"/>
      <c r="QT7" s="54"/>
      <c r="QU7" s="54"/>
      <c r="QV7" s="54"/>
      <c r="QW7" s="54"/>
      <c r="QX7" s="54"/>
      <c r="QY7" s="54"/>
      <c r="QZ7" s="54"/>
      <c r="RA7" s="54"/>
      <c r="RB7" s="54"/>
      <c r="RC7" s="54"/>
      <c r="RD7" s="54"/>
      <c r="RE7" s="54"/>
      <c r="RF7" s="54"/>
      <c r="RG7" s="54"/>
      <c r="RH7" s="54"/>
      <c r="RI7" s="54"/>
      <c r="RJ7" s="54"/>
      <c r="RK7" s="54"/>
      <c r="RL7" s="54"/>
      <c r="RM7" s="54"/>
      <c r="RN7" s="54"/>
      <c r="RO7" s="54"/>
      <c r="RP7" s="54"/>
      <c r="RQ7" s="54"/>
      <c r="RR7" s="54"/>
      <c r="RS7" s="54"/>
      <c r="RT7" s="54"/>
      <c r="RU7" s="54"/>
      <c r="RV7" s="54"/>
      <c r="RW7" s="54"/>
      <c r="RX7" s="54"/>
      <c r="RY7" s="54"/>
      <c r="RZ7" s="54"/>
      <c r="SA7" s="54"/>
      <c r="SB7" s="54"/>
      <c r="SC7" s="54"/>
      <c r="SD7" s="54"/>
      <c r="SE7" s="54"/>
      <c r="SF7" s="54"/>
      <c r="SG7" s="54"/>
      <c r="SH7" s="54"/>
      <c r="SI7" s="54"/>
      <c r="SJ7" s="54"/>
      <c r="SK7" s="54"/>
      <c r="SL7" s="54"/>
      <c r="SM7" s="54"/>
      <c r="SN7" s="54"/>
      <c r="SO7" s="54"/>
      <c r="SP7" s="54"/>
      <c r="SQ7" s="54"/>
      <c r="SR7" s="54"/>
      <c r="SS7" s="54"/>
      <c r="ST7" s="54"/>
      <c r="SU7" s="54"/>
      <c r="SV7" s="54"/>
      <c r="SW7" s="54"/>
      <c r="SX7" s="54"/>
      <c r="SY7" s="54"/>
      <c r="SZ7" s="54"/>
      <c r="TA7" s="54"/>
      <c r="TB7" s="54"/>
      <c r="TC7" s="54"/>
      <c r="TD7" s="54"/>
      <c r="TE7" s="54"/>
      <c r="TF7" s="54"/>
      <c r="TG7" s="54"/>
      <c r="TH7" s="54"/>
      <c r="TI7" s="54"/>
      <c r="TJ7" s="54"/>
      <c r="TK7" s="54"/>
      <c r="TL7" s="54"/>
      <c r="TM7" s="54"/>
      <c r="TN7" s="54"/>
      <c r="TO7" s="54"/>
      <c r="TP7" s="54"/>
      <c r="TQ7" s="54"/>
      <c r="TR7" s="54"/>
      <c r="TS7" s="54"/>
      <c r="TT7" s="54"/>
      <c r="TU7" s="54"/>
      <c r="TV7" s="54"/>
      <c r="TW7" s="54"/>
      <c r="TX7" s="54"/>
      <c r="TY7" s="54"/>
      <c r="TZ7" s="54"/>
      <c r="UA7" s="54"/>
      <c r="UB7" s="54"/>
      <c r="UC7" s="54"/>
      <c r="UD7" s="54"/>
      <c r="UE7" s="54"/>
      <c r="UF7" s="54"/>
      <c r="UG7" s="54"/>
      <c r="UH7" s="54"/>
      <c r="UI7" s="54"/>
      <c r="UJ7" s="54"/>
      <c r="UK7" s="54"/>
      <c r="UL7" s="54"/>
      <c r="UM7" s="54"/>
      <c r="UN7" s="54"/>
      <c r="UO7" s="54"/>
      <c r="UP7" s="54"/>
      <c r="UQ7" s="54"/>
      <c r="UR7" s="54"/>
      <c r="US7" s="54"/>
      <c r="UT7" s="54"/>
      <c r="UU7" s="54"/>
      <c r="UV7" s="54"/>
      <c r="UW7" s="54"/>
      <c r="UX7" s="54"/>
      <c r="UY7" s="54"/>
      <c r="UZ7" s="54"/>
      <c r="VA7" s="54"/>
      <c r="VB7" s="54"/>
      <c r="VC7" s="54"/>
      <c r="VD7" s="54"/>
      <c r="VE7" s="54"/>
      <c r="VF7" s="54"/>
      <c r="VG7" s="54"/>
      <c r="VH7" s="54"/>
      <c r="VI7" s="54"/>
      <c r="VJ7" s="54"/>
      <c r="VK7" s="54"/>
      <c r="VL7" s="54"/>
      <c r="VM7" s="54"/>
      <c r="VN7" s="54"/>
      <c r="VO7" s="54"/>
      <c r="VP7" s="54"/>
      <c r="VQ7" s="54"/>
      <c r="VR7" s="54"/>
      <c r="VS7" s="54"/>
      <c r="VT7" s="54"/>
      <c r="VU7" s="54"/>
      <c r="VV7" s="54"/>
      <c r="VW7" s="54"/>
      <c r="VX7" s="54"/>
      <c r="VY7" s="54"/>
      <c r="VZ7" s="54"/>
      <c r="WA7" s="54"/>
      <c r="WB7" s="54"/>
      <c r="WC7" s="54"/>
      <c r="WD7" s="54"/>
      <c r="WE7" s="54"/>
      <c r="WF7" s="54"/>
      <c r="WG7" s="54"/>
      <c r="WH7" s="54"/>
      <c r="WI7" s="54"/>
      <c r="WJ7" s="54"/>
      <c r="WK7" s="54"/>
      <c r="WL7" s="54"/>
      <c r="WM7" s="54"/>
      <c r="WN7" s="54"/>
      <c r="WO7" s="54"/>
      <c r="WP7" s="54"/>
      <c r="WQ7" s="54"/>
      <c r="WR7" s="54"/>
      <c r="WS7" s="54"/>
      <c r="WT7" s="54"/>
      <c r="WU7" s="54"/>
      <c r="WV7" s="54"/>
      <c r="WW7" s="54"/>
      <c r="WX7" s="54"/>
      <c r="WY7" s="54"/>
      <c r="WZ7" s="54"/>
      <c r="XA7" s="54"/>
      <c r="XB7" s="54"/>
      <c r="XC7" s="54"/>
      <c r="XD7" s="54"/>
      <c r="XE7" s="54"/>
      <c r="XF7" s="54"/>
      <c r="XG7" s="54"/>
      <c r="XH7" s="54"/>
      <c r="XI7" s="54"/>
      <c r="XJ7" s="54"/>
      <c r="XK7" s="54"/>
      <c r="XL7" s="54"/>
      <c r="XM7" s="54"/>
      <c r="XN7" s="54"/>
      <c r="XO7" s="54"/>
      <c r="XP7" s="54"/>
      <c r="XQ7" s="54"/>
      <c r="XR7" s="54"/>
      <c r="XS7" s="54"/>
      <c r="XT7" s="54"/>
      <c r="XU7" s="54"/>
      <c r="XV7" s="54"/>
      <c r="XW7" s="54"/>
      <c r="XX7" s="54"/>
      <c r="XY7" s="54"/>
      <c r="XZ7" s="54"/>
      <c r="YA7" s="54"/>
      <c r="YB7" s="54"/>
      <c r="YC7" s="54"/>
      <c r="YD7" s="54"/>
      <c r="YE7" s="54"/>
      <c r="YF7" s="54"/>
      <c r="YG7" s="54"/>
      <c r="YH7" s="54"/>
      <c r="YI7" s="54"/>
      <c r="YJ7" s="54"/>
      <c r="YK7" s="54"/>
      <c r="YL7" s="54"/>
      <c r="YM7" s="54"/>
      <c r="YN7" s="54"/>
      <c r="YO7" s="54"/>
      <c r="YP7" s="54"/>
      <c r="YQ7" s="54"/>
      <c r="YR7" s="54"/>
      <c r="YS7" s="54"/>
      <c r="YT7" s="54"/>
      <c r="YU7" s="54"/>
      <c r="YV7" s="54"/>
      <c r="YW7" s="54"/>
      <c r="YX7" s="54"/>
      <c r="YY7" s="54"/>
      <c r="YZ7" s="54"/>
      <c r="ZA7" s="54"/>
      <c r="ZB7" s="54"/>
      <c r="ZC7" s="54"/>
      <c r="ZD7" s="54"/>
      <c r="ZE7" s="54"/>
      <c r="ZF7" s="54"/>
      <c r="ZG7" s="54"/>
      <c r="ZH7" s="54"/>
      <c r="ZI7" s="54"/>
      <c r="ZJ7" s="54"/>
      <c r="ZK7" s="54"/>
      <c r="ZL7" s="54"/>
      <c r="ZM7" s="54"/>
      <c r="ZN7" s="54"/>
      <c r="ZO7" s="54"/>
      <c r="ZP7" s="54"/>
      <c r="ZQ7" s="54"/>
      <c r="ZR7" s="54"/>
      <c r="ZS7" s="54"/>
      <c r="ZT7" s="54"/>
      <c r="ZU7" s="54"/>
      <c r="ZV7" s="54"/>
      <c r="ZW7" s="54"/>
      <c r="ZX7" s="54"/>
      <c r="ZY7" s="54"/>
      <c r="ZZ7" s="54"/>
      <c r="AAA7" s="54"/>
      <c r="AAB7" s="54"/>
      <c r="AAC7" s="54"/>
      <c r="AAD7" s="54"/>
      <c r="AAE7" s="54"/>
      <c r="AAF7" s="54"/>
      <c r="AAG7" s="54"/>
      <c r="AAH7" s="54"/>
      <c r="AAI7" s="54"/>
      <c r="AAJ7" s="54"/>
      <c r="AAK7" s="54"/>
      <c r="AAL7" s="54"/>
      <c r="AAM7" s="54"/>
      <c r="AAN7" s="54"/>
      <c r="AAO7" s="54"/>
      <c r="AAP7" s="54"/>
      <c r="AAQ7" s="54"/>
      <c r="AAR7" s="54"/>
      <c r="AAS7" s="54"/>
      <c r="AAT7" s="54"/>
      <c r="AAU7" s="54"/>
      <c r="AAV7" s="54"/>
      <c r="AAW7" s="54"/>
      <c r="AAX7" s="54"/>
      <c r="AAY7" s="54"/>
      <c r="AAZ7" s="54"/>
      <c r="ABA7" s="54"/>
      <c r="ABB7" s="54"/>
      <c r="ABC7" s="54"/>
      <c r="ABD7" s="54"/>
      <c r="ABE7" s="54"/>
      <c r="ABF7" s="54"/>
      <c r="ABG7" s="54"/>
      <c r="ABH7" s="54"/>
      <c r="ABI7" s="54"/>
      <c r="ABJ7" s="54"/>
      <c r="ABK7" s="54"/>
      <c r="ABL7" s="54"/>
      <c r="ABM7" s="54"/>
      <c r="ABN7" s="54"/>
      <c r="ABO7" s="54"/>
      <c r="ABP7" s="54"/>
      <c r="ABQ7" s="54"/>
      <c r="ABR7" s="54"/>
      <c r="ABS7" s="54"/>
      <c r="ABT7" s="54"/>
      <c r="ABU7" s="54"/>
      <c r="ABV7" s="54"/>
      <c r="ABW7" s="54"/>
      <c r="ABX7" s="54"/>
      <c r="ABY7" s="54"/>
      <c r="ABZ7" s="54"/>
      <c r="ACA7" s="54"/>
      <c r="ACB7" s="54"/>
      <c r="ACC7" s="54"/>
      <c r="ACD7" s="54"/>
      <c r="ACE7" s="54"/>
      <c r="ACF7" s="54"/>
      <c r="ACG7" s="54"/>
      <c r="ACH7" s="54"/>
      <c r="ACI7" s="54"/>
      <c r="ACJ7" s="54"/>
      <c r="ACK7" s="54"/>
      <c r="ACL7" s="54"/>
      <c r="ACM7" s="54"/>
      <c r="ACN7" s="54"/>
      <c r="ACO7" s="54"/>
      <c r="ACP7" s="54"/>
      <c r="ACQ7" s="54"/>
      <c r="ACR7" s="54"/>
      <c r="ACS7" s="54"/>
      <c r="ACT7" s="54"/>
      <c r="ACU7" s="54"/>
      <c r="ACV7" s="54"/>
      <c r="ACW7" s="54"/>
      <c r="ACX7" s="54"/>
      <c r="ACY7" s="54"/>
      <c r="ACZ7" s="54"/>
      <c r="ADA7" s="54"/>
      <c r="ADB7" s="54"/>
      <c r="ADC7" s="54"/>
      <c r="ADD7" s="54"/>
      <c r="ADE7" s="54"/>
      <c r="ADF7" s="54"/>
      <c r="ADG7" s="54"/>
      <c r="ADH7" s="54"/>
      <c r="ADI7" s="54"/>
      <c r="ADJ7" s="54"/>
      <c r="ADK7" s="54"/>
      <c r="ADL7" s="54"/>
      <c r="ADM7" s="54"/>
      <c r="ADN7" s="54"/>
      <c r="ADO7" s="54"/>
      <c r="ADP7" s="54"/>
      <c r="ADQ7" s="54"/>
      <c r="ADR7" s="54"/>
      <c r="ADS7" s="54"/>
      <c r="ADT7" s="54"/>
      <c r="ADU7" s="54"/>
      <c r="ADV7" s="54"/>
      <c r="ADW7" s="54"/>
      <c r="ADX7" s="54"/>
      <c r="ADY7" s="54"/>
      <c r="ADZ7" s="54"/>
      <c r="AEA7" s="54"/>
      <c r="AEB7" s="54"/>
      <c r="AEC7" s="54"/>
      <c r="AED7" s="54"/>
      <c r="AEE7" s="54"/>
      <c r="AEF7" s="54"/>
      <c r="AEG7" s="54"/>
      <c r="AEH7" s="54"/>
      <c r="AEI7" s="54"/>
      <c r="AEJ7" s="54"/>
      <c r="AEK7" s="54"/>
      <c r="AEL7" s="54"/>
      <c r="AEM7" s="54"/>
      <c r="AEN7" s="54"/>
      <c r="AEO7" s="54"/>
      <c r="AEP7" s="54"/>
      <c r="AEQ7" s="54"/>
      <c r="AER7" s="54"/>
      <c r="AES7" s="54"/>
      <c r="AET7" s="54"/>
      <c r="AEU7" s="54"/>
      <c r="AEV7" s="54"/>
      <c r="AEW7" s="54"/>
      <c r="AEX7" s="54"/>
      <c r="AEY7" s="54"/>
      <c r="AEZ7" s="54"/>
      <c r="AFA7" s="54"/>
      <c r="AFB7" s="54"/>
      <c r="AFC7" s="54"/>
      <c r="AFD7" s="54"/>
      <c r="AFE7" s="54"/>
      <c r="AFF7" s="54"/>
      <c r="AFG7" s="54"/>
      <c r="AFH7" s="54"/>
      <c r="AFI7" s="54"/>
      <c r="AFJ7" s="54"/>
      <c r="AFK7" s="54"/>
      <c r="AFL7" s="54"/>
      <c r="AFM7" s="54"/>
      <c r="AFN7" s="54"/>
      <c r="AFO7" s="54"/>
      <c r="AFP7" s="54"/>
      <c r="AFQ7" s="54"/>
      <c r="AFR7" s="54"/>
      <c r="AFS7" s="54"/>
      <c r="AFT7" s="54"/>
      <c r="AFU7" s="54"/>
      <c r="AFV7" s="54"/>
      <c r="AFW7" s="54"/>
      <c r="AFX7" s="54"/>
      <c r="AFY7" s="54"/>
      <c r="AFZ7" s="54"/>
      <c r="AGA7" s="54"/>
      <c r="AGB7" s="54"/>
      <c r="AGC7" s="54"/>
      <c r="AGD7" s="54"/>
      <c r="AGE7" s="54"/>
      <c r="AGF7" s="54"/>
      <c r="AGG7" s="54"/>
      <c r="AGH7" s="54"/>
      <c r="AGI7" s="54"/>
      <c r="AGJ7" s="54"/>
      <c r="AGK7" s="54"/>
      <c r="AGL7" s="54"/>
      <c r="AGM7" s="54"/>
      <c r="AGN7" s="54"/>
      <c r="AGO7" s="54"/>
      <c r="AGP7" s="54"/>
      <c r="AGQ7" s="54"/>
      <c r="AGR7" s="54"/>
      <c r="AGS7" s="54"/>
      <c r="AGT7" s="54"/>
      <c r="AGU7" s="54"/>
      <c r="AGV7" s="54"/>
      <c r="AGW7" s="54"/>
      <c r="AGX7" s="54"/>
      <c r="AGY7" s="54"/>
      <c r="AGZ7" s="54"/>
      <c r="AHA7" s="54"/>
      <c r="AHB7" s="54"/>
      <c r="AHC7" s="54"/>
      <c r="AHD7" s="54"/>
      <c r="AHE7" s="54"/>
      <c r="AHF7" s="54"/>
      <c r="AHG7" s="54"/>
      <c r="AHH7" s="54"/>
      <c r="AHI7" s="54"/>
      <c r="AHJ7" s="54"/>
      <c r="AHK7" s="54"/>
      <c r="AHL7" s="54"/>
      <c r="AHM7" s="54"/>
      <c r="AHN7" s="54"/>
      <c r="AHO7" s="54"/>
      <c r="AHP7" s="54"/>
      <c r="AHQ7" s="54"/>
      <c r="AHR7" s="54"/>
      <c r="AHS7" s="54"/>
      <c r="AHT7" s="54"/>
      <c r="AHU7" s="54"/>
      <c r="AHV7" s="54"/>
      <c r="AHW7" s="54"/>
      <c r="AHX7" s="54"/>
      <c r="AHY7" s="54"/>
      <c r="AHZ7" s="54"/>
      <c r="AIA7" s="54"/>
      <c r="AIB7" s="54"/>
      <c r="AIC7" s="54"/>
      <c r="AID7" s="54"/>
      <c r="AIE7" s="54"/>
      <c r="AIF7" s="54"/>
      <c r="AIG7" s="54"/>
      <c r="AIH7" s="54"/>
      <c r="AII7" s="54"/>
      <c r="AIJ7" s="54"/>
      <c r="AIK7" s="54"/>
      <c r="AIL7" s="54"/>
      <c r="AIM7" s="54"/>
      <c r="AIN7" s="54"/>
      <c r="AIO7" s="54"/>
      <c r="AIP7" s="54"/>
      <c r="AIQ7" s="54"/>
      <c r="AIR7" s="54"/>
      <c r="AIS7" s="54"/>
      <c r="AIT7" s="54"/>
      <c r="AIU7" s="54"/>
      <c r="AIV7" s="54"/>
      <c r="AIW7" s="54"/>
      <c r="AIX7" s="54"/>
      <c r="AIY7" s="54"/>
      <c r="AIZ7" s="54"/>
      <c r="AJA7" s="54"/>
      <c r="AJB7" s="54"/>
      <c r="AJC7" s="54"/>
      <c r="AJD7" s="54"/>
      <c r="AJE7" s="54"/>
      <c r="AJF7" s="54"/>
      <c r="AJG7" s="54"/>
      <c r="AJH7" s="54"/>
      <c r="AJI7" s="54"/>
      <c r="AJJ7" s="54"/>
      <c r="AJK7" s="54"/>
      <c r="AJL7" s="54"/>
      <c r="AJM7" s="54"/>
      <c r="AJN7" s="54"/>
      <c r="AJO7" s="54"/>
      <c r="AJP7" s="54"/>
      <c r="AJQ7" s="54"/>
      <c r="AJR7" s="54"/>
      <c r="AJS7" s="54"/>
      <c r="AJT7" s="54"/>
      <c r="AJU7" s="54"/>
      <c r="AJV7" s="54"/>
      <c r="AJW7" s="54"/>
      <c r="AJX7" s="54"/>
      <c r="AJY7" s="54"/>
      <c r="AJZ7" s="54"/>
      <c r="AKA7" s="54"/>
      <c r="AKB7" s="54"/>
      <c r="AKC7" s="54"/>
      <c r="AKD7" s="54"/>
      <c r="AKE7" s="54"/>
      <c r="AKF7" s="54"/>
      <c r="AKG7" s="54"/>
      <c r="AKH7" s="54"/>
      <c r="AKI7" s="54"/>
      <c r="AKJ7" s="54"/>
      <c r="AKK7" s="54"/>
      <c r="AKL7" s="54"/>
      <c r="AKM7" s="54"/>
      <c r="AKN7" s="54"/>
      <c r="AKO7" s="54"/>
      <c r="AKP7" s="54"/>
      <c r="AKQ7" s="54"/>
      <c r="AKR7" s="54"/>
      <c r="AKS7" s="54"/>
      <c r="AKT7" s="54"/>
      <c r="AKU7" s="54"/>
      <c r="AKV7" s="54"/>
      <c r="AKW7" s="54"/>
      <c r="AKX7" s="54"/>
      <c r="AKY7" s="54"/>
      <c r="AKZ7" s="54"/>
      <c r="ALA7" s="54"/>
      <c r="ALB7" s="54"/>
      <c r="ALC7" s="54"/>
      <c r="ALD7" s="54"/>
      <c r="ALE7" s="54"/>
      <c r="ALF7" s="54"/>
      <c r="ALG7" s="54"/>
      <c r="ALH7" s="54"/>
      <c r="ALI7" s="54"/>
      <c r="ALJ7" s="54"/>
      <c r="ALK7" s="54"/>
      <c r="ALL7" s="54"/>
      <c r="ALM7" s="54"/>
      <c r="ALN7" s="54"/>
      <c r="ALO7" s="54"/>
      <c r="ALP7" s="54"/>
      <c r="ALQ7" s="54"/>
      <c r="ALR7" s="54"/>
      <c r="ALS7" s="54"/>
      <c r="ALT7" s="54"/>
      <c r="ALU7" s="54"/>
      <c r="ALV7" s="54"/>
      <c r="ALW7" s="54"/>
      <c r="ALX7" s="54"/>
      <c r="ALY7" s="54"/>
      <c r="ALZ7" s="54"/>
      <c r="AMA7" s="54"/>
      <c r="AMB7" s="54"/>
      <c r="AMC7" s="54"/>
      <c r="AMD7" s="54"/>
      <c r="AME7" s="54"/>
      <c r="AMF7" s="54"/>
      <c r="AMG7" s="54"/>
      <c r="AMH7" s="54"/>
      <c r="AMI7" s="54"/>
      <c r="AMJ7" s="54"/>
    </row>
    <row r="8" spans="1:1024" ht="14.25" customHeight="1">
      <c r="A8" s="48">
        <v>6</v>
      </c>
      <c r="B8" s="51" t="s">
        <v>24</v>
      </c>
      <c r="C8" s="50" t="s">
        <v>25</v>
      </c>
    </row>
    <row r="9" spans="1:1024" ht="14.25" customHeight="1">
      <c r="A9" s="55"/>
      <c r="B9" s="56"/>
      <c r="C9" s="57"/>
    </row>
    <row r="10" spans="1:1024" ht="15" customHeight="1">
      <c r="A10" s="58" t="s">
        <v>26</v>
      </c>
      <c r="B10" s="59"/>
      <c r="C10" s="59"/>
      <c r="D10" s="59"/>
      <c r="E10" s="59"/>
    </row>
    <row r="11" spans="1:1024" ht="25.35">
      <c r="A11" s="60" t="s">
        <v>27</v>
      </c>
      <c r="B11" s="60" t="s">
        <v>28</v>
      </c>
      <c r="C11" s="61" t="s">
        <v>29</v>
      </c>
      <c r="D11" s="62" t="s">
        <v>30</v>
      </c>
      <c r="E11" s="62" t="s">
        <v>31</v>
      </c>
      <c r="F11" s="63"/>
      <c r="G11" s="63"/>
    </row>
    <row r="12" spans="1:1024" ht="37.35">
      <c r="A12" s="64" t="s">
        <v>11</v>
      </c>
      <c r="B12" s="65" t="s">
        <v>32</v>
      </c>
      <c r="C12" s="66" t="s">
        <v>33</v>
      </c>
      <c r="D12" s="67" t="s">
        <v>34</v>
      </c>
      <c r="F12" s="68"/>
      <c r="G12" s="69"/>
    </row>
    <row r="13" spans="1:1024" ht="61.15">
      <c r="A13" s="67" t="s">
        <v>11</v>
      </c>
      <c r="B13" s="67" t="s">
        <v>35</v>
      </c>
      <c r="C13" s="70" t="s">
        <v>36</v>
      </c>
      <c r="D13" s="67" t="s">
        <v>37</v>
      </c>
    </row>
    <row r="14" spans="1:1024" ht="49.35">
      <c r="A14" s="67" t="s">
        <v>11</v>
      </c>
      <c r="B14" s="67" t="s">
        <v>35</v>
      </c>
      <c r="C14" s="70" t="s">
        <v>38</v>
      </c>
      <c r="D14" s="67" t="s">
        <v>13</v>
      </c>
    </row>
    <row r="16" spans="1:1024" ht="15">
      <c r="A16" s="71" t="s">
        <v>39</v>
      </c>
    </row>
    <row r="17" spans="1:5" ht="27.75" customHeight="1">
      <c r="A17" s="5" t="s">
        <v>40</v>
      </c>
      <c r="B17" s="5"/>
      <c r="C17" s="5"/>
      <c r="D17" s="5"/>
      <c r="E17" s="5"/>
    </row>
    <row r="18" spans="1:5" ht="27.75" customHeight="1">
      <c r="A18" s="5" t="s">
        <v>41</v>
      </c>
      <c r="B18" s="5"/>
      <c r="C18" s="5"/>
      <c r="D18" s="5"/>
      <c r="E18" s="5"/>
    </row>
    <row r="19" spans="1:5" ht="27.75" customHeight="1">
      <c r="A19" s="5" t="s">
        <v>42</v>
      </c>
      <c r="B19" s="5"/>
      <c r="C19" s="5"/>
      <c r="D19" s="5"/>
      <c r="E19" s="5"/>
    </row>
    <row r="20" spans="1:5" ht="27.75" customHeight="1">
      <c r="A20" s="5" t="s">
        <v>43</v>
      </c>
      <c r="B20" s="5"/>
      <c r="C20" s="5"/>
      <c r="D20" s="5"/>
      <c r="E20" s="5"/>
    </row>
    <row r="21" spans="1:5" ht="27.75" customHeight="1">
      <c r="A21" s="5" t="s">
        <v>44</v>
      </c>
      <c r="B21" s="5"/>
      <c r="C21" s="5"/>
      <c r="D21" s="5"/>
      <c r="E21" s="5"/>
    </row>
    <row r="22" spans="1:5" ht="27.75" customHeight="1">
      <c r="A22" s="5" t="s">
        <v>45</v>
      </c>
      <c r="B22" s="5"/>
      <c r="C22" s="5"/>
      <c r="D22" s="5"/>
      <c r="E22" s="5"/>
    </row>
    <row r="23" spans="1:5" ht="27.75" customHeight="1">
      <c r="A23" s="5" t="s">
        <v>46</v>
      </c>
      <c r="B23" s="5"/>
      <c r="C23" s="5"/>
      <c r="D23" s="5"/>
      <c r="E23" s="5"/>
    </row>
    <row r="24" spans="1:5" ht="27.75" customHeight="1">
      <c r="A24" s="5" t="s">
        <v>47</v>
      </c>
      <c r="B24" s="5"/>
      <c r="C24" s="5"/>
      <c r="D24" s="5"/>
      <c r="E24" s="5"/>
    </row>
    <row r="25" spans="1:5" ht="27.75" customHeight="1">
      <c r="A25" s="5" t="s">
        <v>48</v>
      </c>
      <c r="B25" s="5"/>
      <c r="C25" s="5"/>
      <c r="D25" s="5"/>
      <c r="E25" s="5"/>
    </row>
    <row r="26" spans="1:5" ht="27.75" customHeight="1">
      <c r="A26" s="5" t="s">
        <v>49</v>
      </c>
      <c r="B26" s="5"/>
      <c r="C26" s="5"/>
      <c r="D26" s="5"/>
      <c r="E26" s="5"/>
    </row>
    <row r="27" spans="1:5" ht="27.75" customHeight="1">
      <c r="A27" s="5" t="s">
        <v>50</v>
      </c>
      <c r="B27" s="5"/>
      <c r="C27" s="5"/>
      <c r="D27" s="5"/>
      <c r="E27" s="5"/>
    </row>
  </sheetData>
  <mergeCells count="11">
    <mergeCell ref="A27:E27"/>
    <mergeCell ref="A22:E22"/>
    <mergeCell ref="A23:E23"/>
    <mergeCell ref="A24:E24"/>
    <mergeCell ref="A25:E25"/>
    <mergeCell ref="A26:E26"/>
    <mergeCell ref="A17:E17"/>
    <mergeCell ref="A18:E18"/>
    <mergeCell ref="A19:E19"/>
    <mergeCell ref="A20:E20"/>
    <mergeCell ref="A21:E21"/>
  </mergeCells>
  <hyperlinks>
    <hyperlink ref="B4" location="Cover!A1" display="Records" xr:uid="{00000000-0004-0000-0100-000000000000}"/>
    <hyperlink ref="B5" location="Records!A1" display="Test Report" xr:uid="{00000000-0004-0000-0100-000001000000}"/>
    <hyperlink ref="B6" location="'Test Report'!A1" display="Case List" xr:uid="{00000000-0004-0000-0100-000002000000}"/>
    <hyperlink ref="B7" location="Testconfig!A1" display="Case Detail" xr:uid="{00000000-0004-0000-0100-000003000000}"/>
    <hyperlink ref="B8" location="'Testcase KHCN'!A1" display="Legend" xr:uid="{00000000-0004-0000-0100-000004000000}"/>
  </hyperlink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C090"/>
  </sheetPr>
  <dimension ref="A1:H31"/>
  <sheetViews>
    <sheetView zoomScaleNormal="100" workbookViewId="0">
      <selection activeCell="K20" sqref="K20"/>
    </sheetView>
  </sheetViews>
  <sheetFormatPr defaultColWidth="8.5703125" defaultRowHeight="14.25"/>
  <cols>
    <col min="1" max="1" width="24.140625" style="53" customWidth="1"/>
    <col min="2" max="2" width="15.42578125" style="53" customWidth="1"/>
    <col min="3" max="3" width="16" style="53" customWidth="1"/>
    <col min="4" max="8" width="15.42578125" style="53" customWidth="1"/>
    <col min="9" max="16384" width="8.5703125" style="53"/>
  </cols>
  <sheetData>
    <row r="1" spans="1:8">
      <c r="A1" s="72"/>
      <c r="B1" s="73"/>
      <c r="C1" s="73"/>
      <c r="D1" s="73"/>
      <c r="E1" s="73"/>
      <c r="F1" s="73"/>
      <c r="G1" s="73"/>
      <c r="H1" s="74"/>
    </row>
    <row r="2" spans="1:8" ht="27.75" customHeight="1">
      <c r="A2" s="75"/>
      <c r="B2" s="76" t="s">
        <v>51</v>
      </c>
      <c r="C2" s="75"/>
      <c r="D2" s="75"/>
      <c r="E2" s="75"/>
      <c r="F2" s="75"/>
      <c r="G2" s="75"/>
      <c r="H2" s="75"/>
    </row>
    <row r="3" spans="1:8">
      <c r="A3" s="75"/>
      <c r="B3" s="75"/>
      <c r="C3" s="75"/>
      <c r="D3" s="75"/>
      <c r="E3" s="75"/>
      <c r="F3" s="75"/>
      <c r="G3" s="75"/>
      <c r="H3" s="75"/>
    </row>
    <row r="4" spans="1:8" ht="15" customHeight="1">
      <c r="A4" s="75"/>
      <c r="B4" s="75"/>
      <c r="C4" s="75"/>
      <c r="D4" s="75"/>
      <c r="E4" s="75"/>
      <c r="F4" s="75"/>
      <c r="G4" s="75"/>
      <c r="H4" s="75"/>
    </row>
    <row r="5" spans="1:8" ht="27.75" customHeight="1">
      <c r="A5" s="77" t="s">
        <v>52</v>
      </c>
      <c r="B5" s="4" t="s">
        <v>2</v>
      </c>
      <c r="C5" s="4"/>
      <c r="D5" s="78" t="s">
        <v>53</v>
      </c>
      <c r="E5" s="3"/>
      <c r="F5" s="3"/>
      <c r="G5" s="3"/>
      <c r="H5" s="3"/>
    </row>
    <row r="6" spans="1:8" ht="25.35" customHeight="1">
      <c r="A6" s="79" t="s">
        <v>54</v>
      </c>
      <c r="B6" s="2" t="s">
        <v>55</v>
      </c>
      <c r="C6" s="2"/>
      <c r="D6" s="80" t="s">
        <v>56</v>
      </c>
      <c r="E6" s="1"/>
      <c r="F6" s="1"/>
      <c r="G6" s="1"/>
      <c r="H6" s="1"/>
    </row>
    <row r="7" spans="1:8">
      <c r="A7" s="79" t="s">
        <v>57</v>
      </c>
      <c r="B7" s="145"/>
      <c r="C7" s="145"/>
      <c r="D7" s="80" t="s">
        <v>58</v>
      </c>
      <c r="E7" s="146"/>
      <c r="F7" s="146"/>
      <c r="G7" s="146"/>
      <c r="H7" s="146"/>
    </row>
    <row r="8" spans="1:8">
      <c r="A8" s="79" t="s">
        <v>59</v>
      </c>
      <c r="B8" s="145"/>
      <c r="C8" s="145"/>
      <c r="D8" s="80" t="s">
        <v>60</v>
      </c>
      <c r="E8" s="1"/>
      <c r="F8" s="1"/>
      <c r="G8" s="1"/>
      <c r="H8" s="1"/>
    </row>
    <row r="9" spans="1:8">
      <c r="A9" s="79" t="s">
        <v>61</v>
      </c>
      <c r="B9" s="81" t="s">
        <v>62</v>
      </c>
      <c r="C9" s="82"/>
      <c r="D9" s="80"/>
      <c r="E9" s="83"/>
      <c r="F9" s="84"/>
      <c r="G9" s="84"/>
      <c r="H9" s="85"/>
    </row>
    <row r="10" spans="1:8">
      <c r="A10" s="79" t="s">
        <v>63</v>
      </c>
      <c r="B10" s="147"/>
      <c r="C10" s="147"/>
      <c r="D10" s="80"/>
      <c r="E10" s="1"/>
      <c r="F10" s="1"/>
      <c r="G10" s="1"/>
      <c r="H10" s="1"/>
    </row>
    <row r="11" spans="1:8" ht="15" customHeight="1">
      <c r="A11" s="148" t="s">
        <v>64</v>
      </c>
      <c r="B11" s="148"/>
      <c r="C11" s="86"/>
      <c r="D11" s="86"/>
      <c r="E11" s="86"/>
      <c r="F11" s="86"/>
      <c r="G11" s="86"/>
      <c r="H11" s="87"/>
    </row>
    <row r="12" spans="1:8">
      <c r="A12" s="88" t="s">
        <v>65</v>
      </c>
      <c r="B12" s="89"/>
      <c r="C12" s="90"/>
      <c r="D12" s="90"/>
      <c r="E12" s="90"/>
      <c r="F12" s="90"/>
      <c r="G12" s="90"/>
      <c r="H12" s="91"/>
    </row>
    <row r="13" spans="1:8">
      <c r="A13" s="92" t="s">
        <v>66</v>
      </c>
      <c r="B13" s="93"/>
      <c r="C13" s="94"/>
      <c r="D13" s="94"/>
      <c r="E13" s="94"/>
      <c r="F13" s="94"/>
      <c r="G13" s="94"/>
      <c r="H13" s="95"/>
    </row>
    <row r="14" spans="1:8" ht="14.25" customHeight="1">
      <c r="A14" s="149" t="s">
        <v>67</v>
      </c>
      <c r="B14" s="96" t="s">
        <v>68</v>
      </c>
      <c r="C14" s="96" t="s">
        <v>69</v>
      </c>
      <c r="D14" s="96" t="s">
        <v>70</v>
      </c>
      <c r="E14" s="96" t="s">
        <v>71</v>
      </c>
      <c r="F14" s="96" t="s">
        <v>72</v>
      </c>
      <c r="G14" s="96" t="s">
        <v>73</v>
      </c>
      <c r="H14" s="97" t="s">
        <v>74</v>
      </c>
    </row>
    <row r="15" spans="1:8">
      <c r="A15" s="149"/>
      <c r="B15" s="98">
        <f>B16</f>
        <v>0</v>
      </c>
      <c r="C15" s="98">
        <f>C16</f>
        <v>0</v>
      </c>
      <c r="D15" s="98">
        <f>D16</f>
        <v>0</v>
      </c>
      <c r="E15" s="98">
        <f>E16</f>
        <v>0</v>
      </c>
      <c r="F15" s="98">
        <f>F16</f>
        <v>0</v>
      </c>
      <c r="G15" s="98"/>
      <c r="H15" s="99">
        <f>SUM(B15:F15)</f>
        <v>0</v>
      </c>
    </row>
    <row r="16" spans="1:8">
      <c r="A16" s="100" t="s">
        <v>75</v>
      </c>
      <c r="B16" s="101"/>
      <c r="C16" s="101"/>
      <c r="D16" s="101"/>
      <c r="E16" s="101"/>
      <c r="F16" s="101"/>
      <c r="G16" s="101"/>
      <c r="H16" s="102"/>
    </row>
    <row r="17" spans="1:8">
      <c r="A17" s="103"/>
      <c r="B17" s="101"/>
      <c r="C17" s="101"/>
      <c r="D17" s="101"/>
      <c r="E17" s="101"/>
      <c r="F17" s="101"/>
      <c r="G17" s="101"/>
      <c r="H17" s="102"/>
    </row>
    <row r="18" spans="1:8">
      <c r="A18" s="104" t="s">
        <v>76</v>
      </c>
      <c r="B18" s="98">
        <f>B19</f>
        <v>0</v>
      </c>
      <c r="C18" s="98">
        <f>C19</f>
        <v>0</v>
      </c>
      <c r="D18" s="98">
        <f>D19</f>
        <v>0</v>
      </c>
      <c r="E18" s="98">
        <f>E19</f>
        <v>0</v>
      </c>
      <c r="F18" s="98">
        <f>F19</f>
        <v>0</v>
      </c>
      <c r="G18" s="98"/>
      <c r="H18" s="99">
        <f>SUM(B18:F18)</f>
        <v>0</v>
      </c>
    </row>
    <row r="19" spans="1:8">
      <c r="A19" s="100" t="s">
        <v>75</v>
      </c>
      <c r="B19" s="101"/>
      <c r="C19" s="101"/>
      <c r="D19" s="101"/>
      <c r="E19" s="101"/>
      <c r="F19" s="101"/>
      <c r="G19" s="101"/>
      <c r="H19" s="102"/>
    </row>
    <row r="20" spans="1:8">
      <c r="A20" s="105" t="s">
        <v>77</v>
      </c>
      <c r="B20" s="106"/>
      <c r="C20" s="106"/>
      <c r="D20" s="106"/>
      <c r="E20" s="107"/>
      <c r="F20" s="107"/>
      <c r="G20" s="107"/>
      <c r="H20" s="108"/>
    </row>
    <row r="21" spans="1:8">
      <c r="A21" s="100" t="s">
        <v>77</v>
      </c>
      <c r="B21" s="106"/>
      <c r="C21" s="106"/>
      <c r="D21" s="106"/>
      <c r="E21" s="107"/>
      <c r="F21" s="107"/>
      <c r="G21" s="107"/>
      <c r="H21" s="109"/>
    </row>
    <row r="22" spans="1:8">
      <c r="A22" s="103" t="s">
        <v>78</v>
      </c>
      <c r="B22" s="106"/>
      <c r="C22" s="106"/>
      <c r="D22" s="106"/>
      <c r="E22" s="107"/>
      <c r="F22" s="107"/>
      <c r="G22" s="107"/>
      <c r="H22" s="109"/>
    </row>
    <row r="23" spans="1:8">
      <c r="A23" s="105" t="s">
        <v>79</v>
      </c>
      <c r="B23" s="106" t="s">
        <v>4</v>
      </c>
      <c r="C23" s="106"/>
      <c r="D23" s="106"/>
      <c r="E23" s="107"/>
      <c r="F23" s="107"/>
      <c r="G23" s="107"/>
      <c r="H23" s="106"/>
    </row>
    <row r="24" spans="1:8">
      <c r="A24" s="103" t="s">
        <v>80</v>
      </c>
      <c r="B24" s="110"/>
      <c r="C24" s="110"/>
      <c r="D24" s="110"/>
      <c r="E24" s="110"/>
      <c r="F24" s="110"/>
      <c r="G24" s="110"/>
      <c r="H24" s="110"/>
    </row>
    <row r="25" spans="1:8">
      <c r="A25" s="103" t="s">
        <v>81</v>
      </c>
      <c r="B25" s="110"/>
      <c r="C25" s="110"/>
      <c r="D25" s="110"/>
      <c r="E25" s="110"/>
      <c r="F25" s="110"/>
      <c r="G25" s="110"/>
      <c r="H25" s="110"/>
    </row>
    <row r="31" spans="1:8">
      <c r="E31" s="53" t="s">
        <v>82</v>
      </c>
    </row>
  </sheetData>
  <mergeCells count="12">
    <mergeCell ref="A14:A15"/>
    <mergeCell ref="B8:C8"/>
    <mergeCell ref="E8:H8"/>
    <mergeCell ref="B10:C10"/>
    <mergeCell ref="E10:H10"/>
    <mergeCell ref="A11:B11"/>
    <mergeCell ref="B5:C5"/>
    <mergeCell ref="E5:H5"/>
    <mergeCell ref="B6:C6"/>
    <mergeCell ref="E6:H6"/>
    <mergeCell ref="B7:C7"/>
    <mergeCell ref="E7:H7"/>
  </mergeCell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outlinePr summaryBelow="0"/>
  </sheetPr>
  <dimension ref="A1:O67"/>
  <sheetViews>
    <sheetView tabSelected="1" topLeftCell="A22" zoomScaleNormal="100" workbookViewId="0">
      <pane xSplit="3" topLeftCell="D22" activePane="topRight" state="frozen"/>
      <selection pane="topRight"/>
      <selection activeCell="A22" sqref="A22"/>
    </sheetView>
  </sheetViews>
  <sheetFormatPr defaultColWidth="9" defaultRowHeight="14.25" outlineLevelRow="1"/>
  <cols>
    <col min="1" max="1" width="7.28515625" style="111"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2" customWidth="1"/>
  </cols>
  <sheetData>
    <row r="1" spans="2:7" ht="30" customHeight="1">
      <c r="B1" s="113" t="s">
        <v>83</v>
      </c>
      <c r="C1" s="113" t="s">
        <v>84</v>
      </c>
      <c r="D1" s="114"/>
      <c r="E1" s="114"/>
      <c r="F1" s="115"/>
    </row>
    <row r="2" spans="2:7" ht="15" customHeight="1">
      <c r="B2" s="113" t="s">
        <v>85</v>
      </c>
      <c r="C2" s="113" t="s">
        <v>86</v>
      </c>
      <c r="D2" s="114"/>
      <c r="E2" s="114"/>
      <c r="F2" s="115"/>
    </row>
    <row r="3" spans="2:7">
      <c r="B3" s="116" t="s">
        <v>87</v>
      </c>
      <c r="C3" s="117"/>
      <c r="D3" s="117"/>
      <c r="E3" s="117"/>
      <c r="F3" s="118"/>
    </row>
    <row r="4" spans="2:7" ht="15" customHeight="1">
      <c r="B4" s="119"/>
      <c r="C4" s="120" t="s">
        <v>88</v>
      </c>
      <c r="D4" s="120" t="s">
        <v>89</v>
      </c>
      <c r="E4" s="120" t="s">
        <v>90</v>
      </c>
      <c r="F4" s="121" t="s">
        <v>74</v>
      </c>
      <c r="G4" s="115"/>
    </row>
    <row r="5" spans="2:7" ht="15" customHeight="1">
      <c r="B5" s="122"/>
      <c r="C5" s="123">
        <f>SUM(C6:C10)</f>
        <v>0</v>
      </c>
      <c r="D5" s="123">
        <f>SUM(D6:D10)</f>
        <v>0</v>
      </c>
      <c r="E5" s="123">
        <f>SUM(E6:E10)</f>
        <v>0</v>
      </c>
      <c r="F5" s="123">
        <f>SUM(C5:E5)</f>
        <v>0</v>
      </c>
    </row>
    <row r="6" spans="2:7">
      <c r="B6" s="124" t="s">
        <v>68</v>
      </c>
      <c r="C6" s="125">
        <f>COUNTIFS($K:$K, $B6,$I:$I,C$4)</f>
        <v>0</v>
      </c>
      <c r="D6" s="125">
        <f>COUNTIFS($K:$K, $B6,$I:$I,D$4)</f>
        <v>0</v>
      </c>
      <c r="E6" s="125">
        <f>COUNTIFS($K:$K, $B6,$I:$I,E$4)</f>
        <v>0</v>
      </c>
      <c r="F6" s="125">
        <f>SUM(C6:E6)</f>
        <v>0</v>
      </c>
    </row>
    <row r="7" spans="2:7">
      <c r="B7" s="124" t="s">
        <v>69</v>
      </c>
      <c r="C7" s="125">
        <f>COUNTIFS($K:$K, $B7,$I:$I,C$4)</f>
        <v>0</v>
      </c>
      <c r="D7" s="125">
        <f>COUNTIFS($K:$K, $B7,$I:$I,D$4)</f>
        <v>0</v>
      </c>
      <c r="E7" s="125">
        <f>COUNTIFS($K:$K, $B7,$I:$I,E$4)</f>
        <v>0</v>
      </c>
      <c r="F7" s="125">
        <f>SUM(C7:E7)</f>
        <v>0</v>
      </c>
    </row>
    <row r="8" spans="2:7">
      <c r="B8" s="124" t="s">
        <v>70</v>
      </c>
      <c r="C8" s="125">
        <f>COUNTIFS($K:$K, $B8,$I:$I,C$4)</f>
        <v>0</v>
      </c>
      <c r="D8" s="125">
        <f>COUNTIFS($K:$K, $B8,$I:$I,D$4)</f>
        <v>0</v>
      </c>
      <c r="E8" s="125">
        <f>COUNTIFS($K:$K, $B8,$I:$I,E$4)</f>
        <v>0</v>
      </c>
      <c r="F8" s="125">
        <f>SUM(C8:E8)</f>
        <v>0</v>
      </c>
    </row>
    <row r="9" spans="2:7">
      <c r="B9" s="124" t="s">
        <v>71</v>
      </c>
      <c r="C9" s="125">
        <f>COUNTIFS($K:$K, $B9,$I:$I,C$4)</f>
        <v>0</v>
      </c>
      <c r="D9" s="125">
        <f>COUNTIFS($K:$K, $B9,$I:$I,D$4)</f>
        <v>0</v>
      </c>
      <c r="E9" s="125">
        <f>COUNTIFS($K:$K, $B9,$I:$I,E$4)</f>
        <v>0</v>
      </c>
      <c r="F9" s="125">
        <f>SUM(C9:E9)</f>
        <v>0</v>
      </c>
    </row>
    <row r="10" spans="2:7">
      <c r="B10" s="124" t="s">
        <v>72</v>
      </c>
      <c r="C10" s="125">
        <f>COUNTIFS($K:$K, $B10,$I:$I,C$4)</f>
        <v>0</v>
      </c>
      <c r="D10" s="125">
        <f>COUNTIFS($K:$K, $B10,$I:$I,D$4)</f>
        <v>0</v>
      </c>
      <c r="E10" s="125">
        <f>COUNTIFS($K:$K, $B10,$I:$I,E$4)</f>
        <v>0</v>
      </c>
      <c r="F10" s="125">
        <f>SUM(C10:E10)</f>
        <v>0</v>
      </c>
    </row>
    <row r="11" spans="2:7">
      <c r="B11" s="124" t="s">
        <v>73</v>
      </c>
      <c r="C11" s="125">
        <f>COUNTIFS($K:$K, $B11,$I:$I,C$4)</f>
        <v>0</v>
      </c>
      <c r="D11" s="125">
        <f>COUNTIFS($K:$K, $B11,$I:$I,D$4)</f>
        <v>0</v>
      </c>
      <c r="E11" s="125">
        <f>COUNTIFS($K:$K, $B11,$I:$I,E$4)</f>
        <v>0</v>
      </c>
      <c r="F11" s="125">
        <f>SUM(C11:E11)</f>
        <v>0</v>
      </c>
    </row>
    <row r="12" spans="2:7">
      <c r="B12" s="116" t="s">
        <v>91</v>
      </c>
      <c r="C12" s="117"/>
      <c r="D12" s="117"/>
      <c r="E12" s="117"/>
      <c r="F12" s="118"/>
    </row>
    <row r="13" spans="2:7" ht="15" customHeight="1">
      <c r="B13" s="119"/>
      <c r="C13" s="120" t="s">
        <v>88</v>
      </c>
      <c r="D13" s="120" t="s">
        <v>89</v>
      </c>
      <c r="E13" s="120" t="s">
        <v>90</v>
      </c>
      <c r="F13" s="121" t="s">
        <v>74</v>
      </c>
      <c r="G13" s="115"/>
    </row>
    <row r="14" spans="2:7" ht="15" customHeight="1">
      <c r="B14" s="122"/>
      <c r="C14" s="123">
        <f>SUM(C15:C19)</f>
        <v>0</v>
      </c>
      <c r="D14" s="123">
        <f>SUM(D15:D19)</f>
        <v>0</v>
      </c>
      <c r="E14" s="123">
        <f>SUM(E15:E19)</f>
        <v>0</v>
      </c>
      <c r="F14" s="123">
        <f>SUM(C14:E14)</f>
        <v>0</v>
      </c>
    </row>
    <row r="15" spans="2:7">
      <c r="B15" s="124" t="s">
        <v>68</v>
      </c>
      <c r="C15" s="125">
        <f>COUNTIFS($L:$L, $B15,$I:$I,C$4)</f>
        <v>0</v>
      </c>
      <c r="D15" s="125">
        <f>COUNTIFS($L:$L, $B15,$I:$I,D$4)</f>
        <v>0</v>
      </c>
      <c r="E15" s="125">
        <f>COUNTIFS($L:$L, $B15,$I:$I,E$4)</f>
        <v>0</v>
      </c>
      <c r="F15" s="125">
        <f>SUM(C15:E15)</f>
        <v>0</v>
      </c>
    </row>
    <row r="16" spans="2:7">
      <c r="B16" s="124" t="s">
        <v>69</v>
      </c>
      <c r="C16" s="125">
        <f>COUNTIFS($L:$L, $B16,$I:$I,C$4)</f>
        <v>0</v>
      </c>
      <c r="D16" s="125">
        <f>COUNTIFS($L:$L, $B16,$I:$I,D$4)</f>
        <v>0</v>
      </c>
      <c r="E16" s="125">
        <f>COUNTIFS($L:$L, $B16,$I:$I,E$4)</f>
        <v>0</v>
      </c>
      <c r="F16" s="125">
        <f>SUM(C16:E16)</f>
        <v>0</v>
      </c>
    </row>
    <row r="17" spans="1:15">
      <c r="B17" s="124" t="s">
        <v>70</v>
      </c>
      <c r="C17" s="125">
        <f>COUNTIFS($L:$L, $B17,$I:$I,C$4)</f>
        <v>0</v>
      </c>
      <c r="D17" s="125">
        <f>COUNTIFS($L:$L, $B17,$I:$I,D$4)</f>
        <v>0</v>
      </c>
      <c r="E17" s="125">
        <f>COUNTIFS($L:$L, $B17,$I:$I,E$4)</f>
        <v>0</v>
      </c>
      <c r="F17" s="125">
        <f>SUM(C17:E17)</f>
        <v>0</v>
      </c>
    </row>
    <row r="18" spans="1:15">
      <c r="B18" s="124" t="s">
        <v>71</v>
      </c>
      <c r="C18" s="125">
        <f>COUNTIFS($L:$L, $B18,$I:$I,C$4)</f>
        <v>0</v>
      </c>
      <c r="D18" s="125">
        <f>COUNTIFS($L:$L, $B18,$I:$I,D$4)</f>
        <v>0</v>
      </c>
      <c r="E18" s="125">
        <f>COUNTIFS($L:$L, $B18,$I:$I,E$4)</f>
        <v>0</v>
      </c>
      <c r="F18" s="125">
        <f>SUM(C18:E18)</f>
        <v>0</v>
      </c>
    </row>
    <row r="19" spans="1:15">
      <c r="B19" s="124" t="s">
        <v>72</v>
      </c>
      <c r="C19" s="125">
        <f>COUNTIFS($L:$L, $B19,$I:$I,C$4)</f>
        <v>0</v>
      </c>
      <c r="D19" s="125">
        <f>COUNTIFS($L:$L, $B19,$I:$I,D$4)</f>
        <v>0</v>
      </c>
      <c r="E19" s="125">
        <f>COUNTIFS($L:$L, $B19,$I:$I,E$4)</f>
        <v>0</v>
      </c>
      <c r="F19" s="125">
        <f>SUM(C19:E19)</f>
        <v>0</v>
      </c>
    </row>
    <row r="20" spans="1:15">
      <c r="B20" s="124" t="s">
        <v>73</v>
      </c>
      <c r="C20" s="125">
        <f>COUNTIFS($L:$L, $B20,$I:$I,C$4)</f>
        <v>0</v>
      </c>
      <c r="D20" s="125">
        <f>COUNTIFS($L:$L, $B20,$I:$I,D$4)</f>
        <v>0</v>
      </c>
      <c r="E20" s="125">
        <f>COUNTIFS($L:$L, $B20,$I:$I,E$4)</f>
        <v>0</v>
      </c>
      <c r="F20" s="125">
        <f>SUM(C20:E20)</f>
        <v>0</v>
      </c>
    </row>
    <row r="21" spans="1:15" s="127" customFormat="1" ht="30" customHeight="1">
      <c r="A21" s="126" t="s">
        <v>92</v>
      </c>
      <c r="B21" s="126" t="s">
        <v>93</v>
      </c>
      <c r="C21" s="126" t="s">
        <v>94</v>
      </c>
      <c r="D21" s="126" t="s">
        <v>95</v>
      </c>
      <c r="E21" s="126" t="s">
        <v>96</v>
      </c>
      <c r="F21" s="126" t="s">
        <v>97</v>
      </c>
      <c r="G21" s="126" t="s">
        <v>98</v>
      </c>
      <c r="H21" s="126" t="s">
        <v>61</v>
      </c>
      <c r="I21" s="126" t="s">
        <v>99</v>
      </c>
      <c r="J21" s="126" t="s">
        <v>100</v>
      </c>
      <c r="K21" s="126" t="s">
        <v>101</v>
      </c>
      <c r="L21" s="126" t="s">
        <v>102</v>
      </c>
      <c r="M21" s="126" t="s">
        <v>103</v>
      </c>
      <c r="N21" s="126" t="s">
        <v>104</v>
      </c>
      <c r="O21" s="126" t="s">
        <v>105</v>
      </c>
    </row>
    <row r="22" spans="1:15" ht="18" customHeight="1">
      <c r="A22" s="128"/>
      <c r="B22" s="128" t="s">
        <v>106</v>
      </c>
      <c r="C22" s="128" t="s">
        <v>107</v>
      </c>
      <c r="D22" s="128"/>
      <c r="E22" s="128"/>
      <c r="F22" s="128"/>
      <c r="G22" s="128"/>
      <c r="H22" s="128"/>
      <c r="I22" s="128"/>
      <c r="J22" s="128"/>
      <c r="K22" s="128"/>
      <c r="L22" s="128"/>
      <c r="M22" s="128"/>
      <c r="N22" s="128"/>
      <c r="O22" s="128"/>
    </row>
    <row r="23" spans="1:15" ht="49.5" customHeight="1" outlineLevel="1">
      <c r="A23" s="129">
        <v>1</v>
      </c>
      <c r="B23" s="130" t="s">
        <v>108</v>
      </c>
      <c r="C23" s="130" t="s">
        <v>109</v>
      </c>
      <c r="D23" s="130" t="s">
        <v>110</v>
      </c>
      <c r="E23" s="130" t="s">
        <v>111</v>
      </c>
      <c r="F23" s="130"/>
      <c r="G23" s="130" t="s">
        <v>112</v>
      </c>
      <c r="H23" s="130"/>
      <c r="I23" s="129" t="s">
        <v>88</v>
      </c>
      <c r="J23" s="129" t="s">
        <v>113</v>
      </c>
      <c r="K23" s="129"/>
      <c r="L23" s="129"/>
      <c r="M23" s="129"/>
      <c r="N23" s="130"/>
      <c r="O23" s="130"/>
    </row>
    <row r="24" spans="1:15" ht="36" customHeight="1" outlineLevel="1">
      <c r="A24" s="129">
        <v>2</v>
      </c>
      <c r="B24" s="130" t="s">
        <v>114</v>
      </c>
      <c r="C24" s="130" t="s">
        <v>115</v>
      </c>
      <c r="D24" s="130"/>
      <c r="E24" s="130" t="s">
        <v>116</v>
      </c>
      <c r="F24" s="130"/>
      <c r="G24" s="130" t="s">
        <v>117</v>
      </c>
      <c r="H24" s="130"/>
      <c r="I24" s="129" t="s">
        <v>89</v>
      </c>
      <c r="J24" s="129" t="s">
        <v>113</v>
      </c>
      <c r="K24" s="129"/>
      <c r="L24" s="129"/>
      <c r="M24" s="129"/>
      <c r="N24" s="130"/>
      <c r="O24" s="130"/>
    </row>
    <row r="25" spans="1:15" ht="36" customHeight="1" outlineLevel="1">
      <c r="A25" s="129">
        <v>3</v>
      </c>
      <c r="B25" s="130" t="s">
        <v>118</v>
      </c>
      <c r="C25" s="130" t="s">
        <v>119</v>
      </c>
      <c r="D25" s="130"/>
      <c r="E25" s="130" t="s">
        <v>120</v>
      </c>
      <c r="F25" s="130"/>
      <c r="G25" s="130" t="s">
        <v>121</v>
      </c>
      <c r="H25" s="130"/>
      <c r="I25" s="129" t="s">
        <v>89</v>
      </c>
      <c r="J25" s="129" t="s">
        <v>113</v>
      </c>
      <c r="K25" s="129"/>
      <c r="L25" s="129"/>
      <c r="M25" s="129"/>
      <c r="N25" s="130"/>
      <c r="O25" s="130"/>
    </row>
    <row r="26" spans="1:15" ht="36" customHeight="1" outlineLevel="1">
      <c r="A26" s="129">
        <v>4</v>
      </c>
      <c r="B26" s="130" t="s">
        <v>122</v>
      </c>
      <c r="C26" s="130" t="s">
        <v>123</v>
      </c>
      <c r="D26" s="130"/>
      <c r="E26" s="130" t="s">
        <v>124</v>
      </c>
      <c r="F26" s="130"/>
      <c r="G26" s="130" t="s">
        <v>125</v>
      </c>
      <c r="H26" s="130"/>
      <c r="I26" s="129" t="s">
        <v>88</v>
      </c>
      <c r="J26" s="129" t="s">
        <v>113</v>
      </c>
      <c r="K26" s="129"/>
      <c r="L26" s="129"/>
      <c r="M26" s="129"/>
      <c r="N26" s="130"/>
      <c r="O26" s="130"/>
    </row>
    <row r="27" spans="1:15" ht="36" customHeight="1" outlineLevel="1">
      <c r="A27" s="129">
        <v>5</v>
      </c>
      <c r="B27" s="130" t="s">
        <v>126</v>
      </c>
      <c r="C27" s="130" t="s">
        <v>127</v>
      </c>
      <c r="D27" s="130"/>
      <c r="E27" s="130" t="s">
        <v>128</v>
      </c>
      <c r="F27" s="130"/>
      <c r="G27" s="130" t="s">
        <v>129</v>
      </c>
      <c r="H27" s="130"/>
      <c r="I27" s="129" t="s">
        <v>89</v>
      </c>
      <c r="J27" s="129" t="s">
        <v>113</v>
      </c>
      <c r="K27" s="129"/>
      <c r="L27" s="129"/>
      <c r="M27" s="129"/>
      <c r="N27" s="130"/>
      <c r="O27" s="130"/>
    </row>
    <row r="28" spans="1:15" ht="18" customHeight="1">
      <c r="A28" s="128"/>
      <c r="B28" s="128" t="s">
        <v>130</v>
      </c>
      <c r="C28" s="128" t="s">
        <v>131</v>
      </c>
      <c r="D28" s="128"/>
      <c r="E28" s="128"/>
      <c r="F28" s="128"/>
      <c r="G28" s="128"/>
      <c r="H28" s="128"/>
      <c r="I28" s="128"/>
      <c r="J28" s="128"/>
      <c r="K28" s="128"/>
      <c r="L28" s="128"/>
      <c r="M28" s="128"/>
      <c r="N28" s="128"/>
      <c r="O28" s="128"/>
    </row>
    <row r="29" spans="1:15" ht="49.5" customHeight="1" outlineLevel="1">
      <c r="A29" s="129">
        <v>6</v>
      </c>
      <c r="B29" s="130" t="s">
        <v>132</v>
      </c>
      <c r="C29" s="130" t="s">
        <v>133</v>
      </c>
      <c r="D29" s="130" t="s">
        <v>110</v>
      </c>
      <c r="E29" s="130" t="s">
        <v>134</v>
      </c>
      <c r="F29" s="130"/>
      <c r="G29" s="130" t="s">
        <v>135</v>
      </c>
      <c r="H29" s="130"/>
      <c r="I29" s="129" t="s">
        <v>88</v>
      </c>
      <c r="J29" s="129" t="s">
        <v>113</v>
      </c>
      <c r="K29" s="129"/>
      <c r="L29" s="129"/>
      <c r="M29" s="129"/>
      <c r="N29" s="130"/>
      <c r="O29" s="130"/>
    </row>
    <row r="30" spans="1:15" ht="63.75" customHeight="1" outlineLevel="1">
      <c r="A30" s="129">
        <v>7</v>
      </c>
      <c r="B30" s="130" t="s">
        <v>136</v>
      </c>
      <c r="C30" s="130" t="s">
        <v>137</v>
      </c>
      <c r="D30" s="130" t="s">
        <v>110</v>
      </c>
      <c r="E30" s="130" t="s">
        <v>138</v>
      </c>
      <c r="F30" s="130" t="s">
        <v>139</v>
      </c>
      <c r="G30" s="130" t="s">
        <v>140</v>
      </c>
      <c r="H30" s="130"/>
      <c r="I30" s="129" t="s">
        <v>88</v>
      </c>
      <c r="J30" s="129" t="s">
        <v>113</v>
      </c>
      <c r="K30" s="129"/>
      <c r="L30" s="129"/>
      <c r="M30" s="129"/>
      <c r="N30" s="130"/>
      <c r="O30" s="130"/>
    </row>
    <row r="31" spans="1:15" ht="63.75" customHeight="1" outlineLevel="1">
      <c r="A31" s="129">
        <v>8</v>
      </c>
      <c r="B31" s="130" t="s">
        <v>141</v>
      </c>
      <c r="C31" s="130" t="s">
        <v>142</v>
      </c>
      <c r="D31" s="130" t="s">
        <v>110</v>
      </c>
      <c r="E31" s="130" t="s">
        <v>143</v>
      </c>
      <c r="F31" s="130" t="s">
        <v>144</v>
      </c>
      <c r="G31" s="130" t="s">
        <v>140</v>
      </c>
      <c r="H31" s="130"/>
      <c r="I31" s="129" t="s">
        <v>88</v>
      </c>
      <c r="J31" s="129" t="s">
        <v>113</v>
      </c>
      <c r="K31" s="129"/>
      <c r="L31" s="129"/>
      <c r="M31" s="129"/>
      <c r="N31" s="130"/>
      <c r="O31" s="130"/>
    </row>
    <row r="32" spans="1:15" ht="63.75" customHeight="1" outlineLevel="1">
      <c r="A32" s="129">
        <v>9</v>
      </c>
      <c r="B32" s="130" t="s">
        <v>145</v>
      </c>
      <c r="C32" s="130" t="s">
        <v>146</v>
      </c>
      <c r="D32" s="130" t="s">
        <v>110</v>
      </c>
      <c r="E32" s="130" t="s">
        <v>147</v>
      </c>
      <c r="F32" s="130" t="s">
        <v>148</v>
      </c>
      <c r="G32" s="130" t="s">
        <v>149</v>
      </c>
      <c r="H32" s="130"/>
      <c r="I32" s="129" t="s">
        <v>88</v>
      </c>
      <c r="J32" s="129" t="s">
        <v>113</v>
      </c>
      <c r="K32" s="129"/>
      <c r="L32" s="129"/>
      <c r="M32" s="129"/>
      <c r="N32" s="130"/>
      <c r="O32" s="130"/>
    </row>
    <row r="33" spans="1:15" ht="91.5" customHeight="1" outlineLevel="1">
      <c r="A33" s="129">
        <v>10</v>
      </c>
      <c r="B33" s="130" t="s">
        <v>150</v>
      </c>
      <c r="C33" s="130" t="s">
        <v>151</v>
      </c>
      <c r="D33" s="130" t="s">
        <v>110</v>
      </c>
      <c r="E33" s="130" t="s">
        <v>152</v>
      </c>
      <c r="F33" s="130" t="s">
        <v>153</v>
      </c>
      <c r="G33" s="130" t="s">
        <v>154</v>
      </c>
      <c r="H33" s="130"/>
      <c r="I33" s="129" t="s">
        <v>88</v>
      </c>
      <c r="J33" s="129" t="s">
        <v>113</v>
      </c>
      <c r="K33" s="129"/>
      <c r="L33" s="129"/>
      <c r="M33" s="129"/>
      <c r="N33" s="130"/>
      <c r="O33" s="130"/>
    </row>
    <row r="34" spans="1:15" ht="63.75" customHeight="1" outlineLevel="1">
      <c r="A34" s="129">
        <v>11</v>
      </c>
      <c r="B34" s="130" t="s">
        <v>155</v>
      </c>
      <c r="C34" s="130" t="s">
        <v>156</v>
      </c>
      <c r="D34" s="130" t="s">
        <v>110</v>
      </c>
      <c r="E34" s="130" t="s">
        <v>157</v>
      </c>
      <c r="F34" s="130" t="s">
        <v>158</v>
      </c>
      <c r="G34" s="130" t="s">
        <v>159</v>
      </c>
      <c r="H34" s="130"/>
      <c r="I34" s="129" t="s">
        <v>88</v>
      </c>
      <c r="J34" s="129" t="s">
        <v>113</v>
      </c>
      <c r="K34" s="129"/>
      <c r="L34" s="129"/>
      <c r="M34" s="129"/>
      <c r="N34" s="130"/>
      <c r="O34" s="130"/>
    </row>
    <row r="35" spans="1:15" ht="63.75" customHeight="1" outlineLevel="1">
      <c r="A35" s="129">
        <v>12</v>
      </c>
      <c r="B35" s="130" t="s">
        <v>160</v>
      </c>
      <c r="C35" s="130" t="s">
        <v>161</v>
      </c>
      <c r="D35" s="130" t="s">
        <v>110</v>
      </c>
      <c r="E35" s="130" t="s">
        <v>162</v>
      </c>
      <c r="F35" s="130" t="s">
        <v>163</v>
      </c>
      <c r="G35" s="130" t="s">
        <v>164</v>
      </c>
      <c r="H35" s="130"/>
      <c r="I35" s="129" t="s">
        <v>88</v>
      </c>
      <c r="J35" s="129" t="s">
        <v>113</v>
      </c>
      <c r="K35" s="129"/>
      <c r="L35" s="129"/>
      <c r="M35" s="129"/>
      <c r="N35" s="130"/>
      <c r="O35" s="130"/>
    </row>
    <row r="36" spans="1:15" ht="63.75" customHeight="1" outlineLevel="1">
      <c r="A36" s="129">
        <v>13</v>
      </c>
      <c r="B36" s="130" t="s">
        <v>165</v>
      </c>
      <c r="C36" s="130" t="s">
        <v>166</v>
      </c>
      <c r="D36" s="130" t="s">
        <v>110</v>
      </c>
      <c r="E36" s="130" t="s">
        <v>167</v>
      </c>
      <c r="F36" s="130" t="s">
        <v>168</v>
      </c>
      <c r="G36" s="130" t="s">
        <v>169</v>
      </c>
      <c r="H36" s="130"/>
      <c r="I36" s="129" t="s">
        <v>88</v>
      </c>
      <c r="J36" s="129" t="s">
        <v>113</v>
      </c>
      <c r="K36" s="129"/>
      <c r="L36" s="129"/>
      <c r="M36" s="129"/>
      <c r="N36" s="130"/>
      <c r="O36" s="130"/>
    </row>
    <row r="37" spans="1:15" ht="63.75" customHeight="1" outlineLevel="1">
      <c r="A37" s="129">
        <v>14</v>
      </c>
      <c r="B37" s="130" t="s">
        <v>170</v>
      </c>
      <c r="C37" s="130" t="s">
        <v>171</v>
      </c>
      <c r="D37" s="130" t="s">
        <v>110</v>
      </c>
      <c r="E37" s="130" t="s">
        <v>172</v>
      </c>
      <c r="F37" s="130" t="s">
        <v>168</v>
      </c>
      <c r="G37" s="130" t="s">
        <v>169</v>
      </c>
      <c r="H37" s="130"/>
      <c r="I37" s="129" t="s">
        <v>88</v>
      </c>
      <c r="J37" s="129" t="s">
        <v>113</v>
      </c>
      <c r="K37" s="129"/>
      <c r="L37" s="129"/>
      <c r="M37" s="129"/>
      <c r="N37" s="130"/>
      <c r="O37" s="130"/>
    </row>
    <row r="38" spans="1:15" ht="217.5" customHeight="1" outlineLevel="1">
      <c r="A38" s="129">
        <v>15</v>
      </c>
      <c r="B38" s="130" t="s">
        <v>173</v>
      </c>
      <c r="C38" s="130" t="s">
        <v>174</v>
      </c>
      <c r="D38" s="130" t="s">
        <v>110</v>
      </c>
      <c r="E38" s="130" t="s">
        <v>175</v>
      </c>
      <c r="F38" s="130" t="s">
        <v>176</v>
      </c>
      <c r="G38" s="130" t="s">
        <v>177</v>
      </c>
      <c r="H38" s="130"/>
      <c r="I38" s="129" t="s">
        <v>88</v>
      </c>
      <c r="J38" s="129" t="s">
        <v>113</v>
      </c>
      <c r="K38" s="129"/>
      <c r="L38" s="129"/>
      <c r="M38" s="129"/>
      <c r="N38" s="130"/>
      <c r="O38" s="130"/>
    </row>
    <row r="39" spans="1:15" ht="63.75" customHeight="1" outlineLevel="1">
      <c r="A39" s="129">
        <v>16</v>
      </c>
      <c r="B39" s="130" t="s">
        <v>178</v>
      </c>
      <c r="C39" s="130" t="s">
        <v>179</v>
      </c>
      <c r="D39" s="130" t="s">
        <v>110</v>
      </c>
      <c r="E39" s="130" t="s">
        <v>180</v>
      </c>
      <c r="F39" s="130" t="s">
        <v>181</v>
      </c>
      <c r="G39" s="130" t="s">
        <v>182</v>
      </c>
      <c r="H39" s="130"/>
      <c r="I39" s="129" t="s">
        <v>88</v>
      </c>
      <c r="J39" s="129" t="s">
        <v>113</v>
      </c>
      <c r="K39" s="129"/>
      <c r="L39" s="129"/>
      <c r="M39" s="129"/>
      <c r="N39" s="130"/>
      <c r="O39" s="130"/>
    </row>
    <row r="40" spans="1:15" ht="63.75" customHeight="1" outlineLevel="1">
      <c r="A40" s="129">
        <v>17</v>
      </c>
      <c r="B40" s="130" t="s">
        <v>183</v>
      </c>
      <c r="C40" s="130" t="s">
        <v>184</v>
      </c>
      <c r="D40" s="130" t="s">
        <v>110</v>
      </c>
      <c r="E40" s="130" t="s">
        <v>185</v>
      </c>
      <c r="F40" s="130" t="s">
        <v>186</v>
      </c>
      <c r="G40" s="130" t="s">
        <v>187</v>
      </c>
      <c r="H40" s="130"/>
      <c r="I40" s="129" t="s">
        <v>88</v>
      </c>
      <c r="J40" s="129" t="s">
        <v>113</v>
      </c>
      <c r="K40" s="129"/>
      <c r="L40" s="129"/>
      <c r="M40" s="129"/>
      <c r="N40" s="130"/>
      <c r="O40" s="130" t="s">
        <v>188</v>
      </c>
    </row>
    <row r="41" spans="1:15" ht="63.75" customHeight="1" outlineLevel="1">
      <c r="A41" s="129">
        <v>18</v>
      </c>
      <c r="B41" s="130" t="s">
        <v>189</v>
      </c>
      <c r="C41" s="130" t="s">
        <v>190</v>
      </c>
      <c r="D41" s="130" t="s">
        <v>110</v>
      </c>
      <c r="E41" s="130" t="s">
        <v>191</v>
      </c>
      <c r="F41" s="130" t="s">
        <v>192</v>
      </c>
      <c r="G41" s="130" t="s">
        <v>140</v>
      </c>
      <c r="H41" s="130"/>
      <c r="I41" s="129" t="s">
        <v>88</v>
      </c>
      <c r="J41" s="129" t="s">
        <v>113</v>
      </c>
      <c r="K41" s="129"/>
      <c r="L41" s="129"/>
      <c r="M41" s="129"/>
      <c r="N41" s="130"/>
      <c r="O41" s="130"/>
    </row>
    <row r="42" spans="1:15" ht="63.75" customHeight="1" outlineLevel="1">
      <c r="A42" s="129">
        <v>19</v>
      </c>
      <c r="B42" s="130" t="s">
        <v>193</v>
      </c>
      <c r="C42" s="130" t="s">
        <v>194</v>
      </c>
      <c r="D42" s="130" t="s">
        <v>110</v>
      </c>
      <c r="E42" s="130" t="s">
        <v>195</v>
      </c>
      <c r="F42" s="130" t="s">
        <v>196</v>
      </c>
      <c r="G42" s="130" t="s">
        <v>140</v>
      </c>
      <c r="H42" s="130"/>
      <c r="I42" s="129" t="s">
        <v>88</v>
      </c>
      <c r="J42" s="129" t="s">
        <v>113</v>
      </c>
      <c r="K42" s="129"/>
      <c r="L42" s="129"/>
      <c r="M42" s="129"/>
      <c r="N42" s="130"/>
      <c r="O42" s="130"/>
    </row>
    <row r="43" spans="1:15" ht="63.75" customHeight="1" outlineLevel="1">
      <c r="A43" s="129">
        <v>20</v>
      </c>
      <c r="B43" s="130" t="s">
        <v>197</v>
      </c>
      <c r="C43" s="130" t="s">
        <v>198</v>
      </c>
      <c r="D43" s="130" t="s">
        <v>110</v>
      </c>
      <c r="E43" s="130" t="s">
        <v>199</v>
      </c>
      <c r="F43" s="130" t="s">
        <v>200</v>
      </c>
      <c r="G43" s="130" t="s">
        <v>201</v>
      </c>
      <c r="H43" s="130"/>
      <c r="I43" s="129" t="s">
        <v>88</v>
      </c>
      <c r="J43" s="129" t="s">
        <v>113</v>
      </c>
      <c r="K43" s="129"/>
      <c r="L43" s="129"/>
      <c r="M43" s="129"/>
      <c r="N43" s="130"/>
      <c r="O43" s="130"/>
    </row>
    <row r="44" spans="1:15" ht="63.75" customHeight="1" outlineLevel="1">
      <c r="A44" s="129">
        <v>21</v>
      </c>
      <c r="B44" s="130" t="s">
        <v>202</v>
      </c>
      <c r="C44" s="130" t="s">
        <v>203</v>
      </c>
      <c r="D44" s="130" t="s">
        <v>110</v>
      </c>
      <c r="E44" s="130" t="s">
        <v>204</v>
      </c>
      <c r="F44" s="130" t="s">
        <v>205</v>
      </c>
      <c r="G44" s="130" t="s">
        <v>206</v>
      </c>
      <c r="H44" s="130"/>
      <c r="I44" s="129" t="s">
        <v>88</v>
      </c>
      <c r="J44" s="129" t="s">
        <v>113</v>
      </c>
      <c r="K44" s="129"/>
      <c r="L44" s="129"/>
      <c r="M44" s="129"/>
      <c r="N44" s="130"/>
      <c r="O44" s="130"/>
    </row>
    <row r="45" spans="1:15" ht="63.75" customHeight="1" outlineLevel="1">
      <c r="A45" s="129">
        <v>22</v>
      </c>
      <c r="B45" s="130" t="s">
        <v>207</v>
      </c>
      <c r="C45" s="130" t="s">
        <v>208</v>
      </c>
      <c r="D45" s="130" t="s">
        <v>110</v>
      </c>
      <c r="E45" s="130" t="s">
        <v>209</v>
      </c>
      <c r="F45" s="130" t="s">
        <v>210</v>
      </c>
      <c r="G45" s="130" t="s">
        <v>211</v>
      </c>
      <c r="H45" s="130"/>
      <c r="I45" s="129" t="s">
        <v>88</v>
      </c>
      <c r="J45" s="129" t="s">
        <v>113</v>
      </c>
      <c r="K45" s="129"/>
      <c r="L45" s="129"/>
      <c r="M45" s="129"/>
      <c r="N45" s="130"/>
      <c r="O45" s="130"/>
    </row>
    <row r="46" spans="1:15" ht="63.75" customHeight="1" outlineLevel="1">
      <c r="A46" s="129">
        <v>23</v>
      </c>
      <c r="B46" s="130" t="s">
        <v>212</v>
      </c>
      <c r="C46" s="130" t="s">
        <v>213</v>
      </c>
      <c r="D46" s="130" t="s">
        <v>110</v>
      </c>
      <c r="E46" s="130" t="s">
        <v>214</v>
      </c>
      <c r="F46" s="130" t="s">
        <v>215</v>
      </c>
      <c r="G46" s="130" t="s">
        <v>216</v>
      </c>
      <c r="H46" s="130"/>
      <c r="I46" s="129" t="s">
        <v>88</v>
      </c>
      <c r="J46" s="129" t="s">
        <v>113</v>
      </c>
      <c r="K46" s="129"/>
      <c r="L46" s="129"/>
      <c r="M46" s="129"/>
      <c r="N46" s="130"/>
      <c r="O46" s="130"/>
    </row>
    <row r="47" spans="1:15" ht="63.75" customHeight="1" outlineLevel="1">
      <c r="A47" s="129">
        <v>24</v>
      </c>
      <c r="B47" s="130" t="s">
        <v>217</v>
      </c>
      <c r="C47" s="130" t="s">
        <v>218</v>
      </c>
      <c r="D47" s="130" t="s">
        <v>110</v>
      </c>
      <c r="E47" s="130" t="s">
        <v>219</v>
      </c>
      <c r="F47" s="130" t="s">
        <v>220</v>
      </c>
      <c r="G47" s="130" t="s">
        <v>221</v>
      </c>
      <c r="H47" s="130"/>
      <c r="I47" s="129" t="s">
        <v>88</v>
      </c>
      <c r="J47" s="129" t="s">
        <v>113</v>
      </c>
      <c r="K47" s="129"/>
      <c r="L47" s="129"/>
      <c r="M47" s="129"/>
      <c r="N47" s="130"/>
      <c r="O47" s="130"/>
    </row>
    <row r="48" spans="1:15" ht="63.75" customHeight="1" outlineLevel="1">
      <c r="A48" s="129">
        <v>25</v>
      </c>
      <c r="B48" s="130" t="s">
        <v>222</v>
      </c>
      <c r="C48" s="130" t="s">
        <v>223</v>
      </c>
      <c r="D48" s="130" t="s">
        <v>110</v>
      </c>
      <c r="E48" s="130" t="s">
        <v>224</v>
      </c>
      <c r="F48" s="130" t="s">
        <v>225</v>
      </c>
      <c r="G48" s="130" t="s">
        <v>226</v>
      </c>
      <c r="H48" s="130"/>
      <c r="I48" s="129" t="s">
        <v>89</v>
      </c>
      <c r="J48" s="129" t="s">
        <v>113</v>
      </c>
      <c r="K48" s="129"/>
      <c r="L48" s="129"/>
      <c r="M48" s="129"/>
      <c r="N48" s="130"/>
      <c r="O48" s="130" t="s">
        <v>227</v>
      </c>
    </row>
    <row r="49" spans="1:15" ht="49.5" customHeight="1" outlineLevel="1">
      <c r="A49" s="129">
        <v>26</v>
      </c>
      <c r="B49" s="130" t="s">
        <v>228</v>
      </c>
      <c r="C49" s="130" t="s">
        <v>229</v>
      </c>
      <c r="D49" s="130" t="s">
        <v>110</v>
      </c>
      <c r="E49" s="130" t="s">
        <v>230</v>
      </c>
      <c r="F49" s="130"/>
      <c r="G49" s="130" t="s">
        <v>231</v>
      </c>
      <c r="H49" s="130"/>
      <c r="I49" s="129" t="s">
        <v>88</v>
      </c>
      <c r="J49" s="129" t="s">
        <v>113</v>
      </c>
      <c r="K49" s="129"/>
      <c r="L49" s="129"/>
      <c r="M49" s="129"/>
      <c r="N49" s="130"/>
      <c r="O49" s="130"/>
    </row>
    <row r="50" spans="1:15" ht="49.5" customHeight="1" outlineLevel="1">
      <c r="A50" s="129">
        <v>27</v>
      </c>
      <c r="B50" s="130" t="s">
        <v>232</v>
      </c>
      <c r="C50" s="130" t="s">
        <v>233</v>
      </c>
      <c r="D50" s="130"/>
      <c r="E50" s="130" t="s">
        <v>234</v>
      </c>
      <c r="F50" s="130"/>
      <c r="G50" s="130" t="s">
        <v>235</v>
      </c>
      <c r="H50" s="130"/>
      <c r="I50" s="129" t="s">
        <v>89</v>
      </c>
      <c r="J50" s="129" t="s">
        <v>113</v>
      </c>
      <c r="K50" s="129"/>
      <c r="L50" s="129"/>
      <c r="M50" s="129"/>
      <c r="N50" s="130"/>
      <c r="O50" s="130"/>
    </row>
    <row r="51" spans="1:15" ht="49.5" customHeight="1" outlineLevel="1">
      <c r="A51" s="129">
        <v>28</v>
      </c>
      <c r="B51" s="130" t="s">
        <v>236</v>
      </c>
      <c r="C51" s="130" t="s">
        <v>237</v>
      </c>
      <c r="D51" s="130"/>
      <c r="E51" s="130" t="s">
        <v>238</v>
      </c>
      <c r="F51" s="130"/>
      <c r="G51" s="130" t="s">
        <v>239</v>
      </c>
      <c r="H51" s="130"/>
      <c r="I51" s="129" t="s">
        <v>89</v>
      </c>
      <c r="J51" s="129" t="s">
        <v>113</v>
      </c>
      <c r="K51" s="129"/>
      <c r="L51" s="129"/>
      <c r="M51" s="129"/>
      <c r="N51" s="130"/>
      <c r="O51" s="130"/>
    </row>
    <row r="52" spans="1:15" ht="18" customHeight="1">
      <c r="A52" s="128"/>
      <c r="B52" s="128" t="s">
        <v>240</v>
      </c>
      <c r="C52" s="128" t="s">
        <v>241</v>
      </c>
      <c r="D52" s="128"/>
      <c r="E52" s="128"/>
      <c r="F52" s="128"/>
      <c r="G52" s="128"/>
      <c r="H52" s="128"/>
      <c r="I52" s="128"/>
      <c r="J52" s="128"/>
      <c r="K52" s="128"/>
      <c r="L52" s="128"/>
      <c r="M52" s="128"/>
      <c r="N52" s="128"/>
      <c r="O52" s="128"/>
    </row>
    <row r="53" spans="1:15" ht="49.5" customHeight="1" outlineLevel="1">
      <c r="A53" s="129">
        <v>29</v>
      </c>
      <c r="B53" s="130" t="s">
        <v>242</v>
      </c>
      <c r="C53" s="130" t="s">
        <v>243</v>
      </c>
      <c r="D53" s="130" t="s">
        <v>244</v>
      </c>
      <c r="E53" s="130" t="s">
        <v>245</v>
      </c>
      <c r="F53" s="130"/>
      <c r="G53" s="130" t="s">
        <v>246</v>
      </c>
      <c r="H53" s="130"/>
      <c r="I53" s="129" t="s">
        <v>88</v>
      </c>
      <c r="J53" s="129" t="s">
        <v>113</v>
      </c>
      <c r="K53" s="129"/>
      <c r="L53" s="129"/>
      <c r="M53" s="129"/>
      <c r="N53" s="130"/>
      <c r="O53" s="130"/>
    </row>
    <row r="54" spans="1:15" ht="36" customHeight="1" outlineLevel="1">
      <c r="A54" s="129">
        <v>30</v>
      </c>
      <c r="B54" s="130" t="s">
        <v>247</v>
      </c>
      <c r="C54" s="130" t="s">
        <v>248</v>
      </c>
      <c r="D54" s="130"/>
      <c r="E54" s="130" t="s">
        <v>249</v>
      </c>
      <c r="F54" s="130"/>
      <c r="G54" s="130" t="s">
        <v>250</v>
      </c>
      <c r="H54" s="130"/>
      <c r="I54" s="129" t="s">
        <v>88</v>
      </c>
      <c r="J54" s="129" t="s">
        <v>113</v>
      </c>
      <c r="K54" s="129"/>
      <c r="L54" s="129"/>
      <c r="M54" s="129"/>
      <c r="N54" s="130"/>
      <c r="O54" s="130"/>
    </row>
    <row r="55" spans="1:15" ht="36" customHeight="1" outlineLevel="1">
      <c r="A55" s="129">
        <v>31</v>
      </c>
      <c r="B55" s="130" t="s">
        <v>251</v>
      </c>
      <c r="C55" s="130" t="s">
        <v>252</v>
      </c>
      <c r="D55" s="130"/>
      <c r="E55" s="130" t="s">
        <v>253</v>
      </c>
      <c r="F55" s="130" t="s">
        <v>254</v>
      </c>
      <c r="G55" s="130" t="s">
        <v>255</v>
      </c>
      <c r="H55" s="130"/>
      <c r="I55" s="129" t="s">
        <v>89</v>
      </c>
      <c r="J55" s="129" t="s">
        <v>113</v>
      </c>
      <c r="K55" s="129"/>
      <c r="L55" s="129"/>
      <c r="M55" s="129"/>
      <c r="N55" s="130"/>
      <c r="O55" s="130"/>
    </row>
    <row r="56" spans="1:15" ht="36" customHeight="1" outlineLevel="1">
      <c r="A56" s="129">
        <v>32</v>
      </c>
      <c r="B56" s="130" t="s">
        <v>256</v>
      </c>
      <c r="C56" s="130" t="s">
        <v>257</v>
      </c>
      <c r="D56" s="130"/>
      <c r="E56" s="130" t="s">
        <v>258</v>
      </c>
      <c r="F56" s="130"/>
      <c r="G56" s="130" t="s">
        <v>259</v>
      </c>
      <c r="H56" s="130"/>
      <c r="I56" s="129" t="s">
        <v>89</v>
      </c>
      <c r="J56" s="129" t="s">
        <v>113</v>
      </c>
      <c r="K56" s="129"/>
      <c r="L56" s="129"/>
      <c r="M56" s="129"/>
      <c r="N56" s="130"/>
      <c r="O56" s="130"/>
    </row>
    <row r="57" spans="1:15" ht="36" customHeight="1" outlineLevel="1">
      <c r="A57" s="129">
        <v>33</v>
      </c>
      <c r="B57" s="130" t="s">
        <v>260</v>
      </c>
      <c r="C57" s="130" t="s">
        <v>261</v>
      </c>
      <c r="D57" s="130"/>
      <c r="E57" s="130" t="s">
        <v>262</v>
      </c>
      <c r="F57" s="130"/>
      <c r="G57" s="130" t="s">
        <v>263</v>
      </c>
      <c r="H57" s="130"/>
      <c r="I57" s="129" t="s">
        <v>89</v>
      </c>
      <c r="J57" s="129" t="s">
        <v>113</v>
      </c>
      <c r="K57" s="129"/>
      <c r="L57" s="129"/>
      <c r="M57" s="129"/>
      <c r="N57" s="130"/>
      <c r="O57" s="130"/>
    </row>
    <row r="58" spans="1:15" ht="36" customHeight="1" outlineLevel="1">
      <c r="A58" s="129">
        <v>34</v>
      </c>
      <c r="B58" s="130" t="s">
        <v>264</v>
      </c>
      <c r="C58" s="130" t="s">
        <v>265</v>
      </c>
      <c r="D58" s="130"/>
      <c r="E58" s="130" t="s">
        <v>266</v>
      </c>
      <c r="F58" s="130"/>
      <c r="G58" s="130" t="s">
        <v>267</v>
      </c>
      <c r="H58" s="130"/>
      <c r="I58" s="129" t="s">
        <v>89</v>
      </c>
      <c r="J58" s="129" t="s">
        <v>113</v>
      </c>
      <c r="K58" s="129"/>
      <c r="L58" s="129"/>
      <c r="M58" s="129"/>
      <c r="N58" s="130"/>
      <c r="O58" s="130"/>
    </row>
    <row r="59" spans="1:15" ht="36" customHeight="1" outlineLevel="1">
      <c r="A59" s="129">
        <v>35</v>
      </c>
      <c r="B59" s="130" t="s">
        <v>268</v>
      </c>
      <c r="C59" s="130" t="s">
        <v>269</v>
      </c>
      <c r="D59" s="130"/>
      <c r="E59" s="130" t="s">
        <v>270</v>
      </c>
      <c r="F59" s="130" t="s">
        <v>271</v>
      </c>
      <c r="G59" s="130" t="s">
        <v>272</v>
      </c>
      <c r="H59" s="130"/>
      <c r="I59" s="129" t="s">
        <v>89</v>
      </c>
      <c r="J59" s="129" t="s">
        <v>113</v>
      </c>
      <c r="K59" s="129"/>
      <c r="L59" s="129"/>
      <c r="M59" s="129"/>
      <c r="N59" s="130"/>
      <c r="O59" s="130"/>
    </row>
    <row r="60" spans="1:15" ht="36" customHeight="1" outlineLevel="1">
      <c r="A60" s="129">
        <v>36</v>
      </c>
      <c r="B60" s="130" t="s">
        <v>273</v>
      </c>
      <c r="C60" s="130" t="s">
        <v>274</v>
      </c>
      <c r="D60" s="130"/>
      <c r="E60" s="130" t="s">
        <v>275</v>
      </c>
      <c r="F60" s="130"/>
      <c r="G60" s="130" t="s">
        <v>276</v>
      </c>
      <c r="H60" s="130"/>
      <c r="I60" s="129" t="s">
        <v>89</v>
      </c>
      <c r="J60" s="129" t="s">
        <v>113</v>
      </c>
      <c r="K60" s="129"/>
      <c r="L60" s="129"/>
      <c r="M60" s="129"/>
      <c r="N60" s="130"/>
      <c r="O60" s="130"/>
    </row>
    <row r="61" spans="1:15" ht="36" customHeight="1" outlineLevel="1">
      <c r="A61" s="129">
        <v>37</v>
      </c>
      <c r="B61" s="130" t="s">
        <v>277</v>
      </c>
      <c r="C61" s="130" t="s">
        <v>278</v>
      </c>
      <c r="D61" s="130"/>
      <c r="E61" s="130" t="s">
        <v>279</v>
      </c>
      <c r="F61" s="130"/>
      <c r="G61" s="130" t="s">
        <v>280</v>
      </c>
      <c r="H61" s="130"/>
      <c r="I61" s="129" t="s">
        <v>88</v>
      </c>
      <c r="J61" s="129" t="s">
        <v>113</v>
      </c>
      <c r="K61" s="129"/>
      <c r="L61" s="129"/>
      <c r="M61" s="129"/>
      <c r="N61" s="130"/>
      <c r="O61" s="130" t="s">
        <v>281</v>
      </c>
    </row>
    <row r="62" spans="1:15" ht="36" customHeight="1" outlineLevel="1">
      <c r="A62" s="129">
        <v>38</v>
      </c>
      <c r="B62" s="130" t="s">
        <v>282</v>
      </c>
      <c r="C62" s="130" t="s">
        <v>283</v>
      </c>
      <c r="D62" s="130"/>
      <c r="E62" s="130" t="s">
        <v>284</v>
      </c>
      <c r="F62" s="130"/>
      <c r="G62" s="130" t="s">
        <v>285</v>
      </c>
      <c r="H62" s="130"/>
      <c r="I62" s="129" t="s">
        <v>89</v>
      </c>
      <c r="J62" s="129" t="s">
        <v>113</v>
      </c>
      <c r="K62" s="129"/>
      <c r="L62" s="129"/>
      <c r="M62" s="129"/>
      <c r="N62" s="130"/>
      <c r="O62" s="130"/>
    </row>
    <row r="63" spans="1:15" ht="36" customHeight="1" outlineLevel="1">
      <c r="A63" s="129">
        <v>39</v>
      </c>
      <c r="B63" s="130" t="s">
        <v>286</v>
      </c>
      <c r="C63" s="130" t="s">
        <v>287</v>
      </c>
      <c r="D63" s="130"/>
      <c r="E63" s="130" t="s">
        <v>288</v>
      </c>
      <c r="F63" s="130" t="s">
        <v>289</v>
      </c>
      <c r="G63" s="130" t="s">
        <v>290</v>
      </c>
      <c r="H63" s="130"/>
      <c r="I63" s="129" t="s">
        <v>88</v>
      </c>
      <c r="J63" s="129" t="s">
        <v>113</v>
      </c>
      <c r="K63" s="129"/>
      <c r="L63" s="129"/>
      <c r="M63" s="129"/>
      <c r="N63" s="130"/>
      <c r="O63" s="130"/>
    </row>
    <row r="64" spans="1:15" ht="36" customHeight="1" outlineLevel="1">
      <c r="A64" s="129">
        <v>40</v>
      </c>
      <c r="B64" s="130" t="s">
        <v>291</v>
      </c>
      <c r="C64" s="130" t="s">
        <v>292</v>
      </c>
      <c r="D64" s="130" t="s">
        <v>293</v>
      </c>
      <c r="E64" s="130" t="s">
        <v>294</v>
      </c>
      <c r="F64" s="130"/>
      <c r="G64" s="130" t="s">
        <v>295</v>
      </c>
      <c r="H64" s="130"/>
      <c r="I64" s="129" t="s">
        <v>88</v>
      </c>
      <c r="J64" s="129" t="s">
        <v>113</v>
      </c>
      <c r="K64" s="129"/>
      <c r="L64" s="129"/>
      <c r="M64" s="129"/>
      <c r="N64" s="130"/>
      <c r="O64" s="130"/>
    </row>
    <row r="65" spans="1:15" ht="49.5" customHeight="1" outlineLevel="1">
      <c r="A65" s="129">
        <v>41</v>
      </c>
      <c r="B65" s="130" t="s">
        <v>296</v>
      </c>
      <c r="C65" s="130" t="s">
        <v>297</v>
      </c>
      <c r="D65" s="130"/>
      <c r="E65" s="130" t="s">
        <v>298</v>
      </c>
      <c r="F65" s="130"/>
      <c r="G65" s="130" t="s">
        <v>299</v>
      </c>
      <c r="H65" s="130"/>
      <c r="I65" s="129" t="s">
        <v>88</v>
      </c>
      <c r="J65" s="129" t="s">
        <v>113</v>
      </c>
      <c r="K65" s="129"/>
      <c r="L65" s="129"/>
      <c r="M65" s="129"/>
      <c r="N65" s="130"/>
      <c r="O65" s="130"/>
    </row>
    <row r="66" spans="1:15" ht="36" customHeight="1" outlineLevel="1">
      <c r="A66" s="129">
        <v>42</v>
      </c>
      <c r="B66" s="130" t="s">
        <v>300</v>
      </c>
      <c r="C66" s="130" t="s">
        <v>301</v>
      </c>
      <c r="D66" s="130"/>
      <c r="E66" s="130" t="s">
        <v>302</v>
      </c>
      <c r="F66" s="130"/>
      <c r="G66" s="130" t="s">
        <v>303</v>
      </c>
      <c r="H66" s="130"/>
      <c r="I66" s="129" t="s">
        <v>88</v>
      </c>
      <c r="J66" s="129" t="s">
        <v>113</v>
      </c>
      <c r="K66" s="129"/>
      <c r="L66" s="129"/>
      <c r="M66" s="129"/>
      <c r="N66" s="130"/>
      <c r="O66" s="130"/>
    </row>
    <row r="67" spans="1:15" ht="36" customHeight="1" outlineLevel="1">
      <c r="A67" s="129">
        <v>43</v>
      </c>
      <c r="B67" s="130" t="s">
        <v>304</v>
      </c>
      <c r="C67" s="130" t="s">
        <v>305</v>
      </c>
      <c r="D67" s="130"/>
      <c r="E67" s="130" t="s">
        <v>306</v>
      </c>
      <c r="F67" s="130"/>
      <c r="G67" s="130" t="s">
        <v>307</v>
      </c>
      <c r="H67" s="130"/>
      <c r="I67" s="129" t="s">
        <v>88</v>
      </c>
      <c r="J67" s="129" t="s">
        <v>113</v>
      </c>
      <c r="K67" s="129"/>
      <c r="L67" s="129"/>
      <c r="M67" s="129"/>
      <c r="N67" s="130"/>
      <c r="O67" s="130"/>
    </row>
  </sheetData>
  <dataValidations count="3">
    <dataValidation type="list" allowBlank="1" sqref="I22:I67" xr:uid="{00000000-0002-0000-0300-000000000000}">
      <formula1>"High,Medium,Low"</formula1>
      <formula2>0</formula2>
    </dataValidation>
    <dataValidation type="list" allowBlank="1" sqref="J22:J67" xr:uid="{00000000-0002-0000-0300-000001000000}">
      <formula1>"Y,N"</formula1>
      <formula2>0</formula2>
    </dataValidation>
    <dataValidation type="list" allowBlank="1" sqref="K22:M67" xr:uid="{00000000-0002-0000-0300-000002000000}">
      <formula1>"Untested,Passed,Failed,Pending,Cancel,Accepted"</formula1>
      <formula2>0</formula2>
    </dataValidation>
  </dataValidations>
  <pageMargins left="0.75" right="0.75" top="1" bottom="1"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7030A0"/>
    <outlinePr summaryBelow="0"/>
  </sheetPr>
  <dimension ref="A1:O83"/>
  <sheetViews>
    <sheetView zoomScaleNormal="100" workbookViewId="0">
      <pane xSplit="3" ySplit="21" topLeftCell="D22" activePane="bottomRight" state="frozen"/>
      <selection pane="bottomRight"/>
      <selection pane="bottomLeft" activeCell="A22" sqref="A22"/>
      <selection pane="topRight" activeCell="D1" sqref="D1"/>
    </sheetView>
  </sheetViews>
  <sheetFormatPr defaultColWidth="9" defaultRowHeight="14.25" outlineLevelRow="1"/>
  <cols>
    <col min="1" max="1" width="7.28515625" style="111" customWidth="1"/>
    <col min="2" max="2" width="24.5703125" customWidth="1"/>
    <col min="3" max="3" width="55" customWidth="1"/>
    <col min="4" max="4" width="15.42578125" customWidth="1"/>
    <col min="5" max="5" width="60" customWidth="1"/>
    <col min="6" max="6" width="67" customWidth="1"/>
    <col min="7" max="7" width="45" customWidth="1"/>
    <col min="8" max="8" width="18.28515625" customWidth="1"/>
    <col min="9" max="9" width="10" customWidth="1"/>
    <col min="10" max="10" width="19" customWidth="1"/>
    <col min="11" max="11" width="16.7109375" customWidth="1"/>
    <col min="12" max="13" width="17.28515625" customWidth="1"/>
    <col min="14" max="14" width="12" customWidth="1"/>
    <col min="15" max="15" width="74.28515625" style="112" customWidth="1"/>
  </cols>
  <sheetData>
    <row r="1" spans="2:7" ht="30" customHeight="1">
      <c r="B1" s="113" t="s">
        <v>83</v>
      </c>
      <c r="C1" s="113" t="s">
        <v>308</v>
      </c>
      <c r="D1" s="114"/>
      <c r="E1" s="114"/>
      <c r="F1" s="115"/>
    </row>
    <row r="2" spans="2:7" ht="15" customHeight="1">
      <c r="B2" s="113" t="s">
        <v>85</v>
      </c>
      <c r="C2" s="113" t="s">
        <v>86</v>
      </c>
      <c r="D2" s="114"/>
      <c r="E2" s="114"/>
      <c r="F2" s="115"/>
    </row>
    <row r="3" spans="2:7">
      <c r="B3" s="116" t="s">
        <v>87</v>
      </c>
      <c r="C3" s="117"/>
      <c r="D3" s="117"/>
      <c r="E3" s="117"/>
      <c r="F3" s="118"/>
    </row>
    <row r="4" spans="2:7" ht="15" customHeight="1">
      <c r="B4" s="119"/>
      <c r="C4" s="120" t="s">
        <v>88</v>
      </c>
      <c r="D4" s="120" t="s">
        <v>89</v>
      </c>
      <c r="E4" s="120" t="s">
        <v>90</v>
      </c>
      <c r="F4" s="121" t="s">
        <v>74</v>
      </c>
      <c r="G4" s="115"/>
    </row>
    <row r="5" spans="2:7" ht="15" customHeight="1">
      <c r="B5" s="122"/>
      <c r="C5" s="123">
        <f>SUM(C6:C10)</f>
        <v>0</v>
      </c>
      <c r="D5" s="123">
        <f>SUM(D6:D10)</f>
        <v>0</v>
      </c>
      <c r="E5" s="123">
        <f>SUM(E6:E10)</f>
        <v>0</v>
      </c>
      <c r="F5" s="123">
        <f>SUM(C5:E5)</f>
        <v>0</v>
      </c>
    </row>
    <row r="6" spans="2:7">
      <c r="B6" s="124" t="s">
        <v>68</v>
      </c>
      <c r="C6" s="125">
        <f>COUNTIFS($K:$K, $B6,$I:$I,C$4)</f>
        <v>0</v>
      </c>
      <c r="D6" s="125">
        <f>COUNTIFS($K:$K, $B6,$I:$I,D$4)</f>
        <v>0</v>
      </c>
      <c r="E6" s="125">
        <f>COUNTIFS($K:$K, $B6,$I:$I,E$4)</f>
        <v>0</v>
      </c>
      <c r="F6" s="125">
        <f>SUM(C6:E6)</f>
        <v>0</v>
      </c>
    </row>
    <row r="7" spans="2:7">
      <c r="B7" s="124" t="s">
        <v>69</v>
      </c>
      <c r="C7" s="125">
        <f>COUNTIFS($K:$K, $B7,$I:$I,C$4)</f>
        <v>0</v>
      </c>
      <c r="D7" s="125">
        <f>COUNTIFS($K:$K, $B7,$I:$I,D$4)</f>
        <v>0</v>
      </c>
      <c r="E7" s="125">
        <f>COUNTIFS($K:$K, $B7,$I:$I,E$4)</f>
        <v>0</v>
      </c>
      <c r="F7" s="125">
        <f>SUM(C7:E7)</f>
        <v>0</v>
      </c>
    </row>
    <row r="8" spans="2:7">
      <c r="B8" s="124" t="s">
        <v>70</v>
      </c>
      <c r="C8" s="125">
        <f>COUNTIFS($K:$K, $B8,$I:$I,C$4)</f>
        <v>0</v>
      </c>
      <c r="D8" s="125">
        <f>COUNTIFS($K:$K, $B8,$I:$I,D$4)</f>
        <v>0</v>
      </c>
      <c r="E8" s="125">
        <f>COUNTIFS($K:$K, $B8,$I:$I,E$4)</f>
        <v>0</v>
      </c>
      <c r="F8" s="125">
        <f>SUM(C8:E8)</f>
        <v>0</v>
      </c>
    </row>
    <row r="9" spans="2:7">
      <c r="B9" s="124" t="s">
        <v>71</v>
      </c>
      <c r="C9" s="125">
        <f>COUNTIFS($K:$K, $B9,$I:$I,C$4)</f>
        <v>0</v>
      </c>
      <c r="D9" s="125">
        <f>COUNTIFS($K:$K, $B9,$I:$I,D$4)</f>
        <v>0</v>
      </c>
      <c r="E9" s="125">
        <f>COUNTIFS($K:$K, $B9,$I:$I,E$4)</f>
        <v>0</v>
      </c>
      <c r="F9" s="125">
        <f>SUM(C9:E9)</f>
        <v>0</v>
      </c>
    </row>
    <row r="10" spans="2:7">
      <c r="B10" s="124" t="s">
        <v>72</v>
      </c>
      <c r="C10" s="125">
        <f>COUNTIFS($K:$K, $B10,$I:$I,C$4)</f>
        <v>0</v>
      </c>
      <c r="D10" s="125">
        <f>COUNTIFS($K:$K, $B10,$I:$I,D$4)</f>
        <v>0</v>
      </c>
      <c r="E10" s="125">
        <f>COUNTIFS($K:$K, $B10,$I:$I,E$4)</f>
        <v>0</v>
      </c>
      <c r="F10" s="125">
        <f>SUM(C10:E10)</f>
        <v>0</v>
      </c>
    </row>
    <row r="11" spans="2:7">
      <c r="B11" s="124" t="s">
        <v>73</v>
      </c>
      <c r="C11" s="125">
        <f>COUNTIFS($K:$K, $B11,$I:$I,C$4)</f>
        <v>0</v>
      </c>
      <c r="D11" s="125">
        <f>COUNTIFS($K:$K, $B11,$I:$I,D$4)</f>
        <v>0</v>
      </c>
      <c r="E11" s="125">
        <f>COUNTIFS($K:$K, $B11,$I:$I,E$4)</f>
        <v>0</v>
      </c>
      <c r="F11" s="125">
        <f>SUM(C11:E11)</f>
        <v>0</v>
      </c>
    </row>
    <row r="12" spans="2:7">
      <c r="B12" s="116" t="s">
        <v>91</v>
      </c>
      <c r="C12" s="117"/>
      <c r="D12" s="117"/>
      <c r="E12" s="117"/>
      <c r="F12" s="118"/>
    </row>
    <row r="13" spans="2:7" ht="15" customHeight="1">
      <c r="B13" s="119"/>
      <c r="C13" s="120" t="s">
        <v>88</v>
      </c>
      <c r="D13" s="120" t="s">
        <v>89</v>
      </c>
      <c r="E13" s="120" t="s">
        <v>90</v>
      </c>
      <c r="F13" s="121" t="s">
        <v>74</v>
      </c>
      <c r="G13" s="115"/>
    </row>
    <row r="14" spans="2:7" ht="15" customHeight="1">
      <c r="B14" s="122"/>
      <c r="C14" s="123">
        <f>SUM(C15:C19)</f>
        <v>0</v>
      </c>
      <c r="D14" s="123">
        <f>SUM(D15:D19)</f>
        <v>0</v>
      </c>
      <c r="E14" s="123">
        <f>SUM(E15:E19)</f>
        <v>0</v>
      </c>
      <c r="F14" s="123">
        <f>SUM(C14:E14)</f>
        <v>0</v>
      </c>
    </row>
    <row r="15" spans="2:7">
      <c r="B15" s="124" t="s">
        <v>68</v>
      </c>
      <c r="C15" s="125">
        <f>COUNTIFS($L:$L, $B15,$I:$I,C$4)</f>
        <v>0</v>
      </c>
      <c r="D15" s="125">
        <f>COUNTIFS($L:$L, $B15,$I:$I,D$4)</f>
        <v>0</v>
      </c>
      <c r="E15" s="125">
        <f>COUNTIFS($L:$L, $B15,$I:$I,E$4)</f>
        <v>0</v>
      </c>
      <c r="F15" s="125">
        <f>SUM(C15:E15)</f>
        <v>0</v>
      </c>
    </row>
    <row r="16" spans="2:7">
      <c r="B16" s="124" t="s">
        <v>69</v>
      </c>
      <c r="C16" s="125">
        <f>COUNTIFS($L:$L, $B16,$I:$I,C$4)</f>
        <v>0</v>
      </c>
      <c r="D16" s="125">
        <f>COUNTIFS($L:$L, $B16,$I:$I,D$4)</f>
        <v>0</v>
      </c>
      <c r="E16" s="125">
        <f>COUNTIFS($L:$L, $B16,$I:$I,E$4)</f>
        <v>0</v>
      </c>
      <c r="F16" s="125">
        <f>SUM(C16:E16)</f>
        <v>0</v>
      </c>
    </row>
    <row r="17" spans="1:15">
      <c r="B17" s="124" t="s">
        <v>70</v>
      </c>
      <c r="C17" s="125">
        <f>COUNTIFS($L:$L, $B17,$I:$I,C$4)</f>
        <v>0</v>
      </c>
      <c r="D17" s="125">
        <f>COUNTIFS($L:$L, $B17,$I:$I,D$4)</f>
        <v>0</v>
      </c>
      <c r="E17" s="125">
        <f>COUNTIFS($L:$L, $B17,$I:$I,E$4)</f>
        <v>0</v>
      </c>
      <c r="F17" s="125">
        <f>SUM(C17:E17)</f>
        <v>0</v>
      </c>
    </row>
    <row r="18" spans="1:15">
      <c r="B18" s="124" t="s">
        <v>71</v>
      </c>
      <c r="C18" s="125">
        <f>COUNTIFS($L:$L, $B18,$I:$I,C$4)</f>
        <v>0</v>
      </c>
      <c r="D18" s="125">
        <f>COUNTIFS($L:$L, $B18,$I:$I,D$4)</f>
        <v>0</v>
      </c>
      <c r="E18" s="125">
        <f>COUNTIFS($L:$L, $B18,$I:$I,E$4)</f>
        <v>0</v>
      </c>
      <c r="F18" s="125">
        <f>SUM(C18:E18)</f>
        <v>0</v>
      </c>
    </row>
    <row r="19" spans="1:15">
      <c r="B19" s="124" t="s">
        <v>72</v>
      </c>
      <c r="C19" s="125">
        <f>COUNTIFS($L:$L, $B19,$I:$I,C$4)</f>
        <v>0</v>
      </c>
      <c r="D19" s="125">
        <f>COUNTIFS($L:$L, $B19,$I:$I,D$4)</f>
        <v>0</v>
      </c>
      <c r="E19" s="125">
        <f>COUNTIFS($L:$L, $B19,$I:$I,E$4)</f>
        <v>0</v>
      </c>
      <c r="F19" s="125">
        <f>SUM(C19:E19)</f>
        <v>0</v>
      </c>
    </row>
    <row r="20" spans="1:15">
      <c r="B20" s="124" t="s">
        <v>73</v>
      </c>
      <c r="C20" s="125">
        <f>COUNTIFS($L:$L, $B20,$I:$I,C$4)</f>
        <v>0</v>
      </c>
      <c r="D20" s="125">
        <f>COUNTIFS($L:$L, $B20,$I:$I,D$4)</f>
        <v>0</v>
      </c>
      <c r="E20" s="125">
        <f>COUNTIFS($L:$L, $B20,$I:$I,E$4)</f>
        <v>0</v>
      </c>
      <c r="F20" s="125">
        <f>SUM(C20:E20)</f>
        <v>0</v>
      </c>
    </row>
    <row r="21" spans="1:15" s="127" customFormat="1" ht="30" customHeight="1">
      <c r="A21" s="126" t="s">
        <v>92</v>
      </c>
      <c r="B21" s="126" t="s">
        <v>93</v>
      </c>
      <c r="C21" s="126" t="s">
        <v>94</v>
      </c>
      <c r="D21" s="126" t="s">
        <v>95</v>
      </c>
      <c r="E21" s="126" t="s">
        <v>96</v>
      </c>
      <c r="F21" s="126" t="s">
        <v>97</v>
      </c>
      <c r="G21" s="126" t="s">
        <v>98</v>
      </c>
      <c r="H21" s="126" t="s">
        <v>61</v>
      </c>
      <c r="I21" s="126" t="s">
        <v>99</v>
      </c>
      <c r="J21" s="126" t="s">
        <v>100</v>
      </c>
      <c r="K21" s="126" t="s">
        <v>101</v>
      </c>
      <c r="L21" s="126" t="s">
        <v>102</v>
      </c>
      <c r="M21" s="126" t="s">
        <v>103</v>
      </c>
      <c r="N21" s="126" t="s">
        <v>104</v>
      </c>
      <c r="O21" s="126" t="s">
        <v>105</v>
      </c>
    </row>
    <row r="22" spans="1:15" ht="18" customHeight="1">
      <c r="A22" s="128"/>
      <c r="B22" s="128" t="s">
        <v>309</v>
      </c>
      <c r="C22" s="128" t="s">
        <v>310</v>
      </c>
      <c r="D22" s="128"/>
      <c r="E22" s="128"/>
      <c r="F22" s="128"/>
      <c r="G22" s="128"/>
      <c r="H22" s="128"/>
      <c r="I22" s="128"/>
      <c r="J22" s="128"/>
      <c r="K22" s="128"/>
      <c r="L22" s="128"/>
      <c r="M22" s="128"/>
      <c r="N22" s="128"/>
      <c r="O22" s="128"/>
    </row>
    <row r="23" spans="1:15" ht="49.5" customHeight="1" outlineLevel="1">
      <c r="A23" s="129">
        <v>1</v>
      </c>
      <c r="B23" s="130" t="s">
        <v>311</v>
      </c>
      <c r="C23" s="130" t="s">
        <v>312</v>
      </c>
      <c r="D23" s="130" t="s">
        <v>313</v>
      </c>
      <c r="E23" s="130" t="s">
        <v>314</v>
      </c>
      <c r="F23" s="130"/>
      <c r="G23" s="130" t="s">
        <v>315</v>
      </c>
      <c r="H23" s="130"/>
      <c r="I23" s="129" t="s">
        <v>88</v>
      </c>
      <c r="J23" s="129" t="s">
        <v>113</v>
      </c>
      <c r="K23" s="129"/>
      <c r="L23" s="129"/>
      <c r="M23" s="129"/>
      <c r="N23" s="130"/>
      <c r="O23" s="130"/>
    </row>
    <row r="24" spans="1:15" ht="49.5" customHeight="1" outlineLevel="1">
      <c r="A24" s="129">
        <v>2</v>
      </c>
      <c r="B24" s="130" t="s">
        <v>316</v>
      </c>
      <c r="C24" s="130" t="s">
        <v>317</v>
      </c>
      <c r="D24" s="130"/>
      <c r="E24" s="130" t="s">
        <v>318</v>
      </c>
      <c r="F24" s="130"/>
      <c r="G24" s="130" t="s">
        <v>319</v>
      </c>
      <c r="H24" s="130"/>
      <c r="I24" s="129" t="s">
        <v>89</v>
      </c>
      <c r="J24" s="129" t="s">
        <v>113</v>
      </c>
      <c r="K24" s="129"/>
      <c r="L24" s="129"/>
      <c r="M24" s="129"/>
      <c r="N24" s="130"/>
      <c r="O24" s="130"/>
    </row>
    <row r="25" spans="1:15" ht="49.5" customHeight="1" outlineLevel="1">
      <c r="A25" s="129">
        <v>3</v>
      </c>
      <c r="B25" s="130" t="s">
        <v>320</v>
      </c>
      <c r="C25" s="130" t="s">
        <v>321</v>
      </c>
      <c r="D25" s="130" t="s">
        <v>322</v>
      </c>
      <c r="E25" s="130" t="s">
        <v>323</v>
      </c>
      <c r="F25" s="130"/>
      <c r="G25" s="130" t="s">
        <v>324</v>
      </c>
      <c r="H25" s="130"/>
      <c r="I25" s="129" t="s">
        <v>89</v>
      </c>
      <c r="J25" s="129" t="s">
        <v>113</v>
      </c>
      <c r="K25" s="129"/>
      <c r="L25" s="129"/>
      <c r="M25" s="129"/>
      <c r="N25" s="130"/>
      <c r="O25" s="130"/>
    </row>
    <row r="26" spans="1:15" ht="49.5" customHeight="1" outlineLevel="1">
      <c r="A26" s="129">
        <v>4</v>
      </c>
      <c r="B26" s="130" t="s">
        <v>325</v>
      </c>
      <c r="C26" s="130" t="s">
        <v>326</v>
      </c>
      <c r="D26" s="130" t="s">
        <v>327</v>
      </c>
      <c r="E26" s="130" t="s">
        <v>328</v>
      </c>
      <c r="F26" s="130"/>
      <c r="G26" s="130" t="s">
        <v>329</v>
      </c>
      <c r="H26" s="130"/>
      <c r="I26" s="129" t="s">
        <v>89</v>
      </c>
      <c r="J26" s="129" t="s">
        <v>113</v>
      </c>
      <c r="K26" s="129"/>
      <c r="L26" s="129"/>
      <c r="M26" s="129"/>
      <c r="N26" s="130"/>
      <c r="O26" s="130"/>
    </row>
    <row r="27" spans="1:15" ht="18" customHeight="1">
      <c r="A27" s="128"/>
      <c r="B27" s="128" t="s">
        <v>330</v>
      </c>
      <c r="C27" s="128" t="s">
        <v>331</v>
      </c>
      <c r="D27" s="128"/>
      <c r="E27" s="128"/>
      <c r="F27" s="128"/>
      <c r="G27" s="128"/>
      <c r="H27" s="128"/>
      <c r="I27" s="128"/>
      <c r="J27" s="128"/>
      <c r="K27" s="128"/>
      <c r="L27" s="128"/>
      <c r="M27" s="128"/>
      <c r="N27" s="128"/>
      <c r="O27" s="128"/>
    </row>
    <row r="28" spans="1:15" ht="36" customHeight="1" outlineLevel="1">
      <c r="A28" s="129">
        <v>5</v>
      </c>
      <c r="B28" s="130" t="s">
        <v>332</v>
      </c>
      <c r="C28" s="130" t="s">
        <v>333</v>
      </c>
      <c r="D28" s="130" t="s">
        <v>334</v>
      </c>
      <c r="E28" s="130" t="s">
        <v>335</v>
      </c>
      <c r="F28" s="130"/>
      <c r="G28" s="130" t="s">
        <v>336</v>
      </c>
      <c r="H28" s="130"/>
      <c r="I28" s="129" t="s">
        <v>88</v>
      </c>
      <c r="J28" s="129" t="s">
        <v>113</v>
      </c>
      <c r="K28" s="129"/>
      <c r="L28" s="129"/>
      <c r="M28" s="129"/>
      <c r="N28" s="130"/>
      <c r="O28" s="130"/>
    </row>
    <row r="29" spans="1:15" ht="49.5" customHeight="1" outlineLevel="1">
      <c r="A29" s="129">
        <v>6</v>
      </c>
      <c r="B29" s="130" t="s">
        <v>337</v>
      </c>
      <c r="C29" s="130" t="s">
        <v>338</v>
      </c>
      <c r="D29" s="130" t="s">
        <v>339</v>
      </c>
      <c r="E29" s="130" t="s">
        <v>340</v>
      </c>
      <c r="F29" s="130"/>
      <c r="G29" s="130" t="s">
        <v>341</v>
      </c>
      <c r="H29" s="130"/>
      <c r="I29" s="129" t="s">
        <v>88</v>
      </c>
      <c r="J29" s="129" t="s">
        <v>113</v>
      </c>
      <c r="K29" s="129"/>
      <c r="L29" s="129"/>
      <c r="M29" s="129"/>
      <c r="N29" s="130"/>
      <c r="O29" s="130" t="s">
        <v>342</v>
      </c>
    </row>
    <row r="30" spans="1:15" ht="36" customHeight="1" outlineLevel="1">
      <c r="A30" s="129">
        <v>7</v>
      </c>
      <c r="B30" s="130" t="s">
        <v>343</v>
      </c>
      <c r="C30" s="130" t="s">
        <v>344</v>
      </c>
      <c r="D30" s="130"/>
      <c r="E30" s="130" t="s">
        <v>345</v>
      </c>
      <c r="F30" s="130"/>
      <c r="G30" s="130" t="s">
        <v>346</v>
      </c>
      <c r="H30" s="130"/>
      <c r="I30" s="129" t="s">
        <v>88</v>
      </c>
      <c r="J30" s="129" t="s">
        <v>113</v>
      </c>
      <c r="K30" s="129"/>
      <c r="L30" s="129"/>
      <c r="M30" s="129"/>
      <c r="N30" s="130"/>
      <c r="O30" s="130"/>
    </row>
    <row r="31" spans="1:15" ht="36" customHeight="1" outlineLevel="1">
      <c r="A31" s="129">
        <v>8</v>
      </c>
      <c r="B31" s="130" t="s">
        <v>347</v>
      </c>
      <c r="C31" s="130" t="s">
        <v>348</v>
      </c>
      <c r="D31" s="130" t="s">
        <v>349</v>
      </c>
      <c r="E31" s="130" t="s">
        <v>350</v>
      </c>
      <c r="F31" s="130"/>
      <c r="G31" s="130" t="s">
        <v>351</v>
      </c>
      <c r="H31" s="130"/>
      <c r="I31" s="129" t="s">
        <v>89</v>
      </c>
      <c r="J31" s="129" t="s">
        <v>113</v>
      </c>
      <c r="K31" s="129"/>
      <c r="L31" s="129"/>
      <c r="M31" s="129"/>
      <c r="N31" s="130"/>
      <c r="O31" s="130" t="s">
        <v>352</v>
      </c>
    </row>
    <row r="32" spans="1:15" ht="36" customHeight="1" outlineLevel="1">
      <c r="A32" s="129">
        <v>9</v>
      </c>
      <c r="B32" s="130" t="s">
        <v>353</v>
      </c>
      <c r="C32" s="130" t="s">
        <v>354</v>
      </c>
      <c r="D32" s="130"/>
      <c r="E32" s="130" t="s">
        <v>355</v>
      </c>
      <c r="F32" s="130"/>
      <c r="G32" s="130" t="s">
        <v>356</v>
      </c>
      <c r="H32" s="130"/>
      <c r="I32" s="129" t="s">
        <v>89</v>
      </c>
      <c r="J32" s="129" t="s">
        <v>113</v>
      </c>
      <c r="K32" s="129"/>
      <c r="L32" s="129"/>
      <c r="M32" s="129"/>
      <c r="N32" s="130"/>
      <c r="O32" s="130"/>
    </row>
    <row r="33" spans="1:15" ht="18" customHeight="1">
      <c r="A33" s="128"/>
      <c r="B33" s="128" t="s">
        <v>357</v>
      </c>
      <c r="C33" s="128" t="s">
        <v>358</v>
      </c>
      <c r="D33" s="128"/>
      <c r="E33" s="128"/>
      <c r="F33" s="128"/>
      <c r="G33" s="128"/>
      <c r="H33" s="128"/>
      <c r="I33" s="128"/>
      <c r="J33" s="128"/>
      <c r="K33" s="128"/>
      <c r="L33" s="128"/>
      <c r="M33" s="128"/>
      <c r="N33" s="128"/>
      <c r="O33" s="128"/>
    </row>
    <row r="34" spans="1:15" ht="36" customHeight="1" outlineLevel="1">
      <c r="A34" s="129">
        <v>10</v>
      </c>
      <c r="B34" s="130" t="s">
        <v>359</v>
      </c>
      <c r="C34" s="130" t="s">
        <v>360</v>
      </c>
      <c r="D34" s="130" t="s">
        <v>361</v>
      </c>
      <c r="E34" s="130" t="s">
        <v>362</v>
      </c>
      <c r="F34" s="130"/>
      <c r="G34" s="130" t="s">
        <v>363</v>
      </c>
      <c r="H34" s="130"/>
      <c r="I34" s="129" t="s">
        <v>88</v>
      </c>
      <c r="J34" s="129" t="s">
        <v>113</v>
      </c>
      <c r="K34" s="129"/>
      <c r="L34" s="129"/>
      <c r="M34" s="129"/>
      <c r="N34" s="130"/>
      <c r="O34" s="130"/>
    </row>
    <row r="35" spans="1:15" ht="36" customHeight="1" outlineLevel="1">
      <c r="A35" s="129">
        <v>11</v>
      </c>
      <c r="B35" s="130" t="s">
        <v>364</v>
      </c>
      <c r="C35" s="130" t="s">
        <v>365</v>
      </c>
      <c r="D35" s="130" t="s">
        <v>366</v>
      </c>
      <c r="E35" s="130" t="s">
        <v>367</v>
      </c>
      <c r="F35" s="130"/>
      <c r="G35" s="130" t="s">
        <v>368</v>
      </c>
      <c r="H35" s="130"/>
      <c r="I35" s="129" t="s">
        <v>88</v>
      </c>
      <c r="J35" s="129" t="s">
        <v>113</v>
      </c>
      <c r="K35" s="129"/>
      <c r="L35" s="129"/>
      <c r="M35" s="129"/>
      <c r="N35" s="130"/>
      <c r="O35" s="130"/>
    </row>
    <row r="36" spans="1:15" ht="36" customHeight="1" outlineLevel="1">
      <c r="A36" s="129">
        <v>12</v>
      </c>
      <c r="B36" s="130" t="s">
        <v>369</v>
      </c>
      <c r="C36" s="130" t="s">
        <v>370</v>
      </c>
      <c r="D36" s="130"/>
      <c r="E36" s="130" t="s">
        <v>371</v>
      </c>
      <c r="F36" s="130"/>
      <c r="G36" s="130" t="s">
        <v>372</v>
      </c>
      <c r="H36" s="130"/>
      <c r="I36" s="129" t="s">
        <v>89</v>
      </c>
      <c r="J36" s="129" t="s">
        <v>113</v>
      </c>
      <c r="K36" s="129"/>
      <c r="L36" s="129"/>
      <c r="M36" s="129"/>
      <c r="N36" s="130"/>
      <c r="O36" s="130" t="s">
        <v>373</v>
      </c>
    </row>
    <row r="37" spans="1:15" ht="18" customHeight="1">
      <c r="A37" s="128"/>
      <c r="B37" s="128" t="s">
        <v>374</v>
      </c>
      <c r="C37" s="128" t="s">
        <v>375</v>
      </c>
      <c r="D37" s="128"/>
      <c r="E37" s="128"/>
      <c r="F37" s="128"/>
      <c r="G37" s="128"/>
      <c r="H37" s="128"/>
      <c r="I37" s="128"/>
      <c r="J37" s="128"/>
      <c r="K37" s="128"/>
      <c r="L37" s="128"/>
      <c r="M37" s="128"/>
      <c r="N37" s="128"/>
      <c r="O37" s="128"/>
    </row>
    <row r="38" spans="1:15" ht="36" customHeight="1" outlineLevel="1">
      <c r="A38" s="129">
        <v>13</v>
      </c>
      <c r="B38" s="130" t="s">
        <v>376</v>
      </c>
      <c r="C38" s="130" t="s">
        <v>377</v>
      </c>
      <c r="D38" s="130" t="s">
        <v>378</v>
      </c>
      <c r="E38" s="130" t="s">
        <v>379</v>
      </c>
      <c r="F38" s="130"/>
      <c r="G38" s="130" t="s">
        <v>380</v>
      </c>
      <c r="H38" s="130"/>
      <c r="I38" s="129" t="s">
        <v>88</v>
      </c>
      <c r="J38" s="129" t="s">
        <v>113</v>
      </c>
      <c r="K38" s="129"/>
      <c r="L38" s="129"/>
      <c r="M38" s="129"/>
      <c r="N38" s="130"/>
      <c r="O38" s="130"/>
    </row>
    <row r="39" spans="1:15" ht="36" customHeight="1" outlineLevel="1">
      <c r="A39" s="129">
        <v>14</v>
      </c>
      <c r="B39" s="130" t="s">
        <v>381</v>
      </c>
      <c r="C39" s="130" t="s">
        <v>382</v>
      </c>
      <c r="D39" s="130" t="s">
        <v>383</v>
      </c>
      <c r="E39" s="130" t="s">
        <v>384</v>
      </c>
      <c r="F39" s="130"/>
      <c r="G39" s="130" t="s">
        <v>385</v>
      </c>
      <c r="H39" s="130"/>
      <c r="I39" s="129" t="s">
        <v>88</v>
      </c>
      <c r="J39" s="129" t="s">
        <v>113</v>
      </c>
      <c r="K39" s="129"/>
      <c r="L39" s="129"/>
      <c r="M39" s="129"/>
      <c r="N39" s="130"/>
      <c r="O39" s="130"/>
    </row>
    <row r="40" spans="1:15" ht="36" customHeight="1" outlineLevel="1">
      <c r="A40" s="129">
        <v>15</v>
      </c>
      <c r="B40" s="130" t="s">
        <v>386</v>
      </c>
      <c r="C40" s="130" t="s">
        <v>387</v>
      </c>
      <c r="D40" s="130"/>
      <c r="E40" s="130" t="s">
        <v>388</v>
      </c>
      <c r="F40" s="130"/>
      <c r="G40" s="130" t="s">
        <v>389</v>
      </c>
      <c r="H40" s="130"/>
      <c r="I40" s="129" t="s">
        <v>89</v>
      </c>
      <c r="J40" s="129" t="s">
        <v>113</v>
      </c>
      <c r="K40" s="129"/>
      <c r="L40" s="129"/>
      <c r="M40" s="129"/>
      <c r="N40" s="130"/>
      <c r="O40" s="130"/>
    </row>
    <row r="41" spans="1:15" ht="36" customHeight="1" outlineLevel="1">
      <c r="A41" s="129">
        <v>16</v>
      </c>
      <c r="B41" s="130" t="s">
        <v>390</v>
      </c>
      <c r="C41" s="130" t="s">
        <v>391</v>
      </c>
      <c r="D41" s="130"/>
      <c r="E41" s="130" t="s">
        <v>392</v>
      </c>
      <c r="F41" s="130"/>
      <c r="G41" s="130" t="s">
        <v>393</v>
      </c>
      <c r="H41" s="130"/>
      <c r="I41" s="129" t="s">
        <v>89</v>
      </c>
      <c r="J41" s="129" t="s">
        <v>113</v>
      </c>
      <c r="K41" s="129"/>
      <c r="L41" s="129"/>
      <c r="M41" s="129"/>
      <c r="N41" s="130"/>
      <c r="O41" s="130" t="s">
        <v>394</v>
      </c>
    </row>
    <row r="42" spans="1:15" ht="18" customHeight="1">
      <c r="A42" s="128"/>
      <c r="B42" s="128" t="s">
        <v>395</v>
      </c>
      <c r="C42" s="128" t="s">
        <v>396</v>
      </c>
      <c r="D42" s="128"/>
      <c r="E42" s="128"/>
      <c r="F42" s="128"/>
      <c r="G42" s="128"/>
      <c r="H42" s="128"/>
      <c r="I42" s="128"/>
      <c r="J42" s="128"/>
      <c r="K42" s="128"/>
      <c r="L42" s="128"/>
      <c r="M42" s="128"/>
      <c r="N42" s="128"/>
      <c r="O42" s="128"/>
    </row>
    <row r="43" spans="1:15" ht="36" customHeight="1" outlineLevel="1">
      <c r="A43" s="129">
        <v>17</v>
      </c>
      <c r="B43" s="130" t="s">
        <v>397</v>
      </c>
      <c r="C43" s="130" t="s">
        <v>398</v>
      </c>
      <c r="D43" s="130" t="s">
        <v>399</v>
      </c>
      <c r="E43" s="130" t="s">
        <v>400</v>
      </c>
      <c r="F43" s="130"/>
      <c r="G43" s="130" t="s">
        <v>401</v>
      </c>
      <c r="H43" s="130"/>
      <c r="I43" s="129" t="s">
        <v>88</v>
      </c>
      <c r="J43" s="129" t="s">
        <v>113</v>
      </c>
      <c r="K43" s="129"/>
      <c r="L43" s="129"/>
      <c r="M43" s="129"/>
      <c r="N43" s="130"/>
      <c r="O43" s="130"/>
    </row>
    <row r="44" spans="1:15" ht="36" customHeight="1" outlineLevel="1">
      <c r="A44" s="129">
        <v>18</v>
      </c>
      <c r="B44" s="130" t="s">
        <v>402</v>
      </c>
      <c r="C44" s="130" t="s">
        <v>403</v>
      </c>
      <c r="D44" s="130" t="s">
        <v>404</v>
      </c>
      <c r="E44" s="130" t="s">
        <v>405</v>
      </c>
      <c r="F44" s="130"/>
      <c r="G44" s="130" t="s">
        <v>406</v>
      </c>
      <c r="H44" s="130"/>
      <c r="I44" s="129" t="s">
        <v>88</v>
      </c>
      <c r="J44" s="129" t="s">
        <v>113</v>
      </c>
      <c r="K44" s="129"/>
      <c r="L44" s="129"/>
      <c r="M44" s="129"/>
      <c r="N44" s="130"/>
      <c r="O44" s="130"/>
    </row>
    <row r="45" spans="1:15" ht="36" customHeight="1" outlineLevel="1">
      <c r="A45" s="129">
        <v>19</v>
      </c>
      <c r="B45" s="130" t="s">
        <v>407</v>
      </c>
      <c r="C45" s="130" t="s">
        <v>408</v>
      </c>
      <c r="D45" s="130"/>
      <c r="E45" s="130" t="s">
        <v>409</v>
      </c>
      <c r="F45" s="130"/>
      <c r="G45" s="130" t="s">
        <v>410</v>
      </c>
      <c r="H45" s="130"/>
      <c r="I45" s="129" t="s">
        <v>89</v>
      </c>
      <c r="J45" s="129" t="s">
        <v>113</v>
      </c>
      <c r="K45" s="129"/>
      <c r="L45" s="129"/>
      <c r="M45" s="129"/>
      <c r="N45" s="130"/>
      <c r="O45" s="130" t="s">
        <v>411</v>
      </c>
    </row>
    <row r="46" spans="1:15" ht="36" customHeight="1" outlineLevel="1">
      <c r="A46" s="129">
        <v>20</v>
      </c>
      <c r="B46" s="130" t="s">
        <v>412</v>
      </c>
      <c r="C46" s="130" t="s">
        <v>413</v>
      </c>
      <c r="D46" s="130"/>
      <c r="E46" s="130" t="s">
        <v>414</v>
      </c>
      <c r="F46" s="130"/>
      <c r="G46" s="130" t="s">
        <v>415</v>
      </c>
      <c r="H46" s="130"/>
      <c r="I46" s="129" t="s">
        <v>89</v>
      </c>
      <c r="J46" s="129" t="s">
        <v>113</v>
      </c>
      <c r="K46" s="129"/>
      <c r="L46" s="129"/>
      <c r="M46" s="129"/>
      <c r="N46" s="130"/>
      <c r="O46" s="130"/>
    </row>
    <row r="47" spans="1:15" ht="18" customHeight="1">
      <c r="A47" s="128"/>
      <c r="B47" s="128" t="s">
        <v>416</v>
      </c>
      <c r="C47" s="128" t="s">
        <v>417</v>
      </c>
      <c r="D47" s="128"/>
      <c r="E47" s="128"/>
      <c r="F47" s="128"/>
      <c r="G47" s="128"/>
      <c r="H47" s="128"/>
      <c r="I47" s="128"/>
      <c r="J47" s="128"/>
      <c r="K47" s="128"/>
      <c r="L47" s="128"/>
      <c r="M47" s="128"/>
      <c r="N47" s="128"/>
      <c r="O47" s="128"/>
    </row>
    <row r="48" spans="1:15" ht="36" customHeight="1" outlineLevel="1">
      <c r="A48" s="129">
        <v>21</v>
      </c>
      <c r="B48" s="130" t="s">
        <v>418</v>
      </c>
      <c r="C48" s="130" t="s">
        <v>419</v>
      </c>
      <c r="D48" s="130"/>
      <c r="E48" s="130" t="s">
        <v>420</v>
      </c>
      <c r="F48" s="130"/>
      <c r="G48" s="130" t="s">
        <v>421</v>
      </c>
      <c r="H48" s="130"/>
      <c r="I48" s="129" t="s">
        <v>88</v>
      </c>
      <c r="J48" s="129" t="s">
        <v>113</v>
      </c>
      <c r="K48" s="129"/>
      <c r="L48" s="129"/>
      <c r="M48" s="129"/>
      <c r="N48" s="130"/>
      <c r="O48" s="130"/>
    </row>
    <row r="49" spans="1:15" ht="49.5" customHeight="1" outlineLevel="1">
      <c r="A49" s="129">
        <v>22</v>
      </c>
      <c r="B49" s="130" t="s">
        <v>422</v>
      </c>
      <c r="C49" s="130" t="s">
        <v>423</v>
      </c>
      <c r="D49" s="130"/>
      <c r="E49" s="130" t="s">
        <v>424</v>
      </c>
      <c r="F49" s="130"/>
      <c r="G49" s="130" t="s">
        <v>425</v>
      </c>
      <c r="H49" s="130"/>
      <c r="I49" s="129" t="s">
        <v>88</v>
      </c>
      <c r="J49" s="129" t="s">
        <v>113</v>
      </c>
      <c r="K49" s="129"/>
      <c r="L49" s="129"/>
      <c r="M49" s="129"/>
      <c r="N49" s="130"/>
      <c r="O49" s="130"/>
    </row>
    <row r="50" spans="1:15" ht="63.75" customHeight="1" outlineLevel="1">
      <c r="A50" s="129">
        <v>23</v>
      </c>
      <c r="B50" s="130" t="s">
        <v>426</v>
      </c>
      <c r="C50" s="130" t="s">
        <v>427</v>
      </c>
      <c r="D50" s="130"/>
      <c r="E50" s="130" t="s">
        <v>428</v>
      </c>
      <c r="F50" s="130"/>
      <c r="G50" s="130" t="s">
        <v>429</v>
      </c>
      <c r="H50" s="130"/>
      <c r="I50" s="129" t="s">
        <v>88</v>
      </c>
      <c r="J50" s="129" t="s">
        <v>113</v>
      </c>
      <c r="K50" s="129"/>
      <c r="L50" s="129"/>
      <c r="M50" s="129"/>
      <c r="N50" s="130"/>
      <c r="O50" s="130"/>
    </row>
    <row r="51" spans="1:15" ht="36" customHeight="1" outlineLevel="1">
      <c r="A51" s="129">
        <v>24</v>
      </c>
      <c r="B51" s="130" t="s">
        <v>430</v>
      </c>
      <c r="C51" s="130" t="s">
        <v>431</v>
      </c>
      <c r="D51" s="130"/>
      <c r="E51" s="130" t="s">
        <v>432</v>
      </c>
      <c r="F51" s="130"/>
      <c r="G51" s="130" t="s">
        <v>433</v>
      </c>
      <c r="H51" s="130"/>
      <c r="I51" s="129" t="s">
        <v>88</v>
      </c>
      <c r="J51" s="129" t="s">
        <v>113</v>
      </c>
      <c r="K51" s="129"/>
      <c r="L51" s="129"/>
      <c r="M51" s="129"/>
      <c r="N51" s="130"/>
      <c r="O51" s="130"/>
    </row>
    <row r="52" spans="1:15" ht="36" customHeight="1" outlineLevel="1">
      <c r="A52" s="129">
        <v>25</v>
      </c>
      <c r="B52" s="130" t="s">
        <v>434</v>
      </c>
      <c r="C52" s="130" t="s">
        <v>435</v>
      </c>
      <c r="D52" s="130"/>
      <c r="E52" s="130" t="s">
        <v>436</v>
      </c>
      <c r="F52" s="130"/>
      <c r="G52" s="130" t="s">
        <v>437</v>
      </c>
      <c r="H52" s="130"/>
      <c r="I52" s="129" t="s">
        <v>88</v>
      </c>
      <c r="J52" s="129" t="s">
        <v>113</v>
      </c>
      <c r="K52" s="129"/>
      <c r="L52" s="129"/>
      <c r="M52" s="129"/>
      <c r="N52" s="130"/>
      <c r="O52" s="130"/>
    </row>
    <row r="53" spans="1:15" ht="49.5" customHeight="1" outlineLevel="1">
      <c r="A53" s="129">
        <v>26</v>
      </c>
      <c r="B53" s="130" t="s">
        <v>438</v>
      </c>
      <c r="C53" s="130" t="s">
        <v>439</v>
      </c>
      <c r="D53" s="130"/>
      <c r="E53" s="130" t="s">
        <v>440</v>
      </c>
      <c r="F53" s="130"/>
      <c r="G53" s="130" t="s">
        <v>441</v>
      </c>
      <c r="H53" s="130"/>
      <c r="I53" s="129" t="s">
        <v>89</v>
      </c>
      <c r="J53" s="129" t="s">
        <v>113</v>
      </c>
      <c r="K53" s="129"/>
      <c r="L53" s="129"/>
      <c r="M53" s="129"/>
      <c r="N53" s="130"/>
      <c r="O53" s="130"/>
    </row>
    <row r="54" spans="1:15" ht="18" customHeight="1">
      <c r="A54" s="128"/>
      <c r="B54" s="128" t="s">
        <v>442</v>
      </c>
      <c r="C54" s="128" t="s">
        <v>443</v>
      </c>
      <c r="D54" s="128"/>
      <c r="E54" s="128"/>
      <c r="F54" s="128"/>
      <c r="G54" s="128"/>
      <c r="H54" s="128"/>
      <c r="I54" s="128"/>
      <c r="J54" s="128"/>
      <c r="K54" s="128"/>
      <c r="L54" s="128"/>
      <c r="M54" s="128"/>
      <c r="N54" s="128"/>
      <c r="O54" s="128"/>
    </row>
    <row r="55" spans="1:15" ht="49.5" customHeight="1" outlineLevel="1">
      <c r="A55" s="129">
        <v>27</v>
      </c>
      <c r="B55" s="130" t="s">
        <v>444</v>
      </c>
      <c r="C55" s="130" t="s">
        <v>445</v>
      </c>
      <c r="D55" s="130"/>
      <c r="E55" s="130" t="s">
        <v>446</v>
      </c>
      <c r="F55" s="130"/>
      <c r="G55" s="130" t="s">
        <v>447</v>
      </c>
      <c r="H55" s="130"/>
      <c r="I55" s="129" t="s">
        <v>88</v>
      </c>
      <c r="J55" s="129" t="s">
        <v>113</v>
      </c>
      <c r="K55" s="129"/>
      <c r="L55" s="129"/>
      <c r="M55" s="129"/>
      <c r="N55" s="130"/>
      <c r="O55" s="130"/>
    </row>
    <row r="56" spans="1:15" ht="36" customHeight="1" outlineLevel="1">
      <c r="A56" s="129">
        <v>28</v>
      </c>
      <c r="B56" s="130" t="s">
        <v>448</v>
      </c>
      <c r="C56" s="130" t="s">
        <v>449</v>
      </c>
      <c r="D56" s="130"/>
      <c r="E56" s="130" t="s">
        <v>450</v>
      </c>
      <c r="F56" s="130"/>
      <c r="G56" s="130" t="s">
        <v>451</v>
      </c>
      <c r="H56" s="130"/>
      <c r="I56" s="129" t="s">
        <v>89</v>
      </c>
      <c r="J56" s="129" t="s">
        <v>113</v>
      </c>
      <c r="K56" s="129"/>
      <c r="L56" s="129"/>
      <c r="M56" s="129"/>
      <c r="N56" s="130"/>
      <c r="O56" s="130" t="s">
        <v>452</v>
      </c>
    </row>
    <row r="57" spans="1:15" ht="36" customHeight="1" outlineLevel="1">
      <c r="A57" s="129">
        <v>29</v>
      </c>
      <c r="B57" s="130" t="s">
        <v>453</v>
      </c>
      <c r="C57" s="130" t="s">
        <v>454</v>
      </c>
      <c r="D57" s="130"/>
      <c r="E57" s="130" t="s">
        <v>455</v>
      </c>
      <c r="F57" s="130" t="s">
        <v>456</v>
      </c>
      <c r="G57" s="130" t="s">
        <v>457</v>
      </c>
      <c r="H57" s="130"/>
      <c r="I57" s="129" t="s">
        <v>88</v>
      </c>
      <c r="J57" s="129" t="s">
        <v>113</v>
      </c>
      <c r="K57" s="129"/>
      <c r="L57" s="129"/>
      <c r="M57" s="129"/>
      <c r="N57" s="130"/>
      <c r="O57" s="130"/>
    </row>
    <row r="58" spans="1:15" ht="36" customHeight="1" outlineLevel="1">
      <c r="A58" s="129">
        <v>30</v>
      </c>
      <c r="B58" s="130" t="s">
        <v>458</v>
      </c>
      <c r="C58" s="130" t="s">
        <v>459</v>
      </c>
      <c r="D58" s="130"/>
      <c r="E58" s="130" t="s">
        <v>460</v>
      </c>
      <c r="F58" s="130" t="s">
        <v>461</v>
      </c>
      <c r="G58" s="130" t="s">
        <v>462</v>
      </c>
      <c r="H58" s="130"/>
      <c r="I58" s="129" t="s">
        <v>89</v>
      </c>
      <c r="J58" s="129" t="s">
        <v>113</v>
      </c>
      <c r="K58" s="129"/>
      <c r="L58" s="129"/>
      <c r="M58" s="129"/>
      <c r="N58" s="130"/>
      <c r="O58" s="130"/>
    </row>
    <row r="59" spans="1:15" ht="36" customHeight="1" outlineLevel="1">
      <c r="A59" s="129">
        <v>31</v>
      </c>
      <c r="B59" s="130" t="s">
        <v>463</v>
      </c>
      <c r="C59" s="130" t="s">
        <v>464</v>
      </c>
      <c r="D59" s="130"/>
      <c r="E59" s="130" t="s">
        <v>465</v>
      </c>
      <c r="F59" s="130" t="s">
        <v>466</v>
      </c>
      <c r="G59" s="130" t="s">
        <v>467</v>
      </c>
      <c r="H59" s="130"/>
      <c r="I59" s="129" t="s">
        <v>89</v>
      </c>
      <c r="J59" s="129" t="s">
        <v>113</v>
      </c>
      <c r="K59" s="129"/>
      <c r="L59" s="129"/>
      <c r="M59" s="129"/>
      <c r="N59" s="130"/>
      <c r="O59" s="130"/>
    </row>
    <row r="60" spans="1:15" ht="36" customHeight="1" outlineLevel="1">
      <c r="A60" s="129">
        <v>32</v>
      </c>
      <c r="B60" s="130" t="s">
        <v>468</v>
      </c>
      <c r="C60" s="130" t="s">
        <v>469</v>
      </c>
      <c r="D60" s="130"/>
      <c r="E60" s="130" t="s">
        <v>470</v>
      </c>
      <c r="F60" s="130"/>
      <c r="G60" s="130" t="s">
        <v>471</v>
      </c>
      <c r="H60" s="130"/>
      <c r="I60" s="129" t="s">
        <v>89</v>
      </c>
      <c r="J60" s="129" t="s">
        <v>113</v>
      </c>
      <c r="K60" s="129"/>
      <c r="L60" s="129"/>
      <c r="M60" s="129"/>
      <c r="N60" s="130"/>
      <c r="O60" s="130"/>
    </row>
    <row r="61" spans="1:15" ht="49.5" customHeight="1" outlineLevel="1">
      <c r="A61" s="129">
        <v>33</v>
      </c>
      <c r="B61" s="130" t="s">
        <v>472</v>
      </c>
      <c r="C61" s="130" t="s">
        <v>473</v>
      </c>
      <c r="D61" s="130"/>
      <c r="E61" s="130" t="s">
        <v>474</v>
      </c>
      <c r="F61" s="130"/>
      <c r="G61" s="130" t="s">
        <v>475</v>
      </c>
      <c r="H61" s="130"/>
      <c r="I61" s="129" t="s">
        <v>89</v>
      </c>
      <c r="J61" s="129" t="s">
        <v>113</v>
      </c>
      <c r="K61" s="129"/>
      <c r="L61" s="129"/>
      <c r="M61" s="129"/>
      <c r="N61" s="130"/>
      <c r="O61" s="130"/>
    </row>
    <row r="62" spans="1:15" ht="36" customHeight="1" outlineLevel="1">
      <c r="A62" s="129">
        <v>34</v>
      </c>
      <c r="B62" s="130" t="s">
        <v>476</v>
      </c>
      <c r="C62" s="130" t="s">
        <v>477</v>
      </c>
      <c r="D62" s="130"/>
      <c r="E62" s="130" t="s">
        <v>478</v>
      </c>
      <c r="F62" s="130" t="s">
        <v>479</v>
      </c>
      <c r="G62" s="130" t="s">
        <v>480</v>
      </c>
      <c r="H62" s="130"/>
      <c r="I62" s="129" t="s">
        <v>89</v>
      </c>
      <c r="J62" s="129" t="s">
        <v>113</v>
      </c>
      <c r="K62" s="129"/>
      <c r="L62" s="129"/>
      <c r="M62" s="129"/>
      <c r="N62" s="130"/>
      <c r="O62" s="130"/>
    </row>
    <row r="63" spans="1:15" ht="36" customHeight="1" outlineLevel="1">
      <c r="A63" s="129">
        <v>35</v>
      </c>
      <c r="B63" s="130" t="s">
        <v>481</v>
      </c>
      <c r="C63" s="130" t="s">
        <v>482</v>
      </c>
      <c r="D63" s="130"/>
      <c r="E63" s="130" t="s">
        <v>483</v>
      </c>
      <c r="F63" s="130"/>
      <c r="G63" s="130" t="s">
        <v>484</v>
      </c>
      <c r="H63" s="130"/>
      <c r="I63" s="129" t="s">
        <v>88</v>
      </c>
      <c r="J63" s="129" t="s">
        <v>113</v>
      </c>
      <c r="K63" s="129"/>
      <c r="L63" s="129"/>
      <c r="M63" s="129"/>
      <c r="N63" s="130"/>
      <c r="O63" s="130"/>
    </row>
    <row r="64" spans="1:15" ht="36" customHeight="1" outlineLevel="1">
      <c r="A64" s="129">
        <v>36</v>
      </c>
      <c r="B64" s="130" t="s">
        <v>485</v>
      </c>
      <c r="C64" s="130" t="s">
        <v>486</v>
      </c>
      <c r="D64" s="130" t="s">
        <v>487</v>
      </c>
      <c r="E64" s="130" t="s">
        <v>488</v>
      </c>
      <c r="F64" s="130"/>
      <c r="G64" s="130" t="s">
        <v>489</v>
      </c>
      <c r="H64" s="130"/>
      <c r="I64" s="129" t="s">
        <v>89</v>
      </c>
      <c r="J64" s="129" t="s">
        <v>113</v>
      </c>
      <c r="K64" s="129"/>
      <c r="L64" s="129"/>
      <c r="M64" s="129"/>
      <c r="N64" s="130"/>
      <c r="O64" s="130"/>
    </row>
    <row r="65" spans="1:15" ht="49.5" customHeight="1" outlineLevel="1">
      <c r="A65" s="129">
        <v>37</v>
      </c>
      <c r="B65" s="130" t="s">
        <v>490</v>
      </c>
      <c r="C65" s="130" t="s">
        <v>491</v>
      </c>
      <c r="D65" s="130" t="s">
        <v>492</v>
      </c>
      <c r="E65" s="130" t="s">
        <v>493</v>
      </c>
      <c r="F65" s="130"/>
      <c r="G65" s="130" t="s">
        <v>494</v>
      </c>
      <c r="H65" s="130"/>
      <c r="I65" s="129" t="s">
        <v>90</v>
      </c>
      <c r="J65" s="129" t="s">
        <v>113</v>
      </c>
      <c r="K65" s="129"/>
      <c r="L65" s="129"/>
      <c r="M65" s="129"/>
      <c r="N65" s="130"/>
      <c r="O65" s="130" t="s">
        <v>495</v>
      </c>
    </row>
    <row r="66" spans="1:15" ht="18" customHeight="1">
      <c r="A66" s="128"/>
      <c r="B66" s="128" t="s">
        <v>496</v>
      </c>
      <c r="C66" s="128" t="s">
        <v>497</v>
      </c>
      <c r="D66" s="128"/>
      <c r="E66" s="128"/>
      <c r="F66" s="128"/>
      <c r="G66" s="128"/>
      <c r="H66" s="128"/>
      <c r="I66" s="128"/>
      <c r="J66" s="128"/>
      <c r="K66" s="128"/>
      <c r="L66" s="128"/>
      <c r="M66" s="128"/>
      <c r="N66" s="128"/>
      <c r="O66" s="128"/>
    </row>
    <row r="67" spans="1:15" ht="49.5" customHeight="1" outlineLevel="1">
      <c r="A67" s="129">
        <v>38</v>
      </c>
      <c r="B67" s="130" t="s">
        <v>498</v>
      </c>
      <c r="C67" s="130" t="s">
        <v>499</v>
      </c>
      <c r="D67" s="130"/>
      <c r="E67" s="130" t="s">
        <v>500</v>
      </c>
      <c r="F67" s="130"/>
      <c r="G67" s="130" t="s">
        <v>501</v>
      </c>
      <c r="H67" s="130"/>
      <c r="I67" s="129" t="s">
        <v>88</v>
      </c>
      <c r="J67" s="129" t="s">
        <v>113</v>
      </c>
      <c r="K67" s="129"/>
      <c r="L67" s="129"/>
      <c r="M67" s="129"/>
      <c r="N67" s="130"/>
      <c r="O67" s="130"/>
    </row>
    <row r="68" spans="1:15" ht="36" customHeight="1" outlineLevel="1">
      <c r="A68" s="129">
        <v>39</v>
      </c>
      <c r="B68" s="130" t="s">
        <v>502</v>
      </c>
      <c r="C68" s="130" t="s">
        <v>503</v>
      </c>
      <c r="D68" s="130"/>
      <c r="E68" s="130" t="s">
        <v>504</v>
      </c>
      <c r="F68" s="130"/>
      <c r="G68" s="130" t="s">
        <v>505</v>
      </c>
      <c r="H68" s="130"/>
      <c r="I68" s="129" t="s">
        <v>89</v>
      </c>
      <c r="J68" s="129" t="s">
        <v>113</v>
      </c>
      <c r="K68" s="129"/>
      <c r="L68" s="129"/>
      <c r="M68" s="129"/>
      <c r="N68" s="130"/>
      <c r="O68" s="130"/>
    </row>
    <row r="69" spans="1:15" ht="36" customHeight="1" outlineLevel="1">
      <c r="A69" s="129">
        <v>40</v>
      </c>
      <c r="B69" s="130" t="s">
        <v>506</v>
      </c>
      <c r="C69" s="130" t="s">
        <v>507</v>
      </c>
      <c r="D69" s="130"/>
      <c r="E69" s="130" t="s">
        <v>508</v>
      </c>
      <c r="F69" s="130"/>
      <c r="G69" s="130" t="s">
        <v>509</v>
      </c>
      <c r="H69" s="130"/>
      <c r="I69" s="129" t="s">
        <v>89</v>
      </c>
      <c r="J69" s="129" t="s">
        <v>113</v>
      </c>
      <c r="K69" s="129"/>
      <c r="L69" s="129"/>
      <c r="M69" s="129"/>
      <c r="N69" s="130"/>
      <c r="O69" s="130"/>
    </row>
    <row r="70" spans="1:15" ht="36" customHeight="1" outlineLevel="1">
      <c r="A70" s="129">
        <v>41</v>
      </c>
      <c r="B70" s="130" t="s">
        <v>510</v>
      </c>
      <c r="C70" s="130" t="s">
        <v>511</v>
      </c>
      <c r="D70" s="130"/>
      <c r="E70" s="130" t="s">
        <v>512</v>
      </c>
      <c r="F70" s="130" t="s">
        <v>513</v>
      </c>
      <c r="G70" s="130" t="s">
        <v>514</v>
      </c>
      <c r="H70" s="130"/>
      <c r="I70" s="129" t="s">
        <v>89</v>
      </c>
      <c r="J70" s="129" t="s">
        <v>113</v>
      </c>
      <c r="K70" s="129"/>
      <c r="L70" s="129"/>
      <c r="M70" s="129"/>
      <c r="N70" s="130"/>
      <c r="O70" s="130"/>
    </row>
    <row r="71" spans="1:15" ht="49.5" customHeight="1" outlineLevel="1">
      <c r="A71" s="129">
        <v>42</v>
      </c>
      <c r="B71" s="130" t="s">
        <v>515</v>
      </c>
      <c r="C71" s="130" t="s">
        <v>516</v>
      </c>
      <c r="D71" s="130"/>
      <c r="E71" s="130" t="s">
        <v>517</v>
      </c>
      <c r="F71" s="130"/>
      <c r="G71" s="130" t="s">
        <v>518</v>
      </c>
      <c r="H71" s="130"/>
      <c r="I71" s="129" t="s">
        <v>88</v>
      </c>
      <c r="J71" s="129" t="s">
        <v>113</v>
      </c>
      <c r="K71" s="129"/>
      <c r="L71" s="129"/>
      <c r="M71" s="129"/>
      <c r="N71" s="130"/>
      <c r="O71" s="130" t="s">
        <v>519</v>
      </c>
    </row>
    <row r="72" spans="1:15" ht="36" customHeight="1" outlineLevel="1">
      <c r="A72" s="129">
        <v>43</v>
      </c>
      <c r="B72" s="130" t="s">
        <v>520</v>
      </c>
      <c r="C72" s="130" t="s">
        <v>521</v>
      </c>
      <c r="D72" s="130"/>
      <c r="E72" s="130" t="s">
        <v>522</v>
      </c>
      <c r="F72" s="130"/>
      <c r="G72" s="130" t="s">
        <v>523</v>
      </c>
      <c r="H72" s="130"/>
      <c r="I72" s="129" t="s">
        <v>89</v>
      </c>
      <c r="J72" s="129" t="s">
        <v>113</v>
      </c>
      <c r="K72" s="129"/>
      <c r="L72" s="129"/>
      <c r="M72" s="129"/>
      <c r="N72" s="130"/>
      <c r="O72" s="130"/>
    </row>
    <row r="73" spans="1:15" ht="36" customHeight="1" outlineLevel="1">
      <c r="A73" s="129">
        <v>44</v>
      </c>
      <c r="B73" s="130" t="s">
        <v>524</v>
      </c>
      <c r="C73" s="130" t="s">
        <v>525</v>
      </c>
      <c r="D73" s="130"/>
      <c r="E73" s="130" t="s">
        <v>526</v>
      </c>
      <c r="F73" s="130"/>
      <c r="G73" s="130" t="s">
        <v>527</v>
      </c>
      <c r="H73" s="130"/>
      <c r="I73" s="129" t="s">
        <v>90</v>
      </c>
      <c r="J73" s="129" t="s">
        <v>113</v>
      </c>
      <c r="K73" s="129"/>
      <c r="L73" s="129"/>
      <c r="M73" s="129"/>
      <c r="N73" s="130"/>
      <c r="O73" s="130"/>
    </row>
    <row r="74" spans="1:15" ht="18" customHeight="1">
      <c r="A74" s="128"/>
      <c r="B74" s="128" t="s">
        <v>528</v>
      </c>
      <c r="C74" s="128" t="s">
        <v>529</v>
      </c>
      <c r="D74" s="128"/>
      <c r="E74" s="128"/>
      <c r="F74" s="128"/>
      <c r="G74" s="128"/>
      <c r="H74" s="128"/>
      <c r="I74" s="128"/>
      <c r="J74" s="128"/>
      <c r="K74" s="128"/>
      <c r="L74" s="128"/>
      <c r="M74" s="128"/>
      <c r="N74" s="128"/>
      <c r="O74" s="128"/>
    </row>
    <row r="75" spans="1:15" ht="49.5" customHeight="1" outlineLevel="1">
      <c r="A75" s="129">
        <v>45</v>
      </c>
      <c r="B75" s="130" t="s">
        <v>530</v>
      </c>
      <c r="C75" s="130" t="s">
        <v>531</v>
      </c>
      <c r="D75" s="130" t="s">
        <v>532</v>
      </c>
      <c r="E75" s="130" t="s">
        <v>533</v>
      </c>
      <c r="F75" s="130"/>
      <c r="G75" s="130" t="s">
        <v>534</v>
      </c>
      <c r="H75" s="130"/>
      <c r="I75" s="129" t="s">
        <v>88</v>
      </c>
      <c r="J75" s="129" t="s">
        <v>113</v>
      </c>
      <c r="K75" s="129"/>
      <c r="L75" s="129"/>
      <c r="M75" s="129"/>
      <c r="N75" s="130"/>
      <c r="O75" s="130"/>
    </row>
    <row r="76" spans="1:15" ht="49.5" customHeight="1" outlineLevel="1">
      <c r="A76" s="129">
        <v>46</v>
      </c>
      <c r="B76" s="130" t="s">
        <v>535</v>
      </c>
      <c r="C76" s="130" t="s">
        <v>536</v>
      </c>
      <c r="D76" s="130"/>
      <c r="E76" s="130" t="s">
        <v>537</v>
      </c>
      <c r="F76" s="130"/>
      <c r="G76" s="130" t="s">
        <v>538</v>
      </c>
      <c r="H76" s="130"/>
      <c r="I76" s="129" t="s">
        <v>88</v>
      </c>
      <c r="J76" s="129" t="s">
        <v>113</v>
      </c>
      <c r="K76" s="129"/>
      <c r="L76" s="129"/>
      <c r="M76" s="129"/>
      <c r="N76" s="130"/>
      <c r="O76" s="130"/>
    </row>
    <row r="77" spans="1:15" ht="36" customHeight="1" outlineLevel="1">
      <c r="A77" s="129">
        <v>47</v>
      </c>
      <c r="B77" s="130" t="s">
        <v>539</v>
      </c>
      <c r="C77" s="130" t="s">
        <v>540</v>
      </c>
      <c r="D77" s="130"/>
      <c r="E77" s="130" t="s">
        <v>541</v>
      </c>
      <c r="F77" s="130"/>
      <c r="G77" s="130" t="s">
        <v>542</v>
      </c>
      <c r="H77" s="130"/>
      <c r="I77" s="129" t="s">
        <v>88</v>
      </c>
      <c r="J77" s="129" t="s">
        <v>113</v>
      </c>
      <c r="K77" s="129"/>
      <c r="L77" s="129"/>
      <c r="M77" s="129"/>
      <c r="N77" s="130"/>
      <c r="O77" s="130" t="s">
        <v>543</v>
      </c>
    </row>
    <row r="78" spans="1:15" ht="18" customHeight="1">
      <c r="A78" s="128"/>
      <c r="B78" s="128" t="s">
        <v>544</v>
      </c>
      <c r="C78" s="128" t="s">
        <v>545</v>
      </c>
      <c r="D78" s="128"/>
      <c r="E78" s="128"/>
      <c r="F78" s="128"/>
      <c r="G78" s="128"/>
      <c r="H78" s="128"/>
      <c r="I78" s="128"/>
      <c r="J78" s="128"/>
      <c r="K78" s="128"/>
      <c r="L78" s="128"/>
      <c r="M78" s="128"/>
      <c r="N78" s="128"/>
      <c r="O78" s="128"/>
    </row>
    <row r="79" spans="1:15" ht="36" customHeight="1" outlineLevel="1">
      <c r="A79" s="129">
        <v>48</v>
      </c>
      <c r="B79" s="130" t="s">
        <v>546</v>
      </c>
      <c r="C79" s="130" t="s">
        <v>547</v>
      </c>
      <c r="D79" s="130" t="s">
        <v>548</v>
      </c>
      <c r="E79" s="130" t="s">
        <v>549</v>
      </c>
      <c r="F79" s="130"/>
      <c r="G79" s="130" t="s">
        <v>550</v>
      </c>
      <c r="H79" s="130"/>
      <c r="I79" s="129" t="s">
        <v>88</v>
      </c>
      <c r="J79" s="129" t="s">
        <v>113</v>
      </c>
      <c r="K79" s="129"/>
      <c r="L79" s="129"/>
      <c r="M79" s="129"/>
      <c r="N79" s="130"/>
      <c r="O79" s="130"/>
    </row>
    <row r="80" spans="1:15" ht="36" customHeight="1" outlineLevel="1">
      <c r="A80" s="129">
        <v>49</v>
      </c>
      <c r="B80" s="130" t="s">
        <v>551</v>
      </c>
      <c r="C80" s="130" t="s">
        <v>552</v>
      </c>
      <c r="D80" s="130" t="s">
        <v>553</v>
      </c>
      <c r="E80" s="130" t="s">
        <v>554</v>
      </c>
      <c r="F80" s="130"/>
      <c r="G80" s="130" t="s">
        <v>555</v>
      </c>
      <c r="H80" s="130"/>
      <c r="I80" s="129" t="s">
        <v>88</v>
      </c>
      <c r="J80" s="129" t="s">
        <v>113</v>
      </c>
      <c r="K80" s="129"/>
      <c r="L80" s="129"/>
      <c r="M80" s="129"/>
      <c r="N80" s="130"/>
      <c r="O80" s="130"/>
    </row>
    <row r="81" spans="1:15" ht="36" customHeight="1" outlineLevel="1">
      <c r="A81" s="129">
        <v>50</v>
      </c>
      <c r="B81" s="130" t="s">
        <v>556</v>
      </c>
      <c r="C81" s="130" t="s">
        <v>557</v>
      </c>
      <c r="D81" s="130"/>
      <c r="E81" s="130" t="s">
        <v>558</v>
      </c>
      <c r="F81" s="130"/>
      <c r="G81" s="130" t="s">
        <v>559</v>
      </c>
      <c r="H81" s="130"/>
      <c r="I81" s="129" t="s">
        <v>88</v>
      </c>
      <c r="J81" s="129" t="s">
        <v>113</v>
      </c>
      <c r="K81" s="129"/>
      <c r="L81" s="129"/>
      <c r="M81" s="129"/>
      <c r="N81" s="130"/>
      <c r="O81" s="130" t="s">
        <v>560</v>
      </c>
    </row>
    <row r="82" spans="1:15" ht="49.5" customHeight="1" outlineLevel="1">
      <c r="A82" s="129">
        <v>51</v>
      </c>
      <c r="B82" s="130" t="s">
        <v>561</v>
      </c>
      <c r="C82" s="130" t="s">
        <v>562</v>
      </c>
      <c r="D82" s="130" t="s">
        <v>563</v>
      </c>
      <c r="E82" s="130" t="s">
        <v>564</v>
      </c>
      <c r="F82" s="130"/>
      <c r="G82" s="130" t="s">
        <v>565</v>
      </c>
      <c r="H82" s="130"/>
      <c r="I82" s="129" t="s">
        <v>89</v>
      </c>
      <c r="J82" s="129" t="s">
        <v>113</v>
      </c>
      <c r="K82" s="129"/>
      <c r="L82" s="129"/>
      <c r="M82" s="129"/>
      <c r="N82" s="130"/>
      <c r="O82" s="130" t="s">
        <v>566</v>
      </c>
    </row>
    <row r="83" spans="1:15" ht="49.5" customHeight="1" outlineLevel="1">
      <c r="A83" s="129">
        <v>52</v>
      </c>
      <c r="B83" s="130" t="s">
        <v>567</v>
      </c>
      <c r="C83" s="130" t="s">
        <v>568</v>
      </c>
      <c r="D83" s="130" t="s">
        <v>569</v>
      </c>
      <c r="E83" s="130" t="s">
        <v>570</v>
      </c>
      <c r="F83" s="130"/>
      <c r="G83" s="130" t="s">
        <v>571</v>
      </c>
      <c r="H83" s="130"/>
      <c r="I83" s="129" t="s">
        <v>89</v>
      </c>
      <c r="J83" s="129" t="s">
        <v>113</v>
      </c>
      <c r="K83" s="129"/>
      <c r="L83" s="129"/>
      <c r="M83" s="129"/>
      <c r="N83" s="130"/>
      <c r="O83" s="130"/>
    </row>
  </sheetData>
  <dataValidations count="3">
    <dataValidation type="list" allowBlank="1" sqref="I22:I83" xr:uid="{00000000-0002-0000-0400-000000000000}">
      <formula1>"High,Medium,Low"</formula1>
      <formula2>0</formula2>
    </dataValidation>
    <dataValidation type="list" allowBlank="1" sqref="J22:J83" xr:uid="{00000000-0002-0000-0400-000001000000}">
      <formula1>"Y,N"</formula1>
      <formula2>0</formula2>
    </dataValidation>
    <dataValidation type="list" allowBlank="1" sqref="K22:M83" xr:uid="{00000000-0002-0000-0400-000002000000}">
      <formula1>"Untested,Passed,Failed,Pending,Cancel,Accepted"</formula1>
      <formula2>0</formula2>
    </dataValidation>
  </dataValidations>
  <pageMargins left="0.75" right="0.75" top="1" bottom="1" header="0.511811023622047" footer="0.511811023622047"/>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989"/>
  <sheetViews>
    <sheetView topLeftCell="A15" zoomScaleNormal="100" workbookViewId="0">
      <selection activeCell="F20" sqref="F20"/>
    </sheetView>
  </sheetViews>
  <sheetFormatPr defaultColWidth="8.7109375" defaultRowHeight="14.25"/>
  <cols>
    <col min="1" max="1" width="24.5703125" customWidth="1"/>
    <col min="2" max="2" width="75.28515625" customWidth="1"/>
  </cols>
  <sheetData>
    <row r="1" spans="1:2" ht="15" customHeight="1">
      <c r="A1" s="150" t="s">
        <v>572</v>
      </c>
      <c r="B1" s="150"/>
    </row>
    <row r="2" spans="1:2" ht="15" customHeight="1">
      <c r="A2" s="151" t="s">
        <v>573</v>
      </c>
      <c r="B2" s="151"/>
    </row>
    <row r="3" spans="1:2" ht="15" customHeight="1">
      <c r="A3" s="131" t="s">
        <v>574</v>
      </c>
      <c r="B3" s="131" t="s">
        <v>575</v>
      </c>
    </row>
    <row r="4" spans="1:2" ht="15" customHeight="1">
      <c r="A4" s="132" t="s">
        <v>576</v>
      </c>
      <c r="B4" s="132" t="s">
        <v>577</v>
      </c>
    </row>
    <row r="5" spans="1:2" ht="15" customHeight="1">
      <c r="A5" s="133" t="s">
        <v>578</v>
      </c>
      <c r="B5" s="134" t="s">
        <v>579</v>
      </c>
    </row>
    <row r="6" spans="1:2" ht="15" customHeight="1">
      <c r="A6" s="133" t="s">
        <v>62</v>
      </c>
      <c r="B6" s="134" t="s">
        <v>580</v>
      </c>
    </row>
    <row r="7" spans="1:2" ht="15" customHeight="1">
      <c r="A7" s="133" t="s">
        <v>581</v>
      </c>
      <c r="B7" s="134" t="s">
        <v>582</v>
      </c>
    </row>
    <row r="8" spans="1:2" ht="15" customHeight="1">
      <c r="A8" s="133" t="s">
        <v>583</v>
      </c>
      <c r="B8" s="134" t="s">
        <v>584</v>
      </c>
    </row>
    <row r="9" spans="1:2" ht="15" customHeight="1">
      <c r="A9" s="133" t="s">
        <v>585</v>
      </c>
      <c r="B9" s="134" t="s">
        <v>586</v>
      </c>
    </row>
    <row r="10" spans="1:2" ht="15" customHeight="1">
      <c r="A10" s="135"/>
      <c r="B10" s="135"/>
    </row>
    <row r="11" spans="1:2" ht="15" customHeight="1">
      <c r="A11" s="136"/>
      <c r="B11" s="136"/>
    </row>
    <row r="12" spans="1:2" ht="15" customHeight="1">
      <c r="A12" s="150" t="s">
        <v>587</v>
      </c>
      <c r="B12" s="150"/>
    </row>
    <row r="13" spans="1:2" ht="15" customHeight="1">
      <c r="A13" s="151" t="s">
        <v>99</v>
      </c>
      <c r="B13" s="151"/>
    </row>
    <row r="14" spans="1:2" ht="15" customHeight="1">
      <c r="A14" s="131" t="s">
        <v>574</v>
      </c>
      <c r="B14" s="131" t="s">
        <v>575</v>
      </c>
    </row>
    <row r="15" spans="1:2" ht="15" customHeight="1">
      <c r="A15" s="132" t="s">
        <v>576</v>
      </c>
      <c r="B15" s="132" t="s">
        <v>577</v>
      </c>
    </row>
    <row r="16" spans="1:2" ht="15" customHeight="1">
      <c r="A16" s="137" t="s">
        <v>88</v>
      </c>
      <c r="B16" s="138" t="s">
        <v>588</v>
      </c>
    </row>
    <row r="17" spans="1:6" ht="15" customHeight="1">
      <c r="A17" s="137" t="s">
        <v>89</v>
      </c>
      <c r="B17" s="138" t="s">
        <v>589</v>
      </c>
    </row>
    <row r="18" spans="1:6" ht="15" customHeight="1">
      <c r="A18" s="137" t="s">
        <v>90</v>
      </c>
      <c r="B18" s="138" t="s">
        <v>590</v>
      </c>
    </row>
    <row r="19" spans="1:6" ht="15" customHeight="1">
      <c r="A19" s="135"/>
      <c r="B19" s="135"/>
    </row>
    <row r="20" spans="1:6" ht="15" customHeight="1">
      <c r="A20" s="150" t="s">
        <v>591</v>
      </c>
      <c r="B20" s="150"/>
      <c r="F20" s="124" t="s">
        <v>68</v>
      </c>
    </row>
    <row r="21" spans="1:6" ht="15" customHeight="1">
      <c r="A21" s="151" t="s">
        <v>100</v>
      </c>
      <c r="B21" s="151"/>
      <c r="F21" s="124" t="s">
        <v>69</v>
      </c>
    </row>
    <row r="22" spans="1:6" ht="15" customHeight="1">
      <c r="A22" s="131" t="s">
        <v>574</v>
      </c>
      <c r="B22" s="131" t="s">
        <v>575</v>
      </c>
      <c r="F22" s="124" t="s">
        <v>70</v>
      </c>
    </row>
    <row r="23" spans="1:6" ht="15" customHeight="1">
      <c r="A23" s="132" t="s">
        <v>576</v>
      </c>
      <c r="B23" s="132" t="s">
        <v>577</v>
      </c>
      <c r="F23" s="124" t="s">
        <v>71</v>
      </c>
    </row>
    <row r="24" spans="1:6" ht="15" customHeight="1">
      <c r="A24" s="137" t="s">
        <v>592</v>
      </c>
      <c r="B24" s="138" t="s">
        <v>593</v>
      </c>
      <c r="F24" s="124" t="s">
        <v>72</v>
      </c>
    </row>
    <row r="25" spans="1:6" ht="15" customHeight="1">
      <c r="A25" s="137" t="s">
        <v>113</v>
      </c>
      <c r="B25" s="138" t="s">
        <v>594</v>
      </c>
      <c r="F25" s="139" t="s">
        <v>73</v>
      </c>
    </row>
    <row r="26" spans="1:6" ht="15" customHeight="1">
      <c r="A26" s="136"/>
      <c r="B26" s="136"/>
    </row>
    <row r="27" spans="1:6" ht="15" customHeight="1">
      <c r="A27" s="150" t="s">
        <v>595</v>
      </c>
      <c r="B27" s="150"/>
    </row>
    <row r="28" spans="1:6" ht="15" customHeight="1">
      <c r="A28" s="151" t="s">
        <v>596</v>
      </c>
      <c r="B28" s="151"/>
    </row>
    <row r="29" spans="1:6" ht="15" customHeight="1">
      <c r="A29" s="131" t="s">
        <v>574</v>
      </c>
      <c r="B29" s="131" t="s">
        <v>575</v>
      </c>
    </row>
    <row r="30" spans="1:6" ht="15" customHeight="1">
      <c r="A30" s="132" t="s">
        <v>576</v>
      </c>
      <c r="B30" s="132" t="s">
        <v>577</v>
      </c>
    </row>
    <row r="31" spans="1:6" ht="15" customHeight="1">
      <c r="A31" s="140" t="s">
        <v>70</v>
      </c>
      <c r="B31" s="138" t="s">
        <v>597</v>
      </c>
    </row>
    <row r="32" spans="1:6" ht="15" customHeight="1">
      <c r="A32" s="141" t="s">
        <v>68</v>
      </c>
      <c r="B32" s="138" t="s">
        <v>598</v>
      </c>
    </row>
    <row r="33" spans="1:2" ht="15" customHeight="1">
      <c r="A33" s="142" t="s">
        <v>69</v>
      </c>
      <c r="B33" s="138" t="s">
        <v>599</v>
      </c>
    </row>
    <row r="34" spans="1:2" ht="15" customHeight="1">
      <c r="A34" s="152" t="s">
        <v>72</v>
      </c>
      <c r="B34" s="138" t="s">
        <v>72</v>
      </c>
    </row>
    <row r="35" spans="1:2" ht="30.75" customHeight="1">
      <c r="A35" s="152"/>
      <c r="B35" s="143" t="s">
        <v>600</v>
      </c>
    </row>
    <row r="36" spans="1:2" ht="15" customHeight="1">
      <c r="A36" s="144" t="s">
        <v>73</v>
      </c>
      <c r="B36" s="138" t="s">
        <v>601</v>
      </c>
    </row>
    <row r="37" spans="1:2" ht="15" customHeight="1">
      <c r="A37" s="133" t="s">
        <v>74</v>
      </c>
      <c r="B37" s="134" t="s">
        <v>602</v>
      </c>
    </row>
    <row r="38" spans="1:2" ht="15" customHeight="1">
      <c r="A38" s="133" t="s">
        <v>603</v>
      </c>
      <c r="B38" s="134" t="s">
        <v>604</v>
      </c>
    </row>
    <row r="39" spans="1:2" ht="15" customHeight="1">
      <c r="A39" s="133" t="s">
        <v>605</v>
      </c>
      <c r="B39" s="134" t="s">
        <v>606</v>
      </c>
    </row>
    <row r="40" spans="1:2" ht="15" customHeight="1">
      <c r="A40" s="136"/>
      <c r="B40" s="136"/>
    </row>
    <row r="41" spans="1:2" ht="15" customHeight="1">
      <c r="A41" s="135"/>
      <c r="B41" s="135"/>
    </row>
    <row r="42" spans="1:2" ht="15" customHeight="1">
      <c r="A42" s="135"/>
      <c r="B42" s="135"/>
    </row>
    <row r="43" spans="1:2" ht="15" customHeight="1">
      <c r="A43" s="135"/>
      <c r="B43" s="135"/>
    </row>
    <row r="44" spans="1:2" ht="15" customHeight="1">
      <c r="A44" s="135"/>
      <c r="B44" s="135"/>
    </row>
    <row r="45" spans="1:2" ht="15" customHeight="1">
      <c r="A45" s="135"/>
      <c r="B45" s="135"/>
    </row>
    <row r="46" spans="1:2" ht="15" customHeight="1">
      <c r="A46" s="135"/>
      <c r="B46" s="135"/>
    </row>
    <row r="47" spans="1:2" ht="15" customHeight="1">
      <c r="A47" s="135"/>
      <c r="B47" s="135"/>
    </row>
    <row r="48" spans="1:2" ht="15" customHeight="1">
      <c r="A48" s="135"/>
      <c r="B48" s="135"/>
    </row>
    <row r="49" spans="1:2" ht="15" customHeight="1">
      <c r="A49" s="135"/>
      <c r="B49" s="135"/>
    </row>
    <row r="50" spans="1:2" ht="15" customHeight="1">
      <c r="A50" s="135"/>
      <c r="B50" s="135"/>
    </row>
    <row r="51" spans="1:2" ht="15" customHeight="1">
      <c r="A51" s="135"/>
      <c r="B51" s="135"/>
    </row>
    <row r="52" spans="1:2" ht="15" customHeight="1">
      <c r="A52" s="135"/>
      <c r="B52" s="135"/>
    </row>
    <row r="53" spans="1:2" ht="15" customHeight="1">
      <c r="A53" s="135"/>
      <c r="B53" s="135"/>
    </row>
    <row r="54" spans="1:2" ht="15" customHeight="1">
      <c r="A54" s="135"/>
      <c r="B54" s="135"/>
    </row>
    <row r="55" spans="1:2" ht="15" customHeight="1">
      <c r="A55" s="135"/>
      <c r="B55" s="135"/>
    </row>
    <row r="56" spans="1:2" ht="15" customHeight="1">
      <c r="A56" s="135"/>
      <c r="B56" s="135"/>
    </row>
    <row r="57" spans="1:2" ht="15" customHeight="1">
      <c r="A57" s="135"/>
      <c r="B57" s="135"/>
    </row>
    <row r="58" spans="1:2" ht="15" customHeight="1">
      <c r="A58" s="135"/>
      <c r="B58" s="135"/>
    </row>
    <row r="59" spans="1:2" ht="15" customHeight="1">
      <c r="A59" s="135"/>
      <c r="B59" s="135"/>
    </row>
    <row r="60" spans="1:2" ht="15" customHeight="1">
      <c r="A60" s="135"/>
      <c r="B60" s="135"/>
    </row>
    <row r="61" spans="1:2" ht="15" customHeight="1">
      <c r="A61" s="135"/>
      <c r="B61" s="135"/>
    </row>
    <row r="62" spans="1:2" ht="15" customHeight="1">
      <c r="A62" s="135"/>
      <c r="B62" s="135"/>
    </row>
    <row r="63" spans="1:2" ht="15" customHeight="1">
      <c r="A63" s="135"/>
      <c r="B63" s="135"/>
    </row>
    <row r="64" spans="1:2" ht="15" customHeight="1">
      <c r="A64" s="135"/>
      <c r="B64" s="135"/>
    </row>
    <row r="65" spans="1:2" ht="15" customHeight="1">
      <c r="A65" s="135"/>
      <c r="B65" s="135"/>
    </row>
    <row r="66" spans="1:2" ht="15" customHeight="1">
      <c r="A66" s="135"/>
      <c r="B66" s="135"/>
    </row>
    <row r="67" spans="1:2" ht="15" customHeight="1">
      <c r="A67" s="135"/>
      <c r="B67" s="135"/>
    </row>
    <row r="68" spans="1:2" ht="15" customHeight="1">
      <c r="A68" s="135"/>
      <c r="B68" s="135"/>
    </row>
    <row r="69" spans="1:2" ht="15" customHeight="1">
      <c r="A69" s="135"/>
      <c r="B69" s="135"/>
    </row>
    <row r="70" spans="1:2" ht="15" customHeight="1">
      <c r="A70" s="135"/>
      <c r="B70" s="135"/>
    </row>
    <row r="71" spans="1:2" ht="15" customHeight="1">
      <c r="A71" s="135"/>
      <c r="B71" s="135"/>
    </row>
    <row r="72" spans="1:2" ht="15" customHeight="1">
      <c r="A72" s="135"/>
      <c r="B72" s="135"/>
    </row>
    <row r="73" spans="1:2" ht="15" customHeight="1">
      <c r="A73" s="135"/>
      <c r="B73" s="135"/>
    </row>
    <row r="74" spans="1:2" ht="15" customHeight="1">
      <c r="A74" s="135"/>
      <c r="B74" s="135"/>
    </row>
    <row r="75" spans="1:2" ht="15" customHeight="1">
      <c r="A75" s="135"/>
      <c r="B75" s="135"/>
    </row>
    <row r="76" spans="1:2" ht="15" customHeight="1">
      <c r="A76" s="135"/>
      <c r="B76" s="135"/>
    </row>
    <row r="77" spans="1:2" ht="15" customHeight="1">
      <c r="A77" s="135"/>
      <c r="B77" s="135"/>
    </row>
    <row r="78" spans="1:2" ht="15" customHeight="1">
      <c r="A78" s="135"/>
      <c r="B78" s="135"/>
    </row>
    <row r="79" spans="1:2" ht="15" customHeight="1">
      <c r="A79" s="135"/>
      <c r="B79" s="135"/>
    </row>
    <row r="80" spans="1:2" ht="15" customHeight="1">
      <c r="A80" s="135"/>
      <c r="B80" s="135"/>
    </row>
    <row r="81" spans="1:2" ht="15" customHeight="1">
      <c r="A81" s="135"/>
      <c r="B81" s="135"/>
    </row>
    <row r="82" spans="1:2" ht="15" customHeight="1">
      <c r="A82" s="135"/>
      <c r="B82" s="135"/>
    </row>
    <row r="83" spans="1:2" ht="15" customHeight="1">
      <c r="A83" s="135"/>
      <c r="B83" s="135"/>
    </row>
    <row r="84" spans="1:2" ht="15" customHeight="1">
      <c r="A84" s="135"/>
      <c r="B84" s="135"/>
    </row>
    <row r="85" spans="1:2" ht="15" customHeight="1">
      <c r="A85" s="135"/>
      <c r="B85" s="135"/>
    </row>
    <row r="86" spans="1:2" ht="15" customHeight="1">
      <c r="A86" s="135"/>
      <c r="B86" s="135"/>
    </row>
    <row r="87" spans="1:2" ht="15" customHeight="1">
      <c r="A87" s="135"/>
      <c r="B87" s="135"/>
    </row>
    <row r="88" spans="1:2" ht="15" customHeight="1">
      <c r="A88" s="135"/>
      <c r="B88" s="135"/>
    </row>
    <row r="89" spans="1:2" ht="15" customHeight="1">
      <c r="A89" s="135"/>
      <c r="B89" s="135"/>
    </row>
    <row r="90" spans="1:2" ht="15" customHeight="1">
      <c r="A90" s="135"/>
      <c r="B90" s="135"/>
    </row>
    <row r="91" spans="1:2" ht="15" customHeight="1">
      <c r="A91" s="135"/>
      <c r="B91" s="135"/>
    </row>
    <row r="92" spans="1:2" ht="15" customHeight="1">
      <c r="A92" s="135"/>
      <c r="B92" s="135"/>
    </row>
    <row r="93" spans="1:2" ht="15" customHeight="1">
      <c r="A93" s="135"/>
      <c r="B93" s="135"/>
    </row>
    <row r="94" spans="1:2" ht="15" customHeight="1">
      <c r="A94" s="135"/>
      <c r="B94" s="135"/>
    </row>
    <row r="95" spans="1:2" ht="15" customHeight="1">
      <c r="A95" s="135"/>
      <c r="B95" s="135"/>
    </row>
    <row r="96" spans="1:2" ht="15" customHeight="1">
      <c r="A96" s="135"/>
      <c r="B96" s="135"/>
    </row>
    <row r="97" spans="1:2" ht="15" customHeight="1">
      <c r="A97" s="135"/>
      <c r="B97" s="135"/>
    </row>
    <row r="98" spans="1:2" ht="15" customHeight="1">
      <c r="A98" s="135"/>
      <c r="B98" s="135"/>
    </row>
    <row r="99" spans="1:2" ht="15" customHeight="1">
      <c r="A99" s="135"/>
      <c r="B99" s="135"/>
    </row>
    <row r="100" spans="1:2" ht="15" customHeight="1">
      <c r="A100" s="135"/>
      <c r="B100" s="135"/>
    </row>
    <row r="101" spans="1:2" ht="15" customHeight="1">
      <c r="A101" s="135"/>
      <c r="B101" s="135"/>
    </row>
    <row r="102" spans="1:2" ht="15" customHeight="1">
      <c r="A102" s="135"/>
      <c r="B102" s="135"/>
    </row>
    <row r="103" spans="1:2" ht="15" customHeight="1">
      <c r="A103" s="135"/>
      <c r="B103" s="135"/>
    </row>
    <row r="104" spans="1:2" ht="15" customHeight="1">
      <c r="A104" s="135"/>
      <c r="B104" s="135"/>
    </row>
    <row r="105" spans="1:2" ht="15" customHeight="1">
      <c r="A105" s="135"/>
      <c r="B105" s="135"/>
    </row>
    <row r="106" spans="1:2" ht="15" customHeight="1">
      <c r="A106" s="135"/>
      <c r="B106" s="135"/>
    </row>
    <row r="107" spans="1:2" ht="15" customHeight="1">
      <c r="A107" s="135"/>
      <c r="B107" s="135"/>
    </row>
    <row r="108" spans="1:2" ht="15" customHeight="1">
      <c r="A108" s="135"/>
      <c r="B108" s="135"/>
    </row>
    <row r="109" spans="1:2" ht="15" customHeight="1">
      <c r="A109" s="135"/>
      <c r="B109" s="135"/>
    </row>
    <row r="110" spans="1:2" ht="15" customHeight="1">
      <c r="A110" s="135"/>
      <c r="B110" s="135"/>
    </row>
    <row r="111" spans="1:2" ht="15" customHeight="1">
      <c r="A111" s="135"/>
      <c r="B111" s="135"/>
    </row>
    <row r="112" spans="1:2" ht="15" customHeight="1">
      <c r="A112" s="135"/>
      <c r="B112" s="135"/>
    </row>
    <row r="113" spans="1:2" ht="15" customHeight="1">
      <c r="A113" s="135"/>
      <c r="B113" s="135"/>
    </row>
    <row r="114" spans="1:2" ht="15" customHeight="1">
      <c r="A114" s="135"/>
      <c r="B114" s="135"/>
    </row>
    <row r="115" spans="1:2" ht="15" customHeight="1">
      <c r="A115" s="135"/>
      <c r="B115" s="135"/>
    </row>
    <row r="116" spans="1:2" ht="15" customHeight="1">
      <c r="A116" s="135"/>
      <c r="B116" s="135"/>
    </row>
    <row r="117" spans="1:2" ht="15" customHeight="1">
      <c r="A117" s="135"/>
      <c r="B117" s="135"/>
    </row>
    <row r="118" spans="1:2" ht="15" customHeight="1">
      <c r="A118" s="135"/>
      <c r="B118" s="135"/>
    </row>
    <row r="119" spans="1:2" ht="15" customHeight="1">
      <c r="A119" s="135"/>
      <c r="B119" s="135"/>
    </row>
    <row r="120" spans="1:2" ht="15" customHeight="1">
      <c r="A120" s="135"/>
      <c r="B120" s="135"/>
    </row>
    <row r="121" spans="1:2" ht="15" customHeight="1">
      <c r="A121" s="135"/>
      <c r="B121" s="135"/>
    </row>
    <row r="122" spans="1:2" ht="15" customHeight="1">
      <c r="A122" s="135"/>
      <c r="B122" s="135"/>
    </row>
    <row r="123" spans="1:2" ht="15" customHeight="1">
      <c r="A123" s="135"/>
      <c r="B123" s="135"/>
    </row>
    <row r="124" spans="1:2" ht="15" customHeight="1">
      <c r="A124" s="135"/>
      <c r="B124" s="135"/>
    </row>
    <row r="125" spans="1:2" ht="15" customHeight="1">
      <c r="A125" s="135"/>
      <c r="B125" s="135"/>
    </row>
    <row r="126" spans="1:2" ht="15" customHeight="1">
      <c r="A126" s="135"/>
      <c r="B126" s="135"/>
    </row>
    <row r="127" spans="1:2" ht="15" customHeight="1">
      <c r="A127" s="135"/>
      <c r="B127" s="135"/>
    </row>
    <row r="128" spans="1:2" ht="15" customHeight="1">
      <c r="A128" s="135"/>
      <c r="B128" s="135"/>
    </row>
    <row r="129" spans="1:2" ht="15" customHeight="1">
      <c r="A129" s="135"/>
      <c r="B129" s="135"/>
    </row>
    <row r="130" spans="1:2" ht="15" customHeight="1">
      <c r="A130" s="135"/>
      <c r="B130" s="135"/>
    </row>
    <row r="131" spans="1:2" ht="15" customHeight="1">
      <c r="A131" s="135"/>
      <c r="B131" s="135"/>
    </row>
    <row r="132" spans="1:2" ht="15" customHeight="1">
      <c r="A132" s="135"/>
      <c r="B132" s="135"/>
    </row>
    <row r="133" spans="1:2" ht="15" customHeight="1">
      <c r="A133" s="135"/>
      <c r="B133" s="135"/>
    </row>
    <row r="134" spans="1:2" ht="15" customHeight="1">
      <c r="A134" s="135"/>
      <c r="B134" s="135"/>
    </row>
    <row r="135" spans="1:2" ht="15" customHeight="1">
      <c r="A135" s="135"/>
      <c r="B135" s="135"/>
    </row>
    <row r="136" spans="1:2" ht="15" customHeight="1">
      <c r="A136" s="135"/>
      <c r="B136" s="135"/>
    </row>
    <row r="137" spans="1:2" ht="15" customHeight="1">
      <c r="A137" s="135"/>
      <c r="B137" s="135"/>
    </row>
    <row r="138" spans="1:2" ht="15" customHeight="1">
      <c r="A138" s="135"/>
      <c r="B138" s="135"/>
    </row>
    <row r="139" spans="1:2" ht="15" customHeight="1">
      <c r="A139" s="135"/>
      <c r="B139" s="135"/>
    </row>
    <row r="140" spans="1:2" ht="15" customHeight="1">
      <c r="A140" s="135"/>
      <c r="B140" s="135"/>
    </row>
    <row r="141" spans="1:2" ht="15" customHeight="1">
      <c r="A141" s="135"/>
      <c r="B141" s="135"/>
    </row>
    <row r="142" spans="1:2" ht="15" customHeight="1">
      <c r="A142" s="135"/>
      <c r="B142" s="135"/>
    </row>
    <row r="143" spans="1:2" ht="15" customHeight="1">
      <c r="A143" s="135"/>
      <c r="B143" s="135"/>
    </row>
    <row r="144" spans="1:2" ht="15" customHeight="1">
      <c r="A144" s="135"/>
      <c r="B144" s="135"/>
    </row>
    <row r="145" spans="1:2" ht="15" customHeight="1">
      <c r="A145" s="135"/>
      <c r="B145" s="135"/>
    </row>
    <row r="146" spans="1:2" ht="15" customHeight="1">
      <c r="A146" s="135"/>
      <c r="B146" s="135"/>
    </row>
    <row r="147" spans="1:2" ht="15" customHeight="1">
      <c r="A147" s="135"/>
      <c r="B147" s="135"/>
    </row>
    <row r="148" spans="1:2" ht="15" customHeight="1">
      <c r="A148" s="135"/>
      <c r="B148" s="135"/>
    </row>
    <row r="149" spans="1:2" ht="15" customHeight="1">
      <c r="A149" s="135"/>
      <c r="B149" s="135"/>
    </row>
    <row r="150" spans="1:2" ht="15" customHeight="1">
      <c r="A150" s="135"/>
      <c r="B150" s="135"/>
    </row>
    <row r="151" spans="1:2" ht="15" customHeight="1">
      <c r="A151" s="135"/>
      <c r="B151" s="135"/>
    </row>
    <row r="152" spans="1:2" ht="15" customHeight="1">
      <c r="A152" s="135"/>
      <c r="B152" s="135"/>
    </row>
    <row r="153" spans="1:2" ht="15" customHeight="1">
      <c r="A153" s="135"/>
      <c r="B153" s="135"/>
    </row>
    <row r="154" spans="1:2" ht="15" customHeight="1">
      <c r="A154" s="135"/>
      <c r="B154" s="135"/>
    </row>
    <row r="155" spans="1:2" ht="15" customHeight="1">
      <c r="A155" s="135"/>
      <c r="B155" s="135"/>
    </row>
    <row r="156" spans="1:2" ht="15" customHeight="1">
      <c r="A156" s="135"/>
      <c r="B156" s="135"/>
    </row>
    <row r="157" spans="1:2" ht="15" customHeight="1">
      <c r="A157" s="135"/>
      <c r="B157" s="135"/>
    </row>
    <row r="158" spans="1:2" ht="15" customHeight="1">
      <c r="A158" s="135"/>
      <c r="B158" s="135"/>
    </row>
    <row r="159" spans="1:2" ht="15" customHeight="1">
      <c r="A159" s="135"/>
      <c r="B159" s="135"/>
    </row>
    <row r="160" spans="1:2" ht="15" customHeight="1">
      <c r="A160" s="135"/>
      <c r="B160" s="135"/>
    </row>
    <row r="161" spans="1:2" ht="15" customHeight="1">
      <c r="A161" s="135"/>
      <c r="B161" s="135"/>
    </row>
    <row r="162" spans="1:2" ht="15" customHeight="1">
      <c r="A162" s="135"/>
      <c r="B162" s="135"/>
    </row>
    <row r="163" spans="1:2" ht="15" customHeight="1">
      <c r="A163" s="135"/>
      <c r="B163" s="135"/>
    </row>
    <row r="164" spans="1:2" ht="15" customHeight="1">
      <c r="A164" s="135"/>
      <c r="B164" s="135"/>
    </row>
    <row r="165" spans="1:2" ht="15" customHeight="1">
      <c r="A165" s="135"/>
      <c r="B165" s="135"/>
    </row>
    <row r="166" spans="1:2" ht="15" customHeight="1">
      <c r="A166" s="135"/>
      <c r="B166" s="135"/>
    </row>
    <row r="167" spans="1:2" ht="15" customHeight="1">
      <c r="A167" s="135"/>
      <c r="B167" s="135"/>
    </row>
    <row r="168" spans="1:2" ht="15" customHeight="1">
      <c r="A168" s="135"/>
      <c r="B168" s="135"/>
    </row>
    <row r="169" spans="1:2" ht="15" customHeight="1">
      <c r="A169" s="135"/>
      <c r="B169" s="135"/>
    </row>
    <row r="170" spans="1:2" ht="15" customHeight="1">
      <c r="A170" s="135"/>
      <c r="B170" s="135"/>
    </row>
    <row r="171" spans="1:2" ht="15" customHeight="1">
      <c r="A171" s="135"/>
      <c r="B171" s="135"/>
    </row>
    <row r="172" spans="1:2" ht="15" customHeight="1">
      <c r="A172" s="135"/>
      <c r="B172" s="135"/>
    </row>
    <row r="173" spans="1:2" ht="15" customHeight="1">
      <c r="A173" s="135"/>
      <c r="B173" s="135"/>
    </row>
    <row r="174" spans="1:2" ht="15" customHeight="1">
      <c r="A174" s="135"/>
      <c r="B174" s="135"/>
    </row>
    <row r="175" spans="1:2" ht="15" customHeight="1">
      <c r="A175" s="135"/>
      <c r="B175" s="135"/>
    </row>
    <row r="176" spans="1:2" ht="15" customHeight="1">
      <c r="A176" s="135"/>
      <c r="B176" s="135"/>
    </row>
    <row r="177" spans="1:2" ht="15" customHeight="1">
      <c r="A177" s="135"/>
      <c r="B177" s="135"/>
    </row>
    <row r="178" spans="1:2" ht="15" customHeight="1">
      <c r="A178" s="135"/>
      <c r="B178" s="135"/>
    </row>
    <row r="179" spans="1:2" ht="15" customHeight="1">
      <c r="A179" s="135"/>
      <c r="B179" s="135"/>
    </row>
    <row r="180" spans="1:2" ht="15" customHeight="1">
      <c r="A180" s="135"/>
      <c r="B180" s="135"/>
    </row>
    <row r="181" spans="1:2" ht="15" customHeight="1">
      <c r="A181" s="135"/>
      <c r="B181" s="135"/>
    </row>
    <row r="182" spans="1:2" ht="15" customHeight="1">
      <c r="A182" s="135"/>
      <c r="B182" s="135"/>
    </row>
    <row r="183" spans="1:2" ht="15" customHeight="1">
      <c r="A183" s="135"/>
      <c r="B183" s="135"/>
    </row>
    <row r="184" spans="1:2" ht="15" customHeight="1">
      <c r="A184" s="135"/>
      <c r="B184" s="135"/>
    </row>
    <row r="185" spans="1:2" ht="15" customHeight="1">
      <c r="A185" s="135"/>
      <c r="B185" s="135"/>
    </row>
    <row r="186" spans="1:2" ht="15" customHeight="1">
      <c r="A186" s="135"/>
      <c r="B186" s="135"/>
    </row>
    <row r="187" spans="1:2" ht="15" customHeight="1">
      <c r="A187" s="135"/>
      <c r="B187" s="135"/>
    </row>
    <row r="188" spans="1:2" ht="15" customHeight="1">
      <c r="A188" s="135"/>
      <c r="B188" s="135"/>
    </row>
    <row r="189" spans="1:2" ht="15" customHeight="1">
      <c r="A189" s="135"/>
      <c r="B189" s="135"/>
    </row>
    <row r="190" spans="1:2" ht="15" customHeight="1">
      <c r="A190" s="135"/>
      <c r="B190" s="135"/>
    </row>
    <row r="191" spans="1:2" ht="15" customHeight="1">
      <c r="A191" s="135"/>
      <c r="B191" s="135"/>
    </row>
    <row r="192" spans="1:2" ht="15" customHeight="1">
      <c r="A192" s="135"/>
      <c r="B192" s="135"/>
    </row>
    <row r="193" spans="1:2" ht="15" customHeight="1">
      <c r="A193" s="135"/>
      <c r="B193" s="135"/>
    </row>
    <row r="194" spans="1:2" ht="15" customHeight="1">
      <c r="A194" s="135"/>
      <c r="B194" s="135"/>
    </row>
    <row r="195" spans="1:2" ht="15" customHeight="1">
      <c r="A195" s="135"/>
      <c r="B195" s="135"/>
    </row>
    <row r="196" spans="1:2" ht="15" customHeight="1">
      <c r="A196" s="135"/>
      <c r="B196" s="135"/>
    </row>
    <row r="197" spans="1:2" ht="15" customHeight="1">
      <c r="A197" s="135"/>
      <c r="B197" s="135"/>
    </row>
    <row r="198" spans="1:2" ht="15" customHeight="1">
      <c r="A198" s="135"/>
      <c r="B198" s="135"/>
    </row>
    <row r="199" spans="1:2" ht="15" customHeight="1">
      <c r="A199" s="135"/>
      <c r="B199" s="135"/>
    </row>
    <row r="200" spans="1:2" ht="15" customHeight="1">
      <c r="A200" s="135"/>
      <c r="B200" s="135"/>
    </row>
    <row r="201" spans="1:2" ht="15" customHeight="1">
      <c r="A201" s="135"/>
      <c r="B201" s="135"/>
    </row>
    <row r="202" spans="1:2" ht="15" customHeight="1">
      <c r="A202" s="135"/>
      <c r="B202" s="135"/>
    </row>
    <row r="203" spans="1:2" ht="15" customHeight="1">
      <c r="A203" s="135"/>
      <c r="B203" s="135"/>
    </row>
    <row r="204" spans="1:2" ht="15" customHeight="1">
      <c r="A204" s="135"/>
      <c r="B204" s="135"/>
    </row>
    <row r="205" spans="1:2" ht="15" customHeight="1">
      <c r="A205" s="135"/>
      <c r="B205" s="135"/>
    </row>
    <row r="206" spans="1:2" ht="15" customHeight="1">
      <c r="A206" s="135"/>
      <c r="B206" s="135"/>
    </row>
    <row r="207" spans="1:2" ht="15" customHeight="1">
      <c r="A207" s="135"/>
      <c r="B207" s="135"/>
    </row>
    <row r="208" spans="1:2" ht="15" customHeight="1">
      <c r="A208" s="135"/>
      <c r="B208" s="135"/>
    </row>
    <row r="209" spans="1:2" ht="15" customHeight="1">
      <c r="A209" s="135"/>
      <c r="B209" s="135"/>
    </row>
    <row r="210" spans="1:2" ht="15" customHeight="1">
      <c r="A210" s="135"/>
      <c r="B210" s="135"/>
    </row>
    <row r="211" spans="1:2" ht="15" customHeight="1">
      <c r="A211" s="135"/>
      <c r="B211" s="135"/>
    </row>
    <row r="212" spans="1:2" ht="15" customHeight="1">
      <c r="A212" s="135"/>
      <c r="B212" s="135"/>
    </row>
    <row r="213" spans="1:2" ht="15" customHeight="1">
      <c r="A213" s="135"/>
      <c r="B213" s="135"/>
    </row>
    <row r="214" spans="1:2" ht="15" customHeight="1">
      <c r="A214" s="135"/>
      <c r="B214" s="135"/>
    </row>
    <row r="215" spans="1:2" ht="15" customHeight="1">
      <c r="A215" s="135"/>
      <c r="B215" s="135"/>
    </row>
    <row r="216" spans="1:2" ht="15" customHeight="1">
      <c r="A216" s="135"/>
      <c r="B216" s="135"/>
    </row>
    <row r="217" spans="1:2" ht="15" customHeight="1">
      <c r="A217" s="135"/>
      <c r="B217" s="135"/>
    </row>
    <row r="218" spans="1:2" ht="15" customHeight="1">
      <c r="A218" s="135"/>
      <c r="B218" s="135"/>
    </row>
    <row r="219" spans="1:2" ht="15" customHeight="1">
      <c r="A219" s="135"/>
      <c r="B219" s="135"/>
    </row>
    <row r="220" spans="1:2" ht="15" customHeight="1">
      <c r="A220" s="135"/>
      <c r="B220" s="135"/>
    </row>
    <row r="221" spans="1:2" ht="15" customHeight="1">
      <c r="A221" s="135"/>
      <c r="B221" s="135"/>
    </row>
    <row r="222" spans="1:2" ht="15" customHeight="1">
      <c r="A222" s="135"/>
      <c r="B222" s="135"/>
    </row>
    <row r="223" spans="1:2" ht="15" customHeight="1">
      <c r="A223" s="135"/>
      <c r="B223" s="135"/>
    </row>
    <row r="224" spans="1:2" ht="15" customHeight="1">
      <c r="A224" s="135"/>
      <c r="B224" s="135"/>
    </row>
    <row r="225" spans="1:2" ht="15" customHeight="1">
      <c r="A225" s="135"/>
      <c r="B225" s="135"/>
    </row>
    <row r="226" spans="1:2" ht="15" customHeight="1">
      <c r="A226" s="135"/>
      <c r="B226" s="135"/>
    </row>
    <row r="227" spans="1:2" ht="15" customHeight="1">
      <c r="A227" s="135"/>
      <c r="B227" s="135"/>
    </row>
    <row r="228" spans="1:2" ht="15" customHeight="1">
      <c r="A228" s="135"/>
      <c r="B228" s="135"/>
    </row>
    <row r="229" spans="1:2" ht="15" customHeight="1">
      <c r="A229" s="135"/>
      <c r="B229" s="135"/>
    </row>
    <row r="230" spans="1:2" ht="15" customHeight="1">
      <c r="A230" s="135"/>
      <c r="B230" s="135"/>
    </row>
    <row r="231" spans="1:2" ht="15" customHeight="1">
      <c r="A231" s="135"/>
      <c r="B231" s="135"/>
    </row>
    <row r="232" spans="1:2" ht="15" customHeight="1">
      <c r="A232" s="135"/>
      <c r="B232" s="135"/>
    </row>
    <row r="233" spans="1:2" ht="15" customHeight="1">
      <c r="A233" s="135"/>
      <c r="B233" s="135"/>
    </row>
    <row r="234" spans="1:2" ht="15" customHeight="1">
      <c r="A234" s="135"/>
      <c r="B234" s="135"/>
    </row>
    <row r="235" spans="1:2" ht="15" customHeight="1">
      <c r="A235" s="135"/>
      <c r="B235" s="135"/>
    </row>
    <row r="236" spans="1:2" ht="15" customHeight="1">
      <c r="A236" s="135"/>
      <c r="B236" s="135"/>
    </row>
    <row r="237" spans="1:2" ht="15" customHeight="1">
      <c r="A237" s="135"/>
      <c r="B237" s="135"/>
    </row>
    <row r="238" spans="1:2" ht="15" customHeight="1">
      <c r="A238" s="135"/>
      <c r="B238" s="135"/>
    </row>
    <row r="239" spans="1:2" ht="15" customHeight="1">
      <c r="A239" s="135"/>
      <c r="B239" s="135"/>
    </row>
    <row r="240" spans="1:2" ht="15" customHeight="1">
      <c r="A240" s="135"/>
      <c r="B240" s="135"/>
    </row>
    <row r="241" spans="1:2" ht="15" customHeight="1">
      <c r="A241" s="135"/>
      <c r="B241" s="135"/>
    </row>
    <row r="242" spans="1:2" ht="15" customHeight="1">
      <c r="A242" s="135"/>
      <c r="B242" s="135"/>
    </row>
    <row r="243" spans="1:2" ht="15" customHeight="1">
      <c r="A243" s="135"/>
      <c r="B243" s="135"/>
    </row>
    <row r="244" spans="1:2" ht="15" customHeight="1">
      <c r="A244" s="135"/>
      <c r="B244" s="135"/>
    </row>
    <row r="245" spans="1:2" ht="15" customHeight="1">
      <c r="A245" s="135"/>
      <c r="B245" s="135"/>
    </row>
    <row r="246" spans="1:2" ht="15" customHeight="1">
      <c r="A246" s="135"/>
      <c r="B246" s="135"/>
    </row>
    <row r="247" spans="1:2" ht="15" customHeight="1">
      <c r="A247" s="135"/>
      <c r="B247" s="135"/>
    </row>
    <row r="248" spans="1:2" ht="15" customHeight="1">
      <c r="A248" s="135"/>
      <c r="B248" s="135"/>
    </row>
    <row r="249" spans="1:2" ht="15" customHeight="1">
      <c r="A249" s="135"/>
      <c r="B249" s="135"/>
    </row>
    <row r="250" spans="1:2" ht="15" customHeight="1">
      <c r="A250" s="135"/>
      <c r="B250" s="135"/>
    </row>
    <row r="251" spans="1:2" ht="15" customHeight="1">
      <c r="A251" s="135"/>
      <c r="B251" s="135"/>
    </row>
    <row r="252" spans="1:2" ht="15" customHeight="1">
      <c r="A252" s="135"/>
      <c r="B252" s="135"/>
    </row>
    <row r="253" spans="1:2" ht="15" customHeight="1">
      <c r="A253" s="135"/>
      <c r="B253" s="135"/>
    </row>
    <row r="254" spans="1:2" ht="15" customHeight="1">
      <c r="A254" s="135"/>
      <c r="B254" s="135"/>
    </row>
    <row r="255" spans="1:2" ht="15" customHeight="1">
      <c r="A255" s="135"/>
      <c r="B255" s="135"/>
    </row>
    <row r="256" spans="1:2" ht="15" customHeight="1">
      <c r="A256" s="135"/>
      <c r="B256" s="135"/>
    </row>
    <row r="257" spans="1:2" ht="15" customHeight="1">
      <c r="A257" s="135"/>
      <c r="B257" s="135"/>
    </row>
    <row r="258" spans="1:2" ht="15" customHeight="1">
      <c r="A258" s="135"/>
      <c r="B258" s="135"/>
    </row>
    <row r="259" spans="1:2" ht="15" customHeight="1">
      <c r="A259" s="135"/>
      <c r="B259" s="135"/>
    </row>
    <row r="260" spans="1:2" ht="15" customHeight="1">
      <c r="A260" s="135"/>
      <c r="B260" s="135"/>
    </row>
    <row r="261" spans="1:2" ht="15" customHeight="1">
      <c r="A261" s="135"/>
      <c r="B261" s="135"/>
    </row>
    <row r="262" spans="1:2" ht="15" customHeight="1">
      <c r="A262" s="135"/>
      <c r="B262" s="135"/>
    </row>
    <row r="263" spans="1:2" ht="15" customHeight="1">
      <c r="A263" s="135"/>
      <c r="B263" s="135"/>
    </row>
    <row r="264" spans="1:2" ht="15" customHeight="1">
      <c r="A264" s="135"/>
      <c r="B264" s="135"/>
    </row>
    <row r="265" spans="1:2" ht="15" customHeight="1">
      <c r="A265" s="135"/>
      <c r="B265" s="135"/>
    </row>
    <row r="266" spans="1:2" ht="15" customHeight="1">
      <c r="A266" s="135"/>
      <c r="B266" s="135"/>
    </row>
    <row r="267" spans="1:2" ht="15" customHeight="1">
      <c r="A267" s="135"/>
      <c r="B267" s="135"/>
    </row>
    <row r="268" spans="1:2" ht="15" customHeight="1">
      <c r="A268" s="135"/>
      <c r="B268" s="135"/>
    </row>
    <row r="269" spans="1:2" ht="15" customHeight="1">
      <c r="A269" s="135"/>
      <c r="B269" s="135"/>
    </row>
    <row r="270" spans="1:2" ht="15" customHeight="1">
      <c r="A270" s="135"/>
      <c r="B270" s="135"/>
    </row>
    <row r="271" spans="1:2" ht="15" customHeight="1">
      <c r="A271" s="135"/>
      <c r="B271" s="135"/>
    </row>
    <row r="272" spans="1:2" ht="15" customHeight="1">
      <c r="A272" s="135"/>
      <c r="B272" s="135"/>
    </row>
    <row r="273" spans="1:2" ht="15" customHeight="1">
      <c r="A273" s="135"/>
      <c r="B273" s="135"/>
    </row>
    <row r="274" spans="1:2" ht="15" customHeight="1">
      <c r="A274" s="135"/>
      <c r="B274" s="135"/>
    </row>
    <row r="275" spans="1:2" ht="15" customHeight="1">
      <c r="A275" s="135"/>
      <c r="B275" s="135"/>
    </row>
    <row r="276" spans="1:2" ht="15" customHeight="1">
      <c r="A276" s="135"/>
      <c r="B276" s="135"/>
    </row>
    <row r="277" spans="1:2" ht="15" customHeight="1">
      <c r="A277" s="135"/>
      <c r="B277" s="135"/>
    </row>
    <row r="278" spans="1:2" ht="15" customHeight="1">
      <c r="A278" s="135"/>
      <c r="B278" s="135"/>
    </row>
    <row r="279" spans="1:2" ht="15" customHeight="1">
      <c r="A279" s="135"/>
      <c r="B279" s="135"/>
    </row>
    <row r="280" spans="1:2" ht="15" customHeight="1">
      <c r="A280" s="135"/>
      <c r="B280" s="135"/>
    </row>
    <row r="281" spans="1:2" ht="15" customHeight="1">
      <c r="A281" s="135"/>
      <c r="B281" s="135"/>
    </row>
    <row r="282" spans="1:2" ht="15" customHeight="1">
      <c r="A282" s="135"/>
      <c r="B282" s="135"/>
    </row>
    <row r="283" spans="1:2" ht="15" customHeight="1">
      <c r="A283" s="135"/>
      <c r="B283" s="135"/>
    </row>
    <row r="284" spans="1:2" ht="15" customHeight="1">
      <c r="A284" s="135"/>
      <c r="B284" s="135"/>
    </row>
    <row r="285" spans="1:2" ht="15" customHeight="1">
      <c r="A285" s="135"/>
      <c r="B285" s="135"/>
    </row>
    <row r="286" spans="1:2" ht="15" customHeight="1">
      <c r="A286" s="135"/>
      <c r="B286" s="135"/>
    </row>
    <row r="287" spans="1:2" ht="15" customHeight="1">
      <c r="A287" s="135"/>
      <c r="B287" s="135"/>
    </row>
    <row r="288" spans="1:2" ht="15" customHeight="1">
      <c r="A288" s="135"/>
      <c r="B288" s="135"/>
    </row>
    <row r="289" spans="1:2" ht="15" customHeight="1">
      <c r="A289" s="135"/>
      <c r="B289" s="135"/>
    </row>
    <row r="290" spans="1:2" ht="15" customHeight="1">
      <c r="A290" s="135"/>
      <c r="B290" s="135"/>
    </row>
    <row r="291" spans="1:2" ht="15" customHeight="1">
      <c r="A291" s="135"/>
      <c r="B291" s="135"/>
    </row>
    <row r="292" spans="1:2" ht="15" customHeight="1">
      <c r="A292" s="135"/>
      <c r="B292" s="135"/>
    </row>
    <row r="293" spans="1:2" ht="15" customHeight="1">
      <c r="A293" s="135"/>
      <c r="B293" s="135"/>
    </row>
    <row r="294" spans="1:2" ht="15" customHeight="1">
      <c r="A294" s="135"/>
      <c r="B294" s="135"/>
    </row>
    <row r="295" spans="1:2" ht="15" customHeight="1">
      <c r="A295" s="135"/>
      <c r="B295" s="135"/>
    </row>
    <row r="296" spans="1:2" ht="15" customHeight="1">
      <c r="A296" s="135"/>
      <c r="B296" s="135"/>
    </row>
    <row r="297" spans="1:2" ht="15" customHeight="1">
      <c r="A297" s="135"/>
      <c r="B297" s="135"/>
    </row>
    <row r="298" spans="1:2" ht="15" customHeight="1">
      <c r="A298" s="135"/>
      <c r="B298" s="135"/>
    </row>
    <row r="299" spans="1:2" ht="15" customHeight="1">
      <c r="A299" s="135"/>
      <c r="B299" s="135"/>
    </row>
    <row r="300" spans="1:2" ht="15" customHeight="1">
      <c r="A300" s="135"/>
      <c r="B300" s="135"/>
    </row>
    <row r="301" spans="1:2" ht="15" customHeight="1">
      <c r="A301" s="135"/>
      <c r="B301" s="135"/>
    </row>
    <row r="302" spans="1:2" ht="15" customHeight="1">
      <c r="A302" s="135"/>
      <c r="B302" s="135"/>
    </row>
    <row r="303" spans="1:2" ht="15" customHeight="1">
      <c r="A303" s="135"/>
      <c r="B303" s="135"/>
    </row>
    <row r="304" spans="1:2" ht="15" customHeight="1">
      <c r="A304" s="135"/>
      <c r="B304" s="135"/>
    </row>
    <row r="305" spans="1:2" ht="15" customHeight="1">
      <c r="A305" s="135"/>
      <c r="B305" s="135"/>
    </row>
    <row r="306" spans="1:2" ht="15" customHeight="1">
      <c r="A306" s="135"/>
      <c r="B306" s="135"/>
    </row>
    <row r="307" spans="1:2" ht="15" customHeight="1">
      <c r="A307" s="135"/>
      <c r="B307" s="135"/>
    </row>
    <row r="308" spans="1:2" ht="15" customHeight="1">
      <c r="A308" s="135"/>
      <c r="B308" s="135"/>
    </row>
    <row r="309" spans="1:2" ht="15" customHeight="1">
      <c r="A309" s="135"/>
      <c r="B309" s="135"/>
    </row>
    <row r="310" spans="1:2" ht="15" customHeight="1">
      <c r="A310" s="135"/>
      <c r="B310" s="135"/>
    </row>
    <row r="311" spans="1:2" ht="15" customHeight="1">
      <c r="A311" s="135"/>
      <c r="B311" s="135"/>
    </row>
    <row r="312" spans="1:2" ht="15" customHeight="1">
      <c r="A312" s="135"/>
      <c r="B312" s="135"/>
    </row>
    <row r="313" spans="1:2" ht="15" customHeight="1">
      <c r="A313" s="135"/>
      <c r="B313" s="135"/>
    </row>
    <row r="314" spans="1:2" ht="15" customHeight="1">
      <c r="A314" s="135"/>
      <c r="B314" s="135"/>
    </row>
    <row r="315" spans="1:2" ht="15" customHeight="1">
      <c r="A315" s="135"/>
      <c r="B315" s="135"/>
    </row>
    <row r="316" spans="1:2" ht="15" customHeight="1">
      <c r="A316" s="135"/>
      <c r="B316" s="135"/>
    </row>
    <row r="317" spans="1:2" ht="15" customHeight="1">
      <c r="A317" s="135"/>
      <c r="B317" s="135"/>
    </row>
    <row r="318" spans="1:2" ht="15" customHeight="1">
      <c r="A318" s="135"/>
      <c r="B318" s="135"/>
    </row>
    <row r="319" spans="1:2" ht="15" customHeight="1">
      <c r="A319" s="135"/>
      <c r="B319" s="135"/>
    </row>
    <row r="320" spans="1:2" ht="15" customHeight="1">
      <c r="A320" s="135"/>
      <c r="B320" s="135"/>
    </row>
    <row r="321" spans="1:2" ht="15" customHeight="1">
      <c r="A321" s="135"/>
      <c r="B321" s="135"/>
    </row>
    <row r="322" spans="1:2" ht="15" customHeight="1">
      <c r="A322" s="135"/>
      <c r="B322" s="135"/>
    </row>
    <row r="323" spans="1:2" ht="15" customHeight="1">
      <c r="A323" s="135"/>
      <c r="B323" s="135"/>
    </row>
    <row r="324" spans="1:2" ht="15" customHeight="1">
      <c r="A324" s="135"/>
      <c r="B324" s="135"/>
    </row>
    <row r="325" spans="1:2" ht="15" customHeight="1">
      <c r="A325" s="135"/>
      <c r="B325" s="135"/>
    </row>
    <row r="326" spans="1:2" ht="15" customHeight="1">
      <c r="A326" s="135"/>
      <c r="B326" s="135"/>
    </row>
    <row r="327" spans="1:2" ht="15" customHeight="1">
      <c r="A327" s="135"/>
      <c r="B327" s="135"/>
    </row>
    <row r="328" spans="1:2" ht="15" customHeight="1">
      <c r="A328" s="135"/>
      <c r="B328" s="135"/>
    </row>
    <row r="329" spans="1:2" ht="15" customHeight="1">
      <c r="A329" s="135"/>
      <c r="B329" s="135"/>
    </row>
    <row r="330" spans="1:2" ht="15" customHeight="1">
      <c r="A330" s="135"/>
      <c r="B330" s="135"/>
    </row>
    <row r="331" spans="1:2" ht="15" customHeight="1">
      <c r="A331" s="135"/>
      <c r="B331" s="135"/>
    </row>
    <row r="332" spans="1:2" ht="15" customHeight="1">
      <c r="A332" s="135"/>
      <c r="B332" s="135"/>
    </row>
    <row r="333" spans="1:2" ht="15" customHeight="1">
      <c r="A333" s="135"/>
      <c r="B333" s="135"/>
    </row>
    <row r="334" spans="1:2" ht="15" customHeight="1">
      <c r="A334" s="135"/>
      <c r="B334" s="135"/>
    </row>
    <row r="335" spans="1:2" ht="15" customHeight="1">
      <c r="A335" s="135"/>
      <c r="B335" s="135"/>
    </row>
    <row r="336" spans="1:2" ht="15" customHeight="1">
      <c r="A336" s="135"/>
      <c r="B336" s="135"/>
    </row>
    <row r="337" spans="1:2" ht="15" customHeight="1">
      <c r="A337" s="135"/>
      <c r="B337" s="135"/>
    </row>
    <row r="338" spans="1:2" ht="15" customHeight="1">
      <c r="A338" s="135"/>
      <c r="B338" s="135"/>
    </row>
    <row r="339" spans="1:2" ht="15" customHeight="1">
      <c r="A339" s="135"/>
      <c r="B339" s="135"/>
    </row>
    <row r="340" spans="1:2" ht="15" customHeight="1">
      <c r="A340" s="135"/>
      <c r="B340" s="135"/>
    </row>
    <row r="341" spans="1:2" ht="15" customHeight="1">
      <c r="A341" s="135"/>
      <c r="B341" s="135"/>
    </row>
    <row r="342" spans="1:2" ht="15" customHeight="1">
      <c r="A342" s="135"/>
      <c r="B342" s="135"/>
    </row>
    <row r="343" spans="1:2" ht="15" customHeight="1">
      <c r="A343" s="135"/>
      <c r="B343" s="135"/>
    </row>
    <row r="344" spans="1:2" ht="15" customHeight="1">
      <c r="A344" s="135"/>
      <c r="B344" s="135"/>
    </row>
    <row r="345" spans="1:2" ht="15" customHeight="1">
      <c r="A345" s="135"/>
      <c r="B345" s="135"/>
    </row>
    <row r="346" spans="1:2" ht="15" customHeight="1">
      <c r="A346" s="135"/>
      <c r="B346" s="135"/>
    </row>
    <row r="347" spans="1:2" ht="15" customHeight="1">
      <c r="A347" s="135"/>
      <c r="B347" s="135"/>
    </row>
    <row r="348" spans="1:2" ht="15" customHeight="1">
      <c r="A348" s="135"/>
      <c r="B348" s="135"/>
    </row>
    <row r="349" spans="1:2" ht="15" customHeight="1">
      <c r="A349" s="135"/>
      <c r="B349" s="135"/>
    </row>
    <row r="350" spans="1:2" ht="15" customHeight="1">
      <c r="A350" s="135"/>
      <c r="B350" s="135"/>
    </row>
    <row r="351" spans="1:2" ht="15" customHeight="1">
      <c r="A351" s="135"/>
      <c r="B351" s="135"/>
    </row>
    <row r="352" spans="1:2" ht="15" customHeight="1">
      <c r="A352" s="135"/>
      <c r="B352" s="135"/>
    </row>
    <row r="353" spans="1:2" ht="15" customHeight="1">
      <c r="A353" s="135"/>
      <c r="B353" s="135"/>
    </row>
    <row r="354" spans="1:2" ht="15" customHeight="1">
      <c r="A354" s="135"/>
      <c r="B354" s="135"/>
    </row>
    <row r="355" spans="1:2" ht="15" customHeight="1">
      <c r="A355" s="135"/>
      <c r="B355" s="135"/>
    </row>
    <row r="356" spans="1:2" ht="15" customHeight="1">
      <c r="A356" s="135"/>
      <c r="B356" s="135"/>
    </row>
    <row r="357" spans="1:2" ht="15" customHeight="1">
      <c r="A357" s="135"/>
      <c r="B357" s="135"/>
    </row>
    <row r="358" spans="1:2" ht="15" customHeight="1">
      <c r="A358" s="135"/>
      <c r="B358" s="135"/>
    </row>
    <row r="359" spans="1:2" ht="15" customHeight="1">
      <c r="A359" s="135"/>
      <c r="B359" s="135"/>
    </row>
    <row r="360" spans="1:2" ht="15" customHeight="1">
      <c r="A360" s="135"/>
      <c r="B360" s="135"/>
    </row>
    <row r="361" spans="1:2" ht="15" customHeight="1">
      <c r="A361" s="135"/>
      <c r="B361" s="135"/>
    </row>
    <row r="362" spans="1:2" ht="15" customHeight="1">
      <c r="A362" s="135"/>
      <c r="B362" s="135"/>
    </row>
    <row r="363" spans="1:2" ht="15" customHeight="1">
      <c r="A363" s="135"/>
      <c r="B363" s="135"/>
    </row>
    <row r="364" spans="1:2" ht="15" customHeight="1">
      <c r="A364" s="135"/>
      <c r="B364" s="135"/>
    </row>
    <row r="365" spans="1:2" ht="15" customHeight="1">
      <c r="A365" s="135"/>
      <c r="B365" s="135"/>
    </row>
    <row r="366" spans="1:2" ht="15" customHeight="1">
      <c r="A366" s="135"/>
      <c r="B366" s="135"/>
    </row>
    <row r="367" spans="1:2" ht="15" customHeight="1">
      <c r="A367" s="135"/>
      <c r="B367" s="135"/>
    </row>
    <row r="368" spans="1:2" ht="15" customHeight="1">
      <c r="A368" s="135"/>
      <c r="B368" s="135"/>
    </row>
    <row r="369" spans="1:2" ht="15" customHeight="1">
      <c r="A369" s="135"/>
      <c r="B369" s="135"/>
    </row>
    <row r="370" spans="1:2" ht="15" customHeight="1">
      <c r="A370" s="135"/>
      <c r="B370" s="135"/>
    </row>
    <row r="371" spans="1:2" ht="15" customHeight="1">
      <c r="A371" s="135"/>
      <c r="B371" s="135"/>
    </row>
    <row r="372" spans="1:2" ht="15" customHeight="1">
      <c r="A372" s="135"/>
      <c r="B372" s="135"/>
    </row>
    <row r="373" spans="1:2" ht="15" customHeight="1">
      <c r="A373" s="135"/>
      <c r="B373" s="135"/>
    </row>
    <row r="374" spans="1:2" ht="15" customHeight="1">
      <c r="A374" s="135"/>
      <c r="B374" s="135"/>
    </row>
    <row r="375" spans="1:2" ht="15" customHeight="1">
      <c r="A375" s="135"/>
      <c r="B375" s="135"/>
    </row>
    <row r="376" spans="1:2" ht="15" customHeight="1">
      <c r="A376" s="135"/>
      <c r="B376" s="135"/>
    </row>
    <row r="377" spans="1:2" ht="15" customHeight="1">
      <c r="A377" s="135"/>
      <c r="B377" s="135"/>
    </row>
    <row r="378" spans="1:2" ht="15" customHeight="1">
      <c r="A378" s="135"/>
      <c r="B378" s="135"/>
    </row>
    <row r="379" spans="1:2" ht="15" customHeight="1">
      <c r="A379" s="135"/>
      <c r="B379" s="135"/>
    </row>
    <row r="380" spans="1:2" ht="15" customHeight="1">
      <c r="A380" s="135"/>
      <c r="B380" s="135"/>
    </row>
    <row r="381" spans="1:2" ht="15" customHeight="1">
      <c r="A381" s="135"/>
      <c r="B381" s="135"/>
    </row>
    <row r="382" spans="1:2" ht="15" customHeight="1">
      <c r="A382" s="135"/>
      <c r="B382" s="135"/>
    </row>
    <row r="383" spans="1:2" ht="15" customHeight="1">
      <c r="A383" s="135"/>
      <c r="B383" s="135"/>
    </row>
    <row r="384" spans="1:2" ht="15" customHeight="1">
      <c r="A384" s="135"/>
      <c r="B384" s="135"/>
    </row>
    <row r="385" spans="1:2" ht="15" customHeight="1">
      <c r="A385" s="135"/>
      <c r="B385" s="135"/>
    </row>
    <row r="386" spans="1:2" ht="15" customHeight="1">
      <c r="A386" s="135"/>
      <c r="B386" s="135"/>
    </row>
    <row r="387" spans="1:2" ht="15" customHeight="1">
      <c r="A387" s="135"/>
      <c r="B387" s="135"/>
    </row>
    <row r="388" spans="1:2" ht="15" customHeight="1">
      <c r="A388" s="135"/>
      <c r="B388" s="135"/>
    </row>
    <row r="389" spans="1:2" ht="15" customHeight="1">
      <c r="A389" s="135"/>
      <c r="B389" s="135"/>
    </row>
    <row r="390" spans="1:2" ht="15" customHeight="1">
      <c r="A390" s="135"/>
      <c r="B390" s="135"/>
    </row>
    <row r="391" spans="1:2" ht="15" customHeight="1">
      <c r="A391" s="135"/>
      <c r="B391" s="135"/>
    </row>
    <row r="392" spans="1:2" ht="15" customHeight="1">
      <c r="A392" s="135"/>
      <c r="B392" s="135"/>
    </row>
    <row r="393" spans="1:2" ht="15" customHeight="1">
      <c r="A393" s="135"/>
      <c r="B393" s="135"/>
    </row>
    <row r="394" spans="1:2" ht="15" customHeight="1">
      <c r="A394" s="135"/>
      <c r="B394" s="135"/>
    </row>
    <row r="395" spans="1:2" ht="15" customHeight="1">
      <c r="A395" s="135"/>
      <c r="B395" s="135"/>
    </row>
    <row r="396" spans="1:2" ht="15" customHeight="1">
      <c r="A396" s="135"/>
      <c r="B396" s="135"/>
    </row>
    <row r="397" spans="1:2" ht="15" customHeight="1">
      <c r="A397" s="135"/>
      <c r="B397" s="135"/>
    </row>
    <row r="398" spans="1:2" ht="15" customHeight="1">
      <c r="A398" s="135"/>
      <c r="B398" s="135"/>
    </row>
    <row r="399" spans="1:2" ht="15" customHeight="1">
      <c r="A399" s="135"/>
      <c r="B399" s="135"/>
    </row>
    <row r="400" spans="1:2" ht="15" customHeight="1">
      <c r="A400" s="135"/>
      <c r="B400" s="135"/>
    </row>
    <row r="401" spans="1:2" ht="15" customHeight="1">
      <c r="A401" s="135"/>
      <c r="B401" s="135"/>
    </row>
    <row r="402" spans="1:2" ht="15" customHeight="1">
      <c r="A402" s="135"/>
      <c r="B402" s="135"/>
    </row>
    <row r="403" spans="1:2" ht="15" customHeight="1">
      <c r="A403" s="135"/>
      <c r="B403" s="135"/>
    </row>
    <row r="404" spans="1:2" ht="15" customHeight="1">
      <c r="A404" s="135"/>
      <c r="B404" s="135"/>
    </row>
    <row r="405" spans="1:2" ht="15" customHeight="1">
      <c r="A405" s="135"/>
      <c r="B405" s="135"/>
    </row>
    <row r="406" spans="1:2" ht="15" customHeight="1">
      <c r="A406" s="135"/>
      <c r="B406" s="135"/>
    </row>
    <row r="407" spans="1:2" ht="15" customHeight="1">
      <c r="A407" s="135"/>
      <c r="B407" s="135"/>
    </row>
    <row r="408" spans="1:2" ht="15" customHeight="1">
      <c r="A408" s="135"/>
      <c r="B408" s="135"/>
    </row>
    <row r="409" spans="1:2" ht="15" customHeight="1">
      <c r="A409" s="135"/>
      <c r="B409" s="135"/>
    </row>
    <row r="410" spans="1:2" ht="15" customHeight="1">
      <c r="A410" s="135"/>
      <c r="B410" s="135"/>
    </row>
    <row r="411" spans="1:2" ht="15" customHeight="1">
      <c r="A411" s="135"/>
      <c r="B411" s="135"/>
    </row>
    <row r="412" spans="1:2" ht="15" customHeight="1">
      <c r="A412" s="135"/>
      <c r="B412" s="135"/>
    </row>
    <row r="413" spans="1:2" ht="15" customHeight="1">
      <c r="A413" s="135"/>
      <c r="B413" s="135"/>
    </row>
    <row r="414" spans="1:2" ht="15" customHeight="1">
      <c r="A414" s="135"/>
      <c r="B414" s="135"/>
    </row>
    <row r="415" spans="1:2" ht="15" customHeight="1">
      <c r="A415" s="135"/>
      <c r="B415" s="135"/>
    </row>
    <row r="416" spans="1:2" ht="15" customHeight="1">
      <c r="A416" s="135"/>
      <c r="B416" s="135"/>
    </row>
    <row r="417" spans="1:2" ht="15" customHeight="1">
      <c r="A417" s="135"/>
      <c r="B417" s="135"/>
    </row>
    <row r="418" spans="1:2" ht="15" customHeight="1">
      <c r="A418" s="135"/>
      <c r="B418" s="135"/>
    </row>
    <row r="419" spans="1:2" ht="15" customHeight="1">
      <c r="A419" s="135"/>
      <c r="B419" s="135"/>
    </row>
    <row r="420" spans="1:2" ht="15" customHeight="1">
      <c r="A420" s="135"/>
      <c r="B420" s="135"/>
    </row>
    <row r="421" spans="1:2" ht="15" customHeight="1">
      <c r="A421" s="135"/>
      <c r="B421" s="135"/>
    </row>
    <row r="422" spans="1:2" ht="15" customHeight="1">
      <c r="A422" s="135"/>
      <c r="B422" s="135"/>
    </row>
    <row r="423" spans="1:2" ht="15" customHeight="1">
      <c r="A423" s="135"/>
      <c r="B423" s="135"/>
    </row>
    <row r="424" spans="1:2" ht="15" customHeight="1">
      <c r="A424" s="135"/>
      <c r="B424" s="135"/>
    </row>
    <row r="425" spans="1:2" ht="15" customHeight="1">
      <c r="A425" s="135"/>
      <c r="B425" s="135"/>
    </row>
    <row r="426" spans="1:2" ht="15" customHeight="1">
      <c r="A426" s="135"/>
      <c r="B426" s="135"/>
    </row>
    <row r="427" spans="1:2" ht="15" customHeight="1">
      <c r="A427" s="135"/>
      <c r="B427" s="135"/>
    </row>
    <row r="428" spans="1:2" ht="15" customHeight="1">
      <c r="A428" s="135"/>
      <c r="B428" s="135"/>
    </row>
    <row r="429" spans="1:2" ht="15" customHeight="1">
      <c r="A429" s="135"/>
      <c r="B429" s="135"/>
    </row>
    <row r="430" spans="1:2" ht="15" customHeight="1">
      <c r="A430" s="135"/>
      <c r="B430" s="135"/>
    </row>
    <row r="431" spans="1:2" ht="15" customHeight="1">
      <c r="A431" s="135"/>
      <c r="B431" s="135"/>
    </row>
    <row r="432" spans="1:2" ht="15" customHeight="1">
      <c r="A432" s="135"/>
      <c r="B432" s="135"/>
    </row>
    <row r="433" spans="1:2" ht="15" customHeight="1">
      <c r="A433" s="135"/>
      <c r="B433" s="135"/>
    </row>
    <row r="434" spans="1:2" ht="15" customHeight="1">
      <c r="A434" s="135"/>
      <c r="B434" s="135"/>
    </row>
    <row r="435" spans="1:2" ht="15" customHeight="1">
      <c r="A435" s="135"/>
      <c r="B435" s="135"/>
    </row>
    <row r="436" spans="1:2" ht="15" customHeight="1">
      <c r="A436" s="135"/>
      <c r="B436" s="135"/>
    </row>
    <row r="437" spans="1:2" ht="15" customHeight="1">
      <c r="A437" s="135"/>
      <c r="B437" s="135"/>
    </row>
    <row r="438" spans="1:2" ht="15" customHeight="1">
      <c r="A438" s="135"/>
      <c r="B438" s="135"/>
    </row>
    <row r="439" spans="1:2" ht="15" customHeight="1">
      <c r="A439" s="135"/>
      <c r="B439" s="135"/>
    </row>
    <row r="440" spans="1:2" ht="15" customHeight="1">
      <c r="A440" s="135"/>
      <c r="B440" s="135"/>
    </row>
    <row r="441" spans="1:2" ht="15" customHeight="1">
      <c r="A441" s="135"/>
      <c r="B441" s="135"/>
    </row>
    <row r="442" spans="1:2" ht="15" customHeight="1">
      <c r="A442" s="135"/>
      <c r="B442" s="135"/>
    </row>
    <row r="443" spans="1:2" ht="15" customHeight="1">
      <c r="A443" s="135"/>
      <c r="B443" s="135"/>
    </row>
    <row r="444" spans="1:2" ht="15" customHeight="1">
      <c r="A444" s="135"/>
      <c r="B444" s="135"/>
    </row>
    <row r="445" spans="1:2" ht="15" customHeight="1">
      <c r="A445" s="135"/>
      <c r="B445" s="135"/>
    </row>
    <row r="446" spans="1:2" ht="15" customHeight="1">
      <c r="A446" s="135"/>
      <c r="B446" s="135"/>
    </row>
    <row r="447" spans="1:2" ht="15" customHeight="1">
      <c r="A447" s="135"/>
      <c r="B447" s="135"/>
    </row>
    <row r="448" spans="1:2" ht="15" customHeight="1">
      <c r="A448" s="135"/>
      <c r="B448" s="135"/>
    </row>
    <row r="449" spans="1:2" ht="15" customHeight="1">
      <c r="A449" s="135"/>
      <c r="B449" s="135"/>
    </row>
    <row r="450" spans="1:2" ht="15" customHeight="1">
      <c r="A450" s="135"/>
      <c r="B450" s="135"/>
    </row>
    <row r="451" spans="1:2" ht="15" customHeight="1">
      <c r="A451" s="135"/>
      <c r="B451" s="135"/>
    </row>
    <row r="452" spans="1:2" ht="15" customHeight="1">
      <c r="A452" s="135"/>
      <c r="B452" s="135"/>
    </row>
    <row r="453" spans="1:2" ht="15" customHeight="1">
      <c r="A453" s="135"/>
      <c r="B453" s="135"/>
    </row>
    <row r="454" spans="1:2" ht="15" customHeight="1">
      <c r="A454" s="135"/>
      <c r="B454" s="135"/>
    </row>
    <row r="455" spans="1:2" ht="15" customHeight="1">
      <c r="A455" s="135"/>
      <c r="B455" s="135"/>
    </row>
    <row r="456" spans="1:2" ht="15" customHeight="1">
      <c r="A456" s="135"/>
      <c r="B456" s="135"/>
    </row>
    <row r="457" spans="1:2" ht="15" customHeight="1">
      <c r="A457" s="135"/>
      <c r="B457" s="135"/>
    </row>
    <row r="458" spans="1:2" ht="15" customHeight="1">
      <c r="A458" s="135"/>
      <c r="B458" s="135"/>
    </row>
    <row r="459" spans="1:2" ht="15" customHeight="1">
      <c r="A459" s="135"/>
      <c r="B459" s="135"/>
    </row>
    <row r="460" spans="1:2" ht="15" customHeight="1">
      <c r="A460" s="135"/>
      <c r="B460" s="135"/>
    </row>
    <row r="461" spans="1:2" ht="15" customHeight="1">
      <c r="A461" s="135"/>
      <c r="B461" s="135"/>
    </row>
    <row r="462" spans="1:2" ht="15" customHeight="1">
      <c r="A462" s="135"/>
      <c r="B462" s="135"/>
    </row>
    <row r="463" spans="1:2" ht="15" customHeight="1">
      <c r="A463" s="135"/>
      <c r="B463" s="135"/>
    </row>
    <row r="464" spans="1:2" ht="15" customHeight="1">
      <c r="A464" s="135"/>
      <c r="B464" s="135"/>
    </row>
    <row r="465" spans="1:2" ht="15" customHeight="1">
      <c r="A465" s="135"/>
      <c r="B465" s="135"/>
    </row>
    <row r="466" spans="1:2" ht="15" customHeight="1">
      <c r="A466" s="135"/>
      <c r="B466" s="135"/>
    </row>
    <row r="467" spans="1:2" ht="15" customHeight="1">
      <c r="A467" s="135"/>
      <c r="B467" s="135"/>
    </row>
    <row r="468" spans="1:2" ht="15" customHeight="1">
      <c r="A468" s="135"/>
      <c r="B468" s="135"/>
    </row>
    <row r="469" spans="1:2" ht="15" customHeight="1">
      <c r="A469" s="135"/>
      <c r="B469" s="135"/>
    </row>
    <row r="470" spans="1:2" ht="15" customHeight="1">
      <c r="A470" s="135"/>
      <c r="B470" s="135"/>
    </row>
    <row r="471" spans="1:2" ht="15" customHeight="1">
      <c r="A471" s="135"/>
      <c r="B471" s="135"/>
    </row>
    <row r="472" spans="1:2" ht="15" customHeight="1">
      <c r="A472" s="135"/>
      <c r="B472" s="135"/>
    </row>
    <row r="473" spans="1:2" ht="15" customHeight="1">
      <c r="A473" s="135"/>
      <c r="B473" s="135"/>
    </row>
    <row r="474" spans="1:2" ht="15" customHeight="1">
      <c r="A474" s="135"/>
      <c r="B474" s="135"/>
    </row>
    <row r="475" spans="1:2" ht="15" customHeight="1">
      <c r="A475" s="135"/>
      <c r="B475" s="135"/>
    </row>
    <row r="476" spans="1:2" ht="15" customHeight="1">
      <c r="A476" s="135"/>
      <c r="B476" s="135"/>
    </row>
    <row r="477" spans="1:2" ht="15" customHeight="1">
      <c r="A477" s="135"/>
      <c r="B477" s="135"/>
    </row>
    <row r="478" spans="1:2" ht="15" customHeight="1">
      <c r="A478" s="135"/>
      <c r="B478" s="135"/>
    </row>
    <row r="479" spans="1:2" ht="15" customHeight="1">
      <c r="A479" s="135"/>
      <c r="B479" s="135"/>
    </row>
    <row r="480" spans="1:2" ht="15" customHeight="1">
      <c r="A480" s="135"/>
      <c r="B480" s="135"/>
    </row>
    <row r="481" spans="1:2" ht="15" customHeight="1">
      <c r="A481" s="135"/>
      <c r="B481" s="135"/>
    </row>
    <row r="482" spans="1:2" ht="15" customHeight="1">
      <c r="A482" s="135"/>
      <c r="B482" s="135"/>
    </row>
    <row r="483" spans="1:2" ht="15" customHeight="1">
      <c r="A483" s="135"/>
      <c r="B483" s="135"/>
    </row>
    <row r="484" spans="1:2" ht="15" customHeight="1">
      <c r="A484" s="135"/>
      <c r="B484" s="135"/>
    </row>
    <row r="485" spans="1:2" ht="15" customHeight="1">
      <c r="A485" s="135"/>
      <c r="B485" s="135"/>
    </row>
    <row r="486" spans="1:2" ht="15" customHeight="1">
      <c r="A486" s="135"/>
      <c r="B486" s="135"/>
    </row>
    <row r="487" spans="1:2" ht="15" customHeight="1">
      <c r="A487" s="135"/>
      <c r="B487" s="135"/>
    </row>
    <row r="488" spans="1:2" ht="15" customHeight="1">
      <c r="A488" s="135"/>
      <c r="B488" s="135"/>
    </row>
    <row r="489" spans="1:2" ht="15" customHeight="1">
      <c r="A489" s="135"/>
      <c r="B489" s="135"/>
    </row>
    <row r="490" spans="1:2" ht="15" customHeight="1">
      <c r="A490" s="135"/>
      <c r="B490" s="135"/>
    </row>
    <row r="491" spans="1:2" ht="15" customHeight="1">
      <c r="A491" s="135"/>
      <c r="B491" s="135"/>
    </row>
    <row r="492" spans="1:2" ht="15" customHeight="1">
      <c r="A492" s="135"/>
      <c r="B492" s="135"/>
    </row>
    <row r="493" spans="1:2" ht="15" customHeight="1">
      <c r="A493" s="135"/>
      <c r="B493" s="135"/>
    </row>
    <row r="494" spans="1:2" ht="15" customHeight="1">
      <c r="A494" s="135"/>
      <c r="B494" s="135"/>
    </row>
    <row r="495" spans="1:2" ht="15" customHeight="1">
      <c r="A495" s="135"/>
      <c r="B495" s="135"/>
    </row>
    <row r="496" spans="1:2" ht="15" customHeight="1">
      <c r="A496" s="135"/>
      <c r="B496" s="135"/>
    </row>
    <row r="497" spans="1:2" ht="15" customHeight="1">
      <c r="A497" s="135"/>
      <c r="B497" s="135"/>
    </row>
    <row r="498" spans="1:2" ht="15" customHeight="1">
      <c r="A498" s="135"/>
      <c r="B498" s="135"/>
    </row>
    <row r="499" spans="1:2" ht="15" customHeight="1">
      <c r="A499" s="135"/>
      <c r="B499" s="135"/>
    </row>
    <row r="500" spans="1:2" ht="15" customHeight="1">
      <c r="A500" s="135"/>
      <c r="B500" s="135"/>
    </row>
    <row r="501" spans="1:2" ht="15" customHeight="1">
      <c r="A501" s="135"/>
      <c r="B501" s="135"/>
    </row>
    <row r="502" spans="1:2" ht="15" customHeight="1">
      <c r="A502" s="135"/>
      <c r="B502" s="135"/>
    </row>
    <row r="503" spans="1:2" ht="15" customHeight="1">
      <c r="A503" s="135"/>
      <c r="B503" s="135"/>
    </row>
    <row r="504" spans="1:2" ht="15" customHeight="1">
      <c r="A504" s="135"/>
      <c r="B504" s="135"/>
    </row>
    <row r="505" spans="1:2" ht="15" customHeight="1">
      <c r="A505" s="135"/>
      <c r="B505" s="135"/>
    </row>
    <row r="506" spans="1:2" ht="15" customHeight="1">
      <c r="A506" s="135"/>
      <c r="B506" s="135"/>
    </row>
    <row r="507" spans="1:2" ht="15" customHeight="1">
      <c r="A507" s="135"/>
      <c r="B507" s="135"/>
    </row>
    <row r="508" spans="1:2" ht="15" customHeight="1">
      <c r="A508" s="135"/>
      <c r="B508" s="135"/>
    </row>
    <row r="509" spans="1:2" ht="15" customHeight="1">
      <c r="A509" s="135"/>
      <c r="B509" s="135"/>
    </row>
    <row r="510" spans="1:2" ht="15" customHeight="1">
      <c r="A510" s="135"/>
      <c r="B510" s="135"/>
    </row>
    <row r="511" spans="1:2" ht="15" customHeight="1">
      <c r="A511" s="135"/>
      <c r="B511" s="135"/>
    </row>
    <row r="512" spans="1:2" ht="15" customHeight="1">
      <c r="A512" s="135"/>
      <c r="B512" s="135"/>
    </row>
    <row r="513" spans="1:2" ht="15" customHeight="1">
      <c r="A513" s="135"/>
      <c r="B513" s="135"/>
    </row>
    <row r="514" spans="1:2" ht="15" customHeight="1">
      <c r="A514" s="135"/>
      <c r="B514" s="135"/>
    </row>
    <row r="515" spans="1:2" ht="15" customHeight="1">
      <c r="A515" s="135"/>
      <c r="B515" s="135"/>
    </row>
    <row r="516" spans="1:2" ht="15" customHeight="1">
      <c r="A516" s="135"/>
      <c r="B516" s="135"/>
    </row>
    <row r="517" spans="1:2" ht="15" customHeight="1">
      <c r="A517" s="135"/>
      <c r="B517" s="135"/>
    </row>
    <row r="518" spans="1:2" ht="15" customHeight="1">
      <c r="A518" s="135"/>
      <c r="B518" s="135"/>
    </row>
    <row r="519" spans="1:2" ht="15" customHeight="1">
      <c r="A519" s="135"/>
      <c r="B519" s="135"/>
    </row>
    <row r="520" spans="1:2" ht="15" customHeight="1">
      <c r="A520" s="135"/>
      <c r="B520" s="135"/>
    </row>
    <row r="521" spans="1:2" ht="15" customHeight="1">
      <c r="A521" s="135"/>
      <c r="B521" s="135"/>
    </row>
    <row r="522" spans="1:2" ht="15" customHeight="1">
      <c r="A522" s="135"/>
      <c r="B522" s="135"/>
    </row>
    <row r="523" spans="1:2" ht="15" customHeight="1">
      <c r="A523" s="135"/>
      <c r="B523" s="135"/>
    </row>
    <row r="524" spans="1:2" ht="15" customHeight="1">
      <c r="A524" s="135"/>
      <c r="B524" s="135"/>
    </row>
    <row r="525" spans="1:2" ht="15" customHeight="1">
      <c r="A525" s="135"/>
      <c r="B525" s="135"/>
    </row>
    <row r="526" spans="1:2" ht="15" customHeight="1">
      <c r="A526" s="135"/>
      <c r="B526" s="135"/>
    </row>
    <row r="527" spans="1:2" ht="15" customHeight="1">
      <c r="A527" s="135"/>
      <c r="B527" s="135"/>
    </row>
    <row r="528" spans="1:2" ht="15" customHeight="1">
      <c r="A528" s="135"/>
      <c r="B528" s="135"/>
    </row>
    <row r="529" spans="1:2" ht="15" customHeight="1">
      <c r="A529" s="135"/>
      <c r="B529" s="135"/>
    </row>
    <row r="530" spans="1:2" ht="15" customHeight="1">
      <c r="A530" s="135"/>
      <c r="B530" s="135"/>
    </row>
    <row r="531" spans="1:2" ht="15" customHeight="1">
      <c r="A531" s="135"/>
      <c r="B531" s="135"/>
    </row>
    <row r="532" spans="1:2" ht="15" customHeight="1">
      <c r="A532" s="135"/>
      <c r="B532" s="135"/>
    </row>
    <row r="533" spans="1:2" ht="15" customHeight="1">
      <c r="A533" s="135"/>
      <c r="B533" s="135"/>
    </row>
    <row r="534" spans="1:2" ht="15" customHeight="1">
      <c r="A534" s="135"/>
      <c r="B534" s="135"/>
    </row>
    <row r="535" spans="1:2" ht="15" customHeight="1">
      <c r="A535" s="135"/>
      <c r="B535" s="135"/>
    </row>
    <row r="536" spans="1:2" ht="15" customHeight="1">
      <c r="A536" s="135"/>
      <c r="B536" s="135"/>
    </row>
    <row r="537" spans="1:2" ht="15" customHeight="1">
      <c r="A537" s="135"/>
      <c r="B537" s="135"/>
    </row>
    <row r="538" spans="1:2" ht="15" customHeight="1">
      <c r="A538" s="135"/>
      <c r="B538" s="135"/>
    </row>
    <row r="539" spans="1:2" ht="15" customHeight="1">
      <c r="A539" s="135"/>
      <c r="B539" s="135"/>
    </row>
    <row r="540" spans="1:2" ht="15" customHeight="1">
      <c r="A540" s="135"/>
      <c r="B540" s="135"/>
    </row>
    <row r="541" spans="1:2" ht="15" customHeight="1">
      <c r="A541" s="135"/>
      <c r="B541" s="135"/>
    </row>
    <row r="542" spans="1:2" ht="15" customHeight="1">
      <c r="A542" s="135"/>
      <c r="B542" s="135"/>
    </row>
    <row r="543" spans="1:2" ht="15" customHeight="1">
      <c r="A543" s="135"/>
      <c r="B543" s="135"/>
    </row>
    <row r="544" spans="1:2" ht="15" customHeight="1">
      <c r="A544" s="135"/>
      <c r="B544" s="135"/>
    </row>
    <row r="545" spans="1:2" ht="15" customHeight="1">
      <c r="A545" s="135"/>
      <c r="B545" s="135"/>
    </row>
    <row r="546" spans="1:2" ht="15" customHeight="1">
      <c r="A546" s="135"/>
      <c r="B546" s="135"/>
    </row>
    <row r="547" spans="1:2" ht="15" customHeight="1">
      <c r="A547" s="135"/>
      <c r="B547" s="135"/>
    </row>
    <row r="548" spans="1:2" ht="15" customHeight="1">
      <c r="A548" s="135"/>
      <c r="B548" s="135"/>
    </row>
    <row r="549" spans="1:2" ht="15" customHeight="1">
      <c r="A549" s="135"/>
      <c r="B549" s="135"/>
    </row>
    <row r="550" spans="1:2" ht="15" customHeight="1">
      <c r="A550" s="135"/>
      <c r="B550" s="135"/>
    </row>
    <row r="551" spans="1:2" ht="15" customHeight="1">
      <c r="A551" s="135"/>
      <c r="B551" s="135"/>
    </row>
    <row r="552" spans="1:2" ht="15" customHeight="1">
      <c r="A552" s="135"/>
      <c r="B552" s="135"/>
    </row>
    <row r="553" spans="1:2" ht="15" customHeight="1">
      <c r="A553" s="135"/>
      <c r="B553" s="135"/>
    </row>
    <row r="554" spans="1:2" ht="15" customHeight="1">
      <c r="A554" s="135"/>
      <c r="B554" s="135"/>
    </row>
    <row r="555" spans="1:2" ht="15" customHeight="1">
      <c r="A555" s="135"/>
      <c r="B555" s="135"/>
    </row>
    <row r="556" spans="1:2" ht="15" customHeight="1">
      <c r="A556" s="135"/>
      <c r="B556" s="135"/>
    </row>
    <row r="557" spans="1:2" ht="15" customHeight="1">
      <c r="A557" s="135"/>
      <c r="B557" s="135"/>
    </row>
    <row r="558" spans="1:2" ht="15" customHeight="1">
      <c r="A558" s="135"/>
      <c r="B558" s="135"/>
    </row>
    <row r="559" spans="1:2" ht="15" customHeight="1">
      <c r="A559" s="135"/>
      <c r="B559" s="135"/>
    </row>
    <row r="560" spans="1:2" ht="15" customHeight="1">
      <c r="A560" s="135"/>
      <c r="B560" s="135"/>
    </row>
    <row r="561" spans="1:2" ht="15" customHeight="1">
      <c r="A561" s="135"/>
      <c r="B561" s="135"/>
    </row>
    <row r="562" spans="1:2" ht="15" customHeight="1">
      <c r="A562" s="135"/>
      <c r="B562" s="135"/>
    </row>
    <row r="563" spans="1:2" ht="15" customHeight="1">
      <c r="A563" s="135"/>
      <c r="B563" s="135"/>
    </row>
    <row r="564" spans="1:2" ht="15" customHeight="1">
      <c r="A564" s="135"/>
      <c r="B564" s="135"/>
    </row>
    <row r="565" spans="1:2" ht="15" customHeight="1">
      <c r="A565" s="135"/>
      <c r="B565" s="135"/>
    </row>
    <row r="566" spans="1:2" ht="15" customHeight="1">
      <c r="A566" s="135"/>
      <c r="B566" s="135"/>
    </row>
    <row r="567" spans="1:2" ht="15" customHeight="1">
      <c r="A567" s="135"/>
      <c r="B567" s="135"/>
    </row>
    <row r="568" spans="1:2" ht="15" customHeight="1">
      <c r="A568" s="135"/>
      <c r="B568" s="135"/>
    </row>
    <row r="569" spans="1:2" ht="15" customHeight="1">
      <c r="A569" s="135"/>
      <c r="B569" s="135"/>
    </row>
    <row r="570" spans="1:2" ht="15" customHeight="1">
      <c r="A570" s="135"/>
      <c r="B570" s="135"/>
    </row>
    <row r="571" spans="1:2" ht="15" customHeight="1">
      <c r="A571" s="135"/>
      <c r="B571" s="135"/>
    </row>
    <row r="572" spans="1:2" ht="15" customHeight="1">
      <c r="A572" s="135"/>
      <c r="B572" s="135"/>
    </row>
    <row r="573" spans="1:2" ht="15" customHeight="1">
      <c r="A573" s="135"/>
      <c r="B573" s="135"/>
    </row>
    <row r="574" spans="1:2" ht="15" customHeight="1">
      <c r="A574" s="135"/>
      <c r="B574" s="135"/>
    </row>
    <row r="575" spans="1:2" ht="15" customHeight="1">
      <c r="A575" s="135"/>
      <c r="B575" s="135"/>
    </row>
    <row r="576" spans="1:2" ht="15" customHeight="1">
      <c r="A576" s="135"/>
      <c r="B576" s="135"/>
    </row>
    <row r="577" spans="1:2" ht="15" customHeight="1">
      <c r="A577" s="135"/>
      <c r="B577" s="135"/>
    </row>
    <row r="578" spans="1:2" ht="15" customHeight="1">
      <c r="A578" s="135"/>
      <c r="B578" s="135"/>
    </row>
    <row r="579" spans="1:2" ht="15" customHeight="1">
      <c r="A579" s="135"/>
      <c r="B579" s="135"/>
    </row>
    <row r="580" spans="1:2" ht="15" customHeight="1">
      <c r="A580" s="135"/>
      <c r="B580" s="135"/>
    </row>
    <row r="581" spans="1:2" ht="15" customHeight="1">
      <c r="A581" s="135"/>
      <c r="B581" s="135"/>
    </row>
    <row r="582" spans="1:2" ht="15" customHeight="1">
      <c r="A582" s="135"/>
      <c r="B582" s="135"/>
    </row>
    <row r="583" spans="1:2" ht="15" customHeight="1">
      <c r="A583" s="135"/>
      <c r="B583" s="135"/>
    </row>
    <row r="584" spans="1:2" ht="15" customHeight="1">
      <c r="A584" s="135"/>
      <c r="B584" s="135"/>
    </row>
    <row r="585" spans="1:2" ht="15" customHeight="1">
      <c r="A585" s="135"/>
      <c r="B585" s="135"/>
    </row>
    <row r="586" spans="1:2" ht="15" customHeight="1">
      <c r="A586" s="135"/>
      <c r="B586" s="135"/>
    </row>
    <row r="587" spans="1:2" ht="15" customHeight="1">
      <c r="A587" s="135"/>
      <c r="B587" s="135"/>
    </row>
    <row r="588" spans="1:2" ht="15" customHeight="1">
      <c r="A588" s="135"/>
      <c r="B588" s="135"/>
    </row>
    <row r="589" spans="1:2" ht="15" customHeight="1">
      <c r="A589" s="135"/>
      <c r="B589" s="135"/>
    </row>
    <row r="590" spans="1:2" ht="15" customHeight="1">
      <c r="A590" s="135"/>
      <c r="B590" s="135"/>
    </row>
    <row r="591" spans="1:2" ht="15" customHeight="1">
      <c r="A591" s="135"/>
      <c r="B591" s="135"/>
    </row>
    <row r="592" spans="1:2" ht="15" customHeight="1">
      <c r="A592" s="135"/>
      <c r="B592" s="135"/>
    </row>
    <row r="593" spans="1:2" ht="15" customHeight="1">
      <c r="A593" s="135"/>
      <c r="B593" s="135"/>
    </row>
    <row r="594" spans="1:2" ht="15" customHeight="1">
      <c r="A594" s="135"/>
      <c r="B594" s="135"/>
    </row>
    <row r="595" spans="1:2" ht="15" customHeight="1">
      <c r="A595" s="135"/>
      <c r="B595" s="135"/>
    </row>
    <row r="596" spans="1:2" ht="15" customHeight="1">
      <c r="A596" s="135"/>
      <c r="B596" s="135"/>
    </row>
    <row r="597" spans="1:2" ht="15" customHeight="1">
      <c r="A597" s="135"/>
      <c r="B597" s="135"/>
    </row>
    <row r="598" spans="1:2" ht="15" customHeight="1">
      <c r="A598" s="135"/>
      <c r="B598" s="135"/>
    </row>
    <row r="599" spans="1:2" ht="15" customHeight="1">
      <c r="A599" s="135"/>
      <c r="B599" s="135"/>
    </row>
    <row r="600" spans="1:2" ht="15" customHeight="1">
      <c r="A600" s="135"/>
      <c r="B600" s="135"/>
    </row>
    <row r="601" spans="1:2" ht="15" customHeight="1">
      <c r="A601" s="135"/>
      <c r="B601" s="135"/>
    </row>
    <row r="602" spans="1:2" ht="15" customHeight="1">
      <c r="A602" s="135"/>
      <c r="B602" s="135"/>
    </row>
    <row r="603" spans="1:2" ht="15" customHeight="1">
      <c r="A603" s="135"/>
      <c r="B603" s="135"/>
    </row>
    <row r="604" spans="1:2" ht="15" customHeight="1">
      <c r="A604" s="135"/>
      <c r="B604" s="135"/>
    </row>
    <row r="605" spans="1:2" ht="15" customHeight="1">
      <c r="A605" s="135"/>
      <c r="B605" s="135"/>
    </row>
    <row r="606" spans="1:2" ht="15" customHeight="1">
      <c r="A606" s="135"/>
      <c r="B606" s="135"/>
    </row>
    <row r="607" spans="1:2" ht="15" customHeight="1">
      <c r="A607" s="135"/>
      <c r="B607" s="135"/>
    </row>
    <row r="608" spans="1:2" ht="15" customHeight="1">
      <c r="A608" s="135"/>
      <c r="B608" s="135"/>
    </row>
    <row r="609" spans="1:2" ht="15" customHeight="1">
      <c r="A609" s="135"/>
      <c r="B609" s="135"/>
    </row>
    <row r="610" spans="1:2" ht="15" customHeight="1">
      <c r="A610" s="135"/>
      <c r="B610" s="135"/>
    </row>
    <row r="611" spans="1:2" ht="15" customHeight="1">
      <c r="A611" s="135"/>
      <c r="B611" s="135"/>
    </row>
    <row r="612" spans="1:2" ht="15" customHeight="1">
      <c r="A612" s="135"/>
      <c r="B612" s="135"/>
    </row>
    <row r="613" spans="1:2" ht="15" customHeight="1">
      <c r="A613" s="135"/>
      <c r="B613" s="135"/>
    </row>
    <row r="614" spans="1:2" ht="15" customHeight="1">
      <c r="A614" s="135"/>
      <c r="B614" s="135"/>
    </row>
    <row r="615" spans="1:2" ht="15" customHeight="1">
      <c r="A615" s="135"/>
      <c r="B615" s="135"/>
    </row>
    <row r="616" spans="1:2" ht="15" customHeight="1">
      <c r="A616" s="135"/>
      <c r="B616" s="135"/>
    </row>
    <row r="617" spans="1:2" ht="15" customHeight="1">
      <c r="A617" s="135"/>
      <c r="B617" s="135"/>
    </row>
    <row r="618" spans="1:2" ht="15" customHeight="1">
      <c r="A618" s="135"/>
      <c r="B618" s="135"/>
    </row>
    <row r="619" spans="1:2" ht="15" customHeight="1">
      <c r="A619" s="135"/>
      <c r="B619" s="135"/>
    </row>
    <row r="620" spans="1:2" ht="15" customHeight="1">
      <c r="A620" s="135"/>
      <c r="B620" s="135"/>
    </row>
    <row r="621" spans="1:2" ht="15" customHeight="1">
      <c r="A621" s="135"/>
      <c r="B621" s="135"/>
    </row>
    <row r="622" spans="1:2" ht="15" customHeight="1">
      <c r="A622" s="135"/>
      <c r="B622" s="135"/>
    </row>
    <row r="623" spans="1:2" ht="15" customHeight="1">
      <c r="A623" s="135"/>
      <c r="B623" s="135"/>
    </row>
    <row r="624" spans="1:2" ht="15" customHeight="1">
      <c r="A624" s="135"/>
      <c r="B624" s="135"/>
    </row>
    <row r="625" spans="1:2" ht="15" customHeight="1">
      <c r="A625" s="135"/>
      <c r="B625" s="135"/>
    </row>
    <row r="626" spans="1:2" ht="15" customHeight="1">
      <c r="A626" s="135"/>
      <c r="B626" s="135"/>
    </row>
    <row r="627" spans="1:2" ht="15" customHeight="1">
      <c r="A627" s="135"/>
      <c r="B627" s="135"/>
    </row>
    <row r="628" spans="1:2" ht="15" customHeight="1">
      <c r="A628" s="135"/>
      <c r="B628" s="135"/>
    </row>
    <row r="629" spans="1:2" ht="15" customHeight="1">
      <c r="A629" s="135"/>
      <c r="B629" s="135"/>
    </row>
    <row r="630" spans="1:2" ht="15" customHeight="1">
      <c r="A630" s="135"/>
      <c r="B630" s="135"/>
    </row>
    <row r="631" spans="1:2" ht="15" customHeight="1">
      <c r="A631" s="135"/>
      <c r="B631" s="135"/>
    </row>
    <row r="632" spans="1:2" ht="15" customHeight="1">
      <c r="A632" s="135"/>
      <c r="B632" s="135"/>
    </row>
    <row r="633" spans="1:2" ht="15" customHeight="1">
      <c r="A633" s="135"/>
      <c r="B633" s="135"/>
    </row>
    <row r="634" spans="1:2" ht="15" customHeight="1">
      <c r="A634" s="135"/>
      <c r="B634" s="135"/>
    </row>
    <row r="635" spans="1:2" ht="15" customHeight="1">
      <c r="A635" s="135"/>
      <c r="B635" s="135"/>
    </row>
    <row r="636" spans="1:2" ht="15" customHeight="1">
      <c r="A636" s="135"/>
      <c r="B636" s="135"/>
    </row>
    <row r="637" spans="1:2" ht="15" customHeight="1">
      <c r="A637" s="135"/>
      <c r="B637" s="135"/>
    </row>
    <row r="638" spans="1:2" ht="15" customHeight="1">
      <c r="A638" s="135"/>
      <c r="B638" s="135"/>
    </row>
    <row r="639" spans="1:2" ht="15" customHeight="1">
      <c r="A639" s="135"/>
      <c r="B639" s="135"/>
    </row>
    <row r="640" spans="1:2" ht="15" customHeight="1">
      <c r="A640" s="135"/>
      <c r="B640" s="135"/>
    </row>
    <row r="641" spans="1:2" ht="15" customHeight="1">
      <c r="A641" s="135"/>
      <c r="B641" s="135"/>
    </row>
    <row r="642" spans="1:2" ht="15" customHeight="1">
      <c r="A642" s="135"/>
      <c r="B642" s="135"/>
    </row>
    <row r="643" spans="1:2" ht="15" customHeight="1">
      <c r="A643" s="135"/>
      <c r="B643" s="135"/>
    </row>
    <row r="644" spans="1:2" ht="15" customHeight="1">
      <c r="A644" s="135"/>
      <c r="B644" s="135"/>
    </row>
    <row r="645" spans="1:2" ht="15" customHeight="1">
      <c r="A645" s="135"/>
      <c r="B645" s="135"/>
    </row>
    <row r="646" spans="1:2" ht="15" customHeight="1">
      <c r="A646" s="135"/>
      <c r="B646" s="135"/>
    </row>
    <row r="647" spans="1:2" ht="15" customHeight="1">
      <c r="A647" s="135"/>
      <c r="B647" s="135"/>
    </row>
    <row r="648" spans="1:2" ht="15" customHeight="1">
      <c r="A648" s="135"/>
      <c r="B648" s="135"/>
    </row>
    <row r="649" spans="1:2" ht="15" customHeight="1">
      <c r="A649" s="135"/>
      <c r="B649" s="135"/>
    </row>
    <row r="650" spans="1:2" ht="15" customHeight="1">
      <c r="A650" s="135"/>
      <c r="B650" s="135"/>
    </row>
    <row r="651" spans="1:2" ht="15" customHeight="1">
      <c r="A651" s="135"/>
      <c r="B651" s="135"/>
    </row>
    <row r="652" spans="1:2" ht="15" customHeight="1">
      <c r="A652" s="135"/>
      <c r="B652" s="135"/>
    </row>
    <row r="653" spans="1:2" ht="15" customHeight="1">
      <c r="A653" s="135"/>
      <c r="B653" s="135"/>
    </row>
    <row r="654" spans="1:2" ht="15" customHeight="1">
      <c r="A654" s="135"/>
      <c r="B654" s="135"/>
    </row>
    <row r="655" spans="1:2" ht="15" customHeight="1">
      <c r="A655" s="135"/>
      <c r="B655" s="135"/>
    </row>
    <row r="656" spans="1:2" ht="15" customHeight="1">
      <c r="A656" s="135"/>
      <c r="B656" s="135"/>
    </row>
    <row r="657" spans="1:2" ht="15" customHeight="1">
      <c r="A657" s="135"/>
      <c r="B657" s="135"/>
    </row>
    <row r="658" spans="1:2" ht="15" customHeight="1">
      <c r="A658" s="135"/>
      <c r="B658" s="135"/>
    </row>
    <row r="659" spans="1:2" ht="15" customHeight="1">
      <c r="A659" s="135"/>
      <c r="B659" s="135"/>
    </row>
    <row r="660" spans="1:2" ht="15" customHeight="1">
      <c r="A660" s="135"/>
      <c r="B660" s="135"/>
    </row>
    <row r="661" spans="1:2" ht="15" customHeight="1">
      <c r="A661" s="135"/>
      <c r="B661" s="135"/>
    </row>
    <row r="662" spans="1:2" ht="15" customHeight="1">
      <c r="A662" s="135"/>
      <c r="B662" s="135"/>
    </row>
    <row r="663" spans="1:2" ht="15" customHeight="1">
      <c r="A663" s="135"/>
      <c r="B663" s="135"/>
    </row>
    <row r="664" spans="1:2" ht="15" customHeight="1">
      <c r="A664" s="135"/>
      <c r="B664" s="135"/>
    </row>
    <row r="665" spans="1:2" ht="15" customHeight="1">
      <c r="A665" s="135"/>
      <c r="B665" s="135"/>
    </row>
    <row r="666" spans="1:2" ht="15" customHeight="1">
      <c r="A666" s="135"/>
      <c r="B666" s="135"/>
    </row>
    <row r="667" spans="1:2" ht="15" customHeight="1">
      <c r="A667" s="135"/>
      <c r="B667" s="135"/>
    </row>
    <row r="668" spans="1:2" ht="15" customHeight="1">
      <c r="A668" s="135"/>
      <c r="B668" s="135"/>
    </row>
    <row r="669" spans="1:2" ht="15" customHeight="1">
      <c r="A669" s="135"/>
      <c r="B669" s="135"/>
    </row>
    <row r="670" spans="1:2" ht="15" customHeight="1">
      <c r="A670" s="135"/>
      <c r="B670" s="135"/>
    </row>
    <row r="671" spans="1:2" ht="15" customHeight="1">
      <c r="A671" s="135"/>
      <c r="B671" s="135"/>
    </row>
    <row r="672" spans="1:2" ht="15" customHeight="1">
      <c r="A672" s="135"/>
      <c r="B672" s="135"/>
    </row>
    <row r="673" spans="1:2" ht="15" customHeight="1">
      <c r="A673" s="135"/>
      <c r="B673" s="135"/>
    </row>
    <row r="674" spans="1:2" ht="15" customHeight="1">
      <c r="A674" s="135"/>
      <c r="B674" s="135"/>
    </row>
    <row r="675" spans="1:2" ht="15" customHeight="1">
      <c r="A675" s="135"/>
      <c r="B675" s="135"/>
    </row>
    <row r="676" spans="1:2" ht="15" customHeight="1">
      <c r="A676" s="135"/>
      <c r="B676" s="135"/>
    </row>
    <row r="677" spans="1:2" ht="15" customHeight="1">
      <c r="A677" s="135"/>
      <c r="B677" s="135"/>
    </row>
    <row r="678" spans="1:2" ht="15" customHeight="1">
      <c r="A678" s="135"/>
      <c r="B678" s="135"/>
    </row>
    <row r="679" spans="1:2" ht="15" customHeight="1">
      <c r="A679" s="135"/>
      <c r="B679" s="135"/>
    </row>
    <row r="680" spans="1:2" ht="15" customHeight="1">
      <c r="A680" s="135"/>
      <c r="B680" s="135"/>
    </row>
    <row r="681" spans="1:2" ht="15" customHeight="1">
      <c r="A681" s="135"/>
      <c r="B681" s="135"/>
    </row>
    <row r="682" spans="1:2" ht="15" customHeight="1">
      <c r="A682" s="135"/>
      <c r="B682" s="135"/>
    </row>
    <row r="683" spans="1:2" ht="15" customHeight="1">
      <c r="A683" s="135"/>
      <c r="B683" s="135"/>
    </row>
    <row r="684" spans="1:2" ht="15" customHeight="1">
      <c r="A684" s="135"/>
      <c r="B684" s="135"/>
    </row>
    <row r="685" spans="1:2" ht="15" customHeight="1">
      <c r="A685" s="135"/>
      <c r="B685" s="135"/>
    </row>
    <row r="686" spans="1:2" ht="15" customHeight="1">
      <c r="A686" s="135"/>
      <c r="B686" s="135"/>
    </row>
    <row r="687" spans="1:2" ht="15" customHeight="1">
      <c r="A687" s="135"/>
      <c r="B687" s="135"/>
    </row>
    <row r="688" spans="1:2" ht="15" customHeight="1">
      <c r="A688" s="135"/>
      <c r="B688" s="135"/>
    </row>
    <row r="689" spans="1:2" ht="15" customHeight="1">
      <c r="A689" s="135"/>
      <c r="B689" s="135"/>
    </row>
    <row r="690" spans="1:2" ht="15" customHeight="1">
      <c r="A690" s="135"/>
      <c r="B690" s="135"/>
    </row>
    <row r="691" spans="1:2" ht="15" customHeight="1">
      <c r="A691" s="135"/>
      <c r="B691" s="135"/>
    </row>
    <row r="692" spans="1:2" ht="15" customHeight="1">
      <c r="A692" s="135"/>
      <c r="B692" s="135"/>
    </row>
    <row r="693" spans="1:2" ht="15" customHeight="1">
      <c r="A693" s="135"/>
      <c r="B693" s="135"/>
    </row>
    <row r="694" spans="1:2" ht="15" customHeight="1">
      <c r="A694" s="135"/>
      <c r="B694" s="135"/>
    </row>
    <row r="695" spans="1:2" ht="15" customHeight="1">
      <c r="A695" s="135"/>
      <c r="B695" s="135"/>
    </row>
    <row r="696" spans="1:2" ht="15" customHeight="1">
      <c r="A696" s="135"/>
      <c r="B696" s="135"/>
    </row>
    <row r="697" spans="1:2" ht="15" customHeight="1">
      <c r="A697" s="135"/>
      <c r="B697" s="135"/>
    </row>
    <row r="698" spans="1:2" ht="15" customHeight="1">
      <c r="A698" s="135"/>
      <c r="B698" s="135"/>
    </row>
    <row r="699" spans="1:2" ht="15" customHeight="1">
      <c r="A699" s="135"/>
      <c r="B699" s="135"/>
    </row>
    <row r="700" spans="1:2" ht="15" customHeight="1">
      <c r="A700" s="135"/>
      <c r="B700" s="135"/>
    </row>
    <row r="701" spans="1:2" ht="15" customHeight="1">
      <c r="A701" s="135"/>
      <c r="B701" s="135"/>
    </row>
    <row r="702" spans="1:2" ht="15" customHeight="1">
      <c r="A702" s="135"/>
      <c r="B702" s="135"/>
    </row>
    <row r="703" spans="1:2" ht="15" customHeight="1">
      <c r="A703" s="135"/>
      <c r="B703" s="135"/>
    </row>
    <row r="704" spans="1:2" ht="15" customHeight="1">
      <c r="A704" s="135"/>
      <c r="B704" s="135"/>
    </row>
    <row r="705" spans="1:2" ht="15" customHeight="1">
      <c r="A705" s="135"/>
      <c r="B705" s="135"/>
    </row>
    <row r="706" spans="1:2" ht="15" customHeight="1">
      <c r="A706" s="135"/>
      <c r="B706" s="135"/>
    </row>
    <row r="707" spans="1:2" ht="15" customHeight="1">
      <c r="A707" s="135"/>
      <c r="B707" s="135"/>
    </row>
    <row r="708" spans="1:2" ht="15" customHeight="1">
      <c r="A708" s="135"/>
      <c r="B708" s="135"/>
    </row>
    <row r="709" spans="1:2" ht="15" customHeight="1">
      <c r="A709" s="135"/>
      <c r="B709" s="135"/>
    </row>
    <row r="710" spans="1:2" ht="15" customHeight="1">
      <c r="A710" s="135"/>
      <c r="B710" s="135"/>
    </row>
    <row r="711" spans="1:2" ht="15" customHeight="1">
      <c r="A711" s="135"/>
      <c r="B711" s="135"/>
    </row>
    <row r="712" spans="1:2" ht="15" customHeight="1">
      <c r="A712" s="135"/>
      <c r="B712" s="135"/>
    </row>
    <row r="713" spans="1:2" ht="15" customHeight="1">
      <c r="A713" s="135"/>
      <c r="B713" s="135"/>
    </row>
    <row r="714" spans="1:2" ht="15" customHeight="1">
      <c r="A714" s="135"/>
      <c r="B714" s="135"/>
    </row>
    <row r="715" spans="1:2" ht="15" customHeight="1">
      <c r="A715" s="135"/>
      <c r="B715" s="135"/>
    </row>
    <row r="716" spans="1:2" ht="15" customHeight="1">
      <c r="A716" s="135"/>
      <c r="B716" s="135"/>
    </row>
    <row r="717" spans="1:2" ht="15" customHeight="1">
      <c r="A717" s="135"/>
      <c r="B717" s="135"/>
    </row>
    <row r="718" spans="1:2" ht="15" customHeight="1">
      <c r="A718" s="135"/>
      <c r="B718" s="135"/>
    </row>
    <row r="719" spans="1:2" ht="15" customHeight="1">
      <c r="A719" s="135"/>
      <c r="B719" s="135"/>
    </row>
    <row r="720" spans="1:2" ht="15" customHeight="1">
      <c r="A720" s="135"/>
      <c r="B720" s="135"/>
    </row>
    <row r="721" spans="1:2" ht="15" customHeight="1">
      <c r="A721" s="135"/>
      <c r="B721" s="135"/>
    </row>
    <row r="722" spans="1:2" ht="15" customHeight="1">
      <c r="A722" s="135"/>
      <c r="B722" s="135"/>
    </row>
    <row r="723" spans="1:2" ht="15" customHeight="1">
      <c r="A723" s="135"/>
      <c r="B723" s="135"/>
    </row>
    <row r="724" spans="1:2" ht="15" customHeight="1">
      <c r="A724" s="135"/>
      <c r="B724" s="135"/>
    </row>
    <row r="725" spans="1:2" ht="15" customHeight="1">
      <c r="A725" s="135"/>
      <c r="B725" s="135"/>
    </row>
    <row r="726" spans="1:2" ht="15" customHeight="1">
      <c r="A726" s="135"/>
      <c r="B726" s="135"/>
    </row>
    <row r="727" spans="1:2" ht="15" customHeight="1">
      <c r="A727" s="135"/>
      <c r="B727" s="135"/>
    </row>
    <row r="728" spans="1:2" ht="15" customHeight="1">
      <c r="A728" s="135"/>
      <c r="B728" s="135"/>
    </row>
    <row r="729" spans="1:2" ht="15" customHeight="1">
      <c r="A729" s="135"/>
      <c r="B729" s="135"/>
    </row>
    <row r="730" spans="1:2" ht="15" customHeight="1">
      <c r="A730" s="135"/>
      <c r="B730" s="135"/>
    </row>
    <row r="731" spans="1:2" ht="15" customHeight="1">
      <c r="A731" s="135"/>
      <c r="B731" s="135"/>
    </row>
    <row r="732" spans="1:2" ht="15" customHeight="1">
      <c r="A732" s="135"/>
      <c r="B732" s="135"/>
    </row>
    <row r="733" spans="1:2" ht="15" customHeight="1">
      <c r="A733" s="135"/>
      <c r="B733" s="135"/>
    </row>
    <row r="734" spans="1:2" ht="15" customHeight="1">
      <c r="A734" s="135"/>
      <c r="B734" s="135"/>
    </row>
    <row r="735" spans="1:2" ht="15" customHeight="1">
      <c r="A735" s="135"/>
      <c r="B735" s="135"/>
    </row>
    <row r="736" spans="1:2" ht="15" customHeight="1">
      <c r="A736" s="135"/>
      <c r="B736" s="135"/>
    </row>
    <row r="737" spans="1:2" ht="15" customHeight="1">
      <c r="A737" s="135"/>
      <c r="B737" s="135"/>
    </row>
    <row r="738" spans="1:2" ht="15" customHeight="1">
      <c r="A738" s="135"/>
      <c r="B738" s="135"/>
    </row>
    <row r="739" spans="1:2" ht="15" customHeight="1">
      <c r="A739" s="135"/>
      <c r="B739" s="135"/>
    </row>
    <row r="740" spans="1:2" ht="15" customHeight="1">
      <c r="A740" s="135"/>
      <c r="B740" s="135"/>
    </row>
    <row r="741" spans="1:2" ht="15" customHeight="1">
      <c r="A741" s="135"/>
      <c r="B741" s="135"/>
    </row>
    <row r="742" spans="1:2" ht="15" customHeight="1">
      <c r="A742" s="135"/>
      <c r="B742" s="135"/>
    </row>
    <row r="743" spans="1:2" ht="15" customHeight="1">
      <c r="A743" s="135"/>
      <c r="B743" s="135"/>
    </row>
    <row r="744" spans="1:2" ht="15" customHeight="1">
      <c r="A744" s="135"/>
      <c r="B744" s="135"/>
    </row>
    <row r="745" spans="1:2" ht="15" customHeight="1">
      <c r="A745" s="135"/>
      <c r="B745" s="135"/>
    </row>
    <row r="746" spans="1:2" ht="15" customHeight="1">
      <c r="A746" s="135"/>
      <c r="B746" s="135"/>
    </row>
    <row r="747" spans="1:2" ht="15" customHeight="1">
      <c r="A747" s="135"/>
      <c r="B747" s="135"/>
    </row>
    <row r="748" spans="1:2" ht="15" customHeight="1">
      <c r="A748" s="135"/>
      <c r="B748" s="135"/>
    </row>
    <row r="749" spans="1:2" ht="15" customHeight="1">
      <c r="A749" s="135"/>
      <c r="B749" s="135"/>
    </row>
    <row r="750" spans="1:2" ht="15" customHeight="1">
      <c r="A750" s="135"/>
      <c r="B750" s="135"/>
    </row>
    <row r="751" spans="1:2" ht="15" customHeight="1">
      <c r="A751" s="135"/>
      <c r="B751" s="135"/>
    </row>
    <row r="752" spans="1:2" ht="15" customHeight="1">
      <c r="A752" s="135"/>
      <c r="B752" s="135"/>
    </row>
    <row r="753" spans="1:2" ht="15" customHeight="1">
      <c r="A753" s="135"/>
      <c r="B753" s="135"/>
    </row>
    <row r="754" spans="1:2" ht="15" customHeight="1">
      <c r="A754" s="135"/>
      <c r="B754" s="135"/>
    </row>
    <row r="755" spans="1:2" ht="15" customHeight="1">
      <c r="A755" s="135"/>
      <c r="B755" s="135"/>
    </row>
    <row r="756" spans="1:2" ht="15" customHeight="1">
      <c r="A756" s="135"/>
      <c r="B756" s="135"/>
    </row>
    <row r="757" spans="1:2" ht="15" customHeight="1">
      <c r="A757" s="135"/>
      <c r="B757" s="135"/>
    </row>
    <row r="758" spans="1:2" ht="15" customHeight="1">
      <c r="A758" s="135"/>
      <c r="B758" s="135"/>
    </row>
    <row r="759" spans="1:2" ht="15" customHeight="1">
      <c r="A759" s="135"/>
      <c r="B759" s="135"/>
    </row>
    <row r="760" spans="1:2" ht="15" customHeight="1">
      <c r="A760" s="135"/>
      <c r="B760" s="135"/>
    </row>
    <row r="761" spans="1:2" ht="15" customHeight="1">
      <c r="A761" s="135"/>
      <c r="B761" s="135"/>
    </row>
    <row r="762" spans="1:2" ht="15" customHeight="1">
      <c r="A762" s="135"/>
      <c r="B762" s="135"/>
    </row>
    <row r="763" spans="1:2" ht="15" customHeight="1">
      <c r="A763" s="135"/>
      <c r="B763" s="135"/>
    </row>
    <row r="764" spans="1:2" ht="15" customHeight="1">
      <c r="A764" s="135"/>
      <c r="B764" s="135"/>
    </row>
    <row r="765" spans="1:2" ht="15" customHeight="1">
      <c r="A765" s="135"/>
      <c r="B765" s="135"/>
    </row>
    <row r="766" spans="1:2" ht="15" customHeight="1">
      <c r="A766" s="135"/>
      <c r="B766" s="135"/>
    </row>
    <row r="767" spans="1:2" ht="15" customHeight="1">
      <c r="A767" s="135"/>
      <c r="B767" s="135"/>
    </row>
    <row r="768" spans="1:2" ht="15" customHeight="1">
      <c r="A768" s="135"/>
      <c r="B768" s="135"/>
    </row>
    <row r="769" spans="1:2" ht="15" customHeight="1">
      <c r="A769" s="135"/>
      <c r="B769" s="135"/>
    </row>
    <row r="770" spans="1:2" ht="15" customHeight="1">
      <c r="A770" s="135"/>
      <c r="B770" s="135"/>
    </row>
    <row r="771" spans="1:2" ht="15" customHeight="1">
      <c r="A771" s="135"/>
      <c r="B771" s="135"/>
    </row>
    <row r="772" spans="1:2" ht="15" customHeight="1">
      <c r="A772" s="135"/>
      <c r="B772" s="135"/>
    </row>
    <row r="773" spans="1:2" ht="15" customHeight="1">
      <c r="A773" s="135"/>
      <c r="B773" s="135"/>
    </row>
    <row r="774" spans="1:2" ht="15" customHeight="1">
      <c r="A774" s="135"/>
      <c r="B774" s="135"/>
    </row>
    <row r="775" spans="1:2" ht="15" customHeight="1">
      <c r="A775" s="135"/>
      <c r="B775" s="135"/>
    </row>
    <row r="776" spans="1:2" ht="15" customHeight="1">
      <c r="A776" s="135"/>
      <c r="B776" s="135"/>
    </row>
    <row r="777" spans="1:2" ht="15" customHeight="1">
      <c r="A777" s="135"/>
      <c r="B777" s="135"/>
    </row>
    <row r="778" spans="1:2" ht="15" customHeight="1">
      <c r="A778" s="135"/>
      <c r="B778" s="135"/>
    </row>
    <row r="779" spans="1:2" ht="15" customHeight="1">
      <c r="A779" s="135"/>
      <c r="B779" s="135"/>
    </row>
    <row r="780" spans="1:2" ht="15" customHeight="1">
      <c r="A780" s="135"/>
      <c r="B780" s="135"/>
    </row>
    <row r="781" spans="1:2" ht="15" customHeight="1">
      <c r="A781" s="135"/>
      <c r="B781" s="135"/>
    </row>
    <row r="782" spans="1:2" ht="15" customHeight="1">
      <c r="A782" s="135"/>
      <c r="B782" s="135"/>
    </row>
    <row r="783" spans="1:2" ht="15" customHeight="1">
      <c r="A783" s="135"/>
      <c r="B783" s="135"/>
    </row>
    <row r="784" spans="1:2" ht="15" customHeight="1">
      <c r="A784" s="135"/>
      <c r="B784" s="135"/>
    </row>
    <row r="785" spans="1:2" ht="15" customHeight="1">
      <c r="A785" s="135"/>
      <c r="B785" s="135"/>
    </row>
    <row r="786" spans="1:2" ht="15" customHeight="1">
      <c r="A786" s="135"/>
      <c r="B786" s="135"/>
    </row>
    <row r="787" spans="1:2" ht="15" customHeight="1">
      <c r="A787" s="135"/>
      <c r="B787" s="135"/>
    </row>
    <row r="788" spans="1:2" ht="15" customHeight="1">
      <c r="A788" s="135"/>
      <c r="B788" s="135"/>
    </row>
    <row r="789" spans="1:2" ht="15" customHeight="1">
      <c r="A789" s="135"/>
      <c r="B789" s="135"/>
    </row>
    <row r="790" spans="1:2" ht="15" customHeight="1">
      <c r="A790" s="135"/>
      <c r="B790" s="135"/>
    </row>
    <row r="791" spans="1:2" ht="15" customHeight="1">
      <c r="A791" s="135"/>
      <c r="B791" s="135"/>
    </row>
    <row r="792" spans="1:2" ht="15" customHeight="1">
      <c r="A792" s="135"/>
      <c r="B792" s="135"/>
    </row>
    <row r="793" spans="1:2" ht="15" customHeight="1">
      <c r="A793" s="135"/>
      <c r="B793" s="135"/>
    </row>
    <row r="794" spans="1:2" ht="15" customHeight="1">
      <c r="A794" s="135"/>
      <c r="B794" s="135"/>
    </row>
    <row r="795" spans="1:2" ht="15" customHeight="1">
      <c r="A795" s="135"/>
      <c r="B795" s="135"/>
    </row>
    <row r="796" spans="1:2" ht="15" customHeight="1">
      <c r="A796" s="135"/>
      <c r="B796" s="135"/>
    </row>
    <row r="797" spans="1:2" ht="15" customHeight="1">
      <c r="A797" s="135"/>
      <c r="B797" s="135"/>
    </row>
    <row r="798" spans="1:2" ht="15" customHeight="1">
      <c r="A798" s="135"/>
      <c r="B798" s="135"/>
    </row>
    <row r="799" spans="1:2" ht="15" customHeight="1">
      <c r="A799" s="135"/>
      <c r="B799" s="135"/>
    </row>
    <row r="800" spans="1:2" ht="15" customHeight="1">
      <c r="A800" s="135"/>
      <c r="B800" s="135"/>
    </row>
    <row r="801" spans="1:2" ht="15" customHeight="1">
      <c r="A801" s="135"/>
      <c r="B801" s="135"/>
    </row>
    <row r="802" spans="1:2" ht="15" customHeight="1">
      <c r="A802" s="135"/>
      <c r="B802" s="135"/>
    </row>
    <row r="803" spans="1:2" ht="15" customHeight="1">
      <c r="A803" s="135"/>
      <c r="B803" s="135"/>
    </row>
    <row r="804" spans="1:2" ht="15" customHeight="1">
      <c r="A804" s="135"/>
      <c r="B804" s="135"/>
    </row>
    <row r="805" spans="1:2" ht="15" customHeight="1">
      <c r="A805" s="135"/>
      <c r="B805" s="135"/>
    </row>
    <row r="806" spans="1:2" ht="15" customHeight="1">
      <c r="A806" s="135"/>
      <c r="B806" s="135"/>
    </row>
    <row r="807" spans="1:2" ht="15" customHeight="1">
      <c r="A807" s="135"/>
      <c r="B807" s="135"/>
    </row>
    <row r="808" spans="1:2" ht="15" customHeight="1">
      <c r="A808" s="135"/>
      <c r="B808" s="135"/>
    </row>
    <row r="809" spans="1:2" ht="15" customHeight="1">
      <c r="A809" s="135"/>
      <c r="B809" s="135"/>
    </row>
    <row r="810" spans="1:2" ht="15" customHeight="1">
      <c r="A810" s="135"/>
      <c r="B810" s="135"/>
    </row>
    <row r="811" spans="1:2" ht="15" customHeight="1">
      <c r="A811" s="135"/>
      <c r="B811" s="135"/>
    </row>
    <row r="812" spans="1:2" ht="15" customHeight="1">
      <c r="A812" s="135"/>
      <c r="B812" s="135"/>
    </row>
    <row r="813" spans="1:2" ht="15" customHeight="1">
      <c r="A813" s="135"/>
      <c r="B813" s="135"/>
    </row>
    <row r="814" spans="1:2" ht="15" customHeight="1">
      <c r="A814" s="135"/>
      <c r="B814" s="135"/>
    </row>
    <row r="815" spans="1:2" ht="15" customHeight="1">
      <c r="A815" s="135"/>
      <c r="B815" s="135"/>
    </row>
    <row r="816" spans="1:2" ht="15" customHeight="1">
      <c r="A816" s="135"/>
      <c r="B816" s="135"/>
    </row>
    <row r="817" spans="1:2" ht="15" customHeight="1">
      <c r="A817" s="135"/>
      <c r="B817" s="135"/>
    </row>
    <row r="818" spans="1:2" ht="15" customHeight="1">
      <c r="A818" s="135"/>
      <c r="B818" s="135"/>
    </row>
    <row r="819" spans="1:2" ht="15" customHeight="1">
      <c r="A819" s="135"/>
      <c r="B819" s="135"/>
    </row>
    <row r="820" spans="1:2" ht="15" customHeight="1">
      <c r="A820" s="135"/>
      <c r="B820" s="135"/>
    </row>
    <row r="821" spans="1:2" ht="15" customHeight="1">
      <c r="A821" s="135"/>
      <c r="B821" s="135"/>
    </row>
    <row r="822" spans="1:2" ht="15" customHeight="1">
      <c r="A822" s="135"/>
      <c r="B822" s="135"/>
    </row>
    <row r="823" spans="1:2" ht="15" customHeight="1">
      <c r="A823" s="135"/>
      <c r="B823" s="135"/>
    </row>
    <row r="824" spans="1:2" ht="15" customHeight="1">
      <c r="A824" s="135"/>
      <c r="B824" s="135"/>
    </row>
    <row r="825" spans="1:2" ht="15" customHeight="1">
      <c r="A825" s="135"/>
      <c r="B825" s="135"/>
    </row>
    <row r="826" spans="1:2" ht="15" customHeight="1">
      <c r="A826" s="135"/>
      <c r="B826" s="135"/>
    </row>
    <row r="827" spans="1:2" ht="15" customHeight="1">
      <c r="A827" s="135"/>
      <c r="B827" s="135"/>
    </row>
    <row r="828" spans="1:2" ht="15" customHeight="1">
      <c r="A828" s="135"/>
      <c r="B828" s="135"/>
    </row>
    <row r="829" spans="1:2" ht="15" customHeight="1">
      <c r="A829" s="135"/>
      <c r="B829" s="135"/>
    </row>
    <row r="830" spans="1:2" ht="15" customHeight="1">
      <c r="A830" s="135"/>
      <c r="B830" s="135"/>
    </row>
    <row r="831" spans="1:2" ht="15" customHeight="1">
      <c r="A831" s="135"/>
      <c r="B831" s="135"/>
    </row>
    <row r="832" spans="1:2" ht="15" customHeight="1">
      <c r="A832" s="135"/>
      <c r="B832" s="135"/>
    </row>
    <row r="833" spans="1:2" ht="15" customHeight="1">
      <c r="A833" s="135"/>
      <c r="B833" s="135"/>
    </row>
    <row r="834" spans="1:2" ht="15" customHeight="1">
      <c r="A834" s="135"/>
      <c r="B834" s="135"/>
    </row>
    <row r="835" spans="1:2" ht="15" customHeight="1">
      <c r="A835" s="135"/>
      <c r="B835" s="135"/>
    </row>
    <row r="836" spans="1:2" ht="15" customHeight="1">
      <c r="A836" s="135"/>
      <c r="B836" s="135"/>
    </row>
    <row r="837" spans="1:2" ht="15" customHeight="1">
      <c r="A837" s="135"/>
      <c r="B837" s="135"/>
    </row>
    <row r="838" spans="1:2" ht="15" customHeight="1">
      <c r="A838" s="135"/>
      <c r="B838" s="135"/>
    </row>
    <row r="839" spans="1:2" ht="15" customHeight="1">
      <c r="A839" s="135"/>
      <c r="B839" s="135"/>
    </row>
    <row r="840" spans="1:2" ht="15" customHeight="1">
      <c r="A840" s="135"/>
      <c r="B840" s="135"/>
    </row>
    <row r="841" spans="1:2" ht="15" customHeight="1">
      <c r="A841" s="135"/>
      <c r="B841" s="135"/>
    </row>
    <row r="842" spans="1:2" ht="15" customHeight="1">
      <c r="A842" s="135"/>
      <c r="B842" s="135"/>
    </row>
    <row r="843" spans="1:2" ht="15" customHeight="1">
      <c r="A843" s="135"/>
      <c r="B843" s="135"/>
    </row>
    <row r="844" spans="1:2" ht="15" customHeight="1">
      <c r="A844" s="135"/>
      <c r="B844" s="135"/>
    </row>
    <row r="845" spans="1:2" ht="15" customHeight="1">
      <c r="A845" s="135"/>
      <c r="B845" s="135"/>
    </row>
    <row r="846" spans="1:2" ht="15" customHeight="1">
      <c r="A846" s="135"/>
      <c r="B846" s="135"/>
    </row>
    <row r="847" spans="1:2" ht="15" customHeight="1">
      <c r="A847" s="135"/>
      <c r="B847" s="135"/>
    </row>
    <row r="848" spans="1:2" ht="15" customHeight="1">
      <c r="A848" s="135"/>
      <c r="B848" s="135"/>
    </row>
    <row r="849" spans="1:2" ht="15" customHeight="1">
      <c r="A849" s="135"/>
      <c r="B849" s="135"/>
    </row>
    <row r="850" spans="1:2" ht="15" customHeight="1">
      <c r="A850" s="135"/>
      <c r="B850" s="135"/>
    </row>
    <row r="851" spans="1:2" ht="15" customHeight="1">
      <c r="A851" s="135"/>
      <c r="B851" s="135"/>
    </row>
    <row r="852" spans="1:2" ht="15" customHeight="1">
      <c r="A852" s="135"/>
      <c r="B852" s="135"/>
    </row>
    <row r="853" spans="1:2" ht="15" customHeight="1">
      <c r="A853" s="135"/>
      <c r="B853" s="135"/>
    </row>
    <row r="854" spans="1:2" ht="15" customHeight="1">
      <c r="A854" s="135"/>
      <c r="B854" s="135"/>
    </row>
    <row r="855" spans="1:2" ht="15" customHeight="1">
      <c r="A855" s="135"/>
      <c r="B855" s="135"/>
    </row>
    <row r="856" spans="1:2" ht="15" customHeight="1">
      <c r="A856" s="135"/>
      <c r="B856" s="135"/>
    </row>
    <row r="857" spans="1:2" ht="15" customHeight="1">
      <c r="A857" s="135"/>
      <c r="B857" s="135"/>
    </row>
    <row r="858" spans="1:2" ht="15" customHeight="1">
      <c r="A858" s="135"/>
      <c r="B858" s="135"/>
    </row>
    <row r="859" spans="1:2" ht="15" customHeight="1">
      <c r="A859" s="135"/>
      <c r="B859" s="135"/>
    </row>
    <row r="860" spans="1:2" ht="15" customHeight="1">
      <c r="A860" s="135"/>
      <c r="B860" s="135"/>
    </row>
    <row r="861" spans="1:2" ht="15" customHeight="1">
      <c r="A861" s="135"/>
      <c r="B861" s="135"/>
    </row>
    <row r="862" spans="1:2" ht="15" customHeight="1">
      <c r="A862" s="135"/>
      <c r="B862" s="135"/>
    </row>
    <row r="863" spans="1:2" ht="15" customHeight="1">
      <c r="A863" s="135"/>
      <c r="B863" s="135"/>
    </row>
    <row r="864" spans="1:2" ht="15" customHeight="1">
      <c r="A864" s="135"/>
      <c r="B864" s="135"/>
    </row>
    <row r="865" spans="1:2" ht="15" customHeight="1">
      <c r="A865" s="135"/>
      <c r="B865" s="135"/>
    </row>
    <row r="866" spans="1:2" ht="15" customHeight="1">
      <c r="A866" s="135"/>
      <c r="B866" s="135"/>
    </row>
    <row r="867" spans="1:2" ht="15" customHeight="1">
      <c r="A867" s="135"/>
      <c r="B867" s="135"/>
    </row>
    <row r="868" spans="1:2" ht="15" customHeight="1">
      <c r="A868" s="135"/>
      <c r="B868" s="135"/>
    </row>
    <row r="869" spans="1:2" ht="15" customHeight="1">
      <c r="A869" s="135"/>
      <c r="B869" s="135"/>
    </row>
    <row r="870" spans="1:2" ht="15" customHeight="1">
      <c r="A870" s="135"/>
      <c r="B870" s="135"/>
    </row>
    <row r="871" spans="1:2" ht="15" customHeight="1">
      <c r="A871" s="135"/>
      <c r="B871" s="135"/>
    </row>
    <row r="872" spans="1:2" ht="15" customHeight="1">
      <c r="A872" s="135"/>
      <c r="B872" s="135"/>
    </row>
    <row r="873" spans="1:2" ht="15" customHeight="1">
      <c r="A873" s="135"/>
      <c r="B873" s="135"/>
    </row>
    <row r="874" spans="1:2" ht="15" customHeight="1">
      <c r="A874" s="135"/>
      <c r="B874" s="135"/>
    </row>
    <row r="875" spans="1:2" ht="15" customHeight="1">
      <c r="A875" s="135"/>
      <c r="B875" s="135"/>
    </row>
    <row r="876" spans="1:2" ht="15" customHeight="1">
      <c r="A876" s="135"/>
      <c r="B876" s="135"/>
    </row>
    <row r="877" spans="1:2" ht="15" customHeight="1">
      <c r="A877" s="135"/>
      <c r="B877" s="135"/>
    </row>
    <row r="878" spans="1:2" ht="15" customHeight="1">
      <c r="A878" s="135"/>
      <c r="B878" s="135"/>
    </row>
    <row r="879" spans="1:2" ht="15" customHeight="1">
      <c r="A879" s="135"/>
      <c r="B879" s="135"/>
    </row>
    <row r="880" spans="1:2" ht="15" customHeight="1">
      <c r="A880" s="135"/>
      <c r="B880" s="135"/>
    </row>
    <row r="881" spans="1:2" ht="15" customHeight="1">
      <c r="A881" s="135"/>
      <c r="B881" s="135"/>
    </row>
    <row r="882" spans="1:2" ht="15" customHeight="1">
      <c r="A882" s="135"/>
      <c r="B882" s="135"/>
    </row>
    <row r="883" spans="1:2" ht="15" customHeight="1">
      <c r="A883" s="135"/>
      <c r="B883" s="135"/>
    </row>
    <row r="884" spans="1:2" ht="15" customHeight="1">
      <c r="A884" s="135"/>
      <c r="B884" s="135"/>
    </row>
    <row r="885" spans="1:2" ht="15" customHeight="1">
      <c r="A885" s="135"/>
      <c r="B885" s="135"/>
    </row>
    <row r="886" spans="1:2" ht="15" customHeight="1">
      <c r="A886" s="135"/>
      <c r="B886" s="135"/>
    </row>
    <row r="887" spans="1:2" ht="15" customHeight="1">
      <c r="A887" s="135"/>
      <c r="B887" s="135"/>
    </row>
    <row r="888" spans="1:2" ht="15" customHeight="1">
      <c r="A888" s="135"/>
      <c r="B888" s="135"/>
    </row>
    <row r="889" spans="1:2" ht="15" customHeight="1">
      <c r="A889" s="135"/>
      <c r="B889" s="135"/>
    </row>
    <row r="890" spans="1:2" ht="15" customHeight="1">
      <c r="A890" s="135"/>
      <c r="B890" s="135"/>
    </row>
    <row r="891" spans="1:2" ht="15" customHeight="1">
      <c r="A891" s="135"/>
      <c r="B891" s="135"/>
    </row>
    <row r="892" spans="1:2" ht="15" customHeight="1">
      <c r="A892" s="135"/>
      <c r="B892" s="135"/>
    </row>
    <row r="893" spans="1:2" ht="15" customHeight="1">
      <c r="A893" s="135"/>
      <c r="B893" s="135"/>
    </row>
    <row r="894" spans="1:2" ht="15" customHeight="1">
      <c r="A894" s="135"/>
      <c r="B894" s="135"/>
    </row>
    <row r="895" spans="1:2" ht="15" customHeight="1">
      <c r="A895" s="135"/>
      <c r="B895" s="135"/>
    </row>
    <row r="896" spans="1:2" ht="15" customHeight="1">
      <c r="A896" s="135"/>
      <c r="B896" s="135"/>
    </row>
    <row r="897" spans="1:2" ht="15" customHeight="1">
      <c r="A897" s="135"/>
      <c r="B897" s="135"/>
    </row>
    <row r="898" spans="1:2" ht="15" customHeight="1">
      <c r="A898" s="135"/>
      <c r="B898" s="135"/>
    </row>
    <row r="899" spans="1:2" ht="15" customHeight="1">
      <c r="A899" s="135"/>
      <c r="B899" s="135"/>
    </row>
    <row r="900" spans="1:2" ht="15" customHeight="1">
      <c r="A900" s="135"/>
      <c r="B900" s="135"/>
    </row>
    <row r="901" spans="1:2" ht="15" customHeight="1">
      <c r="A901" s="135"/>
      <c r="B901" s="135"/>
    </row>
    <row r="902" spans="1:2" ht="15" customHeight="1">
      <c r="A902" s="135"/>
      <c r="B902" s="135"/>
    </row>
    <row r="903" spans="1:2" ht="15" customHeight="1">
      <c r="A903" s="135"/>
      <c r="B903" s="135"/>
    </row>
    <row r="904" spans="1:2" ht="15" customHeight="1">
      <c r="A904" s="135"/>
      <c r="B904" s="135"/>
    </row>
    <row r="905" spans="1:2" ht="15" customHeight="1">
      <c r="A905" s="135"/>
      <c r="B905" s="135"/>
    </row>
    <row r="906" spans="1:2" ht="15" customHeight="1">
      <c r="A906" s="135"/>
      <c r="B906" s="135"/>
    </row>
    <row r="907" spans="1:2" ht="15" customHeight="1">
      <c r="A907" s="135"/>
      <c r="B907" s="135"/>
    </row>
    <row r="908" spans="1:2" ht="15" customHeight="1">
      <c r="A908" s="135"/>
      <c r="B908" s="135"/>
    </row>
    <row r="909" spans="1:2" ht="15" customHeight="1">
      <c r="A909" s="135"/>
      <c r="B909" s="135"/>
    </row>
    <row r="910" spans="1:2" ht="15" customHeight="1">
      <c r="A910" s="135"/>
      <c r="B910" s="135"/>
    </row>
    <row r="911" spans="1:2" ht="15" customHeight="1">
      <c r="A911" s="135"/>
      <c r="B911" s="135"/>
    </row>
    <row r="912" spans="1:2" ht="15" customHeight="1">
      <c r="A912" s="135"/>
      <c r="B912" s="135"/>
    </row>
    <row r="913" spans="1:2" ht="15" customHeight="1">
      <c r="A913" s="135"/>
      <c r="B913" s="135"/>
    </row>
    <row r="914" spans="1:2" ht="15" customHeight="1">
      <c r="A914" s="135"/>
      <c r="B914" s="135"/>
    </row>
    <row r="915" spans="1:2" ht="15" customHeight="1">
      <c r="A915" s="135"/>
      <c r="B915" s="135"/>
    </row>
    <row r="916" spans="1:2" ht="15" customHeight="1">
      <c r="A916" s="135"/>
      <c r="B916" s="135"/>
    </row>
    <row r="917" spans="1:2" ht="15" customHeight="1">
      <c r="A917" s="135"/>
      <c r="B917" s="135"/>
    </row>
    <row r="918" spans="1:2" ht="15" customHeight="1">
      <c r="A918" s="135"/>
      <c r="B918" s="135"/>
    </row>
    <row r="919" spans="1:2" ht="15" customHeight="1">
      <c r="A919" s="135"/>
      <c r="B919" s="135"/>
    </row>
    <row r="920" spans="1:2" ht="15" customHeight="1">
      <c r="A920" s="135"/>
      <c r="B920" s="135"/>
    </row>
    <row r="921" spans="1:2" ht="15" customHeight="1">
      <c r="A921" s="135"/>
      <c r="B921" s="135"/>
    </row>
    <row r="922" spans="1:2" ht="15" customHeight="1">
      <c r="A922" s="135"/>
      <c r="B922" s="135"/>
    </row>
    <row r="923" spans="1:2" ht="15" customHeight="1">
      <c r="A923" s="135"/>
      <c r="B923" s="135"/>
    </row>
    <row r="924" spans="1:2" ht="15" customHeight="1">
      <c r="A924" s="135"/>
      <c r="B924" s="135"/>
    </row>
    <row r="925" spans="1:2" ht="15" customHeight="1">
      <c r="A925" s="135"/>
      <c r="B925" s="135"/>
    </row>
    <row r="926" spans="1:2" ht="15" customHeight="1">
      <c r="A926" s="135"/>
      <c r="B926" s="135"/>
    </row>
    <row r="927" spans="1:2" ht="15" customHeight="1">
      <c r="A927" s="135"/>
      <c r="B927" s="135"/>
    </row>
    <row r="928" spans="1:2" ht="15" customHeight="1">
      <c r="A928" s="135"/>
      <c r="B928" s="135"/>
    </row>
    <row r="929" spans="1:2" ht="15" customHeight="1">
      <c r="A929" s="135"/>
      <c r="B929" s="135"/>
    </row>
    <row r="930" spans="1:2" ht="15" customHeight="1">
      <c r="A930" s="135"/>
      <c r="B930" s="135"/>
    </row>
    <row r="931" spans="1:2" ht="15" customHeight="1">
      <c r="A931" s="135"/>
      <c r="B931" s="135"/>
    </row>
    <row r="932" spans="1:2" ht="15" customHeight="1">
      <c r="A932" s="135"/>
      <c r="B932" s="135"/>
    </row>
    <row r="933" spans="1:2" ht="15" customHeight="1">
      <c r="A933" s="135"/>
      <c r="B933" s="135"/>
    </row>
    <row r="934" spans="1:2" ht="15" customHeight="1">
      <c r="A934" s="135"/>
      <c r="B934" s="135"/>
    </row>
    <row r="935" spans="1:2" ht="15" customHeight="1">
      <c r="A935" s="135"/>
      <c r="B935" s="135"/>
    </row>
    <row r="936" spans="1:2" ht="15" customHeight="1">
      <c r="A936" s="135"/>
      <c r="B936" s="135"/>
    </row>
    <row r="937" spans="1:2" ht="15" customHeight="1">
      <c r="A937" s="135"/>
      <c r="B937" s="135"/>
    </row>
    <row r="938" spans="1:2" ht="15" customHeight="1">
      <c r="A938" s="135"/>
      <c r="B938" s="135"/>
    </row>
    <row r="939" spans="1:2" ht="15" customHeight="1">
      <c r="A939" s="135"/>
      <c r="B939" s="135"/>
    </row>
    <row r="940" spans="1:2" ht="15" customHeight="1">
      <c r="A940" s="135"/>
      <c r="B940" s="135"/>
    </row>
    <row r="941" spans="1:2" ht="15" customHeight="1">
      <c r="A941" s="135"/>
      <c r="B941" s="135"/>
    </row>
    <row r="942" spans="1:2" ht="15" customHeight="1">
      <c r="A942" s="135"/>
      <c r="B942" s="135"/>
    </row>
    <row r="943" spans="1:2" ht="15" customHeight="1">
      <c r="A943" s="135"/>
      <c r="B943" s="135"/>
    </row>
    <row r="944" spans="1:2" ht="15" customHeight="1">
      <c r="A944" s="135"/>
      <c r="B944" s="135"/>
    </row>
    <row r="945" spans="1:2" ht="15" customHeight="1">
      <c r="A945" s="135"/>
      <c r="B945" s="135"/>
    </row>
    <row r="946" spans="1:2" ht="15" customHeight="1">
      <c r="A946" s="135"/>
      <c r="B946" s="135"/>
    </row>
    <row r="947" spans="1:2" ht="15" customHeight="1">
      <c r="A947" s="135"/>
      <c r="B947" s="135"/>
    </row>
    <row r="948" spans="1:2" ht="15" customHeight="1">
      <c r="A948" s="135"/>
      <c r="B948" s="135"/>
    </row>
    <row r="949" spans="1:2" ht="15" customHeight="1">
      <c r="A949" s="135"/>
      <c r="B949" s="135"/>
    </row>
    <row r="950" spans="1:2" ht="15" customHeight="1">
      <c r="A950" s="135"/>
      <c r="B950" s="135"/>
    </row>
    <row r="951" spans="1:2" ht="15" customHeight="1">
      <c r="A951" s="135"/>
      <c r="B951" s="135"/>
    </row>
    <row r="952" spans="1:2" ht="15" customHeight="1">
      <c r="A952" s="135"/>
      <c r="B952" s="135"/>
    </row>
    <row r="953" spans="1:2" ht="15" customHeight="1">
      <c r="A953" s="135"/>
      <c r="B953" s="135"/>
    </row>
    <row r="954" spans="1:2" ht="15" customHeight="1">
      <c r="A954" s="135"/>
      <c r="B954" s="135"/>
    </row>
    <row r="955" spans="1:2" ht="15" customHeight="1">
      <c r="A955" s="135"/>
      <c r="B955" s="135"/>
    </row>
    <row r="956" spans="1:2" ht="15" customHeight="1">
      <c r="A956" s="135"/>
      <c r="B956" s="135"/>
    </row>
    <row r="957" spans="1:2" ht="15" customHeight="1">
      <c r="A957" s="135"/>
      <c r="B957" s="135"/>
    </row>
    <row r="958" spans="1:2" ht="15" customHeight="1">
      <c r="A958" s="135"/>
      <c r="B958" s="135"/>
    </row>
    <row r="959" spans="1:2" ht="15" customHeight="1">
      <c r="A959" s="135"/>
      <c r="B959" s="135"/>
    </row>
    <row r="960" spans="1:2" ht="15" customHeight="1">
      <c r="A960" s="135"/>
      <c r="B960" s="135"/>
    </row>
    <row r="961" spans="1:2" ht="15" customHeight="1">
      <c r="A961" s="135"/>
      <c r="B961" s="135"/>
    </row>
    <row r="962" spans="1:2" ht="15" customHeight="1">
      <c r="A962" s="135"/>
      <c r="B962" s="135"/>
    </row>
    <row r="963" spans="1:2" ht="15" customHeight="1">
      <c r="A963" s="135"/>
      <c r="B963" s="135"/>
    </row>
    <row r="964" spans="1:2" ht="15" customHeight="1">
      <c r="A964" s="135"/>
      <c r="B964" s="135"/>
    </row>
    <row r="965" spans="1:2" ht="15" customHeight="1">
      <c r="A965" s="135"/>
      <c r="B965" s="135"/>
    </row>
    <row r="966" spans="1:2" ht="15" customHeight="1">
      <c r="A966" s="135"/>
      <c r="B966" s="135"/>
    </row>
    <row r="967" spans="1:2" ht="15" customHeight="1">
      <c r="A967" s="135"/>
      <c r="B967" s="135"/>
    </row>
    <row r="968" spans="1:2" ht="15" customHeight="1">
      <c r="A968" s="135"/>
      <c r="B968" s="135"/>
    </row>
    <row r="969" spans="1:2" ht="15" customHeight="1">
      <c r="A969" s="135"/>
      <c r="B969" s="135"/>
    </row>
    <row r="970" spans="1:2" ht="15" customHeight="1">
      <c r="A970" s="135"/>
      <c r="B970" s="135"/>
    </row>
    <row r="971" spans="1:2" ht="15" customHeight="1">
      <c r="A971" s="135"/>
      <c r="B971" s="135"/>
    </row>
    <row r="972" spans="1:2" ht="15" customHeight="1">
      <c r="A972" s="135"/>
      <c r="B972" s="135"/>
    </row>
    <row r="973" spans="1:2" ht="15" customHeight="1">
      <c r="A973" s="135"/>
      <c r="B973" s="135"/>
    </row>
    <row r="974" spans="1:2" ht="15" customHeight="1">
      <c r="A974" s="135"/>
      <c r="B974" s="135"/>
    </row>
    <row r="975" spans="1:2" ht="15" customHeight="1">
      <c r="A975" s="135"/>
      <c r="B975" s="135"/>
    </row>
    <row r="976" spans="1:2" ht="15" customHeight="1">
      <c r="A976" s="135"/>
      <c r="B976" s="135"/>
    </row>
    <row r="977" spans="1:2" ht="15" customHeight="1">
      <c r="A977" s="135"/>
      <c r="B977" s="135"/>
    </row>
    <row r="978" spans="1:2" ht="15" customHeight="1">
      <c r="A978" s="135"/>
      <c r="B978" s="135"/>
    </row>
    <row r="979" spans="1:2" ht="15" customHeight="1">
      <c r="A979" s="135"/>
      <c r="B979" s="135"/>
    </row>
    <row r="980" spans="1:2" ht="15" customHeight="1">
      <c r="A980" s="135"/>
      <c r="B980" s="135"/>
    </row>
    <row r="981" spans="1:2" ht="15" customHeight="1">
      <c r="A981" s="135"/>
      <c r="B981" s="135"/>
    </row>
    <row r="982" spans="1:2" ht="15" customHeight="1">
      <c r="A982" s="135"/>
      <c r="B982" s="135"/>
    </row>
    <row r="983" spans="1:2" ht="15" customHeight="1">
      <c r="A983" s="135"/>
      <c r="B983" s="135"/>
    </row>
    <row r="984" spans="1:2" ht="15" customHeight="1">
      <c r="A984" s="135"/>
      <c r="B984" s="135"/>
    </row>
    <row r="985" spans="1:2" ht="15" customHeight="1">
      <c r="A985" s="135"/>
      <c r="B985" s="135"/>
    </row>
    <row r="986" spans="1:2" ht="15" customHeight="1">
      <c r="A986" s="135"/>
      <c r="B986" s="135"/>
    </row>
    <row r="987" spans="1:2" ht="15" customHeight="1">
      <c r="A987" s="135"/>
      <c r="B987" s="135"/>
    </row>
    <row r="988" spans="1:2" ht="15" customHeight="1">
      <c r="A988" s="135"/>
      <c r="B988" s="135"/>
    </row>
    <row r="989" spans="1:2" ht="15" customHeight="1">
      <c r="A989" s="135"/>
      <c r="B989" s="135"/>
    </row>
  </sheetData>
  <mergeCells count="9">
    <mergeCell ref="A21:B21"/>
    <mergeCell ref="A27:B27"/>
    <mergeCell ref="A28:B28"/>
    <mergeCell ref="A34:A35"/>
    <mergeCell ref="A1:B1"/>
    <mergeCell ref="A2:B2"/>
    <mergeCell ref="A12:B12"/>
    <mergeCell ref="A13:B13"/>
    <mergeCell ref="A20:B20"/>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Trang Pham Quynh</cp:lastModifiedBy>
  <cp:revision>0</cp:revision>
  <dcterms:created xsi:type="dcterms:W3CDTF">2026-05-12T11:22:22Z</dcterms:created>
  <dcterms:modified xsi:type="dcterms:W3CDTF">2026-09-14T04:54:27Z</dcterms:modified>
  <cp:category/>
  <cp:contentStatus/>
</cp:coreProperties>
</file>