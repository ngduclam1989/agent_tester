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D:\FIS\MSB_AML\Test\TM\Testcase\"/>
    </mc:Choice>
  </mc:AlternateContent>
  <xr:revisionPtr revIDLastSave="0" documentId="13_ncr:1_{98B389D0-CC50-4046-90C1-F539C5327F39}" xr6:coauthVersionLast="47" xr6:coauthVersionMax="47" xr10:uidLastSave="{00000000-0000-0000-0000-000000000000}"/>
  <bookViews>
    <workbookView xWindow="0" yWindow="0" windowWidth="21600" windowHeight="9570" tabRatio="876" firstSheet="2" activeTab="2" xr2:uid="{00000000-000D-0000-FFFF-FFFF00000000}"/>
  </bookViews>
  <sheets>
    <sheet name="Cover" sheetId="1" r:id="rId1"/>
    <sheet name="Records" sheetId="2" r:id="rId2"/>
    <sheet name="Test Report" sheetId="3" r:id="rId3"/>
    <sheet name="Sheet3" sheetId="4" state="hidden" r:id="rId4"/>
    <sheet name="Legend" sheetId="5" r:id="rId5"/>
    <sheet name="SCN - AML-01" sheetId="7" r:id="rId6"/>
    <sheet name="SCN - AML-02" sheetId="8" r:id="rId7"/>
    <sheet name="SCN - AML-03" sheetId="9" r:id="rId8"/>
    <sheet name="SCN - AML-04" sheetId="10" r:id="rId9"/>
    <sheet name="SCN - AML-05" sheetId="11" r:id="rId10"/>
    <sheet name="SCN - AML-06" sheetId="12" r:id="rId11"/>
    <sheet name="SCN - AML-07" sheetId="13" r:id="rId12"/>
    <sheet name="SCN - AML-08" sheetId="14" r:id="rId13"/>
    <sheet name="SCN - AML-09" sheetId="15" r:id="rId14"/>
    <sheet name="SCN - AML-10" sheetId="16" r:id="rId15"/>
    <sheet name="SCN - AML-11" sheetId="17" r:id="rId16"/>
    <sheet name="SCN - AML-12" sheetId="18" r:id="rId17"/>
    <sheet name="SCN - AML-13" sheetId="19" r:id="rId18"/>
    <sheet name="SCN - AML-14" sheetId="20" r:id="rId19"/>
    <sheet name="Whitelist" sheetId="21" r:id="rId20"/>
  </sheets>
  <definedNames>
    <definedName name="_xlnm._FilterDatabase" localSheetId="5" hidden="1">'SCN - AML-01'!$A$13:$O$56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21" l="1"/>
  <c r="D11" i="21"/>
  <c r="C11" i="21"/>
  <c r="E10" i="21"/>
  <c r="D10" i="21"/>
  <c r="C10" i="21"/>
  <c r="F10" i="21" s="1"/>
  <c r="E9" i="21"/>
  <c r="D9" i="21"/>
  <c r="C9" i="21"/>
  <c r="E8" i="21"/>
  <c r="D8" i="21"/>
  <c r="C8" i="21"/>
  <c r="F8" i="21" s="1"/>
  <c r="E7" i="21"/>
  <c r="D7" i="21"/>
  <c r="C7" i="21"/>
  <c r="E6" i="21"/>
  <c r="D6" i="21"/>
  <c r="D5" i="21" s="1"/>
  <c r="C6" i="21"/>
  <c r="F6" i="21" s="1"/>
  <c r="E11" i="20"/>
  <c r="D11" i="20"/>
  <c r="C11" i="20"/>
  <c r="F11" i="20" s="1"/>
  <c r="E10" i="20"/>
  <c r="D10" i="20"/>
  <c r="F10" i="20" s="1"/>
  <c r="C10" i="20"/>
  <c r="E9" i="20"/>
  <c r="D9" i="20"/>
  <c r="C9" i="20"/>
  <c r="F9" i="20" s="1"/>
  <c r="E8" i="20"/>
  <c r="F8" i="20" s="1"/>
  <c r="D8" i="20"/>
  <c r="C8" i="20"/>
  <c r="E7" i="20"/>
  <c r="D7" i="20"/>
  <c r="C7" i="20"/>
  <c r="E6" i="20"/>
  <c r="E5" i="20" s="1"/>
  <c r="D6" i="20"/>
  <c r="D5" i="20" s="1"/>
  <c r="C6" i="20"/>
  <c r="E11" i="19"/>
  <c r="F11" i="19" s="1"/>
  <c r="D11" i="19"/>
  <c r="C11" i="19"/>
  <c r="E10" i="19"/>
  <c r="D10" i="19"/>
  <c r="C10" i="19"/>
  <c r="E9" i="19"/>
  <c r="D9" i="19"/>
  <c r="C9" i="19"/>
  <c r="E8" i="19"/>
  <c r="D8" i="19"/>
  <c r="C8" i="19"/>
  <c r="F8" i="19" s="1"/>
  <c r="E7" i="19"/>
  <c r="D7" i="19"/>
  <c r="C7" i="19"/>
  <c r="E6" i="19"/>
  <c r="D6" i="19"/>
  <c r="C6" i="19"/>
  <c r="F6" i="19" s="1"/>
  <c r="E11" i="18"/>
  <c r="D11" i="18"/>
  <c r="C11" i="18"/>
  <c r="F11" i="18" s="1"/>
  <c r="E10" i="18"/>
  <c r="F10" i="18" s="1"/>
  <c r="D10" i="18"/>
  <c r="C10" i="18"/>
  <c r="E9" i="18"/>
  <c r="D9" i="18"/>
  <c r="C9" i="18"/>
  <c r="E8" i="18"/>
  <c r="D8" i="18"/>
  <c r="D5" i="18" s="1"/>
  <c r="C8" i="18"/>
  <c r="E7" i="18"/>
  <c r="D7" i="18"/>
  <c r="C7" i="18"/>
  <c r="F7" i="18" s="1"/>
  <c r="E6" i="18"/>
  <c r="D6" i="18"/>
  <c r="C6" i="18"/>
  <c r="C5" i="18" s="1"/>
  <c r="E11" i="17"/>
  <c r="D11" i="17"/>
  <c r="C11" i="17"/>
  <c r="F11" i="17" s="1"/>
  <c r="E10" i="17"/>
  <c r="D10" i="17"/>
  <c r="C10" i="17"/>
  <c r="F10" i="17" s="1"/>
  <c r="E9" i="17"/>
  <c r="D9" i="17"/>
  <c r="C9" i="17"/>
  <c r="E8" i="17"/>
  <c r="D8" i="17"/>
  <c r="C8" i="17"/>
  <c r="E7" i="17"/>
  <c r="D7" i="17"/>
  <c r="C7" i="17"/>
  <c r="E6" i="17"/>
  <c r="D6" i="17"/>
  <c r="C6" i="17"/>
  <c r="F6" i="17" s="1"/>
  <c r="E11" i="16"/>
  <c r="D11" i="16"/>
  <c r="C11" i="16"/>
  <c r="E10" i="16"/>
  <c r="D10" i="16"/>
  <c r="C10" i="16"/>
  <c r="E9" i="16"/>
  <c r="D9" i="16"/>
  <c r="C9" i="16"/>
  <c r="F9" i="16" s="1"/>
  <c r="E8" i="16"/>
  <c r="D8" i="16"/>
  <c r="C8" i="16"/>
  <c r="E7" i="16"/>
  <c r="D7" i="16"/>
  <c r="C7" i="16"/>
  <c r="F7" i="16" s="1"/>
  <c r="E6" i="16"/>
  <c r="D6" i="16"/>
  <c r="D5" i="16" s="1"/>
  <c r="C6" i="16"/>
  <c r="F6" i="16" s="1"/>
  <c r="E11" i="15"/>
  <c r="D11" i="15"/>
  <c r="C11" i="15"/>
  <c r="E10" i="15"/>
  <c r="D10" i="15"/>
  <c r="C10" i="15"/>
  <c r="F10" i="15" s="1"/>
  <c r="E9" i="15"/>
  <c r="E5" i="15" s="1"/>
  <c r="D9" i="15"/>
  <c r="C9" i="15"/>
  <c r="F9" i="15" s="1"/>
  <c r="E8" i="15"/>
  <c r="D8" i="15"/>
  <c r="C8" i="15"/>
  <c r="F8" i="15" s="1"/>
  <c r="E7" i="15"/>
  <c r="D7" i="15"/>
  <c r="C7" i="15"/>
  <c r="E6" i="15"/>
  <c r="D6" i="15"/>
  <c r="C6" i="15"/>
  <c r="E11" i="14"/>
  <c r="D11" i="14"/>
  <c r="C11" i="14"/>
  <c r="F11" i="14" s="1"/>
  <c r="E10" i="14"/>
  <c r="D10" i="14"/>
  <c r="C10" i="14"/>
  <c r="E9" i="14"/>
  <c r="D9" i="14"/>
  <c r="C9" i="14"/>
  <c r="F9" i="14" s="1"/>
  <c r="E8" i="14"/>
  <c r="D8" i="14"/>
  <c r="C8" i="14"/>
  <c r="F8" i="14" s="1"/>
  <c r="E7" i="14"/>
  <c r="D7" i="14"/>
  <c r="C7" i="14"/>
  <c r="F7" i="14" s="1"/>
  <c r="E6" i="14"/>
  <c r="D6" i="14"/>
  <c r="C6" i="14"/>
  <c r="E11" i="13"/>
  <c r="D11" i="13"/>
  <c r="C11" i="13"/>
  <c r="E10" i="13"/>
  <c r="D10" i="13"/>
  <c r="C10" i="13"/>
  <c r="F10" i="13" s="1"/>
  <c r="E9" i="13"/>
  <c r="F9" i="13" s="1"/>
  <c r="D9" i="13"/>
  <c r="C9" i="13"/>
  <c r="E8" i="13"/>
  <c r="D8" i="13"/>
  <c r="C8" i="13"/>
  <c r="E7" i="13"/>
  <c r="E5" i="13" s="1"/>
  <c r="D7" i="13"/>
  <c r="D5" i="13" s="1"/>
  <c r="C7" i="13"/>
  <c r="E6" i="13"/>
  <c r="D6" i="13"/>
  <c r="C6" i="13"/>
  <c r="F6" i="13" s="1"/>
  <c r="E11" i="12"/>
  <c r="D11" i="12"/>
  <c r="C11" i="12"/>
  <c r="F11" i="12" s="1"/>
  <c r="E10" i="12"/>
  <c r="D10" i="12"/>
  <c r="C10" i="12"/>
  <c r="F10" i="12" s="1"/>
  <c r="E9" i="12"/>
  <c r="D9" i="12"/>
  <c r="C9" i="12"/>
  <c r="F9" i="12" s="1"/>
  <c r="E8" i="12"/>
  <c r="D8" i="12"/>
  <c r="C8" i="12"/>
  <c r="E7" i="12"/>
  <c r="D7" i="12"/>
  <c r="C7" i="12"/>
  <c r="E6" i="12"/>
  <c r="E5" i="12" s="1"/>
  <c r="D6" i="12"/>
  <c r="D5" i="12" s="1"/>
  <c r="C6" i="12"/>
  <c r="E11" i="11"/>
  <c r="D11" i="11"/>
  <c r="C11" i="11"/>
  <c r="E10" i="11"/>
  <c r="D10" i="11"/>
  <c r="C10" i="11"/>
  <c r="E9" i="11"/>
  <c r="D9" i="11"/>
  <c r="C9" i="11"/>
  <c r="E8" i="11"/>
  <c r="D8" i="11"/>
  <c r="C8" i="11"/>
  <c r="F8" i="11" s="1"/>
  <c r="E7" i="11"/>
  <c r="F7" i="11" s="1"/>
  <c r="D7" i="11"/>
  <c r="C7" i="11"/>
  <c r="E6" i="11"/>
  <c r="D6" i="11"/>
  <c r="C6" i="11"/>
  <c r="E11" i="10"/>
  <c r="D11" i="10"/>
  <c r="C11" i="10"/>
  <c r="F11" i="10" s="1"/>
  <c r="E10" i="10"/>
  <c r="D10" i="10"/>
  <c r="C10" i="10"/>
  <c r="F10" i="10" s="1"/>
  <c r="E9" i="10"/>
  <c r="D9" i="10"/>
  <c r="C9" i="10"/>
  <c r="F9" i="10" s="1"/>
  <c r="E8" i="10"/>
  <c r="D8" i="10"/>
  <c r="C8" i="10"/>
  <c r="F8" i="10" s="1"/>
  <c r="E7" i="10"/>
  <c r="D7" i="10"/>
  <c r="C7" i="10"/>
  <c r="F7" i="10" s="1"/>
  <c r="E6" i="10"/>
  <c r="D6" i="10"/>
  <c r="C6" i="10"/>
  <c r="E11" i="9"/>
  <c r="D11" i="9"/>
  <c r="C11" i="9"/>
  <c r="E10" i="9"/>
  <c r="D10" i="9"/>
  <c r="C10" i="9"/>
  <c r="F10" i="9" s="1"/>
  <c r="E9" i="9"/>
  <c r="D9" i="9"/>
  <c r="C9" i="9"/>
  <c r="E8" i="9"/>
  <c r="D8" i="9"/>
  <c r="C8" i="9"/>
  <c r="E7" i="9"/>
  <c r="E5" i="9" s="1"/>
  <c r="D7" i="9"/>
  <c r="D5" i="9" s="1"/>
  <c r="C7" i="9"/>
  <c r="E6" i="9"/>
  <c r="D6" i="9"/>
  <c r="C6" i="9"/>
  <c r="F6" i="9" s="1"/>
  <c r="E11" i="8"/>
  <c r="D11" i="8"/>
  <c r="C11" i="8"/>
  <c r="F11" i="8" s="1"/>
  <c r="E10" i="8"/>
  <c r="D10" i="8"/>
  <c r="C10" i="8"/>
  <c r="F10" i="8" s="1"/>
  <c r="E9" i="8"/>
  <c r="D9" i="8"/>
  <c r="C9" i="8"/>
  <c r="E8" i="8"/>
  <c r="D8" i="8"/>
  <c r="C8" i="8"/>
  <c r="F8" i="8" s="1"/>
  <c r="E7" i="8"/>
  <c r="D7" i="8"/>
  <c r="C7" i="8"/>
  <c r="F7" i="8" s="1"/>
  <c r="E6" i="8"/>
  <c r="E5" i="8" s="1"/>
  <c r="D6" i="8"/>
  <c r="D5" i="8" s="1"/>
  <c r="C6" i="8"/>
  <c r="F6" i="8" s="1"/>
  <c r="E11" i="7"/>
  <c r="D11" i="7"/>
  <c r="C11" i="7"/>
  <c r="F11" i="7" s="1"/>
  <c r="E10" i="7"/>
  <c r="D10" i="7"/>
  <c r="C10" i="7"/>
  <c r="F10" i="7" s="1"/>
  <c r="E9" i="7"/>
  <c r="D9" i="7"/>
  <c r="C9" i="7"/>
  <c r="F9" i="7" s="1"/>
  <c r="E8" i="7"/>
  <c r="D8" i="7"/>
  <c r="C8" i="7"/>
  <c r="E7" i="7"/>
  <c r="D7" i="7"/>
  <c r="C7" i="7"/>
  <c r="F7" i="7" s="1"/>
  <c r="E6" i="7"/>
  <c r="D6" i="7"/>
  <c r="C6" i="7"/>
  <c r="F6" i="7" s="1"/>
  <c r="F15" i="3"/>
  <c r="E15" i="3"/>
  <c r="D15" i="3"/>
  <c r="G15" i="3" s="1"/>
  <c r="C15" i="3"/>
  <c r="B15" i="3"/>
  <c r="E5" i="7" l="1"/>
  <c r="F11" i="9"/>
  <c r="F6" i="10"/>
  <c r="F9" i="11"/>
  <c r="F10" i="11"/>
  <c r="F6" i="12"/>
  <c r="F7" i="12"/>
  <c r="F11" i="13"/>
  <c r="C5" i="14"/>
  <c r="F5" i="14" s="1"/>
  <c r="F10" i="14"/>
  <c r="F6" i="15"/>
  <c r="F11" i="15"/>
  <c r="E5" i="16"/>
  <c r="F8" i="16"/>
  <c r="D5" i="17"/>
  <c r="F7" i="17"/>
  <c r="F8" i="17"/>
  <c r="F6" i="18"/>
  <c r="C5" i="19"/>
  <c r="F7" i="19"/>
  <c r="D5" i="19"/>
  <c r="D5" i="11"/>
  <c r="F8" i="7"/>
  <c r="D5" i="7"/>
  <c r="F9" i="8"/>
  <c r="F7" i="9"/>
  <c r="F8" i="9"/>
  <c r="F9" i="9"/>
  <c r="E5" i="10"/>
  <c r="D5" i="10"/>
  <c r="F6" i="11"/>
  <c r="E5" i="11"/>
  <c r="F11" i="11"/>
  <c r="F8" i="12"/>
  <c r="F7" i="13"/>
  <c r="F8" i="13"/>
  <c r="F6" i="14"/>
  <c r="D5" i="14"/>
  <c r="C5" i="15"/>
  <c r="F7" i="15"/>
  <c r="D5" i="15"/>
  <c r="F10" i="16"/>
  <c r="F11" i="16"/>
  <c r="E5" i="17"/>
  <c r="F9" i="17"/>
  <c r="F8" i="18"/>
  <c r="F9" i="18"/>
  <c r="F9" i="19"/>
  <c r="F10" i="19"/>
  <c r="F6" i="20"/>
  <c r="F7" i="20"/>
  <c r="C5" i="21"/>
  <c r="F7" i="21"/>
  <c r="E5" i="21"/>
  <c r="F9" i="21"/>
  <c r="F11" i="21"/>
  <c r="F5" i="15"/>
  <c r="C5" i="11"/>
  <c r="F5" i="11" s="1"/>
  <c r="E5" i="19"/>
  <c r="F5" i="19" s="1"/>
  <c r="C5" i="10"/>
  <c r="E5" i="14"/>
  <c r="E5" i="18"/>
  <c r="F5" i="18" s="1"/>
  <c r="C5" i="9"/>
  <c r="F5" i="9" s="1"/>
  <c r="C5" i="13"/>
  <c r="F5" i="13" s="1"/>
  <c r="C5" i="17"/>
  <c r="F5" i="17" s="1"/>
  <c r="C5" i="7"/>
  <c r="C5" i="8"/>
  <c r="F5" i="8" s="1"/>
  <c r="C5" i="12"/>
  <c r="F5" i="12" s="1"/>
  <c r="C5" i="16"/>
  <c r="F5" i="16" s="1"/>
  <c r="C5" i="20"/>
  <c r="F5" i="20" s="1"/>
  <c r="F5" i="7" l="1"/>
  <c r="F5" i="10"/>
  <c r="F5"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<sst xmlns="http://schemas.openxmlformats.org/spreadsheetml/2006/main" count="5624" uniqueCount="1067">
  <si>
    <t>Test Report</t>
  </si>
  <si>
    <t>Project Name:</t>
  </si>
  <si>
    <t>DỰ ÁN TRIỂN KHAI BẢN QUYỀN PHẦN MỀM HỆ THỐNG AML MỚI</t>
  </si>
  <si>
    <t>Reviewer:</t>
  </si>
  <si>
    <t xml:space="preserve"> </t>
  </si>
  <si>
    <t>Document Code:</t>
  </si>
  <si>
    <t>Position:</t>
  </si>
  <si>
    <t>Originator:</t>
  </si>
  <si>
    <t>Reviewed Date:</t>
  </si>
  <si>
    <t>Approver:</t>
  </si>
  <si>
    <t>Created Date:</t>
  </si>
  <si>
    <t>Version:</t>
  </si>
  <si>
    <t>1.0</t>
  </si>
  <si>
    <t>Approved Date:</t>
  </si>
  <si>
    <t>TABLE OF CONTENT</t>
  </si>
  <si>
    <t>No</t>
  </si>
  <si>
    <t>Items</t>
  </si>
  <si>
    <t>Content</t>
  </si>
  <si>
    <t>Cover</t>
  </si>
  <si>
    <t>Records</t>
  </si>
  <si>
    <t>Record of changes</t>
  </si>
  <si>
    <t>This test report is used to summarize the testing status of the project</t>
  </si>
  <si>
    <t>Test config</t>
  </si>
  <si>
    <t>Test the configuration to check whether the scanning rules for the Customer Service operations have been enabled/disabled correctly according to the requirements</t>
  </si>
  <si>
    <t>Testcase KHCN</t>
  </si>
  <si>
    <t>List out all test cases of the application</t>
  </si>
  <si>
    <t>Testcase KHTC</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</si>
  <si>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</si>
  <si>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</si>
  <si>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</si>
  <si>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</si>
  <si>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</si>
  <si>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</si>
  <si>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</si>
  <si>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</si>
  <si>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</si>
  <si>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</si>
  <si>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</si>
  <si>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</si>
  <si>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</si>
  <si>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</si>
  <si>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</si>
  <si>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</si>
  <si>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</si>
  <si>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</si>
  <si>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</si>
  <si>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</si>
  <si>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</si>
  <si>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</si>
  <si>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</si>
  <si>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</si>
  <si>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</si>
  <si>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Accepted</t>
  </si>
  <si>
    <t>N/A</t>
  </si>
  <si>
    <t>Untested</t>
  </si>
  <si>
    <t>Total</t>
  </si>
  <si>
    <t>Test cases</t>
  </si>
  <si>
    <t>Test coverage</t>
  </si>
  <si>
    <t>Test successful coverage</t>
  </si>
  <si>
    <t>Issues</t>
  </si>
  <si>
    <t>1. Block testing issue</t>
  </si>
  <si>
    <t>2. Critical defects</t>
  </si>
  <si>
    <t xml:space="preserve">  </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</si>
  <si>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</si>
  <si>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</si>
  <si>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</si>
  <si>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</si>
  <si>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</si>
  <si>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</si>
  <si>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</si>
  <si>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</si>
  <si>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</si>
  <si>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</si>
  <si>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</si>
  <si>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</si>
  <si>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</si>
  <si>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Giai đoạn kiểm thử</t>
  </si>
  <si>
    <t>Test Level</t>
  </si>
  <si>
    <t>Giá trị</t>
  </si>
  <si>
    <t>Giải thích</t>
  </si>
  <si>
    <t>Value</t>
  </si>
  <si>
    <t>Description</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</si>
  <si>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</si>
  <si>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</si>
  <si>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</si>
  <si>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</si>
  <si>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</si>
  <si>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</si>
  <si>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</si>
  <si>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</si>
  <si>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</si>
  <si>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</si>
  <si>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High</t>
  </si>
  <si>
    <t>Ưu tiên cao</t>
  </si>
  <si>
    <t>Medium</t>
  </si>
  <si>
    <t>Ưu tiên trung bình</t>
  </si>
  <si>
    <t>Low</t>
  </si>
  <si>
    <t>Ưu tiên thấp/không ưu tiên</t>
  </si>
  <si>
    <t>Cách thực hiện test</t>
  </si>
  <si>
    <t>Y</t>
  </si>
  <si>
    <t>Thực hiện Auto test</t>
  </si>
  <si>
    <t>Pending</t>
  </si>
  <si>
    <t>N</t>
  </si>
  <si>
    <t>Thực hiện Manual test</t>
  </si>
  <si>
    <t>Cancel</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</si>
  <si>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</si>
  <si>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</si>
  <si>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</si>
  <si>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</si>
  <si>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</si>
  <si>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</si>
  <si>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</si>
  <si>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</si>
  <si>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</si>
  <si>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</si>
  <si>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</si>
  <si>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</si>
  <si>
    <t>Functions</t>
  </si>
  <si>
    <t>AML-01 - Giao dịch có rủi ro cao: Khu vực địa lý có rủi ro cao</t>
  </si>
  <si>
    <t>Build Version</t>
  </si>
  <si>
    <t>v1.0</t>
  </si>
  <si>
    <t>STT</t>
  </si>
  <si>
    <t>NHÓM 01 - KIỂM TRA PARAMETER CẤU HÌNH (Threshold set)</t>
  </si>
  <si>
    <t>I</t>
  </si>
  <si>
    <t>KỊCH BẢN AML-01a - TH1 Khu vực rủi ro rất cao</t>
  </si>
  <si>
    <t>SCAML01-01.1.01</t>
  </si>
  <si>
    <t>Mục đích: Kiểm tra tổng quan đủ tham số cấu hình của kịch bản</t>
  </si>
  <si>
    <t>Kịch bản AML-01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</si>
  <si>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Danh sách các tham số được thiết lập.</t>
  </si>
  <si>
    <t>Màn hình hiển thị đủ các tham số yêu cầu cài đặt cho Scenario "Giám sát giao dịch đơn lẻ với Quốc gia, vùng lãnh thổ có rủi ro cao", bao gồm:
1. Frequency Period
2. Lookback Period
3. ĐK1 - Tổng giá trị GD (Nợ+Có) với khu vực rủi ro cao (HRG)
4. ĐK2 - Tổng số lượng GD (Nợ+Có) với khu vực rủi ro RẤT CAO
5. ĐK3 - Tổng giá trị GD (Nợ+Có) với khu vực rủi ro RẤT CAO</t>
  </si>
  <si>
    <t>Quy tắc tách kịch bản: Tách thành 3 kịch bản cho 03 trường hợp. MSB cung cấp danh sách khu vực địa lý rủi ro cao.</t>
  </si>
  <si>
    <t>SCAML01-01.1.02</t>
  </si>
  <si>
    <t>Mục đích: Kiểm tra tham số Tần suất chạy (Frequency Period) của kịch bản</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</si>
  <si>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Frequency Period.</t>
  </si>
  <si>
    <t>Hệ thống hiển thị tham số tương ứng như sau:
Current value = 7 ngày</t>
  </si>
  <si>
    <t>SCAML01-01.1.03</t>
  </si>
  <si>
    <t>Mục đích: Kiểm tra tham số Khoảng thời gian giám sát (Lookback Period) của kịch bản</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</si>
  <si>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Lookback Period.</t>
  </si>
  <si>
    <t>Hệ thống hiển thị tham số tương ứng như sau:
Current value = 14 ngày</t>
  </si>
  <si>
    <t>SCAML01-01.1.04</t>
  </si>
  <si>
    <t>Mục đích: Kiểm tra giá trị ngưỡng ĐK1 (Tổng giá trị GD (Nợ+Có) với khu vực rủi ro cao (HRG))</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</si>
  <si>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ĐK1 - Tổng giá trị GD (Nợ+Có) với khu vực rủi ro cao (HRG).</t>
  </si>
  <si>
    <t>Hệ thống hiển thị tham số tương ứng như sau:
Current value = 1,000,000,000</t>
  </si>
  <si>
    <t>SCAML01-01.1.05</t>
  </si>
  <si>
    <t>Mục đích: Kiểm tra giá trị ngưỡng ĐK2 (Tổng số lượng GD (Nợ+Có) với khu vực rủi ro RẤT CAO).</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</si>
  <si>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ĐK2 - Tổng số lượng GD (Nợ+Có) với khu vực rủi ro RẤT CAO.</t>
  </si>
  <si>
    <t>Hệ thống hiển thị tham số tương ứng như sau:
Current value = 1</t>
  </si>
  <si>
    <t>SCAML01-01.1.06</t>
  </si>
  <si>
    <t>Mục đích: Kiểm tra giá trị ngưỡng ĐK3 (Tổng giá trị GD (Nợ+Có) với khu vực rủi ro RẤT CAO)</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</si>
  <si>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ĐK3 - Tổng giá trị GD (Nợ+Có) với khu vực rủi ro RẤT CAO.</t>
  </si>
  <si>
    <t>II</t>
  </si>
  <si>
    <t>KỊCH BẢN AML-01b - TH2 Khu vực rủi ro cao</t>
  </si>
  <si>
    <t>SCAML01-01.2.01</t>
  </si>
  <si>
    <t>Màn hình hiển thị đủ các tham số yêu cầu cài đặt cho Scenario "Giám sát giao dịch đơn lẻ với Quốc gia, vùng lãnh thổ có rủi ro cao", bao gồm:
1. Frequency Period
2. Lookback Period
3. ĐK1 - Tổng giá trị GD (Nợ+Có) với khu vực rủi ro cao (HRG)
4. ĐK2 - Tổng số lượng GD (Nợ+Có) với khu vực rủi ro CAO
5. ĐK3 - Tổng giá trị GD (Nợ+Có) với khu vực rủi ro CAO</t>
  </si>
  <si>
    <t>SCAML01-01.2.02</t>
  </si>
  <si>
    <t>SCAML01-01.2.03</t>
  </si>
  <si>
    <t>SCAML01-01.2.04</t>
  </si>
  <si>
    <t>SCAML01-01.2.05</t>
  </si>
  <si>
    <t>Mục đích: Kiểm tra giá trị ngưỡng ĐK2 (Tổng số lượng GD (Nợ+Có) với khu vực rủi ro CAO)</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</si>
  <si>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ĐK2 - Tổng số lượng GD (Nợ+Có) với khu vực rủi ro CAO.</t>
  </si>
  <si>
    <t>Hệ thống hiển thị tham số tương ứng như sau:
Current value = 3</t>
  </si>
  <si>
    <t>SCAML01-01.2.06</t>
  </si>
  <si>
    <t>Mục đích: Kiểm tra giá trị ngưỡng ĐK3 (Tổng giá trị GD (Nợ+Có) với khu vực rủi ro CAO)</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</si>
  <si>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ĐK3 - Tổng giá trị GD (Nợ+Có) với khu vực rủi ro CAO.</t>
  </si>
  <si>
    <t>Hệ thống hiển thị tham số tương ứng như sau:
Current value = 2,500,000,000</t>
  </si>
  <si>
    <t>III</t>
  </si>
  <si>
    <t>KỊCH BẢN AML-01c - TH3 Khu vực rủi ro cao và tỷ lệ</t>
  </si>
  <si>
    <t>SCAML01-01.3.01</t>
  </si>
  <si>
    <t>Màn hình hiển thị đủ các tham số yêu cầu cài đặt cho Scenario "Giám sát giao dịch đơn lẻ với Quốc gia, vùng lãnh thổ có rủi ro cao", bao gồm:
1. Frequency Period
2. Lookback Period
3. ĐK1 - Tổng giá trị GD (Nợ+Có) với khu vực rủi ro cao (HRG)
4. ĐK2 - Tổng số lượng GD (Nợ+Có) với khu vực rủi ro CAO
5. ĐK3 - Tổng giá trị GD (Nợ+Có) với khu vực rủi ro CAO
6. ĐK4 - Tỷ lệ tổng giá trị HRG / tổng giá trị tất cả GD</t>
  </si>
  <si>
    <t>SCAML01-01.3.02</t>
  </si>
  <si>
    <t>SCAML01-01.3.03</t>
  </si>
  <si>
    <t>SCAML01-01.3.04</t>
  </si>
  <si>
    <t>SCAML01-01.3.05</t>
  </si>
  <si>
    <t>Hệ thống hiển thị tham số tương ứng như sau:
Current value = 2</t>
  </si>
  <si>
    <t>SCAML01-01.3.06</t>
  </si>
  <si>
    <t>Hệ thống hiển thị tham số tương ứng như sau:
Current value = 1,500,000,000</t>
  </si>
  <si>
    <t>SCAML01-01.3.07</t>
  </si>
  <si>
    <t>Mục đích: Kiểm tra giá trị ngưỡng ĐK4 (Tỷ lệ tổng giá trị HRG / tổng giá trị tất cả GD)</t>
  </si>
  <si>
    <t>1. NSD đăng nhập hệ thống AML \ Financial Services Anti Money Laundering \ Behavior Detection \ Administration.
2. NSD chọn tab Administration \ Alert Management Configuration \ Threshold Editor.
3. Tại mục Filter by: Chọn Scenario "Giám sát giao dịch đơn lẻ với Quốc gia, vùng lãnh thổ có rủi ro cao".
4. Chọn "Do it".
5. Kiểm tra Giá trị thiết lập cho tham số ĐK4 - Tỷ lệ tổng giá trị HRG / tổng giá trị tất cả GD.</t>
  </si>
  <si>
    <t>Hệ thống hiển thị tham số tương ứng như sau:
Current value = 0.5 (50%)</t>
  </si>
  <si>
    <t>NHÓM 02 - KIỂM TRA SINH CẢNH BÁO (Alert generation rule)</t>
  </si>
  <si>
    <t>SCAML01-02.1.01</t>
  </si>
  <si>
    <t>Mục đích: Test việc hệ thống TẠO cảnh báo khi giá trị các điều kiện thỏa mãn - VƯỢT ngưỡng</t>
  </si>
  <si>
    <t>Kịch bản AML-01 đã active trên SIT; threshold set đã cấu hình đúng; dữ liệu master khách hàng KHCN, KHTC đã sẵn sàng.</t>
  </si>
  <si>
    <t>1. NSD thực hiện đẩy data đã chuẩn bị vào hệ thống.
2. NSD đăng nhập hệ thống AML \ Financial Services Anti Money Laundering \ Common Tasks \ Operations \ Batch Execution, chọn batch kịch bản -&gt; chọn ngày chạy batch -&gt; chọn Execute batch.
3. NSD truy cập vào Financial Services Anti Money Laundering \ Common Tasks \ Operations \ Batch Monitor để kiểm tra trạng thái chạy batch.
4. NSD đăng nhập hệ thống AML \ Financial Services Enterprise Case Management \ Enterprise Case Investigation \ Search Cases.
5. NSD tìm kiếm case theo 'Entity ID' = Party ID được chuẩn bị dữ liệu.
6. NSD click vào case -&gt; Tới tab Event Details -&gt; Tới event hit với kịch bản.</t>
  </si>
  <si>
    <t>1. Batch kịch bản chạy thành công, trạng thái Successful
2. NSD xem được sự vụ với Mã khách hàng đã đẩy vào HIT với kịch bản
3. NSD xem được highlight của event hit với kịch bản</t>
  </si>
  <si>
    <t>SCAML01-02.1.02</t>
  </si>
  <si>
    <t>Mục đích: Test việc hệ thống TẠO cảnh báo khi giá trị các điều kiện thỏa mãn - ĐÚNG BẰNG ngưỡng (biên =)</t>
  </si>
  <si>
    <t>SCAML01-02.1.03</t>
  </si>
  <si>
    <t>Mục đích: Test việc hệ thống KHÔNG tạo cảnh báo khi ĐK1 (Tổng giá trị GD (Nợ+Có) với khu vực rủi ro cao (HRG)) &lt; ngưỡng - kéo theo ĐK3 cũng không thỏa mãn (đo trên cùng tập giao dịch), các điều kiện còn lại vẫn thỏa mãn</t>
  </si>
  <si>
    <t>1. Batch kịch bản chạy thành công, trạng thái Successful
2. NSD KHÔNG xem được cảnh báo với Mã khách hàng đã đẩy vào thực hiện kiểm thử cho kịch bản</t>
  </si>
  <si>
    <t>SCAML01-02.1.04</t>
  </si>
  <si>
    <t>Mục đích: Test việc hệ thống KHÔNG tạo cảnh báo khi ĐK2 (Tổng số lượng GD (Nợ+Có) với khu vực rủi ro RẤT CAO) &lt; ngưỡng - kéo theo ĐK3 cũng không thỏa mãn (đo trên cùng tập giao dịch), các điều kiện còn lại vẫn thỏa mãn</t>
  </si>
  <si>
    <t>SCAML01-02.1.05</t>
  </si>
  <si>
    <t>Mục đích: Test việc hệ thống KHÔNG tạo cảnh báo khi ĐK3 (Tổng giá trị GD (Nợ+Có) với khu vực rủi ro RẤT CAO) &lt; ngưỡng, các điều kiện khác vẫn thỏa mãn</t>
  </si>
  <si>
    <t>SCAML01-02.2.01</t>
  </si>
  <si>
    <t>SCAML01-02.2.02</t>
  </si>
  <si>
    <t>SCAML01-02.2.03</t>
  </si>
  <si>
    <t>SCAML01-02.2.04</t>
  </si>
  <si>
    <t>Mục đích: Test việc hệ thống KHÔNG tạo cảnh báo khi ĐK2 (Tổng số lượng GD (Nợ+Có) với khu vực rủi ro CAO) &lt; ngưỡng, các điều kiện khác vẫn thỏa mãn</t>
  </si>
  <si>
    <t>SCAML01-02.2.05</t>
  </si>
  <si>
    <t>Mục đích: Test việc hệ thống KHÔNG tạo cảnh báo khi ĐK3 (Tổng giá trị GD (Nợ+Có) với khu vực rủi ro CAO) &lt; ngưỡng, các điều kiện khác vẫn thỏa mãn</t>
  </si>
  <si>
    <t>SCAML01-02.3.01</t>
  </si>
  <si>
    <t>SCAML01-02.3.02</t>
  </si>
  <si>
    <t>SCAML01-02.3.03</t>
  </si>
  <si>
    <t>SCAML01-02.3.04</t>
  </si>
  <si>
    <t>SCAML01-02.3.05</t>
  </si>
  <si>
    <t>SCAML01-02.3.06</t>
  </si>
  <si>
    <t>Mục đích: Test việc hệ thống KHÔNG tạo cảnh báo khi ĐK4 (Tỷ lệ tổng giá trị HRG / tổng giá trị tất cả GD) &lt; ngưỡng, các điều kiện khác vẫn thỏa mãn</t>
  </si>
  <si>
    <t>NHÓM 03 - KIỂM TRA CƠ CHẾ CHỐNG TRÙNG/SINH LẠI EVENT QUA CÁC LẦN CHẠY JOB (LOOKBACK TRÙNG NHAU)</t>
  </si>
  <si>
    <t>SCAML01-03.1.01</t>
  </si>
  <si>
    <t>Mục đích: Test cơ chế chống trùng event - ở lần chạy job liền sau, dữ liệu trong lookback VẪN thỏa ngưỡng nhưng KHÔNG phát sinh giao dịch mới (ngoài phần lookback trùng) -&gt; KHÔNG sinh thêm event/tạo case mới</t>
  </si>
  <si>
    <t>Kịch bản AML-01 chạy theo tần suất 7 ngày, lookback 14 ngày. Hai lần chạy job liên tiếp có phần lookback TRÙNG nhau. Đối tượng test đã HIT và sinh event ở lần chạy job trước (dữ liệu thỏa ngưỡng HIT của AML-01). Ở lần chạy job liền sau: dữ liệu tổng hợp trong lookback VẪN THỎA NGƯỠNG HIT của AML-01, nhưng KHÔNG phát sinh thêm giao dịch mới so với lần chạy trước (chỉ còn các GD thuộc phần lookback trùng đã được đánh giá ở lần chạy trước).</t>
  </si>
  <si>
    <t>1. Chuẩn bị dữ liệu để đối tượng HIT ở lần chạy job trước và sinh event
2. Chạy batch ở lần chạy job trước: Common Tasks \ Operations \ Batch Execution -&gt; Execute batch; xác nhận đã sinh event/case cho đối tượng
3. KHÔNG đẩy thêm giao dịch mới nào cho đối tượng trước lần chạy job liền sau (đảm bảo dữ liệu trong lookback của lần chạy liền sau vẫn thỏa ngưỡng nhưng không có GD mới)
4. Chạy batch ở lần chạy job liền sau; kiểm tra Batch Monitor (trạng thái Successful)
5. Vào Enterprise Case Management \ Search Cases, tìm theo Entity ID = Party ID đối tượng test
6. Kiểm tra có event/case MỚI được sinh ở lần chạy job liền sau hay không</t>
  </si>
  <si>
    <t>Batch chạy thành công - Successful. Mặc dù dữ liệu trong lookback của lần chạy job liền sau VẪN thỏa ngưỡng, do KHÔNG phát sinh giao dịch mới (chỉ có các GD thuộc phần lookback trùng đã đánh giá ở lần chạy trước), hệ thống KHÔNG sinh thêm event/KHÔNG tạo case mới cho KH này (cơ chế giảm thiểu hit giả).</t>
  </si>
  <si>
    <t>Phần lookback TRÙNG nhau giữa 2 lần chạy job liên tiếp = lookback − tần suất = 14−7 = 7 ngày. Lần chạy job liền sau chỉ sinh event mới nếu có giao dịch mới phát sinh ngoài phần lookback trùng; nếu không có giao dịch mới (dù dữ liệu vẫn thỏa ngưỡng) thì không sinh thêm event.</t>
  </si>
  <si>
    <t>SCAML01-03.1.02</t>
  </si>
  <si>
    <t>Mục đích: Test cơ chế chống trùng event - ở lần chạy job liền sau, trong lookback phát sinh thêm ít nhất 1 giao dịch mới (ngoài phần lookback trùng) và vẫn thỏa ngưỡng -&gt; SINH TIẾP event/tạo case mới</t>
  </si>
  <si>
    <t>Kịch bản AML-01 chạy theo tần suất 7 ngày, lookback 14 ngày. Hai lần chạy job liên tiếp có phần lookback TRÙNG nhau. Đối tượng test đã HIT và sinh event ở lần chạy job trước (dữ liệu thỏa ngưỡng HIT của AML-01). Ở lần chạy job liền sau: có phát sinh thêm ít nhất 1 giao dịch mới ngoài phần lookback trùng, dữ liệu tổng hợp vẫn thỏa ngưỡng HIT của AML-01.</t>
  </si>
  <si>
    <t>1. Chuẩn bị dữ liệu để đối tượng HIT ở lần chạy job trước và sinh event
2. Chạy batch ở lần chạy job trước: Batch Execution -&gt; Execute batch; xác nhận đã sinh event/case cho đối tượng
3. Đẩy thêm ÍT NHẤT 1 giao dịch mới cho đối tượng ở phần thời gian sau lần chạy job trước (nằm trong lookback của lần chạy liền sau), tổng hợp vẫn thỏa ngưỡng
4. Chạy batch ở lần chạy job liền sau; kiểm tra Batch Monitor (trạng thái Successful)
5. Vào Enterprise Case Management \ Search Cases, tìm theo Entity ID = Party ID đối tượng test
6. Kiểm tra có event/case MỚI được sinh ở lần chạy job liền sau hay không</t>
  </si>
  <si>
    <t>Batch chạy thành công - Successful. Do trong lookback của lần chạy job liền sau có phát sinh ít nhất 1 giao dịch mới (ngoài phần lookback trùng) và dữ liệu vẫn thỏa ngưỡng, hệ thống SINH TIẾP event/tạo case mới cho KH này.</t>
  </si>
  <si>
    <t>AML-02 - Giao dịch có rủi ro cao: Đối tượng có rủi ro cao trọng tâm</t>
  </si>
  <si>
    <t>KỊCH BẢN AML-02a - KHCN</t>
  </si>
  <si>
    <t>SCAML02-01.1.01</t>
  </si>
  <si>
    <t>Mục đích: Kiểm tra tổng quan đủ tham số cấu hình của Ngưỡng chung</t>
  </si>
  <si>
    <t>Kịch bản AML-02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</si>
  <si>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Danh sách các tham số được thiết lập.</t>
  </si>
  <si>
    <t>Màn hình hiển thị đủ các tham số yêu cầu cài đặt cho Scenario "Giao dịch có rủi ro cao: Đối tượng có rủi ro cao trọng tâm", bao gồm:
1. Frequency Period
2. Lookback Period
3. ĐK1 - Ngưỡng rủi ro thực tế của KH so với Ngưỡng rủi ro hiệu quả (Effctv Risk Lvl)
4. ĐK2 - Tổng giá trị GD ghi Nợ và ghi Có
5. ĐK3 - Tổng số GD ghi Nợ và ghi Có</t>
  </si>
  <si>
    <t>Quy tắc tách kịch bản: 1 kịch bản. Ngưỡng rủi ro hiệu quả setup theo thang điểm 10 (không lấy thập phân). ĐK ghi Có/ghi Nợ ≥95% đã BỎ (họp 23/6).</t>
  </si>
  <si>
    <t>SCAML02-01.1.02</t>
  </si>
  <si>
    <t>Mục đích: Kiểm tra tham số Tần suất chạy (Frequency Period)</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</si>
  <si>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Giá trị thiết lập cho tham số Frequency Period.</t>
  </si>
  <si>
    <t>SCAML02-01.1.03</t>
  </si>
  <si>
    <t>Mục đích: Kiểm tra tham số Khoảng thời gian giám sát (Lookback Period)</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</si>
  <si>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Giá trị thiết lập cho tham số Lookback Period.</t>
  </si>
  <si>
    <t>SCAML02-01.1.04</t>
  </si>
  <si>
    <t>Mục đích: Kiểm tra giá trị ngưỡng ĐK1 (Ngưỡng rủi ro thực tế của KH so với Ngưỡng rủi ro hiệu quả (Effctv Risk Lvl))</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</si>
  <si>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Giá trị thiết lập cho tham số ĐK1 - Ngưỡng rủi ro thực tế của KH so với Ngưỡng rủi ro hiệu quả (Effctv Risk Lvl).</t>
  </si>
  <si>
    <t>Hệ thống hiển thị tham số tương ứng như sau:
Current value = ≥ Ngưỡng rủi ro hiệu quả (thang điểm 10)</t>
  </si>
  <si>
    <t>SCAML02-01.1.05</t>
  </si>
  <si>
    <t>Mục đích: Kiểm tra giá trị ngưỡng ĐK2 (Tổng giá trị GD ghi Nợ và ghi Có)</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</si>
  <si>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Giá trị thiết lập cho tham số ĐK2 - Tổng giá trị GD ghi Nợ và ghi Có.</t>
  </si>
  <si>
    <t>Hệ thống hiển thị tham số tương ứng như sau:
Current value = 2,000,000,000</t>
  </si>
  <si>
    <t>SCAML02-01.1.06</t>
  </si>
  <si>
    <t>Mục đích: Kiểm tra giá trị ngưỡng ĐK3 (Tổng số GD ghi Nợ và ghi Có)</t>
  </si>
  <si>
    <t>1. NSD đăng nhập hệ thống AML \ Financial Services Anti Money Laundering \ Behavior Detection \ Administration.
2. NSD chọn tab Administration \ Alert Management Configuration \ Threshold Editor.
3. Tại mục Filter by: Chọn Scenario "Giao dịch có rủi ro cao: Đối tượng có rủi ro cao trọng tâm".
4. Chọn "Do it".
5. Kiểm tra Giá trị thiết lập cho tham số ĐK3 - Tổng số GD ghi Nợ và ghi Có.</t>
  </si>
  <si>
    <t>Hệ thống hiển thị tham số tương ứng như sau:
Current value = 15</t>
  </si>
  <si>
    <t>KỊCH BẢN AML-02b - KHTC</t>
  </si>
  <si>
    <t>SCAML02-01.2.01</t>
  </si>
  <si>
    <t>SCAML02-01.2.02</t>
  </si>
  <si>
    <t>SCAML02-01.2.03</t>
  </si>
  <si>
    <t>SCAML02-01.2.04</t>
  </si>
  <si>
    <t>SCAML02-01.2.05</t>
  </si>
  <si>
    <t>Hệ thống hiển thị tham số tương ứng như sau:
Current value = 5,000,000,000</t>
  </si>
  <si>
    <t>SCAML02-01.2.06</t>
  </si>
  <si>
    <t>SCAML02-02.1.01</t>
  </si>
  <si>
    <t>Kịch bản AML-02 đã active trên SIT; threshold set đã cấu hình đúng; dữ liệu master khách hàng phân khúc KHCN đã sẵn sàng.</t>
  </si>
  <si>
    <t>SCAML02-02.1.02</t>
  </si>
  <si>
    <t>SCAML02-02.1.03</t>
  </si>
  <si>
    <t>Mục đích: Test việc hệ thống KHÔNG tạo cảnh báo khi ĐK1 (Ngưỡng rủi ro thực tế của KH so với Ngưỡng rủi ro hiệu quả (Effctv Risk Lvl)) &lt; ngưỡng, các điều kiện khác vẫn thỏa mãn</t>
  </si>
  <si>
    <t>SCAML02-02.1.04</t>
  </si>
  <si>
    <t>Mục đích: Test việc hệ thống KHÔNG tạo cảnh báo khi ĐK2 (Tổng giá trị GD ghi Nợ và ghi Có) &lt; ngưỡng, các điều kiện khác vẫn thỏa mãn</t>
  </si>
  <si>
    <t>SCAML02-02.1.05</t>
  </si>
  <si>
    <t>Mục đích: Test việc hệ thống KHÔNG tạo cảnh báo khi ĐK3 (Tổng số GD ghi Nợ và ghi Có) &lt; ngưỡng, các điều kiện khác vẫn thỏa mãn</t>
  </si>
  <si>
    <t>SCAML02-02.2.01</t>
  </si>
  <si>
    <t>Kịch bản AML-02 đã active trên SIT; threshold set đã cấu hình đúng; dữ liệu master khách hàng phân khúc KHTC đã sẵn sàng.</t>
  </si>
  <si>
    <t>SCAML02-02.2.02</t>
  </si>
  <si>
    <t>SCAML02-02.2.03</t>
  </si>
  <si>
    <t>SCAML02-02.2.04</t>
  </si>
  <si>
    <t>SCAML02-02.2.05</t>
  </si>
  <si>
    <t>SCAML02-03.1.01</t>
  </si>
  <si>
    <t>Kịch bản AML-02 chạy theo tần suất 7 ngày, lookback 14 ngày. Hai lần chạy job liên tiếp có phần lookback TRÙNG nhau. Đối tượng test đã HIT và sinh event ở lần chạy job trước (dữ liệu thỏa ngưỡng HIT của AML-02). Ở lần chạy job liền sau: dữ liệu tổng hợp trong lookback VẪN THỎA NGƯỠNG HIT của AML-02, nhưng KHÔNG phát sinh thêm giao dịch mới so với lần chạy trước (chỉ còn các GD thuộc phần lookback trùng đã được đánh giá ở lần chạy trước).</t>
  </si>
  <si>
    <t>SCAML02-03.1.02</t>
  </si>
  <si>
    <t>Kịch bản AML-02 chạy theo tần suất 7 ngày, lookback 14 ngày. Hai lần chạy job liên tiếp có phần lookback TRÙNG nhau. Đối tượng test đã HIT và sinh event ở lần chạy job trước (dữ liệu thỏa ngưỡng HIT của AML-02). Ở lần chạy job liền sau: có phát sinh thêm ít nhất 1 giao dịch mới ngoài phần lookback trùng, dữ liệu tổng hợp vẫn thỏa ngưỡng HIT của AML-02.</t>
  </si>
  <si>
    <t>AML-03 - Thay đổi đáng kể so với hoạt động trung bình trước đó</t>
  </si>
  <si>
    <t>KỊCH BẢN AML-03a - Chiều ghi Nợ - KHCN</t>
  </si>
  <si>
    <t>SCAML03-01.1.1.01</t>
  </si>
  <si>
    <t>Kịch bản AML-03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</si>
  <si>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Danh sách các tham số được thiết lập.</t>
  </si>
  <si>
    <t>Màn hình hiển thị đủ các tham số yêu cầu cài đặt cho Scenario "Thay đổi đáng kể so với hoạt động trung bình trước đó", bao gồm:
1. Frequency Period
2. Lookback Period
3. ĐK1 - Tuổi tài khoản: (ngày cuối tháng T-1 − ngày mở TK)
4. ĐK3 - Tổng giá trị GD ghi Nợ tháng T-1 (A)
5. ĐK4 - Tỷ lệ tăng (A − Avg(Bi))/Avg(Bi)</t>
  </si>
  <si>
    <t>Quy tắc tách kịch bản: Tách thành 2 kịch bản theo chiều ghi Nợ, ghi Có. ĐK2 (độ lệch chuẩn): (S × 1,5) ≤ (A − Avg(Bi)) [chiều Có: ≤ (C − Avg(Di))]; độ lệch chuẩn tối thiểu S=1,5 (có thể điều chỉnh); số tháng giám sát n=6.</t>
  </si>
  <si>
    <t>SCAML03-01.1.1.02</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</si>
  <si>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Frequency Period.</t>
  </si>
  <si>
    <t>Hệ thống hiển thị tham số tương ứng như sau:
Current value = 01 tháng</t>
  </si>
  <si>
    <t>SCAML03-01.1.1.03</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</si>
  <si>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Lookback Period.</t>
  </si>
  <si>
    <t>Hệ thống hiển thị tham số tương ứng như sau:
Current value = 06 tháng</t>
  </si>
  <si>
    <t>SCAML03-01.1.1.04</t>
  </si>
  <si>
    <t>Mục đích: Kiểm tra giá trị ngưỡng ĐK1 (Tuổi tài khoản: (ngày cuối tháng T-1 − ngày mở TK))</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</si>
  <si>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ĐK1 - Tuổi tài khoản: (ngày cuối tháng T-1 − ngày mở TK).</t>
  </si>
  <si>
    <t>Hệ thống hiển thị tham số tương ứng như sau:
Current value = 180 ngày</t>
  </si>
  <si>
    <t>SCAML03-01.1.1.05</t>
  </si>
  <si>
    <t>Mục đích: Kiểm tra giá trị ngưỡng ĐK3 (Tổng giá trị GD ghi Nợ tháng T-1 (A))</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</si>
  <si>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ĐK3 - Tổng giá trị GD ghi Nợ tháng T-1 (A).</t>
  </si>
  <si>
    <t>SCAML03-01.1.1.06</t>
  </si>
  <si>
    <t>Mục đích: Kiểm tra giá trị ngưỡng ĐK4 (Tỷ lệ tăng (A − Avg(Bi))/Avg(Bi))</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</si>
  <si>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ĐK4 - Tỷ lệ tăng (A − Avg(Bi))/Avg(Bi).</t>
  </si>
  <si>
    <t>Hệ thống hiển thị tham số tương ứng như sau:
Current value = 2 (200%)</t>
  </si>
  <si>
    <t>KỊCH BẢN AML-03b - Chiều ghi Nợ - KHTC</t>
  </si>
  <si>
    <t>SCAML03-01.1.2.01</t>
  </si>
  <si>
    <t>SCAML03-01.1.2.02</t>
  </si>
  <si>
    <t>SCAML03-01.1.2.03</t>
  </si>
  <si>
    <t>SCAML03-01.1.2.04</t>
  </si>
  <si>
    <t>SCAML03-01.1.2.05</t>
  </si>
  <si>
    <t>SCAML03-01.1.2.06</t>
  </si>
  <si>
    <t>KỊCH BẢN AML-03c - Chiều ghi Có - KHCN</t>
  </si>
  <si>
    <t>SCAML03-01.2.1.01</t>
  </si>
  <si>
    <t>Màn hình hiển thị đủ các tham số yêu cầu cài đặt cho Scenario "Thay đổi đáng kể so với hoạt động trung bình trước đó", bao gồm:
1. Frequency Period
2. Lookback Period
3. ĐK1 - Tuổi tài khoản: (ngày cuối tháng T-1 − ngày mở TK)
4. ĐK3 - Tổng giá trị GD ghi Có tháng T-1 (C)
5. ĐK4 - Tỷ lệ tăng (C − Avg(Di))/Avg(Di)</t>
  </si>
  <si>
    <t>SCAML03-01.2.1.02</t>
  </si>
  <si>
    <t>SCAML03-01.2.1.03</t>
  </si>
  <si>
    <t>SCAML03-01.2.1.04</t>
  </si>
  <si>
    <t>SCAML03-01.2.1.05</t>
  </si>
  <si>
    <t>Mục đích: Kiểm tra giá trị ngưỡng ĐK3 (Tổng giá trị GD ghi Có tháng T-1 (C))</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</si>
  <si>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ĐK3 - Tổng giá trị GD ghi Có tháng T-1 (C).</t>
  </si>
  <si>
    <t>SCAML03-01.2.1.06</t>
  </si>
  <si>
    <t>Mục đích: Kiểm tra giá trị ngưỡng ĐK4 (Tỷ lệ tăng (C − Avg(Di))/Avg(Di))</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</si>
  <si>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trung bình trước đó".
4. Chọn "Do it".
5. Kiểm tra Giá trị thiết lập cho tham số ĐK4 - Tỷ lệ tăng (C − Avg(Di))/Avg(Di).</t>
  </si>
  <si>
    <t>IV</t>
  </si>
  <si>
    <t>KỊCH BẢN AML-03d - Chiều ghi Có - KHTC</t>
  </si>
  <si>
    <t>SCAML03-01.2.2.01</t>
  </si>
  <si>
    <t>SCAML03-01.2.2.02</t>
  </si>
  <si>
    <t>SCAML03-01.2.2.03</t>
  </si>
  <si>
    <t>SCAML03-01.2.2.04</t>
  </si>
  <si>
    <t>SCAML03-01.2.2.05</t>
  </si>
  <si>
    <t>SCAML03-01.2.2.06</t>
  </si>
  <si>
    <t>SCAML03-02.1.1.01</t>
  </si>
  <si>
    <t>Kịch bản AML-03 đã active trên SIT; threshold set đã cấu hình đúng; dữ liệu master khách hàng phân khúc KHCN đã sẵn sàng.</t>
  </si>
  <si>
    <t>SCAML03-02.1.1.02</t>
  </si>
  <si>
    <t>SCAML03-02.1.1.03</t>
  </si>
  <si>
    <t>Mục đích: Test việc hệ thống KHÔNG tạo cảnh báo khi ĐK1 (Tuổi tài khoản: (ngày cuối tháng T-1 − ngày mở TK)) &lt; ngưỡng, các điều kiện khác vẫn thỏa mãn</t>
  </si>
  <si>
    <t>SCAML03-02.1.1.04</t>
  </si>
  <si>
    <t>Mục đích: Test việc hệ thống KHÔNG tạo cảnh báo khi ĐK3 (Tổng giá trị GD ghi Nợ tháng T-1 (A)) &lt; ngưỡng, các điều kiện khác vẫn thỏa mãn</t>
  </si>
  <si>
    <t>SCAML03-02.1.1.05</t>
  </si>
  <si>
    <t>Mục đích: Test việc hệ thống KHÔNG tạo cảnh báo khi ĐK4 (Tỷ lệ tăng (A − Avg(Bi))/Avg(Bi)) &lt; ngưỡng, các điều kiện khác vẫn thỏa mãn</t>
  </si>
  <si>
    <t>SCAML03-02.1.2.01</t>
  </si>
  <si>
    <t>Kịch bản AML-03 đã active trên SIT; threshold set đã cấu hình đúng; dữ liệu master khách hàng phân khúc KHTC đã sẵn sàng.</t>
  </si>
  <si>
    <t>SCAML03-02.1.2.02</t>
  </si>
  <si>
    <t>SCAML03-02.1.2.03</t>
  </si>
  <si>
    <t>SCAML03-02.1.2.04</t>
  </si>
  <si>
    <t>SCAML03-02.1.2.05</t>
  </si>
  <si>
    <t>SCAML03-02.2.1.01</t>
  </si>
  <si>
    <t>SCAML03-02.2.1.02</t>
  </si>
  <si>
    <t>SCAML03-02.2.1.03</t>
  </si>
  <si>
    <t>SCAML03-02.2.1.04</t>
  </si>
  <si>
    <t>Mục đích: Test việc hệ thống KHÔNG tạo cảnh báo khi ĐK3 (Tổng giá trị GD ghi Có tháng T-1 (C)) &lt; ngưỡng, các điều kiện khác vẫn thỏa mãn</t>
  </si>
  <si>
    <t>SCAML03-02.2.1.05</t>
  </si>
  <si>
    <t>Mục đích: Test việc hệ thống KHÔNG tạo cảnh báo khi ĐK4 (Tỷ lệ tăng (C − Avg(Di))/Avg(Di)) &lt; ngưỡng, các điều kiện khác vẫn thỏa mãn</t>
  </si>
  <si>
    <t>SCAML03-02.2.2.01</t>
  </si>
  <si>
    <t>SCAML03-02.2.2.02</t>
  </si>
  <si>
    <t>SCAML03-02.2.2.03</t>
  </si>
  <si>
    <t>SCAML03-02.2.2.04</t>
  </si>
  <si>
    <t>SCAML03-02.2.2.05</t>
  </si>
  <si>
    <t>SCAML03-03.1.01</t>
  </si>
  <si>
    <t>Kịch bản AML-03 chạy theo tần suất 01 tháng, lookback 06 tháng. Hai lần chạy job liên tiếp có phần lookback TRÙNG nhau. Đối tượng test đã HIT và sinh event ở lần chạy job trước (dữ liệu thỏa ngưỡng HIT của AML-03). Ở lần chạy job liền sau: dữ liệu tổng hợp trong lookback VẪN THỎA NGƯỠNG HIT của AML-03, nhưng KHÔNG phát sinh thêm giao dịch mới so với lần chạy trước (chỉ còn các GD thuộc phần lookback trùng đã được đánh giá ở lần chạy trước).</t>
  </si>
  <si>
    <t>Phần lookback TRÙNG nhau giữa 2 lần chạy job liên tiếp = lookback − tần suất = 6−1 = 5 tháng. Lần chạy job liền sau chỉ sinh event mới nếu có giao dịch mới phát sinh ngoài phần lookback trùng; nếu không có giao dịch mới (dù dữ liệu vẫn thỏa ngưỡng) thì không sinh thêm event.</t>
  </si>
  <si>
    <t>SCAML03-03.1.02</t>
  </si>
  <si>
    <t>Kịch bản AML-03 chạy theo tần suất 01 tháng, lookback 06 tháng. Hai lần chạy job liên tiếp có phần lookback TRÙNG nhau. Đối tượng test đã HIT và sinh event ở lần chạy job trước (dữ liệu thỏa ngưỡng HIT của AML-03). Ở lần chạy job liền sau: có phát sinh thêm ít nhất 1 giao dịch mới ngoài phần lookback trùng, dữ liệu tổng hợp vẫn thỏa ngưỡng HIT của AML-03.</t>
  </si>
  <si>
    <t>AML-04 - Thay đổi đáng kể so với hoạt động đạt mức cao nhất trước đó</t>
  </si>
  <si>
    <t>KỊCH BẢN AML-04a - Chiều ghi Nợ - KHCN</t>
  </si>
  <si>
    <t>SCAML04-01.1.1.01</t>
  </si>
  <si>
    <t>Kịch bản AML-04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</si>
  <si>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Danh sách các tham số được thiết lập.</t>
  </si>
  <si>
    <t>Màn hình hiển thị đủ các tham số yêu cầu cài đặt cho Scenario "Thay đổi đáng kể so với hoạt động đạt mức cao nhất trước đó", bao gồm:
1. Frequency Period
2. Lookback Period
3. ĐK1 - Tuổi tài khoản: (ngày cuối tháng T-1 − ngày mở TK)
4. ĐK3 - Tổng giá trị GD ghi Nợ tháng T-1 (A)
5. ĐK4 - Tỷ lệ tăng (A − Bi max)/Bi max</t>
  </si>
  <si>
    <t>Quy tắc tách kịch bản: Tách thành 2 kịch bản theo chiều ghi Nợ, ghi Có. ĐK2 (độ lệch chuẩn): (S × 1,5) ≤ (A − Bi max) [chiều Có: ≤ (C − Di max)]; độ lệch chuẩn tối thiểu S=1,5 (có thể điều chỉnh).</t>
  </si>
  <si>
    <t>SCAML04-01.1.1.02</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</si>
  <si>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Frequency Period.</t>
  </si>
  <si>
    <t>SCAML04-01.1.1.03</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</si>
  <si>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Lookback Period.</t>
  </si>
  <si>
    <t>SCAML04-01.1.1.04</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</si>
  <si>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ĐK1 - Tuổi tài khoản: (ngày cuối tháng T-1 − ngày mở TK).</t>
  </si>
  <si>
    <t>SCAML04-01.1.1.05</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</si>
  <si>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ĐK3 - Tổng giá trị GD ghi Nợ tháng T-1 (A).</t>
  </si>
  <si>
    <t>SCAML04-01.1.1.06</t>
  </si>
  <si>
    <t>Mục đích: Kiểm tra giá trị ngưỡng ĐK4 (Tỷ lệ tăng (A − Bi max)/Bi max)</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</si>
  <si>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ĐK4 - Tỷ lệ tăng (A − Bi max)/Bi max.</t>
  </si>
  <si>
    <t>KỊCH BẢN AML-04b - Chiều ghi Nợ - KHTC</t>
  </si>
  <si>
    <t>SCAML04-01.1.2.01</t>
  </si>
  <si>
    <t>SCAML04-01.1.2.02</t>
  </si>
  <si>
    <t>SCAML04-01.1.2.03</t>
  </si>
  <si>
    <t>SCAML04-01.1.2.04</t>
  </si>
  <si>
    <t>SCAML04-01.1.2.05</t>
  </si>
  <si>
    <t>SCAML04-01.1.2.06</t>
  </si>
  <si>
    <t>KỊCH BẢN AML-04c - Chiều ghi Có - KHCN</t>
  </si>
  <si>
    <t>SCAML04-01.2.1.01</t>
  </si>
  <si>
    <t>Màn hình hiển thị đủ các tham số yêu cầu cài đặt cho Scenario "Thay đổi đáng kể so với hoạt động đạt mức cao nhất trước đó", bao gồm:
1. Frequency Period
2. Lookback Period
3. ĐK1 - Tuổi tài khoản: (ngày cuối tháng T-1 − ngày mở TK)
4. ĐK3 - Tổng giá trị GD ghi Có tháng T-1 (C)
5. ĐK4 - Tỷ lệ tăng (C − Di max)/Di max</t>
  </si>
  <si>
    <t>SCAML04-01.2.1.02</t>
  </si>
  <si>
    <t>SCAML04-01.2.1.03</t>
  </si>
  <si>
    <t>SCAML04-01.2.1.04</t>
  </si>
  <si>
    <t>SCAML04-01.2.1.05</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</si>
  <si>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ĐK3 - Tổng giá trị GD ghi Có tháng T-1 (C).</t>
  </si>
  <si>
    <t>SCAML04-01.2.1.06</t>
  </si>
  <si>
    <t>Mục đích: Kiểm tra giá trị ngưỡng ĐK4 (Tỷ lệ tăng (C − Di max)/Di max)</t>
  </si>
  <si>
    <t>1. NSD đăng nhập hệ thống AML \ Financial Services Anti Money Laundering \ Behavior Detection \ Administration.
2. NSD chọn tab Administration \ Alert Management Configuration \ Threshold Editor.
3. Tại mục Filter by: Chọn Scenario "Thay đổi đáng kể so với hoạt động đạt mức cao nhất trước đó".
4. Chọn "Do it".
5. Kiểm tra Giá trị thiết lập cho tham số ĐK4 - Tỷ lệ tăng (C − Di max)/Di max.</t>
  </si>
  <si>
    <t>KỊCH BẢN AML-04d - Chiều ghi Có - KHTC</t>
  </si>
  <si>
    <t>SCAML04-01.2.2.01</t>
  </si>
  <si>
    <t>SCAML04-01.2.2.02</t>
  </si>
  <si>
    <t>SCAML04-01.2.2.03</t>
  </si>
  <si>
    <t>SCAML04-01.2.2.04</t>
  </si>
  <si>
    <t>SCAML04-01.2.2.05</t>
  </si>
  <si>
    <t>SCAML04-01.2.2.06</t>
  </si>
  <si>
    <t>SCAML04-02.1.1.01</t>
  </si>
  <si>
    <t>Kịch bản AML-04 đã active trên SIT; threshold set đã cấu hình đúng; dữ liệu master khách hàng phân khúc KHCN đã sẵn sàng.</t>
  </si>
  <si>
    <t>SCAML04-02.1.1.02</t>
  </si>
  <si>
    <t>SCAML04-02.1.1.03</t>
  </si>
  <si>
    <t>SCAML04-02.1.1.04</t>
  </si>
  <si>
    <t>SCAML04-02.1.1.05</t>
  </si>
  <si>
    <t>Mục đích: Test việc hệ thống KHÔNG tạo cảnh báo khi ĐK4 (Tỷ lệ tăng (A − Bi max)/Bi max) &lt; ngưỡng, các điều kiện khác vẫn thỏa mãn</t>
  </si>
  <si>
    <t>SCAML04-02.1.2.01</t>
  </si>
  <si>
    <t>Kịch bản AML-04 đã active trên SIT; threshold set đã cấu hình đúng; dữ liệu master khách hàng phân khúc KHTC đã sẵn sàng.</t>
  </si>
  <si>
    <t>SCAML04-02.1.2.02</t>
  </si>
  <si>
    <t>SCAML04-02.1.2.03</t>
  </si>
  <si>
    <t>SCAML04-02.1.2.04</t>
  </si>
  <si>
    <t>SCAML04-02.1.2.05</t>
  </si>
  <si>
    <t>SCAML04-02.2.1.01</t>
  </si>
  <si>
    <t>SCAML04-02.2.1.02</t>
  </si>
  <si>
    <t>SCAML04-02.2.1.03</t>
  </si>
  <si>
    <t>SCAML04-02.2.1.04</t>
  </si>
  <si>
    <t>SCAML04-02.2.1.05</t>
  </si>
  <si>
    <t>Mục đích: Test việc hệ thống KHÔNG tạo cảnh báo khi ĐK4 (Tỷ lệ tăng (C − Di max)/Di max) &lt; ngưỡng, các điều kiện khác vẫn thỏa mãn</t>
  </si>
  <si>
    <t>SCAML04-02.2.2.01</t>
  </si>
  <si>
    <t>SCAML04-02.2.2.02</t>
  </si>
  <si>
    <t>SCAML04-02.2.2.03</t>
  </si>
  <si>
    <t>SCAML04-02.2.2.04</t>
  </si>
  <si>
    <t>SCAML04-02.2.2.05</t>
  </si>
  <si>
    <t>SCAML04-03.1.01</t>
  </si>
  <si>
    <t>Kịch bản AML-04 chạy theo tần suất 01 tháng, lookback 06 tháng. Hai lần chạy job liên tiếp có phần lookback TRÙNG nhau. Đối tượng test đã HIT và sinh event ở lần chạy job trước (dữ liệu thỏa ngưỡng HIT của AML-04). Ở lần chạy job liền sau: dữ liệu tổng hợp trong lookback VẪN THỎA NGƯỠNG HIT của AML-04, nhưng KHÔNG phát sinh thêm giao dịch mới so với lần chạy trước (chỉ còn các GD thuộc phần lookback trùng đã được đánh giá ở lần chạy trước).</t>
  </si>
  <si>
    <t>SCAML04-03.1.02</t>
  </si>
  <si>
    <t>Kịch bản AML-04 chạy theo tần suất 01 tháng, lookback 06 tháng. Hai lần chạy job liên tiếp có phần lookback TRÙNG nhau. Đối tượng test đã HIT và sinh event ở lần chạy job trước (dữ liệu thỏa ngưỡng HIT của AML-04). Ở lần chạy job liền sau: có phát sinh thêm ít nhất 1 giao dịch mới ngoài phần lookback trùng, dữ liệu tổng hợp vẫn thỏa ngưỡng HIT của AML-04.</t>
  </si>
  <si>
    <t>AML-05 - Sự dịch chuyển nhanh của dòng tiền</t>
  </si>
  <si>
    <t>KỊCH BẢN AML-05a - Khách hàng mới - KHCN &amp; SME</t>
  </si>
  <si>
    <t>SCAML05-01.1.1.01</t>
  </si>
  <si>
    <t>Kịch bản AML-05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</si>
  <si>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Danh sách các tham số được thiết lập.</t>
  </si>
  <si>
    <t>Màn hình hiển thị đủ các tham số yêu cầu cài đặt cho Scenario "Sự dịch chuyển nhanh của dòng tiền", bao gồm:
1. Frequency Period
2. Lookback Period
3. ĐK1 - Tuổi tài khoản: (ngày T-1 − ngày mở TK)
4. ĐK2 - Tổng giá trị GD ghi Có
5. ĐK3 - Số GD ghi Có
6. ĐK4 - Số GD ghi Nợ
7. ĐK5 - ABS((B−A)/A) giữa tổng Nợ (B) và tổng Có (A)</t>
  </si>
  <si>
    <t>Quy tắc tách kịch bản: Tách thành 02 kịch bản cho KH mới và KH hiện hữu. KH mới: tuổi TK ≤ 90 ngày. KH hiện hữu: tuổi TK &gt; 90 ngày (mô hình hóa ≥ 91 ngày).</t>
  </si>
  <si>
    <t>SCAML05-01.1.1.02</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</si>
  <si>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Frequency Period.</t>
  </si>
  <si>
    <t>SCAML05-01.1.1.03</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</si>
  <si>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Lookback Period.</t>
  </si>
  <si>
    <t>SCAML05-01.1.1.04</t>
  </si>
  <si>
    <t>Mục đích: Kiểm tra giá trị ngưỡng ĐK1 (Tuổi tài khoản: (ngày T-1 − ngày mở TK))</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</si>
  <si>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ĐK1 - Tuổi tài khoản: (ngày T-1 − ngày mở TK).</t>
  </si>
  <si>
    <t>Hệ thống hiển thị tham số tương ứng như sau:
Current value = 90 ngày</t>
  </si>
  <si>
    <t>SCAML05-01.1.1.05</t>
  </si>
  <si>
    <t>Mục đích: Kiểm tra giá trị ngưỡng ĐK2 (Tổng giá trị GD ghi Có)</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</si>
  <si>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ĐK2 - Tổng giá trị GD ghi Có.</t>
  </si>
  <si>
    <t>Hệ thống hiển thị tham số tương ứng như sau:
Current value = 700,000,000</t>
  </si>
  <si>
    <t>SCAML05-01.1.1.06</t>
  </si>
  <si>
    <t>Mục đích: Kiểm tra giá trị ngưỡng ĐK3 (Số GD ghi Có)</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</si>
  <si>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ĐK3 - Số GD ghi Có.</t>
  </si>
  <si>
    <t>Hệ thống hiển thị tham số tương ứng như sau:
Current value = 100</t>
  </si>
  <si>
    <t>SCAML05-01.1.1.07</t>
  </si>
  <si>
    <t>Mục đích: Kiểm tra giá trị ngưỡng ĐK4 (Số GD ghi Nợ)</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</si>
  <si>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ĐK4 - Số GD ghi Nợ.</t>
  </si>
  <si>
    <t>SCAML05-01.1.1.08</t>
  </si>
  <si>
    <t>Mục đích: Kiểm tra giá trị ngưỡng ĐK5 (ABS((B−A)/A) giữa tổng Nợ (B) và tổng Có (A))</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</si>
  <si>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ĐK5 - ABS((B−A)/A) giữa tổng Nợ (B) và tổng Có (A).</t>
  </si>
  <si>
    <t>Hệ thống hiển thị tham số tương ứng như sau:
Current value = 0.05 (5%)</t>
  </si>
  <si>
    <t>KỊCH BẢN AML-05b - Khách hàng mới - CIB</t>
  </si>
  <si>
    <t>SCAML05-01.1.2.01</t>
  </si>
  <si>
    <t>SCAML05-01.1.2.02</t>
  </si>
  <si>
    <t>SCAML05-01.1.2.03</t>
  </si>
  <si>
    <t>SCAML05-01.1.2.04</t>
  </si>
  <si>
    <t>SCAML05-01.1.2.05</t>
  </si>
  <si>
    <t>Hệ thống hiển thị tham số tương ứng như sau:
Current value = 10,000,000,000</t>
  </si>
  <si>
    <t>SCAML05-01.1.2.06</t>
  </si>
  <si>
    <t>SCAML05-01.1.2.07</t>
  </si>
  <si>
    <t>SCAML05-01.1.2.08</t>
  </si>
  <si>
    <t>KỊCH BẢN AML-05c - Khách hàng hiện hữu - KHCN &amp; SME</t>
  </si>
  <si>
    <t>SCAML05-01.2.1.01</t>
  </si>
  <si>
    <t>Màn hình hiển thị đủ các tham số yêu cầu cài đặt cho Scenario "Sự dịch chuyển nhanh của dòng tiền", bao gồm:
1. Frequency Period
2. Lookback Period
3. ĐK1 - Tuổi tài khoản: (ngày T-1 − ngày mở TK)
4. ĐK2 - Tổng giá trị GD ghi Có
5. ĐK3 - Số GD ghi Có
6. ĐK4 - Số GD ghi Nợ
7. ĐK5 - ABS((B−A)/A) giữa tổng Nợ (B) và tổng Có (A)
8. ĐK6 - Tổng ghi Có / Tổng số dư cuối của tất cả TKTT</t>
  </si>
  <si>
    <t>SCAML05-01.2.1.02</t>
  </si>
  <si>
    <t>SCAML05-01.2.1.03</t>
  </si>
  <si>
    <t>SCAML05-01.2.1.04</t>
  </si>
  <si>
    <t>Hệ thống hiển thị tham số tương ứng như sau:
Current value = 91 ngày</t>
  </si>
  <si>
    <t>SCAML05-01.2.1.05</t>
  </si>
  <si>
    <t>SCAML05-01.2.1.06</t>
  </si>
  <si>
    <t>Hệ thống hiển thị tham số tương ứng như sau:
Current value = 110</t>
  </si>
  <si>
    <t>SCAML05-01.2.1.07</t>
  </si>
  <si>
    <t>SCAML05-01.2.1.08</t>
  </si>
  <si>
    <t>Hệ thống hiển thị tham số tương ứng như sau:
Current value = 0.1 (10%)</t>
  </si>
  <si>
    <t>SCAML05-01.2.1.09</t>
  </si>
  <si>
    <t>Mục đích: Kiểm tra giá trị ngưỡng ĐK6 (Tổng ghi Có / Tổng số dư cuối của tất cả TKTT)</t>
  </si>
  <si>
    <t>1. NSD đăng nhập hệ thống AML \ Financial Services Anti Money Laundering \ Behavior Detection \ Administration.
2. NSD chọn tab Administration \ Alert Management Configuration \ Threshold Editor.
3. Tại mục Filter by: Chọn Scenario "Sự dịch chuyển nhanh của dòng tiền".
4. Chọn "Do it".
5. Kiểm tra Giá trị thiết lập cho tham số ĐK6 - Tổng ghi Có / Tổng số dư cuối của tất cả TKTT.</t>
  </si>
  <si>
    <t>KỊCH BẢN AML-05d - Khách hàng hiện hữu - CIB</t>
  </si>
  <si>
    <t>SCAML05-01.2.2.01</t>
  </si>
  <si>
    <t>SCAML05-01.2.2.02</t>
  </si>
  <si>
    <t>SCAML05-01.2.2.03</t>
  </si>
  <si>
    <t>SCAML05-01.2.2.04</t>
  </si>
  <si>
    <t>SCAML05-01.2.2.05</t>
  </si>
  <si>
    <t>SCAML05-01.2.2.06</t>
  </si>
  <si>
    <t>SCAML05-01.2.2.07</t>
  </si>
  <si>
    <t>SCAML05-01.2.2.08</t>
  </si>
  <si>
    <t>SCAML05-01.2.2.09</t>
  </si>
  <si>
    <t>SCAML05-02.1.1.01</t>
  </si>
  <si>
    <t>Kịch bản AML-05 đã active trên SIT; threshold set đã cấu hình đúng; dữ liệu master khách hàng phân khúc KHCN &amp; SME đã sẵn sàng.</t>
  </si>
  <si>
    <t>SCAML05-02.1.1.02</t>
  </si>
  <si>
    <t>SCAML05-02.1.1.03</t>
  </si>
  <si>
    <t>Mục đích: Test việc hệ thống KHÔNG tạo cảnh báo khi ĐK1 (Tuổi tài khoản: (ngày T-1 − ngày mở TK)) &gt; ngưỡng, các điều kiện khác vẫn thỏa mãn</t>
  </si>
  <si>
    <t>SCAML05-02.1.1.04</t>
  </si>
  <si>
    <t>Mục đích: Test việc hệ thống KHÔNG tạo cảnh báo khi ĐK2 (Tổng giá trị GD ghi Có) &lt; ngưỡng, các điều kiện khác vẫn thỏa mãn</t>
  </si>
  <si>
    <t>SCAML05-02.1.1.05</t>
  </si>
  <si>
    <t>Mục đích: Test việc hệ thống KHÔNG tạo cảnh báo khi ĐK3 (Số GD ghi Có) &lt; ngưỡng, các điều kiện khác vẫn thỏa mãn</t>
  </si>
  <si>
    <t>SCAML05-02.1.1.06</t>
  </si>
  <si>
    <t>Mục đích: Test việc hệ thống KHÔNG tạo cảnh báo khi ĐK4 (Số GD ghi Nợ) &lt; ngưỡng, các điều kiện khác vẫn thỏa mãn</t>
  </si>
  <si>
    <t>SCAML05-02.1.1.07</t>
  </si>
  <si>
    <t>Mục đích: Test việc hệ thống KHÔNG tạo cảnh báo khi ĐK5 (ABS((B−A)/A) giữa tổng Nợ (B) và tổng Có (A)) &gt; ngưỡng, các điều kiện khác vẫn thỏa mãn</t>
  </si>
  <si>
    <t>SCAML05-02.1.2.01</t>
  </si>
  <si>
    <t>Kịch bản AML-05 đã active trên SIT; threshold set đã cấu hình đúng; dữ liệu master khách hàng phân khúc CIB đã sẵn sàng.</t>
  </si>
  <si>
    <t>SCAML05-02.1.2.02</t>
  </si>
  <si>
    <t>SCAML05-02.1.2.03</t>
  </si>
  <si>
    <t>SCAML05-02.1.2.04</t>
  </si>
  <si>
    <t>SCAML05-02.1.2.05</t>
  </si>
  <si>
    <t>SCAML05-02.1.2.06</t>
  </si>
  <si>
    <t>SCAML05-02.1.2.07</t>
  </si>
  <si>
    <t>SCAML05-02.2.1.01</t>
  </si>
  <si>
    <t>SCAML05-02.2.1.02</t>
  </si>
  <si>
    <t>SCAML05-02.2.1.03</t>
  </si>
  <si>
    <t>Mục đích: Test việc hệ thống KHÔNG tạo cảnh báo khi ĐK1 (Tuổi tài khoản: (ngày T-1 − ngày mở TK)) &lt; ngưỡng, các điều kiện khác vẫn thỏa mãn</t>
  </si>
  <si>
    <t>SCAML05-02.2.1.04</t>
  </si>
  <si>
    <t>SCAML05-02.2.1.05</t>
  </si>
  <si>
    <t>SCAML05-02.2.1.06</t>
  </si>
  <si>
    <t>SCAML05-02.2.1.07</t>
  </si>
  <si>
    <t>SCAML05-02.2.1.08</t>
  </si>
  <si>
    <t>Mục đích: Test việc hệ thống KHÔNG tạo cảnh báo khi ĐK6 (Tổng ghi Có / Tổng số dư cuối của tất cả TKTT) &lt; ngưỡng, các điều kiện khác vẫn thỏa mãn</t>
  </si>
  <si>
    <t>SCAML05-02.2.2.01</t>
  </si>
  <si>
    <t>SCAML05-02.2.2.02</t>
  </si>
  <si>
    <t>SCAML05-02.2.2.03</t>
  </si>
  <si>
    <t>SCAML05-02.2.2.04</t>
  </si>
  <si>
    <t>SCAML05-02.2.2.05</t>
  </si>
  <si>
    <t>SCAML05-02.2.2.06</t>
  </si>
  <si>
    <t>SCAML05-02.2.2.07</t>
  </si>
  <si>
    <t>SCAML05-02.2.2.08</t>
  </si>
  <si>
    <t>SCAML05-03.1.01</t>
  </si>
  <si>
    <t>Kịch bản AML-05 chạy theo tần suất 7 ngày, lookback 14 ngày. Hai lần chạy job liên tiếp có phần lookback TRÙNG nhau. Đối tượng test đã HIT và sinh event ở lần chạy job trước (dữ liệu thỏa ngưỡng HIT của AML-05). Ở lần chạy job liền sau: dữ liệu tổng hợp trong lookback VẪN THỎA NGƯỠNG HIT của AML-05, nhưng KHÔNG phát sinh thêm giao dịch mới so với lần chạy trước (chỉ còn các GD thuộc phần lookback trùng đã được đánh giá ở lần chạy trước).</t>
  </si>
  <si>
    <t>SCAML05-03.1.02</t>
  </si>
  <si>
    <t>Kịch bản AML-05 chạy theo tần suất 7 ngày, lookback 14 ngày. Hai lần chạy job liên tiếp có phần lookback TRÙNG nhau. Đối tượng test đã HIT và sinh event ở lần chạy job trước (dữ liệu thỏa ngưỡng HIT của AML-05). Ở lần chạy job liền sau: có phát sinh thêm ít nhất 1 giao dịch mới ngoài phần lookback trùng, dữ liệu tổng hợp vẫn thỏa ngưỡng HIT của AML-05.</t>
  </si>
  <si>
    <t>AML-06 - Giao dịch trên tài khoản không hoạt động</t>
  </si>
  <si>
    <t>KỊCH BẢN AML-06a - Chiều ghi Nợ</t>
  </si>
  <si>
    <t>SCAML06-01.1.01</t>
  </si>
  <si>
    <t>Kịch bản AML-06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</si>
  <si>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"Giao dịch trên tài khoản không hoạt động".
4. Chọn "Do it".
5. Kiểm tra Danh sách các tham số được thiết lập.</t>
  </si>
  <si>
    <t>Màn hình hiển thị đủ các tham số yêu cầu cài đặt cho Scenario "Giao dịch trên tài khoản không hoạt động", bao gồm:
1. Frequency Period
2. Lookback Period
3. ĐK1 - Tổng số tiền ghi Nợ</t>
  </si>
  <si>
    <t>Quy tắc tách kịch bản: Tách thành 2 kịch bản nhỏ (ghi Nợ / ghi Có). Chỉ lấy TKTT VND không hoạt động 6 tháng; nếu KH không có TKTT VND thì lấy toàn bộ TKTT.</t>
  </si>
  <si>
    <t>SCAML06-01.1.02</t>
  </si>
  <si>
    <t>1. NSD đăng nhập hệ thống AML \ Financial Services Anti Money Laundering \ Behavior Detection \ Administration.
2. NSD chọn tab Administration \ Alert Management Configuration \ Threshold Editor.
3. Tại mục Filter by: Chọn Scenario "Giao dịch trên tài khoản không hoạt động".
4. Chọn "Do it".
5. Kiểm tra Giá trị thiết lập cho tham số Frequency Period.</t>
  </si>
  <si>
    <t>Hệ thống hiển thị tham số tương ứng như sau:
Current value = 1 ngày</t>
  </si>
  <si>
    <t>SCAML06-01.1.03</t>
  </si>
  <si>
    <t>1. NSD đăng nhập hệ thống AML \ Financial Services Anti Money Laundering \ Behavior Detection \ Administration.
2. NSD chọn tab Administration \ Alert Management Configuration \ Threshold Editor.
3. Tại mục Filter by: Chọn Scenario "Giao dịch trên tài khoản không hoạt động".
4. Chọn "Do it".
5. Kiểm tra Giá trị thiết lập cho tham số Lookback Period.</t>
  </si>
  <si>
    <t>SCAML06-01.1.04</t>
  </si>
  <si>
    <t>Mục đích: Kiểm tra giá trị ngưỡng ĐK1 (Tổng số tiền ghi Nợ)</t>
  </si>
  <si>
    <t>1. NSD đăng nhập hệ thống AML \ Financial Services Anti Money Laundering \ Behavior Detection \ Administration.
2. NSD chọn tab Administration \ Alert Management Configuration \ Threshold Editor.
3. Tại mục Filter by: Chọn Scenario "Giao dịch trên tài khoản không hoạt động".
4. Chọn "Do it".
5. Kiểm tra Giá trị thiết lập cho tham số ĐK1 - Tổng số tiền ghi Nợ.</t>
  </si>
  <si>
    <t>Hệ thống hiển thị tham số tương ứng như sau:
Current value = 400,000,000</t>
  </si>
  <si>
    <t>KỊCH BẢN AML-06b - Chiều ghi Có</t>
  </si>
  <si>
    <t>SCAML06-01.2.01</t>
  </si>
  <si>
    <t>Màn hình hiển thị đủ các tham số yêu cầu cài đặt cho Scenario "Giao dịch trên tài khoản không hoạt động", bao gồm:
1. Frequency Period
2. Lookback Period
3. ĐK1 - Tổng số tiền ghi Có</t>
  </si>
  <si>
    <t>SCAML06-01.2.02</t>
  </si>
  <si>
    <t>SCAML06-01.2.03</t>
  </si>
  <si>
    <t>SCAML06-01.2.04</t>
  </si>
  <si>
    <t>Mục đích: Kiểm tra giá trị ngưỡng ĐK1 (Tổng số tiền ghi Có)</t>
  </si>
  <si>
    <t>1. NSD đăng nhập hệ thống AML \ Financial Services Anti Money Laundering \ Behavior Detection \ Administration.
2. NSD chọn tab Administration \ Alert Management Configuration \ Threshold Editor.
3. Tại mục Filter by: Chọn Scenario "Giao dịch trên tài khoản không hoạt động".
4. Chọn "Do it".
5. Kiểm tra Giá trị thiết lập cho tham số ĐK1 - Tổng số tiền ghi Có.</t>
  </si>
  <si>
    <t>SCAML06-02.1.01</t>
  </si>
  <si>
    <t>Kịch bản AML-06 đã active trên SIT; threshold set đã cấu hình đúng; dữ liệu master khách hàng KHCN, KHTC (loại trừ KH có tiết kiệm/trái phiếu/CCTG và TKTT khác đang active) đã sẵn sàng.</t>
  </si>
  <si>
    <t>SCAML06-02.1.02</t>
  </si>
  <si>
    <t>SCAML06-02.1.03</t>
  </si>
  <si>
    <t>Mục đích: Test việc hệ thống KHÔNG tạo cảnh báo khi ĐK1 (Tổng số tiền ghi Nợ) &lt; ngưỡng, các điều kiện khác vẫn thỏa mãn</t>
  </si>
  <si>
    <t>SCAML06-02.2.01</t>
  </si>
  <si>
    <t>SCAML06-02.2.02</t>
  </si>
  <si>
    <t>SCAML06-02.2.03</t>
  </si>
  <si>
    <t>Mục đích: Test việc hệ thống KHÔNG tạo cảnh báo khi ĐK1 (Tổng số tiền ghi Có) &lt; ngưỡng, các điều kiện khác vẫn thỏa mãn</t>
  </si>
  <si>
    <t>SCAML06-03.1.01</t>
  </si>
  <si>
    <t>Kịch bản AML-06 chạy theo tần suất 1 ngày, lookback 7 ngày. Hai lần chạy job liên tiếp có phần lookback TRÙNG nhau. Đối tượng test đã HIT và sinh event ở lần chạy job trước (dữ liệu thỏa ngưỡng HIT của AML-06). Ở lần chạy job liền sau: dữ liệu tổng hợp trong lookback VẪN THỎA NGƯỠNG HIT của AML-06, nhưng KHÔNG phát sinh thêm giao dịch mới so với lần chạy trước (chỉ còn các GD thuộc phần lookback trùng đã được đánh giá ở lần chạy trước).</t>
  </si>
  <si>
    <t>Phần lookback TRÙNG nhau giữa 2 lần chạy job liên tiếp = lookback − tần suất = 7−1 = 6 ngày. Lần chạy job liền sau chỉ sinh event mới nếu có giao dịch mới phát sinh ngoài phần lookback trùng; nếu không có giao dịch mới (dù dữ liệu vẫn thỏa ngưỡng) thì không sinh thêm event.</t>
  </si>
  <si>
    <t>SCAML06-03.1.02</t>
  </si>
  <si>
    <t>Kịch bản AML-06 chạy theo tần suất 1 ngày, lookback 7 ngày. Hai lần chạy job liên tiếp có phần lookback TRÙNG nhau. Đối tượng test đã HIT và sinh event ở lần chạy job trước (dữ liệu thỏa ngưỡng HIT của AML-06). Ở lần chạy job liền sau: có phát sinh thêm ít nhất 1 giao dịch mới ngoài phần lookback trùng, dữ liệu tổng hợp vẫn thỏa ngưỡng HIT của AML-06.</t>
  </si>
  <si>
    <t>AML-07 - Mô hình Hub - Spoke</t>
  </si>
  <si>
    <t>KỊCH BẢN AML-07a - Chiều ghi Có - KHCN</t>
  </si>
  <si>
    <t>SCAML07-01.1.1.01</t>
  </si>
  <si>
    <t>Kịch bản AML-07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</si>
  <si>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Danh sách các tham số được thiết lập.</t>
  </si>
  <si>
    <t>Màn hình hiển thị đủ các tham số yêu cầu cài đặt cho Scenario "Mô hình Hub - Spoke", bao gồm:
1. Frequency Period
2. Lookback Period
3. ĐK1 - Số lượng đối tác đối ứng không trùng lặp
4. ĐK2 - Số lượng GD ghi Có
5. ĐK3 - Tổng giá trị GD ghi Có</t>
  </si>
  <si>
    <t>Quy tắc tách kịch bản: Tách thành 2 kịch bản theo chiều ghi Nợ, ghi Có.</t>
  </si>
  <si>
    <t>SCAML07-01.1.1.02</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</si>
  <si>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Frequency Period.</t>
  </si>
  <si>
    <t>Hệ thống hiển thị tham số tương ứng như sau:
Current value = Hàng tháng</t>
  </si>
  <si>
    <t>SCAML07-01.1.1.03</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</si>
  <si>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Lookback Period.</t>
  </si>
  <si>
    <t>Hệ thống hiển thị tham số tương ứng như sau:
Current value = Tháng liền trước</t>
  </si>
  <si>
    <t>SCAML07-01.1.1.04</t>
  </si>
  <si>
    <t>Mục đích: Kiểm tra giá trị ngưỡng ĐK1 (Số lượng đối tác đối ứng không trùng lặp)</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</si>
  <si>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ĐK1 - Số lượng đối tác đối ứng không trùng lặp.</t>
  </si>
  <si>
    <t>Hệ thống hiển thị tham số tương ứng như sau:
Current value = 25</t>
  </si>
  <si>
    <t>SCAML07-01.1.1.05</t>
  </si>
  <si>
    <t>Mục đích: Kiểm tra giá trị ngưỡng ĐK2 (Số lượng GD ghi Có)</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</si>
  <si>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ĐK2 - Số lượng GD ghi Có.</t>
  </si>
  <si>
    <t>Hệ thống hiển thị tham số tương ứng như sau:
Current value = 150</t>
  </si>
  <si>
    <t>SCAML07-01.1.1.06</t>
  </si>
  <si>
    <t>Mục đích: Kiểm tra giá trị ngưỡng ĐK3 (Tổng giá trị GD ghi Có)</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</si>
  <si>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ĐK3 - Tổng giá trị GD ghi Có.</t>
  </si>
  <si>
    <t>KỊCH BẢN AML-07b - Chiều ghi Có - KHTC</t>
  </si>
  <si>
    <t>SCAML07-01.1.2.01</t>
  </si>
  <si>
    <t>SCAML07-01.1.2.02</t>
  </si>
  <si>
    <t>SCAML07-01.1.2.03</t>
  </si>
  <si>
    <t>SCAML07-01.1.2.04</t>
  </si>
  <si>
    <t>SCAML07-01.1.2.05</t>
  </si>
  <si>
    <t>SCAML07-01.1.2.06</t>
  </si>
  <si>
    <t>KỊCH BẢN AML-07c - Chiều ghi Nợ - KHCN</t>
  </si>
  <si>
    <t>SCAML07-01.2.1.01</t>
  </si>
  <si>
    <t>Màn hình hiển thị đủ các tham số yêu cầu cài đặt cho Scenario "Mô hình Hub - Spoke", bao gồm:
1. Frequency Period
2. Lookback Period
3. ĐK1 - Số lượng đối tác đối ứng không trùng lặp
4. ĐK2 - Số lượng GD ghi Nợ
5. ĐK3 - Tổng giá trị GD ghi Nợ</t>
  </si>
  <si>
    <t>SCAML07-01.2.1.02</t>
  </si>
  <si>
    <t>SCAML07-01.2.1.03</t>
  </si>
  <si>
    <t>SCAML07-01.2.1.04</t>
  </si>
  <si>
    <t>SCAML07-01.2.1.05</t>
  </si>
  <si>
    <t>Mục đích: Kiểm tra giá trị ngưỡng ĐK2 (Số lượng GD ghi Nợ)</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</si>
  <si>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ĐK2 - Số lượng GD ghi Nợ.</t>
  </si>
  <si>
    <t>SCAML07-01.2.1.06</t>
  </si>
  <si>
    <t>Mục đích: Kiểm tra giá trị ngưỡng ĐK3 (Tổng giá trị GD ghi Nợ)</t>
  </si>
  <si>
    <t>1. NSD đăng nhập hệ thống AML \ Financial Services Anti Money Laundering \ Behavior Detection \ Administration.
2. NSD chọn tab Administration \ Alert Management Configuration \ Threshold Editor.
3. Tại mục Filter by: Chọn Scenario "Mô hình Hub - Spoke".
4. Chọn "Do it".
5. Kiểm tra Giá trị thiết lập cho tham số ĐK3 - Tổng giá trị GD ghi Nợ.</t>
  </si>
  <si>
    <t>KỊCH BẢN AML-07d - Chiều ghi Nợ - KHTC</t>
  </si>
  <si>
    <t>SCAML07-01.2.2.01</t>
  </si>
  <si>
    <t>SCAML07-01.2.2.02</t>
  </si>
  <si>
    <t>SCAML07-01.2.2.03</t>
  </si>
  <si>
    <t>SCAML07-01.2.2.04</t>
  </si>
  <si>
    <t>SCAML07-01.2.2.05</t>
  </si>
  <si>
    <t>SCAML07-01.2.2.06</t>
  </si>
  <si>
    <t>SCAML07-02.1.1.01</t>
  </si>
  <si>
    <t>Kịch bản AML-07 đã active trên SIT; threshold set đã cấu hình đúng; dữ liệu master khách hàng phân khúc KHCN đã sẵn sàng.</t>
  </si>
  <si>
    <t>SCAML07-02.1.1.02</t>
  </si>
  <si>
    <t>SCAML07-02.1.1.03</t>
  </si>
  <si>
    <t>Mục đích: Test việc hệ thống KHÔNG tạo cảnh báo khi ĐK1 (Số lượng đối tác đối ứng không trùng lặp) &lt; ngưỡng, các điều kiện khác vẫn thỏa mãn</t>
  </si>
  <si>
    <t>SCAML07-02.1.1.04</t>
  </si>
  <si>
    <t>Mục đích: Test việc hệ thống KHÔNG tạo cảnh báo khi ĐK2 (Số lượng GD ghi Có) &lt; ngưỡng, các điều kiện khác vẫn thỏa mãn</t>
  </si>
  <si>
    <t>SCAML07-02.1.1.05</t>
  </si>
  <si>
    <t>Mục đích: Test việc hệ thống KHÔNG tạo cảnh báo khi ĐK3 (Tổng giá trị GD ghi Có) &lt; ngưỡng, các điều kiện khác vẫn thỏa mãn</t>
  </si>
  <si>
    <t>SCAML07-02.1.2.01</t>
  </si>
  <si>
    <t>Kịch bản AML-07 đã active trên SIT; threshold set đã cấu hình đúng; dữ liệu master khách hàng phân khúc KHTC đã sẵn sàng.</t>
  </si>
  <si>
    <t>SCAML07-02.1.2.02</t>
  </si>
  <si>
    <t>SCAML07-02.1.2.03</t>
  </si>
  <si>
    <t>SCAML07-02.1.2.04</t>
  </si>
  <si>
    <t>SCAML07-02.1.2.05</t>
  </si>
  <si>
    <t>SCAML07-02.2.1.01</t>
  </si>
  <si>
    <t>SCAML07-02.2.1.02</t>
  </si>
  <si>
    <t>SCAML07-02.2.1.03</t>
  </si>
  <si>
    <t>SCAML07-02.2.1.04</t>
  </si>
  <si>
    <t>Mục đích: Test việc hệ thống KHÔNG tạo cảnh báo khi ĐK2 (Số lượng GD ghi Nợ) &lt; ngưỡng, các điều kiện khác vẫn thỏa mãn</t>
  </si>
  <si>
    <t>SCAML07-02.2.1.05</t>
  </si>
  <si>
    <t>Mục đích: Test việc hệ thống KHÔNG tạo cảnh báo khi ĐK3 (Tổng giá trị GD ghi Nợ) &lt; ngưỡng, các điều kiện khác vẫn thỏa mãn</t>
  </si>
  <si>
    <t>SCAML07-02.2.2.01</t>
  </si>
  <si>
    <t>SCAML07-02.2.2.02</t>
  </si>
  <si>
    <t>SCAML07-02.2.2.03</t>
  </si>
  <si>
    <t>SCAML07-02.2.2.04</t>
  </si>
  <si>
    <t>SCAML07-02.2.2.05</t>
  </si>
  <si>
    <t>AML-08 - Giao dịch có IP nước ngoài</t>
  </si>
  <si>
    <t>SCAML08-01.1.01</t>
  </si>
  <si>
    <t>Kịch bản AML-08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</si>
  <si>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Danh sách các tham số được thiết lập.</t>
  </si>
  <si>
    <t>Màn hình hiển thị đủ các tham số yêu cầu cài đặt cho Scenario "Giao dịch có IP nước ngoài", bao gồm:
1. Frequency Period
2. Lookback Period
3. ĐK1 - Số lần đăng nhập có IP nước ngoài
4. ĐK2 - Tổng giá trị ghi Có
5. ĐK3 - Tổng giá trị ghi Có / Tổng giá trị ghi Nợ</t>
  </si>
  <si>
    <t>Quy tắc tách kịch bản: 1 kịch bản. Căn cứ Khoản 14, Điều 28, Luật PCRT 2022. AML-08 và AML-09 đặt chạy cùng ngày.</t>
  </si>
  <si>
    <t>SCAML08-01.1.02</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</si>
  <si>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Giá trị thiết lập cho tham số Frequency Period.</t>
  </si>
  <si>
    <t>SCAML08-01.1.03</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</si>
  <si>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Giá trị thiết lập cho tham số Lookback Period.</t>
  </si>
  <si>
    <t>SCAML08-01.1.04</t>
  </si>
  <si>
    <t>Mục đích: Kiểm tra giá trị ngưỡng ĐK1 (Số lần đăng nhập có IP nước ngoài)</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</si>
  <si>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Giá trị thiết lập cho tham số ĐK1 - Số lần đăng nhập có IP nước ngoài.</t>
  </si>
  <si>
    <t>SCAML08-01.1.05</t>
  </si>
  <si>
    <t>Mục đích: Kiểm tra giá trị ngưỡng ĐK2 (Tổng giá trị ghi Có)</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</si>
  <si>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Giá trị thiết lập cho tham số ĐK2 - Tổng giá trị ghi Có.</t>
  </si>
  <si>
    <t>SCAML08-01.1.06</t>
  </si>
  <si>
    <t>Mục đích: Kiểm tra giá trị ngưỡng ĐK3 (Tổng giá trị ghi Có / Tổng giá trị ghi Nợ)</t>
  </si>
  <si>
    <t>1. NSD đăng nhập hệ thống AML \ Financial Services Anti Money Laundering \ Behavior Detection \ Administration.
2. NSD chọn tab Administration \ Alert Management Configuration \ Threshold Editor.
3. Tại mục Filter by: Chọn Scenario "Giao dịch có IP nước ngoài".
4. Chọn "Do it".
5. Kiểm tra Giá trị thiết lập cho tham số ĐK3 - Tổng giá trị ghi Có / Tổng giá trị ghi Nợ.</t>
  </si>
  <si>
    <t>Hệ thống hiển thị tham số tương ứng như sau:
Current value = 0.95 (95%)</t>
  </si>
  <si>
    <t>SCAML08-02.1.01</t>
  </si>
  <si>
    <t>Kịch bản AML-08 đã active trên SIT; threshold set đã cấu hình đúng; dữ liệu master khách hàng KHCN, KHTC đã sẵn sàng.</t>
  </si>
  <si>
    <t>SCAML08-02.1.02</t>
  </si>
  <si>
    <t>SCAML08-02.1.03</t>
  </si>
  <si>
    <t>Mục đích: Test việc hệ thống KHÔNG tạo cảnh báo khi ĐK1 (Số lần đăng nhập có IP nước ngoài) &lt; ngưỡng, các điều kiện khác vẫn thỏa mãn</t>
  </si>
  <si>
    <t>SCAML08-02.1.04</t>
  </si>
  <si>
    <t>Mục đích: Test việc hệ thống KHÔNG tạo cảnh báo khi ĐK2 (Tổng giá trị ghi Có) &lt; ngưỡng, các điều kiện khác vẫn thỏa mãn</t>
  </si>
  <si>
    <t>SCAML08-02.1.05</t>
  </si>
  <si>
    <t>Mục đích: Test việc hệ thống KHÔNG tạo cảnh báo khi ĐK3 (Tổng giá trị ghi Có / Tổng giá trị ghi Nợ) &lt; ngưỡng, các điều kiện khác vẫn thỏa mãn</t>
  </si>
  <si>
    <t>SCAML08-03.1.01</t>
  </si>
  <si>
    <t>Kịch bản AML-08 chạy theo tần suất 7 ngày, lookback 14 ngày. Hai lần chạy job liên tiếp có phần lookback TRÙNG nhau. Đối tượng test đã HIT và sinh event ở lần chạy job trước (dữ liệu thỏa ngưỡng HIT của AML-08). Ở lần chạy job liền sau: dữ liệu tổng hợp trong lookback VẪN THỎA NGƯỠNG HIT của AML-08, nhưng KHÔNG phát sinh thêm giao dịch mới so với lần chạy trước (chỉ còn các GD thuộc phần lookback trùng đã được đánh giá ở lần chạy trước).</t>
  </si>
  <si>
    <t>SCAML08-03.1.02</t>
  </si>
  <si>
    <t>Kịch bản AML-08 chạy theo tần suất 7 ngày, lookback 14 ngày. Hai lần chạy job liên tiếp có phần lookback TRÙNG nhau. Đối tượng test đã HIT và sinh event ở lần chạy job trước (dữ liệu thỏa ngưỡng HIT của AML-08). Ở lần chạy job liền sau: có phát sinh thêm ít nhất 1 giao dịch mới ngoài phần lookback trùng, dữ liệu tổng hợp vẫn thỏa ngưỡng HIT của AML-08.</t>
  </si>
  <si>
    <t>AML-09 - Giao dịch có cùng địa chỉ IP</t>
  </si>
  <si>
    <t>KỊCH BẢN AML-09a - Chiều ghi Có</t>
  </si>
  <si>
    <t>SCAML09-01.1.01</t>
  </si>
  <si>
    <t>Kịch bản AML-09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</si>
  <si>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Danh sách các tham số được thiết lập.</t>
  </si>
  <si>
    <t>Màn hình hiển thị đủ các tham số yêu cầu cài đặt cho Scenario "Giao dịch có cùng địa chỉ IP", bao gồm:
1. Frequency Period
2. Lookback Period
3. ĐK2 - Số GD phát sinh giữa 2 KH cùng IP
4. ĐK3 - Tổng giá trị ghi Có
5. ĐK4 - Tổng giá trị ghi Có / Tổng giá trị ghi Nợ</t>
  </si>
  <si>
    <t>Quy tắc tách kịch bản: Tách thành 2 kịch bản nhỏ, theo chiều ghi Nợ, ghi Có. AML-08 và AML-09 đặt chạy cùng ngày.</t>
  </si>
  <si>
    <t>SCAML09-01.1.02</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</si>
  <si>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Frequency Period.</t>
  </si>
  <si>
    <t>SCAML09-01.1.03</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</si>
  <si>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Lookback Period.</t>
  </si>
  <si>
    <t>SCAML09-01.1.04</t>
  </si>
  <si>
    <t>Mục đích: Kiểm tra giá trị ngưỡng ĐK2 (Số GD phát sinh giữa 2 KH cùng IP)</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</si>
  <si>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ĐK2 - Số GD phát sinh giữa 2 KH cùng IP.</t>
  </si>
  <si>
    <t>SCAML09-01.1.05</t>
  </si>
  <si>
    <t>Mục đích: Kiểm tra giá trị ngưỡng ĐK3 (Tổng giá trị ghi Có)</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</si>
  <si>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ĐK3 - Tổng giá trị ghi Có.</t>
  </si>
  <si>
    <t>Hệ thống hiển thị tham số tương ứng như sau:
Current value = 500,000,000</t>
  </si>
  <si>
    <t>SCAML09-01.1.06</t>
  </si>
  <si>
    <t>Mục đích: Kiểm tra giá trị ngưỡng ĐK4 (Tổng giá trị ghi Có / Tổng giá trị ghi Nợ)</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</si>
  <si>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ĐK4 - Tổng giá trị ghi Có / Tổng giá trị ghi Nợ.</t>
  </si>
  <si>
    <t>KỊCH BẢN AML-09b - Chiều ghi Nợ</t>
  </si>
  <si>
    <t>SCAML09-01.2.01</t>
  </si>
  <si>
    <t>Màn hình hiển thị đủ các tham số yêu cầu cài đặt cho Scenario "Giao dịch có cùng địa chỉ IP", bao gồm:
1. Frequency Period
2. Lookback Period
3. ĐK2 - Số GD phát sinh giữa 2 KH cùng IP
4. ĐK3 - Tổng giá trị ghi Nợ
5. ĐK4 - Tổng giá trị ghi Có / Tổng giá trị ghi Nợ</t>
  </si>
  <si>
    <t>SCAML09-01.2.02</t>
  </si>
  <si>
    <t>SCAML09-01.2.03</t>
  </si>
  <si>
    <t>SCAML09-01.2.04</t>
  </si>
  <si>
    <t>SCAML09-01.2.05</t>
  </si>
  <si>
    <t>Mục đích: Kiểm tra giá trị ngưỡng ĐK3 (Tổng giá trị ghi Nợ)</t>
  </si>
  <si>
    <t>1. NSD đăng nhập hệ thống AML \ Financial Services Anti Money Laundering \ Behavior Detection \ Administration.
2. NSD chọn tab Administration \ Alert Management Configuration \ Threshold Editor.
3. Tại mục Filter by: Chọn Scenario "Giao dịch có cùng địa chỉ IP".
4. Chọn "Do it".
5. Kiểm tra Giá trị thiết lập cho tham số ĐK3 - Tổng giá trị ghi Nợ.</t>
  </si>
  <si>
    <t>SCAML09-01.2.06</t>
  </si>
  <si>
    <t>SCAML09-02.1.01</t>
  </si>
  <si>
    <t>Kịch bản AML-09 đã active trên SIT; threshold set đã cấu hình đúng; dữ liệu master khách hàng KHCN, KHTC đã sẵn sàng.</t>
  </si>
  <si>
    <t>SCAML09-02.1.02</t>
  </si>
  <si>
    <t>SCAML09-02.1.03</t>
  </si>
  <si>
    <t>Mục đích: Test việc hệ thống KHÔNG tạo cảnh báo khi ĐK1 (KH gửi và KH nhận có cùng địa chỉ IP đăng nhập) không thỏa (khác IP), các điều kiện khác vẫn thỏa mãn</t>
  </si>
  <si>
    <t>SCAML09-02.1.04</t>
  </si>
  <si>
    <t>Mục đích: Test việc hệ thống KHÔNG tạo cảnh báo khi ĐK2 (Số GD phát sinh giữa 2 KH cùng IP) &lt; ngưỡng, các điều kiện khác vẫn thỏa mãn</t>
  </si>
  <si>
    <t>SCAML09-02.1.05</t>
  </si>
  <si>
    <t>Mục đích: Test việc hệ thống KHÔNG tạo cảnh báo khi ĐK3 (Tổng giá trị ghi Có) &lt; ngưỡng, các điều kiện khác vẫn thỏa mãn</t>
  </si>
  <si>
    <t>SCAML09-02.1.06</t>
  </si>
  <si>
    <t>Mục đích: Test việc hệ thống KHÔNG tạo cảnh báo khi ĐK4 (Tổng giá trị ghi Có / Tổng giá trị ghi Nợ) &lt; ngưỡng, các điều kiện khác vẫn thỏa mãn</t>
  </si>
  <si>
    <t>SCAML09-02.2.01</t>
  </si>
  <si>
    <t>SCAML09-02.2.02</t>
  </si>
  <si>
    <t>SCAML09-02.2.03</t>
  </si>
  <si>
    <t>SCAML09-02.2.04</t>
  </si>
  <si>
    <t>SCAML09-02.2.05</t>
  </si>
  <si>
    <t>Mục đích: Test việc hệ thống KHÔNG tạo cảnh báo khi ĐK3 (Tổng giá trị ghi Nợ) &lt; ngưỡng, các điều kiện khác vẫn thỏa mãn</t>
  </si>
  <si>
    <t>SCAML09-02.2.06</t>
  </si>
  <si>
    <t>SCAML09-03.1.01</t>
  </si>
  <si>
    <t>Kịch bản AML-09 chạy theo tần suất 7 ngày, lookback 14 ngày. Hai lần chạy job liên tiếp có phần lookback TRÙNG nhau. Đối tượng test đã HIT và sinh event ở lần chạy job trước (dữ liệu thỏa ngưỡng HIT của AML-09). Ở lần chạy job liền sau: dữ liệu tổng hợp trong lookback VẪN THỎA NGƯỠNG HIT của AML-09, nhưng KHÔNG phát sinh thêm giao dịch mới so với lần chạy trước (chỉ còn các GD thuộc phần lookback trùng đã được đánh giá ở lần chạy trước).</t>
  </si>
  <si>
    <t>SCAML09-03.1.02</t>
  </si>
  <si>
    <t>Kịch bản AML-09 chạy theo tần suất 7 ngày, lookback 14 ngày. Hai lần chạy job liên tiếp có phần lookback TRÙNG nhau. Đối tượng test đã HIT và sinh event ở lần chạy job trước (dữ liệu thỏa ngưỡng HIT của AML-09). Ở lần chạy job liền sau: có phát sinh thêm ít nhất 1 giao dịch mới ngoài phần lookback trùng, dữ liệu tổng hợp vẫn thỏa ngưỡng HIT của AML-09.</t>
  </si>
  <si>
    <t>AML-10 - Khách hàng cá nhân nhận tiền từ tổ chức nước ngoài</t>
  </si>
  <si>
    <t>SCAML10-01.1.01</t>
  </si>
  <si>
    <t>Kịch bản AML-10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</si>
  <si>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Danh sách các tham số được thiết lập.</t>
  </si>
  <si>
    <t>Màn hình hiển thị đủ các tham số yêu cầu cài đặt cho Scenario "Khách hàng cá nhân nhận tiền từ tổ chức nước ngoài", bao gồm:
1. Frequency Period
2. Lookback Period
3. ĐK1 - Số GD ghi Có từ Tổ chức nước ngoài
4. ĐK2 - Giá trị ghi Có của mỗi GD từ Tổ chức nước ngoài
5. ĐK3 - Tổng giá trị ghi Có / Tổng giá trị ghi Nợ</t>
  </si>
  <si>
    <t>Quy tắc tách kịch bản: 1 kịch bản. ĐK3 tính trên tất cả GD, không phân biệt KH đối ứng.</t>
  </si>
  <si>
    <t>SCAML10-01.1.02</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</si>
  <si>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Giá trị thiết lập cho tham số Frequency Period.</t>
  </si>
  <si>
    <t>SCAML10-01.1.03</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</si>
  <si>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Giá trị thiết lập cho tham số Lookback Period.</t>
  </si>
  <si>
    <t>SCAML10-01.1.04</t>
  </si>
  <si>
    <t>Mục đích: Kiểm tra giá trị ngưỡng ĐK1 (Số GD ghi Có từ Tổ chức nước ngoài)</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</si>
  <si>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Giá trị thiết lập cho tham số ĐK1 - Số GD ghi Có từ Tổ chức nước ngoài.</t>
  </si>
  <si>
    <t>SCAML10-01.1.05</t>
  </si>
  <si>
    <t>Mục đích: Kiểm tra giá trị ngưỡng ĐK2 (Giá trị ghi Có của mỗi GD từ Tổ chức nước ngoài)</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</si>
  <si>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Giá trị thiết lập cho tham số ĐK2 - Giá trị ghi Có của mỗi GD từ Tổ chức nước ngoài.</t>
  </si>
  <si>
    <t>SCAML10-01.1.06</t>
  </si>
  <si>
    <t>1. NSD đăng nhập hệ thống AML \ Financial Services Anti Money Laundering \ Behavior Detection \ Administration.
2. NSD chọn tab Administration \ Alert Management Configuration \ Threshold Editor.
3. Tại mục Filter by: Chọn Scenario "Khách hàng cá nhân nhận tiền từ tổ chức nước ngoài".
4. Chọn "Do it".
5. Kiểm tra Giá trị thiết lập cho tham số ĐK3 - Tổng giá trị ghi Có / Tổng giá trị ghi Nợ.</t>
  </si>
  <si>
    <t>SCAML10-02.1.01</t>
  </si>
  <si>
    <t>Kịch bản AML-10 đã active trên SIT; threshold set đã cấu hình đúng; dữ liệu master khách hàng Khách hàng cá nhân đã sẵn sàng.</t>
  </si>
  <si>
    <t>SCAML10-02.1.02</t>
  </si>
  <si>
    <t>SCAML10-02.1.03</t>
  </si>
  <si>
    <t>Mục đích: Test việc hệ thống KHÔNG tạo cảnh báo khi ĐK1 (Số GD ghi Có từ Tổ chức nước ngoài) &lt; ngưỡng - kéo theo ĐK2 cũng không thỏa mãn (đo trên cùng tập giao dịch), các điều kiện còn lại vẫn thỏa mãn</t>
  </si>
  <si>
    <t>SCAML10-02.1.04</t>
  </si>
  <si>
    <t>Mục đích: Test việc hệ thống KHÔNG tạo cảnh báo khi ĐK2 (Giá trị ghi Có của mỗi GD từ Tổ chức nước ngoài) &lt; ngưỡng, các điều kiện khác vẫn thỏa mãn</t>
  </si>
  <si>
    <t>SCAML10-02.1.05</t>
  </si>
  <si>
    <t>SCAML10-03.1.01</t>
  </si>
  <si>
    <t>Kịch bản AML-10 chạy theo tần suất 7 ngày, lookback 14 ngày. Hai lần chạy job liên tiếp có phần lookback TRÙNG nhau. Đối tượng test đã HIT và sinh event ở lần chạy job trước (dữ liệu thỏa ngưỡng HIT của AML-10). Ở lần chạy job liền sau: dữ liệu tổng hợp trong lookback VẪN THỎA NGƯỠNG HIT của AML-10, nhưng KHÔNG phát sinh thêm giao dịch mới so với lần chạy trước (chỉ còn các GD thuộc phần lookback trùng đã được đánh giá ở lần chạy trước).</t>
  </si>
  <si>
    <t>SCAML10-03.1.02</t>
  </si>
  <si>
    <t>Kịch bản AML-10 chạy theo tần suất 7 ngày, lookback 14 ngày. Hai lần chạy job liên tiếp có phần lookback TRÙNG nhau. Đối tượng test đã HIT và sinh event ở lần chạy job trước (dữ liệu thỏa ngưỡng HIT của AML-10). Ở lần chạy job liền sau: có phát sinh thêm ít nhất 1 giao dịch mới ngoài phần lookback trùng, dữ liệu tổng hợp vẫn thỏa ngưỡng HIT của AML-10.</t>
  </si>
  <si>
    <t>AML-11 - Cá nhân nước ngoài/tổ chức FDI chuyển tiền ra nước ngoài</t>
  </si>
  <si>
    <t>KỊCH BẢN AML-11a - KHCN</t>
  </si>
  <si>
    <t>SCAML11-01.1.01</t>
  </si>
  <si>
    <t>Kịch bản AML-11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</si>
  <si>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Danh sách các tham số được thiết lập.</t>
  </si>
  <si>
    <t>Màn hình hiển thị đủ các tham số yêu cầu cài đặt cho Scenario "Cá nhân nước ngoài/tổ chức FDI chuyển tiền ra nước ngoài", bao gồm:
1. Frequency Period
2. Lookback Period
3. ĐK1 - Tổng giá trị GD ghi Có từ nước ngoài
4. ĐK2 - Tổng giá trị GD ghi Nợ đến nước ngoài
5. ĐK3 - Tổng ghi Nợ ra NN / Tổng ghi Có từ NN</t>
  </si>
  <si>
    <t>Quy tắc tách kịch bản: 1 kịch bản.</t>
  </si>
  <si>
    <t>SCAML11-01.1.02</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</si>
  <si>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Giá trị thiết lập cho tham số Frequency Period.</t>
  </si>
  <si>
    <t>SCAML11-01.1.03</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</si>
  <si>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Giá trị thiết lập cho tham số Lookback Period.</t>
  </si>
  <si>
    <t>SCAML11-01.1.04</t>
  </si>
  <si>
    <t>Mục đích: Kiểm tra giá trị ngưỡng ĐK1 (Tổng giá trị GD ghi Có từ nước ngoài)</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</si>
  <si>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Giá trị thiết lập cho tham số ĐK1 - Tổng giá trị GD ghi Có từ nước ngoài.</t>
  </si>
  <si>
    <t>SCAML11-01.1.05</t>
  </si>
  <si>
    <t>Mục đích: Kiểm tra giá trị ngưỡng ĐK2 (Tổng giá trị GD ghi Nợ đến nước ngoài)</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</si>
  <si>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Giá trị thiết lập cho tham số ĐK2 - Tổng giá trị GD ghi Nợ đến nước ngoài.</t>
  </si>
  <si>
    <t>SCAML11-01.1.06</t>
  </si>
  <si>
    <t>Mục đích: Kiểm tra giá trị ngưỡng ĐK3 (Tổng ghi Nợ ra NN / Tổng ghi Có từ NN)</t>
  </si>
  <si>
    <t>1. NSD đăng nhập hệ thống AML \ Financial Services Anti Money Laundering \ Behavior Detection \ Administration.
2. NSD chọn tab Administration \ Alert Management Configuration \ Threshold Editor.
3. Tại mục Filter by: Chọn Scenario "Cá nhân nước ngoài/tổ chức FDI chuyển tiền ra nước ngoài".
4. Chọn "Do it".
5. Kiểm tra Giá trị thiết lập cho tham số ĐK3 - Tổng ghi Nợ ra NN / Tổng ghi Có từ NN.</t>
  </si>
  <si>
    <t>Hệ thống hiển thị tham số tương ứng như sau:
Current value = 0.7 (70%)</t>
  </si>
  <si>
    <t>KỊCH BẢN AML-11b - KHTC</t>
  </si>
  <si>
    <t>SCAML11-01.2.01</t>
  </si>
  <si>
    <t>SCAML11-01.2.02</t>
  </si>
  <si>
    <t>SCAML11-01.2.03</t>
  </si>
  <si>
    <t>SCAML11-01.2.04</t>
  </si>
  <si>
    <t>SCAML11-01.2.05</t>
  </si>
  <si>
    <t>SCAML11-01.2.06</t>
  </si>
  <si>
    <t>SCAML11-02.1.01</t>
  </si>
  <si>
    <t>Kịch bản AML-11 đã active trên SIT; threshold set đã cấu hình đúng; dữ liệu master khách hàng phân khúc KHCN đã sẵn sàng.</t>
  </si>
  <si>
    <t>SCAML11-02.1.02</t>
  </si>
  <si>
    <t>SCAML11-02.1.03</t>
  </si>
  <si>
    <t>Mục đích: Test việc hệ thống KHÔNG tạo cảnh báo khi ĐK1 (Tổng giá trị GD ghi Có từ nước ngoài) &lt; ngưỡng, các điều kiện khác vẫn thỏa mãn</t>
  </si>
  <si>
    <t>SCAML11-02.1.04</t>
  </si>
  <si>
    <t>Mục đích: Test việc hệ thống KHÔNG tạo cảnh báo khi ĐK2 (Tổng giá trị GD ghi Nợ đến nước ngoài) &lt; ngưỡng, các điều kiện khác vẫn thỏa mãn</t>
  </si>
  <si>
    <t>SCAML11-02.1.05</t>
  </si>
  <si>
    <t>Mục đích: Test việc hệ thống KHÔNG tạo cảnh báo khi ĐK3 (Tổng ghi Nợ ra NN / Tổng ghi Có từ NN) &lt; ngưỡng, các điều kiện khác vẫn thỏa mãn</t>
  </si>
  <si>
    <t>SCAML11-02.2.01</t>
  </si>
  <si>
    <t>Kịch bản AML-11 đã active trên SIT; threshold set đã cấu hình đúng; dữ liệu master khách hàng phân khúc KHTC đã sẵn sàng.</t>
  </si>
  <si>
    <t>SCAML11-02.2.02</t>
  </si>
  <si>
    <t>SCAML11-02.2.03</t>
  </si>
  <si>
    <t>SCAML11-02.2.04</t>
  </si>
  <si>
    <t>SCAML11-02.2.05</t>
  </si>
  <si>
    <t>SCAML11-03.1.01</t>
  </si>
  <si>
    <t>Kịch bản AML-11 chạy theo tần suất 7 ngày, lookback 14 ngày. Hai lần chạy job liên tiếp có phần lookback TRÙNG nhau. Đối tượng test đã HIT và sinh event ở lần chạy job trước (dữ liệu thỏa ngưỡng HIT của AML-11). Ở lần chạy job liền sau: dữ liệu tổng hợp trong lookback VẪN THỎA NGƯỠNG HIT của AML-11, nhưng KHÔNG phát sinh thêm giao dịch mới so với lần chạy trước (chỉ còn các GD thuộc phần lookback trùng đã được đánh giá ở lần chạy trước).</t>
  </si>
  <si>
    <t>SCAML11-03.1.02</t>
  </si>
  <si>
    <t>Kịch bản AML-11 chạy theo tần suất 7 ngày, lookback 14 ngày. Hai lần chạy job liên tiếp có phần lookback TRÙNG nhau. Đối tượng test đã HIT và sinh event ở lần chạy job trước (dữ liệu thỏa ngưỡng HIT của AML-11). Ở lần chạy job liền sau: có phát sinh thêm ít nhất 1 giao dịch mới ngoài phần lookback trùng, dữ liệu tổng hợp vẫn thỏa ngưỡng HIT của AML-11.</t>
  </si>
  <si>
    <t>AML-12 - KH tổ chức SSE/MSME/SME chuyển tiền quốc tế nhiều và liên tục</t>
  </si>
  <si>
    <t>KỊCH BẢN AML-12a - SSE &amp; MSME</t>
  </si>
  <si>
    <t>SCAML12-01.1.01</t>
  </si>
  <si>
    <t>Kịch bản AML-12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</si>
  <si>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Danh sách các tham số được thiết lập.</t>
  </si>
  <si>
    <t>Màn hình hiển thị đủ các tham số yêu cầu cài đặt cho Scenario "KH tổ chức SSE/MSME/SME chuyển tiền quốc tế nhiều và liên tục", bao gồm:
1. Frequency Period
2. Lookback Period
3. ĐK1 - Thời gian thành lập doanh nghiệp
4. ĐK2 - Tổng giá trị GD ghi Nợ đến nước ngoài
5. ĐK3 - Tổng số GD ghi Nợ đến nước ngoài</t>
  </si>
  <si>
    <t>SCAML12-01.1.02</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</si>
  <si>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Giá trị thiết lập cho tham số Frequency Period.</t>
  </si>
  <si>
    <t>SCAML12-01.1.03</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</si>
  <si>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Giá trị thiết lập cho tham số Lookback Period.</t>
  </si>
  <si>
    <t>SCAML12-01.1.04</t>
  </si>
  <si>
    <t>Mục đích: Kiểm tra giá trị ngưỡng ĐK1 (Thời gian thành lập doanh nghiệp)</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</si>
  <si>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Giá trị thiết lập cho tham số ĐK1 - Thời gian thành lập doanh nghiệp.</t>
  </si>
  <si>
    <t>Hệ thống hiển thị tham số tương ứng như sau:
Current value = 12</t>
  </si>
  <si>
    <t>SCAML12-01.1.05</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</si>
  <si>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Giá trị thiết lập cho tham số ĐK2 - Tổng giá trị GD ghi Nợ đến nước ngoài.</t>
  </si>
  <si>
    <t>SCAML12-01.1.06</t>
  </si>
  <si>
    <t>Mục đích: Kiểm tra giá trị ngưỡng ĐK3 (Tổng số GD ghi Nợ đến nước ngoài)</t>
  </si>
  <si>
    <t>1. NSD đăng nhập hệ thống AML \ Financial Services Anti Money Laundering \ Behavior Detection \ Administration.
2. NSD chọn tab Administration \ Alert Management Configuration \ Threshold Editor.
3. Tại mục Filter by: Chọn Scenario "KH tổ chức SSE/MSME/SME chuyển tiền quốc tế nhiều và liên tục".
4. Chọn "Do it".
5. Kiểm tra Giá trị thiết lập cho tham số ĐK3 - Tổng số GD ghi Nợ đến nước ngoài.</t>
  </si>
  <si>
    <t>Hệ thống hiển thị tham số tương ứng như sau:
Current value = 5</t>
  </si>
  <si>
    <t>KỊCH BẢN AML-12b - SME</t>
  </si>
  <si>
    <t>SCAML12-01.2.01</t>
  </si>
  <si>
    <t>SCAML12-01.2.02</t>
  </si>
  <si>
    <t>SCAML12-01.2.03</t>
  </si>
  <si>
    <t>SCAML12-01.2.04</t>
  </si>
  <si>
    <t>SCAML12-01.2.05</t>
  </si>
  <si>
    <t>Hệ thống hiển thị tham số tương ứng như sau:
Current value = 15,000,000,000</t>
  </si>
  <si>
    <t>SCAML12-01.2.06</t>
  </si>
  <si>
    <t>SCAML12-02.1.01</t>
  </si>
  <si>
    <t>Kịch bản AML-12 đã active trên SIT; threshold set đã cấu hình đúng; dữ liệu master khách hàng phân khúc SSE &amp; MSME đã sẵn sàng.</t>
  </si>
  <si>
    <t>SCAML12-02.1.02</t>
  </si>
  <si>
    <t>SCAML12-02.1.03</t>
  </si>
  <si>
    <t>Mục đích: Test việc hệ thống KHÔNG tạo cảnh báo khi ĐK1 (Thời gian thành lập doanh nghiệp) &gt; ngưỡng, các điều kiện khác vẫn thỏa mãn</t>
  </si>
  <si>
    <t>SCAML12-02.1.04</t>
  </si>
  <si>
    <t>SCAML12-02.1.05</t>
  </si>
  <si>
    <t>Mục đích: Test việc hệ thống KHÔNG tạo cảnh báo khi ĐK3 (Tổng số GD ghi Nợ đến nước ngoài) &lt; ngưỡng, các điều kiện khác vẫn thỏa mãn</t>
  </si>
  <si>
    <t>SCAML12-02.2.01</t>
  </si>
  <si>
    <t>Kịch bản AML-12 đã active trên SIT; threshold set đã cấu hình đúng; dữ liệu master khách hàng phân khúc SME đã sẵn sàng.</t>
  </si>
  <si>
    <t>SCAML12-02.2.02</t>
  </si>
  <si>
    <t>SCAML12-02.2.03</t>
  </si>
  <si>
    <t>SCAML12-02.2.04</t>
  </si>
  <si>
    <t>SCAML12-02.2.05</t>
  </si>
  <si>
    <t>SCAML12-03.1.01</t>
  </si>
  <si>
    <t>Kịch bản AML-12 chạy theo tần suất 7 ngày, lookback 14 ngày. Hai lần chạy job liên tiếp có phần lookback TRÙNG nhau. Đối tượng test đã HIT và sinh event ở lần chạy job trước (dữ liệu thỏa ngưỡng HIT của AML-12). Ở lần chạy job liền sau: dữ liệu tổng hợp trong lookback VẪN THỎA NGƯỠNG HIT của AML-12, nhưng KHÔNG phát sinh thêm giao dịch mới so với lần chạy trước (chỉ còn các GD thuộc phần lookback trùng đã được đánh giá ở lần chạy trước).</t>
  </si>
  <si>
    <t>SCAML12-03.1.02</t>
  </si>
  <si>
    <t>Kịch bản AML-12 chạy theo tần suất 7 ngày, lookback 14 ngày. Hai lần chạy job liên tiếp có phần lookback TRÙNG nhau. Đối tượng test đã HIT và sinh event ở lần chạy job trước (dữ liệu thỏa ngưỡng HIT của AML-12). Ở lần chạy job liền sau: có phát sinh thêm ít nhất 1 giao dịch mới ngoài phần lookback trùng, dữ liệu tổng hợp vẫn thỏa ngưỡng HIT của AML-12.</t>
  </si>
  <si>
    <t>AML-13 - KH chuyển tiền quốc tế nhiều - CN (AFF/MAFF/Hộ KD) và MC (SMC/LMC)</t>
  </si>
  <si>
    <t>KỊCH BẢN AML-13a - KHCN</t>
  </si>
  <si>
    <t>SCAML13-01.1.01</t>
  </si>
  <si>
    <t>Kịch bản AML-13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</si>
  <si>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"KH chuyển tiền quốc tế nhiều - CN (AFF/MAFF/Hộ KD) và MC (SMC/LMC)".
4. Chọn "Do it".
5. Kiểm tra Danh sách các tham số được thiết lập.</t>
  </si>
  <si>
    <t>Màn hình hiển thị đủ các tham số yêu cầu cài đặt cho Scenario "KH chuyển tiền quốc tế nhiều - CN (AFF/MAFF/Hộ KD) và MC (SMC/LMC)", bao gồm:
1. Frequency Period
2. Lookback Period
3. ĐK1 - Tổng giá trị GD ghi Nợ đến nước ngoài
4. ĐK2 - Tổng số GD ghi Nợ đến nước ngoài</t>
  </si>
  <si>
    <t>SCAML13-01.1.02</t>
  </si>
  <si>
    <t>1. NSD đăng nhập hệ thống AML \ Financial Services Anti Money Laundering \ Behavior Detection \ Administration.
2. NSD chọn tab Administration \ Alert Management Configuration \ Threshold Editor.
3. Tại mục Filter by: Chọn Scenario "KH chuyển tiền quốc tế nhiều - CN (AFF/MAFF/Hộ KD) và MC (SMC/LMC)".
4. Chọn "Do it".
5. Kiểm tra Giá trị thiết lập cho tham số Frequency Period.</t>
  </si>
  <si>
    <t>SCAML13-01.1.03</t>
  </si>
  <si>
    <t>1. NSD đăng nhập hệ thống AML \ Financial Services Anti Money Laundering \ Behavior Detection \ Administration.
2. NSD chọn tab Administration \ Alert Management Configuration \ Threshold Editor.
3. Tại mục Filter by: Chọn Scenario "KH chuyển tiền quốc tế nhiều - CN (AFF/MAFF/Hộ KD) và MC (SMC/LMC)".
4. Chọn "Do it".
5. Kiểm tra Giá trị thiết lập cho tham số Lookback Period.</t>
  </si>
  <si>
    <t>SCAML13-01.1.04</t>
  </si>
  <si>
    <t>Mục đích: Kiểm tra giá trị ngưỡng ĐK1 (Tổng giá trị GD ghi Nợ đến nước ngoài)</t>
  </si>
  <si>
    <t>1. NSD đăng nhập hệ thống AML \ Financial Services Anti Money Laundering \ Behavior Detection \ Administration.
2. NSD chọn tab Administration \ Alert Management Configuration \ Threshold Editor.
3. Tại mục Filter by: Chọn Scenario "KH chuyển tiền quốc tế nhiều - CN (AFF/MAFF/Hộ KD) và MC (SMC/LMC)".
4. Chọn "Do it".
5. Kiểm tra Giá trị thiết lập cho tham số ĐK1 - Tổng giá trị GD ghi Nợ đến nước ngoài.</t>
  </si>
  <si>
    <t>Hệ thống hiển thị tham số tương ứng như sau:
Current value = 3,000,000,000</t>
  </si>
  <si>
    <t>SCAML13-01.1.05</t>
  </si>
  <si>
    <t>Mục đích: Kiểm tra giá trị ngưỡng ĐK2 (Tổng số GD ghi Nợ đến nước ngoài)</t>
  </si>
  <si>
    <t>1. NSD đăng nhập hệ thống AML \ Financial Services Anti Money Laundering \ Behavior Detection \ Administration.
2. NSD chọn tab Administration \ Alert Management Configuration \ Threshold Editor.
3. Tại mục Filter by: Chọn Scenario "KH chuyển tiền quốc tế nhiều - CN (AFF/MAFF/Hộ KD) và MC (SMC/LMC)".
4. Chọn "Do it".
5. Kiểm tra Giá trị thiết lập cho tham số ĐK2 - Tổng số GD ghi Nợ đến nước ngoài.</t>
  </si>
  <si>
    <t>KỊCH BẢN AML-13b - KH MC</t>
  </si>
  <si>
    <t>SCAML13-01.2.01</t>
  </si>
  <si>
    <t>SCAML13-01.2.02</t>
  </si>
  <si>
    <t>SCAML13-01.2.03</t>
  </si>
  <si>
    <t>SCAML13-01.2.04</t>
  </si>
  <si>
    <t>Hệ thống hiển thị tham số tương ứng như sau:
Current value = 30,000,000,000</t>
  </si>
  <si>
    <t>SCAML13-01.2.05</t>
  </si>
  <si>
    <t>SCAML13-02.1.01</t>
  </si>
  <si>
    <t>Kịch bản AML-13 đã active trên SIT; threshold set đã cấu hình đúng; dữ liệu master khách hàng phân khúc KHCN đã sẵn sàng.</t>
  </si>
  <si>
    <t>SCAML13-02.1.02</t>
  </si>
  <si>
    <t>SCAML13-02.1.03</t>
  </si>
  <si>
    <t>Mục đích: Test việc hệ thống KHÔNG tạo cảnh báo khi ĐK1 (Tổng giá trị GD ghi Nợ đến nước ngoài) &lt; ngưỡng, các điều kiện khác vẫn thỏa mãn</t>
  </si>
  <si>
    <t>SCAML13-02.1.04</t>
  </si>
  <si>
    <t>Mục đích: Test việc hệ thống KHÔNG tạo cảnh báo khi ĐK2 (Tổng số GD ghi Nợ đến nước ngoài) &lt; ngưỡng, các điều kiện khác vẫn thỏa mãn</t>
  </si>
  <si>
    <t>SCAML13-02.2.01</t>
  </si>
  <si>
    <t>Kịch bản AML-13 đã active trên SIT; threshold set đã cấu hình đúng; dữ liệu master khách hàng phân khúc KH MC đã sẵn sàng.</t>
  </si>
  <si>
    <t>SCAML13-02.2.02</t>
  </si>
  <si>
    <t>SCAML13-02.2.03</t>
  </si>
  <si>
    <t>SCAML13-02.2.04</t>
  </si>
  <si>
    <t>SCAML13-03.1.01</t>
  </si>
  <si>
    <t>Kịch bản AML-13 chạy theo tần suất 7 ngày, lookback 14 ngày. Hai lần chạy job liên tiếp có phần lookback TRÙNG nhau. Đối tượng test đã HIT và sinh event ở lần chạy job trước (dữ liệu thỏa ngưỡng HIT của AML-13). Ở lần chạy job liền sau: dữ liệu tổng hợp trong lookback VẪN THỎA NGƯỠNG HIT của AML-13, nhưng KHÔNG phát sinh thêm giao dịch mới so với lần chạy trước (chỉ còn các GD thuộc phần lookback trùng đã được đánh giá ở lần chạy trước).</t>
  </si>
  <si>
    <t>SCAML13-03.1.02</t>
  </si>
  <si>
    <t>Kịch bản AML-13 chạy theo tần suất 7 ngày, lookback 14 ngày. Hai lần chạy job liên tiếp có phần lookback TRÙNG nhau. Đối tượng test đã HIT và sinh event ở lần chạy job trước (dữ liệu thỏa ngưỡng HIT của AML-13). Ở lần chạy job liền sau: có phát sinh thêm ít nhất 1 giao dịch mới ngoài phần lookback trùng, dữ liệu tổng hợp vẫn thỏa ngưỡng HIT của AML-13.</t>
  </si>
  <si>
    <t>AML-14 - Nhiều nạp/rút ví điện tử - vòng quay nhanh</t>
  </si>
  <si>
    <t>SCAML14-01.1.01</t>
  </si>
  <si>
    <t>Kịch bản AML-14 đã được cài đặt trên môi trường SIT; user có quyền cấu hình.</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</si>
  <si>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Danh sách các tham số được thiết lập.</t>
  </si>
  <si>
    <t>Màn hình hiển thị đủ các tham số yêu cầu cài đặt cho Scenario "Nhiều nạp/rút ví điện tử - vòng quay nhanh", bao gồm:
1. Frequency Period
2. Lookback Period
3. ĐK1 - Tổng giá trị GD nạp/rút giữa TKTT và ví điện tử
4. ĐK2 - Tổng số GD nạp vào ví và rút khỏi ví
5. ĐK3 - Tổng số ví được nạp và rút tiền</t>
  </si>
  <si>
    <t>SCAML14-01.1.02</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</si>
  <si>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Giá trị thiết lập cho tham số Frequency Period.</t>
  </si>
  <si>
    <t>SCAML14-01.1.03</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</si>
  <si>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Giá trị thiết lập cho tham số Lookback Period.</t>
  </si>
  <si>
    <t>SCAML14-01.1.04</t>
  </si>
  <si>
    <t>Mục đích: Kiểm tra giá trị ngưỡng ĐK1 (Tổng giá trị GD nạp/rút giữa TKTT và ví điện tử)</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</si>
  <si>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Giá trị thiết lập cho tham số ĐK1 - Tổng giá trị GD nạp/rút giữa TKTT và ví điện tử.</t>
  </si>
  <si>
    <t>Hệ thống hiển thị tham số tương ứng như sau:
Current value = 200,000,000</t>
  </si>
  <si>
    <t>SCAML14-01.1.05</t>
  </si>
  <si>
    <t>Mục đích: Kiểm tra giá trị ngưỡng ĐK2 (Tổng số GD nạp vào ví và rút khỏi ví)</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</si>
  <si>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Giá trị thiết lập cho tham số ĐK2 - Tổng số GD nạp vào ví và rút khỏi ví.</t>
  </si>
  <si>
    <t>Hệ thống hiển thị tham số tương ứng như sau:
Current value = 20</t>
  </si>
  <si>
    <t>SCAML14-01.1.06</t>
  </si>
  <si>
    <t>Mục đích: Kiểm tra giá trị ngưỡng ĐK3 (Tổng số ví được nạp và rút tiền)</t>
  </si>
  <si>
    <t>1. NSD đăng nhập hệ thống AML \ Financial Services Anti Money Laundering \ Behavior Detection \ Administration.
2. NSD chọn tab Administration \ Alert Management Configuration \ Threshold Editor.
3. Tại mục Filter by: Chọn Scenario "Nhiều nạp/rút ví điện tử - vòng quay nhanh".
4. Chọn "Do it".
5. Kiểm tra Giá trị thiết lập cho tham số ĐK3 - Tổng số ví được nạp và rút tiền.</t>
  </si>
  <si>
    <t>SCAML14-02.1.01</t>
  </si>
  <si>
    <t>Kịch bản AML-14 đã active trên SIT; threshold set đã cấu hình đúng; dữ liệu master khách hàng KHCN, KHTC đã sẵn sàng.</t>
  </si>
  <si>
    <t>SCAML14-02.1.02</t>
  </si>
  <si>
    <t>SCAML14-02.1.03</t>
  </si>
  <si>
    <t>Mục đích: Test việc hệ thống KHÔNG tạo cảnh báo khi ĐK1 (Tổng giá trị GD nạp/rút giữa TKTT và ví điện tử) &lt; ngưỡng, các điều kiện khác vẫn thỏa mãn</t>
  </si>
  <si>
    <t>SCAML14-02.1.04</t>
  </si>
  <si>
    <t>Mục đích: Test việc hệ thống KHÔNG tạo cảnh báo khi ĐK2 (Tổng số GD nạp vào ví và rút khỏi ví) &lt; ngưỡng, các điều kiện khác vẫn thỏa mãn</t>
  </si>
  <si>
    <t>SCAML14-02.1.05</t>
  </si>
  <si>
    <t>Mục đích: Test việc hệ thống KHÔNG tạo cảnh báo khi ĐK3 (Tổng số ví được nạp và rút tiền) &lt; ngưỡng, các điều kiện khác vẫn thỏa mãn</t>
  </si>
  <si>
    <t>WHITELIST - Danh sách loại trừ theo kịch bản (BRD III.2)</t>
  </si>
  <si>
    <t>NHÓM 01 - KIỂM TRA QUẢN TRỊ WHITELIST</t>
  </si>
  <si>
    <t>WHITELIST - I. Tạo mới &amp; Upload</t>
  </si>
  <si>
    <t>SCWL-01.1.01</t>
  </si>
  <si>
    <t>Mục đích: Tạo mới 1 đối tượng whitelist (single) trên màn hình và phê duyệt 2 cấp</t>
  </si>
  <si>
    <t>Người dùng được phân quyền quản trị Whitelist (Analyst thao tác, Supervisor phê duyệt); màn hình Quản trị Whitelist khả dụng trên SIT; có kịch bản active (ví dụ AML-01).</t>
  </si>
  <si>
    <t>1. Analyst mở màn hình Quản trị Whitelist, chọn kịch bản (Application scenario) = AML-01
2. Nhập ID, ID Type, Status = Active, Reason Added (tùy chọn); Lưu và trình phê duyệt
3. Supervisor đăng nhập, rà soát và Phê duyệt bản ghi
4. Mở lại danh sách Whitelist của kịch bản AML-01 kiểm tra bản ghi</t>
  </si>
  <si>
    <t>Bản ghi được tạo trong Whitelist của AML-01. List Code tự sinh theo nguyên tắc 'Mã kịch bản + STT'. Effective date tự sinh = ngày Supervisor phê duyệt (DD/MM/YYYY). Status = Active.</t>
  </si>
  <si>
    <t>SCWL-01.1.02</t>
  </si>
  <si>
    <t>Mục đích: Tạo mới nhiều đối tượng cùng lúc (bulk) trên màn hình</t>
  </si>
  <si>
    <t>1. Analyst chọn thao tác với nhiều bản ghi, nhập danh sách đối tượng cho kịch bản AML-01
2. Lưu và trình phê duyệt; Supervisor phê duyệt
3. Kiểm tra tất cả bản ghi trong danh sách Whitelist</t>
  </si>
  <si>
    <t>Tất cả đối tượng được tạo, mỗi bản ghi có List Code riêng tự sinh; Effective date = ngày phê duyệt.</t>
  </si>
  <si>
    <t>SCWL-01.1.03</t>
  </si>
  <si>
    <t>Mục đích: Tạo mới bằng cách upload file Excel đúng định dạng</t>
  </si>
  <si>
    <t>1. Analyst chọn chức năng upload, tải file Excel (đúng định dạng hệ thống) chứa các đối tượng whitelist của AML-01
2. Lưu và trình phê duyệt; Supervisor phê duyệt
3. Kiểm tra các bản ghi được thêm vào Whitelist</t>
  </si>
  <si>
    <t>Hệ thống import thành công các đối tượng từ file Excel; mỗi bản ghi có List Code tự sinh.</t>
  </si>
  <si>
    <t>SCWL-01.1.04</t>
  </si>
  <si>
    <t>Mục đích: Tạo đối tượng với ID Type = Customer (ID = CIF)</t>
  </si>
  <si>
    <t>1. Analyst tạo bản ghi với ID Type = Customer, ID = CIF khách hàng, kịch bản AML-01; trình và phê duyệt</t>
  </si>
  <si>
    <t>Bản ghi được tạo, ID nhận giá trị CIF khách hàng đúng theo ID Type = Customer.</t>
  </si>
  <si>
    <t>SCWL-01.1.05</t>
  </si>
  <si>
    <t>Mục đích: Tạo đối tượng với ID Type = Account (ID = số tài khoản)</t>
  </si>
  <si>
    <t>1. Analyst tạo bản ghi với ID Type = Account, ID = số tài khoản, kịch bản AML-01; trình và phê duyệt</t>
  </si>
  <si>
    <t>Bản ghi được tạo, ID nhận giá trị số tài khoản đúng theo ID Type = Account.</t>
  </si>
  <si>
    <t>WHITELIST - II. Chỉnh sửa</t>
  </si>
  <si>
    <t>SCWL-01.2.01</t>
  </si>
  <si>
    <t>Mục đích: Sửa thông tin đối tượng trên màn hình (đổi Reason/Description/Comment) và phê duyệt</t>
  </si>
  <si>
    <t>Đã tồn tại bản ghi whitelist của kịch bản AML-01 để thao tác. Người dùng được phân quyền quản trị Whitelist (Analyst thao tác, Supervisor phê duyệt); màn hình Quản trị Whitelist khả dụng trên SIT; có kịch bản active (ví dụ AML-01).</t>
  </si>
  <si>
    <t>1. Analyst mở bản ghi whitelist đã tồn tại, sửa Reason Added/Description/Comment
2. Analyst thao tác trên màn hình Quản trị Whitelist rồi trình phê duyệt (Submit); Supervisor đăng nhập, rà soát và Phê duyệt
3. Kiểm tra thông tin sau khi phê duyệt</t>
  </si>
  <si>
    <t>Các trường được cập nhật; List Code và Key (ID, ID Type, Application scenario) không đổi.</t>
  </si>
  <si>
    <t>SCWL-01.2.02</t>
  </si>
  <si>
    <t>Mục đích: Upload Excel với bản ghi có Key GIỐNG bản ghi đã tồn tại -&gt; cập nhật (không tạo mới)</t>
  </si>
  <si>
    <t>Đã tồn tại bản ghi whitelist với Key (ID + ID Type + Application scenario) xác định. Người dùng được phân quyền quản trị Whitelist (Analyst thao tác, Supervisor phê duyệt); màn hình Quản trị Whitelist khả dụng trên SIT; có kịch bản active (ví dụ AML-01).</t>
  </si>
  <si>
    <t>1. Analyst upload file Excel chứa bản ghi có Key trùng bản ghi hiện có nhưng các trường khác thay đổi
2. Analyst thao tác trên màn hình Quản trị Whitelist rồi trình phê duyệt (Submit); Supervisor đăng nhập, rà soát và Phê duyệt
3. Kiểm tra danh sách whitelist</t>
  </si>
  <si>
    <t>Hệ thống KHÔNG tạo bản ghi mới; cập nhật các trường thông tin còn lại theo bản ghi mới import; giữ nguyên List Code cũ.</t>
  </si>
  <si>
    <t>SCWL-01.2.03</t>
  </si>
  <si>
    <t>Mục đích: Upload Excel với bản ghi có Key KHÁC -&gt; sinh bản ghi mới</t>
  </si>
  <si>
    <t>Đã tồn tại các bản ghi whitelist hiện hữu. Người dùng được phân quyền quản trị Whitelist (Analyst thao tác, Supervisor phê duyệt); màn hình Quản trị Whitelist khả dụng trên SIT; có kịch bản active (ví dụ AML-01).</t>
  </si>
  <si>
    <t>1. Analyst upload file Excel chứa bản ghi có trường Key khác các bản ghi hiện có
2. Analyst thao tác trên màn hình Quản trị Whitelist rồi trình phê duyệt (Submit); Supervisor đăng nhập, rà soát và Phê duyệt
3. Kiểm tra danh sách whitelist</t>
  </si>
  <si>
    <t>Hệ thống sinh bản ghi MỚI với List Code mới tự sinh.</t>
  </si>
  <si>
    <t>SCWL-01.2.04</t>
  </si>
  <si>
    <t>Mục đích: Chuyển Status Active &lt;-&gt; Deactivated</t>
  </si>
  <si>
    <t>1. Analyst đổi Status của bản ghi từ Active sang Deactivated (và ngược lại)
2. Analyst thao tác trên màn hình Quản trị Whitelist rồi trình phê duyệt (Submit); Supervisor đăng nhập, rà soát và Phê duyệt
3. Kiểm tra Status sau phê duyệt</t>
  </si>
  <si>
    <t>Status được cập nhật đúng; bản ghi Deactivated sẽ không được dùng để loại trừ khi quét.</t>
  </si>
  <si>
    <t>WHITELIST - III. Xóa</t>
  </si>
  <si>
    <t>SCWL-01.3.01</t>
  </si>
  <si>
    <t>Mục đích: Xóa 1 đối tượng whitelist (single) trên màn hình và phê duyệt</t>
  </si>
  <si>
    <t>1. Analyst chọn bản ghi, thực hiện Xóa
2. Analyst thao tác trên màn hình Quản trị Whitelist rồi trình phê duyệt (Submit); Supervisor đăng nhập, rà soát và Phê duyệt
3. Kiểm tra bản ghi đã bị xóa khỏi danh sách</t>
  </si>
  <si>
    <t>Bản ghi bị xóa khỏi Whitelist sau khi được phê duyệt.</t>
  </si>
  <si>
    <t>SCWL-01.3.02</t>
  </si>
  <si>
    <t>Mục đích: Xóa nhiều đối tượng cùng lúc (bulk)</t>
  </si>
  <si>
    <t>Đã tồn tại nhiều bản ghi whitelist. Người dùng được phân quyền quản trị Whitelist (Analyst thao tác, Supervisor phê duyệt); màn hình Quản trị Whitelist khả dụng trên SIT; có kịch bản active (ví dụ AML-01).</t>
  </si>
  <si>
    <t>1. Analyst chọn nhiều bản ghi, thực hiện Xóa
2. Analyst thao tác trên màn hình Quản trị Whitelist rồi trình phê duyệt (Submit); Supervisor đăng nhập, rà soát và Phê duyệt
3. Kiểm tra danh sách</t>
  </si>
  <si>
    <t>Tất cả bản ghi được chọn bị xóa sau khi phê duyệt.</t>
  </si>
  <si>
    <t>SCWL-01.3.03</t>
  </si>
  <si>
    <t>Mục đích: List Code bền vững - xóa bản ghi rồi thêm lại vẫn gắn List Code sinh lần đầu</t>
  </si>
  <si>
    <t>Đã tồn tại 1 bản ghi whitelist và đã ghi nhận List Code của bản ghi đó. Người dùng được phân quyền quản trị Whitelist (Analyst thao tác, Supervisor phê duyệt); màn hình Quản trị Whitelist khả dụng trên SIT; có kịch bản active (ví dụ AML-01).</t>
  </si>
  <si>
    <t>1. Ghi nhận List Code của bản ghi; Xóa bản ghi và phê duyệt
2. Thêm lại đúng đối tượng đó (cùng Key) vào whitelist; phê duyệt
3. So sánh List Code bản ghi thêm lại với List Code ban đầu</t>
  </si>
  <si>
    <t>Bản ghi thêm lại vẫn gắn với List Code đã sinh lần đầu (không sinh List Code mới).</t>
  </si>
  <si>
    <t>BRD: List code tự sinh gắn duy nhất với 1 bản ghi kể cả khi xóa rồi thêm lại.</t>
  </si>
  <si>
    <t>WHITELIST - IV. Ràng buộc trường &amp; Trùng lặp</t>
  </si>
  <si>
    <t>SCWL-01.4.01</t>
  </si>
  <si>
    <t>Mục đích: Thiếu trường bắt buộc khi tạo trên màn hình -&gt; báo lỗi, không lưu</t>
  </si>
  <si>
    <t>1. Analyst tạo bản ghi nhưng bỏ trống 1 trong các trường bắt buộc (ID / ID Type / Application scenario / Status)
2. Nhấn Lưu</t>
  </si>
  <si>
    <t>Hệ thống báo lỗi trường bắt buộc; bản ghi KHÔNG được lưu/không trình phê duyệt được.</t>
  </si>
  <si>
    <t>SCWL-01.4.02</t>
  </si>
  <si>
    <t>Mục đích: Upload Excel thiếu trường bắt buộc -&gt; từ chối TOÀN BỘ file</t>
  </si>
  <si>
    <t>1. Analyst upload file Excel trong đó có ít nhất 1 bản ghi thiếu trường bắt buộc</t>
  </si>
  <si>
    <t>Hệ thống thông báo lỗi; TOÀN BỘ file không được upload; yêu cầu upload lại file.</t>
  </si>
  <si>
    <t>BRD: khi không đủ thông tin trường bắt buộc, toàn bộ file không được upload.</t>
  </si>
  <si>
    <t>SCWL-01.4.03</t>
  </si>
  <si>
    <t>Mục đích: Kiểm tra độ dài các trường</t>
  </si>
  <si>
    <t>1. Nhập ID &gt; 50 ký tự / ID Type &gt; 50 / Application scenario &gt; 500 / Reason/Description/Comment &gt; 500</t>
  </si>
  <si>
    <t>Hệ thống chặn/không cho nhập vượt độ dài quy định (ID 50, ID Type 50, các trường free-text 500).</t>
  </si>
  <si>
    <t>SCWL-01.4.04</t>
  </si>
  <si>
    <t>Mục đích: Effective date không cho phép nhập tay, hệ thống tự sinh</t>
  </si>
  <si>
    <t>1. Analyst tạo/sửa bản ghi và thử nhập Effective date thủ công</t>
  </si>
  <si>
    <t>Trường Effective date không cho phép nhập; hệ thống tự sinh = ngày Supervisor phê duyệt, format DD/MM/YYYY.</t>
  </si>
  <si>
    <t>SCWL-01.4.05</t>
  </si>
  <si>
    <t>Mục đích: List Code tự sinh theo nguyên tắc 'Mã kịch bản + STT'</t>
  </si>
  <si>
    <t>1. Tạo lần lượt nhiều bản ghi whitelist cho cùng 1 kịch bản; quan sát List Code hệ thống sinh</t>
  </si>
  <si>
    <t>List Code tự sinh theo nguyên tắc Mã kịch bản + STT tự tăng; không cho người dùng nhập.</t>
  </si>
  <si>
    <t>SCWL-01.4.06</t>
  </si>
  <si>
    <t>Mục đích: Kiểm tra trùng lặp theo Key (ID + ID Type + Application scenario)</t>
  </si>
  <si>
    <t>Đã tồn tại 1 bản ghi whitelist với Key xác định. Người dùng được phân quyền quản trị Whitelist (Analyst thao tác, Supervisor phê duyệt); màn hình Quản trị Whitelist khả dụng trên SIT; có kịch bản active (ví dụ AML-01).</t>
  </si>
  <si>
    <t>1. Tạo/upload bản ghi có (ID + ID Type + Application scenario) trùng với bản ghi đã tồn tại</t>
  </si>
  <si>
    <t>Hệ thống nhận diện trùng theo Key và cập nhật bản ghi hiện có thay vì tạo mới.</t>
  </si>
  <si>
    <t>BRD nêu Key gồm: ID, ID Type, Application scenario (BRD ghi '02 trường' nhưng liệt kê 3 -&gt; cần xác nhận).</t>
  </si>
  <si>
    <t>V</t>
  </si>
  <si>
    <t>WHITELIST - V. Phê duyệt 2 cấp, thời điểm hiệu lực &amp; Thông báo</t>
  </si>
  <si>
    <t>SCWL-01.5.01</t>
  </si>
  <si>
    <t>Mục đích: Luồng 2 cấp - thay đổi chưa được Supervisor phê duyệt thì chưa có hiệu lực</t>
  </si>
  <si>
    <t>1. Analyst tạo/sửa/xóa bản ghi và Submit nhưng Supervisor CHƯA phê duyệt
2. Kiểm tra trạng thái bản ghi và hiệu lực loại trừ</t>
  </si>
  <si>
    <t>Thay đổi ở trạng thái chờ phê duyệt; CHƯA có hiệu lực để loại trừ khi quét.</t>
  </si>
  <si>
    <t>SCWL-01.5.02</t>
  </si>
  <si>
    <t>Mục đích: Thay đổi được phê duyệt TRƯỚC batch -&gt; có hiệu lực cho lần chạy đó</t>
  </si>
  <si>
    <t>Đối tượng KH/TK được thêm vào whitelist AML-01 (Status=Active) và Supervisor phê duyệt TRƯỚC thời điểm batch chạy; dữ liệu giao dịch của đối tượng thỏa mãn điều kiện HIT của AML-01.</t>
  </si>
  <si>
    <t>1. Chạy batch kịch bản AML-01 sau khi bản ghi whitelist đã được phê duyệt
2. Kiểm tra đối tượng có bị loại trừ (không tạo case) không</t>
  </si>
  <si>
    <t>Đối tượng được loại trừ ngay trong lần chạy batch kế tiếp (không tạo case).</t>
  </si>
  <si>
    <t>SCWL-01.5.03</t>
  </si>
  <si>
    <t>Mục đích: Thay đổi CHƯA phê duyệt trước batch -&gt; chưa áp dụng cho lần chạy đó</t>
  </si>
  <si>
    <t>Đối tượng KH/TK được thêm vào whitelist AML-01 nhưng CHƯA được phê duyệt trước khi batch chạy; dữ liệu giao dịch của đối tượng thỏa mãn điều kiện HIT của AML-01.</t>
  </si>
  <si>
    <t>1. Chạy batch kịch bản AML-01 khi bản ghi whitelist chưa được phê duyệt
2. Kiểm tra đối tượng</t>
  </si>
  <si>
    <t>Đối tượng CHƯA được loại trừ trong lần chạy đó (vẫn bị quét như bình thường).</t>
  </si>
  <si>
    <t>SCWL-01.5.04</t>
  </si>
  <si>
    <t>Mục đích: Gửi email EM-10 sau khi upload/xóa với thông tin so sánh số lượng</t>
  </si>
  <si>
    <t>Đã có danh sách whitelist hiện hữu (ghi nhận số lượng bản ghi trước thay đổi). Người dùng được phân quyền quản trị Whitelist (Analyst thao tác, Supervisor phê duyệt); màn hình Quản trị Whitelist khả dụng trên SIT; có kịch bản active (ví dụ AML-01).</t>
  </si>
  <si>
    <t>1. Thực hiện upload thêm mới hoặc xóa bản ghi whitelist
2. Chờ hệ thống chạy tổng hợp theo tần suất MSB cập nhật
3. Kiểm tra email thông báo theo mẫu EM-10</t>
  </si>
  <si>
    <t>Hệ thống gửi email EM-10 kèm: số bản ghi trước thay đổi, sau thay đổi, và số bản ghi thay đổi (thêm mới khi upload / xóa khi xóa trên màn hình).</t>
  </si>
  <si>
    <t>NHÓM 02 - KIỂM TRA HIỆU LỰC WHITELIST KHI CHẠY KỊCH BẢN</t>
  </si>
  <si>
    <t>SCWL-02.1.01</t>
  </si>
  <si>
    <t>Mục đích: Đối tượng (Customer/CIF) trong whitelist, Status=Active, thỏa ngưỡng -&gt; KHÔNG tạo cảnh báo</t>
  </si>
  <si>
    <t>Đối tượng KH (ID Type=Customer, ID=CIF) ĐÃ CÓ trong Whitelist của AML-01, Status=Active, đã được phê duyệt trước batch; dữ liệu giao dịch của KH này THỎA MÃN điều kiện HIT của AML-01 (nếu không nằm trong whitelist sẽ tạo cảnh báo).</t>
  </si>
  <si>
    <t>1. Đẩy dữ liệu giao dịch của đối tượng test vào hệ thống (dữ liệu đã thỏa ngưỡng HIT như tiền điều kiện)
2. Chạy batch kịch bản: Common Tasks \ Operations \ Batch Execution -&gt; Execute batch
3. Kiểm tra Batch Monitor (trạng thái Successful)
4. Vào Enterprise Case Management \ Search Cases, tìm theo Entity ID = Party ID đối tượng test
5. Kiểm tra hệ thống có tạo case/cảnh báo cho đối tượng hay không</t>
  </si>
  <si>
    <t>Batch chạy thành công - Successful. Hệ thống KHÔNG quét đối tượng nằm trong whitelist; KHÔNG tạo case/cảnh báo cho đối tượng dù dữ liệu thỏa ngưỡng.</t>
  </si>
  <si>
    <t>SCWL-02.1.02</t>
  </si>
  <si>
    <t>Mục đích: Đối tượng (Account) trong whitelist, Status=Active, thỏa ngưỡng -&gt; KHÔNG tạo cảnh báo</t>
  </si>
  <si>
    <t>Đối tượng TK (ID Type=Account, ID=số tài khoản) ĐÃ CÓ trong Whitelist của AML-01, Status=Active, đã phê duyệt trước batch; dữ liệu giao dịch trên tài khoản này THỎA MÃN điều kiện HIT của AML-01.</t>
  </si>
  <si>
    <t>Batch Successful. Hệ thống KHÔNG tạo case cho tài khoản nằm trong whitelist dù thỏa ngưỡng.</t>
  </si>
  <si>
    <t>SCWL-02.1.03</t>
  </si>
  <si>
    <t>Mục đích: Đối tượng trong whitelist nhưng Status=Deactivated -&gt; VẪN bị quét -&gt; tạo cảnh báo</t>
  </si>
  <si>
    <t>Đối tượng ĐÃ CÓ trong Whitelist của AML-01 nhưng Status=Deactivated (đã phê duyệt); dữ liệu giao dịch của đối tượng THỎA MÃN điều kiện HIT của AML-01.</t>
  </si>
  <si>
    <t>Batch Successful. Đối tượng Status=Deactivated KHÔNG có hiệu lực loại trừ -&gt; vẫn bị quét -&gt; CÓ tạo case/cảnh báo.</t>
  </si>
  <si>
    <t>SCWL-02.1.04</t>
  </si>
  <si>
    <t>Mục đích: Đối tượng đã bị xóa khỏi whitelist -&gt; bị quét trở lại -&gt; tạo cảnh báo</t>
  </si>
  <si>
    <t>Đối tượng TỪNG có trong Whitelist của AML-01 nhưng đã bị xóa (đã phê duyệt) trước batch; dữ liệu giao dịch của đối tượng THỎA MÃN điều kiện HIT của AML-01.</t>
  </si>
  <si>
    <t>Batch Successful. Đối tượng không còn trong whitelist -&gt; bị quét trở lại -&gt; CÓ tạo case/cảnh báo khi thỏa ngưỡng.</t>
  </si>
  <si>
    <t>SCWL-02.1.05</t>
  </si>
  <si>
    <t>Mục đích: Whitelist theo kịch bản - đối tượng trong whitelist AML-01 vẫn tạo cảnh báo ở kịch bản khác</t>
  </si>
  <si>
    <t>Đối tượng ĐÃ CÓ trong Whitelist của AML-01 (Status=Active, đã phê duyệt) nhưng KHÔNG có trong Whitelist của AML-02; dữ liệu giao dịch của đối tượng THỎA MÃN điều kiện HIT của AML-02.</t>
  </si>
  <si>
    <t>1. Đẩy dữ liệu giao dịch của đối tượng test (đã thỏa ngưỡng HIT của AML-02) vào hệ thống
2. Chạy batch kịch bản AML-02
3. Kiểm tra Batch Monitor (Successful)
4. Vào Enterprise Case Management \ Search Cases, tìm theo Entity ID = Party ID đối tượng test
5. Kiểm tra case của đối tượng ở kịch bản AML-02</t>
  </si>
  <si>
    <t>Batch Successful. Whitelist chỉ có hiệu lực với kịch bản tương ứng (AML-01) -&gt; đối tượng VẪN bị quét và CÓ tạo case ở kịch bản AML-02.</t>
  </si>
  <si>
    <t>BRD: mỗi whitelist tương ứng với một kịch bản.</t>
  </si>
  <si>
    <t>SCWL-02.1.06</t>
  </si>
  <si>
    <t>Mục đích: Đối tượng thêm vào whitelist nhưng CHƯA phê duyệt trước batch -&gt; vẫn bị quét -&gt; tạo cảnh báo</t>
  </si>
  <si>
    <t>Đối tượng được thêm vào Whitelist của AML-01 nhưng CHƯA được Supervisor phê duyệt trước thời điểm batch chạy; dữ liệu giao dịch của đối tượng THỎA MÃN điều kiện HIT của AML-01.</t>
  </si>
  <si>
    <t>Batch Successful. Thay đổi whitelist chưa phê duyệt trước batch -&gt; chưa có hiệu lực -&gt; đối tượng vẫn bị quét -&gt; CÓ tạo case/cảnh báo.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</si>
</sst>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409]d\-mmm\-yy;@"/>
    <numFmt numFmtId="166" formatCode="[$]@"/>
    <numFmt numFmtId="167" formatCode="[$-409]0"/>
    <numFmt numFmtId="168" formatCode="0.0"/>
    <numFmt numFmtId="169" formatCode="d\-mmm\-yy;@"/>
  </numFmts>
  <fonts count="45">
    <font>
      <sz val="11"/>
      <color theme="1"/>
      <name val="Calibri"/>
      <family val="2"/>
      <charset val="1"/>
    </font>
    <font>
      <sz val="10"/>
      <name val="Arial"/>
      <family val="2"/>
    </font>
    <font>
      <sz val="11"/>
      <color rgb="FF000000"/>
      <name val="Calibri"/>
      <family val="2"/>
      <charset val="1"/>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sz val="10"/>
      <color rgb="FF000000"/>
      <name val="Arial"/>
      <family val="2"/>
      <charset val="1"/>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b/>
      <sz val="10"/>
      <color rgb="FF000000"/>
      <name val="Arial"/>
      <family val="2"/>
      <charset val="1"/>
    </font>
    <font>
      <b/>
      <sz val="12"/>
      <color rgb="FFFF0000"/>
      <name val="Times New Roman"/>
      <family val="1"/>
    </font>
    <font>
      <i/>
      <sz val="12"/>
      <color rgb="FFFF0000"/>
      <name val="Times New Roman"/>
      <family val="1"/>
    </font>
    <font>
      <sz val="12"/>
      <color rgb="FF000000"/>
      <name val="Times New Roman"/>
      <family val="1"/>
    </font>
    <font>
      <b/>
      <sz val="11"/>
      <name val="Times New Roman"/>
      <family val="1"/>
      <charset val="1"/>
    </font>
    <font>
      <b/>
      <sz val="12"/>
      <color rgb="FF1F497D"/>
      <name val="Times New Roman"/>
      <family val="1"/>
      <charset val="1"/>
    </font>
    <font>
      <b/>
      <sz val="12"/>
      <name val="Times New Roman"/>
      <family val="1"/>
      <charset val="1"/>
    </font>
    <font>
      <b/>
      <sz val="11"/>
      <color rgb="FFC00000"/>
      <name val="Times New Roman"/>
      <family val="1"/>
      <charset val="1"/>
    </font>
    <font>
      <sz val="11"/>
      <name val="Times New Roman"/>
      <family val="1"/>
      <charset val="1"/>
    </font>
    <font>
      <b/>
      <sz val="10"/>
      <color rgb="FF1F497D"/>
      <name val="Arial"/>
      <family val="2"/>
    </font>
    <font>
      <sz val="11"/>
      <name val="Calibri"/>
      <family val="2"/>
      <charset val="1"/>
    </font>
    <font>
      <sz val="10"/>
      <color rgb="FFFF0000"/>
      <name val="Arial"/>
      <family val="2"/>
      <charset val="1"/>
    </font>
    <font>
      <sz val="11"/>
      <color rgb="FFFF0000"/>
      <name val="Calibri"/>
      <family val="2"/>
      <charset val="1"/>
    </font>
    <font>
      <b/>
      <sz val="10"/>
      <name val="Arial"/>
      <family val="2"/>
    </font>
  </fonts>
  <fills count="19">
    <fill>
      <patternFill patternType="none"/>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2F5597"/>
        <bgColor rgb="FF1F497D"/>
      </patternFill>
    </fill>
    <fill>
      <patternFill patternType="solid">
        <fgColor rgb="FFFDE9D9"/>
        <bgColor rgb="FFFFF2CC"/>
      </patternFill>
    </fill>
    <fill>
      <patternFill patternType="solid">
        <fgColor rgb="FF00B0F0"/>
        <bgColor rgb="FF008080"/>
      </patternFill>
    </fill>
    <fill>
      <patternFill patternType="solid">
        <fgColor rgb="FF92D050"/>
        <bgColor rgb="FFC4BD97"/>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
      <patternFill patternType="solid">
        <fgColor rgb="FFFFF2CC"/>
        <bgColor rgb="FFFDE9D9"/>
      </patternFill>
    </fill>
    <fill>
      <patternFill patternType="solid">
        <fgColor rgb="FFDDEBF7"/>
        <bgColor rgb="FFCCFFFF"/>
      </patternFill>
    </fill>
    <fill>
      <patternFill patternType="solid">
        <fgColor theme="2" tint="-0.249977111117893"/>
        <bgColor rgb="FFB0B0B0"/>
      </patternFill>
    </fill>
  </fills>
  <borders count="45">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79247413556324"/>
      </left>
      <right style="thin">
        <color theme="3" tint="0.39979247413556324"/>
      </right>
      <top style="thin">
        <color theme="3" tint="0.39979247413556324"/>
      </top>
      <bottom style="thin">
        <color theme="3" tint="0.39979247413556324"/>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bottom/>
      <diagonal/>
    </border>
    <border>
      <left style="thin">
        <color rgb="FFB0B0B0"/>
      </left>
      <right style="thin">
        <color rgb="FFB0B0B0"/>
      </right>
      <top style="thin">
        <color rgb="FFB0B0B0"/>
      </top>
      <bottom style="thin">
        <color rgb="FFB0B0B0"/>
      </bottom>
      <diagonal/>
    </border>
  </borders>
  <cellStyleXfs count="4">
    <xf numFmtId="0" fontId="0" fillId="0" borderId="0"/>
    <xf numFmtId="164" fontId="2" fillId="0" borderId="0"/>
    <xf numFmtId="164" fontId="2" fillId="0" borderId="0"/>
    <xf numFmtId="164" fontId="4" fillId="0" borderId="0"/>
  </cellStyleXfs>
  <cellXfs count="163">
    <xf numFmtId="0" fontId="0" fillId="0" borderId="0" xfId="0"/>
    <xf numFmtId="164" fontId="5" fillId="2" borderId="0" xfId="0" applyNumberFormat="1" applyFont="1" applyFill="1" applyAlignment="1">
      <alignment vertical="center"/>
    </xf>
    <xf numFmtId="164" fontId="6" fillId="2" borderId="0" xfId="0" applyNumberFormat="1" applyFont="1" applyFill="1"/>
    <xf numFmtId="164" fontId="8" fillId="3" borderId="3" xfId="0" applyNumberFormat="1" applyFont="1" applyFill="1" applyBorder="1" applyAlignment="1">
      <alignment shrinkToFit="1"/>
    </xf>
    <xf numFmtId="164" fontId="8" fillId="3" borderId="0" xfId="0" applyNumberFormat="1" applyFont="1" applyFill="1" applyAlignment="1">
      <alignment shrinkToFit="1"/>
    </xf>
    <xf numFmtId="164" fontId="8" fillId="3" borderId="4" xfId="0" applyNumberFormat="1" applyFont="1" applyFill="1" applyBorder="1" applyAlignment="1">
      <alignment shrinkToFit="1"/>
    </xf>
    <xf numFmtId="164" fontId="10" fillId="3" borderId="3" xfId="0" applyNumberFormat="1" applyFont="1" applyFill="1" applyBorder="1" applyAlignment="1">
      <alignment horizontal="center" vertical="center" wrapText="1"/>
    </xf>
    <xf numFmtId="164" fontId="10" fillId="3" borderId="0" xfId="0" applyNumberFormat="1" applyFont="1" applyFill="1" applyAlignment="1">
      <alignment horizontal="center" vertical="center" wrapText="1"/>
    </xf>
    <xf numFmtId="164" fontId="10" fillId="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xf>
    <xf numFmtId="164" fontId="12" fillId="3" borderId="3" xfId="0" applyNumberFormat="1" applyFont="1" applyFill="1" applyBorder="1" applyAlignment="1">
      <alignment horizontal="left"/>
    </xf>
    <xf numFmtId="164" fontId="14" fillId="0" borderId="0" xfId="0" applyNumberFormat="1" applyFont="1" applyAlignment="1">
      <alignment horizontal="left" vertical="center" wrapText="1"/>
    </xf>
    <xf numFmtId="164" fontId="13" fillId="3" borderId="0" xfId="0" applyNumberFormat="1" applyFont="1" applyFill="1" applyAlignment="1">
      <alignment horizontal="left"/>
    </xf>
    <xf numFmtId="164" fontId="13" fillId="3" borderId="0" xfId="0" applyNumberFormat="1" applyFont="1" applyFill="1" applyAlignment="1">
      <alignment horizontal="left" vertical="center" wrapText="1"/>
    </xf>
    <xf numFmtId="164" fontId="12" fillId="3" borderId="0" xfId="0" applyNumberFormat="1" applyFont="1" applyFill="1" applyAlignment="1">
      <alignment horizontal="left"/>
    </xf>
    <xf numFmtId="164" fontId="12" fillId="3" borderId="4" xfId="0" applyNumberFormat="1" applyFont="1" applyFill="1" applyBorder="1" applyAlignment="1">
      <alignment horizontal="left"/>
    </xf>
    <xf numFmtId="164" fontId="12" fillId="3" borderId="3" xfId="0" applyNumberFormat="1" applyFont="1" applyFill="1" applyBorder="1" applyAlignment="1">
      <alignment horizontal="left" vertical="center" wrapText="1"/>
    </xf>
    <xf numFmtId="164" fontId="15" fillId="3" borderId="0" xfId="0" applyNumberFormat="1" applyFont="1" applyFill="1" applyAlignment="1">
      <alignment horizontal="left" vertical="center" wrapText="1"/>
    </xf>
    <xf numFmtId="164" fontId="16" fillId="3" borderId="0" xfId="0" applyNumberFormat="1" applyFont="1" applyFill="1" applyAlignment="1">
      <alignment horizontal="left" vertical="center" wrapText="1"/>
    </xf>
    <xf numFmtId="164" fontId="16" fillId="3" borderId="4" xfId="0" applyNumberFormat="1" applyFont="1" applyFill="1" applyBorder="1" applyAlignment="1">
      <alignment horizontal="left" vertical="center" wrapText="1"/>
    </xf>
    <xf numFmtId="166" fontId="14" fillId="0" borderId="0" xfId="0" applyNumberFormat="1" applyFont="1" applyAlignment="1">
      <alignment horizontal="left" vertical="center" wrapText="1"/>
    </xf>
    <xf numFmtId="164" fontId="17" fillId="3" borderId="3" xfId="0" applyNumberFormat="1" applyFont="1" applyFill="1" applyBorder="1"/>
    <xf numFmtId="164" fontId="17" fillId="3" borderId="0" xfId="0" applyNumberFormat="1" applyFont="1" applyFill="1"/>
    <xf numFmtId="164" fontId="17" fillId="3" borderId="0" xfId="0" applyNumberFormat="1" applyFont="1" applyFill="1" applyAlignment="1">
      <alignment vertical="center"/>
    </xf>
    <xf numFmtId="164" fontId="17" fillId="3" borderId="4" xfId="0" applyNumberFormat="1" applyFont="1" applyFill="1" applyBorder="1" applyAlignment="1">
      <alignment vertical="center"/>
    </xf>
    <xf numFmtId="164" fontId="17" fillId="3" borderId="3" xfId="0" applyNumberFormat="1" applyFont="1" applyFill="1" applyBorder="1" applyAlignment="1">
      <alignment vertical="center"/>
    </xf>
    <xf numFmtId="164" fontId="17" fillId="3" borderId="5" xfId="0" applyNumberFormat="1" applyFont="1" applyFill="1" applyBorder="1" applyAlignment="1">
      <alignment vertical="center"/>
    </xf>
    <xf numFmtId="164" fontId="17" fillId="3" borderId="6" xfId="0" applyNumberFormat="1" applyFont="1" applyFill="1" applyBorder="1" applyAlignment="1">
      <alignment vertical="center"/>
    </xf>
    <xf numFmtId="164" fontId="17" fillId="3" borderId="7" xfId="0" applyNumberFormat="1" applyFont="1" applyFill="1" applyBorder="1" applyAlignment="1">
      <alignment vertical="center"/>
    </xf>
    <xf numFmtId="164" fontId="3" fillId="2" borderId="0" xfId="0" applyNumberFormat="1" applyFont="1" applyFill="1"/>
    <xf numFmtId="164" fontId="18" fillId="2" borderId="0" xfId="0" applyNumberFormat="1" applyFont="1" applyFill="1" applyAlignment="1">
      <alignment vertical="center"/>
    </xf>
    <xf numFmtId="164" fontId="19" fillId="2" borderId="0" xfId="0" applyNumberFormat="1" applyFont="1" applyFill="1"/>
    <xf numFmtId="164" fontId="20" fillId="4" borderId="8" xfId="0" applyNumberFormat="1" applyFont="1" applyFill="1" applyBorder="1" applyAlignment="1">
      <alignment horizontal="center" vertical="center" wrapText="1"/>
    </xf>
    <xf numFmtId="167" fontId="3" fillId="2" borderId="8" xfId="0" applyNumberFormat="1" applyFont="1" applyFill="1" applyBorder="1" applyAlignment="1">
      <alignment horizontal="center" vertical="center" wrapText="1"/>
    </xf>
    <xf numFmtId="164" fontId="21" fillId="2" borderId="8" xfId="0" applyNumberFormat="1" applyFont="1" applyFill="1" applyBorder="1" applyAlignment="1">
      <alignment vertical="top" wrapText="1"/>
    </xf>
    <xf numFmtId="0" fontId="21" fillId="0" borderId="8" xfId="0" applyFont="1" applyBorder="1"/>
    <xf numFmtId="0" fontId="21" fillId="0" borderId="8" xfId="0" applyFont="1" applyBorder="1" applyAlignment="1">
      <alignment vertical="center"/>
    </xf>
    <xf numFmtId="164" fontId="3" fillId="2" borderId="0" xfId="0" applyNumberFormat="1" applyFont="1" applyFill="1" applyAlignment="1">
      <alignment vertical="center"/>
    </xf>
    <xf numFmtId="0" fontId="0" fillId="0" borderId="0" xfId="0" applyAlignment="1">
      <alignment vertical="center"/>
    </xf>
    <xf numFmtId="164" fontId="19" fillId="2" borderId="0" xfId="0" applyNumberFormat="1" applyFont="1" applyFill="1" applyAlignment="1">
      <alignment horizontal="left" vertical="center" wrapText="1"/>
    </xf>
    <xf numFmtId="164" fontId="22" fillId="2" borderId="0" xfId="0" applyNumberFormat="1" applyFont="1" applyFill="1"/>
    <xf numFmtId="164" fontId="20" fillId="4" borderId="9" xfId="0" applyNumberFormat="1" applyFont="1" applyFill="1" applyBorder="1" applyAlignment="1">
      <alignment horizontal="center" vertical="center" wrapText="1"/>
    </xf>
    <xf numFmtId="164" fontId="3" fillId="2" borderId="11" xfId="0" applyNumberFormat="1" applyFont="1" applyFill="1" applyBorder="1" applyAlignment="1">
      <alignment horizontal="center" vertical="center" wrapText="1"/>
    </xf>
    <xf numFmtId="164" fontId="3" fillId="2" borderId="12" xfId="0" applyNumberFormat="1" applyFont="1" applyFill="1" applyBorder="1" applyAlignment="1">
      <alignment horizontal="center" vertical="center" wrapText="1"/>
    </xf>
    <xf numFmtId="168" fontId="3" fillId="2" borderId="12" xfId="0" applyNumberFormat="1" applyFont="1" applyFill="1" applyBorder="1" applyAlignment="1">
      <alignment horizontal="center" vertical="center" wrapText="1"/>
    </xf>
    <xf numFmtId="164" fontId="3" fillId="2" borderId="13" xfId="0" applyNumberFormat="1" applyFont="1" applyFill="1" applyBorder="1" applyAlignment="1">
      <alignment horizontal="center" vertical="center" wrapText="1"/>
    </xf>
    <xf numFmtId="165" fontId="23" fillId="2" borderId="0" xfId="0" applyNumberFormat="1" applyFont="1" applyFill="1" applyAlignment="1">
      <alignment vertical="center"/>
    </xf>
    <xf numFmtId="165" fontId="3" fillId="2" borderId="0" xfId="0" applyNumberFormat="1" applyFont="1" applyFill="1" applyAlignment="1">
      <alignment vertical="center"/>
    </xf>
    <xf numFmtId="169" fontId="3" fillId="2" borderId="0" xfId="0" applyNumberFormat="1" applyFont="1" applyFill="1" applyAlignment="1">
      <alignment vertical="center"/>
    </xf>
    <xf numFmtId="0" fontId="6" fillId="2" borderId="0" xfId="0" applyFont="1" applyFill="1" applyAlignment="1">
      <alignment vertical="center"/>
    </xf>
    <xf numFmtId="0" fontId="24" fillId="2" borderId="0" xfId="0" applyFont="1" applyFill="1" applyAlignment="1">
      <alignment vertical="center"/>
    </xf>
    <xf numFmtId="164" fontId="25" fillId="5" borderId="14" xfId="0" applyNumberFormat="1" applyFont="1" applyFill="1" applyBorder="1" applyAlignment="1">
      <alignment horizontal="left" vertical="center" wrapText="1"/>
    </xf>
    <xf numFmtId="164" fontId="25" fillId="5" borderId="15" xfId="0" applyNumberFormat="1" applyFont="1" applyFill="1" applyBorder="1" applyAlignment="1">
      <alignment horizontal="left" vertical="center" wrapText="1"/>
    </xf>
    <xf numFmtId="164" fontId="25" fillId="5" borderId="17" xfId="0" applyNumberFormat="1" applyFont="1" applyFill="1" applyBorder="1" applyAlignment="1">
      <alignment vertical="center" wrapText="1"/>
    </xf>
    <xf numFmtId="164" fontId="25" fillId="5" borderId="18" xfId="0" applyNumberFormat="1" applyFont="1" applyFill="1" applyBorder="1" applyAlignment="1">
      <alignment vertical="center" wrapText="1"/>
    </xf>
    <xf numFmtId="164" fontId="27" fillId="2" borderId="20" xfId="0" applyNumberFormat="1" applyFont="1" applyFill="1" applyBorder="1" applyAlignment="1">
      <alignment horizontal="left" vertical="center" wrapText="1"/>
    </xf>
    <xf numFmtId="164" fontId="27" fillId="2" borderId="21" xfId="0" applyNumberFormat="1" applyFont="1" applyFill="1" applyBorder="1" applyAlignment="1">
      <alignment horizontal="left" vertical="center" wrapText="1"/>
    </xf>
    <xf numFmtId="165" fontId="26" fillId="2" borderId="22" xfId="0" applyNumberFormat="1" applyFont="1" applyFill="1" applyBorder="1" applyAlignment="1">
      <alignment horizontal="left" vertical="center" wrapText="1"/>
    </xf>
    <xf numFmtId="165" fontId="26" fillId="2" borderId="23" xfId="0" applyNumberFormat="1" applyFont="1" applyFill="1" applyBorder="1" applyAlignment="1">
      <alignment horizontal="left" vertical="center" wrapText="1"/>
    </xf>
    <xf numFmtId="165" fontId="26" fillId="2" borderId="24" xfId="0" applyNumberFormat="1" applyFont="1" applyFill="1" applyBorder="1" applyAlignment="1">
      <alignment horizontal="left" vertical="center" wrapText="1"/>
    </xf>
    <xf numFmtId="164" fontId="28" fillId="6" borderId="27" xfId="0" applyNumberFormat="1" applyFont="1" applyFill="1" applyBorder="1" applyAlignment="1">
      <alignment horizontal="center" vertical="center" wrapText="1"/>
    </xf>
    <xf numFmtId="164" fontId="28" fillId="6" borderId="28" xfId="0" applyNumberFormat="1" applyFont="1" applyFill="1" applyBorder="1" applyAlignment="1">
      <alignment horizontal="center" vertical="center" wrapText="1"/>
    </xf>
    <xf numFmtId="0" fontId="29" fillId="7" borderId="17"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6" fillId="2" borderId="31" xfId="0" applyFont="1" applyFill="1" applyBorder="1" applyAlignment="1">
      <alignment horizontal="left" vertical="center"/>
    </xf>
    <xf numFmtId="0" fontId="29" fillId="7" borderId="17" xfId="0" applyFont="1" applyFill="1" applyBorder="1" applyAlignment="1">
      <alignment vertical="center"/>
    </xf>
    <xf numFmtId="165" fontId="26" fillId="2" borderId="22" xfId="0" applyNumberFormat="1" applyFont="1" applyFill="1" applyBorder="1" applyAlignment="1">
      <alignment horizontal="left" vertical="center"/>
    </xf>
    <xf numFmtId="165" fontId="26" fillId="2" borderId="23" xfId="0" applyNumberFormat="1" applyFont="1" applyFill="1" applyBorder="1" applyAlignment="1">
      <alignment horizontal="left" vertical="center"/>
    </xf>
    <xf numFmtId="165" fontId="26" fillId="2" borderId="24" xfId="0" applyNumberFormat="1" applyFont="1" applyFill="1" applyBorder="1" applyAlignment="1">
      <alignment horizontal="left" vertical="center"/>
    </xf>
    <xf numFmtId="164" fontId="25" fillId="5" borderId="32" xfId="0" applyNumberFormat="1" applyFont="1" applyFill="1" applyBorder="1" applyAlignment="1">
      <alignment horizontal="left" vertical="center" wrapText="1"/>
    </xf>
    <xf numFmtId="0" fontId="29" fillId="7" borderId="18" xfId="0" applyFont="1" applyFill="1" applyBorder="1" applyAlignment="1">
      <alignment horizontal="center" vertical="center"/>
    </xf>
    <xf numFmtId="0" fontId="29" fillId="7" borderId="18" xfId="0" applyFont="1" applyFill="1" applyBorder="1" applyAlignment="1">
      <alignment horizontal="center" vertical="center" wrapText="1"/>
    </xf>
    <xf numFmtId="0" fontId="29" fillId="7" borderId="22" xfId="0" applyFont="1" applyFill="1" applyBorder="1" applyAlignment="1">
      <alignment horizontal="center" vertical="center" wrapText="1"/>
    </xf>
    <xf numFmtId="0" fontId="29" fillId="7" borderId="19" xfId="0" applyFont="1" applyFill="1" applyBorder="1" applyAlignment="1">
      <alignment horizontal="center" vertical="center" wrapText="1"/>
    </xf>
    <xf numFmtId="164" fontId="25" fillId="5" borderId="33" xfId="0" applyNumberFormat="1" applyFont="1" applyFill="1" applyBorder="1" applyAlignment="1">
      <alignment horizontal="left" vertical="center" wrapText="1"/>
    </xf>
    <xf numFmtId="1" fontId="30" fillId="8" borderId="34" xfId="0" applyNumberFormat="1" applyFont="1" applyFill="1" applyBorder="1" applyAlignment="1">
      <alignment horizontal="center" vertical="center"/>
    </xf>
    <xf numFmtId="1" fontId="30" fillId="8" borderId="19" xfId="0" applyNumberFormat="1" applyFont="1" applyFill="1" applyBorder="1" applyAlignment="1">
      <alignment vertical="center"/>
    </xf>
    <xf numFmtId="0" fontId="22" fillId="7" borderId="17" xfId="0" applyFont="1" applyFill="1" applyBorder="1" applyAlignment="1">
      <alignment horizontal="right" vertical="center"/>
    </xf>
    <xf numFmtId="1" fontId="30" fillId="2" borderId="18" xfId="0" applyNumberFormat="1" applyFont="1" applyFill="1" applyBorder="1" applyAlignment="1">
      <alignment horizontal="center" vertical="center"/>
    </xf>
    <xf numFmtId="1" fontId="30" fillId="2" borderId="19" xfId="0" applyNumberFormat="1" applyFont="1" applyFill="1" applyBorder="1" applyAlignment="1">
      <alignment vertical="center"/>
    </xf>
    <xf numFmtId="0" fontId="31" fillId="7" borderId="35" xfId="0" applyFont="1" applyFill="1" applyBorder="1" applyAlignment="1">
      <alignment horizontal="left" vertical="center"/>
    </xf>
    <xf numFmtId="0" fontId="30" fillId="2" borderId="22" xfId="0" applyFont="1" applyFill="1" applyBorder="1" applyAlignment="1">
      <alignment horizontal="center" vertical="center"/>
    </xf>
    <xf numFmtId="0" fontId="30" fillId="2" borderId="23" xfId="0" applyFont="1" applyFill="1" applyBorder="1" applyAlignment="1">
      <alignment horizontal="center" vertical="center"/>
    </xf>
    <xf numFmtId="0" fontId="30" fillId="2" borderId="23" xfId="0" applyFont="1" applyFill="1" applyBorder="1" applyAlignment="1">
      <alignment horizontal="center" vertical="center" wrapText="1"/>
    </xf>
    <xf numFmtId="0" fontId="30" fillId="2" borderId="24" xfId="0" applyFont="1" applyFill="1" applyBorder="1" applyAlignment="1">
      <alignment vertical="center"/>
    </xf>
    <xf numFmtId="0" fontId="30" fillId="2" borderId="18" xfId="0" applyFont="1" applyFill="1" applyBorder="1" applyAlignment="1">
      <alignment horizontal="center" vertical="center"/>
    </xf>
    <xf numFmtId="0" fontId="30" fillId="2" borderId="18" xfId="0" applyFont="1" applyFill="1" applyBorder="1" applyAlignment="1">
      <alignment horizontal="center" vertical="center" wrapText="1"/>
    </xf>
    <xf numFmtId="0" fontId="30" fillId="2" borderId="20" xfId="0" applyFont="1" applyFill="1" applyBorder="1" applyAlignment="1">
      <alignment horizontal="center" vertical="center" wrapText="1"/>
    </xf>
    <xf numFmtId="10" fontId="30" fillId="2" borderId="19" xfId="0" applyNumberFormat="1" applyFont="1" applyFill="1" applyBorder="1" applyAlignment="1">
      <alignment vertical="center"/>
    </xf>
    <xf numFmtId="0" fontId="22" fillId="7" borderId="32" xfId="0" applyFont="1" applyFill="1" applyBorder="1" applyAlignment="1">
      <alignment horizontal="right" vertical="center"/>
    </xf>
    <xf numFmtId="0" fontId="30" fillId="2" borderId="34" xfId="0" applyFont="1" applyFill="1" applyBorder="1" applyAlignment="1">
      <alignment horizontal="center" vertical="center"/>
    </xf>
    <xf numFmtId="0" fontId="30" fillId="2" borderId="34" xfId="0" applyFont="1" applyFill="1" applyBorder="1" applyAlignment="1">
      <alignment horizontal="center" vertical="center" wrapText="1"/>
    </xf>
    <xf numFmtId="0" fontId="30" fillId="2" borderId="24" xfId="0" applyFont="1" applyFill="1" applyBorder="1" applyAlignment="1">
      <alignment horizontal="center" vertical="center"/>
    </xf>
    <xf numFmtId="0" fontId="31" fillId="0" borderId="22" xfId="0" applyFont="1" applyBorder="1" applyAlignment="1">
      <alignment horizontal="left" vertical="center"/>
    </xf>
    <xf numFmtId="0" fontId="31" fillId="0" borderId="23" xfId="0" applyFont="1" applyBorder="1" applyAlignment="1">
      <alignment horizontal="left" vertical="center"/>
    </xf>
    <xf numFmtId="0" fontId="31" fillId="0" borderId="24" xfId="0" applyFont="1" applyBorder="1" applyAlignment="1">
      <alignment horizontal="left" vertical="center"/>
    </xf>
    <xf numFmtId="0" fontId="20" fillId="9" borderId="36" xfId="0" applyFont="1" applyFill="1" applyBorder="1" applyAlignment="1">
      <alignment horizontal="center" vertical="center" wrapText="1"/>
    </xf>
    <xf numFmtId="0" fontId="32" fillId="0" borderId="39" xfId="0" applyFont="1" applyBorder="1" applyAlignment="1">
      <alignment horizontal="center" vertical="center" wrapText="1"/>
    </xf>
    <xf numFmtId="0" fontId="33" fillId="0" borderId="40" xfId="0" applyFont="1" applyBorder="1" applyAlignment="1">
      <alignment horizontal="center" vertical="center" wrapText="1"/>
    </xf>
    <xf numFmtId="0" fontId="34" fillId="0" borderId="36" xfId="0" applyFont="1" applyBorder="1" applyAlignment="1">
      <alignment horizontal="center" vertical="center"/>
    </xf>
    <xf numFmtId="0" fontId="34" fillId="0" borderId="36" xfId="0" applyFont="1" applyBorder="1" applyAlignment="1">
      <alignment horizontal="left" vertical="center" wrapText="1"/>
    </xf>
    <xf numFmtId="0" fontId="34" fillId="0" borderId="0" xfId="0" applyFont="1" applyAlignment="1">
      <alignment horizontal="center" vertical="center"/>
    </xf>
    <xf numFmtId="0" fontId="34" fillId="0" borderId="0" xfId="0" applyFont="1"/>
    <xf numFmtId="0" fontId="34" fillId="0" borderId="39" xfId="0" applyFont="1" applyBorder="1" applyAlignment="1">
      <alignment horizontal="center" vertical="center"/>
    </xf>
    <xf numFmtId="0" fontId="34" fillId="0" borderId="39" xfId="0" applyFont="1" applyBorder="1" applyAlignment="1">
      <alignment horizontal="left" vertical="center" wrapText="1"/>
    </xf>
    <xf numFmtId="164" fontId="35" fillId="5" borderId="41" xfId="0" applyNumberFormat="1" applyFont="1" applyFill="1" applyBorder="1" applyAlignment="1">
      <alignment horizontal="left" vertical="center" wrapText="1"/>
    </xf>
    <xf numFmtId="164" fontId="35" fillId="5" borderId="42" xfId="0" applyNumberFormat="1" applyFont="1" applyFill="1" applyBorder="1" applyAlignment="1">
      <alignment horizontal="left" vertical="center" wrapText="1"/>
    </xf>
    <xf numFmtId="0" fontId="34" fillId="11" borderId="39" xfId="0" applyFont="1" applyFill="1" applyBorder="1" applyAlignment="1">
      <alignment horizontal="center" vertical="center"/>
    </xf>
    <xf numFmtId="0" fontId="34" fillId="12" borderId="39" xfId="0" applyFont="1" applyFill="1" applyBorder="1" applyAlignment="1">
      <alignment horizontal="center" vertical="center"/>
    </xf>
    <xf numFmtId="0" fontId="34" fillId="13" borderId="39" xfId="0" applyFont="1" applyFill="1" applyBorder="1" applyAlignment="1">
      <alignment horizontal="center" vertical="center"/>
    </xf>
    <xf numFmtId="0" fontId="34" fillId="0" borderId="43" xfId="0" applyFont="1" applyBorder="1" applyAlignment="1">
      <alignment horizontal="left" vertical="center" wrapText="1"/>
    </xf>
    <xf numFmtId="0" fontId="34" fillId="15" borderId="39" xfId="0" applyFont="1" applyFill="1" applyBorder="1" applyAlignment="1">
      <alignment horizontal="center" vertical="center"/>
    </xf>
    <xf numFmtId="0" fontId="0" fillId="0" borderId="0" xfId="0" applyAlignment="1">
      <alignment horizontal="center"/>
    </xf>
    <xf numFmtId="0" fontId="0" fillId="0" borderId="0" xfId="0" applyAlignment="1">
      <alignment vertical="top"/>
    </xf>
    <xf numFmtId="164" fontId="36" fillId="0" borderId="41" xfId="0" applyNumberFormat="1" applyFont="1" applyBorder="1" applyAlignment="1">
      <alignment horizontal="left" vertical="center" wrapText="1"/>
    </xf>
    <xf numFmtId="164" fontId="36" fillId="0" borderId="36" xfId="0" applyNumberFormat="1" applyFont="1" applyBorder="1" applyAlignment="1">
      <alignment horizontal="left" vertical="center" wrapText="1"/>
    </xf>
    <xf numFmtId="0" fontId="2" fillId="0" borderId="0" xfId="0" applyFont="1"/>
    <xf numFmtId="0" fontId="37" fillId="0" borderId="36" xfId="0" applyFont="1" applyBorder="1" applyAlignment="1">
      <alignment horizontal="left" vertical="center" wrapText="1"/>
    </xf>
    <xf numFmtId="164" fontId="37" fillId="0" borderId="36" xfId="0" applyNumberFormat="1" applyFont="1" applyBorder="1" applyAlignment="1">
      <alignment horizontal="left" vertical="center" wrapText="1"/>
    </xf>
    <xf numFmtId="164" fontId="37" fillId="5" borderId="41" xfId="0" applyNumberFormat="1" applyFont="1" applyFill="1" applyBorder="1" applyAlignment="1">
      <alignment horizontal="center" vertical="top" wrapText="1"/>
    </xf>
    <xf numFmtId="167" fontId="35" fillId="7" borderId="41" xfId="0" applyNumberFormat="1" applyFont="1" applyFill="1" applyBorder="1" applyAlignment="1">
      <alignment horizontal="center" vertical="center" wrapText="1"/>
    </xf>
    <xf numFmtId="0" fontId="35" fillId="7" borderId="41" xfId="0" applyFont="1" applyFill="1" applyBorder="1" applyAlignment="1">
      <alignment wrapText="1"/>
    </xf>
    <xf numFmtId="0" fontId="37" fillId="5" borderId="41" xfId="0" applyFont="1" applyFill="1" applyBorder="1" applyAlignment="1">
      <alignment horizontal="left" vertical="top" wrapText="1"/>
    </xf>
    <xf numFmtId="1" fontId="38" fillId="16" borderId="41" xfId="0" applyNumberFormat="1" applyFont="1" applyFill="1" applyBorder="1" applyAlignment="1">
      <alignment horizontal="center" vertical="center" wrapText="1"/>
    </xf>
    <xf numFmtId="167" fontId="39" fillId="0" borderId="41" xfId="0" applyNumberFormat="1" applyFont="1" applyBorder="1" applyAlignment="1">
      <alignment horizontal="center" vertical="center" wrapText="1"/>
    </xf>
    <xf numFmtId="0" fontId="0" fillId="0" borderId="0" xfId="0" applyAlignment="1">
      <alignment horizontal="center" vertical="center"/>
    </xf>
    <xf numFmtId="0" fontId="23" fillId="18" borderId="44" xfId="0" applyFont="1" applyFill="1" applyBorder="1" applyAlignment="1">
      <alignment horizontal="center" vertical="center"/>
    </xf>
    <xf numFmtId="0" fontId="23" fillId="18" borderId="44" xfId="0" applyFont="1" applyFill="1" applyBorder="1" applyAlignment="1">
      <alignment horizontal="left" vertical="center"/>
    </xf>
    <xf numFmtId="0" fontId="41" fillId="18" borderId="0" xfId="0" applyFont="1" applyFill="1"/>
    <xf numFmtId="0" fontId="3" fillId="0" borderId="44" xfId="0" applyFont="1" applyBorder="1" applyAlignment="1">
      <alignment horizontal="left" vertical="top" wrapText="1"/>
    </xf>
    <xf numFmtId="0" fontId="42" fillId="0" borderId="44" xfId="0" applyFont="1" applyBorder="1" applyAlignment="1">
      <alignment horizontal="center" vertical="top" wrapText="1"/>
    </xf>
    <xf numFmtId="0" fontId="42" fillId="0" borderId="44" xfId="0" applyFont="1" applyBorder="1" applyAlignment="1">
      <alignment horizontal="left" vertical="top" wrapText="1"/>
    </xf>
    <xf numFmtId="0" fontId="43" fillId="0" borderId="0" xfId="0" applyFont="1"/>
    <xf numFmtId="0" fontId="44" fillId="18" borderId="44" xfId="0" applyFont="1" applyFill="1" applyBorder="1" applyAlignment="1">
      <alignment horizontal="center" vertical="center"/>
    </xf>
    <xf numFmtId="0" fontId="44" fillId="18" borderId="44" xfId="0" applyFont="1" applyFill="1" applyBorder="1" applyAlignment="1">
      <alignment horizontal="left" vertical="center"/>
    </xf>
    <xf numFmtId="164" fontId="26" fillId="2" borderId="9" xfId="0" applyNumberFormat="1" applyFont="1" applyFill="1" applyBorder="1" applyAlignment="1">
      <alignment horizontal="left" vertical="center" wrapText="1"/>
    </xf>
    <xf numFmtId="164" fontId="26" fillId="2" borderId="16" xfId="0" applyNumberFormat="1" applyFont="1" applyFill="1" applyBorder="1" applyAlignment="1">
      <alignment horizontal="left" vertical="center" wrapText="1"/>
    </xf>
    <xf numFmtId="164" fontId="26" fillId="2" borderId="18" xfId="0" applyNumberFormat="1" applyFont="1" applyFill="1" applyBorder="1" applyAlignment="1">
      <alignment horizontal="left" vertical="center" wrapText="1"/>
    </xf>
    <xf numFmtId="165" fontId="26" fillId="2" borderId="19" xfId="0" applyNumberFormat="1" applyFont="1" applyFill="1" applyBorder="1" applyAlignment="1">
      <alignment horizontal="left" vertical="center" wrapText="1"/>
    </xf>
    <xf numFmtId="164" fontId="27" fillId="2" borderId="18" xfId="0" applyNumberFormat="1" applyFont="1" applyFill="1" applyBorder="1" applyAlignment="1">
      <alignment horizontal="left" vertical="center" wrapText="1"/>
    </xf>
    <xf numFmtId="164" fontId="27" fillId="2" borderId="19" xfId="0" applyNumberFormat="1" applyFont="1" applyFill="1" applyBorder="1" applyAlignment="1">
      <alignment horizontal="left" vertical="center" wrapText="1"/>
    </xf>
    <xf numFmtId="165" fontId="27" fillId="2" borderId="25" xfId="0" applyNumberFormat="1" applyFont="1" applyFill="1" applyBorder="1" applyAlignment="1">
      <alignment horizontal="left" vertical="center" wrapText="1"/>
    </xf>
    <xf numFmtId="164" fontId="28" fillId="6" borderId="26" xfId="0" applyNumberFormat="1" applyFont="1" applyFill="1" applyBorder="1" applyAlignment="1">
      <alignment horizontal="left" vertical="center" wrapText="1"/>
    </xf>
    <xf numFmtId="164" fontId="7" fillId="3" borderId="1" xfId="0" applyNumberFormat="1" applyFont="1" applyFill="1" applyBorder="1" applyAlignment="1">
      <alignment horizontal="center"/>
    </xf>
    <xf numFmtId="164" fontId="7" fillId="3" borderId="2" xfId="0" applyNumberFormat="1" applyFont="1" applyFill="1" applyBorder="1" applyAlignment="1">
      <alignment horizontal="center"/>
    </xf>
    <xf numFmtId="164" fontId="9" fillId="3" borderId="2" xfId="0" applyNumberFormat="1" applyFont="1" applyFill="1" applyBorder="1" applyAlignment="1">
      <alignment horizontal="center" vertical="center" wrapText="1"/>
    </xf>
    <xf numFmtId="164" fontId="11" fillId="3" borderId="0" xfId="0" applyNumberFormat="1" applyFont="1" applyFill="1" applyAlignment="1">
      <alignment horizontal="center" vertical="center" wrapText="1"/>
    </xf>
    <xf numFmtId="164" fontId="12" fillId="3" borderId="2" xfId="0" applyNumberFormat="1" applyFont="1" applyFill="1" applyBorder="1" applyAlignment="1">
      <alignment horizontal="center" vertical="center" wrapText="1"/>
    </xf>
    <xf numFmtId="164" fontId="13" fillId="3" borderId="0" xfId="0" applyNumberFormat="1" applyFont="1" applyFill="1" applyAlignment="1">
      <alignment horizontal="left" vertical="center"/>
    </xf>
    <xf numFmtId="164" fontId="12" fillId="3" borderId="3" xfId="0" applyNumberFormat="1" applyFont="1" applyFill="1" applyBorder="1" applyAlignment="1">
      <alignment horizontal="center"/>
    </xf>
    <xf numFmtId="164" fontId="13" fillId="3" borderId="0" xfId="0" applyNumberFormat="1" applyFont="1" applyFill="1" applyAlignment="1">
      <alignment horizontal="left" vertical="center" wrapText="1"/>
    </xf>
    <xf numFmtId="164" fontId="3" fillId="0" borderId="8" xfId="0" applyNumberFormat="1" applyFont="1" applyBorder="1" applyAlignment="1">
      <alignment horizontal="left" vertical="center" wrapText="1"/>
    </xf>
    <xf numFmtId="164" fontId="20" fillId="4" borderId="10" xfId="0" applyNumberFormat="1" applyFont="1" applyFill="1" applyBorder="1" applyAlignment="1">
      <alignment horizontal="center" vertical="center" wrapText="1"/>
    </xf>
    <xf numFmtId="164" fontId="3" fillId="0" borderId="12" xfId="0" applyNumberFormat="1" applyFont="1" applyBorder="1" applyAlignment="1">
      <alignment horizontal="left" vertical="center" wrapText="1"/>
    </xf>
    <xf numFmtId="164" fontId="20" fillId="4" borderId="8" xfId="0" applyNumberFormat="1" applyFont="1" applyFill="1" applyBorder="1" applyAlignment="1">
      <alignment horizontal="center" vertical="center" wrapText="1"/>
    </xf>
    <xf numFmtId="0" fontId="33" fillId="10" borderId="38" xfId="0" applyFont="1" applyFill="1" applyBorder="1" applyAlignment="1">
      <alignment horizontal="center" vertical="center" wrapText="1"/>
    </xf>
    <xf numFmtId="0" fontId="32" fillId="10" borderId="37" xfId="0" applyFont="1" applyFill="1" applyBorder="1" applyAlignment="1">
      <alignment horizontal="center" vertical="center" wrapText="1"/>
    </xf>
    <xf numFmtId="0" fontId="34" fillId="14" borderId="39" xfId="0" applyFont="1" applyFill="1" applyBorder="1" applyAlignment="1">
      <alignment horizontal="center" vertical="center"/>
    </xf>
    <xf numFmtId="0" fontId="40" fillId="17" borderId="44" xfId="0" applyFont="1" applyFill="1" applyBorder="1" applyAlignment="1">
      <alignment horizontal="left" vertical="center"/>
    </xf>
    <xf numFmtId="0" fontId="0" fillId="0" borderId="0" xfId="0" applyAlignment="1">
      <alignment horizontal="center"/>
    </xf>
    <xf numFmtId="0" fontId="1" fillId="0" borderId="44" xfId="0" applyFont="1" applyBorder="1" applyAlignment="1">
      <alignment horizontal="center" vertical="top" wrapText="1"/>
    </xf>
    <xf numFmtId="0" fontId="1" fillId="0" borderId="44" xfId="0" applyFont="1" applyBorder="1" applyAlignment="1">
      <alignment horizontal="left" vertical="top" wrapText="1"/>
    </xf>
  </cellXfs>
  <cellStyles count="4">
    <cellStyle name="Normal" xfId="0" builtinId="0"/>
    <cellStyle name="Normal 2" xfId="1" xr:uid="{00000000-0005-0000-0000-000006000000}"/>
    <cellStyle name="Normal 6" xfId="2" xr:uid="{00000000-0005-0000-0000-000007000000}"/>
    <cellStyle name="標準_打刻ﾃﾞｰﾀ収集" xfId="3"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4BD97"/>
      <rgbColor rgb="FF808080"/>
      <rgbColor rgb="FFB0B0B0"/>
      <rgbColor rgb="FF7030A0"/>
      <rgbColor rgb="FFFFF2CC"/>
      <rgbColor rgb="FFDDEBF7"/>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B4C7E7"/>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5" sqref="E15"/>
    </sheetView>
  </sheetViews>
  <sheetFormatPr defaultColWidth="9.140625" defaultRowHeight="14.25"/>
  <cols>
    <col min="1" max="1" width="9.140625" style="1"/>
    <col min="2" max="2" width="5.7109375" style="1" customWidth="1"/>
    <col min="3" max="4" width="9.140625" style="1"/>
    <col min="5" max="5" width="45.42578125" style="1" customWidth="1"/>
    <col min="6" max="6" width="9.140625" style="1"/>
    <col min="7" max="7" width="16.5703125" style="1" customWidth="1"/>
    <col min="8" max="8" width="31.7109375" style="1" customWidth="1"/>
    <col min="9" max="1024" width="9.140625" style="1"/>
  </cols>
  <sheetData>
    <row r="1" spans="1:10" ht="15" customHeight="1">
      <c r="A1" s="2"/>
      <c r="B1" s="2"/>
      <c r="C1" s="2"/>
      <c r="D1" s="2"/>
      <c r="E1" s="2"/>
      <c r="F1" s="2"/>
      <c r="G1" s="2"/>
      <c r="H1" s="2"/>
      <c r="I1" s="2"/>
      <c r="J1" s="2"/>
    </row>
    <row r="2" spans="1:10" s="1" customFormat="1" ht="13.5" customHeight="1">
      <c r="A2" s="2"/>
      <c r="B2" s="144"/>
      <c r="C2" s="144"/>
      <c r="D2" s="144"/>
      <c r="E2" s="144"/>
      <c r="F2" s="144"/>
      <c r="G2" s="144"/>
      <c r="H2" s="144"/>
      <c r="I2" s="144"/>
      <c r="J2" s="144"/>
    </row>
    <row r="3" spans="1:10" s="1" customFormat="1" ht="13.5" customHeight="1">
      <c r="A3" s="2"/>
      <c r="B3" s="145"/>
      <c r="C3" s="145"/>
      <c r="D3" s="145"/>
      <c r="E3" s="145"/>
      <c r="F3" s="145"/>
      <c r="G3" s="145"/>
      <c r="H3" s="145"/>
      <c r="I3" s="145"/>
      <c r="J3" s="145"/>
    </row>
    <row r="4" spans="1:10" s="1" customFormat="1" ht="13.5" customHeight="1">
      <c r="A4" s="2"/>
      <c r="B4" s="3"/>
      <c r="C4" s="4"/>
      <c r="D4" s="4"/>
      <c r="E4" s="4"/>
      <c r="F4" s="4"/>
      <c r="G4" s="4"/>
      <c r="H4" s="4"/>
      <c r="I4" s="4"/>
      <c r="J4" s="5"/>
    </row>
    <row r="5" spans="1:10" s="1" customFormat="1" ht="13.5" customHeight="1">
      <c r="A5" s="2"/>
      <c r="B5" s="3"/>
      <c r="C5" s="4"/>
      <c r="D5" s="4"/>
      <c r="E5" s="4"/>
      <c r="F5" s="4"/>
      <c r="G5" s="4"/>
      <c r="H5" s="4"/>
      <c r="I5" s="4"/>
      <c r="J5" s="5"/>
    </row>
    <row r="6" spans="1:10" s="1" customFormat="1" ht="13.5" customHeight="1">
      <c r="A6" s="2"/>
      <c r="B6" s="146"/>
      <c r="C6" s="146"/>
      <c r="D6" s="146"/>
      <c r="E6" s="146"/>
      <c r="F6" s="146"/>
      <c r="G6" s="146"/>
      <c r="H6" s="146"/>
      <c r="I6" s="146"/>
      <c r="J6" s="146"/>
    </row>
    <row r="7" spans="1:10" s="1" customFormat="1" ht="13.5" customHeight="1">
      <c r="A7" s="2"/>
      <c r="B7" s="146"/>
      <c r="C7" s="146"/>
      <c r="D7" s="146"/>
      <c r="E7" s="146"/>
      <c r="F7" s="146"/>
      <c r="G7" s="146"/>
      <c r="H7" s="146"/>
      <c r="I7" s="146"/>
      <c r="J7" s="146"/>
    </row>
    <row r="8" spans="1:10" s="1" customFormat="1" ht="45" customHeight="1">
      <c r="A8" s="2"/>
      <c r="B8" s="6"/>
      <c r="C8" s="7"/>
      <c r="D8" s="7"/>
      <c r="E8" s="147" t="s">
        <v>0</v>
      </c>
      <c r="F8" s="147"/>
      <c r="G8" s="147"/>
      <c r="H8" s="147"/>
      <c r="I8" s="7"/>
      <c r="J8" s="8"/>
    </row>
    <row r="9" spans="1:10" s="1" customFormat="1" ht="13.5" customHeight="1">
      <c r="A9" s="2"/>
      <c r="B9" s="148"/>
      <c r="C9" s="148"/>
      <c r="D9" s="148"/>
      <c r="E9" s="148"/>
      <c r="F9" s="148"/>
      <c r="G9" s="148"/>
      <c r="H9" s="148"/>
      <c r="I9" s="148"/>
      <c r="J9" s="148"/>
    </row>
    <row r="10" spans="1:10" s="1" customFormat="1" ht="13.5" customHeight="1">
      <c r="A10" s="2"/>
      <c r="B10" s="150"/>
      <c r="C10" s="150"/>
      <c r="D10" s="150"/>
      <c r="E10" s="150"/>
      <c r="F10" s="150"/>
      <c r="G10" s="150"/>
      <c r="H10" s="150"/>
      <c r="I10" s="150"/>
      <c r="J10" s="9"/>
    </row>
    <row r="11" spans="1:10" s="1" customFormat="1" ht="26.25" customHeight="1">
      <c r="A11" s="2"/>
      <c r="B11" s="10"/>
      <c r="C11" s="149" t="s">
        <v>1</v>
      </c>
      <c r="D11" s="149"/>
      <c r="E11" s="11" t="s">
        <v>2</v>
      </c>
      <c r="F11" s="12"/>
      <c r="G11" s="13" t="s">
        <v>3</v>
      </c>
      <c r="H11" s="11"/>
      <c r="I11" s="14"/>
      <c r="J11" s="15"/>
    </row>
    <row r="12" spans="1:10" s="1" customFormat="1" ht="13.5" customHeight="1">
      <c r="A12" s="2"/>
      <c r="B12" s="16" t="s">
        <v>4</v>
      </c>
      <c r="C12" s="151" t="s">
        <v>5</v>
      </c>
      <c r="D12" s="151"/>
      <c r="E12" s="11"/>
      <c r="F12" s="17"/>
      <c r="G12" s="13" t="s">
        <v>6</v>
      </c>
      <c r="H12" s="11"/>
      <c r="I12" s="18"/>
      <c r="J12" s="19"/>
    </row>
    <row r="13" spans="1:10" s="1" customFormat="1" ht="13.5" customHeight="1">
      <c r="A13" s="2"/>
      <c r="B13" s="10"/>
      <c r="C13" s="149" t="s">
        <v>7</v>
      </c>
      <c r="D13" s="149"/>
      <c r="E13" s="11"/>
      <c r="F13" s="12"/>
      <c r="G13" s="13" t="s">
        <v>8</v>
      </c>
      <c r="H13" s="11"/>
      <c r="I13" s="14"/>
      <c r="J13" s="15"/>
    </row>
    <row r="14" spans="1:10" s="1" customFormat="1" ht="13.5" customHeight="1">
      <c r="A14" s="2"/>
      <c r="B14" s="10"/>
      <c r="C14" s="149" t="s">
        <v>6</v>
      </c>
      <c r="D14" s="149"/>
      <c r="E14" s="11"/>
      <c r="F14" s="12"/>
      <c r="G14" s="13" t="s">
        <v>9</v>
      </c>
      <c r="H14" s="11"/>
      <c r="I14" s="14"/>
      <c r="J14" s="15"/>
    </row>
    <row r="15" spans="1:10" s="1" customFormat="1" ht="13.5" customHeight="1">
      <c r="A15" s="2"/>
      <c r="B15" s="10"/>
      <c r="C15" s="149" t="s">
        <v>10</v>
      </c>
      <c r="D15" s="149"/>
      <c r="E15" s="11">
        <v>46157</v>
      </c>
      <c r="F15" s="12"/>
      <c r="G15" s="13" t="s">
        <v>6</v>
      </c>
      <c r="H15" s="11"/>
      <c r="I15" s="14"/>
      <c r="J15" s="15"/>
    </row>
    <row r="16" spans="1:10" s="1" customFormat="1" ht="13.5" customHeight="1">
      <c r="A16" s="2"/>
      <c r="B16" s="10"/>
      <c r="C16" s="149" t="s">
        <v>11</v>
      </c>
      <c r="D16" s="149"/>
      <c r="E16" s="20" t="s">
        <v>12</v>
      </c>
      <c r="F16" s="12"/>
      <c r="G16" s="13" t="s">
        <v>13</v>
      </c>
      <c r="H16" s="11"/>
      <c r="I16" s="14"/>
      <c r="J16" s="15"/>
    </row>
    <row r="17" spans="1:10" s="1" customFormat="1" ht="13.5" customHeight="1">
      <c r="A17" s="2"/>
      <c r="B17" s="21"/>
      <c r="C17" s="22"/>
      <c r="D17" s="22"/>
      <c r="E17" s="23"/>
      <c r="F17" s="23"/>
      <c r="G17" s="23"/>
      <c r="H17" s="23"/>
      <c r="I17" s="23"/>
      <c r="J17" s="24"/>
    </row>
    <row r="18" spans="1:10" s="1" customFormat="1" ht="13.5" customHeight="1">
      <c r="B18" s="25"/>
      <c r="C18" s="23"/>
      <c r="D18" s="23"/>
      <c r="E18" s="23"/>
      <c r="F18" s="23"/>
      <c r="G18" s="23"/>
      <c r="H18" s="23"/>
      <c r="I18" s="23"/>
      <c r="J18" s="24"/>
    </row>
    <row r="19" spans="1:10" ht="15" customHeight="1">
      <c r="B19" s="26"/>
      <c r="C19" s="27"/>
      <c r="D19" s="27"/>
      <c r="E19" s="27"/>
      <c r="F19" s="27"/>
      <c r="G19" s="27"/>
      <c r="H19" s="27"/>
      <c r="I19" s="27"/>
      <c r="J19" s="28"/>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2"/>
  <sheetViews>
    <sheetView zoomScaleNormal="100" workbookViewId="0">
      <selection activeCell="F24" sqref="F24"/>
    </sheetView>
  </sheetViews>
  <sheetFormatPr defaultColWidth="9.140625" defaultRowHeight="14.25"/>
  <cols>
    <col min="1" max="1" width="21.42578125" style="29" customWidth="1"/>
    <col min="2" max="2" width="22.5703125" style="29" customWidth="1"/>
    <col min="3" max="3" width="14.140625" style="29" customWidth="1"/>
    <col min="4" max="4" width="11.5703125" style="29" customWidth="1"/>
    <col min="5" max="5" width="10.5703125" style="29" customWidth="1"/>
    <col min="6" max="6" width="12.7109375" style="29" customWidth="1"/>
    <col min="7" max="7" width="14" style="29" customWidth="1"/>
    <col min="8" max="1024" width="9.140625" style="29"/>
  </cols>
  <sheetData>
    <row r="1" spans="1:1024" ht="17.25" customHeight="1">
      <c r="A1" s="30" t="s">
        <v>14</v>
      </c>
      <c r="B1" s="31"/>
    </row>
    <row r="2" spans="1:1024" ht="15" customHeight="1"/>
    <row r="3" spans="1:1024" ht="14.25" customHeight="1">
      <c r="A3" s="32" t="s">
        <v>15</v>
      </c>
      <c r="B3" s="32" t="s">
        <v>16</v>
      </c>
      <c r="C3" s="155" t="s">
        <v>17</v>
      </c>
      <c r="D3" s="155"/>
      <c r="E3" s="155"/>
      <c r="F3" s="155"/>
      <c r="G3" s="155"/>
    </row>
    <row r="4" spans="1:1024" ht="14.25" customHeight="1">
      <c r="A4" s="33">
        <v>1</v>
      </c>
      <c r="B4" s="34" t="s">
        <v>18</v>
      </c>
      <c r="C4" s="152" t="s">
        <v>18</v>
      </c>
      <c r="D4" s="152"/>
      <c r="E4" s="152"/>
      <c r="F4" s="152"/>
      <c r="G4" s="152"/>
    </row>
    <row r="5" spans="1:1024" ht="14.25" customHeight="1">
      <c r="A5" s="33">
        <v>2</v>
      </c>
      <c r="B5" s="35" t="s">
        <v>19</v>
      </c>
      <c r="C5" s="152" t="s">
        <v>20</v>
      </c>
      <c r="D5" s="152"/>
      <c r="E5" s="152"/>
      <c r="F5" s="152"/>
      <c r="G5" s="152"/>
    </row>
    <row r="6" spans="1:1024" ht="14.25" customHeight="1">
      <c r="A6" s="33">
        <v>3</v>
      </c>
      <c r="B6" s="35" t="s">
        <v>0</v>
      </c>
      <c r="C6" s="152" t="s">
        <v>21</v>
      </c>
      <c r="D6" s="152"/>
      <c r="E6" s="152"/>
      <c r="F6" s="152"/>
      <c r="G6" s="152"/>
    </row>
    <row r="7" spans="1:1024" s="38" customFormat="1" ht="38.25" customHeight="1">
      <c r="A7" s="33">
        <v>4</v>
      </c>
      <c r="B7" s="36" t="s">
        <v>22</v>
      </c>
      <c r="C7" s="152" t="s">
        <v>23</v>
      </c>
      <c r="D7" s="152"/>
      <c r="E7" s="152"/>
      <c r="F7" s="152"/>
      <c r="G7" s="152"/>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7"/>
      <c r="PL7" s="37"/>
      <c r="PM7" s="37"/>
      <c r="PN7" s="37"/>
      <c r="PO7" s="37"/>
      <c r="PP7" s="37"/>
      <c r="PQ7" s="37"/>
      <c r="PR7" s="37"/>
      <c r="PS7" s="37"/>
      <c r="PT7" s="37"/>
      <c r="PU7" s="37"/>
      <c r="PV7" s="37"/>
      <c r="PW7" s="37"/>
      <c r="PX7" s="37"/>
      <c r="PY7" s="37"/>
      <c r="PZ7" s="37"/>
      <c r="QA7" s="37"/>
      <c r="QB7" s="37"/>
      <c r="QC7" s="37"/>
      <c r="QD7" s="37"/>
      <c r="QE7" s="37"/>
      <c r="QF7" s="37"/>
      <c r="QG7" s="37"/>
      <c r="QH7" s="37"/>
      <c r="QI7" s="37"/>
      <c r="QJ7" s="37"/>
      <c r="QK7" s="37"/>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7"/>
      <c r="SM7" s="37"/>
      <c r="SN7" s="37"/>
      <c r="SO7" s="37"/>
      <c r="SP7" s="37"/>
      <c r="SQ7" s="37"/>
      <c r="SR7" s="37"/>
      <c r="SS7" s="37"/>
      <c r="ST7" s="37"/>
      <c r="SU7" s="37"/>
      <c r="SV7" s="37"/>
      <c r="SW7" s="37"/>
      <c r="SX7" s="37"/>
      <c r="SY7" s="37"/>
      <c r="SZ7" s="37"/>
      <c r="TA7" s="37"/>
      <c r="TB7" s="37"/>
      <c r="TC7" s="37"/>
      <c r="TD7" s="37"/>
      <c r="TE7" s="37"/>
      <c r="TF7" s="37"/>
      <c r="TG7" s="37"/>
      <c r="TH7" s="37"/>
      <c r="TI7" s="37"/>
      <c r="TJ7" s="37"/>
      <c r="TK7" s="37"/>
      <c r="TL7" s="37"/>
      <c r="TM7" s="37"/>
      <c r="TN7" s="37"/>
      <c r="TO7" s="37"/>
      <c r="TP7" s="37"/>
      <c r="TQ7" s="37"/>
      <c r="TR7" s="37"/>
      <c r="TS7" s="37"/>
      <c r="TT7" s="37"/>
      <c r="TU7" s="37"/>
      <c r="TV7" s="37"/>
      <c r="TW7" s="37"/>
      <c r="TX7" s="37"/>
      <c r="TY7" s="37"/>
      <c r="TZ7" s="37"/>
      <c r="UA7" s="37"/>
      <c r="UB7" s="37"/>
      <c r="UC7" s="37"/>
      <c r="UD7" s="37"/>
      <c r="UE7" s="37"/>
      <c r="UF7" s="37"/>
      <c r="UG7" s="37"/>
      <c r="UH7" s="37"/>
      <c r="UI7" s="37"/>
      <c r="UJ7" s="37"/>
      <c r="UK7" s="37"/>
      <c r="UL7" s="37"/>
      <c r="UM7" s="37"/>
      <c r="UN7" s="37"/>
      <c r="UO7" s="37"/>
      <c r="UP7" s="37"/>
      <c r="UQ7" s="37"/>
      <c r="UR7" s="37"/>
      <c r="US7" s="37"/>
      <c r="UT7" s="37"/>
      <c r="UU7" s="37"/>
      <c r="UV7" s="37"/>
      <c r="UW7" s="37"/>
      <c r="UX7" s="37"/>
      <c r="UY7" s="37"/>
      <c r="UZ7" s="37"/>
      <c r="VA7" s="37"/>
      <c r="VB7" s="37"/>
      <c r="VC7" s="37"/>
      <c r="VD7" s="37"/>
      <c r="VE7" s="37"/>
      <c r="VF7" s="37"/>
      <c r="VG7" s="37"/>
      <c r="VH7" s="37"/>
      <c r="VI7" s="37"/>
      <c r="VJ7" s="37"/>
      <c r="VK7" s="37"/>
      <c r="VL7" s="37"/>
      <c r="VM7" s="37"/>
      <c r="VN7" s="37"/>
      <c r="VO7" s="37"/>
      <c r="VP7" s="37"/>
      <c r="VQ7" s="37"/>
      <c r="VR7" s="37"/>
      <c r="VS7" s="37"/>
      <c r="VT7" s="37"/>
      <c r="VU7" s="37"/>
      <c r="VV7" s="37"/>
      <c r="VW7" s="37"/>
      <c r="VX7" s="37"/>
      <c r="VY7" s="37"/>
      <c r="VZ7" s="37"/>
      <c r="WA7" s="37"/>
      <c r="WB7" s="37"/>
      <c r="WC7" s="37"/>
      <c r="WD7" s="37"/>
      <c r="WE7" s="37"/>
      <c r="WF7" s="37"/>
      <c r="WG7" s="37"/>
      <c r="WH7" s="37"/>
      <c r="WI7" s="37"/>
      <c r="WJ7" s="37"/>
      <c r="WK7" s="37"/>
      <c r="WL7" s="37"/>
      <c r="WM7" s="37"/>
      <c r="WN7" s="37"/>
      <c r="WO7" s="37"/>
      <c r="WP7" s="37"/>
      <c r="WQ7" s="37"/>
      <c r="WR7" s="37"/>
      <c r="WS7" s="37"/>
      <c r="WT7" s="37"/>
      <c r="WU7" s="37"/>
      <c r="WV7" s="37"/>
      <c r="WW7" s="37"/>
      <c r="WX7" s="37"/>
      <c r="WY7" s="37"/>
      <c r="WZ7" s="37"/>
      <c r="XA7" s="37"/>
      <c r="XB7" s="37"/>
      <c r="XC7" s="37"/>
      <c r="XD7" s="37"/>
      <c r="XE7" s="37"/>
      <c r="XF7" s="37"/>
      <c r="XG7" s="37"/>
      <c r="XH7" s="37"/>
      <c r="XI7" s="37"/>
      <c r="XJ7" s="37"/>
      <c r="XK7" s="37"/>
      <c r="XL7" s="37"/>
      <c r="XM7" s="37"/>
      <c r="XN7" s="37"/>
      <c r="XO7" s="37"/>
      <c r="XP7" s="37"/>
      <c r="XQ7" s="37"/>
      <c r="XR7" s="37"/>
      <c r="XS7" s="37"/>
      <c r="XT7" s="37"/>
      <c r="XU7" s="37"/>
      <c r="XV7" s="37"/>
      <c r="XW7" s="37"/>
      <c r="XX7" s="37"/>
      <c r="XY7" s="37"/>
      <c r="XZ7" s="37"/>
      <c r="YA7" s="37"/>
      <c r="YB7" s="37"/>
      <c r="YC7" s="37"/>
      <c r="YD7" s="37"/>
      <c r="YE7" s="37"/>
      <c r="YF7" s="37"/>
      <c r="YG7" s="37"/>
      <c r="YH7" s="37"/>
      <c r="YI7" s="37"/>
      <c r="YJ7" s="37"/>
      <c r="YK7" s="37"/>
      <c r="YL7" s="37"/>
      <c r="YM7" s="37"/>
      <c r="YN7" s="37"/>
      <c r="YO7" s="37"/>
      <c r="YP7" s="37"/>
      <c r="YQ7" s="37"/>
      <c r="YR7" s="37"/>
      <c r="YS7" s="37"/>
      <c r="YT7" s="37"/>
      <c r="YU7" s="37"/>
      <c r="YV7" s="37"/>
      <c r="YW7" s="37"/>
      <c r="YX7" s="37"/>
      <c r="YY7" s="37"/>
      <c r="YZ7" s="37"/>
      <c r="ZA7" s="37"/>
      <c r="ZB7" s="37"/>
      <c r="ZC7" s="37"/>
      <c r="ZD7" s="37"/>
      <c r="ZE7" s="37"/>
      <c r="ZF7" s="37"/>
      <c r="ZG7" s="37"/>
      <c r="ZH7" s="37"/>
      <c r="ZI7" s="37"/>
      <c r="ZJ7" s="37"/>
      <c r="ZK7" s="37"/>
      <c r="ZL7" s="37"/>
      <c r="ZM7" s="37"/>
      <c r="ZN7" s="37"/>
      <c r="ZO7" s="37"/>
      <c r="ZP7" s="37"/>
      <c r="ZQ7" s="37"/>
      <c r="ZR7" s="37"/>
      <c r="ZS7" s="37"/>
      <c r="ZT7" s="37"/>
      <c r="ZU7" s="37"/>
      <c r="ZV7" s="37"/>
      <c r="ZW7" s="37"/>
      <c r="ZX7" s="37"/>
      <c r="ZY7" s="37"/>
      <c r="ZZ7" s="37"/>
      <c r="AAA7" s="37"/>
      <c r="AAB7" s="37"/>
      <c r="AAC7" s="37"/>
      <c r="AAD7" s="37"/>
      <c r="AAE7" s="37"/>
      <c r="AAF7" s="37"/>
      <c r="AAG7" s="37"/>
      <c r="AAH7" s="37"/>
      <c r="AAI7" s="37"/>
      <c r="AAJ7" s="37"/>
      <c r="AAK7" s="37"/>
      <c r="AAL7" s="37"/>
      <c r="AAM7" s="37"/>
      <c r="AAN7" s="37"/>
      <c r="AAO7" s="37"/>
      <c r="AAP7" s="37"/>
      <c r="AAQ7" s="37"/>
      <c r="AAR7" s="37"/>
      <c r="AAS7" s="37"/>
      <c r="AAT7" s="37"/>
      <c r="AAU7" s="37"/>
      <c r="AAV7" s="37"/>
      <c r="AAW7" s="37"/>
      <c r="AAX7" s="37"/>
      <c r="AAY7" s="37"/>
      <c r="AAZ7" s="37"/>
      <c r="ABA7" s="37"/>
      <c r="ABB7" s="37"/>
      <c r="ABC7" s="37"/>
      <c r="ABD7" s="37"/>
      <c r="ABE7" s="37"/>
      <c r="ABF7" s="37"/>
      <c r="ABG7" s="37"/>
      <c r="ABH7" s="37"/>
      <c r="ABI7" s="37"/>
      <c r="ABJ7" s="37"/>
      <c r="ABK7" s="37"/>
      <c r="ABL7" s="37"/>
      <c r="ABM7" s="37"/>
      <c r="ABN7" s="37"/>
      <c r="ABO7" s="37"/>
      <c r="ABP7" s="37"/>
      <c r="ABQ7" s="37"/>
      <c r="ABR7" s="37"/>
      <c r="ABS7" s="37"/>
      <c r="ABT7" s="37"/>
      <c r="ABU7" s="37"/>
      <c r="ABV7" s="37"/>
      <c r="ABW7" s="37"/>
      <c r="ABX7" s="37"/>
      <c r="ABY7" s="37"/>
      <c r="ABZ7" s="37"/>
      <c r="ACA7" s="37"/>
      <c r="ACB7" s="37"/>
      <c r="ACC7" s="37"/>
      <c r="ACD7" s="37"/>
      <c r="ACE7" s="37"/>
      <c r="ACF7" s="37"/>
      <c r="ACG7" s="37"/>
      <c r="ACH7" s="37"/>
      <c r="ACI7" s="37"/>
      <c r="ACJ7" s="37"/>
      <c r="ACK7" s="37"/>
      <c r="ACL7" s="37"/>
      <c r="ACM7" s="37"/>
      <c r="ACN7" s="37"/>
      <c r="ACO7" s="37"/>
      <c r="ACP7" s="37"/>
      <c r="ACQ7" s="37"/>
      <c r="ACR7" s="37"/>
      <c r="ACS7" s="37"/>
      <c r="ACT7" s="37"/>
      <c r="ACU7" s="37"/>
      <c r="ACV7" s="37"/>
      <c r="ACW7" s="37"/>
      <c r="ACX7" s="37"/>
      <c r="ACY7" s="37"/>
      <c r="ACZ7" s="37"/>
      <c r="ADA7" s="37"/>
      <c r="ADB7" s="37"/>
      <c r="ADC7" s="37"/>
      <c r="ADD7" s="37"/>
      <c r="ADE7" s="37"/>
      <c r="ADF7" s="37"/>
      <c r="ADG7" s="37"/>
      <c r="ADH7" s="37"/>
      <c r="ADI7" s="37"/>
      <c r="ADJ7" s="37"/>
      <c r="ADK7" s="37"/>
      <c r="ADL7" s="37"/>
      <c r="ADM7" s="37"/>
      <c r="ADN7" s="37"/>
      <c r="ADO7" s="37"/>
      <c r="ADP7" s="37"/>
      <c r="ADQ7" s="37"/>
      <c r="ADR7" s="37"/>
      <c r="ADS7" s="37"/>
      <c r="ADT7" s="37"/>
      <c r="ADU7" s="37"/>
      <c r="ADV7" s="37"/>
      <c r="ADW7" s="37"/>
      <c r="ADX7" s="37"/>
      <c r="ADY7" s="37"/>
      <c r="ADZ7" s="37"/>
      <c r="AEA7" s="37"/>
      <c r="AEB7" s="37"/>
      <c r="AEC7" s="37"/>
      <c r="AED7" s="37"/>
      <c r="AEE7" s="37"/>
      <c r="AEF7" s="37"/>
      <c r="AEG7" s="37"/>
      <c r="AEH7" s="37"/>
      <c r="AEI7" s="37"/>
      <c r="AEJ7" s="37"/>
      <c r="AEK7" s="37"/>
      <c r="AEL7" s="37"/>
      <c r="AEM7" s="37"/>
      <c r="AEN7" s="37"/>
      <c r="AEO7" s="37"/>
      <c r="AEP7" s="37"/>
      <c r="AEQ7" s="37"/>
      <c r="AER7" s="37"/>
      <c r="AES7" s="37"/>
      <c r="AET7" s="37"/>
      <c r="AEU7" s="37"/>
      <c r="AEV7" s="37"/>
      <c r="AEW7" s="37"/>
      <c r="AEX7" s="37"/>
      <c r="AEY7" s="37"/>
      <c r="AEZ7" s="37"/>
      <c r="AFA7" s="37"/>
      <c r="AFB7" s="37"/>
      <c r="AFC7" s="37"/>
      <c r="AFD7" s="37"/>
      <c r="AFE7" s="37"/>
      <c r="AFF7" s="37"/>
      <c r="AFG7" s="37"/>
      <c r="AFH7" s="37"/>
      <c r="AFI7" s="37"/>
      <c r="AFJ7" s="37"/>
      <c r="AFK7" s="37"/>
      <c r="AFL7" s="37"/>
      <c r="AFM7" s="37"/>
      <c r="AFN7" s="37"/>
      <c r="AFO7" s="37"/>
      <c r="AFP7" s="37"/>
      <c r="AFQ7" s="37"/>
      <c r="AFR7" s="37"/>
      <c r="AFS7" s="37"/>
      <c r="AFT7" s="37"/>
      <c r="AFU7" s="37"/>
      <c r="AFV7" s="37"/>
      <c r="AFW7" s="37"/>
      <c r="AFX7" s="37"/>
      <c r="AFY7" s="37"/>
      <c r="AFZ7" s="37"/>
      <c r="AGA7" s="37"/>
      <c r="AGB7" s="37"/>
      <c r="AGC7" s="37"/>
      <c r="AGD7" s="37"/>
      <c r="AGE7" s="37"/>
      <c r="AGF7" s="37"/>
      <c r="AGG7" s="37"/>
      <c r="AGH7" s="37"/>
      <c r="AGI7" s="37"/>
      <c r="AGJ7" s="37"/>
      <c r="AGK7" s="37"/>
      <c r="AGL7" s="37"/>
      <c r="AGM7" s="37"/>
      <c r="AGN7" s="37"/>
      <c r="AGO7" s="37"/>
      <c r="AGP7" s="37"/>
      <c r="AGQ7" s="37"/>
      <c r="AGR7" s="37"/>
      <c r="AGS7" s="37"/>
      <c r="AGT7" s="37"/>
      <c r="AGU7" s="37"/>
      <c r="AGV7" s="37"/>
      <c r="AGW7" s="37"/>
      <c r="AGX7" s="37"/>
      <c r="AGY7" s="37"/>
      <c r="AGZ7" s="37"/>
      <c r="AHA7" s="37"/>
      <c r="AHB7" s="37"/>
      <c r="AHC7" s="37"/>
      <c r="AHD7" s="37"/>
      <c r="AHE7" s="37"/>
      <c r="AHF7" s="37"/>
      <c r="AHG7" s="37"/>
      <c r="AHH7" s="37"/>
      <c r="AHI7" s="37"/>
      <c r="AHJ7" s="37"/>
      <c r="AHK7" s="37"/>
      <c r="AHL7" s="37"/>
      <c r="AHM7" s="37"/>
      <c r="AHN7" s="37"/>
      <c r="AHO7" s="37"/>
      <c r="AHP7" s="37"/>
      <c r="AHQ7" s="37"/>
      <c r="AHR7" s="37"/>
      <c r="AHS7" s="37"/>
      <c r="AHT7" s="37"/>
      <c r="AHU7" s="37"/>
      <c r="AHV7" s="37"/>
      <c r="AHW7" s="37"/>
      <c r="AHX7" s="37"/>
      <c r="AHY7" s="37"/>
      <c r="AHZ7" s="37"/>
      <c r="AIA7" s="37"/>
      <c r="AIB7" s="37"/>
      <c r="AIC7" s="37"/>
      <c r="AID7" s="37"/>
      <c r="AIE7" s="37"/>
      <c r="AIF7" s="37"/>
      <c r="AIG7" s="37"/>
      <c r="AIH7" s="37"/>
      <c r="AII7" s="37"/>
      <c r="AIJ7" s="37"/>
      <c r="AIK7" s="37"/>
      <c r="AIL7" s="37"/>
      <c r="AIM7" s="37"/>
      <c r="AIN7" s="37"/>
      <c r="AIO7" s="37"/>
      <c r="AIP7" s="37"/>
      <c r="AIQ7" s="37"/>
      <c r="AIR7" s="37"/>
      <c r="AIS7" s="37"/>
      <c r="AIT7" s="37"/>
      <c r="AIU7" s="37"/>
      <c r="AIV7" s="37"/>
      <c r="AIW7" s="37"/>
      <c r="AIX7" s="37"/>
      <c r="AIY7" s="37"/>
      <c r="AIZ7" s="37"/>
      <c r="AJA7" s="37"/>
      <c r="AJB7" s="37"/>
      <c r="AJC7" s="37"/>
      <c r="AJD7" s="37"/>
      <c r="AJE7" s="37"/>
      <c r="AJF7" s="37"/>
      <c r="AJG7" s="37"/>
      <c r="AJH7" s="37"/>
      <c r="AJI7" s="37"/>
      <c r="AJJ7" s="37"/>
      <c r="AJK7" s="37"/>
      <c r="AJL7" s="37"/>
      <c r="AJM7" s="37"/>
      <c r="AJN7" s="37"/>
      <c r="AJO7" s="37"/>
      <c r="AJP7" s="37"/>
      <c r="AJQ7" s="37"/>
      <c r="AJR7" s="37"/>
      <c r="AJS7" s="37"/>
      <c r="AJT7" s="37"/>
      <c r="AJU7" s="37"/>
      <c r="AJV7" s="37"/>
      <c r="AJW7" s="37"/>
      <c r="AJX7" s="37"/>
      <c r="AJY7" s="37"/>
      <c r="AJZ7" s="37"/>
      <c r="AKA7" s="37"/>
      <c r="AKB7" s="37"/>
      <c r="AKC7" s="37"/>
      <c r="AKD7" s="37"/>
      <c r="AKE7" s="37"/>
      <c r="AKF7" s="37"/>
      <c r="AKG7" s="37"/>
      <c r="AKH7" s="37"/>
      <c r="AKI7" s="37"/>
      <c r="AKJ7" s="37"/>
      <c r="AKK7" s="37"/>
      <c r="AKL7" s="37"/>
      <c r="AKM7" s="37"/>
      <c r="AKN7" s="37"/>
      <c r="AKO7" s="37"/>
      <c r="AKP7" s="37"/>
      <c r="AKQ7" s="37"/>
      <c r="AKR7" s="37"/>
      <c r="AKS7" s="37"/>
      <c r="AKT7" s="37"/>
      <c r="AKU7" s="37"/>
      <c r="AKV7" s="37"/>
      <c r="AKW7" s="37"/>
      <c r="AKX7" s="37"/>
      <c r="AKY7" s="37"/>
      <c r="AKZ7" s="37"/>
      <c r="ALA7" s="37"/>
      <c r="ALB7" s="37"/>
      <c r="ALC7" s="37"/>
      <c r="ALD7" s="37"/>
      <c r="ALE7" s="37"/>
      <c r="ALF7" s="37"/>
      <c r="ALG7" s="37"/>
      <c r="ALH7" s="37"/>
      <c r="ALI7" s="37"/>
      <c r="ALJ7" s="37"/>
      <c r="ALK7" s="37"/>
      <c r="ALL7" s="37"/>
      <c r="ALM7" s="37"/>
      <c r="ALN7" s="37"/>
      <c r="ALO7" s="37"/>
      <c r="ALP7" s="37"/>
      <c r="ALQ7" s="37"/>
      <c r="ALR7" s="37"/>
      <c r="ALS7" s="37"/>
      <c r="ALT7" s="37"/>
      <c r="ALU7" s="37"/>
      <c r="ALV7" s="37"/>
      <c r="ALW7" s="37"/>
      <c r="ALX7" s="37"/>
      <c r="ALY7" s="37"/>
      <c r="ALZ7" s="37"/>
      <c r="AMA7" s="37"/>
      <c r="AMB7" s="37"/>
      <c r="AMC7" s="37"/>
      <c r="AMD7" s="37"/>
      <c r="AME7" s="37"/>
      <c r="AMF7" s="37"/>
      <c r="AMG7" s="37"/>
      <c r="AMH7" s="37"/>
      <c r="AMI7" s="37"/>
      <c r="AMJ7" s="37"/>
    </row>
    <row r="8" spans="1:1024" ht="14.25" customHeight="1">
      <c r="A8" s="33">
        <v>5</v>
      </c>
      <c r="B8" s="35" t="s">
        <v>24</v>
      </c>
      <c r="C8" s="152" t="s">
        <v>25</v>
      </c>
      <c r="D8" s="152"/>
      <c r="E8" s="152"/>
      <c r="F8" s="152"/>
      <c r="G8" s="152"/>
    </row>
    <row r="9" spans="1:1024" ht="14.25" customHeight="1">
      <c r="A9" s="33">
        <v>6</v>
      </c>
      <c r="B9" s="35" t="s">
        <v>26</v>
      </c>
      <c r="C9" s="152" t="s">
        <v>25</v>
      </c>
      <c r="D9" s="152"/>
      <c r="E9" s="152"/>
      <c r="F9" s="152"/>
      <c r="G9" s="152"/>
    </row>
    <row r="10" spans="1:1024" ht="15" customHeight="1">
      <c r="A10" s="39"/>
      <c r="B10" s="40"/>
      <c r="C10" s="40"/>
      <c r="D10" s="40"/>
      <c r="E10" s="40"/>
    </row>
    <row r="11" spans="1:1024" ht="14.25" customHeight="1">
      <c r="A11" s="41" t="s">
        <v>27</v>
      </c>
      <c r="B11" s="41" t="s">
        <v>28</v>
      </c>
      <c r="C11" s="153" t="s">
        <v>29</v>
      </c>
      <c r="D11" s="153"/>
      <c r="E11" s="153"/>
      <c r="F11" s="41" t="s">
        <v>30</v>
      </c>
      <c r="G11" s="41" t="s">
        <v>31</v>
      </c>
    </row>
    <row r="12" spans="1:1024" ht="14.25" customHeight="1">
      <c r="A12" s="42">
        <v>46157</v>
      </c>
      <c r="B12" s="43" t="s">
        <v>32</v>
      </c>
      <c r="C12" s="154" t="s">
        <v>33</v>
      </c>
      <c r="D12" s="154"/>
      <c r="E12" s="154"/>
      <c r="F12" s="44">
        <v>1</v>
      </c>
      <c r="G12" s="45"/>
    </row>
  </sheetData>
  <mergeCells count="9">
    <mergeCell ref="C8:G8"/>
    <mergeCell ref="C9:G9"/>
    <mergeCell ref="C11:E11"/>
    <mergeCell ref="C12:E12"/>
    <mergeCell ref="C3:G3"/>
    <mergeCell ref="C4:G4"/>
    <mergeCell ref="C5:G5"/>
    <mergeCell ref="C6:G6"/>
    <mergeCell ref="C7:G7"/>
  </mergeCells>
  <hyperlinks>
    <hyperlink ref="B4" location="Cover!A1" display="Cover" xr:uid="{00000000-0004-0000-0100-000000000000}"/>
    <hyperlink ref="B5" location="Records!A1" display="Records" xr:uid="{00000000-0004-0000-0100-000001000000}"/>
    <hyperlink ref="B6" location="'Test Report'!A1" display="Test Report" xr:uid="{00000000-0004-0000-0100-000002000000}"/>
    <hyperlink ref="B7" location="Testconfig!A1" display="Test config" xr:uid="{00000000-0004-0000-0100-000003000000}"/>
    <hyperlink ref="B8" location="'Testcase KHCN'!A1" display="Testcase KHCN" xr:uid="{00000000-0004-0000-0100-000004000000}"/>
    <hyperlink ref="B9" location="'Testcase KHTC'!A1" display="Testcase KHTC" xr:uid="{00000000-0004-0000-0100-000005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G28"/>
  <sheetViews>
    <sheetView tabSelected="1" zoomScaleNormal="100" workbookViewId="0">
      <selection activeCell="B16" sqref="B16"/>
    </sheetView>
  </sheetViews>
  <sheetFormatPr defaultColWidth="8.5703125" defaultRowHeight="14.25"/>
  <cols>
    <col min="1" max="1" width="24.140625" style="38" customWidth="1"/>
    <col min="2" max="2" width="15.42578125" style="38" customWidth="1"/>
    <col min="3" max="3" width="16" style="38" customWidth="1"/>
    <col min="4" max="7" width="15.42578125" style="38" customWidth="1"/>
    <col min="8" max="16384" width="8.5703125" style="38"/>
  </cols>
  <sheetData>
    <row r="1" spans="1:7" ht="14.25" customHeight="1">
      <c r="A1" s="46"/>
      <c r="B1" s="47"/>
      <c r="C1" s="47"/>
      <c r="D1" s="47"/>
      <c r="E1" s="47"/>
      <c r="F1" s="47"/>
      <c r="G1" s="48"/>
    </row>
    <row r="2" spans="1:7" ht="27.75" customHeight="1">
      <c r="A2" s="49"/>
      <c r="B2" s="50" t="s">
        <v>34</v>
      </c>
      <c r="C2" s="49"/>
      <c r="D2" s="49"/>
      <c r="E2" s="49"/>
      <c r="F2" s="49"/>
      <c r="G2" s="49"/>
    </row>
    <row r="3" spans="1:7" ht="14.25" customHeight="1">
      <c r="A3" s="49"/>
      <c r="B3" s="49"/>
      <c r="C3" s="49"/>
      <c r="D3" s="49"/>
      <c r="E3" s="49"/>
      <c r="F3" s="49"/>
      <c r="G3" s="49"/>
    </row>
    <row r="4" spans="1:7" ht="15" customHeight="1">
      <c r="A4" s="49"/>
      <c r="B4" s="49"/>
      <c r="C4" s="49"/>
      <c r="D4" s="49"/>
      <c r="E4" s="49"/>
      <c r="F4" s="49"/>
      <c r="G4" s="49"/>
    </row>
    <row r="5" spans="1:7" ht="27.75" customHeight="1">
      <c r="A5" s="51" t="s">
        <v>35</v>
      </c>
      <c r="B5" s="136" t="s">
        <v>2</v>
      </c>
      <c r="C5" s="136"/>
      <c r="D5" s="52" t="s">
        <v>36</v>
      </c>
      <c r="E5" s="137"/>
      <c r="F5" s="137"/>
      <c r="G5" s="137"/>
    </row>
    <row r="6" spans="1:7" ht="14.25" customHeight="1">
      <c r="A6" s="53" t="s">
        <v>37</v>
      </c>
      <c r="B6" s="138"/>
      <c r="C6" s="138"/>
      <c r="D6" s="54" t="s">
        <v>38</v>
      </c>
      <c r="E6" s="139"/>
      <c r="F6" s="139"/>
      <c r="G6" s="139"/>
    </row>
    <row r="7" spans="1:7" ht="14.25" customHeight="1">
      <c r="A7" s="53" t="s">
        <v>39</v>
      </c>
      <c r="B7" s="140"/>
      <c r="C7" s="140"/>
      <c r="D7" s="54" t="s">
        <v>40</v>
      </c>
      <c r="E7" s="141"/>
      <c r="F7" s="141"/>
      <c r="G7" s="141"/>
    </row>
    <row r="8" spans="1:7" ht="14.25" customHeight="1">
      <c r="A8" s="53" t="s">
        <v>41</v>
      </c>
      <c r="B8" s="140"/>
      <c r="C8" s="140"/>
      <c r="D8" s="54" t="s">
        <v>42</v>
      </c>
      <c r="E8" s="139"/>
      <c r="F8" s="139"/>
      <c r="G8" s="139"/>
    </row>
    <row r="9" spans="1:7" ht="14.25" customHeight="1">
      <c r="A9" s="53" t="s">
        <v>43</v>
      </c>
      <c r="B9" s="55" t="s">
        <v>44</v>
      </c>
      <c r="C9" s="56"/>
      <c r="D9" s="54"/>
      <c r="E9" s="57"/>
      <c r="F9" s="58"/>
      <c r="G9" s="59"/>
    </row>
    <row r="10" spans="1:7" ht="14.25" customHeight="1">
      <c r="A10" s="53" t="s">
        <v>45</v>
      </c>
      <c r="B10" s="142"/>
      <c r="C10" s="142"/>
      <c r="D10" s="54"/>
      <c r="E10" s="139"/>
      <c r="F10" s="139"/>
      <c r="G10" s="139"/>
    </row>
    <row r="11" spans="1:7" ht="15" customHeight="1">
      <c r="A11" s="143" t="s">
        <v>46</v>
      </c>
      <c r="B11" s="143"/>
      <c r="C11" s="60"/>
      <c r="D11" s="60"/>
      <c r="E11" s="60"/>
      <c r="F11" s="60"/>
      <c r="G11" s="61"/>
    </row>
    <row r="12" spans="1:7" ht="14.25" customHeight="1">
      <c r="A12" s="62" t="s">
        <v>47</v>
      </c>
      <c r="B12" s="63"/>
      <c r="C12" s="64"/>
      <c r="D12" s="64"/>
      <c r="E12" s="64"/>
      <c r="F12" s="64"/>
      <c r="G12" s="65"/>
    </row>
    <row r="13" spans="1:7" ht="14.25" customHeight="1">
      <c r="A13" s="66" t="s">
        <v>48</v>
      </c>
      <c r="B13" s="67"/>
      <c r="C13" s="68"/>
      <c r="D13" s="68"/>
      <c r="E13" s="68"/>
      <c r="F13" s="68"/>
      <c r="G13" s="69"/>
    </row>
    <row r="14" spans="1:7" ht="14.25" customHeight="1">
      <c r="A14" s="70" t="s">
        <v>49</v>
      </c>
      <c r="B14" s="71" t="s">
        <v>50</v>
      </c>
      <c r="C14" s="72" t="s">
        <v>51</v>
      </c>
      <c r="D14" s="72" t="s">
        <v>52</v>
      </c>
      <c r="E14" s="72" t="s">
        <v>53</v>
      </c>
      <c r="F14" s="73" t="s">
        <v>54</v>
      </c>
      <c r="G14" s="74" t="s">
        <v>55</v>
      </c>
    </row>
    <row r="15" spans="1:7" ht="14.25" customHeight="1">
      <c r="A15" s="75"/>
      <c r="B15" s="76">
        <f>B16</f>
        <v>0</v>
      </c>
      <c r="C15" s="76">
        <f>C16</f>
        <v>0</v>
      </c>
      <c r="D15" s="76">
        <f>D16</f>
        <v>0</v>
      </c>
      <c r="E15" s="76">
        <f>E16</f>
        <v>0</v>
      </c>
      <c r="F15" s="76">
        <f>F16</f>
        <v>0</v>
      </c>
      <c r="G15" s="77">
        <f>SUM(B15:F15)</f>
        <v>0</v>
      </c>
    </row>
    <row r="16" spans="1:7" ht="14.25" customHeight="1">
      <c r="A16" s="78" t="s">
        <v>56</v>
      </c>
      <c r="B16" s="79"/>
      <c r="C16" s="79"/>
      <c r="D16" s="79"/>
      <c r="E16" s="79"/>
      <c r="F16" s="79"/>
      <c r="G16" s="80"/>
    </row>
    <row r="17" spans="1:7" ht="14.25" customHeight="1">
      <c r="A17" s="81" t="s">
        <v>57</v>
      </c>
      <c r="B17" s="82"/>
      <c r="C17" s="83"/>
      <c r="D17" s="83"/>
      <c r="E17" s="84"/>
      <c r="F17" s="84"/>
      <c r="G17" s="85"/>
    </row>
    <row r="18" spans="1:7" ht="14.25" customHeight="1">
      <c r="A18" s="78" t="s">
        <v>57</v>
      </c>
      <c r="B18" s="86"/>
      <c r="C18" s="86"/>
      <c r="D18" s="86"/>
      <c r="E18" s="87"/>
      <c r="F18" s="88"/>
      <c r="G18" s="89"/>
    </row>
    <row r="19" spans="1:7" ht="14.25" customHeight="1">
      <c r="A19" s="90" t="s">
        <v>58</v>
      </c>
      <c r="B19" s="91"/>
      <c r="C19" s="91"/>
      <c r="D19" s="91"/>
      <c r="E19" s="92"/>
      <c r="F19" s="88"/>
      <c r="G19" s="89"/>
    </row>
    <row r="20" spans="1:7" ht="14.25" customHeight="1">
      <c r="A20" s="81" t="s">
        <v>59</v>
      </c>
      <c r="B20" s="82" t="s">
        <v>4</v>
      </c>
      <c r="C20" s="83"/>
      <c r="D20" s="83"/>
      <c r="E20" s="84"/>
      <c r="F20" s="84"/>
      <c r="G20" s="93"/>
    </row>
    <row r="21" spans="1:7" ht="14.25" customHeight="1">
      <c r="A21" s="90" t="s">
        <v>60</v>
      </c>
      <c r="B21" s="94"/>
      <c r="C21" s="95"/>
      <c r="D21" s="95"/>
      <c r="E21" s="95"/>
      <c r="F21" s="95"/>
      <c r="G21" s="96"/>
    </row>
    <row r="22" spans="1:7" ht="14.25" customHeight="1">
      <c r="A22" s="90" t="s">
        <v>61</v>
      </c>
      <c r="B22" s="94"/>
      <c r="C22" s="95"/>
      <c r="D22" s="95"/>
      <c r="E22" s="95"/>
      <c r="F22" s="95"/>
      <c r="G22" s="96"/>
    </row>
    <row r="28" spans="1:7" ht="14.25" customHeight="1">
      <c r="E28" s="38" t="s">
        <v>62</v>
      </c>
    </row>
  </sheetData>
  <mergeCells count="11">
    <mergeCell ref="B8:C8"/>
    <mergeCell ref="E8:G8"/>
    <mergeCell ref="B10:C10"/>
    <mergeCell ref="E10:G10"/>
    <mergeCell ref="A11:B11"/>
    <mergeCell ref="B5:C5"/>
    <mergeCell ref="E5:G5"/>
    <mergeCell ref="B6:C6"/>
    <mergeCell ref="E6:G6"/>
    <mergeCell ref="B7:C7"/>
    <mergeCell ref="E7:G7"/>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6:C19"/>
  <sheetViews>
    <sheetView zoomScaleNormal="100" workbookViewId="0">
      <selection activeCell="C6" sqref="C6"/>
    </sheetView>
  </sheetViews>
  <sheetFormatPr defaultColWidth="8.7109375" defaultRowHeight="14.25"/>
  <cols>
    <col min="3" max="3" width="14" customWidth="1"/>
  </cols>
  <sheetData>
    <row r="6" spans="3:3" ht="26.25" customHeight="1">
      <c r="C6" s="97" t="s">
        <v>63</v>
      </c>
    </row>
    <row r="7" spans="3:3" ht="26.25" customHeight="1">
      <c r="C7" s="97" t="s">
        <v>64</v>
      </c>
    </row>
    <row r="8" spans="3:3" ht="39" customHeight="1">
      <c r="C8" s="97" t="s">
        <v>65</v>
      </c>
    </row>
    <row r="9" spans="3:3" ht="26.25" customHeight="1">
      <c r="C9" s="97" t="s">
        <v>66</v>
      </c>
    </row>
    <row r="10" spans="3:3" ht="26.25" customHeight="1">
      <c r="C10" s="97" t="s">
        <v>67</v>
      </c>
    </row>
    <row r="11" spans="3:3" ht="26.25" customHeight="1">
      <c r="C11" s="97" t="s">
        <v>68</v>
      </c>
    </row>
    <row r="12" spans="3:3" ht="39" customHeight="1">
      <c r="C12" s="97" t="s">
        <v>43</v>
      </c>
    </row>
    <row r="13" spans="3:3" ht="14.25" customHeight="1">
      <c r="C13" s="97" t="s">
        <v>69</v>
      </c>
    </row>
    <row r="14" spans="3:3" ht="26.25" customHeight="1">
      <c r="C14" s="97" t="s">
        <v>70</v>
      </c>
    </row>
    <row r="15" spans="3:3" ht="26.25" customHeight="1">
      <c r="C15" s="97" t="s">
        <v>71</v>
      </c>
    </row>
    <row r="16" spans="3:3" ht="26.25" customHeight="1">
      <c r="C16" s="97" t="s">
        <v>72</v>
      </c>
    </row>
    <row r="17" spans="3:3" ht="26.25" customHeight="1">
      <c r="C17" s="97" t="s">
        <v>73</v>
      </c>
    </row>
    <row r="18" spans="3:3" ht="14.25" customHeight="1">
      <c r="C18" s="97" t="s">
        <v>74</v>
      </c>
    </row>
    <row r="19" spans="3:3" ht="14.25" customHeight="1">
      <c r="C19" s="97" t="s">
        <v>75</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89"/>
  <sheetViews>
    <sheetView topLeftCell="A15" zoomScaleNormal="100" workbookViewId="0">
      <selection activeCell="A13" sqref="A13:B13"/>
    </sheetView>
  </sheetViews>
  <sheetFormatPr defaultColWidth="8.7109375" defaultRowHeight="14.25"/>
  <cols>
    <col min="1" max="1" width="24.5703125" customWidth="1"/>
    <col min="2" max="2" width="75.28515625" customWidth="1"/>
  </cols>
  <sheetData>
    <row r="1" spans="1:2" ht="15" customHeight="1">
      <c r="A1" s="157" t="s">
        <v>76</v>
      </c>
      <c r="B1" s="157"/>
    </row>
    <row r="2" spans="1:2" ht="15" customHeight="1">
      <c r="A2" s="156" t="s">
        <v>77</v>
      </c>
      <c r="B2" s="156"/>
    </row>
    <row r="3" spans="1:2" ht="15" customHeight="1">
      <c r="A3" s="98" t="s">
        <v>78</v>
      </c>
      <c r="B3" s="98" t="s">
        <v>79</v>
      </c>
    </row>
    <row r="4" spans="1:2" ht="15" customHeight="1">
      <c r="A4" s="99" t="s">
        <v>80</v>
      </c>
      <c r="B4" s="99" t="s">
        <v>81</v>
      </c>
    </row>
    <row r="5" spans="1:2" ht="15" customHeight="1">
      <c r="A5" s="100" t="s">
        <v>82</v>
      </c>
      <c r="B5" s="101" t="s">
        <v>83</v>
      </c>
    </row>
    <row r="6" spans="1:2" ht="15" customHeight="1">
      <c r="A6" s="100" t="s">
        <v>44</v>
      </c>
      <c r="B6" s="101" t="s">
        <v>84</v>
      </c>
    </row>
    <row r="7" spans="1:2" ht="15" customHeight="1">
      <c r="A7" s="100" t="s">
        <v>85</v>
      </c>
      <c r="B7" s="101" t="s">
        <v>86</v>
      </c>
    </row>
    <row r="8" spans="1:2" ht="15" customHeight="1">
      <c r="A8" s="100" t="s">
        <v>87</v>
      </c>
      <c r="B8" s="101" t="s">
        <v>88</v>
      </c>
    </row>
    <row r="9" spans="1:2" ht="15" customHeight="1">
      <c r="A9" s="100" t="s">
        <v>89</v>
      </c>
      <c r="B9" s="101" t="s">
        <v>90</v>
      </c>
    </row>
    <row r="10" spans="1:2" ht="15" customHeight="1">
      <c r="A10" s="102"/>
      <c r="B10" s="102"/>
    </row>
    <row r="11" spans="1:2" ht="15" customHeight="1">
      <c r="A11" s="103"/>
      <c r="B11" s="103"/>
    </row>
    <row r="12" spans="1:2" ht="15" customHeight="1">
      <c r="A12" s="157" t="s">
        <v>91</v>
      </c>
      <c r="B12" s="157"/>
    </row>
    <row r="13" spans="1:2" ht="15" customHeight="1">
      <c r="A13" s="156" t="s">
        <v>69</v>
      </c>
      <c r="B13" s="156"/>
    </row>
    <row r="14" spans="1:2" ht="15" customHeight="1">
      <c r="A14" s="98" t="s">
        <v>78</v>
      </c>
      <c r="B14" s="98" t="s">
        <v>79</v>
      </c>
    </row>
    <row r="15" spans="1:2" ht="15" customHeight="1">
      <c r="A15" s="99" t="s">
        <v>80</v>
      </c>
      <c r="B15" s="99" t="s">
        <v>81</v>
      </c>
    </row>
    <row r="16" spans="1:2" ht="15" customHeight="1">
      <c r="A16" s="104" t="s">
        <v>92</v>
      </c>
      <c r="B16" s="105" t="s">
        <v>93</v>
      </c>
    </row>
    <row r="17" spans="1:6" ht="15" customHeight="1">
      <c r="A17" s="104" t="s">
        <v>94</v>
      </c>
      <c r="B17" s="105" t="s">
        <v>95</v>
      </c>
    </row>
    <row r="18" spans="1:6" ht="15" customHeight="1">
      <c r="A18" s="104" t="s">
        <v>96</v>
      </c>
      <c r="B18" s="105" t="s">
        <v>97</v>
      </c>
    </row>
    <row r="19" spans="1:6" ht="15" customHeight="1">
      <c r="A19" s="102"/>
      <c r="B19" s="102"/>
    </row>
    <row r="20" spans="1:6" ht="15" customHeight="1">
      <c r="A20" s="157" t="s">
        <v>98</v>
      </c>
      <c r="B20" s="157"/>
      <c r="F20" s="106" t="s">
        <v>50</v>
      </c>
    </row>
    <row r="21" spans="1:6" ht="15" customHeight="1">
      <c r="A21" s="156" t="s">
        <v>70</v>
      </c>
      <c r="B21" s="156"/>
      <c r="F21" s="106" t="s">
        <v>51</v>
      </c>
    </row>
    <row r="22" spans="1:6" ht="15" customHeight="1">
      <c r="A22" s="98" t="s">
        <v>78</v>
      </c>
      <c r="B22" s="98" t="s">
        <v>79</v>
      </c>
      <c r="F22" s="106" t="s">
        <v>54</v>
      </c>
    </row>
    <row r="23" spans="1:6" ht="15" customHeight="1">
      <c r="A23" s="99" t="s">
        <v>80</v>
      </c>
      <c r="B23" s="99" t="s">
        <v>81</v>
      </c>
      <c r="F23" s="106" t="s">
        <v>52</v>
      </c>
    </row>
    <row r="24" spans="1:6" ht="15" customHeight="1">
      <c r="A24" s="104" t="s">
        <v>99</v>
      </c>
      <c r="B24" s="105" t="s">
        <v>100</v>
      </c>
      <c r="F24" s="106" t="s">
        <v>101</v>
      </c>
    </row>
    <row r="25" spans="1:6" ht="15" customHeight="1">
      <c r="A25" s="104" t="s">
        <v>102</v>
      </c>
      <c r="B25" s="105" t="s">
        <v>103</v>
      </c>
      <c r="F25" s="107" t="s">
        <v>104</v>
      </c>
    </row>
    <row r="26" spans="1:6" ht="15" customHeight="1">
      <c r="A26" s="103"/>
      <c r="B26" s="103"/>
    </row>
    <row r="27" spans="1:6" ht="15" customHeight="1">
      <c r="A27" s="157" t="s">
        <v>105</v>
      </c>
      <c r="B27" s="157"/>
    </row>
    <row r="28" spans="1:6" ht="15" customHeight="1">
      <c r="A28" s="156" t="s">
        <v>106</v>
      </c>
      <c r="B28" s="156"/>
    </row>
    <row r="29" spans="1:6" ht="15" customHeight="1">
      <c r="A29" s="98" t="s">
        <v>78</v>
      </c>
      <c r="B29" s="98" t="s">
        <v>79</v>
      </c>
    </row>
    <row r="30" spans="1:6" ht="15" customHeight="1">
      <c r="A30" s="99" t="s">
        <v>80</v>
      </c>
      <c r="B30" s="99" t="s">
        <v>81</v>
      </c>
    </row>
    <row r="31" spans="1:6" ht="15" customHeight="1">
      <c r="A31" s="108" t="s">
        <v>54</v>
      </c>
      <c r="B31" s="105" t="s">
        <v>107</v>
      </c>
    </row>
    <row r="32" spans="1:6" ht="15" customHeight="1">
      <c r="A32" s="109" t="s">
        <v>50</v>
      </c>
      <c r="B32" s="105" t="s">
        <v>108</v>
      </c>
    </row>
    <row r="33" spans="1:2" ht="15" customHeight="1">
      <c r="A33" s="110" t="s">
        <v>51</v>
      </c>
      <c r="B33" s="105" t="s">
        <v>109</v>
      </c>
    </row>
    <row r="34" spans="1:2" ht="15" customHeight="1">
      <c r="A34" s="158" t="s">
        <v>101</v>
      </c>
      <c r="B34" s="105" t="s">
        <v>101</v>
      </c>
    </row>
    <row r="35" spans="1:2" ht="30.75" customHeight="1">
      <c r="A35" s="158"/>
      <c r="B35" s="111" t="s">
        <v>110</v>
      </c>
    </row>
    <row r="36" spans="1:2" ht="15" customHeight="1">
      <c r="A36" s="112" t="s">
        <v>104</v>
      </c>
      <c r="B36" s="105" t="s">
        <v>111</v>
      </c>
    </row>
    <row r="37" spans="1:2" ht="15" customHeight="1">
      <c r="A37" s="100" t="s">
        <v>55</v>
      </c>
      <c r="B37" s="101" t="s">
        <v>112</v>
      </c>
    </row>
    <row r="38" spans="1:2" ht="15" customHeight="1">
      <c r="A38" s="100" t="s">
        <v>113</v>
      </c>
      <c r="B38" s="101" t="s">
        <v>114</v>
      </c>
    </row>
    <row r="39" spans="1:2" ht="15" customHeight="1">
      <c r="A39" s="100" t="s">
        <v>115</v>
      </c>
      <c r="B39" s="101" t="s">
        <v>116</v>
      </c>
    </row>
    <row r="40" spans="1:2" ht="15" customHeight="1">
      <c r="A40" s="103"/>
      <c r="B40" s="103"/>
    </row>
    <row r="41" spans="1:2" ht="15" customHeight="1">
      <c r="A41" s="102"/>
      <c r="B41" s="102"/>
    </row>
    <row r="42" spans="1:2" ht="15" customHeight="1">
      <c r="A42" s="102"/>
      <c r="B42" s="102"/>
    </row>
    <row r="43" spans="1:2" ht="15" customHeight="1">
      <c r="A43" s="102"/>
      <c r="B43" s="102"/>
    </row>
    <row r="44" spans="1:2" ht="15" customHeight="1">
      <c r="A44" s="102"/>
      <c r="B44" s="102"/>
    </row>
    <row r="45" spans="1:2" ht="15" customHeight="1">
      <c r="A45" s="102"/>
      <c r="B45" s="102"/>
    </row>
    <row r="46" spans="1:2" ht="15" customHeight="1">
      <c r="A46" s="102"/>
      <c r="B46" s="102"/>
    </row>
    <row r="47" spans="1:2" ht="15" customHeight="1">
      <c r="A47" s="102"/>
      <c r="B47" s="102"/>
    </row>
    <row r="48" spans="1:2" ht="15" customHeight="1">
      <c r="A48" s="102"/>
      <c r="B48" s="102"/>
    </row>
    <row r="49" spans="1:2" ht="15" customHeight="1">
      <c r="A49" s="102"/>
      <c r="B49" s="102"/>
    </row>
    <row r="50" spans="1:2" ht="15" customHeight="1">
      <c r="A50" s="102"/>
      <c r="B50" s="102"/>
    </row>
    <row r="51" spans="1:2" ht="15" customHeight="1">
      <c r="A51" s="102"/>
      <c r="B51" s="102"/>
    </row>
    <row r="52" spans="1:2" ht="15" customHeight="1">
      <c r="A52" s="102"/>
      <c r="B52" s="102"/>
    </row>
    <row r="53" spans="1:2" ht="15" customHeight="1">
      <c r="A53" s="102"/>
      <c r="B53" s="102"/>
    </row>
    <row r="54" spans="1:2" ht="15" customHeight="1">
      <c r="A54" s="102"/>
      <c r="B54" s="102"/>
    </row>
    <row r="55" spans="1:2" ht="15" customHeight="1">
      <c r="A55" s="102"/>
      <c r="B55" s="102"/>
    </row>
    <row r="56" spans="1:2" ht="15" customHeight="1">
      <c r="A56" s="102"/>
      <c r="B56" s="102"/>
    </row>
    <row r="57" spans="1:2" ht="15" customHeight="1">
      <c r="A57" s="102"/>
      <c r="B57" s="102"/>
    </row>
    <row r="58" spans="1:2" ht="15" customHeight="1">
      <c r="A58" s="102"/>
      <c r="B58" s="102"/>
    </row>
    <row r="59" spans="1:2" ht="15" customHeight="1">
      <c r="A59" s="102"/>
      <c r="B59" s="102"/>
    </row>
    <row r="60" spans="1:2" ht="15" customHeight="1">
      <c r="A60" s="102"/>
      <c r="B60" s="102"/>
    </row>
    <row r="61" spans="1:2" ht="15" customHeight="1">
      <c r="A61" s="102"/>
      <c r="B61" s="102"/>
    </row>
    <row r="62" spans="1:2" ht="15" customHeight="1">
      <c r="A62" s="102"/>
      <c r="B62" s="102"/>
    </row>
    <row r="63" spans="1:2" ht="15" customHeight="1">
      <c r="A63" s="102"/>
      <c r="B63" s="102"/>
    </row>
    <row r="64" spans="1:2" ht="15" customHeight="1">
      <c r="A64" s="102"/>
      <c r="B64" s="102"/>
    </row>
    <row r="65" spans="1:2" ht="15" customHeight="1">
      <c r="A65" s="102"/>
      <c r="B65" s="102"/>
    </row>
    <row r="66" spans="1:2" ht="15" customHeight="1">
      <c r="A66" s="102"/>
      <c r="B66" s="102"/>
    </row>
    <row r="67" spans="1:2" ht="15" customHeight="1">
      <c r="A67" s="102"/>
      <c r="B67" s="102"/>
    </row>
    <row r="68" spans="1:2" ht="15" customHeight="1">
      <c r="A68" s="102"/>
      <c r="B68" s="102"/>
    </row>
    <row r="69" spans="1:2" ht="15" customHeight="1">
      <c r="A69" s="102"/>
      <c r="B69" s="102"/>
    </row>
    <row r="70" spans="1:2" ht="15" customHeight="1">
      <c r="A70" s="102"/>
      <c r="B70" s="102"/>
    </row>
    <row r="71" spans="1:2" ht="15" customHeight="1">
      <c r="A71" s="102"/>
      <c r="B71" s="102"/>
    </row>
    <row r="72" spans="1:2" ht="15" customHeight="1">
      <c r="A72" s="102"/>
      <c r="B72" s="102"/>
    </row>
    <row r="73" spans="1:2" ht="15" customHeight="1">
      <c r="A73" s="102"/>
      <c r="B73" s="102"/>
    </row>
    <row r="74" spans="1:2" ht="15" customHeight="1">
      <c r="A74" s="102"/>
      <c r="B74" s="102"/>
    </row>
    <row r="75" spans="1:2" ht="15" customHeight="1">
      <c r="A75" s="102"/>
      <c r="B75" s="102"/>
    </row>
    <row r="76" spans="1:2" ht="15" customHeight="1">
      <c r="A76" s="102"/>
      <c r="B76" s="102"/>
    </row>
    <row r="77" spans="1:2" ht="15" customHeight="1">
      <c r="A77" s="102"/>
      <c r="B77" s="102"/>
    </row>
    <row r="78" spans="1:2" ht="15" customHeight="1">
      <c r="A78" s="102"/>
      <c r="B78" s="102"/>
    </row>
    <row r="79" spans="1:2" ht="15" customHeight="1">
      <c r="A79" s="102"/>
      <c r="B79" s="102"/>
    </row>
    <row r="80" spans="1:2" ht="15" customHeight="1">
      <c r="A80" s="102"/>
      <c r="B80" s="102"/>
    </row>
    <row r="81" spans="1:2" ht="15" customHeight="1">
      <c r="A81" s="102"/>
      <c r="B81" s="102"/>
    </row>
    <row r="82" spans="1:2" ht="15" customHeight="1">
      <c r="A82" s="102"/>
      <c r="B82" s="102"/>
    </row>
    <row r="83" spans="1:2" ht="15" customHeight="1">
      <c r="A83" s="102"/>
      <c r="B83" s="102"/>
    </row>
    <row r="84" spans="1:2" ht="15" customHeight="1">
      <c r="A84" s="102"/>
      <c r="B84" s="102"/>
    </row>
    <row r="85" spans="1:2" ht="15" customHeight="1">
      <c r="A85" s="102"/>
      <c r="B85" s="102"/>
    </row>
    <row r="86" spans="1:2" ht="15" customHeight="1">
      <c r="A86" s="102"/>
      <c r="B86" s="102"/>
    </row>
    <row r="87" spans="1:2" ht="15" customHeight="1">
      <c r="A87" s="102"/>
      <c r="B87" s="102"/>
    </row>
    <row r="88" spans="1:2" ht="15" customHeight="1">
      <c r="A88" s="102"/>
      <c r="B88" s="102"/>
    </row>
    <row r="89" spans="1:2" ht="15" customHeight="1">
      <c r="A89" s="102"/>
      <c r="B89" s="102"/>
    </row>
    <row r="90" spans="1:2" ht="15" customHeight="1">
      <c r="A90" s="102"/>
      <c r="B90" s="102"/>
    </row>
    <row r="91" spans="1:2" ht="15" customHeight="1">
      <c r="A91" s="102"/>
      <c r="B91" s="102"/>
    </row>
    <row r="92" spans="1:2" ht="15" customHeight="1">
      <c r="A92" s="102"/>
      <c r="B92" s="102"/>
    </row>
    <row r="93" spans="1:2" ht="15" customHeight="1">
      <c r="A93" s="102"/>
      <c r="B93" s="102"/>
    </row>
    <row r="94" spans="1:2" ht="15" customHeight="1">
      <c r="A94" s="102"/>
      <c r="B94" s="102"/>
    </row>
    <row r="95" spans="1:2" ht="15" customHeight="1">
      <c r="A95" s="102"/>
      <c r="B95" s="102"/>
    </row>
    <row r="96" spans="1:2" ht="15" customHeight="1">
      <c r="A96" s="102"/>
      <c r="B96" s="102"/>
    </row>
    <row r="97" spans="1:2" ht="15" customHeight="1">
      <c r="A97" s="102"/>
      <c r="B97" s="102"/>
    </row>
    <row r="98" spans="1:2" ht="15" customHeight="1">
      <c r="A98" s="102"/>
      <c r="B98" s="102"/>
    </row>
    <row r="99" spans="1:2" ht="15" customHeight="1">
      <c r="A99" s="102"/>
      <c r="B99" s="102"/>
    </row>
    <row r="100" spans="1:2" ht="15" customHeight="1">
      <c r="A100" s="102"/>
      <c r="B100" s="102"/>
    </row>
    <row r="101" spans="1:2" ht="15" customHeight="1">
      <c r="A101" s="102"/>
      <c r="B101" s="102"/>
    </row>
    <row r="102" spans="1:2" ht="15" customHeight="1">
      <c r="A102" s="102"/>
      <c r="B102" s="102"/>
    </row>
    <row r="103" spans="1:2" ht="15" customHeight="1">
      <c r="A103" s="102"/>
      <c r="B103" s="102"/>
    </row>
    <row r="104" spans="1:2" ht="15" customHeight="1">
      <c r="A104" s="102"/>
      <c r="B104" s="102"/>
    </row>
    <row r="105" spans="1:2" ht="15" customHeight="1">
      <c r="A105" s="102"/>
      <c r="B105" s="102"/>
    </row>
    <row r="106" spans="1:2" ht="15" customHeight="1">
      <c r="A106" s="102"/>
      <c r="B106" s="102"/>
    </row>
    <row r="107" spans="1:2" ht="15" customHeight="1">
      <c r="A107" s="102"/>
      <c r="B107" s="102"/>
    </row>
    <row r="108" spans="1:2" ht="15" customHeight="1">
      <c r="A108" s="102"/>
      <c r="B108" s="102"/>
    </row>
    <row r="109" spans="1:2" ht="15" customHeight="1">
      <c r="A109" s="102"/>
      <c r="B109" s="102"/>
    </row>
    <row r="110" spans="1:2" ht="15" customHeight="1">
      <c r="A110" s="102"/>
      <c r="B110" s="102"/>
    </row>
    <row r="111" spans="1:2" ht="15" customHeight="1">
      <c r="A111" s="102"/>
      <c r="B111" s="102"/>
    </row>
    <row r="112" spans="1:2" ht="15" customHeight="1">
      <c r="A112" s="102"/>
      <c r="B112" s="102"/>
    </row>
    <row r="113" spans="1:2" ht="15" customHeight="1">
      <c r="A113" s="102"/>
      <c r="B113" s="102"/>
    </row>
    <row r="114" spans="1:2" ht="15" customHeight="1">
      <c r="A114" s="102"/>
      <c r="B114" s="102"/>
    </row>
    <row r="115" spans="1:2" ht="15" customHeight="1">
      <c r="A115" s="102"/>
      <c r="B115" s="102"/>
    </row>
    <row r="116" spans="1:2" ht="15" customHeight="1">
      <c r="A116" s="102"/>
      <c r="B116" s="102"/>
    </row>
    <row r="117" spans="1:2" ht="15" customHeight="1">
      <c r="A117" s="102"/>
      <c r="B117" s="102"/>
    </row>
    <row r="118" spans="1:2" ht="15" customHeight="1">
      <c r="A118" s="102"/>
      <c r="B118" s="102"/>
    </row>
    <row r="119" spans="1:2" ht="15" customHeight="1">
      <c r="A119" s="102"/>
      <c r="B119" s="102"/>
    </row>
    <row r="120" spans="1:2" ht="15" customHeight="1">
      <c r="A120" s="102"/>
      <c r="B120" s="102"/>
    </row>
    <row r="121" spans="1:2" ht="15" customHeight="1">
      <c r="A121" s="102"/>
      <c r="B121" s="102"/>
    </row>
    <row r="122" spans="1:2" ht="15" customHeight="1">
      <c r="A122" s="102"/>
      <c r="B122" s="102"/>
    </row>
    <row r="123" spans="1:2" ht="15" customHeight="1">
      <c r="A123" s="102"/>
      <c r="B123" s="102"/>
    </row>
    <row r="124" spans="1:2" ht="15" customHeight="1">
      <c r="A124" s="102"/>
      <c r="B124" s="102"/>
    </row>
    <row r="125" spans="1:2" ht="15" customHeight="1">
      <c r="A125" s="102"/>
      <c r="B125" s="102"/>
    </row>
    <row r="126" spans="1:2" ht="15" customHeight="1">
      <c r="A126" s="102"/>
      <c r="B126" s="102"/>
    </row>
    <row r="127" spans="1:2" ht="15" customHeight="1">
      <c r="A127" s="102"/>
      <c r="B127" s="102"/>
    </row>
    <row r="128" spans="1:2" ht="15" customHeight="1">
      <c r="A128" s="102"/>
      <c r="B128" s="102"/>
    </row>
    <row r="129" spans="1:2" ht="15" customHeight="1">
      <c r="A129" s="102"/>
      <c r="B129" s="102"/>
    </row>
    <row r="130" spans="1:2" ht="15" customHeight="1">
      <c r="A130" s="102"/>
      <c r="B130" s="102"/>
    </row>
    <row r="131" spans="1:2" ht="15" customHeight="1">
      <c r="A131" s="102"/>
      <c r="B131" s="102"/>
    </row>
    <row r="132" spans="1:2" ht="15" customHeight="1">
      <c r="A132" s="102"/>
      <c r="B132" s="102"/>
    </row>
    <row r="133" spans="1:2" ht="15" customHeight="1">
      <c r="A133" s="102"/>
      <c r="B133" s="102"/>
    </row>
    <row r="134" spans="1:2" ht="15" customHeight="1">
      <c r="A134" s="102"/>
      <c r="B134" s="102"/>
    </row>
    <row r="135" spans="1:2" ht="15" customHeight="1">
      <c r="A135" s="102"/>
      <c r="B135" s="102"/>
    </row>
    <row r="136" spans="1:2" ht="15" customHeight="1">
      <c r="A136" s="102"/>
      <c r="B136" s="102"/>
    </row>
    <row r="137" spans="1:2" ht="15" customHeight="1">
      <c r="A137" s="102"/>
      <c r="B137" s="102"/>
    </row>
    <row r="138" spans="1:2" ht="15" customHeight="1">
      <c r="A138" s="102"/>
      <c r="B138" s="102"/>
    </row>
    <row r="139" spans="1:2" ht="15" customHeight="1">
      <c r="A139" s="102"/>
      <c r="B139" s="102"/>
    </row>
    <row r="140" spans="1:2" ht="15" customHeight="1">
      <c r="A140" s="102"/>
      <c r="B140" s="102"/>
    </row>
    <row r="141" spans="1:2" ht="15" customHeight="1">
      <c r="A141" s="102"/>
      <c r="B141" s="102"/>
    </row>
    <row r="142" spans="1:2" ht="15" customHeight="1">
      <c r="A142" s="102"/>
      <c r="B142" s="102"/>
    </row>
    <row r="143" spans="1:2" ht="15" customHeight="1">
      <c r="A143" s="102"/>
      <c r="B143" s="102"/>
    </row>
    <row r="144" spans="1:2" ht="15" customHeight="1">
      <c r="A144" s="102"/>
      <c r="B144" s="102"/>
    </row>
    <row r="145" spans="1:2" ht="15" customHeight="1">
      <c r="A145" s="102"/>
      <c r="B145" s="102"/>
    </row>
    <row r="146" spans="1:2" ht="15" customHeight="1">
      <c r="A146" s="102"/>
      <c r="B146" s="102"/>
    </row>
    <row r="147" spans="1:2" ht="15" customHeight="1">
      <c r="A147" s="102"/>
      <c r="B147" s="102"/>
    </row>
    <row r="148" spans="1:2" ht="15" customHeight="1">
      <c r="A148" s="102"/>
      <c r="B148" s="102"/>
    </row>
    <row r="149" spans="1:2" ht="15" customHeight="1">
      <c r="A149" s="102"/>
      <c r="B149" s="102"/>
    </row>
    <row r="150" spans="1:2" ht="15" customHeight="1">
      <c r="A150" s="102"/>
      <c r="B150" s="102"/>
    </row>
    <row r="151" spans="1:2" ht="15" customHeight="1">
      <c r="A151" s="102"/>
      <c r="B151" s="102"/>
    </row>
    <row r="152" spans="1:2" ht="15" customHeight="1">
      <c r="A152" s="102"/>
      <c r="B152" s="102"/>
    </row>
    <row r="153" spans="1:2" ht="15" customHeight="1">
      <c r="A153" s="102"/>
      <c r="B153" s="102"/>
    </row>
    <row r="154" spans="1:2" ht="15" customHeight="1">
      <c r="A154" s="102"/>
      <c r="B154" s="102"/>
    </row>
    <row r="155" spans="1:2" ht="15" customHeight="1">
      <c r="A155" s="102"/>
      <c r="B155" s="102"/>
    </row>
    <row r="156" spans="1:2" ht="15" customHeight="1">
      <c r="A156" s="102"/>
      <c r="B156" s="102"/>
    </row>
    <row r="157" spans="1:2" ht="15" customHeight="1">
      <c r="A157" s="102"/>
      <c r="B157" s="102"/>
    </row>
    <row r="158" spans="1:2" ht="15" customHeight="1">
      <c r="A158" s="102"/>
      <c r="B158" s="102"/>
    </row>
    <row r="159" spans="1:2" ht="15" customHeight="1">
      <c r="A159" s="102"/>
      <c r="B159" s="102"/>
    </row>
    <row r="160" spans="1:2" ht="15" customHeight="1">
      <c r="A160" s="102"/>
      <c r="B160" s="102"/>
    </row>
    <row r="161" spans="1:2" ht="15" customHeight="1">
      <c r="A161" s="102"/>
      <c r="B161" s="102"/>
    </row>
    <row r="162" spans="1:2" ht="15" customHeight="1">
      <c r="A162" s="102"/>
      <c r="B162" s="102"/>
    </row>
    <row r="163" spans="1:2" ht="15" customHeight="1">
      <c r="A163" s="102"/>
      <c r="B163" s="102"/>
    </row>
    <row r="164" spans="1:2" ht="15" customHeight="1">
      <c r="A164" s="102"/>
      <c r="B164" s="102"/>
    </row>
    <row r="165" spans="1:2" ht="15" customHeight="1">
      <c r="A165" s="102"/>
      <c r="B165" s="102"/>
    </row>
    <row r="166" spans="1:2" ht="15" customHeight="1">
      <c r="A166" s="102"/>
      <c r="B166" s="102"/>
    </row>
    <row r="167" spans="1:2" ht="15" customHeight="1">
      <c r="A167" s="102"/>
      <c r="B167" s="102"/>
    </row>
    <row r="168" spans="1:2" ht="15" customHeight="1">
      <c r="A168" s="102"/>
      <c r="B168" s="102"/>
    </row>
    <row r="169" spans="1:2" ht="15" customHeight="1">
      <c r="A169" s="102"/>
      <c r="B169" s="102"/>
    </row>
    <row r="170" spans="1:2" ht="15" customHeight="1">
      <c r="A170" s="102"/>
      <c r="B170" s="102"/>
    </row>
    <row r="171" spans="1:2" ht="15" customHeight="1">
      <c r="A171" s="102"/>
      <c r="B171" s="102"/>
    </row>
    <row r="172" spans="1:2" ht="15" customHeight="1">
      <c r="A172" s="102"/>
      <c r="B172" s="102"/>
    </row>
    <row r="173" spans="1:2" ht="15" customHeight="1">
      <c r="A173" s="102"/>
      <c r="B173" s="102"/>
    </row>
    <row r="174" spans="1:2" ht="15" customHeight="1">
      <c r="A174" s="102"/>
      <c r="B174" s="102"/>
    </row>
    <row r="175" spans="1:2" ht="15" customHeight="1">
      <c r="A175" s="102"/>
      <c r="B175" s="102"/>
    </row>
    <row r="176" spans="1:2" ht="15" customHeight="1">
      <c r="A176" s="102"/>
      <c r="B176" s="102"/>
    </row>
    <row r="177" spans="1:2" ht="15" customHeight="1">
      <c r="A177" s="102"/>
      <c r="B177" s="102"/>
    </row>
    <row r="178" spans="1:2" ht="15" customHeight="1">
      <c r="A178" s="102"/>
      <c r="B178" s="102"/>
    </row>
    <row r="179" spans="1:2" ht="15" customHeight="1">
      <c r="A179" s="102"/>
      <c r="B179" s="102"/>
    </row>
    <row r="180" spans="1:2" ht="15" customHeight="1">
      <c r="A180" s="102"/>
      <c r="B180" s="102"/>
    </row>
    <row r="181" spans="1:2" ht="15" customHeight="1">
      <c r="A181" s="102"/>
      <c r="B181" s="102"/>
    </row>
    <row r="182" spans="1:2" ht="15" customHeight="1">
      <c r="A182" s="102"/>
      <c r="B182" s="102"/>
    </row>
    <row r="183" spans="1:2" ht="15" customHeight="1">
      <c r="A183" s="102"/>
      <c r="B183" s="102"/>
    </row>
    <row r="184" spans="1:2" ht="15" customHeight="1">
      <c r="A184" s="102"/>
      <c r="B184" s="102"/>
    </row>
    <row r="185" spans="1:2" ht="15" customHeight="1">
      <c r="A185" s="102"/>
      <c r="B185" s="102"/>
    </row>
    <row r="186" spans="1:2" ht="15" customHeight="1">
      <c r="A186" s="102"/>
      <c r="B186" s="102"/>
    </row>
    <row r="187" spans="1:2" ht="15" customHeight="1">
      <c r="A187" s="102"/>
      <c r="B187" s="102"/>
    </row>
    <row r="188" spans="1:2" ht="15" customHeight="1">
      <c r="A188" s="102"/>
      <c r="B188" s="102"/>
    </row>
    <row r="189" spans="1:2" ht="15" customHeight="1">
      <c r="A189" s="102"/>
      <c r="B189" s="102"/>
    </row>
    <row r="190" spans="1:2" ht="15" customHeight="1">
      <c r="A190" s="102"/>
      <c r="B190" s="102"/>
    </row>
    <row r="191" spans="1:2" ht="15" customHeight="1">
      <c r="A191" s="102"/>
      <c r="B191" s="102"/>
    </row>
    <row r="192" spans="1:2" ht="15" customHeight="1">
      <c r="A192" s="102"/>
      <c r="B192" s="102"/>
    </row>
    <row r="193" spans="1:2" ht="15" customHeight="1">
      <c r="A193" s="102"/>
      <c r="B193" s="102"/>
    </row>
    <row r="194" spans="1:2" ht="15" customHeight="1">
      <c r="A194" s="102"/>
      <c r="B194" s="102"/>
    </row>
    <row r="195" spans="1:2" ht="15" customHeight="1">
      <c r="A195" s="102"/>
      <c r="B195" s="102"/>
    </row>
    <row r="196" spans="1:2" ht="15" customHeight="1">
      <c r="A196" s="102"/>
      <c r="B196" s="102"/>
    </row>
    <row r="197" spans="1:2" ht="15" customHeight="1">
      <c r="A197" s="102"/>
      <c r="B197" s="102"/>
    </row>
    <row r="198" spans="1:2" ht="15" customHeight="1">
      <c r="A198" s="102"/>
      <c r="B198" s="102"/>
    </row>
    <row r="199" spans="1:2" ht="15" customHeight="1">
      <c r="A199" s="102"/>
      <c r="B199" s="102"/>
    </row>
    <row r="200" spans="1:2" ht="15" customHeight="1">
      <c r="A200" s="102"/>
      <c r="B200" s="102"/>
    </row>
    <row r="201" spans="1:2" ht="15" customHeight="1">
      <c r="A201" s="102"/>
      <c r="B201" s="102"/>
    </row>
    <row r="202" spans="1:2" ht="15" customHeight="1">
      <c r="A202" s="102"/>
      <c r="B202" s="102"/>
    </row>
    <row r="203" spans="1:2" ht="15" customHeight="1">
      <c r="A203" s="102"/>
      <c r="B203" s="102"/>
    </row>
    <row r="204" spans="1:2" ht="15" customHeight="1">
      <c r="A204" s="102"/>
      <c r="B204" s="102"/>
    </row>
    <row r="205" spans="1:2" ht="15" customHeight="1">
      <c r="A205" s="102"/>
      <c r="B205" s="102"/>
    </row>
    <row r="206" spans="1:2" ht="15" customHeight="1">
      <c r="A206" s="102"/>
      <c r="B206" s="102"/>
    </row>
    <row r="207" spans="1:2" ht="15" customHeight="1">
      <c r="A207" s="102"/>
      <c r="B207" s="102"/>
    </row>
    <row r="208" spans="1:2" ht="15" customHeight="1">
      <c r="A208" s="102"/>
      <c r="B208" s="102"/>
    </row>
    <row r="209" spans="1:2" ht="15" customHeight="1">
      <c r="A209" s="102"/>
      <c r="B209" s="102"/>
    </row>
    <row r="210" spans="1:2" ht="15" customHeight="1">
      <c r="A210" s="102"/>
      <c r="B210" s="102"/>
    </row>
    <row r="211" spans="1:2" ht="15" customHeight="1">
      <c r="A211" s="102"/>
      <c r="B211" s="102"/>
    </row>
    <row r="212" spans="1:2" ht="15" customHeight="1">
      <c r="A212" s="102"/>
      <c r="B212" s="102"/>
    </row>
    <row r="213" spans="1:2" ht="15" customHeight="1">
      <c r="A213" s="102"/>
      <c r="B213" s="102"/>
    </row>
    <row r="214" spans="1:2" ht="15" customHeight="1">
      <c r="A214" s="102"/>
      <c r="B214" s="102"/>
    </row>
    <row r="215" spans="1:2" ht="15" customHeight="1">
      <c r="A215" s="102"/>
      <c r="B215" s="102"/>
    </row>
    <row r="216" spans="1:2" ht="15" customHeight="1">
      <c r="A216" s="102"/>
      <c r="B216" s="102"/>
    </row>
    <row r="217" spans="1:2" ht="15" customHeight="1">
      <c r="A217" s="102"/>
      <c r="B217" s="102"/>
    </row>
    <row r="218" spans="1:2" ht="15" customHeight="1">
      <c r="A218" s="102"/>
      <c r="B218" s="102"/>
    </row>
    <row r="219" spans="1:2" ht="15" customHeight="1">
      <c r="A219" s="102"/>
      <c r="B219" s="102"/>
    </row>
    <row r="220" spans="1:2" ht="15" customHeight="1">
      <c r="A220" s="102"/>
      <c r="B220" s="102"/>
    </row>
    <row r="221" spans="1:2" ht="15" customHeight="1">
      <c r="A221" s="102"/>
      <c r="B221" s="102"/>
    </row>
    <row r="222" spans="1:2" ht="15" customHeight="1">
      <c r="A222" s="102"/>
      <c r="B222" s="102"/>
    </row>
    <row r="223" spans="1:2" ht="15" customHeight="1">
      <c r="A223" s="102"/>
      <c r="B223" s="102"/>
    </row>
    <row r="224" spans="1:2" ht="15" customHeight="1">
      <c r="A224" s="102"/>
      <c r="B224" s="102"/>
    </row>
    <row r="225" spans="1:2" ht="15" customHeight="1">
      <c r="A225" s="102"/>
      <c r="B225" s="102"/>
    </row>
    <row r="226" spans="1:2" ht="15" customHeight="1">
      <c r="A226" s="102"/>
      <c r="B226" s="102"/>
    </row>
    <row r="227" spans="1:2" ht="15" customHeight="1">
      <c r="A227" s="102"/>
      <c r="B227" s="102"/>
    </row>
    <row r="228" spans="1:2" ht="15" customHeight="1">
      <c r="A228" s="102"/>
      <c r="B228" s="102"/>
    </row>
    <row r="229" spans="1:2" ht="15" customHeight="1">
      <c r="A229" s="102"/>
      <c r="B229" s="102"/>
    </row>
    <row r="230" spans="1:2" ht="15" customHeight="1">
      <c r="A230" s="102"/>
      <c r="B230" s="102"/>
    </row>
    <row r="231" spans="1:2" ht="15" customHeight="1">
      <c r="A231" s="102"/>
      <c r="B231" s="102"/>
    </row>
    <row r="232" spans="1:2" ht="15" customHeight="1">
      <c r="A232" s="102"/>
      <c r="B232" s="102"/>
    </row>
    <row r="233" spans="1:2" ht="15" customHeight="1">
      <c r="A233" s="102"/>
      <c r="B233" s="102"/>
    </row>
    <row r="234" spans="1:2" ht="15" customHeight="1">
      <c r="A234" s="102"/>
      <c r="B234" s="102"/>
    </row>
    <row r="235" spans="1:2" ht="15" customHeight="1">
      <c r="A235" s="102"/>
      <c r="B235" s="102"/>
    </row>
    <row r="236" spans="1:2" ht="15" customHeight="1">
      <c r="A236" s="102"/>
      <c r="B236" s="102"/>
    </row>
    <row r="237" spans="1:2" ht="15" customHeight="1">
      <c r="A237" s="102"/>
      <c r="B237" s="102"/>
    </row>
    <row r="238" spans="1:2" ht="15" customHeight="1">
      <c r="A238" s="102"/>
      <c r="B238" s="102"/>
    </row>
    <row r="239" spans="1:2" ht="15" customHeight="1">
      <c r="A239" s="102"/>
      <c r="B239" s="102"/>
    </row>
    <row r="240" spans="1:2" ht="15" customHeight="1">
      <c r="A240" s="102"/>
      <c r="B240" s="102"/>
    </row>
    <row r="241" spans="1:2" ht="15" customHeight="1">
      <c r="A241" s="102"/>
      <c r="B241" s="102"/>
    </row>
    <row r="242" spans="1:2" ht="15" customHeight="1">
      <c r="A242" s="102"/>
      <c r="B242" s="102"/>
    </row>
    <row r="243" spans="1:2" ht="15" customHeight="1">
      <c r="A243" s="102"/>
      <c r="B243" s="102"/>
    </row>
    <row r="244" spans="1:2" ht="15" customHeight="1">
      <c r="A244" s="102"/>
      <c r="B244" s="102"/>
    </row>
    <row r="245" spans="1:2" ht="15" customHeight="1">
      <c r="A245" s="102"/>
      <c r="B245" s="102"/>
    </row>
    <row r="246" spans="1:2" ht="15" customHeight="1">
      <c r="A246" s="102"/>
      <c r="B246" s="102"/>
    </row>
    <row r="247" spans="1:2" ht="15" customHeight="1">
      <c r="A247" s="102"/>
      <c r="B247" s="102"/>
    </row>
    <row r="248" spans="1:2" ht="15" customHeight="1">
      <c r="A248" s="102"/>
      <c r="B248" s="102"/>
    </row>
    <row r="249" spans="1:2" ht="15" customHeight="1">
      <c r="A249" s="102"/>
      <c r="B249" s="102"/>
    </row>
    <row r="250" spans="1:2" ht="15" customHeight="1">
      <c r="A250" s="102"/>
      <c r="B250" s="102"/>
    </row>
    <row r="251" spans="1:2" ht="15" customHeight="1">
      <c r="A251" s="102"/>
      <c r="B251" s="102"/>
    </row>
    <row r="252" spans="1:2" ht="15" customHeight="1">
      <c r="A252" s="102"/>
      <c r="B252" s="102"/>
    </row>
    <row r="253" spans="1:2" ht="15" customHeight="1">
      <c r="A253" s="102"/>
      <c r="B253" s="102"/>
    </row>
    <row r="254" spans="1:2" ht="15" customHeight="1">
      <c r="A254" s="102"/>
      <c r="B254" s="102"/>
    </row>
    <row r="255" spans="1:2" ht="15" customHeight="1">
      <c r="A255" s="102"/>
      <c r="B255" s="102"/>
    </row>
    <row r="256" spans="1:2" ht="15" customHeight="1">
      <c r="A256" s="102"/>
      <c r="B256" s="102"/>
    </row>
    <row r="257" spans="1:2" ht="15" customHeight="1">
      <c r="A257" s="102"/>
      <c r="B257" s="102"/>
    </row>
    <row r="258" spans="1:2" ht="15" customHeight="1">
      <c r="A258" s="102"/>
      <c r="B258" s="102"/>
    </row>
    <row r="259" spans="1:2" ht="15" customHeight="1">
      <c r="A259" s="102"/>
      <c r="B259" s="102"/>
    </row>
    <row r="260" spans="1:2" ht="15" customHeight="1">
      <c r="A260" s="102"/>
      <c r="B260" s="102"/>
    </row>
    <row r="261" spans="1:2" ht="15" customHeight="1">
      <c r="A261" s="102"/>
      <c r="B261" s="102"/>
    </row>
    <row r="262" spans="1:2" ht="15" customHeight="1">
      <c r="A262" s="102"/>
      <c r="B262" s="102"/>
    </row>
    <row r="263" spans="1:2" ht="15" customHeight="1">
      <c r="A263" s="102"/>
      <c r="B263" s="102"/>
    </row>
    <row r="264" spans="1:2" ht="15" customHeight="1">
      <c r="A264" s="102"/>
      <c r="B264" s="102"/>
    </row>
    <row r="265" spans="1:2" ht="15" customHeight="1">
      <c r="A265" s="102"/>
      <c r="B265" s="102"/>
    </row>
    <row r="266" spans="1:2" ht="15" customHeight="1">
      <c r="A266" s="102"/>
      <c r="B266" s="102"/>
    </row>
    <row r="267" spans="1:2" ht="15" customHeight="1">
      <c r="A267" s="102"/>
      <c r="B267" s="102"/>
    </row>
    <row r="268" spans="1:2" ht="15" customHeight="1">
      <c r="A268" s="102"/>
      <c r="B268" s="102"/>
    </row>
    <row r="269" spans="1:2" ht="15" customHeight="1">
      <c r="A269" s="102"/>
      <c r="B269" s="102"/>
    </row>
    <row r="270" spans="1:2" ht="15" customHeight="1">
      <c r="A270" s="102"/>
      <c r="B270" s="102"/>
    </row>
    <row r="271" spans="1:2" ht="15" customHeight="1">
      <c r="A271" s="102"/>
      <c r="B271" s="102"/>
    </row>
    <row r="272" spans="1:2" ht="15" customHeight="1">
      <c r="A272" s="102"/>
      <c r="B272" s="102"/>
    </row>
    <row r="273" spans="1:2" ht="15" customHeight="1">
      <c r="A273" s="102"/>
      <c r="B273" s="102"/>
    </row>
    <row r="274" spans="1:2" ht="15" customHeight="1">
      <c r="A274" s="102"/>
      <c r="B274" s="102"/>
    </row>
    <row r="275" spans="1:2" ht="15" customHeight="1">
      <c r="A275" s="102"/>
      <c r="B275" s="102"/>
    </row>
    <row r="276" spans="1:2" ht="15" customHeight="1">
      <c r="A276" s="102"/>
      <c r="B276" s="102"/>
    </row>
    <row r="277" spans="1:2" ht="15" customHeight="1">
      <c r="A277" s="102"/>
      <c r="B277" s="102"/>
    </row>
    <row r="278" spans="1:2" ht="15" customHeight="1">
      <c r="A278" s="102"/>
      <c r="B278" s="102"/>
    </row>
    <row r="279" spans="1:2" ht="15" customHeight="1">
      <c r="A279" s="102"/>
      <c r="B279" s="102"/>
    </row>
    <row r="280" spans="1:2" ht="15" customHeight="1">
      <c r="A280" s="102"/>
      <c r="B280" s="102"/>
    </row>
    <row r="281" spans="1:2" ht="15" customHeight="1">
      <c r="A281" s="102"/>
      <c r="B281" s="102"/>
    </row>
    <row r="282" spans="1:2" ht="15" customHeight="1">
      <c r="A282" s="102"/>
      <c r="B282" s="102"/>
    </row>
    <row r="283" spans="1:2" ht="15" customHeight="1">
      <c r="A283" s="102"/>
      <c r="B283" s="102"/>
    </row>
    <row r="284" spans="1:2" ht="15" customHeight="1">
      <c r="A284" s="102"/>
      <c r="B284" s="102"/>
    </row>
    <row r="285" spans="1:2" ht="15" customHeight="1">
      <c r="A285" s="102"/>
      <c r="B285" s="102"/>
    </row>
    <row r="286" spans="1:2" ht="15" customHeight="1">
      <c r="A286" s="102"/>
      <c r="B286" s="102"/>
    </row>
    <row r="287" spans="1:2" ht="15" customHeight="1">
      <c r="A287" s="102"/>
      <c r="B287" s="102"/>
    </row>
    <row r="288" spans="1:2" ht="15" customHeight="1">
      <c r="A288" s="102"/>
      <c r="B288" s="102"/>
    </row>
    <row r="289" spans="1:2" ht="15" customHeight="1">
      <c r="A289" s="102"/>
      <c r="B289" s="102"/>
    </row>
    <row r="290" spans="1:2" ht="15" customHeight="1">
      <c r="A290" s="102"/>
      <c r="B290" s="102"/>
    </row>
    <row r="291" spans="1:2" ht="15" customHeight="1">
      <c r="A291" s="102"/>
      <c r="B291" s="102"/>
    </row>
    <row r="292" spans="1:2" ht="15" customHeight="1">
      <c r="A292" s="102"/>
      <c r="B292" s="102"/>
    </row>
    <row r="293" spans="1:2" ht="15" customHeight="1">
      <c r="A293" s="102"/>
      <c r="B293" s="102"/>
    </row>
    <row r="294" spans="1:2" ht="15" customHeight="1">
      <c r="A294" s="102"/>
      <c r="B294" s="102"/>
    </row>
    <row r="295" spans="1:2" ht="15" customHeight="1">
      <c r="A295" s="102"/>
      <c r="B295" s="102"/>
    </row>
    <row r="296" spans="1:2" ht="15" customHeight="1">
      <c r="A296" s="102"/>
      <c r="B296" s="102"/>
    </row>
    <row r="297" spans="1:2" ht="15" customHeight="1">
      <c r="A297" s="102"/>
      <c r="B297" s="102"/>
    </row>
    <row r="298" spans="1:2" ht="15" customHeight="1">
      <c r="A298" s="102"/>
      <c r="B298" s="102"/>
    </row>
    <row r="299" spans="1:2" ht="15" customHeight="1">
      <c r="A299" s="102"/>
      <c r="B299" s="102"/>
    </row>
    <row r="300" spans="1:2" ht="15" customHeight="1">
      <c r="A300" s="102"/>
      <c r="B300" s="102"/>
    </row>
    <row r="301" spans="1:2" ht="15" customHeight="1">
      <c r="A301" s="102"/>
      <c r="B301" s="102"/>
    </row>
    <row r="302" spans="1:2" ht="15" customHeight="1">
      <c r="A302" s="102"/>
      <c r="B302" s="102"/>
    </row>
    <row r="303" spans="1:2" ht="15" customHeight="1">
      <c r="A303" s="102"/>
      <c r="B303" s="102"/>
    </row>
    <row r="304" spans="1:2" ht="15" customHeight="1">
      <c r="A304" s="102"/>
      <c r="B304" s="102"/>
    </row>
    <row r="305" spans="1:2" ht="15" customHeight="1">
      <c r="A305" s="102"/>
      <c r="B305" s="102"/>
    </row>
    <row r="306" spans="1:2" ht="15" customHeight="1">
      <c r="A306" s="102"/>
      <c r="B306" s="102"/>
    </row>
    <row r="307" spans="1:2" ht="15" customHeight="1">
      <c r="A307" s="102"/>
      <c r="B307" s="102"/>
    </row>
    <row r="308" spans="1:2" ht="15" customHeight="1">
      <c r="A308" s="102"/>
      <c r="B308" s="102"/>
    </row>
    <row r="309" spans="1:2" ht="15" customHeight="1">
      <c r="A309" s="102"/>
      <c r="B309" s="102"/>
    </row>
    <row r="310" spans="1:2" ht="15" customHeight="1">
      <c r="A310" s="102"/>
      <c r="B310" s="102"/>
    </row>
    <row r="311" spans="1:2" ht="15" customHeight="1">
      <c r="A311" s="102"/>
      <c r="B311" s="102"/>
    </row>
    <row r="312" spans="1:2" ht="15" customHeight="1">
      <c r="A312" s="102"/>
      <c r="B312" s="102"/>
    </row>
    <row r="313" spans="1:2" ht="15" customHeight="1">
      <c r="A313" s="102"/>
      <c r="B313" s="102"/>
    </row>
    <row r="314" spans="1:2" ht="15" customHeight="1">
      <c r="A314" s="102"/>
      <c r="B314" s="102"/>
    </row>
    <row r="315" spans="1:2" ht="15" customHeight="1">
      <c r="A315" s="102"/>
      <c r="B315" s="102"/>
    </row>
    <row r="316" spans="1:2" ht="15" customHeight="1">
      <c r="A316" s="102"/>
      <c r="B316" s="102"/>
    </row>
    <row r="317" spans="1:2" ht="15" customHeight="1">
      <c r="A317" s="102"/>
      <c r="B317" s="102"/>
    </row>
    <row r="318" spans="1:2" ht="15" customHeight="1">
      <c r="A318" s="102"/>
      <c r="B318" s="102"/>
    </row>
    <row r="319" spans="1:2" ht="15" customHeight="1">
      <c r="A319" s="102"/>
      <c r="B319" s="102"/>
    </row>
    <row r="320" spans="1:2" ht="15" customHeight="1">
      <c r="A320" s="102"/>
      <c r="B320" s="102"/>
    </row>
    <row r="321" spans="1:2" ht="15" customHeight="1">
      <c r="A321" s="102"/>
      <c r="B321" s="102"/>
    </row>
    <row r="322" spans="1:2" ht="15" customHeight="1">
      <c r="A322" s="102"/>
      <c r="B322" s="102"/>
    </row>
    <row r="323" spans="1:2" ht="15" customHeight="1">
      <c r="A323" s="102"/>
      <c r="B323" s="102"/>
    </row>
    <row r="324" spans="1:2" ht="15" customHeight="1">
      <c r="A324" s="102"/>
      <c r="B324" s="102"/>
    </row>
    <row r="325" spans="1:2" ht="15" customHeight="1">
      <c r="A325" s="102"/>
      <c r="B325" s="102"/>
    </row>
    <row r="326" spans="1:2" ht="15" customHeight="1">
      <c r="A326" s="102"/>
      <c r="B326" s="102"/>
    </row>
    <row r="327" spans="1:2" ht="15" customHeight="1">
      <c r="A327" s="102"/>
      <c r="B327" s="102"/>
    </row>
    <row r="328" spans="1:2" ht="15" customHeight="1">
      <c r="A328" s="102"/>
      <c r="B328" s="102"/>
    </row>
    <row r="329" spans="1:2" ht="15" customHeight="1">
      <c r="A329" s="102"/>
      <c r="B329" s="102"/>
    </row>
    <row r="330" spans="1:2" ht="15" customHeight="1">
      <c r="A330" s="102"/>
      <c r="B330" s="102"/>
    </row>
    <row r="331" spans="1:2" ht="15" customHeight="1">
      <c r="A331" s="102"/>
      <c r="B331" s="102"/>
    </row>
    <row r="332" spans="1:2" ht="15" customHeight="1">
      <c r="A332" s="102"/>
      <c r="B332" s="102"/>
    </row>
    <row r="333" spans="1:2" ht="15" customHeight="1">
      <c r="A333" s="102"/>
      <c r="B333" s="102"/>
    </row>
    <row r="334" spans="1:2" ht="15" customHeight="1">
      <c r="A334" s="102"/>
      <c r="B334" s="102"/>
    </row>
    <row r="335" spans="1:2" ht="15" customHeight="1">
      <c r="A335" s="102"/>
      <c r="B335" s="102"/>
    </row>
    <row r="336" spans="1:2" ht="15" customHeight="1">
      <c r="A336" s="102"/>
      <c r="B336" s="102"/>
    </row>
    <row r="337" spans="1:2" ht="15" customHeight="1">
      <c r="A337" s="102"/>
      <c r="B337" s="102"/>
    </row>
    <row r="338" spans="1:2" ht="15" customHeight="1">
      <c r="A338" s="102"/>
      <c r="B338" s="102"/>
    </row>
    <row r="339" spans="1:2" ht="15" customHeight="1">
      <c r="A339" s="102"/>
      <c r="B339" s="102"/>
    </row>
    <row r="340" spans="1:2" ht="15" customHeight="1">
      <c r="A340" s="102"/>
      <c r="B340" s="102"/>
    </row>
    <row r="341" spans="1:2" ht="15" customHeight="1">
      <c r="A341" s="102"/>
      <c r="B341" s="102"/>
    </row>
    <row r="342" spans="1:2" ht="15" customHeight="1">
      <c r="A342" s="102"/>
      <c r="B342" s="102"/>
    </row>
    <row r="343" spans="1:2" ht="15" customHeight="1">
      <c r="A343" s="102"/>
      <c r="B343" s="102"/>
    </row>
    <row r="344" spans="1:2" ht="15" customHeight="1">
      <c r="A344" s="102"/>
      <c r="B344" s="102"/>
    </row>
    <row r="345" spans="1:2" ht="15" customHeight="1">
      <c r="A345" s="102"/>
      <c r="B345" s="102"/>
    </row>
    <row r="346" spans="1:2" ht="15" customHeight="1">
      <c r="A346" s="102"/>
      <c r="B346" s="102"/>
    </row>
    <row r="347" spans="1:2" ht="15" customHeight="1">
      <c r="A347" s="102"/>
      <c r="B347" s="102"/>
    </row>
    <row r="348" spans="1:2" ht="15" customHeight="1">
      <c r="A348" s="102"/>
      <c r="B348" s="102"/>
    </row>
    <row r="349" spans="1:2" ht="15" customHeight="1">
      <c r="A349" s="102"/>
      <c r="B349" s="102"/>
    </row>
    <row r="350" spans="1:2" ht="15" customHeight="1">
      <c r="A350" s="102"/>
      <c r="B350" s="102"/>
    </row>
    <row r="351" spans="1:2" ht="15" customHeight="1">
      <c r="A351" s="102"/>
      <c r="B351" s="102"/>
    </row>
    <row r="352" spans="1:2" ht="15" customHeight="1">
      <c r="A352" s="102"/>
      <c r="B352" s="102"/>
    </row>
    <row r="353" spans="1:2" ht="15" customHeight="1">
      <c r="A353" s="102"/>
      <c r="B353" s="102"/>
    </row>
    <row r="354" spans="1:2" ht="15" customHeight="1">
      <c r="A354" s="102"/>
      <c r="B354" s="102"/>
    </row>
    <row r="355" spans="1:2" ht="15" customHeight="1">
      <c r="A355" s="102"/>
      <c r="B355" s="102"/>
    </row>
    <row r="356" spans="1:2" ht="15" customHeight="1">
      <c r="A356" s="102"/>
      <c r="B356" s="102"/>
    </row>
    <row r="357" spans="1:2" ht="15" customHeight="1">
      <c r="A357" s="102"/>
      <c r="B357" s="102"/>
    </row>
    <row r="358" spans="1:2" ht="15" customHeight="1">
      <c r="A358" s="102"/>
      <c r="B358" s="102"/>
    </row>
    <row r="359" spans="1:2" ht="15" customHeight="1">
      <c r="A359" s="102"/>
      <c r="B359" s="102"/>
    </row>
    <row r="360" spans="1:2" ht="15" customHeight="1">
      <c r="A360" s="102"/>
      <c r="B360" s="102"/>
    </row>
    <row r="361" spans="1:2" ht="15" customHeight="1">
      <c r="A361" s="102"/>
      <c r="B361" s="102"/>
    </row>
    <row r="362" spans="1:2" ht="15" customHeight="1">
      <c r="A362" s="102"/>
      <c r="B362" s="102"/>
    </row>
    <row r="363" spans="1:2" ht="15" customHeight="1">
      <c r="A363" s="102"/>
      <c r="B363" s="102"/>
    </row>
    <row r="364" spans="1:2" ht="15" customHeight="1">
      <c r="A364" s="102"/>
      <c r="B364" s="102"/>
    </row>
    <row r="365" spans="1:2" ht="15" customHeight="1">
      <c r="A365" s="102"/>
      <c r="B365" s="102"/>
    </row>
    <row r="366" spans="1:2" ht="15" customHeight="1">
      <c r="A366" s="102"/>
      <c r="B366" s="102"/>
    </row>
    <row r="367" spans="1:2" ht="15" customHeight="1">
      <c r="A367" s="102"/>
      <c r="B367" s="102"/>
    </row>
    <row r="368" spans="1:2" ht="15" customHeight="1">
      <c r="A368" s="102"/>
      <c r="B368" s="102"/>
    </row>
    <row r="369" spans="1:2" ht="15" customHeight="1">
      <c r="A369" s="102"/>
      <c r="B369" s="102"/>
    </row>
    <row r="370" spans="1:2" ht="15" customHeight="1">
      <c r="A370" s="102"/>
      <c r="B370" s="102"/>
    </row>
    <row r="371" spans="1:2" ht="15" customHeight="1">
      <c r="A371" s="102"/>
      <c r="B371" s="102"/>
    </row>
    <row r="372" spans="1:2" ht="15" customHeight="1">
      <c r="A372" s="102"/>
      <c r="B372" s="102"/>
    </row>
    <row r="373" spans="1:2" ht="15" customHeight="1">
      <c r="A373" s="102"/>
      <c r="B373" s="102"/>
    </row>
    <row r="374" spans="1:2" ht="15" customHeight="1">
      <c r="A374" s="102"/>
      <c r="B374" s="102"/>
    </row>
    <row r="375" spans="1:2" ht="15" customHeight="1">
      <c r="A375" s="102"/>
      <c r="B375" s="102"/>
    </row>
    <row r="376" spans="1:2" ht="15" customHeight="1">
      <c r="A376" s="102"/>
      <c r="B376" s="102"/>
    </row>
    <row r="377" spans="1:2" ht="15" customHeight="1">
      <c r="A377" s="102"/>
      <c r="B377" s="102"/>
    </row>
    <row r="378" spans="1:2" ht="15" customHeight="1">
      <c r="A378" s="102"/>
      <c r="B378" s="102"/>
    </row>
    <row r="379" spans="1:2" ht="15" customHeight="1">
      <c r="A379" s="102"/>
      <c r="B379" s="102"/>
    </row>
    <row r="380" spans="1:2" ht="15" customHeight="1">
      <c r="A380" s="102"/>
      <c r="B380" s="102"/>
    </row>
    <row r="381" spans="1:2" ht="15" customHeight="1">
      <c r="A381" s="102"/>
      <c r="B381" s="102"/>
    </row>
    <row r="382" spans="1:2" ht="15" customHeight="1">
      <c r="A382" s="102"/>
      <c r="B382" s="102"/>
    </row>
    <row r="383" spans="1:2" ht="15" customHeight="1">
      <c r="A383" s="102"/>
      <c r="B383" s="102"/>
    </row>
    <row r="384" spans="1:2" ht="15" customHeight="1">
      <c r="A384" s="102"/>
      <c r="B384" s="102"/>
    </row>
    <row r="385" spans="1:2" ht="15" customHeight="1">
      <c r="A385" s="102"/>
      <c r="B385" s="102"/>
    </row>
    <row r="386" spans="1:2" ht="15" customHeight="1">
      <c r="A386" s="102"/>
      <c r="B386" s="102"/>
    </row>
    <row r="387" spans="1:2" ht="15" customHeight="1">
      <c r="A387" s="102"/>
      <c r="B387" s="102"/>
    </row>
    <row r="388" spans="1:2" ht="15" customHeight="1">
      <c r="A388" s="102"/>
      <c r="B388" s="102"/>
    </row>
    <row r="389" spans="1:2" ht="15" customHeight="1">
      <c r="A389" s="102"/>
      <c r="B389" s="102"/>
    </row>
    <row r="390" spans="1:2" ht="15" customHeight="1">
      <c r="A390" s="102"/>
      <c r="B390" s="102"/>
    </row>
    <row r="391" spans="1:2" ht="15" customHeight="1">
      <c r="A391" s="102"/>
      <c r="B391" s="102"/>
    </row>
    <row r="392" spans="1:2" ht="15" customHeight="1">
      <c r="A392" s="102"/>
      <c r="B392" s="102"/>
    </row>
    <row r="393" spans="1:2" ht="15" customHeight="1">
      <c r="A393" s="102"/>
      <c r="B393" s="102"/>
    </row>
    <row r="394" spans="1:2" ht="15" customHeight="1">
      <c r="A394" s="102"/>
      <c r="B394" s="102"/>
    </row>
    <row r="395" spans="1:2" ht="15" customHeight="1">
      <c r="A395" s="102"/>
      <c r="B395" s="102"/>
    </row>
    <row r="396" spans="1:2" ht="15" customHeight="1">
      <c r="A396" s="102"/>
      <c r="B396" s="102"/>
    </row>
    <row r="397" spans="1:2" ht="15" customHeight="1">
      <c r="A397" s="102"/>
      <c r="B397" s="102"/>
    </row>
    <row r="398" spans="1:2" ht="15" customHeight="1">
      <c r="A398" s="102"/>
      <c r="B398" s="102"/>
    </row>
    <row r="399" spans="1:2" ht="15" customHeight="1">
      <c r="A399" s="102"/>
      <c r="B399" s="102"/>
    </row>
    <row r="400" spans="1:2" ht="15" customHeight="1">
      <c r="A400" s="102"/>
      <c r="B400" s="102"/>
    </row>
    <row r="401" spans="1:2" ht="15" customHeight="1">
      <c r="A401" s="102"/>
      <c r="B401" s="102"/>
    </row>
    <row r="402" spans="1:2" ht="15" customHeight="1">
      <c r="A402" s="102"/>
      <c r="B402" s="102"/>
    </row>
    <row r="403" spans="1:2" ht="15" customHeight="1">
      <c r="A403" s="102"/>
      <c r="B403" s="102"/>
    </row>
    <row r="404" spans="1:2" ht="15" customHeight="1">
      <c r="A404" s="102"/>
      <c r="B404" s="102"/>
    </row>
    <row r="405" spans="1:2" ht="15" customHeight="1">
      <c r="A405" s="102"/>
      <c r="B405" s="102"/>
    </row>
    <row r="406" spans="1:2" ht="15" customHeight="1">
      <c r="A406" s="102"/>
      <c r="B406" s="102"/>
    </row>
    <row r="407" spans="1:2" ht="15" customHeight="1">
      <c r="A407" s="102"/>
      <c r="B407" s="102"/>
    </row>
    <row r="408" spans="1:2" ht="15" customHeight="1">
      <c r="A408" s="102"/>
      <c r="B408" s="102"/>
    </row>
    <row r="409" spans="1:2" ht="15" customHeight="1">
      <c r="A409" s="102"/>
      <c r="B409" s="102"/>
    </row>
    <row r="410" spans="1:2" ht="15" customHeight="1">
      <c r="A410" s="102"/>
      <c r="B410" s="102"/>
    </row>
    <row r="411" spans="1:2" ht="15" customHeight="1">
      <c r="A411" s="102"/>
      <c r="B411" s="102"/>
    </row>
    <row r="412" spans="1:2" ht="15" customHeight="1">
      <c r="A412" s="102"/>
      <c r="B412" s="102"/>
    </row>
    <row r="413" spans="1:2" ht="15" customHeight="1">
      <c r="A413" s="102"/>
      <c r="B413" s="102"/>
    </row>
    <row r="414" spans="1:2" ht="15" customHeight="1">
      <c r="A414" s="102"/>
      <c r="B414" s="102"/>
    </row>
    <row r="415" spans="1:2" ht="15" customHeight="1">
      <c r="A415" s="102"/>
      <c r="B415" s="102"/>
    </row>
    <row r="416" spans="1:2" ht="15" customHeight="1">
      <c r="A416" s="102"/>
      <c r="B416" s="102"/>
    </row>
    <row r="417" spans="1:2" ht="15" customHeight="1">
      <c r="A417" s="102"/>
      <c r="B417" s="102"/>
    </row>
    <row r="418" spans="1:2" ht="15" customHeight="1">
      <c r="A418" s="102"/>
      <c r="B418" s="102"/>
    </row>
    <row r="419" spans="1:2" ht="15" customHeight="1">
      <c r="A419" s="102"/>
      <c r="B419" s="102"/>
    </row>
    <row r="420" spans="1:2" ht="15" customHeight="1">
      <c r="A420" s="102"/>
      <c r="B420" s="102"/>
    </row>
    <row r="421" spans="1:2" ht="15" customHeight="1">
      <c r="A421" s="102"/>
      <c r="B421" s="102"/>
    </row>
    <row r="422" spans="1:2" ht="15" customHeight="1">
      <c r="A422" s="102"/>
      <c r="B422" s="102"/>
    </row>
    <row r="423" spans="1:2" ht="15" customHeight="1">
      <c r="A423" s="102"/>
      <c r="B423" s="102"/>
    </row>
    <row r="424" spans="1:2" ht="15" customHeight="1">
      <c r="A424" s="102"/>
      <c r="B424" s="102"/>
    </row>
    <row r="425" spans="1:2" ht="15" customHeight="1">
      <c r="A425" s="102"/>
      <c r="B425" s="102"/>
    </row>
    <row r="426" spans="1:2" ht="15" customHeight="1">
      <c r="A426" s="102"/>
      <c r="B426" s="102"/>
    </row>
    <row r="427" spans="1:2" ht="15" customHeight="1">
      <c r="A427" s="102"/>
      <c r="B427" s="102"/>
    </row>
    <row r="428" spans="1:2" ht="15" customHeight="1">
      <c r="A428" s="102"/>
      <c r="B428" s="102"/>
    </row>
    <row r="429" spans="1:2" ht="15" customHeight="1">
      <c r="A429" s="102"/>
      <c r="B429" s="102"/>
    </row>
    <row r="430" spans="1:2" ht="15" customHeight="1">
      <c r="A430" s="102"/>
      <c r="B430" s="102"/>
    </row>
    <row r="431" spans="1:2" ht="15" customHeight="1">
      <c r="A431" s="102"/>
      <c r="B431" s="102"/>
    </row>
    <row r="432" spans="1:2" ht="15" customHeight="1">
      <c r="A432" s="102"/>
      <c r="B432" s="102"/>
    </row>
    <row r="433" spans="1:2" ht="15" customHeight="1">
      <c r="A433" s="102"/>
      <c r="B433" s="102"/>
    </row>
    <row r="434" spans="1:2" ht="15" customHeight="1">
      <c r="A434" s="102"/>
      <c r="B434" s="102"/>
    </row>
    <row r="435" spans="1:2" ht="15" customHeight="1">
      <c r="A435" s="102"/>
      <c r="B435" s="102"/>
    </row>
    <row r="436" spans="1:2" ht="15" customHeight="1">
      <c r="A436" s="102"/>
      <c r="B436" s="102"/>
    </row>
    <row r="437" spans="1:2" ht="15" customHeight="1">
      <c r="A437" s="102"/>
      <c r="B437" s="102"/>
    </row>
    <row r="438" spans="1:2" ht="15" customHeight="1">
      <c r="A438" s="102"/>
      <c r="B438" s="102"/>
    </row>
    <row r="439" spans="1:2" ht="15" customHeight="1">
      <c r="A439" s="102"/>
      <c r="B439" s="102"/>
    </row>
    <row r="440" spans="1:2" ht="15" customHeight="1">
      <c r="A440" s="102"/>
      <c r="B440" s="102"/>
    </row>
    <row r="441" spans="1:2" ht="15" customHeight="1">
      <c r="A441" s="102"/>
      <c r="B441" s="102"/>
    </row>
    <row r="442" spans="1:2" ht="15" customHeight="1">
      <c r="A442" s="102"/>
      <c r="B442" s="102"/>
    </row>
    <row r="443" spans="1:2" ht="15" customHeight="1">
      <c r="A443" s="102"/>
      <c r="B443" s="102"/>
    </row>
    <row r="444" spans="1:2" ht="15" customHeight="1">
      <c r="A444" s="102"/>
      <c r="B444" s="102"/>
    </row>
    <row r="445" spans="1:2" ht="15" customHeight="1">
      <c r="A445" s="102"/>
      <c r="B445" s="102"/>
    </row>
    <row r="446" spans="1:2" ht="15" customHeight="1">
      <c r="A446" s="102"/>
      <c r="B446" s="102"/>
    </row>
    <row r="447" spans="1:2" ht="15" customHeight="1">
      <c r="A447" s="102"/>
      <c r="B447" s="102"/>
    </row>
    <row r="448" spans="1:2" ht="15" customHeight="1">
      <c r="A448" s="102"/>
      <c r="B448" s="102"/>
    </row>
    <row r="449" spans="1:2" ht="15" customHeight="1">
      <c r="A449" s="102"/>
      <c r="B449" s="102"/>
    </row>
    <row r="450" spans="1:2" ht="15" customHeight="1">
      <c r="A450" s="102"/>
      <c r="B450" s="102"/>
    </row>
    <row r="451" spans="1:2" ht="15" customHeight="1">
      <c r="A451" s="102"/>
      <c r="B451" s="102"/>
    </row>
    <row r="452" spans="1:2" ht="15" customHeight="1">
      <c r="A452" s="102"/>
      <c r="B452" s="102"/>
    </row>
    <row r="453" spans="1:2" ht="15" customHeight="1">
      <c r="A453" s="102"/>
      <c r="B453" s="102"/>
    </row>
    <row r="454" spans="1:2" ht="15" customHeight="1">
      <c r="A454" s="102"/>
      <c r="B454" s="102"/>
    </row>
    <row r="455" spans="1:2" ht="15" customHeight="1">
      <c r="A455" s="102"/>
      <c r="B455" s="102"/>
    </row>
    <row r="456" spans="1:2" ht="15" customHeight="1">
      <c r="A456" s="102"/>
      <c r="B456" s="102"/>
    </row>
    <row r="457" spans="1:2" ht="15" customHeight="1">
      <c r="A457" s="102"/>
      <c r="B457" s="102"/>
    </row>
    <row r="458" spans="1:2" ht="15" customHeight="1">
      <c r="A458" s="102"/>
      <c r="B458" s="102"/>
    </row>
    <row r="459" spans="1:2" ht="15" customHeight="1">
      <c r="A459" s="102"/>
      <c r="B459" s="102"/>
    </row>
    <row r="460" spans="1:2" ht="15" customHeight="1">
      <c r="A460" s="102"/>
      <c r="B460" s="102"/>
    </row>
    <row r="461" spans="1:2" ht="15" customHeight="1">
      <c r="A461" s="102"/>
      <c r="B461" s="102"/>
    </row>
    <row r="462" spans="1:2" ht="15" customHeight="1">
      <c r="A462" s="102"/>
      <c r="B462" s="102"/>
    </row>
    <row r="463" spans="1:2" ht="15" customHeight="1">
      <c r="A463" s="102"/>
      <c r="B463" s="102"/>
    </row>
    <row r="464" spans="1:2" ht="15" customHeight="1">
      <c r="A464" s="102"/>
      <c r="B464" s="102"/>
    </row>
    <row r="465" spans="1:2" ht="15" customHeight="1">
      <c r="A465" s="102"/>
      <c r="B465" s="102"/>
    </row>
    <row r="466" spans="1:2" ht="15" customHeight="1">
      <c r="A466" s="102"/>
      <c r="B466" s="102"/>
    </row>
    <row r="467" spans="1:2" ht="15" customHeight="1">
      <c r="A467" s="102"/>
      <c r="B467" s="102"/>
    </row>
    <row r="468" spans="1:2" ht="15" customHeight="1">
      <c r="A468" s="102"/>
      <c r="B468" s="102"/>
    </row>
    <row r="469" spans="1:2" ht="15" customHeight="1">
      <c r="A469" s="102"/>
      <c r="B469" s="102"/>
    </row>
    <row r="470" spans="1:2" ht="15" customHeight="1">
      <c r="A470" s="102"/>
      <c r="B470" s="102"/>
    </row>
    <row r="471" spans="1:2" ht="15" customHeight="1">
      <c r="A471" s="102"/>
      <c r="B471" s="102"/>
    </row>
    <row r="472" spans="1:2" ht="15" customHeight="1">
      <c r="A472" s="102"/>
      <c r="B472" s="102"/>
    </row>
    <row r="473" spans="1:2" ht="15" customHeight="1">
      <c r="A473" s="102"/>
      <c r="B473" s="102"/>
    </row>
    <row r="474" spans="1:2" ht="15" customHeight="1">
      <c r="A474" s="102"/>
      <c r="B474" s="102"/>
    </row>
    <row r="475" spans="1:2" ht="15" customHeight="1">
      <c r="A475" s="102"/>
      <c r="B475" s="102"/>
    </row>
    <row r="476" spans="1:2" ht="15" customHeight="1">
      <c r="A476" s="102"/>
      <c r="B476" s="102"/>
    </row>
    <row r="477" spans="1:2" ht="15" customHeight="1">
      <c r="A477" s="102"/>
      <c r="B477" s="102"/>
    </row>
    <row r="478" spans="1:2" ht="15" customHeight="1">
      <c r="A478" s="102"/>
      <c r="B478" s="102"/>
    </row>
    <row r="479" spans="1:2" ht="15" customHeight="1">
      <c r="A479" s="102"/>
      <c r="B479" s="102"/>
    </row>
    <row r="480" spans="1:2" ht="15" customHeight="1">
      <c r="A480" s="102"/>
      <c r="B480" s="102"/>
    </row>
    <row r="481" spans="1:2" ht="15" customHeight="1">
      <c r="A481" s="102"/>
      <c r="B481" s="102"/>
    </row>
    <row r="482" spans="1:2" ht="15" customHeight="1">
      <c r="A482" s="102"/>
      <c r="B482" s="102"/>
    </row>
    <row r="483" spans="1:2" ht="15" customHeight="1">
      <c r="A483" s="102"/>
      <c r="B483" s="102"/>
    </row>
    <row r="484" spans="1:2" ht="15" customHeight="1">
      <c r="A484" s="102"/>
      <c r="B484" s="102"/>
    </row>
    <row r="485" spans="1:2" ht="15" customHeight="1">
      <c r="A485" s="102"/>
      <c r="B485" s="102"/>
    </row>
    <row r="486" spans="1:2" ht="15" customHeight="1">
      <c r="A486" s="102"/>
      <c r="B486" s="102"/>
    </row>
    <row r="487" spans="1:2" ht="15" customHeight="1">
      <c r="A487" s="102"/>
      <c r="B487" s="102"/>
    </row>
    <row r="488" spans="1:2" ht="15" customHeight="1">
      <c r="A488" s="102"/>
      <c r="B488" s="102"/>
    </row>
    <row r="489" spans="1:2" ht="15" customHeight="1">
      <c r="A489" s="102"/>
      <c r="B489" s="102"/>
    </row>
    <row r="490" spans="1:2" ht="15" customHeight="1">
      <c r="A490" s="102"/>
      <c r="B490" s="102"/>
    </row>
    <row r="491" spans="1:2" ht="15" customHeight="1">
      <c r="A491" s="102"/>
      <c r="B491" s="102"/>
    </row>
    <row r="492" spans="1:2" ht="15" customHeight="1">
      <c r="A492" s="102"/>
      <c r="B492" s="102"/>
    </row>
    <row r="493" spans="1:2" ht="15" customHeight="1">
      <c r="A493" s="102"/>
      <c r="B493" s="102"/>
    </row>
    <row r="494" spans="1:2" ht="15" customHeight="1">
      <c r="A494" s="102"/>
      <c r="B494" s="102"/>
    </row>
    <row r="495" spans="1:2" ht="15" customHeight="1">
      <c r="A495" s="102"/>
      <c r="B495" s="102"/>
    </row>
    <row r="496" spans="1:2" ht="15" customHeight="1">
      <c r="A496" s="102"/>
      <c r="B496" s="102"/>
    </row>
    <row r="497" spans="1:2" ht="15" customHeight="1">
      <c r="A497" s="102"/>
      <c r="B497" s="102"/>
    </row>
    <row r="498" spans="1:2" ht="15" customHeight="1">
      <c r="A498" s="102"/>
      <c r="B498" s="102"/>
    </row>
    <row r="499" spans="1:2" ht="15" customHeight="1">
      <c r="A499" s="102"/>
      <c r="B499" s="102"/>
    </row>
    <row r="500" spans="1:2" ht="15" customHeight="1">
      <c r="A500" s="102"/>
      <c r="B500" s="102"/>
    </row>
    <row r="501" spans="1:2" ht="15" customHeight="1">
      <c r="A501" s="102"/>
      <c r="B501" s="102"/>
    </row>
    <row r="502" spans="1:2" ht="15" customHeight="1">
      <c r="A502" s="102"/>
      <c r="B502" s="102"/>
    </row>
    <row r="503" spans="1:2" ht="15" customHeight="1">
      <c r="A503" s="102"/>
      <c r="B503" s="102"/>
    </row>
    <row r="504" spans="1:2" ht="15" customHeight="1">
      <c r="A504" s="102"/>
      <c r="B504" s="102"/>
    </row>
    <row r="505" spans="1:2" ht="15" customHeight="1">
      <c r="A505" s="102"/>
      <c r="B505" s="102"/>
    </row>
    <row r="506" spans="1:2" ht="15" customHeight="1">
      <c r="A506" s="102"/>
      <c r="B506" s="102"/>
    </row>
    <row r="507" spans="1:2" ht="15" customHeight="1">
      <c r="A507" s="102"/>
      <c r="B507" s="102"/>
    </row>
    <row r="508" spans="1:2" ht="15" customHeight="1">
      <c r="A508" s="102"/>
      <c r="B508" s="102"/>
    </row>
    <row r="509" spans="1:2" ht="15" customHeight="1">
      <c r="A509" s="102"/>
      <c r="B509" s="102"/>
    </row>
    <row r="510" spans="1:2" ht="15" customHeight="1">
      <c r="A510" s="102"/>
      <c r="B510" s="102"/>
    </row>
    <row r="511" spans="1:2" ht="15" customHeight="1">
      <c r="A511" s="102"/>
      <c r="B511" s="102"/>
    </row>
    <row r="512" spans="1:2" ht="15" customHeight="1">
      <c r="A512" s="102"/>
      <c r="B512" s="102"/>
    </row>
    <row r="513" spans="1:2" ht="15" customHeight="1">
      <c r="A513" s="102"/>
      <c r="B513" s="102"/>
    </row>
    <row r="514" spans="1:2" ht="15" customHeight="1">
      <c r="A514" s="102"/>
      <c r="B514" s="102"/>
    </row>
    <row r="515" spans="1:2" ht="15" customHeight="1">
      <c r="A515" s="102"/>
      <c r="B515" s="102"/>
    </row>
    <row r="516" spans="1:2" ht="15" customHeight="1">
      <c r="A516" s="102"/>
      <c r="B516" s="102"/>
    </row>
    <row r="517" spans="1:2" ht="15" customHeight="1">
      <c r="A517" s="102"/>
      <c r="B517" s="102"/>
    </row>
    <row r="518" spans="1:2" ht="15" customHeight="1">
      <c r="A518" s="102"/>
      <c r="B518" s="102"/>
    </row>
    <row r="519" spans="1:2" ht="15" customHeight="1">
      <c r="A519" s="102"/>
      <c r="B519" s="102"/>
    </row>
    <row r="520" spans="1:2" ht="15" customHeight="1">
      <c r="A520" s="102"/>
      <c r="B520" s="102"/>
    </row>
    <row r="521" spans="1:2" ht="15" customHeight="1">
      <c r="A521" s="102"/>
      <c r="B521" s="102"/>
    </row>
    <row r="522" spans="1:2" ht="15" customHeight="1">
      <c r="A522" s="102"/>
      <c r="B522" s="102"/>
    </row>
    <row r="523" spans="1:2" ht="15" customHeight="1">
      <c r="A523" s="102"/>
      <c r="B523" s="102"/>
    </row>
    <row r="524" spans="1:2" ht="15" customHeight="1">
      <c r="A524" s="102"/>
      <c r="B524" s="102"/>
    </row>
    <row r="525" spans="1:2" ht="15" customHeight="1">
      <c r="A525" s="102"/>
      <c r="B525" s="102"/>
    </row>
    <row r="526" spans="1:2" ht="15" customHeight="1">
      <c r="A526" s="102"/>
      <c r="B526" s="102"/>
    </row>
    <row r="527" spans="1:2" ht="15" customHeight="1">
      <c r="A527" s="102"/>
      <c r="B527" s="102"/>
    </row>
    <row r="528" spans="1:2" ht="15" customHeight="1">
      <c r="A528" s="102"/>
      <c r="B528" s="102"/>
    </row>
    <row r="529" spans="1:2" ht="15" customHeight="1">
      <c r="A529" s="102"/>
      <c r="B529" s="102"/>
    </row>
    <row r="530" spans="1:2" ht="15" customHeight="1">
      <c r="A530" s="102"/>
      <c r="B530" s="102"/>
    </row>
    <row r="531" spans="1:2" ht="15" customHeight="1">
      <c r="A531" s="102"/>
      <c r="B531" s="102"/>
    </row>
    <row r="532" spans="1:2" ht="15" customHeight="1">
      <c r="A532" s="102"/>
      <c r="B532" s="102"/>
    </row>
    <row r="533" spans="1:2" ht="15" customHeight="1">
      <c r="A533" s="102"/>
      <c r="B533" s="102"/>
    </row>
    <row r="534" spans="1:2" ht="15" customHeight="1">
      <c r="A534" s="102"/>
      <c r="B534" s="102"/>
    </row>
    <row r="535" spans="1:2" ht="15" customHeight="1">
      <c r="A535" s="102"/>
      <c r="B535" s="102"/>
    </row>
    <row r="536" spans="1:2" ht="15" customHeight="1">
      <c r="A536" s="102"/>
      <c r="B536" s="102"/>
    </row>
    <row r="537" spans="1:2" ht="15" customHeight="1">
      <c r="A537" s="102"/>
      <c r="B537" s="102"/>
    </row>
    <row r="538" spans="1:2" ht="15" customHeight="1">
      <c r="A538" s="102"/>
      <c r="B538" s="102"/>
    </row>
    <row r="539" spans="1:2" ht="15" customHeight="1">
      <c r="A539" s="102"/>
      <c r="B539" s="102"/>
    </row>
    <row r="540" spans="1:2" ht="15" customHeight="1">
      <c r="A540" s="102"/>
      <c r="B540" s="102"/>
    </row>
    <row r="541" spans="1:2" ht="15" customHeight="1">
      <c r="A541" s="102"/>
      <c r="B541" s="102"/>
    </row>
    <row r="542" spans="1:2" ht="15" customHeight="1">
      <c r="A542" s="102"/>
      <c r="B542" s="102"/>
    </row>
    <row r="543" spans="1:2" ht="15" customHeight="1">
      <c r="A543" s="102"/>
      <c r="B543" s="102"/>
    </row>
    <row r="544" spans="1:2" ht="15" customHeight="1">
      <c r="A544" s="102"/>
      <c r="B544" s="102"/>
    </row>
    <row r="545" spans="1:2" ht="15" customHeight="1">
      <c r="A545" s="102"/>
      <c r="B545" s="102"/>
    </row>
    <row r="546" spans="1:2" ht="15" customHeight="1">
      <c r="A546" s="102"/>
      <c r="B546" s="102"/>
    </row>
    <row r="547" spans="1:2" ht="15" customHeight="1">
      <c r="A547" s="102"/>
      <c r="B547" s="102"/>
    </row>
    <row r="548" spans="1:2" ht="15" customHeight="1">
      <c r="A548" s="102"/>
      <c r="B548" s="102"/>
    </row>
    <row r="549" spans="1:2" ht="15" customHeight="1">
      <c r="A549" s="102"/>
      <c r="B549" s="102"/>
    </row>
    <row r="550" spans="1:2" ht="15" customHeight="1">
      <c r="A550" s="102"/>
      <c r="B550" s="102"/>
    </row>
    <row r="551" spans="1:2" ht="15" customHeight="1">
      <c r="A551" s="102"/>
      <c r="B551" s="102"/>
    </row>
    <row r="552" spans="1:2" ht="15" customHeight="1">
      <c r="A552" s="102"/>
      <c r="B552" s="102"/>
    </row>
    <row r="553" spans="1:2" ht="15" customHeight="1">
      <c r="A553" s="102"/>
      <c r="B553" s="102"/>
    </row>
    <row r="554" spans="1:2" ht="15" customHeight="1">
      <c r="A554" s="102"/>
      <c r="B554" s="102"/>
    </row>
    <row r="555" spans="1:2" ht="15" customHeight="1">
      <c r="A555" s="102"/>
      <c r="B555" s="102"/>
    </row>
    <row r="556" spans="1:2" ht="15" customHeight="1">
      <c r="A556" s="102"/>
      <c r="B556" s="102"/>
    </row>
    <row r="557" spans="1:2" ht="15" customHeight="1">
      <c r="A557" s="102"/>
      <c r="B557" s="102"/>
    </row>
    <row r="558" spans="1:2" ht="15" customHeight="1">
      <c r="A558" s="102"/>
      <c r="B558" s="102"/>
    </row>
    <row r="559" spans="1:2" ht="15" customHeight="1">
      <c r="A559" s="102"/>
      <c r="B559" s="102"/>
    </row>
    <row r="560" spans="1:2" ht="15" customHeight="1">
      <c r="A560" s="102"/>
      <c r="B560" s="102"/>
    </row>
    <row r="561" spans="1:2" ht="15" customHeight="1">
      <c r="A561" s="102"/>
      <c r="B561" s="102"/>
    </row>
    <row r="562" spans="1:2" ht="15" customHeight="1">
      <c r="A562" s="102"/>
      <c r="B562" s="102"/>
    </row>
    <row r="563" spans="1:2" ht="15" customHeight="1">
      <c r="A563" s="102"/>
      <c r="B563" s="102"/>
    </row>
    <row r="564" spans="1:2" ht="15" customHeight="1">
      <c r="A564" s="102"/>
      <c r="B564" s="102"/>
    </row>
    <row r="565" spans="1:2" ht="15" customHeight="1">
      <c r="A565" s="102"/>
      <c r="B565" s="102"/>
    </row>
    <row r="566" spans="1:2" ht="15" customHeight="1">
      <c r="A566" s="102"/>
      <c r="B566" s="102"/>
    </row>
    <row r="567" spans="1:2" ht="15" customHeight="1">
      <c r="A567" s="102"/>
      <c r="B567" s="102"/>
    </row>
    <row r="568" spans="1:2" ht="15" customHeight="1">
      <c r="A568" s="102"/>
      <c r="B568" s="102"/>
    </row>
    <row r="569" spans="1:2" ht="15" customHeight="1">
      <c r="A569" s="102"/>
      <c r="B569" s="102"/>
    </row>
    <row r="570" spans="1:2" ht="15" customHeight="1">
      <c r="A570" s="102"/>
      <c r="B570" s="102"/>
    </row>
    <row r="571" spans="1:2" ht="15" customHeight="1">
      <c r="A571" s="102"/>
      <c r="B571" s="102"/>
    </row>
    <row r="572" spans="1:2" ht="15" customHeight="1">
      <c r="A572" s="102"/>
      <c r="B572" s="102"/>
    </row>
    <row r="573" spans="1:2" ht="15" customHeight="1">
      <c r="A573" s="102"/>
      <c r="B573" s="102"/>
    </row>
    <row r="574" spans="1:2" ht="15" customHeight="1">
      <c r="A574" s="102"/>
      <c r="B574" s="102"/>
    </row>
    <row r="575" spans="1:2" ht="15" customHeight="1">
      <c r="A575" s="102"/>
      <c r="B575" s="102"/>
    </row>
    <row r="576" spans="1:2" ht="15" customHeight="1">
      <c r="A576" s="102"/>
      <c r="B576" s="102"/>
    </row>
    <row r="577" spans="1:2" ht="15" customHeight="1">
      <c r="A577" s="102"/>
      <c r="B577" s="102"/>
    </row>
    <row r="578" spans="1:2" ht="15" customHeight="1">
      <c r="A578" s="102"/>
      <c r="B578" s="102"/>
    </row>
    <row r="579" spans="1:2" ht="15" customHeight="1">
      <c r="A579" s="102"/>
      <c r="B579" s="102"/>
    </row>
    <row r="580" spans="1:2" ht="15" customHeight="1">
      <c r="A580" s="102"/>
      <c r="B580" s="102"/>
    </row>
    <row r="581" spans="1:2" ht="15" customHeight="1">
      <c r="A581" s="102"/>
      <c r="B581" s="102"/>
    </row>
    <row r="582" spans="1:2" ht="15" customHeight="1">
      <c r="A582" s="102"/>
      <c r="B582" s="102"/>
    </row>
    <row r="583" spans="1:2" ht="15" customHeight="1">
      <c r="A583" s="102"/>
      <c r="B583" s="102"/>
    </row>
    <row r="584" spans="1:2" ht="15" customHeight="1">
      <c r="A584" s="102"/>
      <c r="B584" s="102"/>
    </row>
    <row r="585" spans="1:2" ht="15" customHeight="1">
      <c r="A585" s="102"/>
      <c r="B585" s="102"/>
    </row>
    <row r="586" spans="1:2" ht="15" customHeight="1">
      <c r="A586" s="102"/>
      <c r="B586" s="102"/>
    </row>
    <row r="587" spans="1:2" ht="15" customHeight="1">
      <c r="A587" s="102"/>
      <c r="B587" s="102"/>
    </row>
    <row r="588" spans="1:2" ht="15" customHeight="1">
      <c r="A588" s="102"/>
      <c r="B588" s="102"/>
    </row>
    <row r="589" spans="1:2" ht="15" customHeight="1">
      <c r="A589" s="102"/>
      <c r="B589" s="102"/>
    </row>
    <row r="590" spans="1:2" ht="15" customHeight="1">
      <c r="A590" s="102"/>
      <c r="B590" s="102"/>
    </row>
    <row r="591" spans="1:2" ht="15" customHeight="1">
      <c r="A591" s="102"/>
      <c r="B591" s="102"/>
    </row>
    <row r="592" spans="1:2" ht="15" customHeight="1">
      <c r="A592" s="102"/>
      <c r="B592" s="102"/>
    </row>
    <row r="593" spans="1:2" ht="15" customHeight="1">
      <c r="A593" s="102"/>
      <c r="B593" s="102"/>
    </row>
    <row r="594" spans="1:2" ht="15" customHeight="1">
      <c r="A594" s="102"/>
      <c r="B594" s="102"/>
    </row>
    <row r="595" spans="1:2" ht="15" customHeight="1">
      <c r="A595" s="102"/>
      <c r="B595" s="102"/>
    </row>
    <row r="596" spans="1:2" ht="15" customHeight="1">
      <c r="A596" s="102"/>
      <c r="B596" s="102"/>
    </row>
    <row r="597" spans="1:2" ht="15" customHeight="1">
      <c r="A597" s="102"/>
      <c r="B597" s="102"/>
    </row>
    <row r="598" spans="1:2" ht="15" customHeight="1">
      <c r="A598" s="102"/>
      <c r="B598" s="102"/>
    </row>
    <row r="599" spans="1:2" ht="15" customHeight="1">
      <c r="A599" s="102"/>
      <c r="B599" s="102"/>
    </row>
    <row r="600" spans="1:2" ht="15" customHeight="1">
      <c r="A600" s="102"/>
      <c r="B600" s="102"/>
    </row>
    <row r="601" spans="1:2" ht="15" customHeight="1">
      <c r="A601" s="102"/>
      <c r="B601" s="102"/>
    </row>
    <row r="602" spans="1:2" ht="15" customHeight="1">
      <c r="A602" s="102"/>
      <c r="B602" s="102"/>
    </row>
    <row r="603" spans="1:2" ht="15" customHeight="1">
      <c r="A603" s="102"/>
      <c r="B603" s="102"/>
    </row>
    <row r="604" spans="1:2" ht="15" customHeight="1">
      <c r="A604" s="102"/>
      <c r="B604" s="102"/>
    </row>
    <row r="605" spans="1:2" ht="15" customHeight="1">
      <c r="A605" s="102"/>
      <c r="B605" s="102"/>
    </row>
    <row r="606" spans="1:2" ht="15" customHeight="1">
      <c r="A606" s="102"/>
      <c r="B606" s="102"/>
    </row>
    <row r="607" spans="1:2" ht="15" customHeight="1">
      <c r="A607" s="102"/>
      <c r="B607" s="102"/>
    </row>
    <row r="608" spans="1:2" ht="15" customHeight="1">
      <c r="A608" s="102"/>
      <c r="B608" s="102"/>
    </row>
    <row r="609" spans="1:2" ht="15" customHeight="1">
      <c r="A609" s="102"/>
      <c r="B609" s="102"/>
    </row>
    <row r="610" spans="1:2" ht="15" customHeight="1">
      <c r="A610" s="102"/>
      <c r="B610" s="102"/>
    </row>
    <row r="611" spans="1:2" ht="15" customHeight="1">
      <c r="A611" s="102"/>
      <c r="B611" s="102"/>
    </row>
    <row r="612" spans="1:2" ht="15" customHeight="1">
      <c r="A612" s="102"/>
      <c r="B612" s="102"/>
    </row>
    <row r="613" spans="1:2" ht="15" customHeight="1">
      <c r="A613" s="102"/>
      <c r="B613" s="102"/>
    </row>
    <row r="614" spans="1:2" ht="15" customHeight="1">
      <c r="A614" s="102"/>
      <c r="B614" s="102"/>
    </row>
    <row r="615" spans="1:2" ht="15" customHeight="1">
      <c r="A615" s="102"/>
      <c r="B615" s="102"/>
    </row>
    <row r="616" spans="1:2" ht="15" customHeight="1">
      <c r="A616" s="102"/>
      <c r="B616" s="102"/>
    </row>
    <row r="617" spans="1:2" ht="15" customHeight="1">
      <c r="A617" s="102"/>
      <c r="B617" s="102"/>
    </row>
    <row r="618" spans="1:2" ht="15" customHeight="1">
      <c r="A618" s="102"/>
      <c r="B618" s="102"/>
    </row>
    <row r="619" spans="1:2" ht="15" customHeight="1">
      <c r="A619" s="102"/>
      <c r="B619" s="102"/>
    </row>
    <row r="620" spans="1:2" ht="15" customHeight="1">
      <c r="A620" s="102"/>
      <c r="B620" s="102"/>
    </row>
    <row r="621" spans="1:2" ht="15" customHeight="1">
      <c r="A621" s="102"/>
      <c r="B621" s="102"/>
    </row>
    <row r="622" spans="1:2" ht="15" customHeight="1">
      <c r="A622" s="102"/>
      <c r="B622" s="102"/>
    </row>
    <row r="623" spans="1:2" ht="15" customHeight="1">
      <c r="A623" s="102"/>
      <c r="B623" s="102"/>
    </row>
    <row r="624" spans="1:2" ht="15" customHeight="1">
      <c r="A624" s="102"/>
      <c r="B624" s="102"/>
    </row>
    <row r="625" spans="1:2" ht="15" customHeight="1">
      <c r="A625" s="102"/>
      <c r="B625" s="102"/>
    </row>
    <row r="626" spans="1:2" ht="15" customHeight="1">
      <c r="A626" s="102"/>
      <c r="B626" s="102"/>
    </row>
    <row r="627" spans="1:2" ht="15" customHeight="1">
      <c r="A627" s="102"/>
      <c r="B627" s="102"/>
    </row>
    <row r="628" spans="1:2" ht="15" customHeight="1">
      <c r="A628" s="102"/>
      <c r="B628" s="102"/>
    </row>
    <row r="629" spans="1:2" ht="15" customHeight="1">
      <c r="A629" s="102"/>
      <c r="B629" s="102"/>
    </row>
    <row r="630" spans="1:2" ht="15" customHeight="1">
      <c r="A630" s="102"/>
      <c r="B630" s="102"/>
    </row>
    <row r="631" spans="1:2" ht="15" customHeight="1">
      <c r="A631" s="102"/>
      <c r="B631" s="102"/>
    </row>
    <row r="632" spans="1:2" ht="15" customHeight="1">
      <c r="A632" s="102"/>
      <c r="B632" s="102"/>
    </row>
    <row r="633" spans="1:2" ht="15" customHeight="1">
      <c r="A633" s="102"/>
      <c r="B633" s="102"/>
    </row>
    <row r="634" spans="1:2" ht="15" customHeight="1">
      <c r="A634" s="102"/>
      <c r="B634" s="102"/>
    </row>
    <row r="635" spans="1:2" ht="15" customHeight="1">
      <c r="A635" s="102"/>
      <c r="B635" s="102"/>
    </row>
    <row r="636" spans="1:2" ht="15" customHeight="1">
      <c r="A636" s="102"/>
      <c r="B636" s="102"/>
    </row>
    <row r="637" spans="1:2" ht="15" customHeight="1">
      <c r="A637" s="102"/>
      <c r="B637" s="102"/>
    </row>
    <row r="638" spans="1:2" ht="15" customHeight="1">
      <c r="A638" s="102"/>
      <c r="B638" s="102"/>
    </row>
    <row r="639" spans="1:2" ht="15" customHeight="1">
      <c r="A639" s="102"/>
      <c r="B639" s="102"/>
    </row>
    <row r="640" spans="1:2" ht="15" customHeight="1">
      <c r="A640" s="102"/>
      <c r="B640" s="102"/>
    </row>
    <row r="641" spans="1:2" ht="15" customHeight="1">
      <c r="A641" s="102"/>
      <c r="B641" s="102"/>
    </row>
    <row r="642" spans="1:2" ht="15" customHeight="1">
      <c r="A642" s="102"/>
      <c r="B642" s="102"/>
    </row>
    <row r="643" spans="1:2" ht="15" customHeight="1">
      <c r="A643" s="102"/>
      <c r="B643" s="102"/>
    </row>
    <row r="644" spans="1:2" ht="15" customHeight="1">
      <c r="A644" s="102"/>
      <c r="B644" s="102"/>
    </row>
    <row r="645" spans="1:2" ht="15" customHeight="1">
      <c r="A645" s="102"/>
      <c r="B645" s="102"/>
    </row>
    <row r="646" spans="1:2" ht="15" customHeight="1">
      <c r="A646" s="102"/>
      <c r="B646" s="102"/>
    </row>
    <row r="647" spans="1:2" ht="15" customHeight="1">
      <c r="A647" s="102"/>
      <c r="B647" s="102"/>
    </row>
    <row r="648" spans="1:2" ht="15" customHeight="1">
      <c r="A648" s="102"/>
      <c r="B648" s="102"/>
    </row>
    <row r="649" spans="1:2" ht="15" customHeight="1">
      <c r="A649" s="102"/>
      <c r="B649" s="102"/>
    </row>
    <row r="650" spans="1:2" ht="15" customHeight="1">
      <c r="A650" s="102"/>
      <c r="B650" s="102"/>
    </row>
    <row r="651" spans="1:2" ht="15" customHeight="1">
      <c r="A651" s="102"/>
      <c r="B651" s="102"/>
    </row>
    <row r="652" spans="1:2" ht="15" customHeight="1">
      <c r="A652" s="102"/>
      <c r="B652" s="102"/>
    </row>
    <row r="653" spans="1:2" ht="15" customHeight="1">
      <c r="A653" s="102"/>
      <c r="B653" s="102"/>
    </row>
    <row r="654" spans="1:2" ht="15" customHeight="1">
      <c r="A654" s="102"/>
      <c r="B654" s="102"/>
    </row>
    <row r="655" spans="1:2" ht="15" customHeight="1">
      <c r="A655" s="102"/>
      <c r="B655" s="102"/>
    </row>
    <row r="656" spans="1:2" ht="15" customHeight="1">
      <c r="A656" s="102"/>
      <c r="B656" s="102"/>
    </row>
    <row r="657" spans="1:2" ht="15" customHeight="1">
      <c r="A657" s="102"/>
      <c r="B657" s="102"/>
    </row>
    <row r="658" spans="1:2" ht="15" customHeight="1">
      <c r="A658" s="102"/>
      <c r="B658" s="102"/>
    </row>
    <row r="659" spans="1:2" ht="15" customHeight="1">
      <c r="A659" s="102"/>
      <c r="B659" s="102"/>
    </row>
    <row r="660" spans="1:2" ht="15" customHeight="1">
      <c r="A660" s="102"/>
      <c r="B660" s="102"/>
    </row>
    <row r="661" spans="1:2" ht="15" customHeight="1">
      <c r="A661" s="102"/>
      <c r="B661" s="102"/>
    </row>
    <row r="662" spans="1:2" ht="15" customHeight="1">
      <c r="A662" s="102"/>
      <c r="B662" s="102"/>
    </row>
    <row r="663" spans="1:2" ht="15" customHeight="1">
      <c r="A663" s="102"/>
      <c r="B663" s="102"/>
    </row>
    <row r="664" spans="1:2" ht="15" customHeight="1">
      <c r="A664" s="102"/>
      <c r="B664" s="102"/>
    </row>
    <row r="665" spans="1:2" ht="15" customHeight="1">
      <c r="A665" s="102"/>
      <c r="B665" s="102"/>
    </row>
    <row r="666" spans="1:2" ht="15" customHeight="1">
      <c r="A666" s="102"/>
      <c r="B666" s="102"/>
    </row>
    <row r="667" spans="1:2" ht="15" customHeight="1">
      <c r="A667" s="102"/>
      <c r="B667" s="102"/>
    </row>
    <row r="668" spans="1:2" ht="15" customHeight="1">
      <c r="A668" s="102"/>
      <c r="B668" s="102"/>
    </row>
    <row r="669" spans="1:2" ht="15" customHeight="1">
      <c r="A669" s="102"/>
      <c r="B669" s="102"/>
    </row>
    <row r="670" spans="1:2" ht="15" customHeight="1">
      <c r="A670" s="102"/>
      <c r="B670" s="102"/>
    </row>
    <row r="671" spans="1:2" ht="15" customHeight="1">
      <c r="A671" s="102"/>
      <c r="B671" s="102"/>
    </row>
    <row r="672" spans="1:2" ht="15" customHeight="1">
      <c r="A672" s="102"/>
      <c r="B672" s="102"/>
    </row>
    <row r="673" spans="1:2" ht="15" customHeight="1">
      <c r="A673" s="102"/>
      <c r="B673" s="102"/>
    </row>
    <row r="674" spans="1:2" ht="15" customHeight="1">
      <c r="A674" s="102"/>
      <c r="B674" s="102"/>
    </row>
    <row r="675" spans="1:2" ht="15" customHeight="1">
      <c r="A675" s="102"/>
      <c r="B675" s="102"/>
    </row>
    <row r="676" spans="1:2" ht="15" customHeight="1">
      <c r="A676" s="102"/>
      <c r="B676" s="102"/>
    </row>
    <row r="677" spans="1:2" ht="15" customHeight="1">
      <c r="A677" s="102"/>
      <c r="B677" s="102"/>
    </row>
    <row r="678" spans="1:2" ht="15" customHeight="1">
      <c r="A678" s="102"/>
      <c r="B678" s="102"/>
    </row>
    <row r="679" spans="1:2" ht="15" customHeight="1">
      <c r="A679" s="102"/>
      <c r="B679" s="102"/>
    </row>
    <row r="680" spans="1:2" ht="15" customHeight="1">
      <c r="A680" s="102"/>
      <c r="B680" s="102"/>
    </row>
    <row r="681" spans="1:2" ht="15" customHeight="1">
      <c r="A681" s="102"/>
      <c r="B681" s="102"/>
    </row>
    <row r="682" spans="1:2" ht="15" customHeight="1">
      <c r="A682" s="102"/>
      <c r="B682" s="102"/>
    </row>
    <row r="683" spans="1:2" ht="15" customHeight="1">
      <c r="A683" s="102"/>
      <c r="B683" s="102"/>
    </row>
    <row r="684" spans="1:2" ht="15" customHeight="1">
      <c r="A684" s="102"/>
      <c r="B684" s="102"/>
    </row>
    <row r="685" spans="1:2" ht="15" customHeight="1">
      <c r="A685" s="102"/>
      <c r="B685" s="102"/>
    </row>
    <row r="686" spans="1:2" ht="15" customHeight="1">
      <c r="A686" s="102"/>
      <c r="B686" s="102"/>
    </row>
    <row r="687" spans="1:2" ht="15" customHeight="1">
      <c r="A687" s="102"/>
      <c r="B687" s="102"/>
    </row>
    <row r="688" spans="1:2" ht="15" customHeight="1">
      <c r="A688" s="102"/>
      <c r="B688" s="102"/>
    </row>
    <row r="689" spans="1:2" ht="15" customHeight="1">
      <c r="A689" s="102"/>
      <c r="B689" s="102"/>
    </row>
    <row r="690" spans="1:2" ht="15" customHeight="1">
      <c r="A690" s="102"/>
      <c r="B690" s="102"/>
    </row>
    <row r="691" spans="1:2" ht="15" customHeight="1">
      <c r="A691" s="102"/>
      <c r="B691" s="102"/>
    </row>
    <row r="692" spans="1:2" ht="15" customHeight="1">
      <c r="A692" s="102"/>
      <c r="B692" s="102"/>
    </row>
    <row r="693" spans="1:2" ht="15" customHeight="1">
      <c r="A693" s="102"/>
      <c r="B693" s="102"/>
    </row>
    <row r="694" spans="1:2" ht="15" customHeight="1">
      <c r="A694" s="102"/>
      <c r="B694" s="102"/>
    </row>
    <row r="695" spans="1:2" ht="15" customHeight="1">
      <c r="A695" s="102"/>
      <c r="B695" s="102"/>
    </row>
    <row r="696" spans="1:2" ht="15" customHeight="1">
      <c r="A696" s="102"/>
      <c r="B696" s="102"/>
    </row>
    <row r="697" spans="1:2" ht="15" customHeight="1">
      <c r="A697" s="102"/>
      <c r="B697" s="102"/>
    </row>
    <row r="698" spans="1:2" ht="15" customHeight="1">
      <c r="A698" s="102"/>
      <c r="B698" s="102"/>
    </row>
    <row r="699" spans="1:2" ht="15" customHeight="1">
      <c r="A699" s="102"/>
      <c r="B699" s="102"/>
    </row>
    <row r="700" spans="1:2" ht="15" customHeight="1">
      <c r="A700" s="102"/>
      <c r="B700" s="102"/>
    </row>
    <row r="701" spans="1:2" ht="15" customHeight="1">
      <c r="A701" s="102"/>
      <c r="B701" s="102"/>
    </row>
    <row r="702" spans="1:2" ht="15" customHeight="1">
      <c r="A702" s="102"/>
      <c r="B702" s="102"/>
    </row>
    <row r="703" spans="1:2" ht="15" customHeight="1">
      <c r="A703" s="102"/>
      <c r="B703" s="102"/>
    </row>
    <row r="704" spans="1:2" ht="15" customHeight="1">
      <c r="A704" s="102"/>
      <c r="B704" s="102"/>
    </row>
    <row r="705" spans="1:2" ht="15" customHeight="1">
      <c r="A705" s="102"/>
      <c r="B705" s="102"/>
    </row>
    <row r="706" spans="1:2" ht="15" customHeight="1">
      <c r="A706" s="102"/>
      <c r="B706" s="102"/>
    </row>
    <row r="707" spans="1:2" ht="15" customHeight="1">
      <c r="A707" s="102"/>
      <c r="B707" s="102"/>
    </row>
    <row r="708" spans="1:2" ht="15" customHeight="1">
      <c r="A708" s="102"/>
      <c r="B708" s="102"/>
    </row>
    <row r="709" spans="1:2" ht="15" customHeight="1">
      <c r="A709" s="102"/>
      <c r="B709" s="102"/>
    </row>
    <row r="710" spans="1:2" ht="15" customHeight="1">
      <c r="A710" s="102"/>
      <c r="B710" s="102"/>
    </row>
    <row r="711" spans="1:2" ht="15" customHeight="1">
      <c r="A711" s="102"/>
      <c r="B711" s="102"/>
    </row>
    <row r="712" spans="1:2" ht="15" customHeight="1">
      <c r="A712" s="102"/>
      <c r="B712" s="102"/>
    </row>
    <row r="713" spans="1:2" ht="15" customHeight="1">
      <c r="A713" s="102"/>
      <c r="B713" s="102"/>
    </row>
    <row r="714" spans="1:2" ht="15" customHeight="1">
      <c r="A714" s="102"/>
      <c r="B714" s="102"/>
    </row>
    <row r="715" spans="1:2" ht="15" customHeight="1">
      <c r="A715" s="102"/>
      <c r="B715" s="102"/>
    </row>
    <row r="716" spans="1:2" ht="15" customHeight="1">
      <c r="A716" s="102"/>
      <c r="B716" s="102"/>
    </row>
    <row r="717" spans="1:2" ht="15" customHeight="1">
      <c r="A717" s="102"/>
      <c r="B717" s="102"/>
    </row>
    <row r="718" spans="1:2" ht="15" customHeight="1">
      <c r="A718" s="102"/>
      <c r="B718" s="102"/>
    </row>
    <row r="719" spans="1:2" ht="15" customHeight="1">
      <c r="A719" s="102"/>
      <c r="B719" s="102"/>
    </row>
    <row r="720" spans="1:2" ht="15" customHeight="1">
      <c r="A720" s="102"/>
      <c r="B720" s="102"/>
    </row>
    <row r="721" spans="1:2" ht="15" customHeight="1">
      <c r="A721" s="102"/>
      <c r="B721" s="102"/>
    </row>
    <row r="722" spans="1:2" ht="15" customHeight="1">
      <c r="A722" s="102"/>
      <c r="B722" s="102"/>
    </row>
    <row r="723" spans="1:2" ht="15" customHeight="1">
      <c r="A723" s="102"/>
      <c r="B723" s="102"/>
    </row>
    <row r="724" spans="1:2" ht="15" customHeight="1">
      <c r="A724" s="102"/>
      <c r="B724" s="102"/>
    </row>
    <row r="725" spans="1:2" ht="15" customHeight="1">
      <c r="A725" s="102"/>
      <c r="B725" s="102"/>
    </row>
    <row r="726" spans="1:2" ht="15" customHeight="1">
      <c r="A726" s="102"/>
      <c r="B726" s="102"/>
    </row>
    <row r="727" spans="1:2" ht="15" customHeight="1">
      <c r="A727" s="102"/>
      <c r="B727" s="102"/>
    </row>
    <row r="728" spans="1:2" ht="15" customHeight="1">
      <c r="A728" s="102"/>
      <c r="B728" s="102"/>
    </row>
    <row r="729" spans="1:2" ht="15" customHeight="1">
      <c r="A729" s="102"/>
      <c r="B729" s="102"/>
    </row>
    <row r="730" spans="1:2" ht="15" customHeight="1">
      <c r="A730" s="102"/>
      <c r="B730" s="102"/>
    </row>
    <row r="731" spans="1:2" ht="15" customHeight="1">
      <c r="A731" s="102"/>
      <c r="B731" s="102"/>
    </row>
    <row r="732" spans="1:2" ht="15" customHeight="1">
      <c r="A732" s="102"/>
      <c r="B732" s="102"/>
    </row>
    <row r="733" spans="1:2" ht="15" customHeight="1">
      <c r="A733" s="102"/>
      <c r="B733" s="102"/>
    </row>
    <row r="734" spans="1:2" ht="15" customHeight="1">
      <c r="A734" s="102"/>
      <c r="B734" s="102"/>
    </row>
    <row r="735" spans="1:2" ht="15" customHeight="1">
      <c r="A735" s="102"/>
      <c r="B735" s="102"/>
    </row>
    <row r="736" spans="1:2" ht="15" customHeight="1">
      <c r="A736" s="102"/>
      <c r="B736" s="102"/>
    </row>
    <row r="737" spans="1:2" ht="15" customHeight="1">
      <c r="A737" s="102"/>
      <c r="B737" s="102"/>
    </row>
    <row r="738" spans="1:2" ht="15" customHeight="1">
      <c r="A738" s="102"/>
      <c r="B738" s="102"/>
    </row>
    <row r="739" spans="1:2" ht="15" customHeight="1">
      <c r="A739" s="102"/>
      <c r="B739" s="102"/>
    </row>
    <row r="740" spans="1:2" ht="15" customHeight="1">
      <c r="A740" s="102"/>
      <c r="B740" s="102"/>
    </row>
    <row r="741" spans="1:2" ht="15" customHeight="1">
      <c r="A741" s="102"/>
      <c r="B741" s="102"/>
    </row>
    <row r="742" spans="1:2" ht="15" customHeight="1">
      <c r="A742" s="102"/>
      <c r="B742" s="102"/>
    </row>
    <row r="743" spans="1:2" ht="15" customHeight="1">
      <c r="A743" s="102"/>
      <c r="B743" s="102"/>
    </row>
    <row r="744" spans="1:2" ht="15" customHeight="1">
      <c r="A744" s="102"/>
      <c r="B744" s="102"/>
    </row>
    <row r="745" spans="1:2" ht="15" customHeight="1">
      <c r="A745" s="102"/>
      <c r="B745" s="102"/>
    </row>
    <row r="746" spans="1:2" ht="15" customHeight="1">
      <c r="A746" s="102"/>
      <c r="B746" s="102"/>
    </row>
    <row r="747" spans="1:2" ht="15" customHeight="1">
      <c r="A747" s="102"/>
      <c r="B747" s="102"/>
    </row>
    <row r="748" spans="1:2" ht="15" customHeight="1">
      <c r="A748" s="102"/>
      <c r="B748" s="102"/>
    </row>
    <row r="749" spans="1:2" ht="15" customHeight="1">
      <c r="A749" s="102"/>
      <c r="B749" s="102"/>
    </row>
    <row r="750" spans="1:2" ht="15" customHeight="1">
      <c r="A750" s="102"/>
      <c r="B750" s="102"/>
    </row>
    <row r="751" spans="1:2" ht="15" customHeight="1">
      <c r="A751" s="102"/>
      <c r="B751" s="102"/>
    </row>
    <row r="752" spans="1:2" ht="15" customHeight="1">
      <c r="A752" s="102"/>
      <c r="B752" s="102"/>
    </row>
    <row r="753" spans="1:2" ht="15" customHeight="1">
      <c r="A753" s="102"/>
      <c r="B753" s="102"/>
    </row>
    <row r="754" spans="1:2" ht="15" customHeight="1">
      <c r="A754" s="102"/>
      <c r="B754" s="102"/>
    </row>
    <row r="755" spans="1:2" ht="15" customHeight="1">
      <c r="A755" s="102"/>
      <c r="B755" s="102"/>
    </row>
    <row r="756" spans="1:2" ht="15" customHeight="1">
      <c r="A756" s="102"/>
      <c r="B756" s="102"/>
    </row>
    <row r="757" spans="1:2" ht="15" customHeight="1">
      <c r="A757" s="102"/>
      <c r="B757" s="102"/>
    </row>
    <row r="758" spans="1:2" ht="15" customHeight="1">
      <c r="A758" s="102"/>
      <c r="B758" s="102"/>
    </row>
    <row r="759" spans="1:2" ht="15" customHeight="1">
      <c r="A759" s="102"/>
      <c r="B759" s="102"/>
    </row>
    <row r="760" spans="1:2" ht="15" customHeight="1">
      <c r="A760" s="102"/>
      <c r="B760" s="102"/>
    </row>
    <row r="761" spans="1:2" ht="15" customHeight="1">
      <c r="A761" s="102"/>
      <c r="B761" s="102"/>
    </row>
    <row r="762" spans="1:2" ht="15" customHeight="1">
      <c r="A762" s="102"/>
      <c r="B762" s="102"/>
    </row>
    <row r="763" spans="1:2" ht="15" customHeight="1">
      <c r="A763" s="102"/>
      <c r="B763" s="102"/>
    </row>
    <row r="764" spans="1:2" ht="15" customHeight="1">
      <c r="A764" s="102"/>
      <c r="B764" s="102"/>
    </row>
    <row r="765" spans="1:2" ht="15" customHeight="1">
      <c r="A765" s="102"/>
      <c r="B765" s="102"/>
    </row>
    <row r="766" spans="1:2" ht="15" customHeight="1">
      <c r="A766" s="102"/>
      <c r="B766" s="102"/>
    </row>
    <row r="767" spans="1:2" ht="15" customHeight="1">
      <c r="A767" s="102"/>
      <c r="B767" s="102"/>
    </row>
    <row r="768" spans="1:2" ht="15" customHeight="1">
      <c r="A768" s="102"/>
      <c r="B768" s="102"/>
    </row>
    <row r="769" spans="1:2" ht="15" customHeight="1">
      <c r="A769" s="102"/>
      <c r="B769" s="102"/>
    </row>
    <row r="770" spans="1:2" ht="15" customHeight="1">
      <c r="A770" s="102"/>
      <c r="B770" s="102"/>
    </row>
    <row r="771" spans="1:2" ht="15" customHeight="1">
      <c r="A771" s="102"/>
      <c r="B771" s="102"/>
    </row>
    <row r="772" spans="1:2" ht="15" customHeight="1">
      <c r="A772" s="102"/>
      <c r="B772" s="102"/>
    </row>
    <row r="773" spans="1:2" ht="15" customHeight="1">
      <c r="A773" s="102"/>
      <c r="B773" s="102"/>
    </row>
    <row r="774" spans="1:2" ht="15" customHeight="1">
      <c r="A774" s="102"/>
      <c r="B774" s="102"/>
    </row>
    <row r="775" spans="1:2" ht="15" customHeight="1">
      <c r="A775" s="102"/>
      <c r="B775" s="102"/>
    </row>
    <row r="776" spans="1:2" ht="15" customHeight="1">
      <c r="A776" s="102"/>
      <c r="B776" s="102"/>
    </row>
    <row r="777" spans="1:2" ht="15" customHeight="1">
      <c r="A777" s="102"/>
      <c r="B777" s="102"/>
    </row>
    <row r="778" spans="1:2" ht="15" customHeight="1">
      <c r="A778" s="102"/>
      <c r="B778" s="102"/>
    </row>
    <row r="779" spans="1:2" ht="15" customHeight="1">
      <c r="A779" s="102"/>
      <c r="B779" s="102"/>
    </row>
    <row r="780" spans="1:2" ht="15" customHeight="1">
      <c r="A780" s="102"/>
      <c r="B780" s="102"/>
    </row>
    <row r="781" spans="1:2" ht="15" customHeight="1">
      <c r="A781" s="102"/>
      <c r="B781" s="102"/>
    </row>
    <row r="782" spans="1:2" ht="15" customHeight="1">
      <c r="A782" s="102"/>
      <c r="B782" s="102"/>
    </row>
    <row r="783" spans="1:2" ht="15" customHeight="1">
      <c r="A783" s="102"/>
      <c r="B783" s="102"/>
    </row>
    <row r="784" spans="1:2" ht="15" customHeight="1">
      <c r="A784" s="102"/>
      <c r="B784" s="102"/>
    </row>
    <row r="785" spans="1:2" ht="15" customHeight="1">
      <c r="A785" s="102"/>
      <c r="B785" s="102"/>
    </row>
    <row r="786" spans="1:2" ht="15" customHeight="1">
      <c r="A786" s="102"/>
      <c r="B786" s="102"/>
    </row>
    <row r="787" spans="1:2" ht="15" customHeight="1">
      <c r="A787" s="102"/>
      <c r="B787" s="102"/>
    </row>
    <row r="788" spans="1:2" ht="15" customHeight="1">
      <c r="A788" s="102"/>
      <c r="B788" s="102"/>
    </row>
    <row r="789" spans="1:2" ht="15" customHeight="1">
      <c r="A789" s="102"/>
      <c r="B789" s="102"/>
    </row>
    <row r="790" spans="1:2" ht="15" customHeight="1">
      <c r="A790" s="102"/>
      <c r="B790" s="102"/>
    </row>
    <row r="791" spans="1:2" ht="15" customHeight="1">
      <c r="A791" s="102"/>
      <c r="B791" s="102"/>
    </row>
    <row r="792" spans="1:2" ht="15" customHeight="1">
      <c r="A792" s="102"/>
      <c r="B792" s="102"/>
    </row>
    <row r="793" spans="1:2" ht="15" customHeight="1">
      <c r="A793" s="102"/>
      <c r="B793" s="102"/>
    </row>
    <row r="794" spans="1:2" ht="15" customHeight="1">
      <c r="A794" s="102"/>
      <c r="B794" s="102"/>
    </row>
    <row r="795" spans="1:2" ht="15" customHeight="1">
      <c r="A795" s="102"/>
      <c r="B795" s="102"/>
    </row>
    <row r="796" spans="1:2" ht="15" customHeight="1">
      <c r="A796" s="102"/>
      <c r="B796" s="102"/>
    </row>
    <row r="797" spans="1:2" ht="15" customHeight="1">
      <c r="A797" s="102"/>
      <c r="B797" s="102"/>
    </row>
    <row r="798" spans="1:2" ht="15" customHeight="1">
      <c r="A798" s="102"/>
      <c r="B798" s="102"/>
    </row>
    <row r="799" spans="1:2" ht="15" customHeight="1">
      <c r="A799" s="102"/>
      <c r="B799" s="102"/>
    </row>
    <row r="800" spans="1:2" ht="15" customHeight="1">
      <c r="A800" s="102"/>
      <c r="B800" s="102"/>
    </row>
    <row r="801" spans="1:2" ht="15" customHeight="1">
      <c r="A801" s="102"/>
      <c r="B801" s="102"/>
    </row>
    <row r="802" spans="1:2" ht="15" customHeight="1">
      <c r="A802" s="102"/>
      <c r="B802" s="102"/>
    </row>
    <row r="803" spans="1:2" ht="15" customHeight="1">
      <c r="A803" s="102"/>
      <c r="B803" s="102"/>
    </row>
    <row r="804" spans="1:2" ht="15" customHeight="1">
      <c r="A804" s="102"/>
      <c r="B804" s="102"/>
    </row>
    <row r="805" spans="1:2" ht="15" customHeight="1">
      <c r="A805" s="102"/>
      <c r="B805" s="102"/>
    </row>
    <row r="806" spans="1:2" ht="15" customHeight="1">
      <c r="A806" s="102"/>
      <c r="B806" s="102"/>
    </row>
    <row r="807" spans="1:2" ht="15" customHeight="1">
      <c r="A807" s="102"/>
      <c r="B807" s="102"/>
    </row>
    <row r="808" spans="1:2" ht="15" customHeight="1">
      <c r="A808" s="102"/>
      <c r="B808" s="102"/>
    </row>
    <row r="809" spans="1:2" ht="15" customHeight="1">
      <c r="A809" s="102"/>
      <c r="B809" s="102"/>
    </row>
    <row r="810" spans="1:2" ht="15" customHeight="1">
      <c r="A810" s="102"/>
      <c r="B810" s="102"/>
    </row>
    <row r="811" spans="1:2" ht="15" customHeight="1">
      <c r="A811" s="102"/>
      <c r="B811" s="102"/>
    </row>
    <row r="812" spans="1:2" ht="15" customHeight="1">
      <c r="A812" s="102"/>
      <c r="B812" s="102"/>
    </row>
    <row r="813" spans="1:2" ht="15" customHeight="1">
      <c r="A813" s="102"/>
      <c r="B813" s="102"/>
    </row>
    <row r="814" spans="1:2" ht="15" customHeight="1">
      <c r="A814" s="102"/>
      <c r="B814" s="102"/>
    </row>
    <row r="815" spans="1:2" ht="15" customHeight="1">
      <c r="A815" s="102"/>
      <c r="B815" s="102"/>
    </row>
    <row r="816" spans="1:2" ht="15" customHeight="1">
      <c r="A816" s="102"/>
      <c r="B816" s="102"/>
    </row>
    <row r="817" spans="1:2" ht="15" customHeight="1">
      <c r="A817" s="102"/>
      <c r="B817" s="102"/>
    </row>
    <row r="818" spans="1:2" ht="15" customHeight="1">
      <c r="A818" s="102"/>
      <c r="B818" s="102"/>
    </row>
    <row r="819" spans="1:2" ht="15" customHeight="1">
      <c r="A819" s="102"/>
      <c r="B819" s="102"/>
    </row>
    <row r="820" spans="1:2" ht="15" customHeight="1">
      <c r="A820" s="102"/>
      <c r="B820" s="102"/>
    </row>
    <row r="821" spans="1:2" ht="15" customHeight="1">
      <c r="A821" s="102"/>
      <c r="B821" s="102"/>
    </row>
    <row r="822" spans="1:2" ht="15" customHeight="1">
      <c r="A822" s="102"/>
      <c r="B822" s="102"/>
    </row>
    <row r="823" spans="1:2" ht="15" customHeight="1">
      <c r="A823" s="102"/>
      <c r="B823" s="102"/>
    </row>
    <row r="824" spans="1:2" ht="15" customHeight="1">
      <c r="A824" s="102"/>
      <c r="B824" s="102"/>
    </row>
    <row r="825" spans="1:2" ht="15" customHeight="1">
      <c r="A825" s="102"/>
      <c r="B825" s="102"/>
    </row>
    <row r="826" spans="1:2" ht="15" customHeight="1">
      <c r="A826" s="102"/>
      <c r="B826" s="102"/>
    </row>
    <row r="827" spans="1:2" ht="15" customHeight="1">
      <c r="A827" s="102"/>
      <c r="B827" s="102"/>
    </row>
    <row r="828" spans="1:2" ht="15" customHeight="1">
      <c r="A828" s="102"/>
      <c r="B828" s="102"/>
    </row>
    <row r="829" spans="1:2" ht="15" customHeight="1">
      <c r="A829" s="102"/>
      <c r="B829" s="102"/>
    </row>
    <row r="830" spans="1:2" ht="15" customHeight="1">
      <c r="A830" s="102"/>
      <c r="B830" s="102"/>
    </row>
    <row r="831" spans="1:2" ht="15" customHeight="1">
      <c r="A831" s="102"/>
      <c r="B831" s="102"/>
    </row>
    <row r="832" spans="1:2" ht="15" customHeight="1">
      <c r="A832" s="102"/>
      <c r="B832" s="102"/>
    </row>
    <row r="833" spans="1:2" ht="15" customHeight="1">
      <c r="A833" s="102"/>
      <c r="B833" s="102"/>
    </row>
    <row r="834" spans="1:2" ht="15" customHeight="1">
      <c r="A834" s="102"/>
      <c r="B834" s="102"/>
    </row>
    <row r="835" spans="1:2" ht="15" customHeight="1">
      <c r="A835" s="102"/>
      <c r="B835" s="102"/>
    </row>
    <row r="836" spans="1:2" ht="15" customHeight="1">
      <c r="A836" s="102"/>
      <c r="B836" s="102"/>
    </row>
    <row r="837" spans="1:2" ht="15" customHeight="1">
      <c r="A837" s="102"/>
      <c r="B837" s="102"/>
    </row>
    <row r="838" spans="1:2" ht="15" customHeight="1">
      <c r="A838" s="102"/>
      <c r="B838" s="102"/>
    </row>
    <row r="839" spans="1:2" ht="15" customHeight="1">
      <c r="A839" s="102"/>
      <c r="B839" s="102"/>
    </row>
    <row r="840" spans="1:2" ht="15" customHeight="1">
      <c r="A840" s="102"/>
      <c r="B840" s="102"/>
    </row>
    <row r="841" spans="1:2" ht="15" customHeight="1">
      <c r="A841" s="102"/>
      <c r="B841" s="102"/>
    </row>
    <row r="842" spans="1:2" ht="15" customHeight="1">
      <c r="A842" s="102"/>
      <c r="B842" s="102"/>
    </row>
    <row r="843" spans="1:2" ht="15" customHeight="1">
      <c r="A843" s="102"/>
      <c r="B843" s="102"/>
    </row>
    <row r="844" spans="1:2" ht="15" customHeight="1">
      <c r="A844" s="102"/>
      <c r="B844" s="102"/>
    </row>
    <row r="845" spans="1:2" ht="15" customHeight="1">
      <c r="A845" s="102"/>
      <c r="B845" s="102"/>
    </row>
    <row r="846" spans="1:2" ht="15" customHeight="1">
      <c r="A846" s="102"/>
      <c r="B846" s="102"/>
    </row>
    <row r="847" spans="1:2" ht="15" customHeight="1">
      <c r="A847" s="102"/>
      <c r="B847" s="102"/>
    </row>
    <row r="848" spans="1:2" ht="15" customHeight="1">
      <c r="A848" s="102"/>
      <c r="B848" s="102"/>
    </row>
    <row r="849" spans="1:2" ht="15" customHeight="1">
      <c r="A849" s="102"/>
      <c r="B849" s="102"/>
    </row>
    <row r="850" spans="1:2" ht="15" customHeight="1">
      <c r="A850" s="102"/>
      <c r="B850" s="102"/>
    </row>
    <row r="851" spans="1:2" ht="15" customHeight="1">
      <c r="A851" s="102"/>
      <c r="B851" s="102"/>
    </row>
    <row r="852" spans="1:2" ht="15" customHeight="1">
      <c r="A852" s="102"/>
      <c r="B852" s="102"/>
    </row>
    <row r="853" spans="1:2" ht="15" customHeight="1">
      <c r="A853" s="102"/>
      <c r="B853" s="102"/>
    </row>
    <row r="854" spans="1:2" ht="15" customHeight="1">
      <c r="A854" s="102"/>
      <c r="B854" s="102"/>
    </row>
    <row r="855" spans="1:2" ht="15" customHeight="1">
      <c r="A855" s="102"/>
      <c r="B855" s="102"/>
    </row>
    <row r="856" spans="1:2" ht="15" customHeight="1">
      <c r="A856" s="102"/>
      <c r="B856" s="102"/>
    </row>
    <row r="857" spans="1:2" ht="15" customHeight="1">
      <c r="A857" s="102"/>
      <c r="B857" s="102"/>
    </row>
    <row r="858" spans="1:2" ht="15" customHeight="1">
      <c r="A858" s="102"/>
      <c r="B858" s="102"/>
    </row>
    <row r="859" spans="1:2" ht="15" customHeight="1">
      <c r="A859" s="102"/>
      <c r="B859" s="102"/>
    </row>
    <row r="860" spans="1:2" ht="15" customHeight="1">
      <c r="A860" s="102"/>
      <c r="B860" s="102"/>
    </row>
    <row r="861" spans="1:2" ht="15" customHeight="1">
      <c r="A861" s="102"/>
      <c r="B861" s="102"/>
    </row>
    <row r="862" spans="1:2" ht="15" customHeight="1">
      <c r="A862" s="102"/>
      <c r="B862" s="102"/>
    </row>
    <row r="863" spans="1:2" ht="15" customHeight="1">
      <c r="A863" s="102"/>
      <c r="B863" s="102"/>
    </row>
    <row r="864" spans="1:2" ht="15" customHeight="1">
      <c r="A864" s="102"/>
      <c r="B864" s="102"/>
    </row>
    <row r="865" spans="1:2" ht="15" customHeight="1">
      <c r="A865" s="102"/>
      <c r="B865" s="102"/>
    </row>
    <row r="866" spans="1:2" ht="15" customHeight="1">
      <c r="A866" s="102"/>
      <c r="B866" s="102"/>
    </row>
    <row r="867" spans="1:2" ht="15" customHeight="1">
      <c r="A867" s="102"/>
      <c r="B867" s="102"/>
    </row>
    <row r="868" spans="1:2" ht="15" customHeight="1">
      <c r="A868" s="102"/>
      <c r="B868" s="102"/>
    </row>
    <row r="869" spans="1:2" ht="15" customHeight="1">
      <c r="A869" s="102"/>
      <c r="B869" s="102"/>
    </row>
    <row r="870" spans="1:2" ht="15" customHeight="1">
      <c r="A870" s="102"/>
      <c r="B870" s="102"/>
    </row>
    <row r="871" spans="1:2" ht="15" customHeight="1">
      <c r="A871" s="102"/>
      <c r="B871" s="102"/>
    </row>
    <row r="872" spans="1:2" ht="15" customHeight="1">
      <c r="A872" s="102"/>
      <c r="B872" s="102"/>
    </row>
    <row r="873" spans="1:2" ht="15" customHeight="1">
      <c r="A873" s="102"/>
      <c r="B873" s="102"/>
    </row>
    <row r="874" spans="1:2" ht="15" customHeight="1">
      <c r="A874" s="102"/>
      <c r="B874" s="102"/>
    </row>
    <row r="875" spans="1:2" ht="15" customHeight="1">
      <c r="A875" s="102"/>
      <c r="B875" s="102"/>
    </row>
    <row r="876" spans="1:2" ht="15" customHeight="1">
      <c r="A876" s="102"/>
      <c r="B876" s="102"/>
    </row>
    <row r="877" spans="1:2" ht="15" customHeight="1">
      <c r="A877" s="102"/>
      <c r="B877" s="102"/>
    </row>
    <row r="878" spans="1:2" ht="15" customHeight="1">
      <c r="A878" s="102"/>
      <c r="B878" s="102"/>
    </row>
    <row r="879" spans="1:2" ht="15" customHeight="1">
      <c r="A879" s="102"/>
      <c r="B879" s="102"/>
    </row>
    <row r="880" spans="1:2" ht="15" customHeight="1">
      <c r="A880" s="102"/>
      <c r="B880" s="102"/>
    </row>
    <row r="881" spans="1:2" ht="15" customHeight="1">
      <c r="A881" s="102"/>
      <c r="B881" s="102"/>
    </row>
    <row r="882" spans="1:2" ht="15" customHeight="1">
      <c r="A882" s="102"/>
      <c r="B882" s="102"/>
    </row>
    <row r="883" spans="1:2" ht="15" customHeight="1">
      <c r="A883" s="102"/>
      <c r="B883" s="102"/>
    </row>
    <row r="884" spans="1:2" ht="15" customHeight="1">
      <c r="A884" s="102"/>
      <c r="B884" s="102"/>
    </row>
    <row r="885" spans="1:2" ht="15" customHeight="1">
      <c r="A885" s="102"/>
      <c r="B885" s="102"/>
    </row>
    <row r="886" spans="1:2" ht="15" customHeight="1">
      <c r="A886" s="102"/>
      <c r="B886" s="102"/>
    </row>
    <row r="887" spans="1:2" ht="15" customHeight="1">
      <c r="A887" s="102"/>
      <c r="B887" s="102"/>
    </row>
    <row r="888" spans="1:2" ht="15" customHeight="1">
      <c r="A888" s="102"/>
      <c r="B888" s="102"/>
    </row>
    <row r="889" spans="1:2" ht="15" customHeight="1">
      <c r="A889" s="102"/>
      <c r="B889" s="102"/>
    </row>
    <row r="890" spans="1:2" ht="15" customHeight="1">
      <c r="A890" s="102"/>
      <c r="B890" s="102"/>
    </row>
    <row r="891" spans="1:2" ht="15" customHeight="1">
      <c r="A891" s="102"/>
      <c r="B891" s="102"/>
    </row>
    <row r="892" spans="1:2" ht="15" customHeight="1">
      <c r="A892" s="102"/>
      <c r="B892" s="102"/>
    </row>
    <row r="893" spans="1:2" ht="15" customHeight="1">
      <c r="A893" s="102"/>
      <c r="B893" s="102"/>
    </row>
    <row r="894" spans="1:2" ht="15" customHeight="1">
      <c r="A894" s="102"/>
      <c r="B894" s="102"/>
    </row>
    <row r="895" spans="1:2" ht="15" customHeight="1">
      <c r="A895" s="102"/>
      <c r="B895" s="102"/>
    </row>
    <row r="896" spans="1:2" ht="15" customHeight="1">
      <c r="A896" s="102"/>
      <c r="B896" s="102"/>
    </row>
    <row r="897" spans="1:2" ht="15" customHeight="1">
      <c r="A897" s="102"/>
      <c r="B897" s="102"/>
    </row>
    <row r="898" spans="1:2" ht="15" customHeight="1">
      <c r="A898" s="102"/>
      <c r="B898" s="102"/>
    </row>
    <row r="899" spans="1:2" ht="15" customHeight="1">
      <c r="A899" s="102"/>
      <c r="B899" s="102"/>
    </row>
    <row r="900" spans="1:2" ht="15" customHeight="1">
      <c r="A900" s="102"/>
      <c r="B900" s="102"/>
    </row>
    <row r="901" spans="1:2" ht="15" customHeight="1">
      <c r="A901" s="102"/>
      <c r="B901" s="102"/>
    </row>
    <row r="902" spans="1:2" ht="15" customHeight="1">
      <c r="A902" s="102"/>
      <c r="B902" s="102"/>
    </row>
    <row r="903" spans="1:2" ht="15" customHeight="1">
      <c r="A903" s="102"/>
      <c r="B903" s="102"/>
    </row>
    <row r="904" spans="1:2" ht="15" customHeight="1">
      <c r="A904" s="102"/>
      <c r="B904" s="102"/>
    </row>
    <row r="905" spans="1:2" ht="15" customHeight="1">
      <c r="A905" s="102"/>
      <c r="B905" s="102"/>
    </row>
    <row r="906" spans="1:2" ht="15" customHeight="1">
      <c r="A906" s="102"/>
      <c r="B906" s="102"/>
    </row>
    <row r="907" spans="1:2" ht="15" customHeight="1">
      <c r="A907" s="102"/>
      <c r="B907" s="102"/>
    </row>
    <row r="908" spans="1:2" ht="15" customHeight="1">
      <c r="A908" s="102"/>
      <c r="B908" s="102"/>
    </row>
    <row r="909" spans="1:2" ht="15" customHeight="1">
      <c r="A909" s="102"/>
      <c r="B909" s="102"/>
    </row>
    <row r="910" spans="1:2" ht="15" customHeight="1">
      <c r="A910" s="102"/>
      <c r="B910" s="102"/>
    </row>
    <row r="911" spans="1:2" ht="15" customHeight="1">
      <c r="A911" s="102"/>
      <c r="B911" s="102"/>
    </row>
    <row r="912" spans="1:2" ht="15" customHeight="1">
      <c r="A912" s="102"/>
      <c r="B912" s="102"/>
    </row>
    <row r="913" spans="1:2" ht="15" customHeight="1">
      <c r="A913" s="102"/>
      <c r="B913" s="102"/>
    </row>
    <row r="914" spans="1:2" ht="15" customHeight="1">
      <c r="A914" s="102"/>
      <c r="B914" s="102"/>
    </row>
    <row r="915" spans="1:2" ht="15" customHeight="1">
      <c r="A915" s="102"/>
      <c r="B915" s="102"/>
    </row>
    <row r="916" spans="1:2" ht="15" customHeight="1">
      <c r="A916" s="102"/>
      <c r="B916" s="102"/>
    </row>
    <row r="917" spans="1:2" ht="15" customHeight="1">
      <c r="A917" s="102"/>
      <c r="B917" s="102"/>
    </row>
    <row r="918" spans="1:2" ht="15" customHeight="1">
      <c r="A918" s="102"/>
      <c r="B918" s="102"/>
    </row>
    <row r="919" spans="1:2" ht="15" customHeight="1">
      <c r="A919" s="102"/>
      <c r="B919" s="102"/>
    </row>
    <row r="920" spans="1:2" ht="15" customHeight="1">
      <c r="A920" s="102"/>
      <c r="B920" s="102"/>
    </row>
    <row r="921" spans="1:2" ht="15" customHeight="1">
      <c r="A921" s="102"/>
      <c r="B921" s="102"/>
    </row>
    <row r="922" spans="1:2" ht="15" customHeight="1">
      <c r="A922" s="102"/>
      <c r="B922" s="102"/>
    </row>
    <row r="923" spans="1:2" ht="15" customHeight="1">
      <c r="A923" s="102"/>
      <c r="B923" s="102"/>
    </row>
    <row r="924" spans="1:2" ht="15" customHeight="1">
      <c r="A924" s="102"/>
      <c r="B924" s="102"/>
    </row>
    <row r="925" spans="1:2" ht="15" customHeight="1">
      <c r="A925" s="102"/>
      <c r="B925" s="102"/>
    </row>
    <row r="926" spans="1:2" ht="15" customHeight="1">
      <c r="A926" s="102"/>
      <c r="B926" s="102"/>
    </row>
    <row r="927" spans="1:2" ht="15" customHeight="1">
      <c r="A927" s="102"/>
      <c r="B927" s="102"/>
    </row>
    <row r="928" spans="1:2" ht="15" customHeight="1">
      <c r="A928" s="102"/>
      <c r="B928" s="102"/>
    </row>
    <row r="929" spans="1:2" ht="15" customHeight="1">
      <c r="A929" s="102"/>
      <c r="B929" s="102"/>
    </row>
    <row r="930" spans="1:2" ht="15" customHeight="1">
      <c r="A930" s="102"/>
      <c r="B930" s="102"/>
    </row>
    <row r="931" spans="1:2" ht="15" customHeight="1">
      <c r="A931" s="102"/>
      <c r="B931" s="102"/>
    </row>
    <row r="932" spans="1:2" ht="15" customHeight="1">
      <c r="A932" s="102"/>
      <c r="B932" s="102"/>
    </row>
    <row r="933" spans="1:2" ht="15" customHeight="1">
      <c r="A933" s="102"/>
      <c r="B933" s="102"/>
    </row>
    <row r="934" spans="1:2" ht="15" customHeight="1">
      <c r="A934" s="102"/>
      <c r="B934" s="102"/>
    </row>
    <row r="935" spans="1:2" ht="15" customHeight="1">
      <c r="A935" s="102"/>
      <c r="B935" s="102"/>
    </row>
    <row r="936" spans="1:2" ht="15" customHeight="1">
      <c r="A936" s="102"/>
      <c r="B936" s="102"/>
    </row>
    <row r="937" spans="1:2" ht="15" customHeight="1">
      <c r="A937" s="102"/>
      <c r="B937" s="102"/>
    </row>
    <row r="938" spans="1:2" ht="15" customHeight="1">
      <c r="A938" s="102"/>
      <c r="B938" s="102"/>
    </row>
    <row r="939" spans="1:2" ht="15" customHeight="1">
      <c r="A939" s="102"/>
      <c r="B939" s="102"/>
    </row>
    <row r="940" spans="1:2" ht="15" customHeight="1">
      <c r="A940" s="102"/>
      <c r="B940" s="102"/>
    </row>
    <row r="941" spans="1:2" ht="15" customHeight="1">
      <c r="A941" s="102"/>
      <c r="B941" s="102"/>
    </row>
    <row r="942" spans="1:2" ht="15" customHeight="1">
      <c r="A942" s="102"/>
      <c r="B942" s="102"/>
    </row>
    <row r="943" spans="1:2" ht="15" customHeight="1">
      <c r="A943" s="102"/>
      <c r="B943" s="102"/>
    </row>
    <row r="944" spans="1:2" ht="15" customHeight="1">
      <c r="A944" s="102"/>
      <c r="B944" s="102"/>
    </row>
    <row r="945" spans="1:2" ht="15" customHeight="1">
      <c r="A945" s="102"/>
      <c r="B945" s="102"/>
    </row>
    <row r="946" spans="1:2" ht="15" customHeight="1">
      <c r="A946" s="102"/>
      <c r="B946" s="102"/>
    </row>
    <row r="947" spans="1:2" ht="15" customHeight="1">
      <c r="A947" s="102"/>
      <c r="B947" s="102"/>
    </row>
    <row r="948" spans="1:2" ht="15" customHeight="1">
      <c r="A948" s="102"/>
      <c r="B948" s="102"/>
    </row>
    <row r="949" spans="1:2" ht="15" customHeight="1">
      <c r="A949" s="102"/>
      <c r="B949" s="102"/>
    </row>
    <row r="950" spans="1:2" ht="15" customHeight="1">
      <c r="A950" s="102"/>
      <c r="B950" s="102"/>
    </row>
    <row r="951" spans="1:2" ht="15" customHeight="1">
      <c r="A951" s="102"/>
      <c r="B951" s="102"/>
    </row>
    <row r="952" spans="1:2" ht="15" customHeight="1">
      <c r="A952" s="102"/>
      <c r="B952" s="102"/>
    </row>
    <row r="953" spans="1:2" ht="15" customHeight="1">
      <c r="A953" s="102"/>
      <c r="B953" s="102"/>
    </row>
    <row r="954" spans="1:2" ht="15" customHeight="1">
      <c r="A954" s="102"/>
      <c r="B954" s="102"/>
    </row>
    <row r="955" spans="1:2" ht="15" customHeight="1">
      <c r="A955" s="102"/>
      <c r="B955" s="102"/>
    </row>
    <row r="956" spans="1:2" ht="15" customHeight="1">
      <c r="A956" s="102"/>
      <c r="B956" s="102"/>
    </row>
    <row r="957" spans="1:2" ht="15" customHeight="1">
      <c r="A957" s="102"/>
      <c r="B957" s="102"/>
    </row>
    <row r="958" spans="1:2" ht="15" customHeight="1">
      <c r="A958" s="102"/>
      <c r="B958" s="102"/>
    </row>
    <row r="959" spans="1:2" ht="15" customHeight="1">
      <c r="A959" s="102"/>
      <c r="B959" s="102"/>
    </row>
    <row r="960" spans="1:2" ht="15" customHeight="1">
      <c r="A960" s="102"/>
      <c r="B960" s="102"/>
    </row>
    <row r="961" spans="1:2" ht="15" customHeight="1">
      <c r="A961" s="102"/>
      <c r="B961" s="102"/>
    </row>
    <row r="962" spans="1:2" ht="15" customHeight="1">
      <c r="A962" s="102"/>
      <c r="B962" s="102"/>
    </row>
    <row r="963" spans="1:2" ht="15" customHeight="1">
      <c r="A963" s="102"/>
      <c r="B963" s="102"/>
    </row>
    <row r="964" spans="1:2" ht="15" customHeight="1">
      <c r="A964" s="102"/>
      <c r="B964" s="102"/>
    </row>
    <row r="965" spans="1:2" ht="15" customHeight="1">
      <c r="A965" s="102"/>
      <c r="B965" s="102"/>
    </row>
    <row r="966" spans="1:2" ht="15" customHeight="1">
      <c r="A966" s="102"/>
      <c r="B966" s="102"/>
    </row>
    <row r="967" spans="1:2" ht="15" customHeight="1">
      <c r="A967" s="102"/>
      <c r="B967" s="102"/>
    </row>
    <row r="968" spans="1:2" ht="15" customHeight="1">
      <c r="A968" s="102"/>
      <c r="B968" s="102"/>
    </row>
    <row r="969" spans="1:2" ht="15" customHeight="1">
      <c r="A969" s="102"/>
      <c r="B969" s="102"/>
    </row>
    <row r="970" spans="1:2" ht="15" customHeight="1">
      <c r="A970" s="102"/>
      <c r="B970" s="102"/>
    </row>
    <row r="971" spans="1:2" ht="15" customHeight="1">
      <c r="A971" s="102"/>
      <c r="B971" s="102"/>
    </row>
    <row r="972" spans="1:2" ht="15" customHeight="1">
      <c r="A972" s="102"/>
      <c r="B972" s="102"/>
    </row>
    <row r="973" spans="1:2" ht="15" customHeight="1">
      <c r="A973" s="102"/>
      <c r="B973" s="102"/>
    </row>
    <row r="974" spans="1:2" ht="15" customHeight="1">
      <c r="A974" s="102"/>
      <c r="B974" s="102"/>
    </row>
    <row r="975" spans="1:2" ht="15" customHeight="1">
      <c r="A975" s="102"/>
      <c r="B975" s="102"/>
    </row>
    <row r="976" spans="1:2" ht="15" customHeight="1">
      <c r="A976" s="102"/>
      <c r="B976" s="102"/>
    </row>
    <row r="977" spans="1:2" ht="15" customHeight="1">
      <c r="A977" s="102"/>
      <c r="B977" s="102"/>
    </row>
    <row r="978" spans="1:2" ht="15" customHeight="1">
      <c r="A978" s="102"/>
      <c r="B978" s="102"/>
    </row>
    <row r="979" spans="1:2" ht="15" customHeight="1">
      <c r="A979" s="102"/>
      <c r="B979" s="102"/>
    </row>
    <row r="980" spans="1:2" ht="15" customHeight="1">
      <c r="A980" s="102"/>
      <c r="B980" s="102"/>
    </row>
    <row r="981" spans="1:2" ht="15" customHeight="1">
      <c r="A981" s="102"/>
      <c r="B981" s="102"/>
    </row>
    <row r="982" spans="1:2" ht="15" customHeight="1">
      <c r="A982" s="102"/>
      <c r="B982" s="102"/>
    </row>
    <row r="983" spans="1:2" ht="15" customHeight="1">
      <c r="A983" s="102"/>
      <c r="B983" s="102"/>
    </row>
    <row r="984" spans="1:2" ht="15" customHeight="1">
      <c r="A984" s="102"/>
      <c r="B984" s="102"/>
    </row>
    <row r="985" spans="1:2" ht="15" customHeight="1">
      <c r="A985" s="102"/>
      <c r="B985" s="102"/>
    </row>
    <row r="986" spans="1:2" ht="15" customHeight="1">
      <c r="A986" s="102"/>
      <c r="B986" s="102"/>
    </row>
    <row r="987" spans="1:2" ht="15" customHeight="1">
      <c r="A987" s="102"/>
      <c r="B987" s="102"/>
    </row>
    <row r="988" spans="1:2" ht="15" customHeight="1">
      <c r="A988" s="102"/>
      <c r="B988" s="102"/>
    </row>
    <row r="989" spans="1:2" ht="15" customHeight="1">
      <c r="A989" s="102"/>
      <c r="B989" s="102"/>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O59"/>
  <sheetViews>
    <sheetView zoomScale="85" zoomScaleNormal="85" workbookViewId="0">
      <pane ySplit="13" topLeftCell="A55" activePane="bottomLeft" state="frozen"/>
      <selection pane="bottomLeft" activeCell="D8" sqref="D8"/>
    </sheetView>
  </sheetViews>
  <sheetFormatPr defaultColWidth="9" defaultRowHeight="14.25" outlineLevelRow="1"/>
  <cols>
    <col min="1" max="1" width="7.28515625" style="113" customWidth="1"/>
    <col min="2" max="2" width="24.5703125" customWidth="1"/>
    <col min="3" max="3" width="60" customWidth="1"/>
    <col min="4" max="4" width="31.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15" customHeight="1">
      <c r="B1" s="115" t="s">
        <v>117</v>
      </c>
      <c r="C1" s="115" t="s">
        <v>118</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11</v>
      </c>
      <c r="D5" s="124">
        <f>SUM(D6:D10)</f>
        <v>26</v>
      </c>
      <c r="E5" s="124">
        <f>SUM(E6:E10)</f>
        <v>0</v>
      </c>
      <c r="F5" s="124">
        <f t="shared" ref="F5:F11" si="0">SUM(C5:E5)</f>
        <v>37</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11</v>
      </c>
      <c r="D8" s="125">
        <f t="shared" si="1"/>
        <v>26</v>
      </c>
      <c r="E8" s="125">
        <f t="shared" si="1"/>
        <v>0</v>
      </c>
      <c r="F8" s="125">
        <f t="shared" si="0"/>
        <v>37</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s="129" customFormat="1" ht="18" customHeight="1">
      <c r="A15" s="127" t="s">
        <v>123</v>
      </c>
      <c r="B15" s="128" t="s">
        <v>124</v>
      </c>
      <c r="C15" s="128"/>
      <c r="D15" s="128"/>
      <c r="E15" s="128"/>
      <c r="F15" s="128"/>
      <c r="G15" s="128"/>
      <c r="H15" s="128"/>
      <c r="I15" s="128"/>
      <c r="J15" s="128"/>
      <c r="K15" s="128"/>
      <c r="L15" s="128"/>
      <c r="M15" s="128"/>
      <c r="N15" s="128"/>
      <c r="O15" s="128"/>
    </row>
    <row r="16" spans="1:15" ht="140.25" customHeight="1" outlineLevel="1">
      <c r="A16" s="161">
        <v>1</v>
      </c>
      <c r="B16" s="162" t="s">
        <v>125</v>
      </c>
      <c r="C16" s="130" t="s">
        <v>126</v>
      </c>
      <c r="D16" s="162" t="s">
        <v>127</v>
      </c>
      <c r="E16" s="162" t="s">
        <v>128</v>
      </c>
      <c r="F16" s="162"/>
      <c r="G16" s="162" t="s">
        <v>129</v>
      </c>
      <c r="H16" s="161" t="s">
        <v>44</v>
      </c>
      <c r="I16" s="161" t="s">
        <v>92</v>
      </c>
      <c r="J16" s="161" t="s">
        <v>102</v>
      </c>
      <c r="K16" s="161" t="s">
        <v>54</v>
      </c>
      <c r="L16" s="161" t="s">
        <v>54</v>
      </c>
      <c r="M16" s="161" t="s">
        <v>54</v>
      </c>
      <c r="N16" s="161"/>
      <c r="O16" s="162" t="s">
        <v>130</v>
      </c>
    </row>
    <row r="17" spans="1:15" ht="102" customHeight="1" outlineLevel="1">
      <c r="A17" s="161">
        <v>2</v>
      </c>
      <c r="B17" s="162" t="s">
        <v>131</v>
      </c>
      <c r="C17" s="130" t="s">
        <v>132</v>
      </c>
      <c r="D17" s="162" t="s">
        <v>127</v>
      </c>
      <c r="E17" s="162" t="s">
        <v>133</v>
      </c>
      <c r="F17" s="162"/>
      <c r="G17" s="162" t="s">
        <v>134</v>
      </c>
      <c r="H17" s="161" t="s">
        <v>44</v>
      </c>
      <c r="I17" s="161" t="s">
        <v>94</v>
      </c>
      <c r="J17" s="161" t="s">
        <v>102</v>
      </c>
      <c r="K17" s="161" t="s">
        <v>54</v>
      </c>
      <c r="L17" s="161" t="s">
        <v>54</v>
      </c>
      <c r="M17" s="161" t="s">
        <v>54</v>
      </c>
      <c r="N17" s="161"/>
      <c r="O17" s="162"/>
    </row>
    <row r="18" spans="1:15" ht="102" customHeight="1" outlineLevel="1">
      <c r="A18" s="161">
        <v>3</v>
      </c>
      <c r="B18" s="162" t="s">
        <v>135</v>
      </c>
      <c r="C18" s="130" t="s">
        <v>136</v>
      </c>
      <c r="D18" s="162" t="s">
        <v>127</v>
      </c>
      <c r="E18" s="162" t="s">
        <v>137</v>
      </c>
      <c r="F18" s="162"/>
      <c r="G18" s="162" t="s">
        <v>138</v>
      </c>
      <c r="H18" s="161" t="s">
        <v>44</v>
      </c>
      <c r="I18" s="161" t="s">
        <v>94</v>
      </c>
      <c r="J18" s="161" t="s">
        <v>102</v>
      </c>
      <c r="K18" s="161" t="s">
        <v>54</v>
      </c>
      <c r="L18" s="161" t="s">
        <v>54</v>
      </c>
      <c r="M18" s="161" t="s">
        <v>54</v>
      </c>
      <c r="N18" s="161"/>
      <c r="O18" s="162"/>
    </row>
    <row r="19" spans="1:15" ht="114.75" customHeight="1" outlineLevel="1">
      <c r="A19" s="161">
        <v>4</v>
      </c>
      <c r="B19" s="162" t="s">
        <v>139</v>
      </c>
      <c r="C19" s="130" t="s">
        <v>140</v>
      </c>
      <c r="D19" s="162" t="s">
        <v>127</v>
      </c>
      <c r="E19" s="162" t="s">
        <v>141</v>
      </c>
      <c r="F19" s="162"/>
      <c r="G19" s="162" t="s">
        <v>142</v>
      </c>
      <c r="H19" s="161" t="s">
        <v>44</v>
      </c>
      <c r="I19" s="161" t="s">
        <v>94</v>
      </c>
      <c r="J19" s="161" t="s">
        <v>102</v>
      </c>
      <c r="K19" s="161" t="s">
        <v>54</v>
      </c>
      <c r="L19" s="161" t="s">
        <v>54</v>
      </c>
      <c r="M19" s="161" t="s">
        <v>54</v>
      </c>
      <c r="N19" s="161"/>
      <c r="O19" s="162"/>
    </row>
    <row r="20" spans="1:15" ht="114.75" customHeight="1" outlineLevel="1">
      <c r="A20" s="161">
        <v>5</v>
      </c>
      <c r="B20" s="162" t="s">
        <v>143</v>
      </c>
      <c r="C20" s="130" t="s">
        <v>144</v>
      </c>
      <c r="D20" s="162" t="s">
        <v>127</v>
      </c>
      <c r="E20" s="162" t="s">
        <v>145</v>
      </c>
      <c r="F20" s="162"/>
      <c r="G20" s="162" t="s">
        <v>146</v>
      </c>
      <c r="H20" s="161" t="s">
        <v>44</v>
      </c>
      <c r="I20" s="161" t="s">
        <v>94</v>
      </c>
      <c r="J20" s="161" t="s">
        <v>102</v>
      </c>
      <c r="K20" s="161" t="s">
        <v>54</v>
      </c>
      <c r="L20" s="161" t="s">
        <v>54</v>
      </c>
      <c r="M20" s="161" t="s">
        <v>54</v>
      </c>
      <c r="N20" s="161"/>
      <c r="O20" s="162"/>
    </row>
    <row r="21" spans="1:15" ht="114.75" customHeight="1" outlineLevel="1">
      <c r="A21" s="161">
        <v>6</v>
      </c>
      <c r="B21" s="162" t="s">
        <v>147</v>
      </c>
      <c r="C21" s="130" t="s">
        <v>148</v>
      </c>
      <c r="D21" s="162" t="s">
        <v>127</v>
      </c>
      <c r="E21" s="162" t="s">
        <v>149</v>
      </c>
      <c r="F21" s="162"/>
      <c r="G21" s="162" t="s">
        <v>142</v>
      </c>
      <c r="H21" s="161" t="s">
        <v>44</v>
      </c>
      <c r="I21" s="161" t="s">
        <v>94</v>
      </c>
      <c r="J21" s="161" t="s">
        <v>102</v>
      </c>
      <c r="K21" s="161" t="s">
        <v>54</v>
      </c>
      <c r="L21" s="161" t="s">
        <v>54</v>
      </c>
      <c r="M21" s="161" t="s">
        <v>54</v>
      </c>
      <c r="N21" s="161"/>
      <c r="O21" s="162"/>
    </row>
    <row r="22" spans="1:15" s="129" customFormat="1" ht="18" customHeight="1">
      <c r="A22" s="127" t="s">
        <v>150</v>
      </c>
      <c r="B22" s="128" t="s">
        <v>151</v>
      </c>
      <c r="C22" s="128"/>
      <c r="D22" s="128"/>
      <c r="E22" s="128"/>
      <c r="F22" s="128"/>
      <c r="G22" s="128"/>
      <c r="H22" s="128"/>
      <c r="I22" s="128"/>
      <c r="J22" s="128"/>
      <c r="K22" s="128"/>
      <c r="L22" s="128"/>
      <c r="M22" s="128"/>
      <c r="N22" s="128"/>
      <c r="O22" s="128"/>
    </row>
    <row r="23" spans="1:15" ht="140.25" customHeight="1" outlineLevel="1">
      <c r="A23" s="161">
        <v>7</v>
      </c>
      <c r="B23" s="162" t="s">
        <v>152</v>
      </c>
      <c r="C23" s="130" t="s">
        <v>126</v>
      </c>
      <c r="D23" s="162" t="s">
        <v>127</v>
      </c>
      <c r="E23" s="162" t="s">
        <v>128</v>
      </c>
      <c r="F23" s="162"/>
      <c r="G23" s="162" t="s">
        <v>153</v>
      </c>
      <c r="H23" s="161" t="s">
        <v>44</v>
      </c>
      <c r="I23" s="161" t="s">
        <v>92</v>
      </c>
      <c r="J23" s="161" t="s">
        <v>102</v>
      </c>
      <c r="K23" s="161" t="s">
        <v>54</v>
      </c>
      <c r="L23" s="161" t="s">
        <v>54</v>
      </c>
      <c r="M23" s="161" t="s">
        <v>54</v>
      </c>
      <c r="N23" s="161"/>
      <c r="O23" s="162"/>
    </row>
    <row r="24" spans="1:15" ht="102" customHeight="1" outlineLevel="1">
      <c r="A24" s="161">
        <v>8</v>
      </c>
      <c r="B24" s="162" t="s">
        <v>154</v>
      </c>
      <c r="C24" s="130" t="s">
        <v>132</v>
      </c>
      <c r="D24" s="162" t="s">
        <v>127</v>
      </c>
      <c r="E24" s="162" t="s">
        <v>133</v>
      </c>
      <c r="F24" s="162"/>
      <c r="G24" s="162" t="s">
        <v>134</v>
      </c>
      <c r="H24" s="161" t="s">
        <v>44</v>
      </c>
      <c r="I24" s="161" t="s">
        <v>94</v>
      </c>
      <c r="J24" s="161" t="s">
        <v>102</v>
      </c>
      <c r="K24" s="161" t="s">
        <v>54</v>
      </c>
      <c r="L24" s="161" t="s">
        <v>54</v>
      </c>
      <c r="M24" s="161" t="s">
        <v>54</v>
      </c>
      <c r="N24" s="161"/>
      <c r="O24" s="162"/>
    </row>
    <row r="25" spans="1:15" ht="102" customHeight="1" outlineLevel="1">
      <c r="A25" s="161">
        <v>9</v>
      </c>
      <c r="B25" s="162" t="s">
        <v>155</v>
      </c>
      <c r="C25" s="130" t="s">
        <v>136</v>
      </c>
      <c r="D25" s="162" t="s">
        <v>127</v>
      </c>
      <c r="E25" s="162" t="s">
        <v>137</v>
      </c>
      <c r="F25" s="162"/>
      <c r="G25" s="162" t="s">
        <v>138</v>
      </c>
      <c r="H25" s="161" t="s">
        <v>44</v>
      </c>
      <c r="I25" s="161" t="s">
        <v>94</v>
      </c>
      <c r="J25" s="161" t="s">
        <v>102</v>
      </c>
      <c r="K25" s="161" t="s">
        <v>54</v>
      </c>
      <c r="L25" s="161" t="s">
        <v>54</v>
      </c>
      <c r="M25" s="161" t="s">
        <v>54</v>
      </c>
      <c r="N25" s="161"/>
      <c r="O25" s="162"/>
    </row>
    <row r="26" spans="1:15" ht="114.75" customHeight="1" outlineLevel="1">
      <c r="A26" s="161">
        <v>10</v>
      </c>
      <c r="B26" s="162" t="s">
        <v>156</v>
      </c>
      <c r="C26" s="130" t="s">
        <v>140</v>
      </c>
      <c r="D26" s="162" t="s">
        <v>127</v>
      </c>
      <c r="E26" s="162" t="s">
        <v>141</v>
      </c>
      <c r="F26" s="162"/>
      <c r="G26" s="162" t="s">
        <v>142</v>
      </c>
      <c r="H26" s="161" t="s">
        <v>44</v>
      </c>
      <c r="I26" s="161" t="s">
        <v>94</v>
      </c>
      <c r="J26" s="161" t="s">
        <v>102</v>
      </c>
      <c r="K26" s="161" t="s">
        <v>54</v>
      </c>
      <c r="L26" s="161" t="s">
        <v>54</v>
      </c>
      <c r="M26" s="161" t="s">
        <v>54</v>
      </c>
      <c r="N26" s="161"/>
      <c r="O26" s="162"/>
    </row>
    <row r="27" spans="1:15" ht="114.75" customHeight="1" outlineLevel="1">
      <c r="A27" s="161">
        <v>11</v>
      </c>
      <c r="B27" s="162" t="s">
        <v>157</v>
      </c>
      <c r="C27" s="130" t="s">
        <v>158</v>
      </c>
      <c r="D27" s="162" t="s">
        <v>127</v>
      </c>
      <c r="E27" s="162" t="s">
        <v>159</v>
      </c>
      <c r="F27" s="162"/>
      <c r="G27" s="162" t="s">
        <v>160</v>
      </c>
      <c r="H27" s="161" t="s">
        <v>44</v>
      </c>
      <c r="I27" s="161" t="s">
        <v>94</v>
      </c>
      <c r="J27" s="161" t="s">
        <v>102</v>
      </c>
      <c r="K27" s="161" t="s">
        <v>54</v>
      </c>
      <c r="L27" s="161" t="s">
        <v>54</v>
      </c>
      <c r="M27" s="161" t="s">
        <v>54</v>
      </c>
      <c r="N27" s="161"/>
      <c r="O27" s="162"/>
    </row>
    <row r="28" spans="1:15" ht="114.75" customHeight="1" outlineLevel="1">
      <c r="A28" s="161">
        <v>12</v>
      </c>
      <c r="B28" s="162" t="s">
        <v>161</v>
      </c>
      <c r="C28" s="130" t="s">
        <v>162</v>
      </c>
      <c r="D28" s="162" t="s">
        <v>127</v>
      </c>
      <c r="E28" s="162" t="s">
        <v>163</v>
      </c>
      <c r="F28" s="162"/>
      <c r="G28" s="162" t="s">
        <v>164</v>
      </c>
      <c r="H28" s="161" t="s">
        <v>44</v>
      </c>
      <c r="I28" s="161" t="s">
        <v>94</v>
      </c>
      <c r="J28" s="161" t="s">
        <v>102</v>
      </c>
      <c r="K28" s="161" t="s">
        <v>54</v>
      </c>
      <c r="L28" s="161" t="s">
        <v>54</v>
      </c>
      <c r="M28" s="161" t="s">
        <v>54</v>
      </c>
      <c r="N28" s="161"/>
      <c r="O28" s="162"/>
    </row>
    <row r="29" spans="1:15" s="129" customFormat="1" ht="18" customHeight="1">
      <c r="A29" s="127" t="s">
        <v>165</v>
      </c>
      <c r="B29" s="128" t="s">
        <v>166</v>
      </c>
      <c r="C29" s="128"/>
      <c r="D29" s="128"/>
      <c r="E29" s="128"/>
      <c r="F29" s="128"/>
      <c r="G29" s="128"/>
      <c r="H29" s="128"/>
      <c r="I29" s="128"/>
      <c r="J29" s="128"/>
      <c r="K29" s="128"/>
      <c r="L29" s="128"/>
      <c r="M29" s="128"/>
      <c r="N29" s="128"/>
      <c r="O29" s="128"/>
    </row>
    <row r="30" spans="1:15" ht="153" customHeight="1" outlineLevel="1">
      <c r="A30" s="161">
        <v>13</v>
      </c>
      <c r="B30" s="162" t="s">
        <v>167</v>
      </c>
      <c r="C30" s="130" t="s">
        <v>126</v>
      </c>
      <c r="D30" s="162" t="s">
        <v>127</v>
      </c>
      <c r="E30" s="162" t="s">
        <v>128</v>
      </c>
      <c r="F30" s="162"/>
      <c r="G30" s="162" t="s">
        <v>168</v>
      </c>
      <c r="H30" s="161" t="s">
        <v>44</v>
      </c>
      <c r="I30" s="161" t="s">
        <v>92</v>
      </c>
      <c r="J30" s="161" t="s">
        <v>102</v>
      </c>
      <c r="K30" s="161" t="s">
        <v>54</v>
      </c>
      <c r="L30" s="161" t="s">
        <v>54</v>
      </c>
      <c r="M30" s="161" t="s">
        <v>54</v>
      </c>
      <c r="N30" s="161"/>
      <c r="O30" s="162"/>
    </row>
    <row r="31" spans="1:15" ht="102" customHeight="1" outlineLevel="1">
      <c r="A31" s="161">
        <v>14</v>
      </c>
      <c r="B31" s="162" t="s">
        <v>169</v>
      </c>
      <c r="C31" s="130" t="s">
        <v>132</v>
      </c>
      <c r="D31" s="162" t="s">
        <v>127</v>
      </c>
      <c r="E31" s="162" t="s">
        <v>133</v>
      </c>
      <c r="F31" s="162"/>
      <c r="G31" s="162" t="s">
        <v>134</v>
      </c>
      <c r="H31" s="161" t="s">
        <v>44</v>
      </c>
      <c r="I31" s="161" t="s">
        <v>94</v>
      </c>
      <c r="J31" s="161" t="s">
        <v>102</v>
      </c>
      <c r="K31" s="161" t="s">
        <v>54</v>
      </c>
      <c r="L31" s="161" t="s">
        <v>54</v>
      </c>
      <c r="M31" s="161" t="s">
        <v>54</v>
      </c>
      <c r="N31" s="161"/>
      <c r="O31" s="162"/>
    </row>
    <row r="32" spans="1:15" ht="102" customHeight="1" outlineLevel="1">
      <c r="A32" s="161">
        <v>15</v>
      </c>
      <c r="B32" s="162" t="s">
        <v>170</v>
      </c>
      <c r="C32" s="130" t="s">
        <v>136</v>
      </c>
      <c r="D32" s="162" t="s">
        <v>127</v>
      </c>
      <c r="E32" s="162" t="s">
        <v>137</v>
      </c>
      <c r="F32" s="162"/>
      <c r="G32" s="162" t="s">
        <v>138</v>
      </c>
      <c r="H32" s="161" t="s">
        <v>44</v>
      </c>
      <c r="I32" s="161" t="s">
        <v>94</v>
      </c>
      <c r="J32" s="161" t="s">
        <v>102</v>
      </c>
      <c r="K32" s="161" t="s">
        <v>54</v>
      </c>
      <c r="L32" s="161" t="s">
        <v>54</v>
      </c>
      <c r="M32" s="161" t="s">
        <v>54</v>
      </c>
      <c r="N32" s="161"/>
      <c r="O32" s="162"/>
    </row>
    <row r="33" spans="1:15" ht="114.75" customHeight="1" outlineLevel="1">
      <c r="A33" s="161">
        <v>16</v>
      </c>
      <c r="B33" s="162" t="s">
        <v>171</v>
      </c>
      <c r="C33" s="130" t="s">
        <v>140</v>
      </c>
      <c r="D33" s="162" t="s">
        <v>127</v>
      </c>
      <c r="E33" s="162" t="s">
        <v>141</v>
      </c>
      <c r="F33" s="162"/>
      <c r="G33" s="162" t="s">
        <v>142</v>
      </c>
      <c r="H33" s="161" t="s">
        <v>44</v>
      </c>
      <c r="I33" s="161" t="s">
        <v>94</v>
      </c>
      <c r="J33" s="161" t="s">
        <v>102</v>
      </c>
      <c r="K33" s="161" t="s">
        <v>54</v>
      </c>
      <c r="L33" s="161" t="s">
        <v>54</v>
      </c>
      <c r="M33" s="161" t="s">
        <v>54</v>
      </c>
      <c r="N33" s="161"/>
      <c r="O33" s="162"/>
    </row>
    <row r="34" spans="1:15" ht="114.75" customHeight="1" outlineLevel="1">
      <c r="A34" s="161">
        <v>17</v>
      </c>
      <c r="B34" s="162" t="s">
        <v>172</v>
      </c>
      <c r="C34" s="130" t="s">
        <v>158</v>
      </c>
      <c r="D34" s="162" t="s">
        <v>127</v>
      </c>
      <c r="E34" s="162" t="s">
        <v>159</v>
      </c>
      <c r="F34" s="162"/>
      <c r="G34" s="162" t="s">
        <v>173</v>
      </c>
      <c r="H34" s="161" t="s">
        <v>44</v>
      </c>
      <c r="I34" s="161" t="s">
        <v>94</v>
      </c>
      <c r="J34" s="161" t="s">
        <v>102</v>
      </c>
      <c r="K34" s="161" t="s">
        <v>54</v>
      </c>
      <c r="L34" s="161" t="s">
        <v>54</v>
      </c>
      <c r="M34" s="161" t="s">
        <v>54</v>
      </c>
      <c r="N34" s="161"/>
      <c r="O34" s="162"/>
    </row>
    <row r="35" spans="1:15" ht="114.75" customHeight="1" outlineLevel="1">
      <c r="A35" s="161">
        <v>18</v>
      </c>
      <c r="B35" s="162" t="s">
        <v>174</v>
      </c>
      <c r="C35" s="130" t="s">
        <v>162</v>
      </c>
      <c r="D35" s="162" t="s">
        <v>127</v>
      </c>
      <c r="E35" s="162" t="s">
        <v>163</v>
      </c>
      <c r="F35" s="162"/>
      <c r="G35" s="162" t="s">
        <v>175</v>
      </c>
      <c r="H35" s="161" t="s">
        <v>44</v>
      </c>
      <c r="I35" s="161" t="s">
        <v>94</v>
      </c>
      <c r="J35" s="161" t="s">
        <v>102</v>
      </c>
      <c r="K35" s="161" t="s">
        <v>54</v>
      </c>
      <c r="L35" s="161" t="s">
        <v>54</v>
      </c>
      <c r="M35" s="161" t="s">
        <v>54</v>
      </c>
      <c r="N35" s="161"/>
      <c r="O35" s="162"/>
    </row>
    <row r="36" spans="1:15" ht="114.75" customHeight="1" outlineLevel="1">
      <c r="A36" s="161">
        <v>19</v>
      </c>
      <c r="B36" s="162" t="s">
        <v>176</v>
      </c>
      <c r="C36" s="130" t="s">
        <v>177</v>
      </c>
      <c r="D36" s="162" t="s">
        <v>127</v>
      </c>
      <c r="E36" s="162" t="s">
        <v>178</v>
      </c>
      <c r="F36" s="162"/>
      <c r="G36" s="162" t="s">
        <v>179</v>
      </c>
      <c r="H36" s="161" t="s">
        <v>44</v>
      </c>
      <c r="I36" s="161" t="s">
        <v>94</v>
      </c>
      <c r="J36" s="161" t="s">
        <v>102</v>
      </c>
      <c r="K36" s="161" t="s">
        <v>54</v>
      </c>
      <c r="L36" s="161" t="s">
        <v>54</v>
      </c>
      <c r="M36" s="161" t="s">
        <v>54</v>
      </c>
      <c r="N36" s="161"/>
      <c r="O36" s="162"/>
    </row>
    <row r="37" spans="1:15" ht="18" customHeight="1">
      <c r="A37" s="159" t="s">
        <v>180</v>
      </c>
      <c r="B37" s="159"/>
      <c r="C37" s="159"/>
      <c r="D37" s="159"/>
      <c r="E37" s="159"/>
      <c r="F37" s="159"/>
      <c r="G37" s="159"/>
      <c r="H37" s="159"/>
      <c r="I37" s="159"/>
      <c r="J37" s="159"/>
      <c r="K37" s="159"/>
      <c r="L37" s="159"/>
      <c r="M37" s="159"/>
      <c r="N37" s="159"/>
      <c r="O37" s="159"/>
    </row>
    <row r="38" spans="1:15" s="129" customFormat="1" ht="18" customHeight="1">
      <c r="A38" s="127" t="s">
        <v>123</v>
      </c>
      <c r="B38" s="128" t="s">
        <v>124</v>
      </c>
      <c r="C38" s="128"/>
      <c r="D38" s="128"/>
      <c r="E38" s="128"/>
      <c r="F38" s="128"/>
      <c r="G38" s="128"/>
      <c r="H38" s="128"/>
      <c r="I38" s="128"/>
      <c r="J38" s="128"/>
      <c r="K38" s="128"/>
      <c r="L38" s="128"/>
      <c r="M38" s="128"/>
      <c r="N38" s="128"/>
      <c r="O38" s="128"/>
    </row>
    <row r="39" spans="1:15" ht="153" customHeight="1" outlineLevel="1">
      <c r="A39" s="161">
        <v>20</v>
      </c>
      <c r="B39" s="162" t="s">
        <v>181</v>
      </c>
      <c r="C39" s="130" t="s">
        <v>182</v>
      </c>
      <c r="D39" s="162" t="s">
        <v>183</v>
      </c>
      <c r="E39" s="162" t="s">
        <v>184</v>
      </c>
      <c r="F39" s="162"/>
      <c r="G39" s="162" t="s">
        <v>185</v>
      </c>
      <c r="H39" s="161" t="s">
        <v>44</v>
      </c>
      <c r="I39" s="161" t="s">
        <v>92</v>
      </c>
      <c r="J39" s="161" t="s">
        <v>102</v>
      </c>
      <c r="K39" s="161" t="s">
        <v>54</v>
      </c>
      <c r="L39" s="161" t="s">
        <v>54</v>
      </c>
      <c r="M39" s="161" t="s">
        <v>54</v>
      </c>
      <c r="N39" s="161"/>
      <c r="O39" s="162"/>
    </row>
    <row r="40" spans="1:15" ht="153" customHeight="1" outlineLevel="1">
      <c r="A40" s="161">
        <v>21</v>
      </c>
      <c r="B40" s="162" t="s">
        <v>186</v>
      </c>
      <c r="C40" s="130" t="s">
        <v>187</v>
      </c>
      <c r="D40" s="162" t="s">
        <v>183</v>
      </c>
      <c r="E40" s="162" t="s">
        <v>184</v>
      </c>
      <c r="F40" s="162"/>
      <c r="G40" s="162" t="s">
        <v>185</v>
      </c>
      <c r="H40" s="161" t="s">
        <v>44</v>
      </c>
      <c r="I40" s="161" t="s">
        <v>92</v>
      </c>
      <c r="J40" s="161" t="s">
        <v>102</v>
      </c>
      <c r="K40" s="161" t="s">
        <v>54</v>
      </c>
      <c r="L40" s="161" t="s">
        <v>54</v>
      </c>
      <c r="M40" s="161" t="s">
        <v>54</v>
      </c>
      <c r="N40" s="161"/>
      <c r="O40" s="162"/>
    </row>
    <row r="41" spans="1:15" s="133" customFormat="1" ht="153" customHeight="1" outlineLevel="1">
      <c r="A41" s="131">
        <v>22</v>
      </c>
      <c r="B41" s="132" t="s">
        <v>188</v>
      </c>
      <c r="C41" s="132" t="s">
        <v>189</v>
      </c>
      <c r="D41" s="132" t="s">
        <v>183</v>
      </c>
      <c r="E41" s="132" t="s">
        <v>184</v>
      </c>
      <c r="F41" s="132"/>
      <c r="G41" s="132" t="s">
        <v>190</v>
      </c>
      <c r="H41" s="131" t="s">
        <v>44</v>
      </c>
      <c r="I41" s="131" t="s">
        <v>94</v>
      </c>
      <c r="J41" s="131" t="s">
        <v>102</v>
      </c>
      <c r="K41" s="131" t="s">
        <v>54</v>
      </c>
      <c r="L41" s="131" t="s">
        <v>54</v>
      </c>
      <c r="M41" s="131" t="s">
        <v>54</v>
      </c>
      <c r="N41" s="131"/>
      <c r="O41" s="132"/>
    </row>
    <row r="42" spans="1:15" s="133" customFormat="1" ht="153" customHeight="1" outlineLevel="1">
      <c r="A42" s="131">
        <v>23</v>
      </c>
      <c r="B42" s="132" t="s">
        <v>191</v>
      </c>
      <c r="C42" s="132" t="s">
        <v>192</v>
      </c>
      <c r="D42" s="132" t="s">
        <v>183</v>
      </c>
      <c r="E42" s="132" t="s">
        <v>184</v>
      </c>
      <c r="F42" s="132"/>
      <c r="G42" s="132" t="s">
        <v>190</v>
      </c>
      <c r="H42" s="131" t="s">
        <v>44</v>
      </c>
      <c r="I42" s="131" t="s">
        <v>94</v>
      </c>
      <c r="J42" s="131" t="s">
        <v>102</v>
      </c>
      <c r="K42" s="131" t="s">
        <v>54</v>
      </c>
      <c r="L42" s="131" t="s">
        <v>54</v>
      </c>
      <c r="M42" s="131" t="s">
        <v>54</v>
      </c>
      <c r="N42" s="131"/>
      <c r="O42" s="132"/>
    </row>
    <row r="43" spans="1:15" ht="153" customHeight="1" outlineLevel="1">
      <c r="A43" s="161">
        <v>24</v>
      </c>
      <c r="B43" s="162" t="s">
        <v>193</v>
      </c>
      <c r="C43" s="130" t="s">
        <v>194</v>
      </c>
      <c r="D43" s="162" t="s">
        <v>183</v>
      </c>
      <c r="E43" s="162" t="s">
        <v>184</v>
      </c>
      <c r="F43" s="162"/>
      <c r="G43" s="162" t="s">
        <v>190</v>
      </c>
      <c r="H43" s="161" t="s">
        <v>44</v>
      </c>
      <c r="I43" s="161" t="s">
        <v>94</v>
      </c>
      <c r="J43" s="161" t="s">
        <v>102</v>
      </c>
      <c r="K43" s="161" t="s">
        <v>54</v>
      </c>
      <c r="L43" s="161" t="s">
        <v>54</v>
      </c>
      <c r="M43" s="161" t="s">
        <v>54</v>
      </c>
      <c r="N43" s="161"/>
      <c r="O43" s="162"/>
    </row>
    <row r="44" spans="1:15" s="129" customFormat="1" ht="18" customHeight="1">
      <c r="A44" s="127" t="s">
        <v>150</v>
      </c>
      <c r="B44" s="128" t="s">
        <v>151</v>
      </c>
      <c r="C44" s="128"/>
      <c r="D44" s="128"/>
      <c r="E44" s="128"/>
      <c r="F44" s="128"/>
      <c r="G44" s="128"/>
      <c r="H44" s="128"/>
      <c r="I44" s="128"/>
      <c r="J44" s="128"/>
      <c r="K44" s="128"/>
      <c r="L44" s="128"/>
      <c r="M44" s="128"/>
      <c r="N44" s="128"/>
      <c r="O44" s="128"/>
    </row>
    <row r="45" spans="1:15" ht="153" customHeight="1" outlineLevel="1">
      <c r="A45" s="161">
        <v>25</v>
      </c>
      <c r="B45" s="162" t="s">
        <v>195</v>
      </c>
      <c r="C45" s="130" t="s">
        <v>182</v>
      </c>
      <c r="D45" s="162" t="s">
        <v>183</v>
      </c>
      <c r="E45" s="162" t="s">
        <v>184</v>
      </c>
      <c r="F45" s="162"/>
      <c r="G45" s="162" t="s">
        <v>185</v>
      </c>
      <c r="H45" s="161" t="s">
        <v>44</v>
      </c>
      <c r="I45" s="161" t="s">
        <v>92</v>
      </c>
      <c r="J45" s="161" t="s">
        <v>102</v>
      </c>
      <c r="K45" s="161" t="s">
        <v>54</v>
      </c>
      <c r="L45" s="161" t="s">
        <v>54</v>
      </c>
      <c r="M45" s="161" t="s">
        <v>54</v>
      </c>
      <c r="N45" s="161"/>
      <c r="O45" s="162"/>
    </row>
    <row r="46" spans="1:15" ht="153" customHeight="1" outlineLevel="1">
      <c r="A46" s="161">
        <v>26</v>
      </c>
      <c r="B46" s="162" t="s">
        <v>196</v>
      </c>
      <c r="C46" s="130" t="s">
        <v>187</v>
      </c>
      <c r="D46" s="162" t="s">
        <v>183</v>
      </c>
      <c r="E46" s="162" t="s">
        <v>184</v>
      </c>
      <c r="F46" s="162"/>
      <c r="G46" s="162" t="s">
        <v>185</v>
      </c>
      <c r="H46" s="161" t="s">
        <v>44</v>
      </c>
      <c r="I46" s="161" t="s">
        <v>92</v>
      </c>
      <c r="J46" s="161" t="s">
        <v>102</v>
      </c>
      <c r="K46" s="161" t="s">
        <v>54</v>
      </c>
      <c r="L46" s="161" t="s">
        <v>54</v>
      </c>
      <c r="M46" s="161" t="s">
        <v>54</v>
      </c>
      <c r="N46" s="161"/>
      <c r="O46" s="162"/>
    </row>
    <row r="47" spans="1:15" ht="153" customHeight="1" outlineLevel="1">
      <c r="A47" s="161">
        <v>27</v>
      </c>
      <c r="B47" s="162" t="s">
        <v>197</v>
      </c>
      <c r="C47" s="130" t="s">
        <v>189</v>
      </c>
      <c r="D47" s="162" t="s">
        <v>183</v>
      </c>
      <c r="E47" s="162" t="s">
        <v>184</v>
      </c>
      <c r="F47" s="162"/>
      <c r="G47" s="162" t="s">
        <v>190</v>
      </c>
      <c r="H47" s="161" t="s">
        <v>44</v>
      </c>
      <c r="I47" s="161" t="s">
        <v>94</v>
      </c>
      <c r="J47" s="161" t="s">
        <v>102</v>
      </c>
      <c r="K47" s="161" t="s">
        <v>54</v>
      </c>
      <c r="L47" s="161" t="s">
        <v>54</v>
      </c>
      <c r="M47" s="161" t="s">
        <v>54</v>
      </c>
      <c r="N47" s="161"/>
      <c r="O47" s="162"/>
    </row>
    <row r="48" spans="1:15" ht="153" customHeight="1" outlineLevel="1">
      <c r="A48" s="161">
        <v>28</v>
      </c>
      <c r="B48" s="162" t="s">
        <v>198</v>
      </c>
      <c r="C48" s="130" t="s">
        <v>199</v>
      </c>
      <c r="D48" s="162" t="s">
        <v>183</v>
      </c>
      <c r="E48" s="162" t="s">
        <v>184</v>
      </c>
      <c r="F48" s="162"/>
      <c r="G48" s="162" t="s">
        <v>190</v>
      </c>
      <c r="H48" s="161" t="s">
        <v>44</v>
      </c>
      <c r="I48" s="161" t="s">
        <v>94</v>
      </c>
      <c r="J48" s="161" t="s">
        <v>102</v>
      </c>
      <c r="K48" s="161" t="s">
        <v>54</v>
      </c>
      <c r="L48" s="161" t="s">
        <v>54</v>
      </c>
      <c r="M48" s="161" t="s">
        <v>54</v>
      </c>
      <c r="N48" s="161"/>
      <c r="O48" s="162"/>
    </row>
    <row r="49" spans="1:15" ht="153" customHeight="1" outlineLevel="1">
      <c r="A49" s="161">
        <v>29</v>
      </c>
      <c r="B49" s="162" t="s">
        <v>200</v>
      </c>
      <c r="C49" s="130" t="s">
        <v>201</v>
      </c>
      <c r="D49" s="162" t="s">
        <v>183</v>
      </c>
      <c r="E49" s="162" t="s">
        <v>184</v>
      </c>
      <c r="F49" s="162"/>
      <c r="G49" s="162" t="s">
        <v>190</v>
      </c>
      <c r="H49" s="161" t="s">
        <v>44</v>
      </c>
      <c r="I49" s="161" t="s">
        <v>94</v>
      </c>
      <c r="J49" s="161" t="s">
        <v>102</v>
      </c>
      <c r="K49" s="161" t="s">
        <v>54</v>
      </c>
      <c r="L49" s="161" t="s">
        <v>54</v>
      </c>
      <c r="M49" s="161" t="s">
        <v>54</v>
      </c>
      <c r="N49" s="161"/>
      <c r="O49" s="162"/>
    </row>
    <row r="50" spans="1:15" s="129" customFormat="1" ht="18" customHeight="1">
      <c r="A50" s="127" t="s">
        <v>165</v>
      </c>
      <c r="B50" s="128" t="s">
        <v>166</v>
      </c>
      <c r="C50" s="128"/>
      <c r="D50" s="128"/>
      <c r="E50" s="128"/>
      <c r="F50" s="128"/>
      <c r="G50" s="128"/>
      <c r="H50" s="128"/>
      <c r="I50" s="128"/>
      <c r="J50" s="128"/>
      <c r="K50" s="128"/>
      <c r="L50" s="128"/>
      <c r="M50" s="128"/>
      <c r="N50" s="128"/>
      <c r="O50" s="128"/>
    </row>
    <row r="51" spans="1:15" ht="153" customHeight="1" outlineLevel="1">
      <c r="A51" s="161">
        <v>30</v>
      </c>
      <c r="B51" s="162" t="s">
        <v>202</v>
      </c>
      <c r="C51" s="130" t="s">
        <v>182</v>
      </c>
      <c r="D51" s="162" t="s">
        <v>183</v>
      </c>
      <c r="E51" s="162" t="s">
        <v>184</v>
      </c>
      <c r="F51" s="162"/>
      <c r="G51" s="162" t="s">
        <v>185</v>
      </c>
      <c r="H51" s="161" t="s">
        <v>44</v>
      </c>
      <c r="I51" s="161" t="s">
        <v>92</v>
      </c>
      <c r="J51" s="161" t="s">
        <v>102</v>
      </c>
      <c r="K51" s="161" t="s">
        <v>54</v>
      </c>
      <c r="L51" s="161" t="s">
        <v>54</v>
      </c>
      <c r="M51" s="161" t="s">
        <v>54</v>
      </c>
      <c r="N51" s="161"/>
      <c r="O51" s="162"/>
    </row>
    <row r="52" spans="1:15" ht="153" customHeight="1" outlineLevel="1">
      <c r="A52" s="161">
        <v>31</v>
      </c>
      <c r="B52" s="162" t="s">
        <v>203</v>
      </c>
      <c r="C52" s="130" t="s">
        <v>187</v>
      </c>
      <c r="D52" s="162" t="s">
        <v>183</v>
      </c>
      <c r="E52" s="162" t="s">
        <v>184</v>
      </c>
      <c r="F52" s="162"/>
      <c r="G52" s="162" t="s">
        <v>185</v>
      </c>
      <c r="H52" s="161" t="s">
        <v>44</v>
      </c>
      <c r="I52" s="161" t="s">
        <v>92</v>
      </c>
      <c r="J52" s="161" t="s">
        <v>102</v>
      </c>
      <c r="K52" s="161" t="s">
        <v>54</v>
      </c>
      <c r="L52" s="161" t="s">
        <v>54</v>
      </c>
      <c r="M52" s="161" t="s">
        <v>54</v>
      </c>
      <c r="N52" s="161"/>
      <c r="O52" s="162"/>
    </row>
    <row r="53" spans="1:15" ht="153" customHeight="1" outlineLevel="1">
      <c r="A53" s="161">
        <v>32</v>
      </c>
      <c r="B53" s="162" t="s">
        <v>204</v>
      </c>
      <c r="C53" s="130" t="s">
        <v>189</v>
      </c>
      <c r="D53" s="162" t="s">
        <v>183</v>
      </c>
      <c r="E53" s="162" t="s">
        <v>184</v>
      </c>
      <c r="F53" s="162"/>
      <c r="G53" s="162" t="s">
        <v>190</v>
      </c>
      <c r="H53" s="161" t="s">
        <v>44</v>
      </c>
      <c r="I53" s="161" t="s">
        <v>94</v>
      </c>
      <c r="J53" s="161" t="s">
        <v>102</v>
      </c>
      <c r="K53" s="161" t="s">
        <v>54</v>
      </c>
      <c r="L53" s="161" t="s">
        <v>54</v>
      </c>
      <c r="M53" s="161" t="s">
        <v>54</v>
      </c>
      <c r="N53" s="161"/>
      <c r="O53" s="162"/>
    </row>
    <row r="54" spans="1:15" ht="153" customHeight="1" outlineLevel="1">
      <c r="A54" s="161">
        <v>33</v>
      </c>
      <c r="B54" s="162" t="s">
        <v>205</v>
      </c>
      <c r="C54" s="130" t="s">
        <v>199</v>
      </c>
      <c r="D54" s="162" t="s">
        <v>183</v>
      </c>
      <c r="E54" s="162" t="s">
        <v>184</v>
      </c>
      <c r="F54" s="162"/>
      <c r="G54" s="162" t="s">
        <v>190</v>
      </c>
      <c r="H54" s="161" t="s">
        <v>44</v>
      </c>
      <c r="I54" s="161" t="s">
        <v>94</v>
      </c>
      <c r="J54" s="161" t="s">
        <v>102</v>
      </c>
      <c r="K54" s="161" t="s">
        <v>54</v>
      </c>
      <c r="L54" s="161" t="s">
        <v>54</v>
      </c>
      <c r="M54" s="161" t="s">
        <v>54</v>
      </c>
      <c r="N54" s="161"/>
      <c r="O54" s="162"/>
    </row>
    <row r="55" spans="1:15" ht="153" customHeight="1" outlineLevel="1">
      <c r="A55" s="161">
        <v>34</v>
      </c>
      <c r="B55" s="162" t="s">
        <v>206</v>
      </c>
      <c r="C55" s="130" t="s">
        <v>201</v>
      </c>
      <c r="D55" s="162" t="s">
        <v>183</v>
      </c>
      <c r="E55" s="162" t="s">
        <v>184</v>
      </c>
      <c r="F55" s="162"/>
      <c r="G55" s="162" t="s">
        <v>190</v>
      </c>
      <c r="H55" s="161" t="s">
        <v>44</v>
      </c>
      <c r="I55" s="161" t="s">
        <v>94</v>
      </c>
      <c r="J55" s="161" t="s">
        <v>102</v>
      </c>
      <c r="K55" s="161" t="s">
        <v>54</v>
      </c>
      <c r="L55" s="161" t="s">
        <v>54</v>
      </c>
      <c r="M55" s="161" t="s">
        <v>54</v>
      </c>
      <c r="N55" s="161"/>
      <c r="O55" s="162"/>
    </row>
    <row r="56" spans="1:15" ht="153" customHeight="1" outlineLevel="1">
      <c r="A56" s="161">
        <v>35</v>
      </c>
      <c r="B56" s="162" t="s">
        <v>207</v>
      </c>
      <c r="C56" s="130" t="s">
        <v>208</v>
      </c>
      <c r="D56" s="162" t="s">
        <v>183</v>
      </c>
      <c r="E56" s="162" t="s">
        <v>184</v>
      </c>
      <c r="F56" s="162"/>
      <c r="G56" s="162" t="s">
        <v>190</v>
      </c>
      <c r="H56" s="161" t="s">
        <v>44</v>
      </c>
      <c r="I56" s="161" t="s">
        <v>94</v>
      </c>
      <c r="J56" s="161" t="s">
        <v>102</v>
      </c>
      <c r="K56" s="161" t="s">
        <v>54</v>
      </c>
      <c r="L56" s="161" t="s">
        <v>54</v>
      </c>
      <c r="M56" s="161" t="s">
        <v>54</v>
      </c>
      <c r="N56" s="161"/>
      <c r="O56" s="162"/>
    </row>
    <row r="57" spans="1:15" ht="18" customHeight="1">
      <c r="A57" s="159" t="s">
        <v>209</v>
      </c>
      <c r="B57" s="159"/>
      <c r="C57" s="159"/>
      <c r="D57" s="159"/>
      <c r="E57" s="159"/>
      <c r="F57" s="159"/>
      <c r="G57" s="159"/>
      <c r="H57" s="159"/>
      <c r="I57" s="159"/>
      <c r="J57" s="159"/>
      <c r="K57" s="159"/>
      <c r="L57" s="159"/>
      <c r="M57" s="159"/>
      <c r="N57" s="159"/>
      <c r="O57" s="159"/>
    </row>
    <row r="58" spans="1:15" ht="191.25" customHeight="1">
      <c r="A58" s="161">
        <v>36</v>
      </c>
      <c r="B58" s="162" t="s">
        <v>210</v>
      </c>
      <c r="C58" s="162" t="s">
        <v>211</v>
      </c>
      <c r="D58" s="162" t="s">
        <v>212</v>
      </c>
      <c r="E58" s="162" t="s">
        <v>213</v>
      </c>
      <c r="F58" s="162"/>
      <c r="G58" s="162" t="s">
        <v>214</v>
      </c>
      <c r="H58" s="161" t="s">
        <v>44</v>
      </c>
      <c r="I58" s="161" t="s">
        <v>92</v>
      </c>
      <c r="J58" s="161" t="s">
        <v>102</v>
      </c>
      <c r="K58" s="161" t="s">
        <v>54</v>
      </c>
      <c r="L58" s="161" t="s">
        <v>54</v>
      </c>
      <c r="M58" s="161" t="s">
        <v>54</v>
      </c>
      <c r="N58" s="161"/>
      <c r="O58" s="162" t="s">
        <v>215</v>
      </c>
    </row>
    <row r="59" spans="1:15" ht="213.75" customHeight="1">
      <c r="A59" s="161">
        <v>37</v>
      </c>
      <c r="B59" s="162" t="s">
        <v>216</v>
      </c>
      <c r="C59" s="162" t="s">
        <v>217</v>
      </c>
      <c r="D59" s="162" t="s">
        <v>218</v>
      </c>
      <c r="E59" s="162" t="s">
        <v>219</v>
      </c>
      <c r="F59" s="162"/>
      <c r="G59" s="162" t="s">
        <v>220</v>
      </c>
      <c r="H59" s="161" t="s">
        <v>44</v>
      </c>
      <c r="I59" s="161" t="s">
        <v>92</v>
      </c>
      <c r="J59" s="161" t="s">
        <v>102</v>
      </c>
      <c r="K59" s="161" t="s">
        <v>54</v>
      </c>
      <c r="L59" s="161" t="s">
        <v>54</v>
      </c>
      <c r="M59" s="161" t="s">
        <v>54</v>
      </c>
      <c r="N59" s="161"/>
      <c r="O59" s="162" t="s">
        <v>215</v>
      </c>
    </row>
  </sheetData>
  <autoFilter ref="A13:O56" xr:uid="{00000000-0009-0000-0000-000006000000}"/>
  <mergeCells count="3">
    <mergeCell ref="A14:O14"/>
    <mergeCell ref="A37:O37"/>
    <mergeCell ref="A57:O57"/>
  </mergeCell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O44"/>
  <sheetViews>
    <sheetView zoomScaleNormal="100" workbookViewId="0">
      <pane ySplit="13" topLeftCell="A17" activePane="bottomLeft" state="frozen"/>
      <selection pane="bottomLeft" activeCell="A36" sqref="A36"/>
    </sheetView>
  </sheetViews>
  <sheetFormatPr defaultColWidth="9" defaultRowHeight="14.25" outlineLevelRow="1"/>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221</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16</v>
      </c>
      <c r="E5" s="124">
        <f>SUM(E6:E10)</f>
        <v>0</v>
      </c>
      <c r="F5" s="124">
        <f t="shared" ref="F5:F11" si="0">SUM(C5:E5)</f>
        <v>24</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16</v>
      </c>
      <c r="E8" s="125">
        <f t="shared" si="1"/>
        <v>0</v>
      </c>
      <c r="F8" s="125">
        <f t="shared" si="0"/>
        <v>24</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s="129" customFormat="1" ht="18" customHeight="1">
      <c r="A15" s="127" t="s">
        <v>123</v>
      </c>
      <c r="B15" s="128" t="s">
        <v>222</v>
      </c>
      <c r="C15" s="128"/>
      <c r="D15" s="128"/>
      <c r="E15" s="128"/>
      <c r="F15" s="128"/>
      <c r="G15" s="128"/>
      <c r="H15" s="128"/>
      <c r="I15" s="128"/>
      <c r="J15" s="128"/>
      <c r="K15" s="128"/>
      <c r="L15" s="128"/>
      <c r="M15" s="128"/>
      <c r="N15" s="128"/>
      <c r="O15" s="128"/>
    </row>
    <row r="16" spans="1:15" ht="114.75" customHeight="1" outlineLevel="1">
      <c r="A16" s="161">
        <v>1</v>
      </c>
      <c r="B16" s="162" t="s">
        <v>223</v>
      </c>
      <c r="C16" s="130" t="s">
        <v>224</v>
      </c>
      <c r="D16" s="162" t="s">
        <v>225</v>
      </c>
      <c r="E16" s="162" t="s">
        <v>226</v>
      </c>
      <c r="F16" s="162"/>
      <c r="G16" s="162" t="s">
        <v>227</v>
      </c>
      <c r="H16" s="161" t="s">
        <v>44</v>
      </c>
      <c r="I16" s="161" t="s">
        <v>92</v>
      </c>
      <c r="J16" s="161" t="s">
        <v>102</v>
      </c>
      <c r="K16" s="161" t="s">
        <v>54</v>
      </c>
      <c r="L16" s="161" t="s">
        <v>54</v>
      </c>
      <c r="M16" s="161" t="s">
        <v>54</v>
      </c>
      <c r="N16" s="161"/>
      <c r="O16" s="162" t="s">
        <v>228</v>
      </c>
    </row>
    <row r="17" spans="1:15" ht="102" customHeight="1" outlineLevel="1">
      <c r="A17" s="161">
        <v>2</v>
      </c>
      <c r="B17" s="162" t="s">
        <v>229</v>
      </c>
      <c r="C17" s="130" t="s">
        <v>230</v>
      </c>
      <c r="D17" s="162" t="s">
        <v>225</v>
      </c>
      <c r="E17" s="162" t="s">
        <v>231</v>
      </c>
      <c r="F17" s="162"/>
      <c r="G17" s="162" t="s">
        <v>134</v>
      </c>
      <c r="H17" s="161" t="s">
        <v>44</v>
      </c>
      <c r="I17" s="161" t="s">
        <v>94</v>
      </c>
      <c r="J17" s="161" t="s">
        <v>102</v>
      </c>
      <c r="K17" s="161" t="s">
        <v>54</v>
      </c>
      <c r="L17" s="161" t="s">
        <v>54</v>
      </c>
      <c r="M17" s="161" t="s">
        <v>54</v>
      </c>
      <c r="N17" s="161"/>
      <c r="O17" s="162"/>
    </row>
    <row r="18" spans="1:15" ht="102" customHeight="1" outlineLevel="1">
      <c r="A18" s="161">
        <v>3</v>
      </c>
      <c r="B18" s="162" t="s">
        <v>232</v>
      </c>
      <c r="C18" s="130" t="s">
        <v>233</v>
      </c>
      <c r="D18" s="162" t="s">
        <v>225</v>
      </c>
      <c r="E18" s="162" t="s">
        <v>234</v>
      </c>
      <c r="F18" s="162"/>
      <c r="G18" s="162" t="s">
        <v>138</v>
      </c>
      <c r="H18" s="161" t="s">
        <v>44</v>
      </c>
      <c r="I18" s="161" t="s">
        <v>94</v>
      </c>
      <c r="J18" s="161" t="s">
        <v>102</v>
      </c>
      <c r="K18" s="161" t="s">
        <v>54</v>
      </c>
      <c r="L18" s="161" t="s">
        <v>54</v>
      </c>
      <c r="M18" s="161" t="s">
        <v>54</v>
      </c>
      <c r="N18" s="161"/>
      <c r="O18" s="162"/>
    </row>
    <row r="19" spans="1:15" ht="114.75" customHeight="1" outlineLevel="1">
      <c r="A19" s="161">
        <v>4</v>
      </c>
      <c r="B19" s="162" t="s">
        <v>235</v>
      </c>
      <c r="C19" s="130" t="s">
        <v>236</v>
      </c>
      <c r="D19" s="162" t="s">
        <v>225</v>
      </c>
      <c r="E19" s="162" t="s">
        <v>237</v>
      </c>
      <c r="F19" s="162"/>
      <c r="G19" s="162" t="s">
        <v>238</v>
      </c>
      <c r="H19" s="161" t="s">
        <v>44</v>
      </c>
      <c r="I19" s="161" t="s">
        <v>94</v>
      </c>
      <c r="J19" s="161" t="s">
        <v>102</v>
      </c>
      <c r="K19" s="161" t="s">
        <v>54</v>
      </c>
      <c r="L19" s="161" t="s">
        <v>54</v>
      </c>
      <c r="M19" s="161" t="s">
        <v>54</v>
      </c>
      <c r="N19" s="161"/>
      <c r="O19" s="162"/>
    </row>
    <row r="20" spans="1:15" ht="114.75" customHeight="1" outlineLevel="1">
      <c r="A20" s="161">
        <v>5</v>
      </c>
      <c r="B20" s="162" t="s">
        <v>239</v>
      </c>
      <c r="C20" s="130" t="s">
        <v>240</v>
      </c>
      <c r="D20" s="162" t="s">
        <v>225</v>
      </c>
      <c r="E20" s="162" t="s">
        <v>241</v>
      </c>
      <c r="F20" s="162"/>
      <c r="G20" s="130" t="s">
        <v>242</v>
      </c>
      <c r="H20" s="161" t="s">
        <v>44</v>
      </c>
      <c r="I20" s="161" t="s">
        <v>94</v>
      </c>
      <c r="J20" s="161" t="s">
        <v>102</v>
      </c>
      <c r="K20" s="161" t="s">
        <v>54</v>
      </c>
      <c r="L20" s="161" t="s">
        <v>54</v>
      </c>
      <c r="M20" s="161" t="s">
        <v>54</v>
      </c>
      <c r="N20" s="161"/>
      <c r="O20" s="162"/>
    </row>
    <row r="21" spans="1:15" ht="114.75" customHeight="1" outlineLevel="1">
      <c r="A21" s="161">
        <v>6</v>
      </c>
      <c r="B21" s="162" t="s">
        <v>243</v>
      </c>
      <c r="C21" s="130" t="s">
        <v>244</v>
      </c>
      <c r="D21" s="162" t="s">
        <v>225</v>
      </c>
      <c r="E21" s="162" t="s">
        <v>245</v>
      </c>
      <c r="F21" s="162"/>
      <c r="G21" s="162" t="s">
        <v>246</v>
      </c>
      <c r="H21" s="161" t="s">
        <v>44</v>
      </c>
      <c r="I21" s="161" t="s">
        <v>94</v>
      </c>
      <c r="J21" s="161" t="s">
        <v>102</v>
      </c>
      <c r="K21" s="161" t="s">
        <v>54</v>
      </c>
      <c r="L21" s="161" t="s">
        <v>54</v>
      </c>
      <c r="M21" s="161" t="s">
        <v>54</v>
      </c>
      <c r="N21" s="161"/>
      <c r="O21" s="162"/>
    </row>
    <row r="22" spans="1:15" s="129" customFormat="1" ht="18" customHeight="1">
      <c r="A22" s="127" t="s">
        <v>150</v>
      </c>
      <c r="B22" s="128" t="s">
        <v>247</v>
      </c>
      <c r="C22" s="128"/>
      <c r="D22" s="128"/>
      <c r="E22" s="128"/>
      <c r="F22" s="128"/>
      <c r="G22" s="128"/>
      <c r="H22" s="128"/>
      <c r="I22" s="128"/>
      <c r="J22" s="128"/>
      <c r="K22" s="128"/>
      <c r="L22" s="128"/>
      <c r="M22" s="128"/>
      <c r="N22" s="128"/>
      <c r="O22" s="128"/>
    </row>
    <row r="23" spans="1:15" ht="114.75" customHeight="1" outlineLevel="1">
      <c r="A23" s="161">
        <v>1</v>
      </c>
      <c r="B23" s="162" t="s">
        <v>248</v>
      </c>
      <c r="C23" s="130" t="s">
        <v>224</v>
      </c>
      <c r="D23" s="162" t="s">
        <v>225</v>
      </c>
      <c r="E23" s="162" t="s">
        <v>226</v>
      </c>
      <c r="F23" s="162"/>
      <c r="G23" s="162" t="s">
        <v>227</v>
      </c>
      <c r="H23" s="161" t="s">
        <v>44</v>
      </c>
      <c r="I23" s="161" t="s">
        <v>92</v>
      </c>
      <c r="J23" s="161" t="s">
        <v>102</v>
      </c>
      <c r="K23" s="161" t="s">
        <v>54</v>
      </c>
      <c r="L23" s="161" t="s">
        <v>54</v>
      </c>
      <c r="M23" s="161" t="s">
        <v>54</v>
      </c>
      <c r="N23" s="161"/>
      <c r="O23" s="162" t="s">
        <v>228</v>
      </c>
    </row>
    <row r="24" spans="1:15" ht="102" customHeight="1" outlineLevel="1">
      <c r="A24" s="161">
        <v>2</v>
      </c>
      <c r="B24" s="162" t="s">
        <v>249</v>
      </c>
      <c r="C24" s="130" t="s">
        <v>230</v>
      </c>
      <c r="D24" s="162" t="s">
        <v>225</v>
      </c>
      <c r="E24" s="162" t="s">
        <v>231</v>
      </c>
      <c r="F24" s="162"/>
      <c r="G24" s="162" t="s">
        <v>134</v>
      </c>
      <c r="H24" s="161" t="s">
        <v>44</v>
      </c>
      <c r="I24" s="161" t="s">
        <v>94</v>
      </c>
      <c r="J24" s="161" t="s">
        <v>102</v>
      </c>
      <c r="K24" s="161" t="s">
        <v>54</v>
      </c>
      <c r="L24" s="161" t="s">
        <v>54</v>
      </c>
      <c r="M24" s="161" t="s">
        <v>54</v>
      </c>
      <c r="N24" s="161"/>
      <c r="O24" s="162"/>
    </row>
    <row r="25" spans="1:15" ht="102" customHeight="1" outlineLevel="1">
      <c r="A25" s="161">
        <v>3</v>
      </c>
      <c r="B25" s="162" t="s">
        <v>250</v>
      </c>
      <c r="C25" s="130" t="s">
        <v>233</v>
      </c>
      <c r="D25" s="162" t="s">
        <v>225</v>
      </c>
      <c r="E25" s="162" t="s">
        <v>234</v>
      </c>
      <c r="F25" s="162"/>
      <c r="G25" s="162" t="s">
        <v>138</v>
      </c>
      <c r="H25" s="161" t="s">
        <v>44</v>
      </c>
      <c r="I25" s="161" t="s">
        <v>94</v>
      </c>
      <c r="J25" s="161" t="s">
        <v>102</v>
      </c>
      <c r="K25" s="161" t="s">
        <v>54</v>
      </c>
      <c r="L25" s="161" t="s">
        <v>54</v>
      </c>
      <c r="M25" s="161" t="s">
        <v>54</v>
      </c>
      <c r="N25" s="161"/>
      <c r="O25" s="162"/>
    </row>
    <row r="26" spans="1:15" ht="114.75" customHeight="1" outlineLevel="1">
      <c r="A26" s="161">
        <v>4</v>
      </c>
      <c r="B26" s="162" t="s">
        <v>251</v>
      </c>
      <c r="C26" s="130" t="s">
        <v>236</v>
      </c>
      <c r="D26" s="162" t="s">
        <v>225</v>
      </c>
      <c r="E26" s="162" t="s">
        <v>237</v>
      </c>
      <c r="F26" s="162"/>
      <c r="G26" s="162" t="s">
        <v>238</v>
      </c>
      <c r="H26" s="161" t="s">
        <v>44</v>
      </c>
      <c r="I26" s="161" t="s">
        <v>94</v>
      </c>
      <c r="J26" s="161" t="s">
        <v>102</v>
      </c>
      <c r="K26" s="161" t="s">
        <v>54</v>
      </c>
      <c r="L26" s="161" t="s">
        <v>54</v>
      </c>
      <c r="M26" s="161" t="s">
        <v>54</v>
      </c>
      <c r="N26" s="161"/>
      <c r="O26" s="162"/>
    </row>
    <row r="27" spans="1:15" ht="114.75" customHeight="1" outlineLevel="1">
      <c r="A27" s="161">
        <v>5</v>
      </c>
      <c r="B27" s="162" t="s">
        <v>252</v>
      </c>
      <c r="C27" s="130" t="s">
        <v>240</v>
      </c>
      <c r="D27" s="162" t="s">
        <v>225</v>
      </c>
      <c r="E27" s="162" t="s">
        <v>241</v>
      </c>
      <c r="F27" s="162"/>
      <c r="G27" s="130" t="s">
        <v>253</v>
      </c>
      <c r="H27" s="161" t="s">
        <v>44</v>
      </c>
      <c r="I27" s="161" t="s">
        <v>94</v>
      </c>
      <c r="J27" s="161" t="s">
        <v>102</v>
      </c>
      <c r="K27" s="161" t="s">
        <v>54</v>
      </c>
      <c r="L27" s="161" t="s">
        <v>54</v>
      </c>
      <c r="M27" s="161" t="s">
        <v>54</v>
      </c>
      <c r="N27" s="161"/>
      <c r="O27" s="162"/>
    </row>
    <row r="28" spans="1:15" ht="114.75" customHeight="1" outlineLevel="1">
      <c r="A28" s="161">
        <v>6</v>
      </c>
      <c r="B28" s="162" t="s">
        <v>254</v>
      </c>
      <c r="C28" s="130" t="s">
        <v>244</v>
      </c>
      <c r="D28" s="162" t="s">
        <v>225</v>
      </c>
      <c r="E28" s="162" t="s">
        <v>245</v>
      </c>
      <c r="F28" s="162"/>
      <c r="G28" s="162" t="s">
        <v>246</v>
      </c>
      <c r="H28" s="161" t="s">
        <v>44</v>
      </c>
      <c r="I28" s="161" t="s">
        <v>94</v>
      </c>
      <c r="J28" s="161" t="s">
        <v>102</v>
      </c>
      <c r="K28" s="161" t="s">
        <v>54</v>
      </c>
      <c r="L28" s="161" t="s">
        <v>54</v>
      </c>
      <c r="M28" s="161" t="s">
        <v>54</v>
      </c>
      <c r="N28" s="161"/>
      <c r="O28" s="162"/>
    </row>
    <row r="29" spans="1:15" ht="18" customHeight="1">
      <c r="A29" s="159" t="s">
        <v>180</v>
      </c>
      <c r="B29" s="159"/>
      <c r="C29" s="159"/>
      <c r="D29" s="159"/>
      <c r="E29" s="159"/>
      <c r="F29" s="159"/>
      <c r="G29" s="159"/>
      <c r="H29" s="159"/>
      <c r="I29" s="159"/>
      <c r="J29" s="159"/>
      <c r="K29" s="159"/>
      <c r="L29" s="159"/>
      <c r="M29" s="159"/>
      <c r="N29" s="159"/>
      <c r="O29" s="159"/>
    </row>
    <row r="30" spans="1:15" s="129" customFormat="1" ht="18" customHeight="1">
      <c r="A30" s="127" t="s">
        <v>123</v>
      </c>
      <c r="B30" s="128" t="s">
        <v>222</v>
      </c>
      <c r="C30" s="128"/>
      <c r="D30" s="128"/>
      <c r="E30" s="128"/>
      <c r="F30" s="128"/>
      <c r="G30" s="128"/>
      <c r="H30" s="128"/>
      <c r="I30" s="128"/>
      <c r="J30" s="128"/>
      <c r="K30" s="128"/>
      <c r="L30" s="128"/>
      <c r="M30" s="128"/>
      <c r="N30" s="128"/>
      <c r="O30" s="128"/>
    </row>
    <row r="31" spans="1:15" ht="153" customHeight="1" outlineLevel="1">
      <c r="A31" s="161">
        <v>7</v>
      </c>
      <c r="B31" s="162" t="s">
        <v>255</v>
      </c>
      <c r="C31" s="130" t="s">
        <v>182</v>
      </c>
      <c r="D31" s="162" t="s">
        <v>256</v>
      </c>
      <c r="E31" s="162" t="s">
        <v>184</v>
      </c>
      <c r="F31" s="162"/>
      <c r="G31" s="162" t="s">
        <v>185</v>
      </c>
      <c r="H31" s="161" t="s">
        <v>44</v>
      </c>
      <c r="I31" s="161" t="s">
        <v>92</v>
      </c>
      <c r="J31" s="161" t="s">
        <v>102</v>
      </c>
      <c r="K31" s="161" t="s">
        <v>54</v>
      </c>
      <c r="L31" s="161" t="s">
        <v>54</v>
      </c>
      <c r="M31" s="161" t="s">
        <v>54</v>
      </c>
      <c r="N31" s="161"/>
      <c r="O31" s="162"/>
    </row>
    <row r="32" spans="1:15" ht="153" customHeight="1" outlineLevel="1">
      <c r="A32" s="161">
        <v>8</v>
      </c>
      <c r="B32" s="162" t="s">
        <v>257</v>
      </c>
      <c r="C32" s="130" t="s">
        <v>187</v>
      </c>
      <c r="D32" s="162" t="s">
        <v>256</v>
      </c>
      <c r="E32" s="162" t="s">
        <v>184</v>
      </c>
      <c r="F32" s="162"/>
      <c r="G32" s="162" t="s">
        <v>185</v>
      </c>
      <c r="H32" s="161" t="s">
        <v>44</v>
      </c>
      <c r="I32" s="161" t="s">
        <v>92</v>
      </c>
      <c r="J32" s="161" t="s">
        <v>102</v>
      </c>
      <c r="K32" s="161" t="s">
        <v>54</v>
      </c>
      <c r="L32" s="161" t="s">
        <v>54</v>
      </c>
      <c r="M32" s="161" t="s">
        <v>54</v>
      </c>
      <c r="N32" s="161"/>
      <c r="O32" s="162"/>
    </row>
    <row r="33" spans="1:15" ht="153" customHeight="1" outlineLevel="1">
      <c r="A33" s="161">
        <v>9</v>
      </c>
      <c r="B33" s="162" t="s">
        <v>258</v>
      </c>
      <c r="C33" s="130" t="s">
        <v>259</v>
      </c>
      <c r="D33" s="162" t="s">
        <v>256</v>
      </c>
      <c r="E33" s="162" t="s">
        <v>184</v>
      </c>
      <c r="F33" s="162"/>
      <c r="G33" s="162" t="s">
        <v>190</v>
      </c>
      <c r="H33" s="161" t="s">
        <v>44</v>
      </c>
      <c r="I33" s="161" t="s">
        <v>94</v>
      </c>
      <c r="J33" s="161" t="s">
        <v>102</v>
      </c>
      <c r="K33" s="161" t="s">
        <v>54</v>
      </c>
      <c r="L33" s="161" t="s">
        <v>54</v>
      </c>
      <c r="M33" s="161" t="s">
        <v>54</v>
      </c>
      <c r="N33" s="161"/>
      <c r="O33" s="162"/>
    </row>
    <row r="34" spans="1:15" ht="153" customHeight="1" outlineLevel="1">
      <c r="A34" s="161">
        <v>10</v>
      </c>
      <c r="B34" s="162" t="s">
        <v>260</v>
      </c>
      <c r="C34" s="130" t="s">
        <v>261</v>
      </c>
      <c r="D34" s="162" t="s">
        <v>256</v>
      </c>
      <c r="E34" s="162" t="s">
        <v>184</v>
      </c>
      <c r="F34" s="162"/>
      <c r="G34" s="162" t="s">
        <v>190</v>
      </c>
      <c r="H34" s="161" t="s">
        <v>44</v>
      </c>
      <c r="I34" s="161" t="s">
        <v>94</v>
      </c>
      <c r="J34" s="161" t="s">
        <v>102</v>
      </c>
      <c r="K34" s="161" t="s">
        <v>54</v>
      </c>
      <c r="L34" s="161" t="s">
        <v>54</v>
      </c>
      <c r="M34" s="161" t="s">
        <v>54</v>
      </c>
      <c r="N34" s="161"/>
      <c r="O34" s="162"/>
    </row>
    <row r="35" spans="1:15" ht="153" customHeight="1" outlineLevel="1">
      <c r="A35" s="161">
        <v>11</v>
      </c>
      <c r="B35" s="162" t="s">
        <v>262</v>
      </c>
      <c r="C35" s="130" t="s">
        <v>263</v>
      </c>
      <c r="D35" s="162" t="s">
        <v>256</v>
      </c>
      <c r="E35" s="162" t="s">
        <v>184</v>
      </c>
      <c r="F35" s="162"/>
      <c r="G35" s="162" t="s">
        <v>190</v>
      </c>
      <c r="H35" s="161" t="s">
        <v>44</v>
      </c>
      <c r="I35" s="161" t="s">
        <v>94</v>
      </c>
      <c r="J35" s="161" t="s">
        <v>102</v>
      </c>
      <c r="K35" s="161" t="s">
        <v>54</v>
      </c>
      <c r="L35" s="161" t="s">
        <v>54</v>
      </c>
      <c r="M35" s="161" t="s">
        <v>54</v>
      </c>
      <c r="N35" s="161"/>
      <c r="O35" s="162"/>
    </row>
    <row r="36" spans="1:15" s="129" customFormat="1" ht="18" customHeight="1">
      <c r="A36" s="127" t="s">
        <v>150</v>
      </c>
      <c r="B36" s="128" t="s">
        <v>247</v>
      </c>
      <c r="C36" s="128"/>
      <c r="D36" s="128"/>
      <c r="E36" s="128"/>
      <c r="F36" s="128"/>
      <c r="G36" s="128"/>
      <c r="H36" s="128"/>
      <c r="I36" s="128"/>
      <c r="J36" s="128"/>
      <c r="K36" s="128"/>
      <c r="L36" s="128"/>
      <c r="M36" s="128"/>
      <c r="N36" s="128"/>
      <c r="O36" s="128"/>
    </row>
    <row r="37" spans="1:15" ht="153" customHeight="1" outlineLevel="1">
      <c r="A37" s="161">
        <v>12</v>
      </c>
      <c r="B37" s="162" t="s">
        <v>264</v>
      </c>
      <c r="C37" s="130" t="s">
        <v>182</v>
      </c>
      <c r="D37" s="162" t="s">
        <v>265</v>
      </c>
      <c r="E37" s="162" t="s">
        <v>184</v>
      </c>
      <c r="F37" s="162"/>
      <c r="G37" s="162" t="s">
        <v>185</v>
      </c>
      <c r="H37" s="161" t="s">
        <v>44</v>
      </c>
      <c r="I37" s="161" t="s">
        <v>92</v>
      </c>
      <c r="J37" s="161" t="s">
        <v>102</v>
      </c>
      <c r="K37" s="161" t="s">
        <v>54</v>
      </c>
      <c r="L37" s="161" t="s">
        <v>54</v>
      </c>
      <c r="M37" s="161" t="s">
        <v>54</v>
      </c>
      <c r="N37" s="161"/>
      <c r="O37" s="162"/>
    </row>
    <row r="38" spans="1:15" ht="153" customHeight="1" outlineLevel="1">
      <c r="A38" s="161">
        <v>13</v>
      </c>
      <c r="B38" s="162" t="s">
        <v>266</v>
      </c>
      <c r="C38" s="130" t="s">
        <v>187</v>
      </c>
      <c r="D38" s="162" t="s">
        <v>265</v>
      </c>
      <c r="E38" s="162" t="s">
        <v>184</v>
      </c>
      <c r="F38" s="162"/>
      <c r="G38" s="162" t="s">
        <v>185</v>
      </c>
      <c r="H38" s="161" t="s">
        <v>44</v>
      </c>
      <c r="I38" s="161" t="s">
        <v>92</v>
      </c>
      <c r="J38" s="161" t="s">
        <v>102</v>
      </c>
      <c r="K38" s="161" t="s">
        <v>54</v>
      </c>
      <c r="L38" s="161" t="s">
        <v>54</v>
      </c>
      <c r="M38" s="161" t="s">
        <v>54</v>
      </c>
      <c r="N38" s="161"/>
      <c r="O38" s="162"/>
    </row>
    <row r="39" spans="1:15" ht="153" customHeight="1" outlineLevel="1">
      <c r="A39" s="161">
        <v>14</v>
      </c>
      <c r="B39" s="162" t="s">
        <v>267</v>
      </c>
      <c r="C39" s="130" t="s">
        <v>259</v>
      </c>
      <c r="D39" s="162" t="s">
        <v>265</v>
      </c>
      <c r="E39" s="162" t="s">
        <v>184</v>
      </c>
      <c r="F39" s="162"/>
      <c r="G39" s="162" t="s">
        <v>190</v>
      </c>
      <c r="H39" s="161" t="s">
        <v>44</v>
      </c>
      <c r="I39" s="161" t="s">
        <v>94</v>
      </c>
      <c r="J39" s="161" t="s">
        <v>102</v>
      </c>
      <c r="K39" s="161" t="s">
        <v>54</v>
      </c>
      <c r="L39" s="161" t="s">
        <v>54</v>
      </c>
      <c r="M39" s="161" t="s">
        <v>54</v>
      </c>
      <c r="N39" s="161"/>
      <c r="O39" s="162"/>
    </row>
    <row r="40" spans="1:15" ht="153" customHeight="1" outlineLevel="1">
      <c r="A40" s="161">
        <v>15</v>
      </c>
      <c r="B40" s="162" t="s">
        <v>268</v>
      </c>
      <c r="C40" s="130" t="s">
        <v>261</v>
      </c>
      <c r="D40" s="162" t="s">
        <v>265</v>
      </c>
      <c r="E40" s="162" t="s">
        <v>184</v>
      </c>
      <c r="F40" s="162"/>
      <c r="G40" s="162" t="s">
        <v>190</v>
      </c>
      <c r="H40" s="161" t="s">
        <v>44</v>
      </c>
      <c r="I40" s="161" t="s">
        <v>94</v>
      </c>
      <c r="J40" s="161" t="s">
        <v>102</v>
      </c>
      <c r="K40" s="161" t="s">
        <v>54</v>
      </c>
      <c r="L40" s="161" t="s">
        <v>54</v>
      </c>
      <c r="M40" s="161" t="s">
        <v>54</v>
      </c>
      <c r="N40" s="161"/>
      <c r="O40" s="162"/>
    </row>
    <row r="41" spans="1:15" ht="153" customHeight="1" outlineLevel="1">
      <c r="A41" s="161">
        <v>16</v>
      </c>
      <c r="B41" s="162" t="s">
        <v>269</v>
      </c>
      <c r="C41" s="130" t="s">
        <v>263</v>
      </c>
      <c r="D41" s="162" t="s">
        <v>265</v>
      </c>
      <c r="E41" s="162" t="s">
        <v>184</v>
      </c>
      <c r="F41" s="162"/>
      <c r="G41" s="162" t="s">
        <v>190</v>
      </c>
      <c r="H41" s="161" t="s">
        <v>44</v>
      </c>
      <c r="I41" s="161" t="s">
        <v>94</v>
      </c>
      <c r="J41" s="161" t="s">
        <v>102</v>
      </c>
      <c r="K41" s="161" t="s">
        <v>54</v>
      </c>
      <c r="L41" s="161" t="s">
        <v>54</v>
      </c>
      <c r="M41" s="161" t="s">
        <v>54</v>
      </c>
      <c r="N41" s="161"/>
      <c r="O41" s="162"/>
    </row>
    <row r="42" spans="1:15" ht="18" customHeight="1">
      <c r="A42" s="159" t="s">
        <v>209</v>
      </c>
      <c r="B42" s="159"/>
      <c r="C42" s="159"/>
      <c r="D42" s="159"/>
      <c r="E42" s="159"/>
      <c r="F42" s="159"/>
      <c r="G42" s="159"/>
      <c r="H42" s="159"/>
      <c r="I42" s="159"/>
      <c r="J42" s="159"/>
      <c r="K42" s="159"/>
      <c r="L42" s="159"/>
      <c r="M42" s="159"/>
      <c r="N42" s="159"/>
      <c r="O42" s="159"/>
    </row>
    <row r="43" spans="1:15" ht="191.25" customHeight="1">
      <c r="A43" s="161">
        <v>17</v>
      </c>
      <c r="B43" s="162" t="s">
        <v>270</v>
      </c>
      <c r="C43" s="162" t="s">
        <v>211</v>
      </c>
      <c r="D43" s="162" t="s">
        <v>271</v>
      </c>
      <c r="E43" s="162" t="s">
        <v>213</v>
      </c>
      <c r="F43" s="162"/>
      <c r="G43" s="162" t="s">
        <v>214</v>
      </c>
      <c r="H43" s="161" t="s">
        <v>44</v>
      </c>
      <c r="I43" s="161" t="s">
        <v>92</v>
      </c>
      <c r="J43" s="161" t="s">
        <v>102</v>
      </c>
      <c r="K43" s="161" t="s">
        <v>54</v>
      </c>
      <c r="L43" s="161" t="s">
        <v>54</v>
      </c>
      <c r="M43" s="161" t="s">
        <v>54</v>
      </c>
      <c r="N43" s="161"/>
      <c r="O43" s="162" t="s">
        <v>215</v>
      </c>
    </row>
    <row r="44" spans="1:15" ht="213.75" customHeight="1">
      <c r="A44" s="161">
        <v>18</v>
      </c>
      <c r="B44" s="162" t="s">
        <v>272</v>
      </c>
      <c r="C44" s="162" t="s">
        <v>217</v>
      </c>
      <c r="D44" s="162" t="s">
        <v>273</v>
      </c>
      <c r="E44" s="162" t="s">
        <v>219</v>
      </c>
      <c r="F44" s="162"/>
      <c r="G44" s="162" t="s">
        <v>220</v>
      </c>
      <c r="H44" s="161" t="s">
        <v>44</v>
      </c>
      <c r="I44" s="161" t="s">
        <v>92</v>
      </c>
      <c r="J44" s="161" t="s">
        <v>102</v>
      </c>
      <c r="K44" s="161" t="s">
        <v>54</v>
      </c>
      <c r="L44" s="161" t="s">
        <v>54</v>
      </c>
      <c r="M44" s="161" t="s">
        <v>54</v>
      </c>
      <c r="N44" s="161"/>
      <c r="O44" s="162" t="s">
        <v>215</v>
      </c>
    </row>
  </sheetData>
  <mergeCells count="3">
    <mergeCell ref="A14:O14"/>
    <mergeCell ref="A29:O29"/>
    <mergeCell ref="A42:O42"/>
  </mergeCell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O70"/>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274</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14</v>
      </c>
      <c r="D5" s="124">
        <f>SUM(D6:D10)</f>
        <v>32</v>
      </c>
      <c r="E5" s="124">
        <f>SUM(E6:E10)</f>
        <v>0</v>
      </c>
      <c r="F5" s="124">
        <f t="shared" ref="F5:F11" si="0">SUM(C5:E5)</f>
        <v>46</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14</v>
      </c>
      <c r="D8" s="125">
        <f t="shared" si="1"/>
        <v>32</v>
      </c>
      <c r="E8" s="125">
        <f t="shared" si="1"/>
        <v>0</v>
      </c>
      <c r="F8" s="125">
        <f t="shared" si="0"/>
        <v>46</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275</v>
      </c>
      <c r="C15" s="135"/>
      <c r="D15" s="135"/>
      <c r="E15" s="135"/>
      <c r="F15" s="135"/>
      <c r="G15" s="135"/>
      <c r="H15" s="135"/>
      <c r="I15" s="135"/>
      <c r="J15" s="135"/>
      <c r="K15" s="135"/>
      <c r="L15" s="135"/>
      <c r="M15" s="135"/>
      <c r="N15" s="135"/>
      <c r="O15" s="135"/>
    </row>
    <row r="16" spans="1:15" ht="102" customHeight="1">
      <c r="A16" s="161">
        <v>1</v>
      </c>
      <c r="B16" s="162" t="s">
        <v>276</v>
      </c>
      <c r="C16" s="162" t="s">
        <v>126</v>
      </c>
      <c r="D16" s="162" t="s">
        <v>277</v>
      </c>
      <c r="E16" s="162" t="s">
        <v>278</v>
      </c>
      <c r="F16" s="162"/>
      <c r="G16" s="162" t="s">
        <v>279</v>
      </c>
      <c r="H16" s="161" t="s">
        <v>44</v>
      </c>
      <c r="I16" s="161" t="s">
        <v>92</v>
      </c>
      <c r="J16" s="161" t="s">
        <v>102</v>
      </c>
      <c r="K16" s="161" t="s">
        <v>54</v>
      </c>
      <c r="L16" s="161" t="s">
        <v>54</v>
      </c>
      <c r="M16" s="161" t="s">
        <v>54</v>
      </c>
      <c r="N16" s="161"/>
      <c r="O16" s="162" t="s">
        <v>280</v>
      </c>
    </row>
    <row r="17" spans="1:15" ht="90.75" customHeight="1">
      <c r="A17" s="161">
        <v>2</v>
      </c>
      <c r="B17" s="162" t="s">
        <v>281</v>
      </c>
      <c r="C17" s="162" t="s">
        <v>132</v>
      </c>
      <c r="D17" s="162" t="s">
        <v>277</v>
      </c>
      <c r="E17" s="162" t="s">
        <v>282</v>
      </c>
      <c r="F17" s="162"/>
      <c r="G17" s="162" t="s">
        <v>283</v>
      </c>
      <c r="H17" s="161" t="s">
        <v>44</v>
      </c>
      <c r="I17" s="161" t="s">
        <v>94</v>
      </c>
      <c r="J17" s="161" t="s">
        <v>102</v>
      </c>
      <c r="K17" s="161" t="s">
        <v>54</v>
      </c>
      <c r="L17" s="161" t="s">
        <v>54</v>
      </c>
      <c r="M17" s="161" t="s">
        <v>54</v>
      </c>
      <c r="N17" s="161"/>
      <c r="O17" s="162"/>
    </row>
    <row r="18" spans="1:15" ht="90.75" customHeight="1">
      <c r="A18" s="161">
        <v>3</v>
      </c>
      <c r="B18" s="162" t="s">
        <v>284</v>
      </c>
      <c r="C18" s="162" t="s">
        <v>136</v>
      </c>
      <c r="D18" s="162" t="s">
        <v>277</v>
      </c>
      <c r="E18" s="162" t="s">
        <v>285</v>
      </c>
      <c r="F18" s="162"/>
      <c r="G18" s="162" t="s">
        <v>286</v>
      </c>
      <c r="H18" s="161" t="s">
        <v>44</v>
      </c>
      <c r="I18" s="161" t="s">
        <v>94</v>
      </c>
      <c r="J18" s="161" t="s">
        <v>102</v>
      </c>
      <c r="K18" s="161" t="s">
        <v>54</v>
      </c>
      <c r="L18" s="161" t="s">
        <v>54</v>
      </c>
      <c r="M18" s="161" t="s">
        <v>54</v>
      </c>
      <c r="N18" s="161"/>
      <c r="O18" s="162"/>
    </row>
    <row r="19" spans="1:15" ht="102" customHeight="1">
      <c r="A19" s="161">
        <v>4</v>
      </c>
      <c r="B19" s="162" t="s">
        <v>287</v>
      </c>
      <c r="C19" s="162" t="s">
        <v>288</v>
      </c>
      <c r="D19" s="162" t="s">
        <v>277</v>
      </c>
      <c r="E19" s="162" t="s">
        <v>289</v>
      </c>
      <c r="F19" s="162"/>
      <c r="G19" s="162" t="s">
        <v>290</v>
      </c>
      <c r="H19" s="161" t="s">
        <v>44</v>
      </c>
      <c r="I19" s="161" t="s">
        <v>94</v>
      </c>
      <c r="J19" s="161" t="s">
        <v>102</v>
      </c>
      <c r="K19" s="161" t="s">
        <v>54</v>
      </c>
      <c r="L19" s="161" t="s">
        <v>54</v>
      </c>
      <c r="M19" s="161" t="s">
        <v>54</v>
      </c>
      <c r="N19" s="161"/>
      <c r="O19" s="162"/>
    </row>
    <row r="20" spans="1:15" ht="102" customHeight="1">
      <c r="A20" s="161">
        <v>5</v>
      </c>
      <c r="B20" s="162" t="s">
        <v>291</v>
      </c>
      <c r="C20" s="162" t="s">
        <v>292</v>
      </c>
      <c r="D20" s="162" t="s">
        <v>277</v>
      </c>
      <c r="E20" s="162" t="s">
        <v>293</v>
      </c>
      <c r="F20" s="162"/>
      <c r="G20" s="162" t="s">
        <v>253</v>
      </c>
      <c r="H20" s="161" t="s">
        <v>44</v>
      </c>
      <c r="I20" s="161" t="s">
        <v>94</v>
      </c>
      <c r="J20" s="161" t="s">
        <v>102</v>
      </c>
      <c r="K20" s="161" t="s">
        <v>54</v>
      </c>
      <c r="L20" s="161" t="s">
        <v>54</v>
      </c>
      <c r="M20" s="161" t="s">
        <v>54</v>
      </c>
      <c r="N20" s="161"/>
      <c r="O20" s="162"/>
    </row>
    <row r="21" spans="1:15" ht="102" customHeight="1">
      <c r="A21" s="161">
        <v>6</v>
      </c>
      <c r="B21" s="162" t="s">
        <v>294</v>
      </c>
      <c r="C21" s="162" t="s">
        <v>295</v>
      </c>
      <c r="D21" s="162" t="s">
        <v>277</v>
      </c>
      <c r="E21" s="162" t="s">
        <v>296</v>
      </c>
      <c r="F21" s="162"/>
      <c r="G21" s="162" t="s">
        <v>297</v>
      </c>
      <c r="H21" s="161" t="s">
        <v>44</v>
      </c>
      <c r="I21" s="161" t="s">
        <v>94</v>
      </c>
      <c r="J21" s="161" t="s">
        <v>102</v>
      </c>
      <c r="K21" s="161" t="s">
        <v>54</v>
      </c>
      <c r="L21" s="161" t="s">
        <v>54</v>
      </c>
      <c r="M21" s="161" t="s">
        <v>54</v>
      </c>
      <c r="N21" s="161"/>
      <c r="O21" s="162"/>
    </row>
    <row r="22" spans="1:15" ht="18" customHeight="1">
      <c r="A22" s="134" t="s">
        <v>150</v>
      </c>
      <c r="B22" s="135" t="s">
        <v>298</v>
      </c>
      <c r="C22" s="135"/>
      <c r="D22" s="135"/>
      <c r="E22" s="135"/>
      <c r="F22" s="135"/>
      <c r="G22" s="135"/>
      <c r="H22" s="135"/>
      <c r="I22" s="135"/>
      <c r="J22" s="135"/>
      <c r="K22" s="135"/>
      <c r="L22" s="135"/>
      <c r="M22" s="135"/>
      <c r="N22" s="135"/>
      <c r="O22" s="135"/>
    </row>
    <row r="23" spans="1:15" ht="102" customHeight="1">
      <c r="A23" s="161">
        <v>7</v>
      </c>
      <c r="B23" s="162" t="s">
        <v>299</v>
      </c>
      <c r="C23" s="162" t="s">
        <v>126</v>
      </c>
      <c r="D23" s="162" t="s">
        <v>277</v>
      </c>
      <c r="E23" s="162" t="s">
        <v>278</v>
      </c>
      <c r="F23" s="162"/>
      <c r="G23" s="162" t="s">
        <v>279</v>
      </c>
      <c r="H23" s="161" t="s">
        <v>44</v>
      </c>
      <c r="I23" s="161" t="s">
        <v>92</v>
      </c>
      <c r="J23" s="161" t="s">
        <v>102</v>
      </c>
      <c r="K23" s="161" t="s">
        <v>54</v>
      </c>
      <c r="L23" s="161" t="s">
        <v>54</v>
      </c>
      <c r="M23" s="161" t="s">
        <v>54</v>
      </c>
      <c r="N23" s="161"/>
      <c r="O23" s="162"/>
    </row>
    <row r="24" spans="1:15" ht="90.75" customHeight="1">
      <c r="A24" s="161">
        <v>8</v>
      </c>
      <c r="B24" s="162" t="s">
        <v>300</v>
      </c>
      <c r="C24" s="162" t="s">
        <v>132</v>
      </c>
      <c r="D24" s="162" t="s">
        <v>277</v>
      </c>
      <c r="E24" s="162" t="s">
        <v>282</v>
      </c>
      <c r="F24" s="162"/>
      <c r="G24" s="162" t="s">
        <v>283</v>
      </c>
      <c r="H24" s="161" t="s">
        <v>44</v>
      </c>
      <c r="I24" s="161" t="s">
        <v>94</v>
      </c>
      <c r="J24" s="161" t="s">
        <v>102</v>
      </c>
      <c r="K24" s="161" t="s">
        <v>54</v>
      </c>
      <c r="L24" s="161" t="s">
        <v>54</v>
      </c>
      <c r="M24" s="161" t="s">
        <v>54</v>
      </c>
      <c r="N24" s="161"/>
      <c r="O24" s="162"/>
    </row>
    <row r="25" spans="1:15" ht="90.75" customHeight="1">
      <c r="A25" s="161">
        <v>9</v>
      </c>
      <c r="B25" s="162" t="s">
        <v>301</v>
      </c>
      <c r="C25" s="162" t="s">
        <v>136</v>
      </c>
      <c r="D25" s="162" t="s">
        <v>277</v>
      </c>
      <c r="E25" s="162" t="s">
        <v>285</v>
      </c>
      <c r="F25" s="162"/>
      <c r="G25" s="162" t="s">
        <v>286</v>
      </c>
      <c r="H25" s="161" t="s">
        <v>44</v>
      </c>
      <c r="I25" s="161" t="s">
        <v>94</v>
      </c>
      <c r="J25" s="161" t="s">
        <v>102</v>
      </c>
      <c r="K25" s="161" t="s">
        <v>54</v>
      </c>
      <c r="L25" s="161" t="s">
        <v>54</v>
      </c>
      <c r="M25" s="161" t="s">
        <v>54</v>
      </c>
      <c r="N25" s="161"/>
      <c r="O25" s="162"/>
    </row>
    <row r="26" spans="1:15" ht="102" customHeight="1">
      <c r="A26" s="161">
        <v>10</v>
      </c>
      <c r="B26" s="162" t="s">
        <v>302</v>
      </c>
      <c r="C26" s="162" t="s">
        <v>288</v>
      </c>
      <c r="D26" s="162" t="s">
        <v>277</v>
      </c>
      <c r="E26" s="162" t="s">
        <v>289</v>
      </c>
      <c r="F26" s="162"/>
      <c r="G26" s="162" t="s">
        <v>290</v>
      </c>
      <c r="H26" s="161" t="s">
        <v>44</v>
      </c>
      <c r="I26" s="161" t="s">
        <v>94</v>
      </c>
      <c r="J26" s="161" t="s">
        <v>102</v>
      </c>
      <c r="K26" s="161" t="s">
        <v>54</v>
      </c>
      <c r="L26" s="161" t="s">
        <v>54</v>
      </c>
      <c r="M26" s="161" t="s">
        <v>54</v>
      </c>
      <c r="N26" s="161"/>
      <c r="O26" s="162"/>
    </row>
    <row r="27" spans="1:15" ht="102" customHeight="1">
      <c r="A27" s="161">
        <v>11</v>
      </c>
      <c r="B27" s="162" t="s">
        <v>303</v>
      </c>
      <c r="C27" s="162" t="s">
        <v>292</v>
      </c>
      <c r="D27" s="162" t="s">
        <v>277</v>
      </c>
      <c r="E27" s="162" t="s">
        <v>293</v>
      </c>
      <c r="F27" s="162"/>
      <c r="G27" s="162" t="s">
        <v>142</v>
      </c>
      <c r="H27" s="161" t="s">
        <v>44</v>
      </c>
      <c r="I27" s="161" t="s">
        <v>94</v>
      </c>
      <c r="J27" s="161" t="s">
        <v>102</v>
      </c>
      <c r="K27" s="161" t="s">
        <v>54</v>
      </c>
      <c r="L27" s="161" t="s">
        <v>54</v>
      </c>
      <c r="M27" s="161" t="s">
        <v>54</v>
      </c>
      <c r="N27" s="161"/>
      <c r="O27" s="162"/>
    </row>
    <row r="28" spans="1:15" ht="102" customHeight="1">
      <c r="A28" s="161">
        <v>12</v>
      </c>
      <c r="B28" s="162" t="s">
        <v>304</v>
      </c>
      <c r="C28" s="162" t="s">
        <v>295</v>
      </c>
      <c r="D28" s="162" t="s">
        <v>277</v>
      </c>
      <c r="E28" s="162" t="s">
        <v>296</v>
      </c>
      <c r="F28" s="162"/>
      <c r="G28" s="162" t="s">
        <v>297</v>
      </c>
      <c r="H28" s="161" t="s">
        <v>44</v>
      </c>
      <c r="I28" s="161" t="s">
        <v>94</v>
      </c>
      <c r="J28" s="161" t="s">
        <v>102</v>
      </c>
      <c r="K28" s="161" t="s">
        <v>54</v>
      </c>
      <c r="L28" s="161" t="s">
        <v>54</v>
      </c>
      <c r="M28" s="161" t="s">
        <v>54</v>
      </c>
      <c r="N28" s="161"/>
      <c r="O28" s="162"/>
    </row>
    <row r="29" spans="1:15" ht="18" customHeight="1">
      <c r="A29" s="134" t="s">
        <v>165</v>
      </c>
      <c r="B29" s="135" t="s">
        <v>305</v>
      </c>
      <c r="C29" s="135"/>
      <c r="D29" s="135"/>
      <c r="E29" s="135"/>
      <c r="F29" s="135"/>
      <c r="G29" s="135"/>
      <c r="H29" s="135"/>
      <c r="I29" s="135"/>
      <c r="J29" s="135"/>
      <c r="K29" s="135"/>
      <c r="L29" s="135"/>
      <c r="M29" s="135"/>
      <c r="N29" s="135"/>
      <c r="O29" s="135"/>
    </row>
    <row r="30" spans="1:15" ht="102" customHeight="1">
      <c r="A30" s="161">
        <v>13</v>
      </c>
      <c r="B30" s="162" t="s">
        <v>306</v>
      </c>
      <c r="C30" s="162" t="s">
        <v>126</v>
      </c>
      <c r="D30" s="162" t="s">
        <v>277</v>
      </c>
      <c r="E30" s="162" t="s">
        <v>278</v>
      </c>
      <c r="F30" s="162"/>
      <c r="G30" s="162" t="s">
        <v>307</v>
      </c>
      <c r="H30" s="161" t="s">
        <v>44</v>
      </c>
      <c r="I30" s="161" t="s">
        <v>92</v>
      </c>
      <c r="J30" s="161" t="s">
        <v>102</v>
      </c>
      <c r="K30" s="161" t="s">
        <v>54</v>
      </c>
      <c r="L30" s="161" t="s">
        <v>54</v>
      </c>
      <c r="M30" s="161" t="s">
        <v>54</v>
      </c>
      <c r="N30" s="161"/>
      <c r="O30" s="162"/>
    </row>
    <row r="31" spans="1:15" ht="90.75" customHeight="1">
      <c r="A31" s="161">
        <v>14</v>
      </c>
      <c r="B31" s="162" t="s">
        <v>308</v>
      </c>
      <c r="C31" s="162" t="s">
        <v>132</v>
      </c>
      <c r="D31" s="162" t="s">
        <v>277</v>
      </c>
      <c r="E31" s="162" t="s">
        <v>282</v>
      </c>
      <c r="F31" s="162"/>
      <c r="G31" s="162" t="s">
        <v>283</v>
      </c>
      <c r="H31" s="161" t="s">
        <v>44</v>
      </c>
      <c r="I31" s="161" t="s">
        <v>94</v>
      </c>
      <c r="J31" s="161" t="s">
        <v>102</v>
      </c>
      <c r="K31" s="161" t="s">
        <v>54</v>
      </c>
      <c r="L31" s="161" t="s">
        <v>54</v>
      </c>
      <c r="M31" s="161" t="s">
        <v>54</v>
      </c>
      <c r="N31" s="161"/>
      <c r="O31" s="162"/>
    </row>
    <row r="32" spans="1:15" ht="90.75" customHeight="1">
      <c r="A32" s="161">
        <v>15</v>
      </c>
      <c r="B32" s="162" t="s">
        <v>309</v>
      </c>
      <c r="C32" s="162" t="s">
        <v>136</v>
      </c>
      <c r="D32" s="162" t="s">
        <v>277</v>
      </c>
      <c r="E32" s="162" t="s">
        <v>285</v>
      </c>
      <c r="F32" s="162"/>
      <c r="G32" s="162" t="s">
        <v>286</v>
      </c>
      <c r="H32" s="161" t="s">
        <v>44</v>
      </c>
      <c r="I32" s="161" t="s">
        <v>94</v>
      </c>
      <c r="J32" s="161" t="s">
        <v>102</v>
      </c>
      <c r="K32" s="161" t="s">
        <v>54</v>
      </c>
      <c r="L32" s="161" t="s">
        <v>54</v>
      </c>
      <c r="M32" s="161" t="s">
        <v>54</v>
      </c>
      <c r="N32" s="161"/>
      <c r="O32" s="162"/>
    </row>
    <row r="33" spans="1:15" ht="102" customHeight="1">
      <c r="A33" s="161">
        <v>16</v>
      </c>
      <c r="B33" s="162" t="s">
        <v>310</v>
      </c>
      <c r="C33" s="162" t="s">
        <v>288</v>
      </c>
      <c r="D33" s="162" t="s">
        <v>277</v>
      </c>
      <c r="E33" s="162" t="s">
        <v>289</v>
      </c>
      <c r="F33" s="162"/>
      <c r="G33" s="162" t="s">
        <v>290</v>
      </c>
      <c r="H33" s="161" t="s">
        <v>44</v>
      </c>
      <c r="I33" s="161" t="s">
        <v>94</v>
      </c>
      <c r="J33" s="161" t="s">
        <v>102</v>
      </c>
      <c r="K33" s="161" t="s">
        <v>54</v>
      </c>
      <c r="L33" s="161" t="s">
        <v>54</v>
      </c>
      <c r="M33" s="161" t="s">
        <v>54</v>
      </c>
      <c r="N33" s="161"/>
      <c r="O33" s="162"/>
    </row>
    <row r="34" spans="1:15" ht="102" customHeight="1">
      <c r="A34" s="161">
        <v>17</v>
      </c>
      <c r="B34" s="162" t="s">
        <v>311</v>
      </c>
      <c r="C34" s="162" t="s">
        <v>312</v>
      </c>
      <c r="D34" s="162" t="s">
        <v>277</v>
      </c>
      <c r="E34" s="162" t="s">
        <v>313</v>
      </c>
      <c r="F34" s="162"/>
      <c r="G34" s="162" t="s">
        <v>253</v>
      </c>
      <c r="H34" s="161" t="s">
        <v>44</v>
      </c>
      <c r="I34" s="161" t="s">
        <v>94</v>
      </c>
      <c r="J34" s="161" t="s">
        <v>102</v>
      </c>
      <c r="K34" s="161" t="s">
        <v>54</v>
      </c>
      <c r="L34" s="161" t="s">
        <v>54</v>
      </c>
      <c r="M34" s="161" t="s">
        <v>54</v>
      </c>
      <c r="N34" s="161"/>
      <c r="O34" s="162"/>
    </row>
    <row r="35" spans="1:15" ht="102" customHeight="1">
      <c r="A35" s="161">
        <v>18</v>
      </c>
      <c r="B35" s="162" t="s">
        <v>314</v>
      </c>
      <c r="C35" s="162" t="s">
        <v>315</v>
      </c>
      <c r="D35" s="162" t="s">
        <v>277</v>
      </c>
      <c r="E35" s="162" t="s">
        <v>316</v>
      </c>
      <c r="F35" s="162"/>
      <c r="G35" s="162" t="s">
        <v>297</v>
      </c>
      <c r="H35" s="161" t="s">
        <v>44</v>
      </c>
      <c r="I35" s="161" t="s">
        <v>94</v>
      </c>
      <c r="J35" s="161" t="s">
        <v>102</v>
      </c>
      <c r="K35" s="161" t="s">
        <v>54</v>
      </c>
      <c r="L35" s="161" t="s">
        <v>54</v>
      </c>
      <c r="M35" s="161" t="s">
        <v>54</v>
      </c>
      <c r="N35" s="161"/>
      <c r="O35" s="162"/>
    </row>
    <row r="36" spans="1:15" ht="18" customHeight="1">
      <c r="A36" s="134" t="s">
        <v>317</v>
      </c>
      <c r="B36" s="135" t="s">
        <v>318</v>
      </c>
      <c r="C36" s="135"/>
      <c r="D36" s="135"/>
      <c r="E36" s="135"/>
      <c r="F36" s="135"/>
      <c r="G36" s="135"/>
      <c r="H36" s="135"/>
      <c r="I36" s="135"/>
      <c r="J36" s="135"/>
      <c r="K36" s="135"/>
      <c r="L36" s="135"/>
      <c r="M36" s="135"/>
      <c r="N36" s="135"/>
      <c r="O36" s="135"/>
    </row>
    <row r="37" spans="1:15" ht="102" customHeight="1">
      <c r="A37" s="161">
        <v>19</v>
      </c>
      <c r="B37" s="162" t="s">
        <v>319</v>
      </c>
      <c r="C37" s="162" t="s">
        <v>126</v>
      </c>
      <c r="D37" s="162" t="s">
        <v>277</v>
      </c>
      <c r="E37" s="162" t="s">
        <v>278</v>
      </c>
      <c r="F37" s="162"/>
      <c r="G37" s="162" t="s">
        <v>307</v>
      </c>
      <c r="H37" s="161" t="s">
        <v>44</v>
      </c>
      <c r="I37" s="161" t="s">
        <v>92</v>
      </c>
      <c r="J37" s="161" t="s">
        <v>102</v>
      </c>
      <c r="K37" s="161" t="s">
        <v>54</v>
      </c>
      <c r="L37" s="161" t="s">
        <v>54</v>
      </c>
      <c r="M37" s="161" t="s">
        <v>54</v>
      </c>
      <c r="N37" s="161"/>
      <c r="O37" s="162"/>
    </row>
    <row r="38" spans="1:15" ht="90.75" customHeight="1">
      <c r="A38" s="161">
        <v>20</v>
      </c>
      <c r="B38" s="162" t="s">
        <v>320</v>
      </c>
      <c r="C38" s="162" t="s">
        <v>132</v>
      </c>
      <c r="D38" s="162" t="s">
        <v>277</v>
      </c>
      <c r="E38" s="162" t="s">
        <v>282</v>
      </c>
      <c r="F38" s="162"/>
      <c r="G38" s="162" t="s">
        <v>283</v>
      </c>
      <c r="H38" s="161" t="s">
        <v>44</v>
      </c>
      <c r="I38" s="161" t="s">
        <v>94</v>
      </c>
      <c r="J38" s="161" t="s">
        <v>102</v>
      </c>
      <c r="K38" s="161" t="s">
        <v>54</v>
      </c>
      <c r="L38" s="161" t="s">
        <v>54</v>
      </c>
      <c r="M38" s="161" t="s">
        <v>54</v>
      </c>
      <c r="N38" s="161"/>
      <c r="O38" s="162"/>
    </row>
    <row r="39" spans="1:15" ht="90.75" customHeight="1">
      <c r="A39" s="161">
        <v>21</v>
      </c>
      <c r="B39" s="162" t="s">
        <v>321</v>
      </c>
      <c r="C39" s="162" t="s">
        <v>136</v>
      </c>
      <c r="D39" s="162" t="s">
        <v>277</v>
      </c>
      <c r="E39" s="162" t="s">
        <v>285</v>
      </c>
      <c r="F39" s="162"/>
      <c r="G39" s="162" t="s">
        <v>286</v>
      </c>
      <c r="H39" s="161" t="s">
        <v>44</v>
      </c>
      <c r="I39" s="161" t="s">
        <v>94</v>
      </c>
      <c r="J39" s="161" t="s">
        <v>102</v>
      </c>
      <c r="K39" s="161" t="s">
        <v>54</v>
      </c>
      <c r="L39" s="161" t="s">
        <v>54</v>
      </c>
      <c r="M39" s="161" t="s">
        <v>54</v>
      </c>
      <c r="N39" s="161"/>
      <c r="O39" s="162"/>
    </row>
    <row r="40" spans="1:15" ht="102" customHeight="1">
      <c r="A40" s="161">
        <v>22</v>
      </c>
      <c r="B40" s="162" t="s">
        <v>322</v>
      </c>
      <c r="C40" s="162" t="s">
        <v>288</v>
      </c>
      <c r="D40" s="162" t="s">
        <v>277</v>
      </c>
      <c r="E40" s="162" t="s">
        <v>289</v>
      </c>
      <c r="F40" s="162"/>
      <c r="G40" s="162" t="s">
        <v>290</v>
      </c>
      <c r="H40" s="161" t="s">
        <v>44</v>
      </c>
      <c r="I40" s="161" t="s">
        <v>94</v>
      </c>
      <c r="J40" s="161" t="s">
        <v>102</v>
      </c>
      <c r="K40" s="161" t="s">
        <v>54</v>
      </c>
      <c r="L40" s="161" t="s">
        <v>54</v>
      </c>
      <c r="M40" s="161" t="s">
        <v>54</v>
      </c>
      <c r="N40" s="161"/>
      <c r="O40" s="162"/>
    </row>
    <row r="41" spans="1:15" ht="102" customHeight="1">
      <c r="A41" s="161">
        <v>23</v>
      </c>
      <c r="B41" s="162" t="s">
        <v>323</v>
      </c>
      <c r="C41" s="162" t="s">
        <v>312</v>
      </c>
      <c r="D41" s="162" t="s">
        <v>277</v>
      </c>
      <c r="E41" s="162" t="s">
        <v>313</v>
      </c>
      <c r="F41" s="162"/>
      <c r="G41" s="162" t="s">
        <v>142</v>
      </c>
      <c r="H41" s="161" t="s">
        <v>44</v>
      </c>
      <c r="I41" s="161" t="s">
        <v>94</v>
      </c>
      <c r="J41" s="161" t="s">
        <v>102</v>
      </c>
      <c r="K41" s="161" t="s">
        <v>54</v>
      </c>
      <c r="L41" s="161" t="s">
        <v>54</v>
      </c>
      <c r="M41" s="161" t="s">
        <v>54</v>
      </c>
      <c r="N41" s="161"/>
      <c r="O41" s="162"/>
    </row>
    <row r="42" spans="1:15" ht="102" customHeight="1">
      <c r="A42" s="161">
        <v>24</v>
      </c>
      <c r="B42" s="162" t="s">
        <v>324</v>
      </c>
      <c r="C42" s="162" t="s">
        <v>315</v>
      </c>
      <c r="D42" s="162" t="s">
        <v>277</v>
      </c>
      <c r="E42" s="162" t="s">
        <v>316</v>
      </c>
      <c r="F42" s="162"/>
      <c r="G42" s="162" t="s">
        <v>297</v>
      </c>
      <c r="H42" s="161" t="s">
        <v>44</v>
      </c>
      <c r="I42" s="161" t="s">
        <v>94</v>
      </c>
      <c r="J42" s="161" t="s">
        <v>102</v>
      </c>
      <c r="K42" s="161" t="s">
        <v>54</v>
      </c>
      <c r="L42" s="161" t="s">
        <v>54</v>
      </c>
      <c r="M42" s="161" t="s">
        <v>54</v>
      </c>
      <c r="N42" s="161"/>
      <c r="O42" s="162"/>
    </row>
    <row r="43" spans="1:15" ht="18" customHeight="1">
      <c r="A43" s="159" t="s">
        <v>180</v>
      </c>
      <c r="B43" s="159"/>
      <c r="C43" s="159"/>
      <c r="D43" s="159"/>
      <c r="E43" s="159"/>
      <c r="F43" s="159"/>
      <c r="G43" s="159"/>
      <c r="H43" s="159"/>
      <c r="I43" s="159"/>
      <c r="J43" s="159"/>
      <c r="K43" s="159"/>
      <c r="L43" s="159"/>
      <c r="M43" s="159"/>
      <c r="N43" s="159"/>
      <c r="O43" s="159"/>
    </row>
    <row r="44" spans="1:15" ht="18" customHeight="1">
      <c r="A44" s="134" t="s">
        <v>123</v>
      </c>
      <c r="B44" s="135" t="s">
        <v>275</v>
      </c>
      <c r="C44" s="135"/>
      <c r="D44" s="135"/>
      <c r="E44" s="135"/>
      <c r="F44" s="135"/>
      <c r="G44" s="135"/>
      <c r="H44" s="135"/>
      <c r="I44" s="135"/>
      <c r="J44" s="135"/>
      <c r="K44" s="135"/>
      <c r="L44" s="135"/>
      <c r="M44" s="135"/>
      <c r="N44" s="135"/>
      <c r="O44" s="135"/>
    </row>
    <row r="45" spans="1:15" ht="124.5" customHeight="1">
      <c r="A45" s="161">
        <v>25</v>
      </c>
      <c r="B45" s="162" t="s">
        <v>325</v>
      </c>
      <c r="C45" s="162" t="s">
        <v>182</v>
      </c>
      <c r="D45" s="162" t="s">
        <v>326</v>
      </c>
      <c r="E45" s="162" t="s">
        <v>184</v>
      </c>
      <c r="F45" s="162"/>
      <c r="G45" s="162" t="s">
        <v>185</v>
      </c>
      <c r="H45" s="161" t="s">
        <v>44</v>
      </c>
      <c r="I45" s="161" t="s">
        <v>92</v>
      </c>
      <c r="J45" s="161" t="s">
        <v>102</v>
      </c>
      <c r="K45" s="161" t="s">
        <v>54</v>
      </c>
      <c r="L45" s="161" t="s">
        <v>54</v>
      </c>
      <c r="M45" s="161" t="s">
        <v>54</v>
      </c>
      <c r="N45" s="161"/>
      <c r="O45" s="162"/>
    </row>
    <row r="46" spans="1:15" ht="124.5" customHeight="1">
      <c r="A46" s="161">
        <v>26</v>
      </c>
      <c r="B46" s="162" t="s">
        <v>327</v>
      </c>
      <c r="C46" s="162" t="s">
        <v>187</v>
      </c>
      <c r="D46" s="162" t="s">
        <v>326</v>
      </c>
      <c r="E46" s="162" t="s">
        <v>184</v>
      </c>
      <c r="F46" s="162"/>
      <c r="G46" s="162" t="s">
        <v>185</v>
      </c>
      <c r="H46" s="161" t="s">
        <v>44</v>
      </c>
      <c r="I46" s="161" t="s">
        <v>92</v>
      </c>
      <c r="J46" s="161" t="s">
        <v>102</v>
      </c>
      <c r="K46" s="161" t="s">
        <v>54</v>
      </c>
      <c r="L46" s="161" t="s">
        <v>54</v>
      </c>
      <c r="M46" s="161" t="s">
        <v>54</v>
      </c>
      <c r="N46" s="161"/>
      <c r="O46" s="162"/>
    </row>
    <row r="47" spans="1:15" ht="124.5" customHeight="1">
      <c r="A47" s="161">
        <v>27</v>
      </c>
      <c r="B47" s="162" t="s">
        <v>328</v>
      </c>
      <c r="C47" s="162" t="s">
        <v>329</v>
      </c>
      <c r="D47" s="162" t="s">
        <v>326</v>
      </c>
      <c r="E47" s="162" t="s">
        <v>184</v>
      </c>
      <c r="F47" s="162"/>
      <c r="G47" s="162" t="s">
        <v>190</v>
      </c>
      <c r="H47" s="161" t="s">
        <v>44</v>
      </c>
      <c r="I47" s="161" t="s">
        <v>94</v>
      </c>
      <c r="J47" s="161" t="s">
        <v>102</v>
      </c>
      <c r="K47" s="161" t="s">
        <v>54</v>
      </c>
      <c r="L47" s="161" t="s">
        <v>54</v>
      </c>
      <c r="M47" s="161" t="s">
        <v>54</v>
      </c>
      <c r="N47" s="161"/>
      <c r="O47" s="162"/>
    </row>
    <row r="48" spans="1:15" ht="124.5" customHeight="1">
      <c r="A48" s="161">
        <v>28</v>
      </c>
      <c r="B48" s="162" t="s">
        <v>330</v>
      </c>
      <c r="C48" s="162" t="s">
        <v>331</v>
      </c>
      <c r="D48" s="162" t="s">
        <v>326</v>
      </c>
      <c r="E48" s="162" t="s">
        <v>184</v>
      </c>
      <c r="F48" s="162"/>
      <c r="G48" s="162" t="s">
        <v>190</v>
      </c>
      <c r="H48" s="161" t="s">
        <v>44</v>
      </c>
      <c r="I48" s="161" t="s">
        <v>94</v>
      </c>
      <c r="J48" s="161" t="s">
        <v>102</v>
      </c>
      <c r="K48" s="161" t="s">
        <v>54</v>
      </c>
      <c r="L48" s="161" t="s">
        <v>54</v>
      </c>
      <c r="M48" s="161" t="s">
        <v>54</v>
      </c>
      <c r="N48" s="161"/>
      <c r="O48" s="162"/>
    </row>
    <row r="49" spans="1:15" ht="124.5" customHeight="1">
      <c r="A49" s="161">
        <v>29</v>
      </c>
      <c r="B49" s="162" t="s">
        <v>332</v>
      </c>
      <c r="C49" s="162" t="s">
        <v>333</v>
      </c>
      <c r="D49" s="162" t="s">
        <v>326</v>
      </c>
      <c r="E49" s="162" t="s">
        <v>184</v>
      </c>
      <c r="F49" s="162"/>
      <c r="G49" s="162" t="s">
        <v>190</v>
      </c>
      <c r="H49" s="161" t="s">
        <v>44</v>
      </c>
      <c r="I49" s="161" t="s">
        <v>94</v>
      </c>
      <c r="J49" s="161" t="s">
        <v>102</v>
      </c>
      <c r="K49" s="161" t="s">
        <v>54</v>
      </c>
      <c r="L49" s="161" t="s">
        <v>54</v>
      </c>
      <c r="M49" s="161" t="s">
        <v>54</v>
      </c>
      <c r="N49" s="161"/>
      <c r="O49" s="162"/>
    </row>
    <row r="50" spans="1:15" ht="18" customHeight="1">
      <c r="A50" s="134" t="s">
        <v>150</v>
      </c>
      <c r="B50" s="135" t="s">
        <v>298</v>
      </c>
      <c r="C50" s="135"/>
      <c r="D50" s="135"/>
      <c r="E50" s="135"/>
      <c r="F50" s="135"/>
      <c r="G50" s="135"/>
      <c r="H50" s="135"/>
      <c r="I50" s="135"/>
      <c r="J50" s="135"/>
      <c r="K50" s="135"/>
      <c r="L50" s="135"/>
      <c r="M50" s="135"/>
      <c r="N50" s="135"/>
      <c r="O50" s="135"/>
    </row>
    <row r="51" spans="1:15" ht="124.5" customHeight="1">
      <c r="A51" s="161">
        <v>30</v>
      </c>
      <c r="B51" s="162" t="s">
        <v>334</v>
      </c>
      <c r="C51" s="162" t="s">
        <v>182</v>
      </c>
      <c r="D51" s="162" t="s">
        <v>335</v>
      </c>
      <c r="E51" s="162" t="s">
        <v>184</v>
      </c>
      <c r="F51" s="162"/>
      <c r="G51" s="162" t="s">
        <v>185</v>
      </c>
      <c r="H51" s="161" t="s">
        <v>44</v>
      </c>
      <c r="I51" s="161" t="s">
        <v>92</v>
      </c>
      <c r="J51" s="161" t="s">
        <v>102</v>
      </c>
      <c r="K51" s="161" t="s">
        <v>54</v>
      </c>
      <c r="L51" s="161" t="s">
        <v>54</v>
      </c>
      <c r="M51" s="161" t="s">
        <v>54</v>
      </c>
      <c r="N51" s="161"/>
      <c r="O51" s="162"/>
    </row>
    <row r="52" spans="1:15" ht="124.5" customHeight="1">
      <c r="A52" s="161">
        <v>31</v>
      </c>
      <c r="B52" s="162" t="s">
        <v>336</v>
      </c>
      <c r="C52" s="162" t="s">
        <v>187</v>
      </c>
      <c r="D52" s="162" t="s">
        <v>335</v>
      </c>
      <c r="E52" s="162" t="s">
        <v>184</v>
      </c>
      <c r="F52" s="162"/>
      <c r="G52" s="162" t="s">
        <v>185</v>
      </c>
      <c r="H52" s="161" t="s">
        <v>44</v>
      </c>
      <c r="I52" s="161" t="s">
        <v>92</v>
      </c>
      <c r="J52" s="161" t="s">
        <v>102</v>
      </c>
      <c r="K52" s="161" t="s">
        <v>54</v>
      </c>
      <c r="L52" s="161" t="s">
        <v>54</v>
      </c>
      <c r="M52" s="161" t="s">
        <v>54</v>
      </c>
      <c r="N52" s="161"/>
      <c r="O52" s="162"/>
    </row>
    <row r="53" spans="1:15" ht="124.5" customHeight="1">
      <c r="A53" s="161">
        <v>32</v>
      </c>
      <c r="B53" s="162" t="s">
        <v>337</v>
      </c>
      <c r="C53" s="162" t="s">
        <v>329</v>
      </c>
      <c r="D53" s="162" t="s">
        <v>335</v>
      </c>
      <c r="E53" s="162" t="s">
        <v>184</v>
      </c>
      <c r="F53" s="162"/>
      <c r="G53" s="162" t="s">
        <v>190</v>
      </c>
      <c r="H53" s="161" t="s">
        <v>44</v>
      </c>
      <c r="I53" s="161" t="s">
        <v>94</v>
      </c>
      <c r="J53" s="161" t="s">
        <v>102</v>
      </c>
      <c r="K53" s="161" t="s">
        <v>54</v>
      </c>
      <c r="L53" s="161" t="s">
        <v>54</v>
      </c>
      <c r="M53" s="161" t="s">
        <v>54</v>
      </c>
      <c r="N53" s="161"/>
      <c r="O53" s="162"/>
    </row>
    <row r="54" spans="1:15" ht="124.5" customHeight="1">
      <c r="A54" s="161">
        <v>33</v>
      </c>
      <c r="B54" s="162" t="s">
        <v>338</v>
      </c>
      <c r="C54" s="162" t="s">
        <v>331</v>
      </c>
      <c r="D54" s="162" t="s">
        <v>335</v>
      </c>
      <c r="E54" s="162" t="s">
        <v>184</v>
      </c>
      <c r="F54" s="162"/>
      <c r="G54" s="162" t="s">
        <v>190</v>
      </c>
      <c r="H54" s="161" t="s">
        <v>44</v>
      </c>
      <c r="I54" s="161" t="s">
        <v>94</v>
      </c>
      <c r="J54" s="161" t="s">
        <v>102</v>
      </c>
      <c r="K54" s="161" t="s">
        <v>54</v>
      </c>
      <c r="L54" s="161" t="s">
        <v>54</v>
      </c>
      <c r="M54" s="161" t="s">
        <v>54</v>
      </c>
      <c r="N54" s="161"/>
      <c r="O54" s="162"/>
    </row>
    <row r="55" spans="1:15" ht="124.5" customHeight="1">
      <c r="A55" s="161">
        <v>34</v>
      </c>
      <c r="B55" s="162" t="s">
        <v>339</v>
      </c>
      <c r="C55" s="162" t="s">
        <v>333</v>
      </c>
      <c r="D55" s="162" t="s">
        <v>335</v>
      </c>
      <c r="E55" s="162" t="s">
        <v>184</v>
      </c>
      <c r="F55" s="162"/>
      <c r="G55" s="162" t="s">
        <v>190</v>
      </c>
      <c r="H55" s="161" t="s">
        <v>44</v>
      </c>
      <c r="I55" s="161" t="s">
        <v>94</v>
      </c>
      <c r="J55" s="161" t="s">
        <v>102</v>
      </c>
      <c r="K55" s="161" t="s">
        <v>54</v>
      </c>
      <c r="L55" s="161" t="s">
        <v>54</v>
      </c>
      <c r="M55" s="161" t="s">
        <v>54</v>
      </c>
      <c r="N55" s="161"/>
      <c r="O55" s="162"/>
    </row>
    <row r="56" spans="1:15" ht="18" customHeight="1">
      <c r="A56" s="134" t="s">
        <v>165</v>
      </c>
      <c r="B56" s="135" t="s">
        <v>305</v>
      </c>
      <c r="C56" s="135"/>
      <c r="D56" s="135"/>
      <c r="E56" s="135"/>
      <c r="F56" s="135"/>
      <c r="G56" s="135"/>
      <c r="H56" s="135"/>
      <c r="I56" s="135"/>
      <c r="J56" s="135"/>
      <c r="K56" s="135"/>
      <c r="L56" s="135"/>
      <c r="M56" s="135"/>
      <c r="N56" s="135"/>
      <c r="O56" s="135"/>
    </row>
    <row r="57" spans="1:15" ht="124.5" customHeight="1">
      <c r="A57" s="161">
        <v>35</v>
      </c>
      <c r="B57" s="162" t="s">
        <v>340</v>
      </c>
      <c r="C57" s="162" t="s">
        <v>182</v>
      </c>
      <c r="D57" s="162" t="s">
        <v>326</v>
      </c>
      <c r="E57" s="162" t="s">
        <v>184</v>
      </c>
      <c r="F57" s="162"/>
      <c r="G57" s="162" t="s">
        <v>185</v>
      </c>
      <c r="H57" s="161" t="s">
        <v>44</v>
      </c>
      <c r="I57" s="161" t="s">
        <v>92</v>
      </c>
      <c r="J57" s="161" t="s">
        <v>102</v>
      </c>
      <c r="K57" s="161" t="s">
        <v>54</v>
      </c>
      <c r="L57" s="161" t="s">
        <v>54</v>
      </c>
      <c r="M57" s="161" t="s">
        <v>54</v>
      </c>
      <c r="N57" s="161"/>
      <c r="O57" s="162"/>
    </row>
    <row r="58" spans="1:15" ht="124.5" customHeight="1">
      <c r="A58" s="161">
        <v>36</v>
      </c>
      <c r="B58" s="162" t="s">
        <v>341</v>
      </c>
      <c r="C58" s="162" t="s">
        <v>187</v>
      </c>
      <c r="D58" s="162" t="s">
        <v>326</v>
      </c>
      <c r="E58" s="162" t="s">
        <v>184</v>
      </c>
      <c r="F58" s="162"/>
      <c r="G58" s="162" t="s">
        <v>185</v>
      </c>
      <c r="H58" s="161" t="s">
        <v>44</v>
      </c>
      <c r="I58" s="161" t="s">
        <v>92</v>
      </c>
      <c r="J58" s="161" t="s">
        <v>102</v>
      </c>
      <c r="K58" s="161" t="s">
        <v>54</v>
      </c>
      <c r="L58" s="161" t="s">
        <v>54</v>
      </c>
      <c r="M58" s="161" t="s">
        <v>54</v>
      </c>
      <c r="N58" s="161"/>
      <c r="O58" s="162"/>
    </row>
    <row r="59" spans="1:15" ht="124.5" customHeight="1">
      <c r="A59" s="161">
        <v>37</v>
      </c>
      <c r="B59" s="162" t="s">
        <v>342</v>
      </c>
      <c r="C59" s="162" t="s">
        <v>329</v>
      </c>
      <c r="D59" s="162" t="s">
        <v>326</v>
      </c>
      <c r="E59" s="162" t="s">
        <v>184</v>
      </c>
      <c r="F59" s="162"/>
      <c r="G59" s="162" t="s">
        <v>190</v>
      </c>
      <c r="H59" s="161" t="s">
        <v>44</v>
      </c>
      <c r="I59" s="161" t="s">
        <v>94</v>
      </c>
      <c r="J59" s="161" t="s">
        <v>102</v>
      </c>
      <c r="K59" s="161" t="s">
        <v>54</v>
      </c>
      <c r="L59" s="161" t="s">
        <v>54</v>
      </c>
      <c r="M59" s="161" t="s">
        <v>54</v>
      </c>
      <c r="N59" s="161"/>
      <c r="O59" s="162"/>
    </row>
    <row r="60" spans="1:15" ht="124.5" customHeight="1">
      <c r="A60" s="161">
        <v>38</v>
      </c>
      <c r="B60" s="162" t="s">
        <v>343</v>
      </c>
      <c r="C60" s="162" t="s">
        <v>344</v>
      </c>
      <c r="D60" s="162" t="s">
        <v>326</v>
      </c>
      <c r="E60" s="162" t="s">
        <v>184</v>
      </c>
      <c r="F60" s="162"/>
      <c r="G60" s="162" t="s">
        <v>190</v>
      </c>
      <c r="H60" s="161" t="s">
        <v>44</v>
      </c>
      <c r="I60" s="161" t="s">
        <v>94</v>
      </c>
      <c r="J60" s="161" t="s">
        <v>102</v>
      </c>
      <c r="K60" s="161" t="s">
        <v>54</v>
      </c>
      <c r="L60" s="161" t="s">
        <v>54</v>
      </c>
      <c r="M60" s="161" t="s">
        <v>54</v>
      </c>
      <c r="N60" s="161"/>
      <c r="O60" s="162"/>
    </row>
    <row r="61" spans="1:15" ht="124.5" customHeight="1">
      <c r="A61" s="161">
        <v>39</v>
      </c>
      <c r="B61" s="162" t="s">
        <v>345</v>
      </c>
      <c r="C61" s="162" t="s">
        <v>346</v>
      </c>
      <c r="D61" s="162" t="s">
        <v>326</v>
      </c>
      <c r="E61" s="162" t="s">
        <v>184</v>
      </c>
      <c r="F61" s="162"/>
      <c r="G61" s="162" t="s">
        <v>190</v>
      </c>
      <c r="H61" s="161" t="s">
        <v>44</v>
      </c>
      <c r="I61" s="161" t="s">
        <v>94</v>
      </c>
      <c r="J61" s="161" t="s">
        <v>102</v>
      </c>
      <c r="K61" s="161" t="s">
        <v>54</v>
      </c>
      <c r="L61" s="161" t="s">
        <v>54</v>
      </c>
      <c r="M61" s="161" t="s">
        <v>54</v>
      </c>
      <c r="N61" s="161"/>
      <c r="O61" s="162"/>
    </row>
    <row r="62" spans="1:15" ht="18" customHeight="1">
      <c r="A62" s="134" t="s">
        <v>317</v>
      </c>
      <c r="B62" s="135" t="s">
        <v>318</v>
      </c>
      <c r="C62" s="135"/>
      <c r="D62" s="135"/>
      <c r="E62" s="135"/>
      <c r="F62" s="135"/>
      <c r="G62" s="135"/>
      <c r="H62" s="135"/>
      <c r="I62" s="135"/>
      <c r="J62" s="135"/>
      <c r="K62" s="135"/>
      <c r="L62" s="135"/>
      <c r="M62" s="135"/>
      <c r="N62" s="135"/>
      <c r="O62" s="135"/>
    </row>
    <row r="63" spans="1:15" ht="124.5" customHeight="1">
      <c r="A63" s="161">
        <v>40</v>
      </c>
      <c r="B63" s="162" t="s">
        <v>347</v>
      </c>
      <c r="C63" s="162" t="s">
        <v>182</v>
      </c>
      <c r="D63" s="162" t="s">
        <v>335</v>
      </c>
      <c r="E63" s="162" t="s">
        <v>184</v>
      </c>
      <c r="F63" s="162"/>
      <c r="G63" s="162" t="s">
        <v>185</v>
      </c>
      <c r="H63" s="161" t="s">
        <v>44</v>
      </c>
      <c r="I63" s="161" t="s">
        <v>92</v>
      </c>
      <c r="J63" s="161" t="s">
        <v>102</v>
      </c>
      <c r="K63" s="161" t="s">
        <v>54</v>
      </c>
      <c r="L63" s="161" t="s">
        <v>54</v>
      </c>
      <c r="M63" s="161" t="s">
        <v>54</v>
      </c>
      <c r="N63" s="161"/>
      <c r="O63" s="162"/>
    </row>
    <row r="64" spans="1:15" ht="124.5" customHeight="1">
      <c r="A64" s="161">
        <v>41</v>
      </c>
      <c r="B64" s="162" t="s">
        <v>348</v>
      </c>
      <c r="C64" s="162" t="s">
        <v>187</v>
      </c>
      <c r="D64" s="162" t="s">
        <v>335</v>
      </c>
      <c r="E64" s="162" t="s">
        <v>184</v>
      </c>
      <c r="F64" s="162"/>
      <c r="G64" s="162" t="s">
        <v>185</v>
      </c>
      <c r="H64" s="161" t="s">
        <v>44</v>
      </c>
      <c r="I64" s="161" t="s">
        <v>92</v>
      </c>
      <c r="J64" s="161" t="s">
        <v>102</v>
      </c>
      <c r="K64" s="161" t="s">
        <v>54</v>
      </c>
      <c r="L64" s="161" t="s">
        <v>54</v>
      </c>
      <c r="M64" s="161" t="s">
        <v>54</v>
      </c>
      <c r="N64" s="161"/>
      <c r="O64" s="162"/>
    </row>
    <row r="65" spans="1:15" ht="124.5" customHeight="1">
      <c r="A65" s="161">
        <v>42</v>
      </c>
      <c r="B65" s="162" t="s">
        <v>349</v>
      </c>
      <c r="C65" s="162" t="s">
        <v>329</v>
      </c>
      <c r="D65" s="162" t="s">
        <v>335</v>
      </c>
      <c r="E65" s="162" t="s">
        <v>184</v>
      </c>
      <c r="F65" s="162"/>
      <c r="G65" s="162" t="s">
        <v>190</v>
      </c>
      <c r="H65" s="161" t="s">
        <v>44</v>
      </c>
      <c r="I65" s="161" t="s">
        <v>94</v>
      </c>
      <c r="J65" s="161" t="s">
        <v>102</v>
      </c>
      <c r="K65" s="161" t="s">
        <v>54</v>
      </c>
      <c r="L65" s="161" t="s">
        <v>54</v>
      </c>
      <c r="M65" s="161" t="s">
        <v>54</v>
      </c>
      <c r="N65" s="161"/>
      <c r="O65" s="162"/>
    </row>
    <row r="66" spans="1:15" ht="124.5" customHeight="1">
      <c r="A66" s="161">
        <v>43</v>
      </c>
      <c r="B66" s="162" t="s">
        <v>350</v>
      </c>
      <c r="C66" s="162" t="s">
        <v>344</v>
      </c>
      <c r="D66" s="162" t="s">
        <v>335</v>
      </c>
      <c r="E66" s="162" t="s">
        <v>184</v>
      </c>
      <c r="F66" s="162"/>
      <c r="G66" s="162" t="s">
        <v>190</v>
      </c>
      <c r="H66" s="161" t="s">
        <v>44</v>
      </c>
      <c r="I66" s="161" t="s">
        <v>94</v>
      </c>
      <c r="J66" s="161" t="s">
        <v>102</v>
      </c>
      <c r="K66" s="161" t="s">
        <v>54</v>
      </c>
      <c r="L66" s="161" t="s">
        <v>54</v>
      </c>
      <c r="M66" s="161" t="s">
        <v>54</v>
      </c>
      <c r="N66" s="161"/>
      <c r="O66" s="162"/>
    </row>
    <row r="67" spans="1:15" ht="124.5" customHeight="1">
      <c r="A67" s="161">
        <v>44</v>
      </c>
      <c r="B67" s="162" t="s">
        <v>351</v>
      </c>
      <c r="C67" s="162" t="s">
        <v>346</v>
      </c>
      <c r="D67" s="162" t="s">
        <v>335</v>
      </c>
      <c r="E67" s="162" t="s">
        <v>184</v>
      </c>
      <c r="F67" s="162"/>
      <c r="G67" s="162" t="s">
        <v>190</v>
      </c>
      <c r="H67" s="161" t="s">
        <v>44</v>
      </c>
      <c r="I67" s="161" t="s">
        <v>94</v>
      </c>
      <c r="J67" s="161" t="s">
        <v>102</v>
      </c>
      <c r="K67" s="161" t="s">
        <v>54</v>
      </c>
      <c r="L67" s="161" t="s">
        <v>54</v>
      </c>
      <c r="M67" s="161" t="s">
        <v>54</v>
      </c>
      <c r="N67" s="161"/>
      <c r="O67" s="162"/>
    </row>
    <row r="68" spans="1:15" ht="18" customHeight="1">
      <c r="A68" s="159" t="s">
        <v>209</v>
      </c>
      <c r="B68" s="159"/>
      <c r="C68" s="159"/>
      <c r="D68" s="159"/>
      <c r="E68" s="159"/>
      <c r="F68" s="159"/>
      <c r="G68" s="159"/>
      <c r="H68" s="159"/>
      <c r="I68" s="159"/>
      <c r="J68" s="159"/>
      <c r="K68" s="159"/>
      <c r="L68" s="159"/>
      <c r="M68" s="159"/>
      <c r="N68" s="159"/>
      <c r="O68" s="159"/>
    </row>
    <row r="69" spans="1:15" ht="191.25" customHeight="1">
      <c r="A69" s="161">
        <v>45</v>
      </c>
      <c r="B69" s="162" t="s">
        <v>352</v>
      </c>
      <c r="C69" s="162" t="s">
        <v>211</v>
      </c>
      <c r="D69" s="162" t="s">
        <v>353</v>
      </c>
      <c r="E69" s="162" t="s">
        <v>213</v>
      </c>
      <c r="F69" s="162"/>
      <c r="G69" s="162" t="s">
        <v>214</v>
      </c>
      <c r="H69" s="161" t="s">
        <v>44</v>
      </c>
      <c r="I69" s="161" t="s">
        <v>92</v>
      </c>
      <c r="J69" s="161" t="s">
        <v>102</v>
      </c>
      <c r="K69" s="161" t="s">
        <v>54</v>
      </c>
      <c r="L69" s="161" t="s">
        <v>54</v>
      </c>
      <c r="M69" s="161" t="s">
        <v>54</v>
      </c>
      <c r="N69" s="161"/>
      <c r="O69" s="162" t="s">
        <v>354</v>
      </c>
    </row>
    <row r="70" spans="1:15" ht="213.75" customHeight="1">
      <c r="A70" s="161">
        <v>46</v>
      </c>
      <c r="B70" s="162" t="s">
        <v>355</v>
      </c>
      <c r="C70" s="162" t="s">
        <v>217</v>
      </c>
      <c r="D70" s="162" t="s">
        <v>356</v>
      </c>
      <c r="E70" s="162" t="s">
        <v>219</v>
      </c>
      <c r="F70" s="162"/>
      <c r="G70" s="162" t="s">
        <v>220</v>
      </c>
      <c r="H70" s="161" t="s">
        <v>44</v>
      </c>
      <c r="I70" s="161" t="s">
        <v>92</v>
      </c>
      <c r="J70" s="161" t="s">
        <v>102</v>
      </c>
      <c r="K70" s="161" t="s">
        <v>54</v>
      </c>
      <c r="L70" s="161" t="s">
        <v>54</v>
      </c>
      <c r="M70" s="161" t="s">
        <v>54</v>
      </c>
      <c r="N70" s="161"/>
      <c r="O70" s="162" t="s">
        <v>354</v>
      </c>
    </row>
  </sheetData>
  <mergeCells count="3">
    <mergeCell ref="A14:O14"/>
    <mergeCell ref="A43:O43"/>
    <mergeCell ref="A68:O68"/>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O70"/>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357</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14</v>
      </c>
      <c r="D5" s="124">
        <f>SUM(D6:D10)</f>
        <v>32</v>
      </c>
      <c r="E5" s="124">
        <f>SUM(E6:E10)</f>
        <v>0</v>
      </c>
      <c r="F5" s="124">
        <f t="shared" ref="F5:F11" si="0">SUM(C5:E5)</f>
        <v>46</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14</v>
      </c>
      <c r="D8" s="125">
        <f t="shared" si="1"/>
        <v>32</v>
      </c>
      <c r="E8" s="125">
        <f t="shared" si="1"/>
        <v>0</v>
      </c>
      <c r="F8" s="125">
        <f t="shared" si="0"/>
        <v>46</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358</v>
      </c>
      <c r="C15" s="135"/>
      <c r="D15" s="135"/>
      <c r="E15" s="135"/>
      <c r="F15" s="135"/>
      <c r="G15" s="135"/>
      <c r="H15" s="135"/>
      <c r="I15" s="135"/>
      <c r="J15" s="135"/>
      <c r="K15" s="135"/>
      <c r="L15" s="135"/>
      <c r="M15" s="135"/>
      <c r="N15" s="135"/>
      <c r="O15" s="135"/>
    </row>
    <row r="16" spans="1:15" ht="102" customHeight="1">
      <c r="A16" s="161">
        <v>1</v>
      </c>
      <c r="B16" s="162" t="s">
        <v>359</v>
      </c>
      <c r="C16" s="162" t="s">
        <v>126</v>
      </c>
      <c r="D16" s="162" t="s">
        <v>360</v>
      </c>
      <c r="E16" s="162" t="s">
        <v>361</v>
      </c>
      <c r="F16" s="162"/>
      <c r="G16" s="162" t="s">
        <v>362</v>
      </c>
      <c r="H16" s="161" t="s">
        <v>44</v>
      </c>
      <c r="I16" s="161" t="s">
        <v>92</v>
      </c>
      <c r="J16" s="161" t="s">
        <v>102</v>
      </c>
      <c r="K16" s="161" t="s">
        <v>54</v>
      </c>
      <c r="L16" s="161" t="s">
        <v>54</v>
      </c>
      <c r="M16" s="161" t="s">
        <v>54</v>
      </c>
      <c r="N16" s="161"/>
      <c r="O16" s="162" t="s">
        <v>363</v>
      </c>
    </row>
    <row r="17" spans="1:15" ht="90.75" customHeight="1">
      <c r="A17" s="161">
        <v>2</v>
      </c>
      <c r="B17" s="162" t="s">
        <v>364</v>
      </c>
      <c r="C17" s="162" t="s">
        <v>132</v>
      </c>
      <c r="D17" s="162" t="s">
        <v>360</v>
      </c>
      <c r="E17" s="162" t="s">
        <v>365</v>
      </c>
      <c r="F17" s="162"/>
      <c r="G17" s="162" t="s">
        <v>283</v>
      </c>
      <c r="H17" s="161" t="s">
        <v>44</v>
      </c>
      <c r="I17" s="161" t="s">
        <v>94</v>
      </c>
      <c r="J17" s="161" t="s">
        <v>102</v>
      </c>
      <c r="K17" s="161" t="s">
        <v>54</v>
      </c>
      <c r="L17" s="161" t="s">
        <v>54</v>
      </c>
      <c r="M17" s="161" t="s">
        <v>54</v>
      </c>
      <c r="N17" s="161"/>
      <c r="O17" s="162"/>
    </row>
    <row r="18" spans="1:15" ht="90.75" customHeight="1">
      <c r="A18" s="161">
        <v>3</v>
      </c>
      <c r="B18" s="162" t="s">
        <v>366</v>
      </c>
      <c r="C18" s="162" t="s">
        <v>136</v>
      </c>
      <c r="D18" s="162" t="s">
        <v>360</v>
      </c>
      <c r="E18" s="162" t="s">
        <v>367</v>
      </c>
      <c r="F18" s="162"/>
      <c r="G18" s="162" t="s">
        <v>286</v>
      </c>
      <c r="H18" s="161" t="s">
        <v>44</v>
      </c>
      <c r="I18" s="161" t="s">
        <v>94</v>
      </c>
      <c r="J18" s="161" t="s">
        <v>102</v>
      </c>
      <c r="K18" s="161" t="s">
        <v>54</v>
      </c>
      <c r="L18" s="161" t="s">
        <v>54</v>
      </c>
      <c r="M18" s="161" t="s">
        <v>54</v>
      </c>
      <c r="N18" s="161"/>
      <c r="O18" s="162"/>
    </row>
    <row r="19" spans="1:15" ht="102" customHeight="1">
      <c r="A19" s="161">
        <v>4</v>
      </c>
      <c r="B19" s="162" t="s">
        <v>368</v>
      </c>
      <c r="C19" s="162" t="s">
        <v>288</v>
      </c>
      <c r="D19" s="162" t="s">
        <v>360</v>
      </c>
      <c r="E19" s="162" t="s">
        <v>369</v>
      </c>
      <c r="F19" s="162"/>
      <c r="G19" s="162" t="s">
        <v>290</v>
      </c>
      <c r="H19" s="161" t="s">
        <v>44</v>
      </c>
      <c r="I19" s="161" t="s">
        <v>94</v>
      </c>
      <c r="J19" s="161" t="s">
        <v>102</v>
      </c>
      <c r="K19" s="161" t="s">
        <v>54</v>
      </c>
      <c r="L19" s="161" t="s">
        <v>54</v>
      </c>
      <c r="M19" s="161" t="s">
        <v>54</v>
      </c>
      <c r="N19" s="161"/>
      <c r="O19" s="162"/>
    </row>
    <row r="20" spans="1:15" ht="102" customHeight="1">
      <c r="A20" s="161">
        <v>5</v>
      </c>
      <c r="B20" s="162" t="s">
        <v>370</v>
      </c>
      <c r="C20" s="162" t="s">
        <v>292</v>
      </c>
      <c r="D20" s="162" t="s">
        <v>360</v>
      </c>
      <c r="E20" s="162" t="s">
        <v>371</v>
      </c>
      <c r="F20" s="162"/>
      <c r="G20" s="162" t="s">
        <v>253</v>
      </c>
      <c r="H20" s="161" t="s">
        <v>44</v>
      </c>
      <c r="I20" s="161" t="s">
        <v>94</v>
      </c>
      <c r="J20" s="161" t="s">
        <v>102</v>
      </c>
      <c r="K20" s="161" t="s">
        <v>54</v>
      </c>
      <c r="L20" s="161" t="s">
        <v>54</v>
      </c>
      <c r="M20" s="161" t="s">
        <v>54</v>
      </c>
      <c r="N20" s="161"/>
      <c r="O20" s="162"/>
    </row>
    <row r="21" spans="1:15" ht="102" customHeight="1">
      <c r="A21" s="161">
        <v>6</v>
      </c>
      <c r="B21" s="162" t="s">
        <v>372</v>
      </c>
      <c r="C21" s="162" t="s">
        <v>373</v>
      </c>
      <c r="D21" s="162" t="s">
        <v>360</v>
      </c>
      <c r="E21" s="162" t="s">
        <v>374</v>
      </c>
      <c r="F21" s="162"/>
      <c r="G21" s="162" t="s">
        <v>297</v>
      </c>
      <c r="H21" s="161" t="s">
        <v>44</v>
      </c>
      <c r="I21" s="161" t="s">
        <v>94</v>
      </c>
      <c r="J21" s="161" t="s">
        <v>102</v>
      </c>
      <c r="K21" s="161" t="s">
        <v>54</v>
      </c>
      <c r="L21" s="161" t="s">
        <v>54</v>
      </c>
      <c r="M21" s="161" t="s">
        <v>54</v>
      </c>
      <c r="N21" s="161"/>
      <c r="O21" s="162"/>
    </row>
    <row r="22" spans="1:15" ht="18" customHeight="1">
      <c r="A22" s="134" t="s">
        <v>150</v>
      </c>
      <c r="B22" s="135" t="s">
        <v>375</v>
      </c>
      <c r="C22" s="135"/>
      <c r="D22" s="135"/>
      <c r="E22" s="135"/>
      <c r="F22" s="135"/>
      <c r="G22" s="135"/>
      <c r="H22" s="135"/>
      <c r="I22" s="135"/>
      <c r="J22" s="135"/>
      <c r="K22" s="135"/>
      <c r="L22" s="135"/>
      <c r="M22" s="135"/>
      <c r="N22" s="135"/>
      <c r="O22" s="135"/>
    </row>
    <row r="23" spans="1:15" ht="102" customHeight="1">
      <c r="A23" s="161">
        <v>7</v>
      </c>
      <c r="B23" s="162" t="s">
        <v>376</v>
      </c>
      <c r="C23" s="162" t="s">
        <v>126</v>
      </c>
      <c r="D23" s="162" t="s">
        <v>360</v>
      </c>
      <c r="E23" s="162" t="s">
        <v>361</v>
      </c>
      <c r="F23" s="162"/>
      <c r="G23" s="162" t="s">
        <v>362</v>
      </c>
      <c r="H23" s="161" t="s">
        <v>44</v>
      </c>
      <c r="I23" s="161" t="s">
        <v>92</v>
      </c>
      <c r="J23" s="161" t="s">
        <v>102</v>
      </c>
      <c r="K23" s="161" t="s">
        <v>54</v>
      </c>
      <c r="L23" s="161" t="s">
        <v>54</v>
      </c>
      <c r="M23" s="161" t="s">
        <v>54</v>
      </c>
      <c r="N23" s="161"/>
      <c r="O23" s="162"/>
    </row>
    <row r="24" spans="1:15" ht="90.75" customHeight="1">
      <c r="A24" s="161">
        <v>8</v>
      </c>
      <c r="B24" s="162" t="s">
        <v>377</v>
      </c>
      <c r="C24" s="162" t="s">
        <v>132</v>
      </c>
      <c r="D24" s="162" t="s">
        <v>360</v>
      </c>
      <c r="E24" s="162" t="s">
        <v>365</v>
      </c>
      <c r="F24" s="162"/>
      <c r="G24" s="162" t="s">
        <v>283</v>
      </c>
      <c r="H24" s="161" t="s">
        <v>44</v>
      </c>
      <c r="I24" s="161" t="s">
        <v>94</v>
      </c>
      <c r="J24" s="161" t="s">
        <v>102</v>
      </c>
      <c r="K24" s="161" t="s">
        <v>54</v>
      </c>
      <c r="L24" s="161" t="s">
        <v>54</v>
      </c>
      <c r="M24" s="161" t="s">
        <v>54</v>
      </c>
      <c r="N24" s="161"/>
      <c r="O24" s="162"/>
    </row>
    <row r="25" spans="1:15" ht="90.75" customHeight="1">
      <c r="A25" s="161">
        <v>9</v>
      </c>
      <c r="B25" s="162" t="s">
        <v>378</v>
      </c>
      <c r="C25" s="162" t="s">
        <v>136</v>
      </c>
      <c r="D25" s="162" t="s">
        <v>360</v>
      </c>
      <c r="E25" s="162" t="s">
        <v>367</v>
      </c>
      <c r="F25" s="162"/>
      <c r="G25" s="162" t="s">
        <v>286</v>
      </c>
      <c r="H25" s="161" t="s">
        <v>44</v>
      </c>
      <c r="I25" s="161" t="s">
        <v>94</v>
      </c>
      <c r="J25" s="161" t="s">
        <v>102</v>
      </c>
      <c r="K25" s="161" t="s">
        <v>54</v>
      </c>
      <c r="L25" s="161" t="s">
        <v>54</v>
      </c>
      <c r="M25" s="161" t="s">
        <v>54</v>
      </c>
      <c r="N25" s="161"/>
      <c r="O25" s="162"/>
    </row>
    <row r="26" spans="1:15" ht="102" customHeight="1">
      <c r="A26" s="161">
        <v>10</v>
      </c>
      <c r="B26" s="162" t="s">
        <v>379</v>
      </c>
      <c r="C26" s="162" t="s">
        <v>288</v>
      </c>
      <c r="D26" s="162" t="s">
        <v>360</v>
      </c>
      <c r="E26" s="162" t="s">
        <v>369</v>
      </c>
      <c r="F26" s="162"/>
      <c r="G26" s="162" t="s">
        <v>290</v>
      </c>
      <c r="H26" s="161" t="s">
        <v>44</v>
      </c>
      <c r="I26" s="161" t="s">
        <v>94</v>
      </c>
      <c r="J26" s="161" t="s">
        <v>102</v>
      </c>
      <c r="K26" s="161" t="s">
        <v>54</v>
      </c>
      <c r="L26" s="161" t="s">
        <v>54</v>
      </c>
      <c r="M26" s="161" t="s">
        <v>54</v>
      </c>
      <c r="N26" s="161"/>
      <c r="O26" s="162"/>
    </row>
    <row r="27" spans="1:15" ht="102" customHeight="1">
      <c r="A27" s="161">
        <v>11</v>
      </c>
      <c r="B27" s="162" t="s">
        <v>380</v>
      </c>
      <c r="C27" s="162" t="s">
        <v>292</v>
      </c>
      <c r="D27" s="162" t="s">
        <v>360</v>
      </c>
      <c r="E27" s="162" t="s">
        <v>371</v>
      </c>
      <c r="F27" s="162"/>
      <c r="G27" s="162" t="s">
        <v>142</v>
      </c>
      <c r="H27" s="161" t="s">
        <v>44</v>
      </c>
      <c r="I27" s="161" t="s">
        <v>94</v>
      </c>
      <c r="J27" s="161" t="s">
        <v>102</v>
      </c>
      <c r="K27" s="161" t="s">
        <v>54</v>
      </c>
      <c r="L27" s="161" t="s">
        <v>54</v>
      </c>
      <c r="M27" s="161" t="s">
        <v>54</v>
      </c>
      <c r="N27" s="161"/>
      <c r="O27" s="162"/>
    </row>
    <row r="28" spans="1:15" ht="102" customHeight="1">
      <c r="A28" s="161">
        <v>12</v>
      </c>
      <c r="B28" s="162" t="s">
        <v>381</v>
      </c>
      <c r="C28" s="162" t="s">
        <v>373</v>
      </c>
      <c r="D28" s="162" t="s">
        <v>360</v>
      </c>
      <c r="E28" s="162" t="s">
        <v>374</v>
      </c>
      <c r="F28" s="162"/>
      <c r="G28" s="162" t="s">
        <v>297</v>
      </c>
      <c r="H28" s="161" t="s">
        <v>44</v>
      </c>
      <c r="I28" s="161" t="s">
        <v>94</v>
      </c>
      <c r="J28" s="161" t="s">
        <v>102</v>
      </c>
      <c r="K28" s="161" t="s">
        <v>54</v>
      </c>
      <c r="L28" s="161" t="s">
        <v>54</v>
      </c>
      <c r="M28" s="161" t="s">
        <v>54</v>
      </c>
      <c r="N28" s="161"/>
      <c r="O28" s="162"/>
    </row>
    <row r="29" spans="1:15" ht="18" customHeight="1">
      <c r="A29" s="134" t="s">
        <v>165</v>
      </c>
      <c r="B29" s="135" t="s">
        <v>382</v>
      </c>
      <c r="C29" s="135"/>
      <c r="D29" s="135"/>
      <c r="E29" s="135"/>
      <c r="F29" s="135"/>
      <c r="G29" s="135"/>
      <c r="H29" s="135"/>
      <c r="I29" s="135"/>
      <c r="J29" s="135"/>
      <c r="K29" s="135"/>
      <c r="L29" s="135"/>
      <c r="M29" s="135"/>
      <c r="N29" s="135"/>
      <c r="O29" s="135"/>
    </row>
    <row r="30" spans="1:15" ht="102" customHeight="1">
      <c r="A30" s="161">
        <v>13</v>
      </c>
      <c r="B30" s="162" t="s">
        <v>383</v>
      </c>
      <c r="C30" s="162" t="s">
        <v>126</v>
      </c>
      <c r="D30" s="162" t="s">
        <v>360</v>
      </c>
      <c r="E30" s="162" t="s">
        <v>361</v>
      </c>
      <c r="F30" s="162"/>
      <c r="G30" s="162" t="s">
        <v>384</v>
      </c>
      <c r="H30" s="161" t="s">
        <v>44</v>
      </c>
      <c r="I30" s="161" t="s">
        <v>92</v>
      </c>
      <c r="J30" s="161" t="s">
        <v>102</v>
      </c>
      <c r="K30" s="161" t="s">
        <v>54</v>
      </c>
      <c r="L30" s="161" t="s">
        <v>54</v>
      </c>
      <c r="M30" s="161" t="s">
        <v>54</v>
      </c>
      <c r="N30" s="161"/>
      <c r="O30" s="162"/>
    </row>
    <row r="31" spans="1:15" ht="90.75" customHeight="1">
      <c r="A31" s="161">
        <v>14</v>
      </c>
      <c r="B31" s="162" t="s">
        <v>385</v>
      </c>
      <c r="C31" s="162" t="s">
        <v>132</v>
      </c>
      <c r="D31" s="162" t="s">
        <v>360</v>
      </c>
      <c r="E31" s="162" t="s">
        <v>365</v>
      </c>
      <c r="F31" s="162"/>
      <c r="G31" s="162" t="s">
        <v>283</v>
      </c>
      <c r="H31" s="161" t="s">
        <v>44</v>
      </c>
      <c r="I31" s="161" t="s">
        <v>94</v>
      </c>
      <c r="J31" s="161" t="s">
        <v>102</v>
      </c>
      <c r="K31" s="161" t="s">
        <v>54</v>
      </c>
      <c r="L31" s="161" t="s">
        <v>54</v>
      </c>
      <c r="M31" s="161" t="s">
        <v>54</v>
      </c>
      <c r="N31" s="161"/>
      <c r="O31" s="162"/>
    </row>
    <row r="32" spans="1:15" ht="90.75" customHeight="1">
      <c r="A32" s="161">
        <v>15</v>
      </c>
      <c r="B32" s="162" t="s">
        <v>386</v>
      </c>
      <c r="C32" s="162" t="s">
        <v>136</v>
      </c>
      <c r="D32" s="162" t="s">
        <v>360</v>
      </c>
      <c r="E32" s="162" t="s">
        <v>367</v>
      </c>
      <c r="F32" s="162"/>
      <c r="G32" s="162" t="s">
        <v>286</v>
      </c>
      <c r="H32" s="161" t="s">
        <v>44</v>
      </c>
      <c r="I32" s="161" t="s">
        <v>94</v>
      </c>
      <c r="J32" s="161" t="s">
        <v>102</v>
      </c>
      <c r="K32" s="161" t="s">
        <v>54</v>
      </c>
      <c r="L32" s="161" t="s">
        <v>54</v>
      </c>
      <c r="M32" s="161" t="s">
        <v>54</v>
      </c>
      <c r="N32" s="161"/>
      <c r="O32" s="162"/>
    </row>
    <row r="33" spans="1:15" ht="102" customHeight="1">
      <c r="A33" s="161">
        <v>16</v>
      </c>
      <c r="B33" s="162" t="s">
        <v>387</v>
      </c>
      <c r="C33" s="162" t="s">
        <v>288</v>
      </c>
      <c r="D33" s="162" t="s">
        <v>360</v>
      </c>
      <c r="E33" s="162" t="s">
        <v>369</v>
      </c>
      <c r="F33" s="162"/>
      <c r="G33" s="162" t="s">
        <v>290</v>
      </c>
      <c r="H33" s="161" t="s">
        <v>44</v>
      </c>
      <c r="I33" s="161" t="s">
        <v>94</v>
      </c>
      <c r="J33" s="161" t="s">
        <v>102</v>
      </c>
      <c r="K33" s="161" t="s">
        <v>54</v>
      </c>
      <c r="L33" s="161" t="s">
        <v>54</v>
      </c>
      <c r="M33" s="161" t="s">
        <v>54</v>
      </c>
      <c r="N33" s="161"/>
      <c r="O33" s="162"/>
    </row>
    <row r="34" spans="1:15" ht="102" customHeight="1">
      <c r="A34" s="161">
        <v>17</v>
      </c>
      <c r="B34" s="162" t="s">
        <v>388</v>
      </c>
      <c r="C34" s="162" t="s">
        <v>312</v>
      </c>
      <c r="D34" s="162" t="s">
        <v>360</v>
      </c>
      <c r="E34" s="162" t="s">
        <v>389</v>
      </c>
      <c r="F34" s="162"/>
      <c r="G34" s="162" t="s">
        <v>253</v>
      </c>
      <c r="H34" s="161" t="s">
        <v>44</v>
      </c>
      <c r="I34" s="161" t="s">
        <v>94</v>
      </c>
      <c r="J34" s="161" t="s">
        <v>102</v>
      </c>
      <c r="K34" s="161" t="s">
        <v>54</v>
      </c>
      <c r="L34" s="161" t="s">
        <v>54</v>
      </c>
      <c r="M34" s="161" t="s">
        <v>54</v>
      </c>
      <c r="N34" s="161"/>
      <c r="O34" s="162"/>
    </row>
    <row r="35" spans="1:15" ht="102" customHeight="1">
      <c r="A35" s="161">
        <v>18</v>
      </c>
      <c r="B35" s="162" t="s">
        <v>390</v>
      </c>
      <c r="C35" s="162" t="s">
        <v>391</v>
      </c>
      <c r="D35" s="162" t="s">
        <v>360</v>
      </c>
      <c r="E35" s="162" t="s">
        <v>392</v>
      </c>
      <c r="F35" s="162"/>
      <c r="G35" s="162" t="s">
        <v>297</v>
      </c>
      <c r="H35" s="161" t="s">
        <v>44</v>
      </c>
      <c r="I35" s="161" t="s">
        <v>94</v>
      </c>
      <c r="J35" s="161" t="s">
        <v>102</v>
      </c>
      <c r="K35" s="161" t="s">
        <v>54</v>
      </c>
      <c r="L35" s="161" t="s">
        <v>54</v>
      </c>
      <c r="M35" s="161" t="s">
        <v>54</v>
      </c>
      <c r="N35" s="161"/>
      <c r="O35" s="162"/>
    </row>
    <row r="36" spans="1:15" ht="18" customHeight="1">
      <c r="A36" s="134" t="s">
        <v>317</v>
      </c>
      <c r="B36" s="135" t="s">
        <v>393</v>
      </c>
      <c r="C36" s="135"/>
      <c r="D36" s="135"/>
      <c r="E36" s="135"/>
      <c r="F36" s="135"/>
      <c r="G36" s="135"/>
      <c r="H36" s="135"/>
      <c r="I36" s="135"/>
      <c r="J36" s="135"/>
      <c r="K36" s="135"/>
      <c r="L36" s="135"/>
      <c r="M36" s="135"/>
      <c r="N36" s="135"/>
      <c r="O36" s="135"/>
    </row>
    <row r="37" spans="1:15" ht="102" customHeight="1">
      <c r="A37" s="161">
        <v>19</v>
      </c>
      <c r="B37" s="162" t="s">
        <v>394</v>
      </c>
      <c r="C37" s="162" t="s">
        <v>126</v>
      </c>
      <c r="D37" s="162" t="s">
        <v>360</v>
      </c>
      <c r="E37" s="162" t="s">
        <v>361</v>
      </c>
      <c r="F37" s="162"/>
      <c r="G37" s="162" t="s">
        <v>384</v>
      </c>
      <c r="H37" s="161" t="s">
        <v>44</v>
      </c>
      <c r="I37" s="161" t="s">
        <v>92</v>
      </c>
      <c r="J37" s="161" t="s">
        <v>102</v>
      </c>
      <c r="K37" s="161" t="s">
        <v>54</v>
      </c>
      <c r="L37" s="161" t="s">
        <v>54</v>
      </c>
      <c r="M37" s="161" t="s">
        <v>54</v>
      </c>
      <c r="N37" s="161"/>
      <c r="O37" s="162"/>
    </row>
    <row r="38" spans="1:15" ht="90.75" customHeight="1">
      <c r="A38" s="161">
        <v>20</v>
      </c>
      <c r="B38" s="162" t="s">
        <v>395</v>
      </c>
      <c r="C38" s="162" t="s">
        <v>132</v>
      </c>
      <c r="D38" s="162" t="s">
        <v>360</v>
      </c>
      <c r="E38" s="162" t="s">
        <v>365</v>
      </c>
      <c r="F38" s="162"/>
      <c r="G38" s="162" t="s">
        <v>283</v>
      </c>
      <c r="H38" s="161" t="s">
        <v>44</v>
      </c>
      <c r="I38" s="161" t="s">
        <v>94</v>
      </c>
      <c r="J38" s="161" t="s">
        <v>102</v>
      </c>
      <c r="K38" s="161" t="s">
        <v>54</v>
      </c>
      <c r="L38" s="161" t="s">
        <v>54</v>
      </c>
      <c r="M38" s="161" t="s">
        <v>54</v>
      </c>
      <c r="N38" s="161"/>
      <c r="O38" s="162"/>
    </row>
    <row r="39" spans="1:15" ht="90.75" customHeight="1">
      <c r="A39" s="161">
        <v>21</v>
      </c>
      <c r="B39" s="162" t="s">
        <v>396</v>
      </c>
      <c r="C39" s="162" t="s">
        <v>136</v>
      </c>
      <c r="D39" s="162" t="s">
        <v>360</v>
      </c>
      <c r="E39" s="162" t="s">
        <v>367</v>
      </c>
      <c r="F39" s="162"/>
      <c r="G39" s="162" t="s">
        <v>286</v>
      </c>
      <c r="H39" s="161" t="s">
        <v>44</v>
      </c>
      <c r="I39" s="161" t="s">
        <v>94</v>
      </c>
      <c r="J39" s="161" t="s">
        <v>102</v>
      </c>
      <c r="K39" s="161" t="s">
        <v>54</v>
      </c>
      <c r="L39" s="161" t="s">
        <v>54</v>
      </c>
      <c r="M39" s="161" t="s">
        <v>54</v>
      </c>
      <c r="N39" s="161"/>
      <c r="O39" s="162"/>
    </row>
    <row r="40" spans="1:15" ht="102" customHeight="1">
      <c r="A40" s="161">
        <v>22</v>
      </c>
      <c r="B40" s="162" t="s">
        <v>397</v>
      </c>
      <c r="C40" s="162" t="s">
        <v>288</v>
      </c>
      <c r="D40" s="162" t="s">
        <v>360</v>
      </c>
      <c r="E40" s="162" t="s">
        <v>369</v>
      </c>
      <c r="F40" s="162"/>
      <c r="G40" s="162" t="s">
        <v>290</v>
      </c>
      <c r="H40" s="161" t="s">
        <v>44</v>
      </c>
      <c r="I40" s="161" t="s">
        <v>94</v>
      </c>
      <c r="J40" s="161" t="s">
        <v>102</v>
      </c>
      <c r="K40" s="161" t="s">
        <v>54</v>
      </c>
      <c r="L40" s="161" t="s">
        <v>54</v>
      </c>
      <c r="M40" s="161" t="s">
        <v>54</v>
      </c>
      <c r="N40" s="161"/>
      <c r="O40" s="162"/>
    </row>
    <row r="41" spans="1:15" ht="102" customHeight="1">
      <c r="A41" s="161">
        <v>23</v>
      </c>
      <c r="B41" s="162" t="s">
        <v>398</v>
      </c>
      <c r="C41" s="162" t="s">
        <v>312</v>
      </c>
      <c r="D41" s="162" t="s">
        <v>360</v>
      </c>
      <c r="E41" s="162" t="s">
        <v>389</v>
      </c>
      <c r="F41" s="162"/>
      <c r="G41" s="162" t="s">
        <v>142</v>
      </c>
      <c r="H41" s="161" t="s">
        <v>44</v>
      </c>
      <c r="I41" s="161" t="s">
        <v>94</v>
      </c>
      <c r="J41" s="161" t="s">
        <v>102</v>
      </c>
      <c r="K41" s="161" t="s">
        <v>54</v>
      </c>
      <c r="L41" s="161" t="s">
        <v>54</v>
      </c>
      <c r="M41" s="161" t="s">
        <v>54</v>
      </c>
      <c r="N41" s="161"/>
      <c r="O41" s="162"/>
    </row>
    <row r="42" spans="1:15" ht="102" customHeight="1">
      <c r="A42" s="161">
        <v>24</v>
      </c>
      <c r="B42" s="162" t="s">
        <v>399</v>
      </c>
      <c r="C42" s="162" t="s">
        <v>391</v>
      </c>
      <c r="D42" s="162" t="s">
        <v>360</v>
      </c>
      <c r="E42" s="162" t="s">
        <v>392</v>
      </c>
      <c r="F42" s="162"/>
      <c r="G42" s="162" t="s">
        <v>297</v>
      </c>
      <c r="H42" s="161" t="s">
        <v>44</v>
      </c>
      <c r="I42" s="161" t="s">
        <v>94</v>
      </c>
      <c r="J42" s="161" t="s">
        <v>102</v>
      </c>
      <c r="K42" s="161" t="s">
        <v>54</v>
      </c>
      <c r="L42" s="161" t="s">
        <v>54</v>
      </c>
      <c r="M42" s="161" t="s">
        <v>54</v>
      </c>
      <c r="N42" s="161"/>
      <c r="O42" s="162"/>
    </row>
    <row r="43" spans="1:15" ht="18" customHeight="1">
      <c r="A43" s="159" t="s">
        <v>180</v>
      </c>
      <c r="B43" s="159"/>
      <c r="C43" s="159"/>
      <c r="D43" s="159"/>
      <c r="E43" s="159"/>
      <c r="F43" s="159"/>
      <c r="G43" s="159"/>
      <c r="H43" s="159"/>
      <c r="I43" s="159"/>
      <c r="J43" s="159"/>
      <c r="K43" s="159"/>
      <c r="L43" s="159"/>
      <c r="M43" s="159"/>
      <c r="N43" s="159"/>
      <c r="O43" s="159"/>
    </row>
    <row r="44" spans="1:15" ht="18" customHeight="1">
      <c r="A44" s="134" t="s">
        <v>123</v>
      </c>
      <c r="B44" s="135" t="s">
        <v>358</v>
      </c>
      <c r="C44" s="135"/>
      <c r="D44" s="135"/>
      <c r="E44" s="135"/>
      <c r="F44" s="135"/>
      <c r="G44" s="135"/>
      <c r="H44" s="135"/>
      <c r="I44" s="135"/>
      <c r="J44" s="135"/>
      <c r="K44" s="135"/>
      <c r="L44" s="135"/>
      <c r="M44" s="135"/>
      <c r="N44" s="135"/>
      <c r="O44" s="135"/>
    </row>
    <row r="45" spans="1:15" ht="124.5" customHeight="1">
      <c r="A45" s="161">
        <v>25</v>
      </c>
      <c r="B45" s="162" t="s">
        <v>400</v>
      </c>
      <c r="C45" s="162" t="s">
        <v>182</v>
      </c>
      <c r="D45" s="162" t="s">
        <v>401</v>
      </c>
      <c r="E45" s="162" t="s">
        <v>184</v>
      </c>
      <c r="F45" s="162"/>
      <c r="G45" s="162" t="s">
        <v>185</v>
      </c>
      <c r="H45" s="161" t="s">
        <v>44</v>
      </c>
      <c r="I45" s="161" t="s">
        <v>92</v>
      </c>
      <c r="J45" s="161" t="s">
        <v>102</v>
      </c>
      <c r="K45" s="161" t="s">
        <v>54</v>
      </c>
      <c r="L45" s="161" t="s">
        <v>54</v>
      </c>
      <c r="M45" s="161" t="s">
        <v>54</v>
      </c>
      <c r="N45" s="161"/>
      <c r="O45" s="162"/>
    </row>
    <row r="46" spans="1:15" ht="124.5" customHeight="1">
      <c r="A46" s="161">
        <v>26</v>
      </c>
      <c r="B46" s="162" t="s">
        <v>402</v>
      </c>
      <c r="C46" s="162" t="s">
        <v>187</v>
      </c>
      <c r="D46" s="162" t="s">
        <v>401</v>
      </c>
      <c r="E46" s="162" t="s">
        <v>184</v>
      </c>
      <c r="F46" s="162"/>
      <c r="G46" s="162" t="s">
        <v>185</v>
      </c>
      <c r="H46" s="161" t="s">
        <v>44</v>
      </c>
      <c r="I46" s="161" t="s">
        <v>92</v>
      </c>
      <c r="J46" s="161" t="s">
        <v>102</v>
      </c>
      <c r="K46" s="161" t="s">
        <v>54</v>
      </c>
      <c r="L46" s="161" t="s">
        <v>54</v>
      </c>
      <c r="M46" s="161" t="s">
        <v>54</v>
      </c>
      <c r="N46" s="161"/>
      <c r="O46" s="162"/>
    </row>
    <row r="47" spans="1:15" ht="124.5" customHeight="1">
      <c r="A47" s="161">
        <v>27</v>
      </c>
      <c r="B47" s="162" t="s">
        <v>403</v>
      </c>
      <c r="C47" s="162" t="s">
        <v>329</v>
      </c>
      <c r="D47" s="162" t="s">
        <v>401</v>
      </c>
      <c r="E47" s="162" t="s">
        <v>184</v>
      </c>
      <c r="F47" s="162"/>
      <c r="G47" s="162" t="s">
        <v>190</v>
      </c>
      <c r="H47" s="161" t="s">
        <v>44</v>
      </c>
      <c r="I47" s="161" t="s">
        <v>94</v>
      </c>
      <c r="J47" s="161" t="s">
        <v>102</v>
      </c>
      <c r="K47" s="161" t="s">
        <v>54</v>
      </c>
      <c r="L47" s="161" t="s">
        <v>54</v>
      </c>
      <c r="M47" s="161" t="s">
        <v>54</v>
      </c>
      <c r="N47" s="161"/>
      <c r="O47" s="162"/>
    </row>
    <row r="48" spans="1:15" ht="124.5" customHeight="1">
      <c r="A48" s="161">
        <v>28</v>
      </c>
      <c r="B48" s="162" t="s">
        <v>404</v>
      </c>
      <c r="C48" s="162" t="s">
        <v>331</v>
      </c>
      <c r="D48" s="162" t="s">
        <v>401</v>
      </c>
      <c r="E48" s="162" t="s">
        <v>184</v>
      </c>
      <c r="F48" s="162"/>
      <c r="G48" s="162" t="s">
        <v>190</v>
      </c>
      <c r="H48" s="161" t="s">
        <v>44</v>
      </c>
      <c r="I48" s="161" t="s">
        <v>94</v>
      </c>
      <c r="J48" s="161" t="s">
        <v>102</v>
      </c>
      <c r="K48" s="161" t="s">
        <v>54</v>
      </c>
      <c r="L48" s="161" t="s">
        <v>54</v>
      </c>
      <c r="M48" s="161" t="s">
        <v>54</v>
      </c>
      <c r="N48" s="161"/>
      <c r="O48" s="162"/>
    </row>
    <row r="49" spans="1:15" ht="124.5" customHeight="1">
      <c r="A49" s="161">
        <v>29</v>
      </c>
      <c r="B49" s="162" t="s">
        <v>405</v>
      </c>
      <c r="C49" s="162" t="s">
        <v>406</v>
      </c>
      <c r="D49" s="162" t="s">
        <v>401</v>
      </c>
      <c r="E49" s="162" t="s">
        <v>184</v>
      </c>
      <c r="F49" s="162"/>
      <c r="G49" s="162" t="s">
        <v>190</v>
      </c>
      <c r="H49" s="161" t="s">
        <v>44</v>
      </c>
      <c r="I49" s="161" t="s">
        <v>94</v>
      </c>
      <c r="J49" s="161" t="s">
        <v>102</v>
      </c>
      <c r="K49" s="161" t="s">
        <v>54</v>
      </c>
      <c r="L49" s="161" t="s">
        <v>54</v>
      </c>
      <c r="M49" s="161" t="s">
        <v>54</v>
      </c>
      <c r="N49" s="161"/>
      <c r="O49" s="162"/>
    </row>
    <row r="50" spans="1:15" ht="18" customHeight="1">
      <c r="A50" s="134" t="s">
        <v>150</v>
      </c>
      <c r="B50" s="135" t="s">
        <v>375</v>
      </c>
      <c r="C50" s="135"/>
      <c r="D50" s="135"/>
      <c r="E50" s="135"/>
      <c r="F50" s="135"/>
      <c r="G50" s="135"/>
      <c r="H50" s="135"/>
      <c r="I50" s="135"/>
      <c r="J50" s="135"/>
      <c r="K50" s="135"/>
      <c r="L50" s="135"/>
      <c r="M50" s="135"/>
      <c r="N50" s="135"/>
      <c r="O50" s="135"/>
    </row>
    <row r="51" spans="1:15" ht="124.5" customHeight="1">
      <c r="A51" s="161">
        <v>30</v>
      </c>
      <c r="B51" s="162" t="s">
        <v>407</v>
      </c>
      <c r="C51" s="162" t="s">
        <v>182</v>
      </c>
      <c r="D51" s="162" t="s">
        <v>408</v>
      </c>
      <c r="E51" s="162" t="s">
        <v>184</v>
      </c>
      <c r="F51" s="162"/>
      <c r="G51" s="162" t="s">
        <v>185</v>
      </c>
      <c r="H51" s="161" t="s">
        <v>44</v>
      </c>
      <c r="I51" s="161" t="s">
        <v>92</v>
      </c>
      <c r="J51" s="161" t="s">
        <v>102</v>
      </c>
      <c r="K51" s="161" t="s">
        <v>54</v>
      </c>
      <c r="L51" s="161" t="s">
        <v>54</v>
      </c>
      <c r="M51" s="161" t="s">
        <v>54</v>
      </c>
      <c r="N51" s="161"/>
      <c r="O51" s="162"/>
    </row>
    <row r="52" spans="1:15" ht="124.5" customHeight="1">
      <c r="A52" s="161">
        <v>31</v>
      </c>
      <c r="B52" s="162" t="s">
        <v>409</v>
      </c>
      <c r="C52" s="162" t="s">
        <v>187</v>
      </c>
      <c r="D52" s="162" t="s">
        <v>408</v>
      </c>
      <c r="E52" s="162" t="s">
        <v>184</v>
      </c>
      <c r="F52" s="162"/>
      <c r="G52" s="162" t="s">
        <v>185</v>
      </c>
      <c r="H52" s="161" t="s">
        <v>44</v>
      </c>
      <c r="I52" s="161" t="s">
        <v>92</v>
      </c>
      <c r="J52" s="161" t="s">
        <v>102</v>
      </c>
      <c r="K52" s="161" t="s">
        <v>54</v>
      </c>
      <c r="L52" s="161" t="s">
        <v>54</v>
      </c>
      <c r="M52" s="161" t="s">
        <v>54</v>
      </c>
      <c r="N52" s="161"/>
      <c r="O52" s="162"/>
    </row>
    <row r="53" spans="1:15" ht="124.5" customHeight="1">
      <c r="A53" s="161">
        <v>32</v>
      </c>
      <c r="B53" s="162" t="s">
        <v>410</v>
      </c>
      <c r="C53" s="162" t="s">
        <v>329</v>
      </c>
      <c r="D53" s="162" t="s">
        <v>408</v>
      </c>
      <c r="E53" s="162" t="s">
        <v>184</v>
      </c>
      <c r="F53" s="162"/>
      <c r="G53" s="162" t="s">
        <v>190</v>
      </c>
      <c r="H53" s="161" t="s">
        <v>44</v>
      </c>
      <c r="I53" s="161" t="s">
        <v>94</v>
      </c>
      <c r="J53" s="161" t="s">
        <v>102</v>
      </c>
      <c r="K53" s="161" t="s">
        <v>54</v>
      </c>
      <c r="L53" s="161" t="s">
        <v>54</v>
      </c>
      <c r="M53" s="161" t="s">
        <v>54</v>
      </c>
      <c r="N53" s="161"/>
      <c r="O53" s="162"/>
    </row>
    <row r="54" spans="1:15" ht="124.5" customHeight="1">
      <c r="A54" s="161">
        <v>33</v>
      </c>
      <c r="B54" s="162" t="s">
        <v>411</v>
      </c>
      <c r="C54" s="162" t="s">
        <v>331</v>
      </c>
      <c r="D54" s="162" t="s">
        <v>408</v>
      </c>
      <c r="E54" s="162" t="s">
        <v>184</v>
      </c>
      <c r="F54" s="162"/>
      <c r="G54" s="162" t="s">
        <v>190</v>
      </c>
      <c r="H54" s="161" t="s">
        <v>44</v>
      </c>
      <c r="I54" s="161" t="s">
        <v>94</v>
      </c>
      <c r="J54" s="161" t="s">
        <v>102</v>
      </c>
      <c r="K54" s="161" t="s">
        <v>54</v>
      </c>
      <c r="L54" s="161" t="s">
        <v>54</v>
      </c>
      <c r="M54" s="161" t="s">
        <v>54</v>
      </c>
      <c r="N54" s="161"/>
      <c r="O54" s="162"/>
    </row>
    <row r="55" spans="1:15" ht="124.5" customHeight="1">
      <c r="A55" s="161">
        <v>34</v>
      </c>
      <c r="B55" s="162" t="s">
        <v>412</v>
      </c>
      <c r="C55" s="162" t="s">
        <v>406</v>
      </c>
      <c r="D55" s="162" t="s">
        <v>408</v>
      </c>
      <c r="E55" s="162" t="s">
        <v>184</v>
      </c>
      <c r="F55" s="162"/>
      <c r="G55" s="162" t="s">
        <v>190</v>
      </c>
      <c r="H55" s="161" t="s">
        <v>44</v>
      </c>
      <c r="I55" s="161" t="s">
        <v>94</v>
      </c>
      <c r="J55" s="161" t="s">
        <v>102</v>
      </c>
      <c r="K55" s="161" t="s">
        <v>54</v>
      </c>
      <c r="L55" s="161" t="s">
        <v>54</v>
      </c>
      <c r="M55" s="161" t="s">
        <v>54</v>
      </c>
      <c r="N55" s="161"/>
      <c r="O55" s="162"/>
    </row>
    <row r="56" spans="1:15" ht="18" customHeight="1">
      <c r="A56" s="134" t="s">
        <v>165</v>
      </c>
      <c r="B56" s="135" t="s">
        <v>382</v>
      </c>
      <c r="C56" s="135"/>
      <c r="D56" s="135"/>
      <c r="E56" s="135"/>
      <c r="F56" s="135"/>
      <c r="G56" s="135"/>
      <c r="H56" s="135"/>
      <c r="I56" s="135"/>
      <c r="J56" s="135"/>
      <c r="K56" s="135"/>
      <c r="L56" s="135"/>
      <c r="M56" s="135"/>
      <c r="N56" s="135"/>
      <c r="O56" s="135"/>
    </row>
    <row r="57" spans="1:15" ht="124.5" customHeight="1">
      <c r="A57" s="161">
        <v>35</v>
      </c>
      <c r="B57" s="162" t="s">
        <v>413</v>
      </c>
      <c r="C57" s="162" t="s">
        <v>182</v>
      </c>
      <c r="D57" s="162" t="s">
        <v>401</v>
      </c>
      <c r="E57" s="162" t="s">
        <v>184</v>
      </c>
      <c r="F57" s="162"/>
      <c r="G57" s="162" t="s">
        <v>185</v>
      </c>
      <c r="H57" s="161" t="s">
        <v>44</v>
      </c>
      <c r="I57" s="161" t="s">
        <v>92</v>
      </c>
      <c r="J57" s="161" t="s">
        <v>102</v>
      </c>
      <c r="K57" s="161" t="s">
        <v>54</v>
      </c>
      <c r="L57" s="161" t="s">
        <v>54</v>
      </c>
      <c r="M57" s="161" t="s">
        <v>54</v>
      </c>
      <c r="N57" s="161"/>
      <c r="O57" s="162"/>
    </row>
    <row r="58" spans="1:15" ht="124.5" customHeight="1">
      <c r="A58" s="161">
        <v>36</v>
      </c>
      <c r="B58" s="162" t="s">
        <v>414</v>
      </c>
      <c r="C58" s="162" t="s">
        <v>187</v>
      </c>
      <c r="D58" s="162" t="s">
        <v>401</v>
      </c>
      <c r="E58" s="162" t="s">
        <v>184</v>
      </c>
      <c r="F58" s="162"/>
      <c r="G58" s="162" t="s">
        <v>185</v>
      </c>
      <c r="H58" s="161" t="s">
        <v>44</v>
      </c>
      <c r="I58" s="161" t="s">
        <v>92</v>
      </c>
      <c r="J58" s="161" t="s">
        <v>102</v>
      </c>
      <c r="K58" s="161" t="s">
        <v>54</v>
      </c>
      <c r="L58" s="161" t="s">
        <v>54</v>
      </c>
      <c r="M58" s="161" t="s">
        <v>54</v>
      </c>
      <c r="N58" s="161"/>
      <c r="O58" s="162"/>
    </row>
    <row r="59" spans="1:15" ht="124.5" customHeight="1">
      <c r="A59" s="161">
        <v>37</v>
      </c>
      <c r="B59" s="162" t="s">
        <v>415</v>
      </c>
      <c r="C59" s="162" t="s">
        <v>329</v>
      </c>
      <c r="D59" s="162" t="s">
        <v>401</v>
      </c>
      <c r="E59" s="162" t="s">
        <v>184</v>
      </c>
      <c r="F59" s="162"/>
      <c r="G59" s="162" t="s">
        <v>190</v>
      </c>
      <c r="H59" s="161" t="s">
        <v>44</v>
      </c>
      <c r="I59" s="161" t="s">
        <v>94</v>
      </c>
      <c r="J59" s="161" t="s">
        <v>102</v>
      </c>
      <c r="K59" s="161" t="s">
        <v>54</v>
      </c>
      <c r="L59" s="161" t="s">
        <v>54</v>
      </c>
      <c r="M59" s="161" t="s">
        <v>54</v>
      </c>
      <c r="N59" s="161"/>
      <c r="O59" s="162"/>
    </row>
    <row r="60" spans="1:15" ht="124.5" customHeight="1">
      <c r="A60" s="161">
        <v>38</v>
      </c>
      <c r="B60" s="162" t="s">
        <v>416</v>
      </c>
      <c r="C60" s="162" t="s">
        <v>344</v>
      </c>
      <c r="D60" s="162" t="s">
        <v>401</v>
      </c>
      <c r="E60" s="162" t="s">
        <v>184</v>
      </c>
      <c r="F60" s="162"/>
      <c r="G60" s="162" t="s">
        <v>190</v>
      </c>
      <c r="H60" s="161" t="s">
        <v>44</v>
      </c>
      <c r="I60" s="161" t="s">
        <v>94</v>
      </c>
      <c r="J60" s="161" t="s">
        <v>102</v>
      </c>
      <c r="K60" s="161" t="s">
        <v>54</v>
      </c>
      <c r="L60" s="161" t="s">
        <v>54</v>
      </c>
      <c r="M60" s="161" t="s">
        <v>54</v>
      </c>
      <c r="N60" s="161"/>
      <c r="O60" s="162"/>
    </row>
    <row r="61" spans="1:15" ht="124.5" customHeight="1">
      <c r="A61" s="161">
        <v>39</v>
      </c>
      <c r="B61" s="162" t="s">
        <v>417</v>
      </c>
      <c r="C61" s="162" t="s">
        <v>418</v>
      </c>
      <c r="D61" s="162" t="s">
        <v>401</v>
      </c>
      <c r="E61" s="162" t="s">
        <v>184</v>
      </c>
      <c r="F61" s="162"/>
      <c r="G61" s="162" t="s">
        <v>190</v>
      </c>
      <c r="H61" s="161" t="s">
        <v>44</v>
      </c>
      <c r="I61" s="161" t="s">
        <v>94</v>
      </c>
      <c r="J61" s="161" t="s">
        <v>102</v>
      </c>
      <c r="K61" s="161" t="s">
        <v>54</v>
      </c>
      <c r="L61" s="161" t="s">
        <v>54</v>
      </c>
      <c r="M61" s="161" t="s">
        <v>54</v>
      </c>
      <c r="N61" s="161"/>
      <c r="O61" s="162"/>
    </row>
    <row r="62" spans="1:15" ht="18" customHeight="1">
      <c r="A62" s="134" t="s">
        <v>317</v>
      </c>
      <c r="B62" s="135" t="s">
        <v>393</v>
      </c>
      <c r="C62" s="135"/>
      <c r="D62" s="135"/>
      <c r="E62" s="135"/>
      <c r="F62" s="135"/>
      <c r="G62" s="135"/>
      <c r="H62" s="135"/>
      <c r="I62" s="135"/>
      <c r="J62" s="135"/>
      <c r="K62" s="135"/>
      <c r="L62" s="135"/>
      <c r="M62" s="135"/>
      <c r="N62" s="135"/>
      <c r="O62" s="135"/>
    </row>
    <row r="63" spans="1:15" ht="124.5" customHeight="1">
      <c r="A63" s="161">
        <v>40</v>
      </c>
      <c r="B63" s="162" t="s">
        <v>419</v>
      </c>
      <c r="C63" s="162" t="s">
        <v>182</v>
      </c>
      <c r="D63" s="162" t="s">
        <v>408</v>
      </c>
      <c r="E63" s="162" t="s">
        <v>184</v>
      </c>
      <c r="F63" s="162"/>
      <c r="G63" s="162" t="s">
        <v>185</v>
      </c>
      <c r="H63" s="161" t="s">
        <v>44</v>
      </c>
      <c r="I63" s="161" t="s">
        <v>92</v>
      </c>
      <c r="J63" s="161" t="s">
        <v>102</v>
      </c>
      <c r="K63" s="161" t="s">
        <v>54</v>
      </c>
      <c r="L63" s="161" t="s">
        <v>54</v>
      </c>
      <c r="M63" s="161" t="s">
        <v>54</v>
      </c>
      <c r="N63" s="161"/>
      <c r="O63" s="162"/>
    </row>
    <row r="64" spans="1:15" ht="124.5" customHeight="1">
      <c r="A64" s="161">
        <v>41</v>
      </c>
      <c r="B64" s="162" t="s">
        <v>420</v>
      </c>
      <c r="C64" s="162" t="s">
        <v>187</v>
      </c>
      <c r="D64" s="162" t="s">
        <v>408</v>
      </c>
      <c r="E64" s="162" t="s">
        <v>184</v>
      </c>
      <c r="F64" s="162"/>
      <c r="G64" s="162" t="s">
        <v>185</v>
      </c>
      <c r="H64" s="161" t="s">
        <v>44</v>
      </c>
      <c r="I64" s="161" t="s">
        <v>92</v>
      </c>
      <c r="J64" s="161" t="s">
        <v>102</v>
      </c>
      <c r="K64" s="161" t="s">
        <v>54</v>
      </c>
      <c r="L64" s="161" t="s">
        <v>54</v>
      </c>
      <c r="M64" s="161" t="s">
        <v>54</v>
      </c>
      <c r="N64" s="161"/>
      <c r="O64" s="162"/>
    </row>
    <row r="65" spans="1:15" ht="124.5" customHeight="1">
      <c r="A65" s="161">
        <v>42</v>
      </c>
      <c r="B65" s="162" t="s">
        <v>421</v>
      </c>
      <c r="C65" s="162" t="s">
        <v>329</v>
      </c>
      <c r="D65" s="162" t="s">
        <v>408</v>
      </c>
      <c r="E65" s="162" t="s">
        <v>184</v>
      </c>
      <c r="F65" s="162"/>
      <c r="G65" s="162" t="s">
        <v>190</v>
      </c>
      <c r="H65" s="161" t="s">
        <v>44</v>
      </c>
      <c r="I65" s="161" t="s">
        <v>94</v>
      </c>
      <c r="J65" s="161" t="s">
        <v>102</v>
      </c>
      <c r="K65" s="161" t="s">
        <v>54</v>
      </c>
      <c r="L65" s="161" t="s">
        <v>54</v>
      </c>
      <c r="M65" s="161" t="s">
        <v>54</v>
      </c>
      <c r="N65" s="161"/>
      <c r="O65" s="162"/>
    </row>
    <row r="66" spans="1:15" ht="124.5" customHeight="1">
      <c r="A66" s="161">
        <v>43</v>
      </c>
      <c r="B66" s="162" t="s">
        <v>422</v>
      </c>
      <c r="C66" s="162" t="s">
        <v>344</v>
      </c>
      <c r="D66" s="162" t="s">
        <v>408</v>
      </c>
      <c r="E66" s="162" t="s">
        <v>184</v>
      </c>
      <c r="F66" s="162"/>
      <c r="G66" s="162" t="s">
        <v>190</v>
      </c>
      <c r="H66" s="161" t="s">
        <v>44</v>
      </c>
      <c r="I66" s="161" t="s">
        <v>94</v>
      </c>
      <c r="J66" s="161" t="s">
        <v>102</v>
      </c>
      <c r="K66" s="161" t="s">
        <v>54</v>
      </c>
      <c r="L66" s="161" t="s">
        <v>54</v>
      </c>
      <c r="M66" s="161" t="s">
        <v>54</v>
      </c>
      <c r="N66" s="161"/>
      <c r="O66" s="162"/>
    </row>
    <row r="67" spans="1:15" ht="124.5" customHeight="1">
      <c r="A67" s="161">
        <v>44</v>
      </c>
      <c r="B67" s="162" t="s">
        <v>423</v>
      </c>
      <c r="C67" s="162" t="s">
        <v>418</v>
      </c>
      <c r="D67" s="162" t="s">
        <v>408</v>
      </c>
      <c r="E67" s="162" t="s">
        <v>184</v>
      </c>
      <c r="F67" s="162"/>
      <c r="G67" s="162" t="s">
        <v>190</v>
      </c>
      <c r="H67" s="161" t="s">
        <v>44</v>
      </c>
      <c r="I67" s="161" t="s">
        <v>94</v>
      </c>
      <c r="J67" s="161" t="s">
        <v>102</v>
      </c>
      <c r="K67" s="161" t="s">
        <v>54</v>
      </c>
      <c r="L67" s="161" t="s">
        <v>54</v>
      </c>
      <c r="M67" s="161" t="s">
        <v>54</v>
      </c>
      <c r="N67" s="161"/>
      <c r="O67" s="162"/>
    </row>
    <row r="68" spans="1:15" ht="18" customHeight="1">
      <c r="A68" s="159" t="s">
        <v>209</v>
      </c>
      <c r="B68" s="159"/>
      <c r="C68" s="159"/>
      <c r="D68" s="159"/>
      <c r="E68" s="159"/>
      <c r="F68" s="159"/>
      <c r="G68" s="159"/>
      <c r="H68" s="159"/>
      <c r="I68" s="159"/>
      <c r="J68" s="159"/>
      <c r="K68" s="159"/>
      <c r="L68" s="159"/>
      <c r="M68" s="159"/>
      <c r="N68" s="159"/>
      <c r="O68" s="159"/>
    </row>
    <row r="69" spans="1:15" ht="191.25" customHeight="1">
      <c r="A69" s="161">
        <v>45</v>
      </c>
      <c r="B69" s="162" t="s">
        <v>424</v>
      </c>
      <c r="C69" s="162" t="s">
        <v>211</v>
      </c>
      <c r="D69" s="162" t="s">
        <v>425</v>
      </c>
      <c r="E69" s="162" t="s">
        <v>213</v>
      </c>
      <c r="F69" s="162"/>
      <c r="G69" s="162" t="s">
        <v>214</v>
      </c>
      <c r="H69" s="161" t="s">
        <v>44</v>
      </c>
      <c r="I69" s="161" t="s">
        <v>92</v>
      </c>
      <c r="J69" s="161" t="s">
        <v>102</v>
      </c>
      <c r="K69" s="161" t="s">
        <v>54</v>
      </c>
      <c r="L69" s="161" t="s">
        <v>54</v>
      </c>
      <c r="M69" s="161" t="s">
        <v>54</v>
      </c>
      <c r="N69" s="161"/>
      <c r="O69" s="162" t="s">
        <v>354</v>
      </c>
    </row>
    <row r="70" spans="1:15" ht="213.75" customHeight="1">
      <c r="A70" s="161">
        <v>46</v>
      </c>
      <c r="B70" s="162" t="s">
        <v>426</v>
      </c>
      <c r="C70" s="162" t="s">
        <v>217</v>
      </c>
      <c r="D70" s="162" t="s">
        <v>427</v>
      </c>
      <c r="E70" s="162" t="s">
        <v>219</v>
      </c>
      <c r="F70" s="162"/>
      <c r="G70" s="162" t="s">
        <v>220</v>
      </c>
      <c r="H70" s="161" t="s">
        <v>44</v>
      </c>
      <c r="I70" s="161" t="s">
        <v>92</v>
      </c>
      <c r="J70" s="161" t="s">
        <v>102</v>
      </c>
      <c r="K70" s="161" t="s">
        <v>54</v>
      </c>
      <c r="L70" s="161" t="s">
        <v>54</v>
      </c>
      <c r="M70" s="161" t="s">
        <v>54</v>
      </c>
      <c r="N70" s="161"/>
      <c r="O70" s="162" t="s">
        <v>354</v>
      </c>
    </row>
  </sheetData>
  <mergeCells count="3">
    <mergeCell ref="A14:O14"/>
    <mergeCell ref="A43:O43"/>
    <mergeCell ref="A68:O68"/>
  </mergeCell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O90"/>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428</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14</v>
      </c>
      <c r="D5" s="124">
        <f>SUM(D6:D10)</f>
        <v>52</v>
      </c>
      <c r="E5" s="124">
        <f>SUM(E6:E10)</f>
        <v>0</v>
      </c>
      <c r="F5" s="124">
        <f t="shared" ref="F5:F11" si="0">SUM(C5:E5)</f>
        <v>66</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14</v>
      </c>
      <c r="D8" s="125">
        <f t="shared" si="1"/>
        <v>52</v>
      </c>
      <c r="E8" s="125">
        <f t="shared" si="1"/>
        <v>0</v>
      </c>
      <c r="F8" s="125">
        <f t="shared" si="0"/>
        <v>66</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429</v>
      </c>
      <c r="C15" s="135"/>
      <c r="D15" s="135"/>
      <c r="E15" s="135"/>
      <c r="F15" s="135"/>
      <c r="G15" s="135"/>
      <c r="H15" s="135"/>
      <c r="I15" s="135"/>
      <c r="J15" s="135"/>
      <c r="K15" s="135"/>
      <c r="L15" s="135"/>
      <c r="M15" s="135"/>
      <c r="N15" s="135"/>
      <c r="O15" s="135"/>
    </row>
    <row r="16" spans="1:15" ht="124.5" customHeight="1">
      <c r="A16" s="161">
        <v>1</v>
      </c>
      <c r="B16" s="162" t="s">
        <v>430</v>
      </c>
      <c r="C16" s="162" t="s">
        <v>126</v>
      </c>
      <c r="D16" s="162" t="s">
        <v>431</v>
      </c>
      <c r="E16" s="162" t="s">
        <v>432</v>
      </c>
      <c r="F16" s="162"/>
      <c r="G16" s="162" t="s">
        <v>433</v>
      </c>
      <c r="H16" s="161" t="s">
        <v>44</v>
      </c>
      <c r="I16" s="161" t="s">
        <v>92</v>
      </c>
      <c r="J16" s="161" t="s">
        <v>102</v>
      </c>
      <c r="K16" s="161" t="s">
        <v>54</v>
      </c>
      <c r="L16" s="161" t="s">
        <v>54</v>
      </c>
      <c r="M16" s="161" t="s">
        <v>54</v>
      </c>
      <c r="N16" s="161"/>
      <c r="O16" s="162" t="s">
        <v>434</v>
      </c>
    </row>
    <row r="17" spans="1:15" ht="90.75" customHeight="1">
      <c r="A17" s="161">
        <v>2</v>
      </c>
      <c r="B17" s="162" t="s">
        <v>435</v>
      </c>
      <c r="C17" s="162" t="s">
        <v>132</v>
      </c>
      <c r="D17" s="162" t="s">
        <v>431</v>
      </c>
      <c r="E17" s="162" t="s">
        <v>436</v>
      </c>
      <c r="F17" s="162"/>
      <c r="G17" s="162" t="s">
        <v>134</v>
      </c>
      <c r="H17" s="161" t="s">
        <v>44</v>
      </c>
      <c r="I17" s="161" t="s">
        <v>94</v>
      </c>
      <c r="J17" s="161" t="s">
        <v>102</v>
      </c>
      <c r="K17" s="161" t="s">
        <v>54</v>
      </c>
      <c r="L17" s="161" t="s">
        <v>54</v>
      </c>
      <c r="M17" s="161" t="s">
        <v>54</v>
      </c>
      <c r="N17" s="161"/>
      <c r="O17" s="162"/>
    </row>
    <row r="18" spans="1:15" ht="90.75" customHeight="1">
      <c r="A18" s="161">
        <v>3</v>
      </c>
      <c r="B18" s="162" t="s">
        <v>437</v>
      </c>
      <c r="C18" s="162" t="s">
        <v>136</v>
      </c>
      <c r="D18" s="162" t="s">
        <v>431</v>
      </c>
      <c r="E18" s="162" t="s">
        <v>438</v>
      </c>
      <c r="F18" s="162"/>
      <c r="G18" s="162" t="s">
        <v>138</v>
      </c>
      <c r="H18" s="161" t="s">
        <v>44</v>
      </c>
      <c r="I18" s="161" t="s">
        <v>94</v>
      </c>
      <c r="J18" s="161" t="s">
        <v>102</v>
      </c>
      <c r="K18" s="161" t="s">
        <v>54</v>
      </c>
      <c r="L18" s="161" t="s">
        <v>54</v>
      </c>
      <c r="M18" s="161" t="s">
        <v>54</v>
      </c>
      <c r="N18" s="161"/>
      <c r="O18" s="162"/>
    </row>
    <row r="19" spans="1:15" ht="102" customHeight="1">
      <c r="A19" s="161">
        <v>4</v>
      </c>
      <c r="B19" s="162" t="s">
        <v>439</v>
      </c>
      <c r="C19" s="162" t="s">
        <v>440</v>
      </c>
      <c r="D19" s="162" t="s">
        <v>431</v>
      </c>
      <c r="E19" s="162" t="s">
        <v>441</v>
      </c>
      <c r="F19" s="162"/>
      <c r="G19" s="162" t="s">
        <v>442</v>
      </c>
      <c r="H19" s="161" t="s">
        <v>44</v>
      </c>
      <c r="I19" s="161" t="s">
        <v>94</v>
      </c>
      <c r="J19" s="161" t="s">
        <v>102</v>
      </c>
      <c r="K19" s="161" t="s">
        <v>54</v>
      </c>
      <c r="L19" s="161" t="s">
        <v>54</v>
      </c>
      <c r="M19" s="161" t="s">
        <v>54</v>
      </c>
      <c r="N19" s="161"/>
      <c r="O19" s="162"/>
    </row>
    <row r="20" spans="1:15" ht="90.75" customHeight="1">
      <c r="A20" s="161">
        <v>5</v>
      </c>
      <c r="B20" s="162" t="s">
        <v>443</v>
      </c>
      <c r="C20" s="162" t="s">
        <v>444</v>
      </c>
      <c r="D20" s="162" t="s">
        <v>431</v>
      </c>
      <c r="E20" s="162" t="s">
        <v>445</v>
      </c>
      <c r="F20" s="162"/>
      <c r="G20" s="162" t="s">
        <v>446</v>
      </c>
      <c r="H20" s="161" t="s">
        <v>44</v>
      </c>
      <c r="I20" s="161" t="s">
        <v>94</v>
      </c>
      <c r="J20" s="161" t="s">
        <v>102</v>
      </c>
      <c r="K20" s="161" t="s">
        <v>54</v>
      </c>
      <c r="L20" s="161" t="s">
        <v>54</v>
      </c>
      <c r="M20" s="161" t="s">
        <v>54</v>
      </c>
      <c r="N20" s="161"/>
      <c r="O20" s="162"/>
    </row>
    <row r="21" spans="1:15" ht="90.75" customHeight="1">
      <c r="A21" s="161">
        <v>6</v>
      </c>
      <c r="B21" s="162" t="s">
        <v>447</v>
      </c>
      <c r="C21" s="162" t="s">
        <v>448</v>
      </c>
      <c r="D21" s="162" t="s">
        <v>431</v>
      </c>
      <c r="E21" s="162" t="s">
        <v>449</v>
      </c>
      <c r="F21" s="162"/>
      <c r="G21" s="162" t="s">
        <v>450</v>
      </c>
      <c r="H21" s="161" t="s">
        <v>44</v>
      </c>
      <c r="I21" s="161" t="s">
        <v>94</v>
      </c>
      <c r="J21" s="161" t="s">
        <v>102</v>
      </c>
      <c r="K21" s="161" t="s">
        <v>54</v>
      </c>
      <c r="L21" s="161" t="s">
        <v>54</v>
      </c>
      <c r="M21" s="161" t="s">
        <v>54</v>
      </c>
      <c r="N21" s="161"/>
      <c r="O21" s="162"/>
    </row>
    <row r="22" spans="1:15" ht="90.75" customHeight="1">
      <c r="A22" s="161">
        <v>7</v>
      </c>
      <c r="B22" s="162" t="s">
        <v>451</v>
      </c>
      <c r="C22" s="162" t="s">
        <v>452</v>
      </c>
      <c r="D22" s="162" t="s">
        <v>431</v>
      </c>
      <c r="E22" s="162" t="s">
        <v>453</v>
      </c>
      <c r="F22" s="162"/>
      <c r="G22" s="162" t="s">
        <v>450</v>
      </c>
      <c r="H22" s="161" t="s">
        <v>44</v>
      </c>
      <c r="I22" s="161" t="s">
        <v>94</v>
      </c>
      <c r="J22" s="161" t="s">
        <v>102</v>
      </c>
      <c r="K22" s="161" t="s">
        <v>54</v>
      </c>
      <c r="L22" s="161" t="s">
        <v>54</v>
      </c>
      <c r="M22" s="161" t="s">
        <v>54</v>
      </c>
      <c r="N22" s="161"/>
      <c r="O22" s="162"/>
    </row>
    <row r="23" spans="1:15" ht="102" customHeight="1">
      <c r="A23" s="161">
        <v>8</v>
      </c>
      <c r="B23" s="162" t="s">
        <v>454</v>
      </c>
      <c r="C23" s="162" t="s">
        <v>455</v>
      </c>
      <c r="D23" s="162" t="s">
        <v>431</v>
      </c>
      <c r="E23" s="162" t="s">
        <v>456</v>
      </c>
      <c r="F23" s="162"/>
      <c r="G23" s="162" t="s">
        <v>457</v>
      </c>
      <c r="H23" s="161" t="s">
        <v>44</v>
      </c>
      <c r="I23" s="161" t="s">
        <v>94</v>
      </c>
      <c r="J23" s="161" t="s">
        <v>102</v>
      </c>
      <c r="K23" s="161" t="s">
        <v>54</v>
      </c>
      <c r="L23" s="161" t="s">
        <v>54</v>
      </c>
      <c r="M23" s="161" t="s">
        <v>54</v>
      </c>
      <c r="N23" s="161"/>
      <c r="O23" s="162"/>
    </row>
    <row r="24" spans="1:15" ht="18" customHeight="1">
      <c r="A24" s="134" t="s">
        <v>150</v>
      </c>
      <c r="B24" s="135" t="s">
        <v>458</v>
      </c>
      <c r="C24" s="135"/>
      <c r="D24" s="135"/>
      <c r="E24" s="135"/>
      <c r="F24" s="135"/>
      <c r="G24" s="135"/>
      <c r="H24" s="135"/>
      <c r="I24" s="135"/>
      <c r="J24" s="135"/>
      <c r="K24" s="135"/>
      <c r="L24" s="135"/>
      <c r="M24" s="135"/>
      <c r="N24" s="135"/>
      <c r="O24" s="135"/>
    </row>
    <row r="25" spans="1:15" ht="124.5" customHeight="1">
      <c r="A25" s="161">
        <v>9</v>
      </c>
      <c r="B25" s="162" t="s">
        <v>459</v>
      </c>
      <c r="C25" s="162" t="s">
        <v>126</v>
      </c>
      <c r="D25" s="162" t="s">
        <v>431</v>
      </c>
      <c r="E25" s="162" t="s">
        <v>432</v>
      </c>
      <c r="F25" s="162"/>
      <c r="G25" s="162" t="s">
        <v>433</v>
      </c>
      <c r="H25" s="161" t="s">
        <v>44</v>
      </c>
      <c r="I25" s="161" t="s">
        <v>92</v>
      </c>
      <c r="J25" s="161" t="s">
        <v>102</v>
      </c>
      <c r="K25" s="161" t="s">
        <v>54</v>
      </c>
      <c r="L25" s="161" t="s">
        <v>54</v>
      </c>
      <c r="M25" s="161" t="s">
        <v>54</v>
      </c>
      <c r="N25" s="161"/>
      <c r="O25" s="162"/>
    </row>
    <row r="26" spans="1:15" ht="90.75" customHeight="1">
      <c r="A26" s="161">
        <v>10</v>
      </c>
      <c r="B26" s="162" t="s">
        <v>460</v>
      </c>
      <c r="C26" s="162" t="s">
        <v>132</v>
      </c>
      <c r="D26" s="162" t="s">
        <v>431</v>
      </c>
      <c r="E26" s="162" t="s">
        <v>436</v>
      </c>
      <c r="F26" s="162"/>
      <c r="G26" s="162" t="s">
        <v>134</v>
      </c>
      <c r="H26" s="161" t="s">
        <v>44</v>
      </c>
      <c r="I26" s="161" t="s">
        <v>94</v>
      </c>
      <c r="J26" s="161" t="s">
        <v>102</v>
      </c>
      <c r="K26" s="161" t="s">
        <v>54</v>
      </c>
      <c r="L26" s="161" t="s">
        <v>54</v>
      </c>
      <c r="M26" s="161" t="s">
        <v>54</v>
      </c>
      <c r="N26" s="161"/>
      <c r="O26" s="162"/>
    </row>
    <row r="27" spans="1:15" ht="90.75" customHeight="1">
      <c r="A27" s="161">
        <v>11</v>
      </c>
      <c r="B27" s="162" t="s">
        <v>461</v>
      </c>
      <c r="C27" s="162" t="s">
        <v>136</v>
      </c>
      <c r="D27" s="162" t="s">
        <v>431</v>
      </c>
      <c r="E27" s="162" t="s">
        <v>438</v>
      </c>
      <c r="F27" s="162"/>
      <c r="G27" s="162" t="s">
        <v>138</v>
      </c>
      <c r="H27" s="161" t="s">
        <v>44</v>
      </c>
      <c r="I27" s="161" t="s">
        <v>94</v>
      </c>
      <c r="J27" s="161" t="s">
        <v>102</v>
      </c>
      <c r="K27" s="161" t="s">
        <v>54</v>
      </c>
      <c r="L27" s="161" t="s">
        <v>54</v>
      </c>
      <c r="M27" s="161" t="s">
        <v>54</v>
      </c>
      <c r="N27" s="161"/>
      <c r="O27" s="162"/>
    </row>
    <row r="28" spans="1:15" ht="102" customHeight="1">
      <c r="A28" s="161">
        <v>12</v>
      </c>
      <c r="B28" s="162" t="s">
        <v>462</v>
      </c>
      <c r="C28" s="162" t="s">
        <v>440</v>
      </c>
      <c r="D28" s="162" t="s">
        <v>431</v>
      </c>
      <c r="E28" s="162" t="s">
        <v>441</v>
      </c>
      <c r="F28" s="162"/>
      <c r="G28" s="162" t="s">
        <v>442</v>
      </c>
      <c r="H28" s="161" t="s">
        <v>44</v>
      </c>
      <c r="I28" s="161" t="s">
        <v>94</v>
      </c>
      <c r="J28" s="161" t="s">
        <v>102</v>
      </c>
      <c r="K28" s="161" t="s">
        <v>54</v>
      </c>
      <c r="L28" s="161" t="s">
        <v>54</v>
      </c>
      <c r="M28" s="161" t="s">
        <v>54</v>
      </c>
      <c r="N28" s="161"/>
      <c r="O28" s="162"/>
    </row>
    <row r="29" spans="1:15" ht="90.75" customHeight="1">
      <c r="A29" s="161">
        <v>13</v>
      </c>
      <c r="B29" s="162" t="s">
        <v>463</v>
      </c>
      <c r="C29" s="162" t="s">
        <v>444</v>
      </c>
      <c r="D29" s="162" t="s">
        <v>431</v>
      </c>
      <c r="E29" s="162" t="s">
        <v>445</v>
      </c>
      <c r="F29" s="162"/>
      <c r="G29" s="162" t="s">
        <v>464</v>
      </c>
      <c r="H29" s="161" t="s">
        <v>44</v>
      </c>
      <c r="I29" s="161" t="s">
        <v>94</v>
      </c>
      <c r="J29" s="161" t="s">
        <v>102</v>
      </c>
      <c r="K29" s="161" t="s">
        <v>54</v>
      </c>
      <c r="L29" s="161" t="s">
        <v>54</v>
      </c>
      <c r="M29" s="161" t="s">
        <v>54</v>
      </c>
      <c r="N29" s="161"/>
      <c r="O29" s="162"/>
    </row>
    <row r="30" spans="1:15" ht="90.75" customHeight="1">
      <c r="A30" s="161">
        <v>14</v>
      </c>
      <c r="B30" s="162" t="s">
        <v>465</v>
      </c>
      <c r="C30" s="162" t="s">
        <v>448</v>
      </c>
      <c r="D30" s="162" t="s">
        <v>431</v>
      </c>
      <c r="E30" s="162" t="s">
        <v>449</v>
      </c>
      <c r="F30" s="162"/>
      <c r="G30" s="162" t="s">
        <v>450</v>
      </c>
      <c r="H30" s="161" t="s">
        <v>44</v>
      </c>
      <c r="I30" s="161" t="s">
        <v>94</v>
      </c>
      <c r="J30" s="161" t="s">
        <v>102</v>
      </c>
      <c r="K30" s="161" t="s">
        <v>54</v>
      </c>
      <c r="L30" s="161" t="s">
        <v>54</v>
      </c>
      <c r="M30" s="161" t="s">
        <v>54</v>
      </c>
      <c r="N30" s="161"/>
      <c r="O30" s="162"/>
    </row>
    <row r="31" spans="1:15" ht="90.75" customHeight="1">
      <c r="A31" s="161">
        <v>15</v>
      </c>
      <c r="B31" s="162" t="s">
        <v>466</v>
      </c>
      <c r="C31" s="162" t="s">
        <v>452</v>
      </c>
      <c r="D31" s="162" t="s">
        <v>431</v>
      </c>
      <c r="E31" s="162" t="s">
        <v>453</v>
      </c>
      <c r="F31" s="162"/>
      <c r="G31" s="162" t="s">
        <v>450</v>
      </c>
      <c r="H31" s="161" t="s">
        <v>44</v>
      </c>
      <c r="I31" s="161" t="s">
        <v>94</v>
      </c>
      <c r="J31" s="161" t="s">
        <v>102</v>
      </c>
      <c r="K31" s="161" t="s">
        <v>54</v>
      </c>
      <c r="L31" s="161" t="s">
        <v>54</v>
      </c>
      <c r="M31" s="161" t="s">
        <v>54</v>
      </c>
      <c r="N31" s="161"/>
      <c r="O31" s="162"/>
    </row>
    <row r="32" spans="1:15" ht="102" customHeight="1">
      <c r="A32" s="161">
        <v>16</v>
      </c>
      <c r="B32" s="162" t="s">
        <v>467</v>
      </c>
      <c r="C32" s="162" t="s">
        <v>455</v>
      </c>
      <c r="D32" s="162" t="s">
        <v>431</v>
      </c>
      <c r="E32" s="162" t="s">
        <v>456</v>
      </c>
      <c r="F32" s="162"/>
      <c r="G32" s="162" t="s">
        <v>457</v>
      </c>
      <c r="H32" s="161" t="s">
        <v>44</v>
      </c>
      <c r="I32" s="161" t="s">
        <v>94</v>
      </c>
      <c r="J32" s="161" t="s">
        <v>102</v>
      </c>
      <c r="K32" s="161" t="s">
        <v>54</v>
      </c>
      <c r="L32" s="161" t="s">
        <v>54</v>
      </c>
      <c r="M32" s="161" t="s">
        <v>54</v>
      </c>
      <c r="N32" s="161"/>
      <c r="O32" s="162"/>
    </row>
    <row r="33" spans="1:15" ht="18" customHeight="1">
      <c r="A33" s="134" t="s">
        <v>165</v>
      </c>
      <c r="B33" s="135" t="s">
        <v>468</v>
      </c>
      <c r="C33" s="135"/>
      <c r="D33" s="135"/>
      <c r="E33" s="135"/>
      <c r="F33" s="135"/>
      <c r="G33" s="135"/>
      <c r="H33" s="135"/>
      <c r="I33" s="135"/>
      <c r="J33" s="135"/>
      <c r="K33" s="135"/>
      <c r="L33" s="135"/>
      <c r="M33" s="135"/>
      <c r="N33" s="135"/>
      <c r="O33" s="135"/>
    </row>
    <row r="34" spans="1:15" ht="147" customHeight="1">
      <c r="A34" s="161">
        <v>17</v>
      </c>
      <c r="B34" s="162" t="s">
        <v>469</v>
      </c>
      <c r="C34" s="162" t="s">
        <v>126</v>
      </c>
      <c r="D34" s="162" t="s">
        <v>431</v>
      </c>
      <c r="E34" s="162" t="s">
        <v>432</v>
      </c>
      <c r="F34" s="162"/>
      <c r="G34" s="162" t="s">
        <v>470</v>
      </c>
      <c r="H34" s="161" t="s">
        <v>44</v>
      </c>
      <c r="I34" s="161" t="s">
        <v>92</v>
      </c>
      <c r="J34" s="161" t="s">
        <v>102</v>
      </c>
      <c r="K34" s="161" t="s">
        <v>54</v>
      </c>
      <c r="L34" s="161" t="s">
        <v>54</v>
      </c>
      <c r="M34" s="161" t="s">
        <v>54</v>
      </c>
      <c r="N34" s="161"/>
      <c r="O34" s="162"/>
    </row>
    <row r="35" spans="1:15" ht="90.75" customHeight="1">
      <c r="A35" s="161">
        <v>18</v>
      </c>
      <c r="B35" s="162" t="s">
        <v>471</v>
      </c>
      <c r="C35" s="162" t="s">
        <v>132</v>
      </c>
      <c r="D35" s="162" t="s">
        <v>431</v>
      </c>
      <c r="E35" s="162" t="s">
        <v>436</v>
      </c>
      <c r="F35" s="162"/>
      <c r="G35" s="162" t="s">
        <v>134</v>
      </c>
      <c r="H35" s="161" t="s">
        <v>44</v>
      </c>
      <c r="I35" s="161" t="s">
        <v>94</v>
      </c>
      <c r="J35" s="161" t="s">
        <v>102</v>
      </c>
      <c r="K35" s="161" t="s">
        <v>54</v>
      </c>
      <c r="L35" s="161" t="s">
        <v>54</v>
      </c>
      <c r="M35" s="161" t="s">
        <v>54</v>
      </c>
      <c r="N35" s="161"/>
      <c r="O35" s="162"/>
    </row>
    <row r="36" spans="1:15" ht="90.75" customHeight="1">
      <c r="A36" s="161">
        <v>19</v>
      </c>
      <c r="B36" s="162" t="s">
        <v>472</v>
      </c>
      <c r="C36" s="162" t="s">
        <v>136</v>
      </c>
      <c r="D36" s="162" t="s">
        <v>431</v>
      </c>
      <c r="E36" s="162" t="s">
        <v>438</v>
      </c>
      <c r="F36" s="162"/>
      <c r="G36" s="162" t="s">
        <v>138</v>
      </c>
      <c r="H36" s="161" t="s">
        <v>44</v>
      </c>
      <c r="I36" s="161" t="s">
        <v>94</v>
      </c>
      <c r="J36" s="161" t="s">
        <v>102</v>
      </c>
      <c r="K36" s="161" t="s">
        <v>54</v>
      </c>
      <c r="L36" s="161" t="s">
        <v>54</v>
      </c>
      <c r="M36" s="161" t="s">
        <v>54</v>
      </c>
      <c r="N36" s="161"/>
      <c r="O36" s="162"/>
    </row>
    <row r="37" spans="1:15" ht="102" customHeight="1">
      <c r="A37" s="161">
        <v>20</v>
      </c>
      <c r="B37" s="162" t="s">
        <v>473</v>
      </c>
      <c r="C37" s="162" t="s">
        <v>440</v>
      </c>
      <c r="D37" s="162" t="s">
        <v>431</v>
      </c>
      <c r="E37" s="162" t="s">
        <v>441</v>
      </c>
      <c r="F37" s="162"/>
      <c r="G37" s="162" t="s">
        <v>474</v>
      </c>
      <c r="H37" s="161" t="s">
        <v>44</v>
      </c>
      <c r="I37" s="161" t="s">
        <v>94</v>
      </c>
      <c r="J37" s="161" t="s">
        <v>102</v>
      </c>
      <c r="K37" s="161" t="s">
        <v>54</v>
      </c>
      <c r="L37" s="161" t="s">
        <v>54</v>
      </c>
      <c r="M37" s="161" t="s">
        <v>54</v>
      </c>
      <c r="N37" s="161"/>
      <c r="O37" s="162"/>
    </row>
    <row r="38" spans="1:15" ht="90.75" customHeight="1">
      <c r="A38" s="161">
        <v>21</v>
      </c>
      <c r="B38" s="162" t="s">
        <v>475</v>
      </c>
      <c r="C38" s="162" t="s">
        <v>444</v>
      </c>
      <c r="D38" s="162" t="s">
        <v>431</v>
      </c>
      <c r="E38" s="162" t="s">
        <v>445</v>
      </c>
      <c r="F38" s="162"/>
      <c r="G38" s="162" t="s">
        <v>446</v>
      </c>
      <c r="H38" s="161" t="s">
        <v>44</v>
      </c>
      <c r="I38" s="161" t="s">
        <v>94</v>
      </c>
      <c r="J38" s="161" t="s">
        <v>102</v>
      </c>
      <c r="K38" s="161" t="s">
        <v>54</v>
      </c>
      <c r="L38" s="161" t="s">
        <v>54</v>
      </c>
      <c r="M38" s="161" t="s">
        <v>54</v>
      </c>
      <c r="N38" s="161"/>
      <c r="O38" s="162"/>
    </row>
    <row r="39" spans="1:15" ht="90.75" customHeight="1">
      <c r="A39" s="161">
        <v>22</v>
      </c>
      <c r="B39" s="162" t="s">
        <v>476</v>
      </c>
      <c r="C39" s="162" t="s">
        <v>448</v>
      </c>
      <c r="D39" s="162" t="s">
        <v>431</v>
      </c>
      <c r="E39" s="162" t="s">
        <v>449</v>
      </c>
      <c r="F39" s="162"/>
      <c r="G39" s="162" t="s">
        <v>477</v>
      </c>
      <c r="H39" s="161" t="s">
        <v>44</v>
      </c>
      <c r="I39" s="161" t="s">
        <v>94</v>
      </c>
      <c r="J39" s="161" t="s">
        <v>102</v>
      </c>
      <c r="K39" s="161" t="s">
        <v>54</v>
      </c>
      <c r="L39" s="161" t="s">
        <v>54</v>
      </c>
      <c r="M39" s="161" t="s">
        <v>54</v>
      </c>
      <c r="N39" s="161"/>
      <c r="O39" s="162"/>
    </row>
    <row r="40" spans="1:15" ht="90.75" customHeight="1">
      <c r="A40" s="161">
        <v>23</v>
      </c>
      <c r="B40" s="162" t="s">
        <v>478</v>
      </c>
      <c r="C40" s="162" t="s">
        <v>452</v>
      </c>
      <c r="D40" s="162" t="s">
        <v>431</v>
      </c>
      <c r="E40" s="162" t="s">
        <v>453</v>
      </c>
      <c r="F40" s="162"/>
      <c r="G40" s="162" t="s">
        <v>477</v>
      </c>
      <c r="H40" s="161" t="s">
        <v>44</v>
      </c>
      <c r="I40" s="161" t="s">
        <v>94</v>
      </c>
      <c r="J40" s="161" t="s">
        <v>102</v>
      </c>
      <c r="K40" s="161" t="s">
        <v>54</v>
      </c>
      <c r="L40" s="161" t="s">
        <v>54</v>
      </c>
      <c r="M40" s="161" t="s">
        <v>54</v>
      </c>
      <c r="N40" s="161"/>
      <c r="O40" s="162"/>
    </row>
    <row r="41" spans="1:15" ht="102" customHeight="1">
      <c r="A41" s="161">
        <v>24</v>
      </c>
      <c r="B41" s="162" t="s">
        <v>479</v>
      </c>
      <c r="C41" s="162" t="s">
        <v>455</v>
      </c>
      <c r="D41" s="162" t="s">
        <v>431</v>
      </c>
      <c r="E41" s="162" t="s">
        <v>456</v>
      </c>
      <c r="F41" s="162"/>
      <c r="G41" s="162" t="s">
        <v>480</v>
      </c>
      <c r="H41" s="161" t="s">
        <v>44</v>
      </c>
      <c r="I41" s="161" t="s">
        <v>94</v>
      </c>
      <c r="J41" s="161" t="s">
        <v>102</v>
      </c>
      <c r="K41" s="161" t="s">
        <v>54</v>
      </c>
      <c r="L41" s="161" t="s">
        <v>54</v>
      </c>
      <c r="M41" s="161" t="s">
        <v>54</v>
      </c>
      <c r="N41" s="161"/>
      <c r="O41" s="162"/>
    </row>
    <row r="42" spans="1:15" ht="102" customHeight="1">
      <c r="A42" s="161">
        <v>25</v>
      </c>
      <c r="B42" s="162" t="s">
        <v>481</v>
      </c>
      <c r="C42" s="162" t="s">
        <v>482</v>
      </c>
      <c r="D42" s="162" t="s">
        <v>431</v>
      </c>
      <c r="E42" s="162" t="s">
        <v>483</v>
      </c>
      <c r="F42" s="162"/>
      <c r="G42" s="162" t="s">
        <v>179</v>
      </c>
      <c r="H42" s="161" t="s">
        <v>44</v>
      </c>
      <c r="I42" s="161" t="s">
        <v>94</v>
      </c>
      <c r="J42" s="161" t="s">
        <v>102</v>
      </c>
      <c r="K42" s="161" t="s">
        <v>54</v>
      </c>
      <c r="L42" s="161" t="s">
        <v>54</v>
      </c>
      <c r="M42" s="161" t="s">
        <v>54</v>
      </c>
      <c r="N42" s="161"/>
      <c r="O42" s="162"/>
    </row>
    <row r="43" spans="1:15" ht="18" customHeight="1">
      <c r="A43" s="134" t="s">
        <v>317</v>
      </c>
      <c r="B43" s="135" t="s">
        <v>484</v>
      </c>
      <c r="C43" s="135"/>
      <c r="D43" s="135"/>
      <c r="E43" s="135"/>
      <c r="F43" s="135"/>
      <c r="G43" s="135"/>
      <c r="H43" s="135"/>
      <c r="I43" s="135"/>
      <c r="J43" s="135"/>
      <c r="K43" s="135"/>
      <c r="L43" s="135"/>
      <c r="M43" s="135"/>
      <c r="N43" s="135"/>
      <c r="O43" s="135"/>
    </row>
    <row r="44" spans="1:15" ht="147" customHeight="1">
      <c r="A44" s="161">
        <v>26</v>
      </c>
      <c r="B44" s="162" t="s">
        <v>485</v>
      </c>
      <c r="C44" s="162" t="s">
        <v>126</v>
      </c>
      <c r="D44" s="162" t="s">
        <v>431</v>
      </c>
      <c r="E44" s="162" t="s">
        <v>432</v>
      </c>
      <c r="F44" s="162"/>
      <c r="G44" s="162" t="s">
        <v>470</v>
      </c>
      <c r="H44" s="161" t="s">
        <v>44</v>
      </c>
      <c r="I44" s="161" t="s">
        <v>92</v>
      </c>
      <c r="J44" s="161" t="s">
        <v>102</v>
      </c>
      <c r="K44" s="161" t="s">
        <v>54</v>
      </c>
      <c r="L44" s="161" t="s">
        <v>54</v>
      </c>
      <c r="M44" s="161" t="s">
        <v>54</v>
      </c>
      <c r="N44" s="161"/>
      <c r="O44" s="162"/>
    </row>
    <row r="45" spans="1:15" ht="90.75" customHeight="1">
      <c r="A45" s="161">
        <v>27</v>
      </c>
      <c r="B45" s="162" t="s">
        <v>486</v>
      </c>
      <c r="C45" s="162" t="s">
        <v>132</v>
      </c>
      <c r="D45" s="162" t="s">
        <v>431</v>
      </c>
      <c r="E45" s="162" t="s">
        <v>436</v>
      </c>
      <c r="F45" s="162"/>
      <c r="G45" s="162" t="s">
        <v>134</v>
      </c>
      <c r="H45" s="161" t="s">
        <v>44</v>
      </c>
      <c r="I45" s="161" t="s">
        <v>94</v>
      </c>
      <c r="J45" s="161" t="s">
        <v>102</v>
      </c>
      <c r="K45" s="161" t="s">
        <v>54</v>
      </c>
      <c r="L45" s="161" t="s">
        <v>54</v>
      </c>
      <c r="M45" s="161" t="s">
        <v>54</v>
      </c>
      <c r="N45" s="161"/>
      <c r="O45" s="162"/>
    </row>
    <row r="46" spans="1:15" ht="90.75" customHeight="1">
      <c r="A46" s="161">
        <v>28</v>
      </c>
      <c r="B46" s="162" t="s">
        <v>487</v>
      </c>
      <c r="C46" s="162" t="s">
        <v>136</v>
      </c>
      <c r="D46" s="162" t="s">
        <v>431</v>
      </c>
      <c r="E46" s="162" t="s">
        <v>438</v>
      </c>
      <c r="F46" s="162"/>
      <c r="G46" s="162" t="s">
        <v>138</v>
      </c>
      <c r="H46" s="161" t="s">
        <v>44</v>
      </c>
      <c r="I46" s="161" t="s">
        <v>94</v>
      </c>
      <c r="J46" s="161" t="s">
        <v>102</v>
      </c>
      <c r="K46" s="161" t="s">
        <v>54</v>
      </c>
      <c r="L46" s="161" t="s">
        <v>54</v>
      </c>
      <c r="M46" s="161" t="s">
        <v>54</v>
      </c>
      <c r="N46" s="161"/>
      <c r="O46" s="162"/>
    </row>
    <row r="47" spans="1:15" ht="102" customHeight="1">
      <c r="A47" s="161">
        <v>29</v>
      </c>
      <c r="B47" s="162" t="s">
        <v>488</v>
      </c>
      <c r="C47" s="162" t="s">
        <v>440</v>
      </c>
      <c r="D47" s="162" t="s">
        <v>431</v>
      </c>
      <c r="E47" s="162" t="s">
        <v>441</v>
      </c>
      <c r="F47" s="162"/>
      <c r="G47" s="162" t="s">
        <v>474</v>
      </c>
      <c r="H47" s="161" t="s">
        <v>44</v>
      </c>
      <c r="I47" s="161" t="s">
        <v>94</v>
      </c>
      <c r="J47" s="161" t="s">
        <v>102</v>
      </c>
      <c r="K47" s="161" t="s">
        <v>54</v>
      </c>
      <c r="L47" s="161" t="s">
        <v>54</v>
      </c>
      <c r="M47" s="161" t="s">
        <v>54</v>
      </c>
      <c r="N47" s="161"/>
      <c r="O47" s="162"/>
    </row>
    <row r="48" spans="1:15" ht="90.75" customHeight="1">
      <c r="A48" s="161">
        <v>30</v>
      </c>
      <c r="B48" s="162" t="s">
        <v>489</v>
      </c>
      <c r="C48" s="162" t="s">
        <v>444</v>
      </c>
      <c r="D48" s="162" t="s">
        <v>431</v>
      </c>
      <c r="E48" s="162" t="s">
        <v>445</v>
      </c>
      <c r="F48" s="162"/>
      <c r="G48" s="162" t="s">
        <v>253</v>
      </c>
      <c r="H48" s="161" t="s">
        <v>44</v>
      </c>
      <c r="I48" s="161" t="s">
        <v>94</v>
      </c>
      <c r="J48" s="161" t="s">
        <v>102</v>
      </c>
      <c r="K48" s="161" t="s">
        <v>54</v>
      </c>
      <c r="L48" s="161" t="s">
        <v>54</v>
      </c>
      <c r="M48" s="161" t="s">
        <v>54</v>
      </c>
      <c r="N48" s="161"/>
      <c r="O48" s="162"/>
    </row>
    <row r="49" spans="1:15" ht="90.75" customHeight="1">
      <c r="A49" s="161">
        <v>31</v>
      </c>
      <c r="B49" s="162" t="s">
        <v>490</v>
      </c>
      <c r="C49" s="162" t="s">
        <v>448</v>
      </c>
      <c r="D49" s="162" t="s">
        <v>431</v>
      </c>
      <c r="E49" s="162" t="s">
        <v>449</v>
      </c>
      <c r="F49" s="162"/>
      <c r="G49" s="162" t="s">
        <v>477</v>
      </c>
      <c r="H49" s="161" t="s">
        <v>44</v>
      </c>
      <c r="I49" s="161" t="s">
        <v>94</v>
      </c>
      <c r="J49" s="161" t="s">
        <v>102</v>
      </c>
      <c r="K49" s="161" t="s">
        <v>54</v>
      </c>
      <c r="L49" s="161" t="s">
        <v>54</v>
      </c>
      <c r="M49" s="161" t="s">
        <v>54</v>
      </c>
      <c r="N49" s="161"/>
      <c r="O49" s="162"/>
    </row>
    <row r="50" spans="1:15" ht="90.75" customHeight="1">
      <c r="A50" s="161">
        <v>32</v>
      </c>
      <c r="B50" s="162" t="s">
        <v>491</v>
      </c>
      <c r="C50" s="162" t="s">
        <v>452</v>
      </c>
      <c r="D50" s="162" t="s">
        <v>431</v>
      </c>
      <c r="E50" s="162" t="s">
        <v>453</v>
      </c>
      <c r="F50" s="162"/>
      <c r="G50" s="162" t="s">
        <v>477</v>
      </c>
      <c r="H50" s="161" t="s">
        <v>44</v>
      </c>
      <c r="I50" s="161" t="s">
        <v>94</v>
      </c>
      <c r="J50" s="161" t="s">
        <v>102</v>
      </c>
      <c r="K50" s="161" t="s">
        <v>54</v>
      </c>
      <c r="L50" s="161" t="s">
        <v>54</v>
      </c>
      <c r="M50" s="161" t="s">
        <v>54</v>
      </c>
      <c r="N50" s="161"/>
      <c r="O50" s="162"/>
    </row>
    <row r="51" spans="1:15" ht="102" customHeight="1">
      <c r="A51" s="161">
        <v>33</v>
      </c>
      <c r="B51" s="162" t="s">
        <v>492</v>
      </c>
      <c r="C51" s="162" t="s">
        <v>455</v>
      </c>
      <c r="D51" s="162" t="s">
        <v>431</v>
      </c>
      <c r="E51" s="162" t="s">
        <v>456</v>
      </c>
      <c r="F51" s="162"/>
      <c r="G51" s="162" t="s">
        <v>480</v>
      </c>
      <c r="H51" s="161" t="s">
        <v>44</v>
      </c>
      <c r="I51" s="161" t="s">
        <v>94</v>
      </c>
      <c r="J51" s="161" t="s">
        <v>102</v>
      </c>
      <c r="K51" s="161" t="s">
        <v>54</v>
      </c>
      <c r="L51" s="161" t="s">
        <v>54</v>
      </c>
      <c r="M51" s="161" t="s">
        <v>54</v>
      </c>
      <c r="N51" s="161"/>
      <c r="O51" s="162"/>
    </row>
    <row r="52" spans="1:15" ht="102" customHeight="1">
      <c r="A52" s="161">
        <v>34</v>
      </c>
      <c r="B52" s="162" t="s">
        <v>493</v>
      </c>
      <c r="C52" s="162" t="s">
        <v>482</v>
      </c>
      <c r="D52" s="162" t="s">
        <v>431</v>
      </c>
      <c r="E52" s="162" t="s">
        <v>483</v>
      </c>
      <c r="F52" s="162"/>
      <c r="G52" s="162" t="s">
        <v>179</v>
      </c>
      <c r="H52" s="161" t="s">
        <v>44</v>
      </c>
      <c r="I52" s="161" t="s">
        <v>94</v>
      </c>
      <c r="J52" s="161" t="s">
        <v>102</v>
      </c>
      <c r="K52" s="161" t="s">
        <v>54</v>
      </c>
      <c r="L52" s="161" t="s">
        <v>54</v>
      </c>
      <c r="M52" s="161" t="s">
        <v>54</v>
      </c>
      <c r="N52" s="161"/>
      <c r="O52" s="162"/>
    </row>
    <row r="53" spans="1:15" ht="18" customHeight="1">
      <c r="A53" s="159" t="s">
        <v>180</v>
      </c>
      <c r="B53" s="159"/>
      <c r="C53" s="159"/>
      <c r="D53" s="159"/>
      <c r="E53" s="159"/>
      <c r="F53" s="159"/>
      <c r="G53" s="159"/>
      <c r="H53" s="159"/>
      <c r="I53" s="159"/>
      <c r="J53" s="159"/>
      <c r="K53" s="159"/>
      <c r="L53" s="159"/>
      <c r="M53" s="159"/>
      <c r="N53" s="159"/>
      <c r="O53" s="159"/>
    </row>
    <row r="54" spans="1:15" ht="18" customHeight="1">
      <c r="A54" s="134" t="s">
        <v>123</v>
      </c>
      <c r="B54" s="135" t="s">
        <v>429</v>
      </c>
      <c r="C54" s="135"/>
      <c r="D54" s="135"/>
      <c r="E54" s="135"/>
      <c r="F54" s="135"/>
      <c r="G54" s="135"/>
      <c r="H54" s="135"/>
      <c r="I54" s="135"/>
      <c r="J54" s="135"/>
      <c r="K54" s="135"/>
      <c r="L54" s="135"/>
      <c r="M54" s="135"/>
      <c r="N54" s="135"/>
      <c r="O54" s="135"/>
    </row>
    <row r="55" spans="1:15" ht="124.5" customHeight="1">
      <c r="A55" s="161">
        <v>35</v>
      </c>
      <c r="B55" s="162" t="s">
        <v>494</v>
      </c>
      <c r="C55" s="162" t="s">
        <v>182</v>
      </c>
      <c r="D55" s="162" t="s">
        <v>495</v>
      </c>
      <c r="E55" s="162" t="s">
        <v>184</v>
      </c>
      <c r="F55" s="162"/>
      <c r="G55" s="162" t="s">
        <v>185</v>
      </c>
      <c r="H55" s="161" t="s">
        <v>44</v>
      </c>
      <c r="I55" s="161" t="s">
        <v>92</v>
      </c>
      <c r="J55" s="161" t="s">
        <v>102</v>
      </c>
      <c r="K55" s="161" t="s">
        <v>54</v>
      </c>
      <c r="L55" s="161" t="s">
        <v>54</v>
      </c>
      <c r="M55" s="161" t="s">
        <v>54</v>
      </c>
      <c r="N55" s="161"/>
      <c r="O55" s="162"/>
    </row>
    <row r="56" spans="1:15" ht="124.5" customHeight="1">
      <c r="A56" s="161">
        <v>36</v>
      </c>
      <c r="B56" s="162" t="s">
        <v>496</v>
      </c>
      <c r="C56" s="162" t="s">
        <v>187</v>
      </c>
      <c r="D56" s="162" t="s">
        <v>495</v>
      </c>
      <c r="E56" s="162" t="s">
        <v>184</v>
      </c>
      <c r="F56" s="162"/>
      <c r="G56" s="162" t="s">
        <v>185</v>
      </c>
      <c r="H56" s="161" t="s">
        <v>44</v>
      </c>
      <c r="I56" s="161" t="s">
        <v>92</v>
      </c>
      <c r="J56" s="161" t="s">
        <v>102</v>
      </c>
      <c r="K56" s="161" t="s">
        <v>54</v>
      </c>
      <c r="L56" s="161" t="s">
        <v>54</v>
      </c>
      <c r="M56" s="161" t="s">
        <v>54</v>
      </c>
      <c r="N56" s="161"/>
      <c r="O56" s="162"/>
    </row>
    <row r="57" spans="1:15" ht="124.5" customHeight="1">
      <c r="A57" s="161">
        <v>37</v>
      </c>
      <c r="B57" s="162" t="s">
        <v>497</v>
      </c>
      <c r="C57" s="162" t="s">
        <v>498</v>
      </c>
      <c r="D57" s="162" t="s">
        <v>495</v>
      </c>
      <c r="E57" s="162" t="s">
        <v>184</v>
      </c>
      <c r="F57" s="162"/>
      <c r="G57" s="162" t="s">
        <v>190</v>
      </c>
      <c r="H57" s="161" t="s">
        <v>44</v>
      </c>
      <c r="I57" s="161" t="s">
        <v>94</v>
      </c>
      <c r="J57" s="161" t="s">
        <v>102</v>
      </c>
      <c r="K57" s="161" t="s">
        <v>54</v>
      </c>
      <c r="L57" s="161" t="s">
        <v>54</v>
      </c>
      <c r="M57" s="161" t="s">
        <v>54</v>
      </c>
      <c r="N57" s="161"/>
      <c r="O57" s="162"/>
    </row>
    <row r="58" spans="1:15" ht="124.5" customHeight="1">
      <c r="A58" s="161">
        <v>38</v>
      </c>
      <c r="B58" s="162" t="s">
        <v>499</v>
      </c>
      <c r="C58" s="162" t="s">
        <v>500</v>
      </c>
      <c r="D58" s="162" t="s">
        <v>495</v>
      </c>
      <c r="E58" s="162" t="s">
        <v>184</v>
      </c>
      <c r="F58" s="162"/>
      <c r="G58" s="162" t="s">
        <v>190</v>
      </c>
      <c r="H58" s="161" t="s">
        <v>44</v>
      </c>
      <c r="I58" s="161" t="s">
        <v>94</v>
      </c>
      <c r="J58" s="161" t="s">
        <v>102</v>
      </c>
      <c r="K58" s="161" t="s">
        <v>54</v>
      </c>
      <c r="L58" s="161" t="s">
        <v>54</v>
      </c>
      <c r="M58" s="161" t="s">
        <v>54</v>
      </c>
      <c r="N58" s="161"/>
      <c r="O58" s="162"/>
    </row>
    <row r="59" spans="1:15" ht="124.5" customHeight="1">
      <c r="A59" s="161">
        <v>39</v>
      </c>
      <c r="B59" s="162" t="s">
        <v>501</v>
      </c>
      <c r="C59" s="162" t="s">
        <v>502</v>
      </c>
      <c r="D59" s="162" t="s">
        <v>495</v>
      </c>
      <c r="E59" s="162" t="s">
        <v>184</v>
      </c>
      <c r="F59" s="162"/>
      <c r="G59" s="162" t="s">
        <v>190</v>
      </c>
      <c r="H59" s="161" t="s">
        <v>44</v>
      </c>
      <c r="I59" s="161" t="s">
        <v>94</v>
      </c>
      <c r="J59" s="161" t="s">
        <v>102</v>
      </c>
      <c r="K59" s="161" t="s">
        <v>54</v>
      </c>
      <c r="L59" s="161" t="s">
        <v>54</v>
      </c>
      <c r="M59" s="161" t="s">
        <v>54</v>
      </c>
      <c r="N59" s="161"/>
      <c r="O59" s="162"/>
    </row>
    <row r="60" spans="1:15" ht="124.5" customHeight="1">
      <c r="A60" s="161">
        <v>40</v>
      </c>
      <c r="B60" s="162" t="s">
        <v>503</v>
      </c>
      <c r="C60" s="162" t="s">
        <v>504</v>
      </c>
      <c r="D60" s="162" t="s">
        <v>495</v>
      </c>
      <c r="E60" s="162" t="s">
        <v>184</v>
      </c>
      <c r="F60" s="162"/>
      <c r="G60" s="162" t="s">
        <v>190</v>
      </c>
      <c r="H60" s="161" t="s">
        <v>44</v>
      </c>
      <c r="I60" s="161" t="s">
        <v>94</v>
      </c>
      <c r="J60" s="161" t="s">
        <v>102</v>
      </c>
      <c r="K60" s="161" t="s">
        <v>54</v>
      </c>
      <c r="L60" s="161" t="s">
        <v>54</v>
      </c>
      <c r="M60" s="161" t="s">
        <v>54</v>
      </c>
      <c r="N60" s="161"/>
      <c r="O60" s="162"/>
    </row>
    <row r="61" spans="1:15" ht="124.5" customHeight="1">
      <c r="A61" s="161">
        <v>41</v>
      </c>
      <c r="B61" s="162" t="s">
        <v>505</v>
      </c>
      <c r="C61" s="162" t="s">
        <v>506</v>
      </c>
      <c r="D61" s="162" t="s">
        <v>495</v>
      </c>
      <c r="E61" s="162" t="s">
        <v>184</v>
      </c>
      <c r="F61" s="162"/>
      <c r="G61" s="162" t="s">
        <v>190</v>
      </c>
      <c r="H61" s="161" t="s">
        <v>44</v>
      </c>
      <c r="I61" s="161" t="s">
        <v>94</v>
      </c>
      <c r="J61" s="161" t="s">
        <v>102</v>
      </c>
      <c r="K61" s="161" t="s">
        <v>54</v>
      </c>
      <c r="L61" s="161" t="s">
        <v>54</v>
      </c>
      <c r="M61" s="161" t="s">
        <v>54</v>
      </c>
      <c r="N61" s="161"/>
      <c r="O61" s="162"/>
    </row>
    <row r="62" spans="1:15" ht="18" customHeight="1">
      <c r="A62" s="134" t="s">
        <v>150</v>
      </c>
      <c r="B62" s="135" t="s">
        <v>458</v>
      </c>
      <c r="C62" s="135"/>
      <c r="D62" s="135"/>
      <c r="E62" s="135"/>
      <c r="F62" s="135"/>
      <c r="G62" s="135"/>
      <c r="H62" s="135"/>
      <c r="I62" s="135"/>
      <c r="J62" s="135"/>
      <c r="K62" s="135"/>
      <c r="L62" s="135"/>
      <c r="M62" s="135"/>
      <c r="N62" s="135"/>
      <c r="O62" s="135"/>
    </row>
    <row r="63" spans="1:15" ht="124.5" customHeight="1">
      <c r="A63" s="161">
        <v>42</v>
      </c>
      <c r="B63" s="162" t="s">
        <v>507</v>
      </c>
      <c r="C63" s="162" t="s">
        <v>182</v>
      </c>
      <c r="D63" s="162" t="s">
        <v>508</v>
      </c>
      <c r="E63" s="162" t="s">
        <v>184</v>
      </c>
      <c r="F63" s="162"/>
      <c r="G63" s="162" t="s">
        <v>185</v>
      </c>
      <c r="H63" s="161" t="s">
        <v>44</v>
      </c>
      <c r="I63" s="161" t="s">
        <v>92</v>
      </c>
      <c r="J63" s="161" t="s">
        <v>102</v>
      </c>
      <c r="K63" s="161" t="s">
        <v>54</v>
      </c>
      <c r="L63" s="161" t="s">
        <v>54</v>
      </c>
      <c r="M63" s="161" t="s">
        <v>54</v>
      </c>
      <c r="N63" s="161"/>
      <c r="O63" s="162"/>
    </row>
    <row r="64" spans="1:15" ht="124.5" customHeight="1">
      <c r="A64" s="161">
        <v>43</v>
      </c>
      <c r="B64" s="162" t="s">
        <v>509</v>
      </c>
      <c r="C64" s="162" t="s">
        <v>187</v>
      </c>
      <c r="D64" s="162" t="s">
        <v>508</v>
      </c>
      <c r="E64" s="162" t="s">
        <v>184</v>
      </c>
      <c r="F64" s="162"/>
      <c r="G64" s="162" t="s">
        <v>185</v>
      </c>
      <c r="H64" s="161" t="s">
        <v>44</v>
      </c>
      <c r="I64" s="161" t="s">
        <v>92</v>
      </c>
      <c r="J64" s="161" t="s">
        <v>102</v>
      </c>
      <c r="K64" s="161" t="s">
        <v>54</v>
      </c>
      <c r="L64" s="161" t="s">
        <v>54</v>
      </c>
      <c r="M64" s="161" t="s">
        <v>54</v>
      </c>
      <c r="N64" s="161"/>
      <c r="O64" s="162"/>
    </row>
    <row r="65" spans="1:15" ht="124.5" customHeight="1">
      <c r="A65" s="161">
        <v>44</v>
      </c>
      <c r="B65" s="162" t="s">
        <v>510</v>
      </c>
      <c r="C65" s="162" t="s">
        <v>498</v>
      </c>
      <c r="D65" s="162" t="s">
        <v>508</v>
      </c>
      <c r="E65" s="162" t="s">
        <v>184</v>
      </c>
      <c r="F65" s="162"/>
      <c r="G65" s="162" t="s">
        <v>190</v>
      </c>
      <c r="H65" s="161" t="s">
        <v>44</v>
      </c>
      <c r="I65" s="161" t="s">
        <v>94</v>
      </c>
      <c r="J65" s="161" t="s">
        <v>102</v>
      </c>
      <c r="K65" s="161" t="s">
        <v>54</v>
      </c>
      <c r="L65" s="161" t="s">
        <v>54</v>
      </c>
      <c r="M65" s="161" t="s">
        <v>54</v>
      </c>
      <c r="N65" s="161"/>
      <c r="O65" s="162"/>
    </row>
    <row r="66" spans="1:15" ht="124.5" customHeight="1">
      <c r="A66" s="161">
        <v>45</v>
      </c>
      <c r="B66" s="162" t="s">
        <v>511</v>
      </c>
      <c r="C66" s="162" t="s">
        <v>500</v>
      </c>
      <c r="D66" s="162" t="s">
        <v>508</v>
      </c>
      <c r="E66" s="162" t="s">
        <v>184</v>
      </c>
      <c r="F66" s="162"/>
      <c r="G66" s="162" t="s">
        <v>190</v>
      </c>
      <c r="H66" s="161" t="s">
        <v>44</v>
      </c>
      <c r="I66" s="161" t="s">
        <v>94</v>
      </c>
      <c r="J66" s="161" t="s">
        <v>102</v>
      </c>
      <c r="K66" s="161" t="s">
        <v>54</v>
      </c>
      <c r="L66" s="161" t="s">
        <v>54</v>
      </c>
      <c r="M66" s="161" t="s">
        <v>54</v>
      </c>
      <c r="N66" s="161"/>
      <c r="O66" s="162"/>
    </row>
    <row r="67" spans="1:15" ht="124.5" customHeight="1">
      <c r="A67" s="161">
        <v>46</v>
      </c>
      <c r="B67" s="162" t="s">
        <v>512</v>
      </c>
      <c r="C67" s="162" t="s">
        <v>502</v>
      </c>
      <c r="D67" s="162" t="s">
        <v>508</v>
      </c>
      <c r="E67" s="162" t="s">
        <v>184</v>
      </c>
      <c r="F67" s="162"/>
      <c r="G67" s="162" t="s">
        <v>190</v>
      </c>
      <c r="H67" s="161" t="s">
        <v>44</v>
      </c>
      <c r="I67" s="161" t="s">
        <v>94</v>
      </c>
      <c r="J67" s="161" t="s">
        <v>102</v>
      </c>
      <c r="K67" s="161" t="s">
        <v>54</v>
      </c>
      <c r="L67" s="161" t="s">
        <v>54</v>
      </c>
      <c r="M67" s="161" t="s">
        <v>54</v>
      </c>
      <c r="N67" s="161"/>
      <c r="O67" s="162"/>
    </row>
    <row r="68" spans="1:15" ht="124.5" customHeight="1">
      <c r="A68" s="161">
        <v>47</v>
      </c>
      <c r="B68" s="162" t="s">
        <v>513</v>
      </c>
      <c r="C68" s="162" t="s">
        <v>504</v>
      </c>
      <c r="D68" s="162" t="s">
        <v>508</v>
      </c>
      <c r="E68" s="162" t="s">
        <v>184</v>
      </c>
      <c r="F68" s="162"/>
      <c r="G68" s="162" t="s">
        <v>190</v>
      </c>
      <c r="H68" s="161" t="s">
        <v>44</v>
      </c>
      <c r="I68" s="161" t="s">
        <v>94</v>
      </c>
      <c r="J68" s="161" t="s">
        <v>102</v>
      </c>
      <c r="K68" s="161" t="s">
        <v>54</v>
      </c>
      <c r="L68" s="161" t="s">
        <v>54</v>
      </c>
      <c r="M68" s="161" t="s">
        <v>54</v>
      </c>
      <c r="N68" s="161"/>
      <c r="O68" s="162"/>
    </row>
    <row r="69" spans="1:15" ht="124.5" customHeight="1">
      <c r="A69" s="161">
        <v>48</v>
      </c>
      <c r="B69" s="162" t="s">
        <v>514</v>
      </c>
      <c r="C69" s="162" t="s">
        <v>506</v>
      </c>
      <c r="D69" s="162" t="s">
        <v>508</v>
      </c>
      <c r="E69" s="162" t="s">
        <v>184</v>
      </c>
      <c r="F69" s="162"/>
      <c r="G69" s="162" t="s">
        <v>190</v>
      </c>
      <c r="H69" s="161" t="s">
        <v>44</v>
      </c>
      <c r="I69" s="161" t="s">
        <v>94</v>
      </c>
      <c r="J69" s="161" t="s">
        <v>102</v>
      </c>
      <c r="K69" s="161" t="s">
        <v>54</v>
      </c>
      <c r="L69" s="161" t="s">
        <v>54</v>
      </c>
      <c r="M69" s="161" t="s">
        <v>54</v>
      </c>
      <c r="N69" s="161"/>
      <c r="O69" s="162"/>
    </row>
    <row r="70" spans="1:15" ht="18" customHeight="1">
      <c r="A70" s="134" t="s">
        <v>165</v>
      </c>
      <c r="B70" s="135" t="s">
        <v>468</v>
      </c>
      <c r="C70" s="135"/>
      <c r="D70" s="135"/>
      <c r="E70" s="135"/>
      <c r="F70" s="135"/>
      <c r="G70" s="135"/>
      <c r="H70" s="135"/>
      <c r="I70" s="135"/>
      <c r="J70" s="135"/>
      <c r="K70" s="135"/>
      <c r="L70" s="135"/>
      <c r="M70" s="135"/>
      <c r="N70" s="135"/>
      <c r="O70" s="135"/>
    </row>
    <row r="71" spans="1:15" ht="124.5" customHeight="1">
      <c r="A71" s="161">
        <v>49</v>
      </c>
      <c r="B71" s="162" t="s">
        <v>515</v>
      </c>
      <c r="C71" s="162" t="s">
        <v>182</v>
      </c>
      <c r="D71" s="162" t="s">
        <v>495</v>
      </c>
      <c r="E71" s="162" t="s">
        <v>184</v>
      </c>
      <c r="F71" s="162"/>
      <c r="G71" s="162" t="s">
        <v>185</v>
      </c>
      <c r="H71" s="161" t="s">
        <v>44</v>
      </c>
      <c r="I71" s="161" t="s">
        <v>92</v>
      </c>
      <c r="J71" s="161" t="s">
        <v>102</v>
      </c>
      <c r="K71" s="161" t="s">
        <v>54</v>
      </c>
      <c r="L71" s="161" t="s">
        <v>54</v>
      </c>
      <c r="M71" s="161" t="s">
        <v>54</v>
      </c>
      <c r="N71" s="161"/>
      <c r="O71" s="162"/>
    </row>
    <row r="72" spans="1:15" ht="124.5" customHeight="1">
      <c r="A72" s="161">
        <v>50</v>
      </c>
      <c r="B72" s="162" t="s">
        <v>516</v>
      </c>
      <c r="C72" s="162" t="s">
        <v>187</v>
      </c>
      <c r="D72" s="162" t="s">
        <v>495</v>
      </c>
      <c r="E72" s="162" t="s">
        <v>184</v>
      </c>
      <c r="F72" s="162"/>
      <c r="G72" s="162" t="s">
        <v>185</v>
      </c>
      <c r="H72" s="161" t="s">
        <v>44</v>
      </c>
      <c r="I72" s="161" t="s">
        <v>92</v>
      </c>
      <c r="J72" s="161" t="s">
        <v>102</v>
      </c>
      <c r="K72" s="161" t="s">
        <v>54</v>
      </c>
      <c r="L72" s="161" t="s">
        <v>54</v>
      </c>
      <c r="M72" s="161" t="s">
        <v>54</v>
      </c>
      <c r="N72" s="161"/>
      <c r="O72" s="162"/>
    </row>
    <row r="73" spans="1:15" ht="124.5" customHeight="1">
      <c r="A73" s="161">
        <v>51</v>
      </c>
      <c r="B73" s="162" t="s">
        <v>517</v>
      </c>
      <c r="C73" s="162" t="s">
        <v>518</v>
      </c>
      <c r="D73" s="162" t="s">
        <v>495</v>
      </c>
      <c r="E73" s="162" t="s">
        <v>184</v>
      </c>
      <c r="F73" s="162"/>
      <c r="G73" s="162" t="s">
        <v>190</v>
      </c>
      <c r="H73" s="161" t="s">
        <v>44</v>
      </c>
      <c r="I73" s="161" t="s">
        <v>94</v>
      </c>
      <c r="J73" s="161" t="s">
        <v>102</v>
      </c>
      <c r="K73" s="161" t="s">
        <v>54</v>
      </c>
      <c r="L73" s="161" t="s">
        <v>54</v>
      </c>
      <c r="M73" s="161" t="s">
        <v>54</v>
      </c>
      <c r="N73" s="161"/>
      <c r="O73" s="162"/>
    </row>
    <row r="74" spans="1:15" ht="124.5" customHeight="1">
      <c r="A74" s="161">
        <v>52</v>
      </c>
      <c r="B74" s="162" t="s">
        <v>519</v>
      </c>
      <c r="C74" s="162" t="s">
        <v>500</v>
      </c>
      <c r="D74" s="162" t="s">
        <v>495</v>
      </c>
      <c r="E74" s="162" t="s">
        <v>184</v>
      </c>
      <c r="F74" s="162"/>
      <c r="G74" s="162" t="s">
        <v>190</v>
      </c>
      <c r="H74" s="161" t="s">
        <v>44</v>
      </c>
      <c r="I74" s="161" t="s">
        <v>94</v>
      </c>
      <c r="J74" s="161" t="s">
        <v>102</v>
      </c>
      <c r="K74" s="161" t="s">
        <v>54</v>
      </c>
      <c r="L74" s="161" t="s">
        <v>54</v>
      </c>
      <c r="M74" s="161" t="s">
        <v>54</v>
      </c>
      <c r="N74" s="161"/>
      <c r="O74" s="162"/>
    </row>
    <row r="75" spans="1:15" ht="124.5" customHeight="1">
      <c r="A75" s="161">
        <v>53</v>
      </c>
      <c r="B75" s="162" t="s">
        <v>520</v>
      </c>
      <c r="C75" s="162" t="s">
        <v>502</v>
      </c>
      <c r="D75" s="162" t="s">
        <v>495</v>
      </c>
      <c r="E75" s="162" t="s">
        <v>184</v>
      </c>
      <c r="F75" s="162"/>
      <c r="G75" s="162" t="s">
        <v>190</v>
      </c>
      <c r="H75" s="161" t="s">
        <v>44</v>
      </c>
      <c r="I75" s="161" t="s">
        <v>94</v>
      </c>
      <c r="J75" s="161" t="s">
        <v>102</v>
      </c>
      <c r="K75" s="161" t="s">
        <v>54</v>
      </c>
      <c r="L75" s="161" t="s">
        <v>54</v>
      </c>
      <c r="M75" s="161" t="s">
        <v>54</v>
      </c>
      <c r="N75" s="161"/>
      <c r="O75" s="162"/>
    </row>
    <row r="76" spans="1:15" ht="124.5" customHeight="1">
      <c r="A76" s="161">
        <v>54</v>
      </c>
      <c r="B76" s="162" t="s">
        <v>521</v>
      </c>
      <c r="C76" s="162" t="s">
        <v>504</v>
      </c>
      <c r="D76" s="162" t="s">
        <v>495</v>
      </c>
      <c r="E76" s="162" t="s">
        <v>184</v>
      </c>
      <c r="F76" s="162"/>
      <c r="G76" s="162" t="s">
        <v>190</v>
      </c>
      <c r="H76" s="161" t="s">
        <v>44</v>
      </c>
      <c r="I76" s="161" t="s">
        <v>94</v>
      </c>
      <c r="J76" s="161" t="s">
        <v>102</v>
      </c>
      <c r="K76" s="161" t="s">
        <v>54</v>
      </c>
      <c r="L76" s="161" t="s">
        <v>54</v>
      </c>
      <c r="M76" s="161" t="s">
        <v>54</v>
      </c>
      <c r="N76" s="161"/>
      <c r="O76" s="162"/>
    </row>
    <row r="77" spans="1:15" ht="124.5" customHeight="1">
      <c r="A77" s="161">
        <v>55</v>
      </c>
      <c r="B77" s="162" t="s">
        <v>522</v>
      </c>
      <c r="C77" s="162" t="s">
        <v>506</v>
      </c>
      <c r="D77" s="162" t="s">
        <v>495</v>
      </c>
      <c r="E77" s="162" t="s">
        <v>184</v>
      </c>
      <c r="F77" s="162"/>
      <c r="G77" s="162" t="s">
        <v>190</v>
      </c>
      <c r="H77" s="161" t="s">
        <v>44</v>
      </c>
      <c r="I77" s="161" t="s">
        <v>94</v>
      </c>
      <c r="J77" s="161" t="s">
        <v>102</v>
      </c>
      <c r="K77" s="161" t="s">
        <v>54</v>
      </c>
      <c r="L77" s="161" t="s">
        <v>54</v>
      </c>
      <c r="M77" s="161" t="s">
        <v>54</v>
      </c>
      <c r="N77" s="161"/>
      <c r="O77" s="162"/>
    </row>
    <row r="78" spans="1:15" ht="124.5" customHeight="1">
      <c r="A78" s="161">
        <v>56</v>
      </c>
      <c r="B78" s="162" t="s">
        <v>523</v>
      </c>
      <c r="C78" s="162" t="s">
        <v>524</v>
      </c>
      <c r="D78" s="162" t="s">
        <v>495</v>
      </c>
      <c r="E78" s="162" t="s">
        <v>184</v>
      </c>
      <c r="F78" s="162"/>
      <c r="G78" s="162" t="s">
        <v>190</v>
      </c>
      <c r="H78" s="161" t="s">
        <v>44</v>
      </c>
      <c r="I78" s="161" t="s">
        <v>94</v>
      </c>
      <c r="J78" s="161" t="s">
        <v>102</v>
      </c>
      <c r="K78" s="161" t="s">
        <v>54</v>
      </c>
      <c r="L78" s="161" t="s">
        <v>54</v>
      </c>
      <c r="M78" s="161" t="s">
        <v>54</v>
      </c>
      <c r="N78" s="161"/>
      <c r="O78" s="162"/>
    </row>
    <row r="79" spans="1:15" ht="18" customHeight="1">
      <c r="A79" s="134" t="s">
        <v>317</v>
      </c>
      <c r="B79" s="135" t="s">
        <v>484</v>
      </c>
      <c r="C79" s="135"/>
      <c r="D79" s="135"/>
      <c r="E79" s="135"/>
      <c r="F79" s="135"/>
      <c r="G79" s="135"/>
      <c r="H79" s="135"/>
      <c r="I79" s="135"/>
      <c r="J79" s="135"/>
      <c r="K79" s="135"/>
      <c r="L79" s="135"/>
      <c r="M79" s="135"/>
      <c r="N79" s="135"/>
      <c r="O79" s="135"/>
    </row>
    <row r="80" spans="1:15" ht="124.5" customHeight="1">
      <c r="A80" s="161">
        <v>57</v>
      </c>
      <c r="B80" s="162" t="s">
        <v>525</v>
      </c>
      <c r="C80" s="162" t="s">
        <v>182</v>
      </c>
      <c r="D80" s="162" t="s">
        <v>508</v>
      </c>
      <c r="E80" s="162" t="s">
        <v>184</v>
      </c>
      <c r="F80" s="162"/>
      <c r="G80" s="162" t="s">
        <v>185</v>
      </c>
      <c r="H80" s="161" t="s">
        <v>44</v>
      </c>
      <c r="I80" s="161" t="s">
        <v>92</v>
      </c>
      <c r="J80" s="161" t="s">
        <v>102</v>
      </c>
      <c r="K80" s="161" t="s">
        <v>54</v>
      </c>
      <c r="L80" s="161" t="s">
        <v>54</v>
      </c>
      <c r="M80" s="161" t="s">
        <v>54</v>
      </c>
      <c r="N80" s="161"/>
      <c r="O80" s="162"/>
    </row>
    <row r="81" spans="1:15" ht="124.5" customHeight="1">
      <c r="A81" s="161">
        <v>58</v>
      </c>
      <c r="B81" s="162" t="s">
        <v>526</v>
      </c>
      <c r="C81" s="162" t="s">
        <v>187</v>
      </c>
      <c r="D81" s="162" t="s">
        <v>508</v>
      </c>
      <c r="E81" s="162" t="s">
        <v>184</v>
      </c>
      <c r="F81" s="162"/>
      <c r="G81" s="162" t="s">
        <v>185</v>
      </c>
      <c r="H81" s="161" t="s">
        <v>44</v>
      </c>
      <c r="I81" s="161" t="s">
        <v>92</v>
      </c>
      <c r="J81" s="161" t="s">
        <v>102</v>
      </c>
      <c r="K81" s="161" t="s">
        <v>54</v>
      </c>
      <c r="L81" s="161" t="s">
        <v>54</v>
      </c>
      <c r="M81" s="161" t="s">
        <v>54</v>
      </c>
      <c r="N81" s="161"/>
      <c r="O81" s="162"/>
    </row>
    <row r="82" spans="1:15" ht="124.5" customHeight="1">
      <c r="A82" s="161">
        <v>59</v>
      </c>
      <c r="B82" s="162" t="s">
        <v>527</v>
      </c>
      <c r="C82" s="162" t="s">
        <v>518</v>
      </c>
      <c r="D82" s="162" t="s">
        <v>508</v>
      </c>
      <c r="E82" s="162" t="s">
        <v>184</v>
      </c>
      <c r="F82" s="162"/>
      <c r="G82" s="162" t="s">
        <v>190</v>
      </c>
      <c r="H82" s="161" t="s">
        <v>44</v>
      </c>
      <c r="I82" s="161" t="s">
        <v>94</v>
      </c>
      <c r="J82" s="161" t="s">
        <v>102</v>
      </c>
      <c r="K82" s="161" t="s">
        <v>54</v>
      </c>
      <c r="L82" s="161" t="s">
        <v>54</v>
      </c>
      <c r="M82" s="161" t="s">
        <v>54</v>
      </c>
      <c r="N82" s="161"/>
      <c r="O82" s="162"/>
    </row>
    <row r="83" spans="1:15" ht="124.5" customHeight="1">
      <c r="A83" s="161">
        <v>60</v>
      </c>
      <c r="B83" s="162" t="s">
        <v>528</v>
      </c>
      <c r="C83" s="162" t="s">
        <v>500</v>
      </c>
      <c r="D83" s="162" t="s">
        <v>508</v>
      </c>
      <c r="E83" s="162" t="s">
        <v>184</v>
      </c>
      <c r="F83" s="162"/>
      <c r="G83" s="162" t="s">
        <v>190</v>
      </c>
      <c r="H83" s="161" t="s">
        <v>44</v>
      </c>
      <c r="I83" s="161" t="s">
        <v>94</v>
      </c>
      <c r="J83" s="161" t="s">
        <v>102</v>
      </c>
      <c r="K83" s="161" t="s">
        <v>54</v>
      </c>
      <c r="L83" s="161" t="s">
        <v>54</v>
      </c>
      <c r="M83" s="161" t="s">
        <v>54</v>
      </c>
      <c r="N83" s="161"/>
      <c r="O83" s="162"/>
    </row>
    <row r="84" spans="1:15" ht="124.5" customHeight="1">
      <c r="A84" s="161">
        <v>61</v>
      </c>
      <c r="B84" s="162" t="s">
        <v>529</v>
      </c>
      <c r="C84" s="162" t="s">
        <v>502</v>
      </c>
      <c r="D84" s="162" t="s">
        <v>508</v>
      </c>
      <c r="E84" s="162" t="s">
        <v>184</v>
      </c>
      <c r="F84" s="162"/>
      <c r="G84" s="162" t="s">
        <v>190</v>
      </c>
      <c r="H84" s="161" t="s">
        <v>44</v>
      </c>
      <c r="I84" s="161" t="s">
        <v>94</v>
      </c>
      <c r="J84" s="161" t="s">
        <v>102</v>
      </c>
      <c r="K84" s="161" t="s">
        <v>54</v>
      </c>
      <c r="L84" s="161" t="s">
        <v>54</v>
      </c>
      <c r="M84" s="161" t="s">
        <v>54</v>
      </c>
      <c r="N84" s="161"/>
      <c r="O84" s="162"/>
    </row>
    <row r="85" spans="1:15" ht="124.5" customHeight="1">
      <c r="A85" s="161">
        <v>62</v>
      </c>
      <c r="B85" s="162" t="s">
        <v>530</v>
      </c>
      <c r="C85" s="162" t="s">
        <v>504</v>
      </c>
      <c r="D85" s="162" t="s">
        <v>508</v>
      </c>
      <c r="E85" s="162" t="s">
        <v>184</v>
      </c>
      <c r="F85" s="162"/>
      <c r="G85" s="162" t="s">
        <v>190</v>
      </c>
      <c r="H85" s="161" t="s">
        <v>44</v>
      </c>
      <c r="I85" s="161" t="s">
        <v>94</v>
      </c>
      <c r="J85" s="161" t="s">
        <v>102</v>
      </c>
      <c r="K85" s="161" t="s">
        <v>54</v>
      </c>
      <c r="L85" s="161" t="s">
        <v>54</v>
      </c>
      <c r="M85" s="161" t="s">
        <v>54</v>
      </c>
      <c r="N85" s="161"/>
      <c r="O85" s="162"/>
    </row>
    <row r="86" spans="1:15" ht="124.5" customHeight="1">
      <c r="A86" s="161">
        <v>63</v>
      </c>
      <c r="B86" s="162" t="s">
        <v>531</v>
      </c>
      <c r="C86" s="162" t="s">
        <v>506</v>
      </c>
      <c r="D86" s="162" t="s">
        <v>508</v>
      </c>
      <c r="E86" s="162" t="s">
        <v>184</v>
      </c>
      <c r="F86" s="162"/>
      <c r="G86" s="162" t="s">
        <v>190</v>
      </c>
      <c r="H86" s="161" t="s">
        <v>44</v>
      </c>
      <c r="I86" s="161" t="s">
        <v>94</v>
      </c>
      <c r="J86" s="161" t="s">
        <v>102</v>
      </c>
      <c r="K86" s="161" t="s">
        <v>54</v>
      </c>
      <c r="L86" s="161" t="s">
        <v>54</v>
      </c>
      <c r="M86" s="161" t="s">
        <v>54</v>
      </c>
      <c r="N86" s="161"/>
      <c r="O86" s="162"/>
    </row>
    <row r="87" spans="1:15" ht="124.5" customHeight="1">
      <c r="A87" s="161">
        <v>64</v>
      </c>
      <c r="B87" s="162" t="s">
        <v>532</v>
      </c>
      <c r="C87" s="162" t="s">
        <v>524</v>
      </c>
      <c r="D87" s="162" t="s">
        <v>508</v>
      </c>
      <c r="E87" s="162" t="s">
        <v>184</v>
      </c>
      <c r="F87" s="162"/>
      <c r="G87" s="162" t="s">
        <v>190</v>
      </c>
      <c r="H87" s="161" t="s">
        <v>44</v>
      </c>
      <c r="I87" s="161" t="s">
        <v>94</v>
      </c>
      <c r="J87" s="161" t="s">
        <v>102</v>
      </c>
      <c r="K87" s="161" t="s">
        <v>54</v>
      </c>
      <c r="L87" s="161" t="s">
        <v>54</v>
      </c>
      <c r="M87" s="161" t="s">
        <v>54</v>
      </c>
      <c r="N87" s="161"/>
      <c r="O87" s="162"/>
    </row>
    <row r="88" spans="1:15" ht="18" customHeight="1">
      <c r="A88" s="159" t="s">
        <v>209</v>
      </c>
      <c r="B88" s="159"/>
      <c r="C88" s="159"/>
      <c r="D88" s="159"/>
      <c r="E88" s="159"/>
      <c r="F88" s="159"/>
      <c r="G88" s="159"/>
      <c r="H88" s="159"/>
      <c r="I88" s="159"/>
      <c r="J88" s="159"/>
      <c r="K88" s="159"/>
      <c r="L88" s="159"/>
      <c r="M88" s="159"/>
      <c r="N88" s="159"/>
      <c r="O88" s="159"/>
    </row>
    <row r="89" spans="1:15" ht="191.25" customHeight="1">
      <c r="A89" s="161">
        <v>65</v>
      </c>
      <c r="B89" s="162" t="s">
        <v>533</v>
      </c>
      <c r="C89" s="162" t="s">
        <v>211</v>
      </c>
      <c r="D89" s="162" t="s">
        <v>534</v>
      </c>
      <c r="E89" s="162" t="s">
        <v>213</v>
      </c>
      <c r="F89" s="162"/>
      <c r="G89" s="162" t="s">
        <v>214</v>
      </c>
      <c r="H89" s="161" t="s">
        <v>44</v>
      </c>
      <c r="I89" s="161" t="s">
        <v>92</v>
      </c>
      <c r="J89" s="161" t="s">
        <v>102</v>
      </c>
      <c r="K89" s="161" t="s">
        <v>54</v>
      </c>
      <c r="L89" s="161" t="s">
        <v>54</v>
      </c>
      <c r="M89" s="161" t="s">
        <v>54</v>
      </c>
      <c r="N89" s="161"/>
      <c r="O89" s="162" t="s">
        <v>215</v>
      </c>
    </row>
    <row r="90" spans="1:15" ht="213.75" customHeight="1">
      <c r="A90" s="161">
        <v>66</v>
      </c>
      <c r="B90" s="162" t="s">
        <v>535</v>
      </c>
      <c r="C90" s="162" t="s">
        <v>217</v>
      </c>
      <c r="D90" s="162" t="s">
        <v>536</v>
      </c>
      <c r="E90" s="162" t="s">
        <v>219</v>
      </c>
      <c r="F90" s="162"/>
      <c r="G90" s="162" t="s">
        <v>220</v>
      </c>
      <c r="H90" s="161" t="s">
        <v>44</v>
      </c>
      <c r="I90" s="161" t="s">
        <v>92</v>
      </c>
      <c r="J90" s="161" t="s">
        <v>102</v>
      </c>
      <c r="K90" s="161" t="s">
        <v>54</v>
      </c>
      <c r="L90" s="161" t="s">
        <v>54</v>
      </c>
      <c r="M90" s="161" t="s">
        <v>54</v>
      </c>
      <c r="N90" s="161"/>
      <c r="O90" s="162" t="s">
        <v>215</v>
      </c>
    </row>
  </sheetData>
  <mergeCells count="3">
    <mergeCell ref="A14:O14"/>
    <mergeCell ref="A53:O53"/>
    <mergeCell ref="A88:O88"/>
  </mergeCell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O36"/>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537</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8</v>
      </c>
      <c r="E5" s="124">
        <f>SUM(E6:E10)</f>
        <v>0</v>
      </c>
      <c r="F5" s="124">
        <f t="shared" ref="F5:F11" si="0">SUM(C5:E5)</f>
        <v>16</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8</v>
      </c>
      <c r="E8" s="125">
        <f t="shared" si="1"/>
        <v>0</v>
      </c>
      <c r="F8" s="125">
        <f t="shared" si="0"/>
        <v>16</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538</v>
      </c>
      <c r="C15" s="135"/>
      <c r="D15" s="135"/>
      <c r="E15" s="135"/>
      <c r="F15" s="135"/>
      <c r="G15" s="135"/>
      <c r="H15" s="135"/>
      <c r="I15" s="135"/>
      <c r="J15" s="135"/>
      <c r="K15" s="135"/>
      <c r="L15" s="135"/>
      <c r="M15" s="135"/>
      <c r="N15" s="135"/>
      <c r="O15" s="135"/>
    </row>
    <row r="16" spans="1:15" ht="90.75" customHeight="1">
      <c r="A16" s="161">
        <v>1</v>
      </c>
      <c r="B16" s="162" t="s">
        <v>539</v>
      </c>
      <c r="C16" s="162" t="s">
        <v>126</v>
      </c>
      <c r="D16" s="162" t="s">
        <v>540</v>
      </c>
      <c r="E16" s="162" t="s">
        <v>541</v>
      </c>
      <c r="F16" s="162"/>
      <c r="G16" s="162" t="s">
        <v>542</v>
      </c>
      <c r="H16" s="161" t="s">
        <v>44</v>
      </c>
      <c r="I16" s="161" t="s">
        <v>92</v>
      </c>
      <c r="J16" s="161" t="s">
        <v>102</v>
      </c>
      <c r="K16" s="161" t="s">
        <v>54</v>
      </c>
      <c r="L16" s="161" t="s">
        <v>54</v>
      </c>
      <c r="M16" s="161" t="s">
        <v>54</v>
      </c>
      <c r="N16" s="161"/>
      <c r="O16" s="162" t="s">
        <v>543</v>
      </c>
    </row>
    <row r="17" spans="1:15" ht="90.75" customHeight="1">
      <c r="A17" s="161">
        <v>2</v>
      </c>
      <c r="B17" s="162" t="s">
        <v>544</v>
      </c>
      <c r="C17" s="162" t="s">
        <v>132</v>
      </c>
      <c r="D17" s="162" t="s">
        <v>540</v>
      </c>
      <c r="E17" s="162" t="s">
        <v>545</v>
      </c>
      <c r="F17" s="162"/>
      <c r="G17" s="162" t="s">
        <v>546</v>
      </c>
      <c r="H17" s="161" t="s">
        <v>44</v>
      </c>
      <c r="I17" s="161" t="s">
        <v>94</v>
      </c>
      <c r="J17" s="161" t="s">
        <v>102</v>
      </c>
      <c r="K17" s="161" t="s">
        <v>54</v>
      </c>
      <c r="L17" s="161" t="s">
        <v>54</v>
      </c>
      <c r="M17" s="161" t="s">
        <v>54</v>
      </c>
      <c r="N17" s="161"/>
      <c r="O17" s="162"/>
    </row>
    <row r="18" spans="1:15" ht="90.75" customHeight="1">
      <c r="A18" s="161">
        <v>3</v>
      </c>
      <c r="B18" s="162" t="s">
        <v>547</v>
      </c>
      <c r="C18" s="162" t="s">
        <v>136</v>
      </c>
      <c r="D18" s="162" t="s">
        <v>540</v>
      </c>
      <c r="E18" s="162" t="s">
        <v>548</v>
      </c>
      <c r="F18" s="162"/>
      <c r="G18" s="162" t="s">
        <v>134</v>
      </c>
      <c r="H18" s="161" t="s">
        <v>44</v>
      </c>
      <c r="I18" s="161" t="s">
        <v>94</v>
      </c>
      <c r="J18" s="161" t="s">
        <v>102</v>
      </c>
      <c r="K18" s="161" t="s">
        <v>54</v>
      </c>
      <c r="L18" s="161" t="s">
        <v>54</v>
      </c>
      <c r="M18" s="161" t="s">
        <v>54</v>
      </c>
      <c r="N18" s="161"/>
      <c r="O18" s="162"/>
    </row>
    <row r="19" spans="1:15" ht="90.75" customHeight="1">
      <c r="A19" s="161">
        <v>4</v>
      </c>
      <c r="B19" s="162" t="s">
        <v>549</v>
      </c>
      <c r="C19" s="162" t="s">
        <v>550</v>
      </c>
      <c r="D19" s="162" t="s">
        <v>540</v>
      </c>
      <c r="E19" s="162" t="s">
        <v>551</v>
      </c>
      <c r="F19" s="162"/>
      <c r="G19" s="162" t="s">
        <v>552</v>
      </c>
      <c r="H19" s="161" t="s">
        <v>44</v>
      </c>
      <c r="I19" s="161" t="s">
        <v>94</v>
      </c>
      <c r="J19" s="161" t="s">
        <v>102</v>
      </c>
      <c r="K19" s="161" t="s">
        <v>54</v>
      </c>
      <c r="L19" s="161" t="s">
        <v>54</v>
      </c>
      <c r="M19" s="161" t="s">
        <v>54</v>
      </c>
      <c r="N19" s="161"/>
      <c r="O19" s="162"/>
    </row>
    <row r="20" spans="1:15" ht="18" customHeight="1">
      <c r="A20" s="134" t="s">
        <v>150</v>
      </c>
      <c r="B20" s="135" t="s">
        <v>553</v>
      </c>
      <c r="C20" s="135"/>
      <c r="D20" s="135"/>
      <c r="E20" s="135"/>
      <c r="F20" s="135"/>
      <c r="G20" s="135"/>
      <c r="H20" s="135"/>
      <c r="I20" s="135"/>
      <c r="J20" s="135"/>
      <c r="K20" s="135"/>
      <c r="L20" s="135"/>
      <c r="M20" s="135"/>
      <c r="N20" s="135"/>
      <c r="O20" s="135"/>
    </row>
    <row r="21" spans="1:15" ht="90.75" customHeight="1">
      <c r="A21" s="161">
        <v>5</v>
      </c>
      <c r="B21" s="162" t="s">
        <v>554</v>
      </c>
      <c r="C21" s="162" t="s">
        <v>126</v>
      </c>
      <c r="D21" s="162" t="s">
        <v>540</v>
      </c>
      <c r="E21" s="162" t="s">
        <v>541</v>
      </c>
      <c r="F21" s="162"/>
      <c r="G21" s="162" t="s">
        <v>555</v>
      </c>
      <c r="H21" s="161" t="s">
        <v>44</v>
      </c>
      <c r="I21" s="161" t="s">
        <v>92</v>
      </c>
      <c r="J21" s="161" t="s">
        <v>102</v>
      </c>
      <c r="K21" s="161" t="s">
        <v>54</v>
      </c>
      <c r="L21" s="161" t="s">
        <v>54</v>
      </c>
      <c r="M21" s="161" t="s">
        <v>54</v>
      </c>
      <c r="N21" s="161"/>
      <c r="O21" s="162"/>
    </row>
    <row r="22" spans="1:15" ht="90.75" customHeight="1">
      <c r="A22" s="161">
        <v>6</v>
      </c>
      <c r="B22" s="162" t="s">
        <v>556</v>
      </c>
      <c r="C22" s="162" t="s">
        <v>132</v>
      </c>
      <c r="D22" s="162" t="s">
        <v>540</v>
      </c>
      <c r="E22" s="162" t="s">
        <v>545</v>
      </c>
      <c r="F22" s="162"/>
      <c r="G22" s="162" t="s">
        <v>546</v>
      </c>
      <c r="H22" s="161" t="s">
        <v>44</v>
      </c>
      <c r="I22" s="161" t="s">
        <v>94</v>
      </c>
      <c r="J22" s="161" t="s">
        <v>102</v>
      </c>
      <c r="K22" s="161" t="s">
        <v>54</v>
      </c>
      <c r="L22" s="161" t="s">
        <v>54</v>
      </c>
      <c r="M22" s="161" t="s">
        <v>54</v>
      </c>
      <c r="N22" s="161"/>
      <c r="O22" s="162"/>
    </row>
    <row r="23" spans="1:15" ht="90.75" customHeight="1">
      <c r="A23" s="161">
        <v>7</v>
      </c>
      <c r="B23" s="162" t="s">
        <v>557</v>
      </c>
      <c r="C23" s="162" t="s">
        <v>136</v>
      </c>
      <c r="D23" s="162" t="s">
        <v>540</v>
      </c>
      <c r="E23" s="162" t="s">
        <v>548</v>
      </c>
      <c r="F23" s="162"/>
      <c r="G23" s="162" t="s">
        <v>134</v>
      </c>
      <c r="H23" s="161" t="s">
        <v>44</v>
      </c>
      <c r="I23" s="161" t="s">
        <v>94</v>
      </c>
      <c r="J23" s="161" t="s">
        <v>102</v>
      </c>
      <c r="K23" s="161" t="s">
        <v>54</v>
      </c>
      <c r="L23" s="161" t="s">
        <v>54</v>
      </c>
      <c r="M23" s="161" t="s">
        <v>54</v>
      </c>
      <c r="N23" s="161"/>
      <c r="O23" s="162"/>
    </row>
    <row r="24" spans="1:15" ht="90.75" customHeight="1">
      <c r="A24" s="161">
        <v>8</v>
      </c>
      <c r="B24" s="162" t="s">
        <v>558</v>
      </c>
      <c r="C24" s="162" t="s">
        <v>559</v>
      </c>
      <c r="D24" s="162" t="s">
        <v>540</v>
      </c>
      <c r="E24" s="162" t="s">
        <v>560</v>
      </c>
      <c r="F24" s="162"/>
      <c r="G24" s="162" t="s">
        <v>552</v>
      </c>
      <c r="H24" s="161" t="s">
        <v>44</v>
      </c>
      <c r="I24" s="161" t="s">
        <v>94</v>
      </c>
      <c r="J24" s="161" t="s">
        <v>102</v>
      </c>
      <c r="K24" s="161" t="s">
        <v>54</v>
      </c>
      <c r="L24" s="161" t="s">
        <v>54</v>
      </c>
      <c r="M24" s="161" t="s">
        <v>54</v>
      </c>
      <c r="N24" s="161"/>
      <c r="O24" s="162"/>
    </row>
    <row r="25" spans="1:15" ht="18" customHeight="1">
      <c r="A25" s="159" t="s">
        <v>180</v>
      </c>
      <c r="B25" s="159"/>
      <c r="C25" s="159"/>
      <c r="D25" s="159"/>
      <c r="E25" s="159"/>
      <c r="F25" s="159"/>
      <c r="G25" s="159"/>
      <c r="H25" s="159"/>
      <c r="I25" s="159"/>
      <c r="J25" s="159"/>
      <c r="K25" s="159"/>
      <c r="L25" s="159"/>
      <c r="M25" s="159"/>
      <c r="N25" s="159"/>
      <c r="O25" s="159"/>
    </row>
    <row r="26" spans="1:15" ht="18" customHeight="1">
      <c r="A26" s="134" t="s">
        <v>123</v>
      </c>
      <c r="B26" s="135" t="s">
        <v>538</v>
      </c>
      <c r="C26" s="135"/>
      <c r="D26" s="135"/>
      <c r="E26" s="135"/>
      <c r="F26" s="135"/>
      <c r="G26" s="135"/>
      <c r="H26" s="135"/>
      <c r="I26" s="135"/>
      <c r="J26" s="135"/>
      <c r="K26" s="135"/>
      <c r="L26" s="135"/>
      <c r="M26" s="135"/>
      <c r="N26" s="135"/>
      <c r="O26" s="135"/>
    </row>
    <row r="27" spans="1:15" ht="135.75" customHeight="1">
      <c r="A27" s="161">
        <v>9</v>
      </c>
      <c r="B27" s="162" t="s">
        <v>561</v>
      </c>
      <c r="C27" s="162" t="s">
        <v>182</v>
      </c>
      <c r="D27" s="162" t="s">
        <v>562</v>
      </c>
      <c r="E27" s="162" t="s">
        <v>184</v>
      </c>
      <c r="F27" s="162"/>
      <c r="G27" s="162" t="s">
        <v>185</v>
      </c>
      <c r="H27" s="161" t="s">
        <v>44</v>
      </c>
      <c r="I27" s="161" t="s">
        <v>92</v>
      </c>
      <c r="J27" s="161" t="s">
        <v>102</v>
      </c>
      <c r="K27" s="161" t="s">
        <v>54</v>
      </c>
      <c r="L27" s="161" t="s">
        <v>54</v>
      </c>
      <c r="M27" s="161" t="s">
        <v>54</v>
      </c>
      <c r="N27" s="161"/>
      <c r="O27" s="162"/>
    </row>
    <row r="28" spans="1:15" ht="135.75" customHeight="1">
      <c r="A28" s="161">
        <v>10</v>
      </c>
      <c r="B28" s="162" t="s">
        <v>563</v>
      </c>
      <c r="C28" s="162" t="s">
        <v>187</v>
      </c>
      <c r="D28" s="162" t="s">
        <v>562</v>
      </c>
      <c r="E28" s="162" t="s">
        <v>184</v>
      </c>
      <c r="F28" s="162"/>
      <c r="G28" s="162" t="s">
        <v>185</v>
      </c>
      <c r="H28" s="161" t="s">
        <v>44</v>
      </c>
      <c r="I28" s="161" t="s">
        <v>92</v>
      </c>
      <c r="J28" s="161" t="s">
        <v>102</v>
      </c>
      <c r="K28" s="161" t="s">
        <v>54</v>
      </c>
      <c r="L28" s="161" t="s">
        <v>54</v>
      </c>
      <c r="M28" s="161" t="s">
        <v>54</v>
      </c>
      <c r="N28" s="161"/>
      <c r="O28" s="162"/>
    </row>
    <row r="29" spans="1:15" ht="135.75" customHeight="1">
      <c r="A29" s="161">
        <v>11</v>
      </c>
      <c r="B29" s="162" t="s">
        <v>564</v>
      </c>
      <c r="C29" s="162" t="s">
        <v>565</v>
      </c>
      <c r="D29" s="162" t="s">
        <v>562</v>
      </c>
      <c r="E29" s="162" t="s">
        <v>184</v>
      </c>
      <c r="F29" s="162"/>
      <c r="G29" s="162" t="s">
        <v>190</v>
      </c>
      <c r="H29" s="161" t="s">
        <v>44</v>
      </c>
      <c r="I29" s="161" t="s">
        <v>94</v>
      </c>
      <c r="J29" s="161" t="s">
        <v>102</v>
      </c>
      <c r="K29" s="161" t="s">
        <v>54</v>
      </c>
      <c r="L29" s="161" t="s">
        <v>54</v>
      </c>
      <c r="M29" s="161" t="s">
        <v>54</v>
      </c>
      <c r="N29" s="161"/>
      <c r="O29" s="162"/>
    </row>
    <row r="30" spans="1:15" ht="18" customHeight="1">
      <c r="A30" s="134" t="s">
        <v>150</v>
      </c>
      <c r="B30" s="135" t="s">
        <v>553</v>
      </c>
      <c r="C30" s="135"/>
      <c r="D30" s="135"/>
      <c r="E30" s="135"/>
      <c r="F30" s="135"/>
      <c r="G30" s="135"/>
      <c r="H30" s="135"/>
      <c r="I30" s="135"/>
      <c r="J30" s="135"/>
      <c r="K30" s="135"/>
      <c r="L30" s="135"/>
      <c r="M30" s="135"/>
      <c r="N30" s="135"/>
      <c r="O30" s="135"/>
    </row>
    <row r="31" spans="1:15" ht="135.75" customHeight="1">
      <c r="A31" s="161">
        <v>12</v>
      </c>
      <c r="B31" s="162" t="s">
        <v>566</v>
      </c>
      <c r="C31" s="162" t="s">
        <v>182</v>
      </c>
      <c r="D31" s="162" t="s">
        <v>562</v>
      </c>
      <c r="E31" s="162" t="s">
        <v>184</v>
      </c>
      <c r="F31" s="162"/>
      <c r="G31" s="162" t="s">
        <v>185</v>
      </c>
      <c r="H31" s="161" t="s">
        <v>44</v>
      </c>
      <c r="I31" s="161" t="s">
        <v>92</v>
      </c>
      <c r="J31" s="161" t="s">
        <v>102</v>
      </c>
      <c r="K31" s="161" t="s">
        <v>54</v>
      </c>
      <c r="L31" s="161" t="s">
        <v>54</v>
      </c>
      <c r="M31" s="161" t="s">
        <v>54</v>
      </c>
      <c r="N31" s="161"/>
      <c r="O31" s="162"/>
    </row>
    <row r="32" spans="1:15" ht="135.75" customHeight="1">
      <c r="A32" s="161">
        <v>13</v>
      </c>
      <c r="B32" s="162" t="s">
        <v>567</v>
      </c>
      <c r="C32" s="162" t="s">
        <v>187</v>
      </c>
      <c r="D32" s="162" t="s">
        <v>562</v>
      </c>
      <c r="E32" s="162" t="s">
        <v>184</v>
      </c>
      <c r="F32" s="162"/>
      <c r="G32" s="162" t="s">
        <v>185</v>
      </c>
      <c r="H32" s="161" t="s">
        <v>44</v>
      </c>
      <c r="I32" s="161" t="s">
        <v>92</v>
      </c>
      <c r="J32" s="161" t="s">
        <v>102</v>
      </c>
      <c r="K32" s="161" t="s">
        <v>54</v>
      </c>
      <c r="L32" s="161" t="s">
        <v>54</v>
      </c>
      <c r="M32" s="161" t="s">
        <v>54</v>
      </c>
      <c r="N32" s="161"/>
      <c r="O32" s="162"/>
    </row>
    <row r="33" spans="1:15" ht="135.75" customHeight="1">
      <c r="A33" s="161">
        <v>14</v>
      </c>
      <c r="B33" s="162" t="s">
        <v>568</v>
      </c>
      <c r="C33" s="162" t="s">
        <v>569</v>
      </c>
      <c r="D33" s="162" t="s">
        <v>562</v>
      </c>
      <c r="E33" s="162" t="s">
        <v>184</v>
      </c>
      <c r="F33" s="162"/>
      <c r="G33" s="162" t="s">
        <v>190</v>
      </c>
      <c r="H33" s="161" t="s">
        <v>44</v>
      </c>
      <c r="I33" s="161" t="s">
        <v>94</v>
      </c>
      <c r="J33" s="161" t="s">
        <v>102</v>
      </c>
      <c r="K33" s="161" t="s">
        <v>54</v>
      </c>
      <c r="L33" s="161" t="s">
        <v>54</v>
      </c>
      <c r="M33" s="161" t="s">
        <v>54</v>
      </c>
      <c r="N33" s="161"/>
      <c r="O33" s="162"/>
    </row>
    <row r="34" spans="1:15" ht="18" customHeight="1">
      <c r="A34" s="159" t="s">
        <v>209</v>
      </c>
      <c r="B34" s="159"/>
      <c r="C34" s="159"/>
      <c r="D34" s="159"/>
      <c r="E34" s="159"/>
      <c r="F34" s="159"/>
      <c r="G34" s="159"/>
      <c r="H34" s="159"/>
      <c r="I34" s="159"/>
      <c r="J34" s="159"/>
      <c r="K34" s="159"/>
      <c r="L34" s="159"/>
      <c r="M34" s="159"/>
      <c r="N34" s="159"/>
      <c r="O34" s="159"/>
    </row>
    <row r="35" spans="1:15" ht="180" customHeight="1">
      <c r="A35" s="161">
        <v>15</v>
      </c>
      <c r="B35" s="162" t="s">
        <v>570</v>
      </c>
      <c r="C35" s="162" t="s">
        <v>211</v>
      </c>
      <c r="D35" s="162" t="s">
        <v>571</v>
      </c>
      <c r="E35" s="162" t="s">
        <v>213</v>
      </c>
      <c r="F35" s="162"/>
      <c r="G35" s="162" t="s">
        <v>214</v>
      </c>
      <c r="H35" s="161" t="s">
        <v>44</v>
      </c>
      <c r="I35" s="161" t="s">
        <v>92</v>
      </c>
      <c r="J35" s="161" t="s">
        <v>102</v>
      </c>
      <c r="K35" s="161" t="s">
        <v>54</v>
      </c>
      <c r="L35" s="161" t="s">
        <v>54</v>
      </c>
      <c r="M35" s="161" t="s">
        <v>54</v>
      </c>
      <c r="N35" s="161"/>
      <c r="O35" s="162" t="s">
        <v>572</v>
      </c>
    </row>
    <row r="36" spans="1:15" ht="202.5" customHeight="1">
      <c r="A36" s="161">
        <v>16</v>
      </c>
      <c r="B36" s="162" t="s">
        <v>573</v>
      </c>
      <c r="C36" s="162" t="s">
        <v>217</v>
      </c>
      <c r="D36" s="162" t="s">
        <v>574</v>
      </c>
      <c r="E36" s="162" t="s">
        <v>219</v>
      </c>
      <c r="F36" s="162"/>
      <c r="G36" s="162" t="s">
        <v>220</v>
      </c>
      <c r="H36" s="161" t="s">
        <v>44</v>
      </c>
      <c r="I36" s="161" t="s">
        <v>92</v>
      </c>
      <c r="J36" s="161" t="s">
        <v>102</v>
      </c>
      <c r="K36" s="161" t="s">
        <v>54</v>
      </c>
      <c r="L36" s="161" t="s">
        <v>54</v>
      </c>
      <c r="M36" s="161" t="s">
        <v>54</v>
      </c>
      <c r="N36" s="161"/>
      <c r="O36" s="162" t="s">
        <v>572</v>
      </c>
    </row>
  </sheetData>
  <mergeCells count="3">
    <mergeCell ref="A14:O14"/>
    <mergeCell ref="A25:O25"/>
    <mergeCell ref="A34:O34"/>
  </mergeCell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O70"/>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575</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12</v>
      </c>
      <c r="D5" s="124">
        <f>SUM(D6:D10)</f>
        <v>32</v>
      </c>
      <c r="E5" s="124">
        <f>SUM(E6:E10)</f>
        <v>0</v>
      </c>
      <c r="F5" s="124">
        <f t="shared" ref="F5:F11" si="0">SUM(C5:E5)</f>
        <v>44</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12</v>
      </c>
      <c r="D8" s="125">
        <f t="shared" si="1"/>
        <v>32</v>
      </c>
      <c r="E8" s="125">
        <f t="shared" si="1"/>
        <v>0</v>
      </c>
      <c r="F8" s="125">
        <f t="shared" si="0"/>
        <v>44</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576</v>
      </c>
      <c r="C15" s="135"/>
      <c r="D15" s="135"/>
      <c r="E15" s="135"/>
      <c r="F15" s="135"/>
      <c r="G15" s="135"/>
      <c r="H15" s="135"/>
      <c r="I15" s="135"/>
      <c r="J15" s="135"/>
      <c r="K15" s="135"/>
      <c r="L15" s="135"/>
      <c r="M15" s="135"/>
      <c r="N15" s="135"/>
      <c r="O15" s="135"/>
    </row>
    <row r="16" spans="1:15" ht="79.5" customHeight="1">
      <c r="A16" s="161">
        <v>1</v>
      </c>
      <c r="B16" s="162" t="s">
        <v>577</v>
      </c>
      <c r="C16" s="162" t="s">
        <v>126</v>
      </c>
      <c r="D16" s="162" t="s">
        <v>578</v>
      </c>
      <c r="E16" s="162" t="s">
        <v>579</v>
      </c>
      <c r="F16" s="162"/>
      <c r="G16" s="162" t="s">
        <v>580</v>
      </c>
      <c r="H16" s="161" t="s">
        <v>44</v>
      </c>
      <c r="I16" s="161" t="s">
        <v>92</v>
      </c>
      <c r="J16" s="161" t="s">
        <v>102</v>
      </c>
      <c r="K16" s="161" t="s">
        <v>54</v>
      </c>
      <c r="L16" s="161" t="s">
        <v>54</v>
      </c>
      <c r="M16" s="161" t="s">
        <v>54</v>
      </c>
      <c r="N16" s="161"/>
      <c r="O16" s="162" t="s">
        <v>581</v>
      </c>
    </row>
    <row r="17" spans="1:15" ht="79.5" customHeight="1">
      <c r="A17" s="161">
        <v>2</v>
      </c>
      <c r="B17" s="162" t="s">
        <v>582</v>
      </c>
      <c r="C17" s="162" t="s">
        <v>132</v>
      </c>
      <c r="D17" s="162" t="s">
        <v>578</v>
      </c>
      <c r="E17" s="162" t="s">
        <v>583</v>
      </c>
      <c r="F17" s="162"/>
      <c r="G17" s="162" t="s">
        <v>584</v>
      </c>
      <c r="H17" s="161" t="s">
        <v>44</v>
      </c>
      <c r="I17" s="161" t="s">
        <v>94</v>
      </c>
      <c r="J17" s="161" t="s">
        <v>102</v>
      </c>
      <c r="K17" s="161" t="s">
        <v>54</v>
      </c>
      <c r="L17" s="161" t="s">
        <v>54</v>
      </c>
      <c r="M17" s="161" t="s">
        <v>54</v>
      </c>
      <c r="N17" s="161"/>
      <c r="O17" s="162"/>
    </row>
    <row r="18" spans="1:15" ht="79.5" customHeight="1">
      <c r="A18" s="161">
        <v>3</v>
      </c>
      <c r="B18" s="162" t="s">
        <v>585</v>
      </c>
      <c r="C18" s="162" t="s">
        <v>136</v>
      </c>
      <c r="D18" s="162" t="s">
        <v>578</v>
      </c>
      <c r="E18" s="162" t="s">
        <v>586</v>
      </c>
      <c r="F18" s="162"/>
      <c r="G18" s="162" t="s">
        <v>587</v>
      </c>
      <c r="H18" s="161" t="s">
        <v>44</v>
      </c>
      <c r="I18" s="161" t="s">
        <v>94</v>
      </c>
      <c r="J18" s="161" t="s">
        <v>102</v>
      </c>
      <c r="K18" s="161" t="s">
        <v>54</v>
      </c>
      <c r="L18" s="161" t="s">
        <v>54</v>
      </c>
      <c r="M18" s="161" t="s">
        <v>54</v>
      </c>
      <c r="N18" s="161"/>
      <c r="O18" s="162"/>
    </row>
    <row r="19" spans="1:15" ht="90.75" customHeight="1">
      <c r="A19" s="161">
        <v>4</v>
      </c>
      <c r="B19" s="162" t="s">
        <v>588</v>
      </c>
      <c r="C19" s="162" t="s">
        <v>589</v>
      </c>
      <c r="D19" s="162" t="s">
        <v>578</v>
      </c>
      <c r="E19" s="162" t="s">
        <v>590</v>
      </c>
      <c r="F19" s="162"/>
      <c r="G19" s="162" t="s">
        <v>591</v>
      </c>
      <c r="H19" s="161" t="s">
        <v>44</v>
      </c>
      <c r="I19" s="161" t="s">
        <v>94</v>
      </c>
      <c r="J19" s="161" t="s">
        <v>102</v>
      </c>
      <c r="K19" s="161" t="s">
        <v>54</v>
      </c>
      <c r="L19" s="161" t="s">
        <v>54</v>
      </c>
      <c r="M19" s="161" t="s">
        <v>54</v>
      </c>
      <c r="N19" s="161"/>
      <c r="O19" s="162"/>
    </row>
    <row r="20" spans="1:15" ht="79.5" customHeight="1">
      <c r="A20" s="161">
        <v>5</v>
      </c>
      <c r="B20" s="162" t="s">
        <v>592</v>
      </c>
      <c r="C20" s="162" t="s">
        <v>593</v>
      </c>
      <c r="D20" s="162" t="s">
        <v>578</v>
      </c>
      <c r="E20" s="162" t="s">
        <v>594</v>
      </c>
      <c r="F20" s="162"/>
      <c r="G20" s="162" t="s">
        <v>595</v>
      </c>
      <c r="H20" s="161" t="s">
        <v>44</v>
      </c>
      <c r="I20" s="161" t="s">
        <v>94</v>
      </c>
      <c r="J20" s="161" t="s">
        <v>102</v>
      </c>
      <c r="K20" s="161" t="s">
        <v>54</v>
      </c>
      <c r="L20" s="161" t="s">
        <v>54</v>
      </c>
      <c r="M20" s="161" t="s">
        <v>54</v>
      </c>
      <c r="N20" s="161"/>
      <c r="O20" s="162"/>
    </row>
    <row r="21" spans="1:15" ht="79.5" customHeight="1">
      <c r="A21" s="161">
        <v>6</v>
      </c>
      <c r="B21" s="162" t="s">
        <v>596</v>
      </c>
      <c r="C21" s="162" t="s">
        <v>597</v>
      </c>
      <c r="D21" s="162" t="s">
        <v>578</v>
      </c>
      <c r="E21" s="162" t="s">
        <v>598</v>
      </c>
      <c r="F21" s="162"/>
      <c r="G21" s="162" t="s">
        <v>175</v>
      </c>
      <c r="H21" s="161" t="s">
        <v>44</v>
      </c>
      <c r="I21" s="161" t="s">
        <v>94</v>
      </c>
      <c r="J21" s="161" t="s">
        <v>102</v>
      </c>
      <c r="K21" s="161" t="s">
        <v>54</v>
      </c>
      <c r="L21" s="161" t="s">
        <v>54</v>
      </c>
      <c r="M21" s="161" t="s">
        <v>54</v>
      </c>
      <c r="N21" s="161"/>
      <c r="O21" s="162"/>
    </row>
    <row r="22" spans="1:15" ht="18" customHeight="1">
      <c r="A22" s="134" t="s">
        <v>150</v>
      </c>
      <c r="B22" s="135" t="s">
        <v>599</v>
      </c>
      <c r="C22" s="135"/>
      <c r="D22" s="135"/>
      <c r="E22" s="135"/>
      <c r="F22" s="135"/>
      <c r="G22" s="135"/>
      <c r="H22" s="135"/>
      <c r="I22" s="135"/>
      <c r="J22" s="135"/>
      <c r="K22" s="135"/>
      <c r="L22" s="135"/>
      <c r="M22" s="135"/>
      <c r="N22" s="135"/>
      <c r="O22" s="135"/>
    </row>
    <row r="23" spans="1:15" ht="79.5" customHeight="1">
      <c r="A23" s="161">
        <v>7</v>
      </c>
      <c r="B23" s="162" t="s">
        <v>600</v>
      </c>
      <c r="C23" s="162" t="s">
        <v>126</v>
      </c>
      <c r="D23" s="162" t="s">
        <v>578</v>
      </c>
      <c r="E23" s="162" t="s">
        <v>579</v>
      </c>
      <c r="F23" s="162"/>
      <c r="G23" s="162" t="s">
        <v>580</v>
      </c>
      <c r="H23" s="161" t="s">
        <v>44</v>
      </c>
      <c r="I23" s="161" t="s">
        <v>92</v>
      </c>
      <c r="J23" s="161" t="s">
        <v>102</v>
      </c>
      <c r="K23" s="161" t="s">
        <v>54</v>
      </c>
      <c r="L23" s="161" t="s">
        <v>54</v>
      </c>
      <c r="M23" s="161" t="s">
        <v>54</v>
      </c>
      <c r="N23" s="161"/>
      <c r="O23" s="162"/>
    </row>
    <row r="24" spans="1:15" ht="79.5" customHeight="1">
      <c r="A24" s="161">
        <v>8</v>
      </c>
      <c r="B24" s="162" t="s">
        <v>601</v>
      </c>
      <c r="C24" s="162" t="s">
        <v>132</v>
      </c>
      <c r="D24" s="162" t="s">
        <v>578</v>
      </c>
      <c r="E24" s="162" t="s">
        <v>583</v>
      </c>
      <c r="F24" s="162"/>
      <c r="G24" s="162" t="s">
        <v>584</v>
      </c>
      <c r="H24" s="161" t="s">
        <v>44</v>
      </c>
      <c r="I24" s="161" t="s">
        <v>94</v>
      </c>
      <c r="J24" s="161" t="s">
        <v>102</v>
      </c>
      <c r="K24" s="161" t="s">
        <v>54</v>
      </c>
      <c r="L24" s="161" t="s">
        <v>54</v>
      </c>
      <c r="M24" s="161" t="s">
        <v>54</v>
      </c>
      <c r="N24" s="161"/>
      <c r="O24" s="162"/>
    </row>
    <row r="25" spans="1:15" ht="79.5" customHeight="1">
      <c r="A25" s="161">
        <v>9</v>
      </c>
      <c r="B25" s="162" t="s">
        <v>602</v>
      </c>
      <c r="C25" s="162" t="s">
        <v>136</v>
      </c>
      <c r="D25" s="162" t="s">
        <v>578</v>
      </c>
      <c r="E25" s="162" t="s">
        <v>586</v>
      </c>
      <c r="F25" s="162"/>
      <c r="G25" s="162" t="s">
        <v>587</v>
      </c>
      <c r="H25" s="161" t="s">
        <v>44</v>
      </c>
      <c r="I25" s="161" t="s">
        <v>94</v>
      </c>
      <c r="J25" s="161" t="s">
        <v>102</v>
      </c>
      <c r="K25" s="161" t="s">
        <v>54</v>
      </c>
      <c r="L25" s="161" t="s">
        <v>54</v>
      </c>
      <c r="M25" s="161" t="s">
        <v>54</v>
      </c>
      <c r="N25" s="161"/>
      <c r="O25" s="162"/>
    </row>
    <row r="26" spans="1:15" ht="90.75" customHeight="1">
      <c r="A26" s="161">
        <v>10</v>
      </c>
      <c r="B26" s="162" t="s">
        <v>603</v>
      </c>
      <c r="C26" s="162" t="s">
        <v>589</v>
      </c>
      <c r="D26" s="162" t="s">
        <v>578</v>
      </c>
      <c r="E26" s="162" t="s">
        <v>590</v>
      </c>
      <c r="F26" s="162"/>
      <c r="G26" s="162" t="s">
        <v>591</v>
      </c>
      <c r="H26" s="161" t="s">
        <v>44</v>
      </c>
      <c r="I26" s="161" t="s">
        <v>94</v>
      </c>
      <c r="J26" s="161" t="s">
        <v>102</v>
      </c>
      <c r="K26" s="161" t="s">
        <v>54</v>
      </c>
      <c r="L26" s="161" t="s">
        <v>54</v>
      </c>
      <c r="M26" s="161" t="s">
        <v>54</v>
      </c>
      <c r="N26" s="161"/>
      <c r="O26" s="162"/>
    </row>
    <row r="27" spans="1:15" ht="79.5" customHeight="1">
      <c r="A27" s="161">
        <v>11</v>
      </c>
      <c r="B27" s="162" t="s">
        <v>604</v>
      </c>
      <c r="C27" s="162" t="s">
        <v>593</v>
      </c>
      <c r="D27" s="162" t="s">
        <v>578</v>
      </c>
      <c r="E27" s="162" t="s">
        <v>594</v>
      </c>
      <c r="F27" s="162"/>
      <c r="G27" s="162" t="s">
        <v>595</v>
      </c>
      <c r="H27" s="161" t="s">
        <v>44</v>
      </c>
      <c r="I27" s="161" t="s">
        <v>94</v>
      </c>
      <c r="J27" s="161" t="s">
        <v>102</v>
      </c>
      <c r="K27" s="161" t="s">
        <v>54</v>
      </c>
      <c r="L27" s="161" t="s">
        <v>54</v>
      </c>
      <c r="M27" s="161" t="s">
        <v>54</v>
      </c>
      <c r="N27" s="161"/>
      <c r="O27" s="162"/>
    </row>
    <row r="28" spans="1:15" ht="79.5" customHeight="1">
      <c r="A28" s="161">
        <v>12</v>
      </c>
      <c r="B28" s="162" t="s">
        <v>605</v>
      </c>
      <c r="C28" s="162" t="s">
        <v>597</v>
      </c>
      <c r="D28" s="162" t="s">
        <v>578</v>
      </c>
      <c r="E28" s="162" t="s">
        <v>598</v>
      </c>
      <c r="F28" s="162"/>
      <c r="G28" s="162" t="s">
        <v>253</v>
      </c>
      <c r="H28" s="161" t="s">
        <v>44</v>
      </c>
      <c r="I28" s="161" t="s">
        <v>94</v>
      </c>
      <c r="J28" s="161" t="s">
        <v>102</v>
      </c>
      <c r="K28" s="161" t="s">
        <v>54</v>
      </c>
      <c r="L28" s="161" t="s">
        <v>54</v>
      </c>
      <c r="M28" s="161" t="s">
        <v>54</v>
      </c>
      <c r="N28" s="161"/>
      <c r="O28" s="162"/>
    </row>
    <row r="29" spans="1:15" ht="18" customHeight="1">
      <c r="A29" s="134" t="s">
        <v>165</v>
      </c>
      <c r="B29" s="135" t="s">
        <v>606</v>
      </c>
      <c r="C29" s="135"/>
      <c r="D29" s="135"/>
      <c r="E29" s="135"/>
      <c r="F29" s="135"/>
      <c r="G29" s="135"/>
      <c r="H29" s="135"/>
      <c r="I29" s="135"/>
      <c r="J29" s="135"/>
      <c r="K29" s="135"/>
      <c r="L29" s="135"/>
      <c r="M29" s="135"/>
      <c r="N29" s="135"/>
      <c r="O29" s="135"/>
    </row>
    <row r="30" spans="1:15" ht="79.5" customHeight="1">
      <c r="A30" s="161">
        <v>13</v>
      </c>
      <c r="B30" s="162" t="s">
        <v>607</v>
      </c>
      <c r="C30" s="162" t="s">
        <v>126</v>
      </c>
      <c r="D30" s="162" t="s">
        <v>578</v>
      </c>
      <c r="E30" s="162" t="s">
        <v>579</v>
      </c>
      <c r="F30" s="162"/>
      <c r="G30" s="162" t="s">
        <v>608</v>
      </c>
      <c r="H30" s="161" t="s">
        <v>44</v>
      </c>
      <c r="I30" s="161" t="s">
        <v>92</v>
      </c>
      <c r="J30" s="161" t="s">
        <v>102</v>
      </c>
      <c r="K30" s="161" t="s">
        <v>54</v>
      </c>
      <c r="L30" s="161" t="s">
        <v>54</v>
      </c>
      <c r="M30" s="161" t="s">
        <v>54</v>
      </c>
      <c r="N30" s="161"/>
      <c r="O30" s="162"/>
    </row>
    <row r="31" spans="1:15" ht="79.5" customHeight="1">
      <c r="A31" s="161">
        <v>14</v>
      </c>
      <c r="B31" s="162" t="s">
        <v>609</v>
      </c>
      <c r="C31" s="162" t="s">
        <v>132</v>
      </c>
      <c r="D31" s="162" t="s">
        <v>578</v>
      </c>
      <c r="E31" s="162" t="s">
        <v>583</v>
      </c>
      <c r="F31" s="162"/>
      <c r="G31" s="162" t="s">
        <v>584</v>
      </c>
      <c r="H31" s="161" t="s">
        <v>44</v>
      </c>
      <c r="I31" s="161" t="s">
        <v>94</v>
      </c>
      <c r="J31" s="161" t="s">
        <v>102</v>
      </c>
      <c r="K31" s="161" t="s">
        <v>54</v>
      </c>
      <c r="L31" s="161" t="s">
        <v>54</v>
      </c>
      <c r="M31" s="161" t="s">
        <v>54</v>
      </c>
      <c r="N31" s="161"/>
      <c r="O31" s="162"/>
    </row>
    <row r="32" spans="1:15" ht="79.5" customHeight="1">
      <c r="A32" s="161">
        <v>15</v>
      </c>
      <c r="B32" s="162" t="s">
        <v>610</v>
      </c>
      <c r="C32" s="162" t="s">
        <v>136</v>
      </c>
      <c r="D32" s="162" t="s">
        <v>578</v>
      </c>
      <c r="E32" s="162" t="s">
        <v>586</v>
      </c>
      <c r="F32" s="162"/>
      <c r="G32" s="162" t="s">
        <v>587</v>
      </c>
      <c r="H32" s="161" t="s">
        <v>44</v>
      </c>
      <c r="I32" s="161" t="s">
        <v>94</v>
      </c>
      <c r="J32" s="161" t="s">
        <v>102</v>
      </c>
      <c r="K32" s="161" t="s">
        <v>54</v>
      </c>
      <c r="L32" s="161" t="s">
        <v>54</v>
      </c>
      <c r="M32" s="161" t="s">
        <v>54</v>
      </c>
      <c r="N32" s="161"/>
      <c r="O32" s="162"/>
    </row>
    <row r="33" spans="1:15" ht="90.75" customHeight="1">
      <c r="A33" s="161">
        <v>16</v>
      </c>
      <c r="B33" s="162" t="s">
        <v>611</v>
      </c>
      <c r="C33" s="162" t="s">
        <v>589</v>
      </c>
      <c r="D33" s="162" t="s">
        <v>578</v>
      </c>
      <c r="E33" s="162" t="s">
        <v>590</v>
      </c>
      <c r="F33" s="162"/>
      <c r="G33" s="162" t="s">
        <v>591</v>
      </c>
      <c r="H33" s="161" t="s">
        <v>44</v>
      </c>
      <c r="I33" s="161" t="s">
        <v>94</v>
      </c>
      <c r="J33" s="161" t="s">
        <v>102</v>
      </c>
      <c r="K33" s="161" t="s">
        <v>54</v>
      </c>
      <c r="L33" s="161" t="s">
        <v>54</v>
      </c>
      <c r="M33" s="161" t="s">
        <v>54</v>
      </c>
      <c r="N33" s="161"/>
      <c r="O33" s="162"/>
    </row>
    <row r="34" spans="1:15" ht="79.5" customHeight="1">
      <c r="A34" s="161">
        <v>17</v>
      </c>
      <c r="B34" s="162" t="s">
        <v>612</v>
      </c>
      <c r="C34" s="162" t="s">
        <v>613</v>
      </c>
      <c r="D34" s="162" t="s">
        <v>578</v>
      </c>
      <c r="E34" s="162" t="s">
        <v>614</v>
      </c>
      <c r="F34" s="162"/>
      <c r="G34" s="162" t="s">
        <v>595</v>
      </c>
      <c r="H34" s="161" t="s">
        <v>44</v>
      </c>
      <c r="I34" s="161" t="s">
        <v>94</v>
      </c>
      <c r="J34" s="161" t="s">
        <v>102</v>
      </c>
      <c r="K34" s="161" t="s">
        <v>54</v>
      </c>
      <c r="L34" s="161" t="s">
        <v>54</v>
      </c>
      <c r="M34" s="161" t="s">
        <v>54</v>
      </c>
      <c r="N34" s="161"/>
      <c r="O34" s="162"/>
    </row>
    <row r="35" spans="1:15" ht="79.5" customHeight="1">
      <c r="A35" s="161">
        <v>18</v>
      </c>
      <c r="B35" s="162" t="s">
        <v>615</v>
      </c>
      <c r="C35" s="162" t="s">
        <v>616</v>
      </c>
      <c r="D35" s="162" t="s">
        <v>578</v>
      </c>
      <c r="E35" s="162" t="s">
        <v>617</v>
      </c>
      <c r="F35" s="162"/>
      <c r="G35" s="162" t="s">
        <v>175</v>
      </c>
      <c r="H35" s="161" t="s">
        <v>44</v>
      </c>
      <c r="I35" s="161" t="s">
        <v>94</v>
      </c>
      <c r="J35" s="161" t="s">
        <v>102</v>
      </c>
      <c r="K35" s="161" t="s">
        <v>54</v>
      </c>
      <c r="L35" s="161" t="s">
        <v>54</v>
      </c>
      <c r="M35" s="161" t="s">
        <v>54</v>
      </c>
      <c r="N35" s="161"/>
      <c r="O35" s="162"/>
    </row>
    <row r="36" spans="1:15" ht="18" customHeight="1">
      <c r="A36" s="134" t="s">
        <v>317</v>
      </c>
      <c r="B36" s="135" t="s">
        <v>618</v>
      </c>
      <c r="C36" s="135"/>
      <c r="D36" s="135"/>
      <c r="E36" s="135"/>
      <c r="F36" s="135"/>
      <c r="G36" s="135"/>
      <c r="H36" s="135"/>
      <c r="I36" s="135"/>
      <c r="J36" s="135"/>
      <c r="K36" s="135"/>
      <c r="L36" s="135"/>
      <c r="M36" s="135"/>
      <c r="N36" s="135"/>
      <c r="O36" s="135"/>
    </row>
    <row r="37" spans="1:15" ht="79.5" customHeight="1">
      <c r="A37" s="161">
        <v>19</v>
      </c>
      <c r="B37" s="162" t="s">
        <v>619</v>
      </c>
      <c r="C37" s="162" t="s">
        <v>126</v>
      </c>
      <c r="D37" s="162" t="s">
        <v>578</v>
      </c>
      <c r="E37" s="162" t="s">
        <v>579</v>
      </c>
      <c r="F37" s="162"/>
      <c r="G37" s="162" t="s">
        <v>608</v>
      </c>
      <c r="H37" s="161" t="s">
        <v>44</v>
      </c>
      <c r="I37" s="161" t="s">
        <v>92</v>
      </c>
      <c r="J37" s="161" t="s">
        <v>102</v>
      </c>
      <c r="K37" s="161" t="s">
        <v>54</v>
      </c>
      <c r="L37" s="161" t="s">
        <v>54</v>
      </c>
      <c r="M37" s="161" t="s">
        <v>54</v>
      </c>
      <c r="N37" s="161"/>
      <c r="O37" s="162"/>
    </row>
    <row r="38" spans="1:15" ht="79.5" customHeight="1">
      <c r="A38" s="161">
        <v>20</v>
      </c>
      <c r="B38" s="162" t="s">
        <v>620</v>
      </c>
      <c r="C38" s="162" t="s">
        <v>132</v>
      </c>
      <c r="D38" s="162" t="s">
        <v>578</v>
      </c>
      <c r="E38" s="162" t="s">
        <v>583</v>
      </c>
      <c r="F38" s="162"/>
      <c r="G38" s="162" t="s">
        <v>584</v>
      </c>
      <c r="H38" s="161" t="s">
        <v>44</v>
      </c>
      <c r="I38" s="161" t="s">
        <v>94</v>
      </c>
      <c r="J38" s="161" t="s">
        <v>102</v>
      </c>
      <c r="K38" s="161" t="s">
        <v>54</v>
      </c>
      <c r="L38" s="161" t="s">
        <v>54</v>
      </c>
      <c r="M38" s="161" t="s">
        <v>54</v>
      </c>
      <c r="N38" s="161"/>
      <c r="O38" s="162"/>
    </row>
    <row r="39" spans="1:15" ht="79.5" customHeight="1">
      <c r="A39" s="161">
        <v>21</v>
      </c>
      <c r="B39" s="162" t="s">
        <v>621</v>
      </c>
      <c r="C39" s="162" t="s">
        <v>136</v>
      </c>
      <c r="D39" s="162" t="s">
        <v>578</v>
      </c>
      <c r="E39" s="162" t="s">
        <v>586</v>
      </c>
      <c r="F39" s="162"/>
      <c r="G39" s="162" t="s">
        <v>587</v>
      </c>
      <c r="H39" s="161" t="s">
        <v>44</v>
      </c>
      <c r="I39" s="161" t="s">
        <v>94</v>
      </c>
      <c r="J39" s="161" t="s">
        <v>102</v>
      </c>
      <c r="K39" s="161" t="s">
        <v>54</v>
      </c>
      <c r="L39" s="161" t="s">
        <v>54</v>
      </c>
      <c r="M39" s="161" t="s">
        <v>54</v>
      </c>
      <c r="N39" s="161"/>
      <c r="O39" s="162"/>
    </row>
    <row r="40" spans="1:15" ht="90.75" customHeight="1">
      <c r="A40" s="161">
        <v>22</v>
      </c>
      <c r="B40" s="162" t="s">
        <v>622</v>
      </c>
      <c r="C40" s="162" t="s">
        <v>589</v>
      </c>
      <c r="D40" s="162" t="s">
        <v>578</v>
      </c>
      <c r="E40" s="162" t="s">
        <v>590</v>
      </c>
      <c r="F40" s="162"/>
      <c r="G40" s="162" t="s">
        <v>591</v>
      </c>
      <c r="H40" s="161" t="s">
        <v>44</v>
      </c>
      <c r="I40" s="161" t="s">
        <v>94</v>
      </c>
      <c r="J40" s="161" t="s">
        <v>102</v>
      </c>
      <c r="K40" s="161" t="s">
        <v>54</v>
      </c>
      <c r="L40" s="161" t="s">
        <v>54</v>
      </c>
      <c r="M40" s="161" t="s">
        <v>54</v>
      </c>
      <c r="N40" s="161"/>
      <c r="O40" s="162"/>
    </row>
    <row r="41" spans="1:15" ht="79.5" customHeight="1">
      <c r="A41" s="161">
        <v>23</v>
      </c>
      <c r="B41" s="162" t="s">
        <v>623</v>
      </c>
      <c r="C41" s="162" t="s">
        <v>613</v>
      </c>
      <c r="D41" s="162" t="s">
        <v>578</v>
      </c>
      <c r="E41" s="162" t="s">
        <v>614</v>
      </c>
      <c r="F41" s="162"/>
      <c r="G41" s="162" t="s">
        <v>595</v>
      </c>
      <c r="H41" s="161" t="s">
        <v>44</v>
      </c>
      <c r="I41" s="161" t="s">
        <v>94</v>
      </c>
      <c r="J41" s="161" t="s">
        <v>102</v>
      </c>
      <c r="K41" s="161" t="s">
        <v>54</v>
      </c>
      <c r="L41" s="161" t="s">
        <v>54</v>
      </c>
      <c r="M41" s="161" t="s">
        <v>54</v>
      </c>
      <c r="N41" s="161"/>
      <c r="O41" s="162"/>
    </row>
    <row r="42" spans="1:15" ht="79.5" customHeight="1">
      <c r="A42" s="161">
        <v>24</v>
      </c>
      <c r="B42" s="162" t="s">
        <v>624</v>
      </c>
      <c r="C42" s="162" t="s">
        <v>616</v>
      </c>
      <c r="D42" s="162" t="s">
        <v>578</v>
      </c>
      <c r="E42" s="162" t="s">
        <v>617</v>
      </c>
      <c r="F42" s="162"/>
      <c r="G42" s="162" t="s">
        <v>253</v>
      </c>
      <c r="H42" s="161" t="s">
        <v>44</v>
      </c>
      <c r="I42" s="161" t="s">
        <v>94</v>
      </c>
      <c r="J42" s="161" t="s">
        <v>102</v>
      </c>
      <c r="K42" s="161" t="s">
        <v>54</v>
      </c>
      <c r="L42" s="161" t="s">
        <v>54</v>
      </c>
      <c r="M42" s="161" t="s">
        <v>54</v>
      </c>
      <c r="N42" s="161"/>
      <c r="O42" s="162"/>
    </row>
    <row r="43" spans="1:15" ht="18" customHeight="1">
      <c r="A43" s="159" t="s">
        <v>180</v>
      </c>
      <c r="B43" s="159"/>
      <c r="C43" s="159"/>
      <c r="D43" s="159"/>
      <c r="E43" s="159"/>
      <c r="F43" s="159"/>
      <c r="G43" s="159"/>
      <c r="H43" s="159"/>
      <c r="I43" s="159"/>
      <c r="J43" s="159"/>
      <c r="K43" s="159"/>
      <c r="L43" s="159"/>
      <c r="M43" s="159"/>
      <c r="N43" s="159"/>
      <c r="O43" s="159"/>
    </row>
    <row r="44" spans="1:15" ht="18" customHeight="1">
      <c r="A44" s="134" t="s">
        <v>123</v>
      </c>
      <c r="B44" s="135" t="s">
        <v>576</v>
      </c>
      <c r="C44" s="135"/>
      <c r="D44" s="135"/>
      <c r="E44" s="135"/>
      <c r="F44" s="135"/>
      <c r="G44" s="135"/>
      <c r="H44" s="135"/>
      <c r="I44" s="135"/>
      <c r="J44" s="135"/>
      <c r="K44" s="135"/>
      <c r="L44" s="135"/>
      <c r="M44" s="135"/>
      <c r="N44" s="135"/>
      <c r="O44" s="135"/>
    </row>
    <row r="45" spans="1:15" ht="124.5" customHeight="1">
      <c r="A45" s="161">
        <v>25</v>
      </c>
      <c r="B45" s="162" t="s">
        <v>625</v>
      </c>
      <c r="C45" s="162" t="s">
        <v>182</v>
      </c>
      <c r="D45" s="162" t="s">
        <v>626</v>
      </c>
      <c r="E45" s="162" t="s">
        <v>184</v>
      </c>
      <c r="F45" s="162"/>
      <c r="G45" s="162" t="s">
        <v>185</v>
      </c>
      <c r="H45" s="161" t="s">
        <v>44</v>
      </c>
      <c r="I45" s="161" t="s">
        <v>92</v>
      </c>
      <c r="J45" s="161" t="s">
        <v>102</v>
      </c>
      <c r="K45" s="161" t="s">
        <v>54</v>
      </c>
      <c r="L45" s="161" t="s">
        <v>54</v>
      </c>
      <c r="M45" s="161" t="s">
        <v>54</v>
      </c>
      <c r="N45" s="161"/>
      <c r="O45" s="162"/>
    </row>
    <row r="46" spans="1:15" ht="124.5" customHeight="1">
      <c r="A46" s="161">
        <v>26</v>
      </c>
      <c r="B46" s="162" t="s">
        <v>627</v>
      </c>
      <c r="C46" s="162" t="s">
        <v>187</v>
      </c>
      <c r="D46" s="162" t="s">
        <v>626</v>
      </c>
      <c r="E46" s="162" t="s">
        <v>184</v>
      </c>
      <c r="F46" s="162"/>
      <c r="G46" s="162" t="s">
        <v>185</v>
      </c>
      <c r="H46" s="161" t="s">
        <v>44</v>
      </c>
      <c r="I46" s="161" t="s">
        <v>92</v>
      </c>
      <c r="J46" s="161" t="s">
        <v>102</v>
      </c>
      <c r="K46" s="161" t="s">
        <v>54</v>
      </c>
      <c r="L46" s="161" t="s">
        <v>54</v>
      </c>
      <c r="M46" s="161" t="s">
        <v>54</v>
      </c>
      <c r="N46" s="161"/>
      <c r="O46" s="162"/>
    </row>
    <row r="47" spans="1:15" ht="124.5" customHeight="1">
      <c r="A47" s="161">
        <v>27</v>
      </c>
      <c r="B47" s="162" t="s">
        <v>628</v>
      </c>
      <c r="C47" s="162" t="s">
        <v>629</v>
      </c>
      <c r="D47" s="162" t="s">
        <v>626</v>
      </c>
      <c r="E47" s="162" t="s">
        <v>184</v>
      </c>
      <c r="F47" s="162"/>
      <c r="G47" s="162" t="s">
        <v>190</v>
      </c>
      <c r="H47" s="161" t="s">
        <v>44</v>
      </c>
      <c r="I47" s="161" t="s">
        <v>94</v>
      </c>
      <c r="J47" s="161" t="s">
        <v>102</v>
      </c>
      <c r="K47" s="161" t="s">
        <v>54</v>
      </c>
      <c r="L47" s="161" t="s">
        <v>54</v>
      </c>
      <c r="M47" s="161" t="s">
        <v>54</v>
      </c>
      <c r="N47" s="161"/>
      <c r="O47" s="162"/>
    </row>
    <row r="48" spans="1:15" ht="124.5" customHeight="1">
      <c r="A48" s="161">
        <v>28</v>
      </c>
      <c r="B48" s="162" t="s">
        <v>630</v>
      </c>
      <c r="C48" s="162" t="s">
        <v>631</v>
      </c>
      <c r="D48" s="162" t="s">
        <v>626</v>
      </c>
      <c r="E48" s="162" t="s">
        <v>184</v>
      </c>
      <c r="F48" s="162"/>
      <c r="G48" s="162" t="s">
        <v>190</v>
      </c>
      <c r="H48" s="161" t="s">
        <v>44</v>
      </c>
      <c r="I48" s="161" t="s">
        <v>94</v>
      </c>
      <c r="J48" s="161" t="s">
        <v>102</v>
      </c>
      <c r="K48" s="161" t="s">
        <v>54</v>
      </c>
      <c r="L48" s="161" t="s">
        <v>54</v>
      </c>
      <c r="M48" s="161" t="s">
        <v>54</v>
      </c>
      <c r="N48" s="161"/>
      <c r="O48" s="162"/>
    </row>
    <row r="49" spans="1:15" ht="124.5" customHeight="1">
      <c r="A49" s="161">
        <v>29</v>
      </c>
      <c r="B49" s="162" t="s">
        <v>632</v>
      </c>
      <c r="C49" s="162" t="s">
        <v>633</v>
      </c>
      <c r="D49" s="162" t="s">
        <v>626</v>
      </c>
      <c r="E49" s="162" t="s">
        <v>184</v>
      </c>
      <c r="F49" s="162"/>
      <c r="G49" s="162" t="s">
        <v>190</v>
      </c>
      <c r="H49" s="161" t="s">
        <v>44</v>
      </c>
      <c r="I49" s="161" t="s">
        <v>94</v>
      </c>
      <c r="J49" s="161" t="s">
        <v>102</v>
      </c>
      <c r="K49" s="161" t="s">
        <v>54</v>
      </c>
      <c r="L49" s="161" t="s">
        <v>54</v>
      </c>
      <c r="M49" s="161" t="s">
        <v>54</v>
      </c>
      <c r="N49" s="161"/>
      <c r="O49" s="162"/>
    </row>
    <row r="50" spans="1:15" ht="18" customHeight="1">
      <c r="A50" s="134" t="s">
        <v>150</v>
      </c>
      <c r="B50" s="135" t="s">
        <v>599</v>
      </c>
      <c r="C50" s="135"/>
      <c r="D50" s="135"/>
      <c r="E50" s="135"/>
      <c r="F50" s="135"/>
      <c r="G50" s="135"/>
      <c r="H50" s="135"/>
      <c r="I50" s="135"/>
      <c r="J50" s="135"/>
      <c r="K50" s="135"/>
      <c r="L50" s="135"/>
      <c r="M50" s="135"/>
      <c r="N50" s="135"/>
      <c r="O50" s="135"/>
    </row>
    <row r="51" spans="1:15" ht="124.5" customHeight="1">
      <c r="A51" s="161">
        <v>30</v>
      </c>
      <c r="B51" s="162" t="s">
        <v>634</v>
      </c>
      <c r="C51" s="162" t="s">
        <v>182</v>
      </c>
      <c r="D51" s="162" t="s">
        <v>635</v>
      </c>
      <c r="E51" s="162" t="s">
        <v>184</v>
      </c>
      <c r="F51" s="162"/>
      <c r="G51" s="162" t="s">
        <v>185</v>
      </c>
      <c r="H51" s="161" t="s">
        <v>44</v>
      </c>
      <c r="I51" s="161" t="s">
        <v>92</v>
      </c>
      <c r="J51" s="161" t="s">
        <v>102</v>
      </c>
      <c r="K51" s="161" t="s">
        <v>54</v>
      </c>
      <c r="L51" s="161" t="s">
        <v>54</v>
      </c>
      <c r="M51" s="161" t="s">
        <v>54</v>
      </c>
      <c r="N51" s="161"/>
      <c r="O51" s="162"/>
    </row>
    <row r="52" spans="1:15" ht="124.5" customHeight="1">
      <c r="A52" s="161">
        <v>31</v>
      </c>
      <c r="B52" s="162" t="s">
        <v>636</v>
      </c>
      <c r="C52" s="162" t="s">
        <v>187</v>
      </c>
      <c r="D52" s="162" t="s">
        <v>635</v>
      </c>
      <c r="E52" s="162" t="s">
        <v>184</v>
      </c>
      <c r="F52" s="162"/>
      <c r="G52" s="162" t="s">
        <v>185</v>
      </c>
      <c r="H52" s="161" t="s">
        <v>44</v>
      </c>
      <c r="I52" s="161" t="s">
        <v>92</v>
      </c>
      <c r="J52" s="161" t="s">
        <v>102</v>
      </c>
      <c r="K52" s="161" t="s">
        <v>54</v>
      </c>
      <c r="L52" s="161" t="s">
        <v>54</v>
      </c>
      <c r="M52" s="161" t="s">
        <v>54</v>
      </c>
      <c r="N52" s="161"/>
      <c r="O52" s="162"/>
    </row>
    <row r="53" spans="1:15" ht="124.5" customHeight="1">
      <c r="A53" s="161">
        <v>32</v>
      </c>
      <c r="B53" s="162" t="s">
        <v>637</v>
      </c>
      <c r="C53" s="162" t="s">
        <v>629</v>
      </c>
      <c r="D53" s="162" t="s">
        <v>635</v>
      </c>
      <c r="E53" s="162" t="s">
        <v>184</v>
      </c>
      <c r="F53" s="162"/>
      <c r="G53" s="162" t="s">
        <v>190</v>
      </c>
      <c r="H53" s="161" t="s">
        <v>44</v>
      </c>
      <c r="I53" s="161" t="s">
        <v>94</v>
      </c>
      <c r="J53" s="161" t="s">
        <v>102</v>
      </c>
      <c r="K53" s="161" t="s">
        <v>54</v>
      </c>
      <c r="L53" s="161" t="s">
        <v>54</v>
      </c>
      <c r="M53" s="161" t="s">
        <v>54</v>
      </c>
      <c r="N53" s="161"/>
      <c r="O53" s="162"/>
    </row>
    <row r="54" spans="1:15" ht="124.5" customHeight="1">
      <c r="A54" s="161">
        <v>33</v>
      </c>
      <c r="B54" s="162" t="s">
        <v>638</v>
      </c>
      <c r="C54" s="162" t="s">
        <v>631</v>
      </c>
      <c r="D54" s="162" t="s">
        <v>635</v>
      </c>
      <c r="E54" s="162" t="s">
        <v>184</v>
      </c>
      <c r="F54" s="162"/>
      <c r="G54" s="162" t="s">
        <v>190</v>
      </c>
      <c r="H54" s="161" t="s">
        <v>44</v>
      </c>
      <c r="I54" s="161" t="s">
        <v>94</v>
      </c>
      <c r="J54" s="161" t="s">
        <v>102</v>
      </c>
      <c r="K54" s="161" t="s">
        <v>54</v>
      </c>
      <c r="L54" s="161" t="s">
        <v>54</v>
      </c>
      <c r="M54" s="161" t="s">
        <v>54</v>
      </c>
      <c r="N54" s="161"/>
      <c r="O54" s="162"/>
    </row>
    <row r="55" spans="1:15" ht="124.5" customHeight="1">
      <c r="A55" s="161">
        <v>34</v>
      </c>
      <c r="B55" s="162" t="s">
        <v>639</v>
      </c>
      <c r="C55" s="162" t="s">
        <v>633</v>
      </c>
      <c r="D55" s="162" t="s">
        <v>635</v>
      </c>
      <c r="E55" s="162" t="s">
        <v>184</v>
      </c>
      <c r="F55" s="162"/>
      <c r="G55" s="162" t="s">
        <v>190</v>
      </c>
      <c r="H55" s="161" t="s">
        <v>44</v>
      </c>
      <c r="I55" s="161" t="s">
        <v>94</v>
      </c>
      <c r="J55" s="161" t="s">
        <v>102</v>
      </c>
      <c r="K55" s="161" t="s">
        <v>54</v>
      </c>
      <c r="L55" s="161" t="s">
        <v>54</v>
      </c>
      <c r="M55" s="161" t="s">
        <v>54</v>
      </c>
      <c r="N55" s="161"/>
      <c r="O55" s="162"/>
    </row>
    <row r="56" spans="1:15" ht="18" customHeight="1">
      <c r="A56" s="134" t="s">
        <v>165</v>
      </c>
      <c r="B56" s="135" t="s">
        <v>606</v>
      </c>
      <c r="C56" s="135"/>
      <c r="D56" s="135"/>
      <c r="E56" s="135"/>
      <c r="F56" s="135"/>
      <c r="G56" s="135"/>
      <c r="H56" s="135"/>
      <c r="I56" s="135"/>
      <c r="J56" s="135"/>
      <c r="K56" s="135"/>
      <c r="L56" s="135"/>
      <c r="M56" s="135"/>
      <c r="N56" s="135"/>
      <c r="O56" s="135"/>
    </row>
    <row r="57" spans="1:15" ht="124.5" customHeight="1">
      <c r="A57" s="161">
        <v>35</v>
      </c>
      <c r="B57" s="162" t="s">
        <v>640</v>
      </c>
      <c r="C57" s="162" t="s">
        <v>182</v>
      </c>
      <c r="D57" s="162" t="s">
        <v>626</v>
      </c>
      <c r="E57" s="162" t="s">
        <v>184</v>
      </c>
      <c r="F57" s="162"/>
      <c r="G57" s="162" t="s">
        <v>185</v>
      </c>
      <c r="H57" s="161" t="s">
        <v>44</v>
      </c>
      <c r="I57" s="161" t="s">
        <v>92</v>
      </c>
      <c r="J57" s="161" t="s">
        <v>102</v>
      </c>
      <c r="K57" s="161" t="s">
        <v>54</v>
      </c>
      <c r="L57" s="161" t="s">
        <v>54</v>
      </c>
      <c r="M57" s="161" t="s">
        <v>54</v>
      </c>
      <c r="N57" s="161"/>
      <c r="O57" s="162"/>
    </row>
    <row r="58" spans="1:15" ht="124.5" customHeight="1">
      <c r="A58" s="161">
        <v>36</v>
      </c>
      <c r="B58" s="162" t="s">
        <v>641</v>
      </c>
      <c r="C58" s="162" t="s">
        <v>187</v>
      </c>
      <c r="D58" s="162" t="s">
        <v>626</v>
      </c>
      <c r="E58" s="162" t="s">
        <v>184</v>
      </c>
      <c r="F58" s="162"/>
      <c r="G58" s="162" t="s">
        <v>185</v>
      </c>
      <c r="H58" s="161" t="s">
        <v>44</v>
      </c>
      <c r="I58" s="161" t="s">
        <v>92</v>
      </c>
      <c r="J58" s="161" t="s">
        <v>102</v>
      </c>
      <c r="K58" s="161" t="s">
        <v>54</v>
      </c>
      <c r="L58" s="161" t="s">
        <v>54</v>
      </c>
      <c r="M58" s="161" t="s">
        <v>54</v>
      </c>
      <c r="N58" s="161"/>
      <c r="O58" s="162"/>
    </row>
    <row r="59" spans="1:15" ht="124.5" customHeight="1">
      <c r="A59" s="161">
        <v>37</v>
      </c>
      <c r="B59" s="162" t="s">
        <v>642</v>
      </c>
      <c r="C59" s="162" t="s">
        <v>629</v>
      </c>
      <c r="D59" s="162" t="s">
        <v>626</v>
      </c>
      <c r="E59" s="162" t="s">
        <v>184</v>
      </c>
      <c r="F59" s="162"/>
      <c r="G59" s="162" t="s">
        <v>190</v>
      </c>
      <c r="H59" s="161" t="s">
        <v>44</v>
      </c>
      <c r="I59" s="161" t="s">
        <v>94</v>
      </c>
      <c r="J59" s="161" t="s">
        <v>102</v>
      </c>
      <c r="K59" s="161" t="s">
        <v>54</v>
      </c>
      <c r="L59" s="161" t="s">
        <v>54</v>
      </c>
      <c r="M59" s="161" t="s">
        <v>54</v>
      </c>
      <c r="N59" s="161"/>
      <c r="O59" s="162"/>
    </row>
    <row r="60" spans="1:15" ht="124.5" customHeight="1">
      <c r="A60" s="161">
        <v>38</v>
      </c>
      <c r="B60" s="162" t="s">
        <v>643</v>
      </c>
      <c r="C60" s="162" t="s">
        <v>644</v>
      </c>
      <c r="D60" s="162" t="s">
        <v>626</v>
      </c>
      <c r="E60" s="162" t="s">
        <v>184</v>
      </c>
      <c r="F60" s="162"/>
      <c r="G60" s="162" t="s">
        <v>190</v>
      </c>
      <c r="H60" s="161" t="s">
        <v>44</v>
      </c>
      <c r="I60" s="161" t="s">
        <v>94</v>
      </c>
      <c r="J60" s="161" t="s">
        <v>102</v>
      </c>
      <c r="K60" s="161" t="s">
        <v>54</v>
      </c>
      <c r="L60" s="161" t="s">
        <v>54</v>
      </c>
      <c r="M60" s="161" t="s">
        <v>54</v>
      </c>
      <c r="N60" s="161"/>
      <c r="O60" s="162"/>
    </row>
    <row r="61" spans="1:15" ht="124.5" customHeight="1">
      <c r="A61" s="161">
        <v>39</v>
      </c>
      <c r="B61" s="162" t="s">
        <v>645</v>
      </c>
      <c r="C61" s="162" t="s">
        <v>646</v>
      </c>
      <c r="D61" s="162" t="s">
        <v>626</v>
      </c>
      <c r="E61" s="162" t="s">
        <v>184</v>
      </c>
      <c r="F61" s="162"/>
      <c r="G61" s="162" t="s">
        <v>190</v>
      </c>
      <c r="H61" s="161" t="s">
        <v>44</v>
      </c>
      <c r="I61" s="161" t="s">
        <v>94</v>
      </c>
      <c r="J61" s="161" t="s">
        <v>102</v>
      </c>
      <c r="K61" s="161" t="s">
        <v>54</v>
      </c>
      <c r="L61" s="161" t="s">
        <v>54</v>
      </c>
      <c r="M61" s="161" t="s">
        <v>54</v>
      </c>
      <c r="N61" s="161"/>
      <c r="O61" s="162"/>
    </row>
    <row r="62" spans="1:15" ht="18" customHeight="1">
      <c r="A62" s="134" t="s">
        <v>317</v>
      </c>
      <c r="B62" s="135" t="s">
        <v>618</v>
      </c>
      <c r="C62" s="135"/>
      <c r="D62" s="135"/>
      <c r="E62" s="135"/>
      <c r="F62" s="135"/>
      <c r="G62" s="135"/>
      <c r="H62" s="135"/>
      <c r="I62" s="135"/>
      <c r="J62" s="135"/>
      <c r="K62" s="135"/>
      <c r="L62" s="135"/>
      <c r="M62" s="135"/>
      <c r="N62" s="135"/>
      <c r="O62" s="135"/>
    </row>
    <row r="63" spans="1:15" ht="124.5" customHeight="1">
      <c r="A63" s="161">
        <v>40</v>
      </c>
      <c r="B63" s="162" t="s">
        <v>647</v>
      </c>
      <c r="C63" s="162" t="s">
        <v>182</v>
      </c>
      <c r="D63" s="162" t="s">
        <v>635</v>
      </c>
      <c r="E63" s="162" t="s">
        <v>184</v>
      </c>
      <c r="F63" s="162"/>
      <c r="G63" s="162" t="s">
        <v>185</v>
      </c>
      <c r="H63" s="161" t="s">
        <v>44</v>
      </c>
      <c r="I63" s="161" t="s">
        <v>92</v>
      </c>
      <c r="J63" s="161" t="s">
        <v>102</v>
      </c>
      <c r="K63" s="161" t="s">
        <v>54</v>
      </c>
      <c r="L63" s="161" t="s">
        <v>54</v>
      </c>
      <c r="M63" s="161" t="s">
        <v>54</v>
      </c>
      <c r="N63" s="161"/>
      <c r="O63" s="162"/>
    </row>
    <row r="64" spans="1:15" ht="124.5" customHeight="1">
      <c r="A64" s="161">
        <v>41</v>
      </c>
      <c r="B64" s="162" t="s">
        <v>648</v>
      </c>
      <c r="C64" s="162" t="s">
        <v>187</v>
      </c>
      <c r="D64" s="162" t="s">
        <v>635</v>
      </c>
      <c r="E64" s="162" t="s">
        <v>184</v>
      </c>
      <c r="F64" s="162"/>
      <c r="G64" s="162" t="s">
        <v>185</v>
      </c>
      <c r="H64" s="161" t="s">
        <v>44</v>
      </c>
      <c r="I64" s="161" t="s">
        <v>92</v>
      </c>
      <c r="J64" s="161" t="s">
        <v>102</v>
      </c>
      <c r="K64" s="161" t="s">
        <v>54</v>
      </c>
      <c r="L64" s="161" t="s">
        <v>54</v>
      </c>
      <c r="M64" s="161" t="s">
        <v>54</v>
      </c>
      <c r="N64" s="161"/>
      <c r="O64" s="162"/>
    </row>
    <row r="65" spans="1:15" ht="124.5" customHeight="1">
      <c r="A65" s="161">
        <v>42</v>
      </c>
      <c r="B65" s="162" t="s">
        <v>649</v>
      </c>
      <c r="C65" s="162" t="s">
        <v>629</v>
      </c>
      <c r="D65" s="162" t="s">
        <v>635</v>
      </c>
      <c r="E65" s="162" t="s">
        <v>184</v>
      </c>
      <c r="F65" s="162"/>
      <c r="G65" s="162" t="s">
        <v>190</v>
      </c>
      <c r="H65" s="161" t="s">
        <v>44</v>
      </c>
      <c r="I65" s="161" t="s">
        <v>94</v>
      </c>
      <c r="J65" s="161" t="s">
        <v>102</v>
      </c>
      <c r="K65" s="161" t="s">
        <v>54</v>
      </c>
      <c r="L65" s="161" t="s">
        <v>54</v>
      </c>
      <c r="M65" s="161" t="s">
        <v>54</v>
      </c>
      <c r="N65" s="161"/>
      <c r="O65" s="162"/>
    </row>
    <row r="66" spans="1:15" ht="124.5" customHeight="1">
      <c r="A66" s="161">
        <v>43</v>
      </c>
      <c r="B66" s="162" t="s">
        <v>650</v>
      </c>
      <c r="C66" s="162" t="s">
        <v>644</v>
      </c>
      <c r="D66" s="162" t="s">
        <v>635</v>
      </c>
      <c r="E66" s="162" t="s">
        <v>184</v>
      </c>
      <c r="F66" s="162"/>
      <c r="G66" s="162" t="s">
        <v>190</v>
      </c>
      <c r="H66" s="161" t="s">
        <v>44</v>
      </c>
      <c r="I66" s="161" t="s">
        <v>94</v>
      </c>
      <c r="J66" s="161" t="s">
        <v>102</v>
      </c>
      <c r="K66" s="161" t="s">
        <v>54</v>
      </c>
      <c r="L66" s="161" t="s">
        <v>54</v>
      </c>
      <c r="M66" s="161" t="s">
        <v>54</v>
      </c>
      <c r="N66" s="161"/>
      <c r="O66" s="162"/>
    </row>
    <row r="67" spans="1:15" ht="124.5" customHeight="1">
      <c r="A67" s="161">
        <v>44</v>
      </c>
      <c r="B67" s="162" t="s">
        <v>651</v>
      </c>
      <c r="C67" s="162" t="s">
        <v>646</v>
      </c>
      <c r="D67" s="162" t="s">
        <v>635</v>
      </c>
      <c r="E67" s="162" t="s">
        <v>184</v>
      </c>
      <c r="F67" s="162"/>
      <c r="G67" s="162" t="s">
        <v>190</v>
      </c>
      <c r="H67" s="161" t="s">
        <v>44</v>
      </c>
      <c r="I67" s="161" t="s">
        <v>94</v>
      </c>
      <c r="J67" s="161" t="s">
        <v>102</v>
      </c>
      <c r="K67" s="161" t="s">
        <v>54</v>
      </c>
      <c r="L67" s="161" t="s">
        <v>54</v>
      </c>
      <c r="M67" s="161" t="s">
        <v>54</v>
      </c>
      <c r="N67" s="161"/>
      <c r="O67" s="162"/>
    </row>
    <row r="68" spans="1:15" ht="18" customHeight="1">
      <c r="A68" s="160"/>
      <c r="B68" s="160"/>
      <c r="C68" s="160"/>
      <c r="D68" s="160"/>
      <c r="E68" s="160"/>
      <c r="F68" s="160"/>
      <c r="G68" s="160"/>
      <c r="H68" s="160"/>
      <c r="I68" s="160"/>
      <c r="J68" s="160"/>
      <c r="K68" s="160"/>
      <c r="L68" s="160"/>
      <c r="M68" s="160"/>
      <c r="N68" s="160"/>
      <c r="O68" s="160"/>
    </row>
    <row r="69" spans="1:15" ht="191.25" customHeight="1"/>
    <row r="70" spans="1:15" ht="213.75" customHeight="1"/>
  </sheetData>
  <mergeCells count="3">
    <mergeCell ref="A14:O14"/>
    <mergeCell ref="A43:O43"/>
    <mergeCell ref="A68:O68"/>
  </mergeCell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O29"/>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652</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5</v>
      </c>
      <c r="D5" s="124">
        <f>SUM(D6:D10)</f>
        <v>8</v>
      </c>
      <c r="E5" s="124">
        <f>SUM(E6:E10)</f>
        <v>0</v>
      </c>
      <c r="F5" s="124">
        <f t="shared" ref="F5:F11" si="0">SUM(C5:E5)</f>
        <v>13</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5</v>
      </c>
      <c r="D8" s="125">
        <f t="shared" si="1"/>
        <v>8</v>
      </c>
      <c r="E8" s="125">
        <f t="shared" si="1"/>
        <v>0</v>
      </c>
      <c r="F8" s="125">
        <f t="shared" si="0"/>
        <v>13</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79.5" customHeight="1">
      <c r="A15" s="161">
        <v>1</v>
      </c>
      <c r="B15" s="162" t="s">
        <v>653</v>
      </c>
      <c r="C15" s="162" t="s">
        <v>126</v>
      </c>
      <c r="D15" s="162" t="s">
        <v>654</v>
      </c>
      <c r="E15" s="162" t="s">
        <v>655</v>
      </c>
      <c r="F15" s="162"/>
      <c r="G15" s="162" t="s">
        <v>656</v>
      </c>
      <c r="H15" s="161" t="s">
        <v>44</v>
      </c>
      <c r="I15" s="161" t="s">
        <v>92</v>
      </c>
      <c r="J15" s="161" t="s">
        <v>102</v>
      </c>
      <c r="K15" s="161" t="s">
        <v>54</v>
      </c>
      <c r="L15" s="161" t="s">
        <v>54</v>
      </c>
      <c r="M15" s="161" t="s">
        <v>54</v>
      </c>
      <c r="N15" s="161"/>
      <c r="O15" s="162" t="s">
        <v>657</v>
      </c>
    </row>
    <row r="16" spans="1:15" ht="79.5" customHeight="1">
      <c r="A16" s="161">
        <v>2</v>
      </c>
      <c r="B16" s="162" t="s">
        <v>658</v>
      </c>
      <c r="C16" s="162" t="s">
        <v>132</v>
      </c>
      <c r="D16" s="162" t="s">
        <v>654</v>
      </c>
      <c r="E16" s="162" t="s">
        <v>659</v>
      </c>
      <c r="F16" s="162"/>
      <c r="G16" s="162" t="s">
        <v>134</v>
      </c>
      <c r="H16" s="161" t="s">
        <v>44</v>
      </c>
      <c r="I16" s="161" t="s">
        <v>94</v>
      </c>
      <c r="J16" s="161" t="s">
        <v>102</v>
      </c>
      <c r="K16" s="161" t="s">
        <v>54</v>
      </c>
      <c r="L16" s="161" t="s">
        <v>54</v>
      </c>
      <c r="M16" s="161" t="s">
        <v>54</v>
      </c>
      <c r="N16" s="161"/>
      <c r="O16" s="162"/>
    </row>
    <row r="17" spans="1:15" ht="79.5" customHeight="1">
      <c r="A17" s="161">
        <v>3</v>
      </c>
      <c r="B17" s="162" t="s">
        <v>660</v>
      </c>
      <c r="C17" s="162" t="s">
        <v>136</v>
      </c>
      <c r="D17" s="162" t="s">
        <v>654</v>
      </c>
      <c r="E17" s="162" t="s">
        <v>661</v>
      </c>
      <c r="F17" s="162"/>
      <c r="G17" s="162" t="s">
        <v>138</v>
      </c>
      <c r="H17" s="161" t="s">
        <v>44</v>
      </c>
      <c r="I17" s="161" t="s">
        <v>94</v>
      </c>
      <c r="J17" s="161" t="s">
        <v>102</v>
      </c>
      <c r="K17" s="161" t="s">
        <v>54</v>
      </c>
      <c r="L17" s="161" t="s">
        <v>54</v>
      </c>
      <c r="M17" s="161" t="s">
        <v>54</v>
      </c>
      <c r="N17" s="161"/>
      <c r="O17" s="162"/>
    </row>
    <row r="18" spans="1:15" ht="90.75" customHeight="1">
      <c r="A18" s="161">
        <v>4</v>
      </c>
      <c r="B18" s="162" t="s">
        <v>662</v>
      </c>
      <c r="C18" s="162" t="s">
        <v>663</v>
      </c>
      <c r="D18" s="162" t="s">
        <v>654</v>
      </c>
      <c r="E18" s="162" t="s">
        <v>664</v>
      </c>
      <c r="F18" s="162"/>
      <c r="G18" s="162" t="s">
        <v>173</v>
      </c>
      <c r="H18" s="161" t="s">
        <v>44</v>
      </c>
      <c r="I18" s="161" t="s">
        <v>94</v>
      </c>
      <c r="J18" s="161" t="s">
        <v>102</v>
      </c>
      <c r="K18" s="161" t="s">
        <v>54</v>
      </c>
      <c r="L18" s="161" t="s">
        <v>54</v>
      </c>
      <c r="M18" s="161" t="s">
        <v>54</v>
      </c>
      <c r="N18" s="161"/>
      <c r="O18" s="162"/>
    </row>
    <row r="19" spans="1:15" ht="79.5" customHeight="1">
      <c r="A19" s="161">
        <v>5</v>
      </c>
      <c r="B19" s="162" t="s">
        <v>665</v>
      </c>
      <c r="C19" s="162" t="s">
        <v>666</v>
      </c>
      <c r="D19" s="162" t="s">
        <v>654</v>
      </c>
      <c r="E19" s="162" t="s">
        <v>667</v>
      </c>
      <c r="F19" s="162"/>
      <c r="G19" s="162" t="s">
        <v>242</v>
      </c>
      <c r="H19" s="161" t="s">
        <v>44</v>
      </c>
      <c r="I19" s="161" t="s">
        <v>94</v>
      </c>
      <c r="J19" s="161" t="s">
        <v>102</v>
      </c>
      <c r="K19" s="161" t="s">
        <v>54</v>
      </c>
      <c r="L19" s="161" t="s">
        <v>54</v>
      </c>
      <c r="M19" s="161" t="s">
        <v>54</v>
      </c>
      <c r="N19" s="161"/>
      <c r="O19" s="162"/>
    </row>
    <row r="20" spans="1:15" ht="90.75" customHeight="1">
      <c r="A20" s="161">
        <v>6</v>
      </c>
      <c r="B20" s="162" t="s">
        <v>668</v>
      </c>
      <c r="C20" s="162" t="s">
        <v>669</v>
      </c>
      <c r="D20" s="162" t="s">
        <v>654</v>
      </c>
      <c r="E20" s="162" t="s">
        <v>670</v>
      </c>
      <c r="F20" s="162"/>
      <c r="G20" s="162" t="s">
        <v>671</v>
      </c>
      <c r="H20" s="161" t="s">
        <v>44</v>
      </c>
      <c r="I20" s="161" t="s">
        <v>94</v>
      </c>
      <c r="J20" s="161" t="s">
        <v>102</v>
      </c>
      <c r="K20" s="161" t="s">
        <v>54</v>
      </c>
      <c r="L20" s="161" t="s">
        <v>54</v>
      </c>
      <c r="M20" s="161" t="s">
        <v>54</v>
      </c>
      <c r="N20" s="161"/>
      <c r="O20" s="162"/>
    </row>
    <row r="21" spans="1:15" ht="18" customHeight="1">
      <c r="A21" s="159" t="s">
        <v>180</v>
      </c>
      <c r="B21" s="159"/>
      <c r="C21" s="159"/>
      <c r="D21" s="159"/>
      <c r="E21" s="159"/>
      <c r="F21" s="159"/>
      <c r="G21" s="159"/>
      <c r="H21" s="159"/>
      <c r="I21" s="159"/>
      <c r="J21" s="159"/>
      <c r="K21" s="159"/>
      <c r="L21" s="159"/>
      <c r="M21" s="159"/>
      <c r="N21" s="159"/>
      <c r="O21" s="159"/>
    </row>
    <row r="22" spans="1:15" ht="124.5" customHeight="1">
      <c r="A22" s="161">
        <v>7</v>
      </c>
      <c r="B22" s="162" t="s">
        <v>672</v>
      </c>
      <c r="C22" s="162" t="s">
        <v>182</v>
      </c>
      <c r="D22" s="162" t="s">
        <v>673</v>
      </c>
      <c r="E22" s="162" t="s">
        <v>184</v>
      </c>
      <c r="F22" s="162"/>
      <c r="G22" s="162" t="s">
        <v>185</v>
      </c>
      <c r="H22" s="161" t="s">
        <v>44</v>
      </c>
      <c r="I22" s="161" t="s">
        <v>92</v>
      </c>
      <c r="J22" s="161" t="s">
        <v>102</v>
      </c>
      <c r="K22" s="161" t="s">
        <v>54</v>
      </c>
      <c r="L22" s="161" t="s">
        <v>54</v>
      </c>
      <c r="M22" s="161" t="s">
        <v>54</v>
      </c>
      <c r="N22" s="161"/>
      <c r="O22" s="162"/>
    </row>
    <row r="23" spans="1:15" ht="124.5" customHeight="1">
      <c r="A23" s="161">
        <v>8</v>
      </c>
      <c r="B23" s="162" t="s">
        <v>674</v>
      </c>
      <c r="C23" s="162" t="s">
        <v>187</v>
      </c>
      <c r="D23" s="162" t="s">
        <v>673</v>
      </c>
      <c r="E23" s="162" t="s">
        <v>184</v>
      </c>
      <c r="F23" s="162"/>
      <c r="G23" s="162" t="s">
        <v>185</v>
      </c>
      <c r="H23" s="161" t="s">
        <v>44</v>
      </c>
      <c r="I23" s="161" t="s">
        <v>92</v>
      </c>
      <c r="J23" s="161" t="s">
        <v>102</v>
      </c>
      <c r="K23" s="161" t="s">
        <v>54</v>
      </c>
      <c r="L23" s="161" t="s">
        <v>54</v>
      </c>
      <c r="M23" s="161" t="s">
        <v>54</v>
      </c>
      <c r="N23" s="161"/>
      <c r="O23" s="162"/>
    </row>
    <row r="24" spans="1:15" ht="124.5" customHeight="1">
      <c r="A24" s="161">
        <v>9</v>
      </c>
      <c r="B24" s="162" t="s">
        <v>675</v>
      </c>
      <c r="C24" s="162" t="s">
        <v>676</v>
      </c>
      <c r="D24" s="162" t="s">
        <v>673</v>
      </c>
      <c r="E24" s="162" t="s">
        <v>184</v>
      </c>
      <c r="F24" s="162"/>
      <c r="G24" s="162" t="s">
        <v>190</v>
      </c>
      <c r="H24" s="161" t="s">
        <v>44</v>
      </c>
      <c r="I24" s="161" t="s">
        <v>94</v>
      </c>
      <c r="J24" s="161" t="s">
        <v>102</v>
      </c>
      <c r="K24" s="161" t="s">
        <v>54</v>
      </c>
      <c r="L24" s="161" t="s">
        <v>54</v>
      </c>
      <c r="M24" s="161" t="s">
        <v>54</v>
      </c>
      <c r="N24" s="161"/>
      <c r="O24" s="162"/>
    </row>
    <row r="25" spans="1:15" ht="124.5" customHeight="1">
      <c r="A25" s="161">
        <v>10</v>
      </c>
      <c r="B25" s="162" t="s">
        <v>677</v>
      </c>
      <c r="C25" s="162" t="s">
        <v>678</v>
      </c>
      <c r="D25" s="162" t="s">
        <v>673</v>
      </c>
      <c r="E25" s="162" t="s">
        <v>184</v>
      </c>
      <c r="F25" s="162"/>
      <c r="G25" s="162" t="s">
        <v>190</v>
      </c>
      <c r="H25" s="161" t="s">
        <v>44</v>
      </c>
      <c r="I25" s="161" t="s">
        <v>94</v>
      </c>
      <c r="J25" s="161" t="s">
        <v>102</v>
      </c>
      <c r="K25" s="161" t="s">
        <v>54</v>
      </c>
      <c r="L25" s="161" t="s">
        <v>54</v>
      </c>
      <c r="M25" s="161" t="s">
        <v>54</v>
      </c>
      <c r="N25" s="161"/>
      <c r="O25" s="162"/>
    </row>
    <row r="26" spans="1:15" ht="124.5" customHeight="1">
      <c r="A26" s="161">
        <v>11</v>
      </c>
      <c r="B26" s="162" t="s">
        <v>679</v>
      </c>
      <c r="C26" s="162" t="s">
        <v>680</v>
      </c>
      <c r="D26" s="162" t="s">
        <v>673</v>
      </c>
      <c r="E26" s="162" t="s">
        <v>184</v>
      </c>
      <c r="F26" s="162"/>
      <c r="G26" s="162" t="s">
        <v>190</v>
      </c>
      <c r="H26" s="161" t="s">
        <v>44</v>
      </c>
      <c r="I26" s="161" t="s">
        <v>94</v>
      </c>
      <c r="J26" s="161" t="s">
        <v>102</v>
      </c>
      <c r="K26" s="161" t="s">
        <v>54</v>
      </c>
      <c r="L26" s="161" t="s">
        <v>54</v>
      </c>
      <c r="M26" s="161" t="s">
        <v>54</v>
      </c>
      <c r="N26" s="161"/>
      <c r="O26" s="162"/>
    </row>
    <row r="27" spans="1:15" ht="18" customHeight="1">
      <c r="A27" s="159" t="s">
        <v>209</v>
      </c>
      <c r="B27" s="159"/>
      <c r="C27" s="159"/>
      <c r="D27" s="159"/>
      <c r="E27" s="159"/>
      <c r="F27" s="159"/>
      <c r="G27" s="159"/>
      <c r="H27" s="159"/>
      <c r="I27" s="159"/>
      <c r="J27" s="159"/>
      <c r="K27" s="159"/>
      <c r="L27" s="159"/>
      <c r="M27" s="159"/>
      <c r="N27" s="159"/>
      <c r="O27" s="159"/>
    </row>
    <row r="28" spans="1:15" ht="191.25" customHeight="1">
      <c r="A28" s="161">
        <v>12</v>
      </c>
      <c r="B28" s="162" t="s">
        <v>681</v>
      </c>
      <c r="C28" s="162" t="s">
        <v>211</v>
      </c>
      <c r="D28" s="162" t="s">
        <v>682</v>
      </c>
      <c r="E28" s="162" t="s">
        <v>213</v>
      </c>
      <c r="F28" s="162"/>
      <c r="G28" s="162" t="s">
        <v>214</v>
      </c>
      <c r="H28" s="161" t="s">
        <v>44</v>
      </c>
      <c r="I28" s="161" t="s">
        <v>92</v>
      </c>
      <c r="J28" s="161" t="s">
        <v>102</v>
      </c>
      <c r="K28" s="161" t="s">
        <v>54</v>
      </c>
      <c r="L28" s="161" t="s">
        <v>54</v>
      </c>
      <c r="M28" s="161" t="s">
        <v>54</v>
      </c>
      <c r="N28" s="161"/>
      <c r="O28" s="162" t="s">
        <v>215</v>
      </c>
    </row>
    <row r="29" spans="1:15" ht="213.75" customHeight="1">
      <c r="A29" s="161">
        <v>13</v>
      </c>
      <c r="B29" s="162" t="s">
        <v>683</v>
      </c>
      <c r="C29" s="162" t="s">
        <v>217</v>
      </c>
      <c r="D29" s="162" t="s">
        <v>684</v>
      </c>
      <c r="E29" s="162" t="s">
        <v>219</v>
      </c>
      <c r="F29" s="162"/>
      <c r="G29" s="162" t="s">
        <v>220</v>
      </c>
      <c r="H29" s="161" t="s">
        <v>44</v>
      </c>
      <c r="I29" s="161" t="s">
        <v>92</v>
      </c>
      <c r="J29" s="161" t="s">
        <v>102</v>
      </c>
      <c r="K29" s="161" t="s">
        <v>54</v>
      </c>
      <c r="L29" s="161" t="s">
        <v>54</v>
      </c>
      <c r="M29" s="161" t="s">
        <v>54</v>
      </c>
      <c r="N29" s="161"/>
      <c r="O29" s="162" t="s">
        <v>215</v>
      </c>
    </row>
  </sheetData>
  <mergeCells count="3">
    <mergeCell ref="A14:O14"/>
    <mergeCell ref="A21:O21"/>
    <mergeCell ref="A27:O27"/>
  </mergeCell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O46"/>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685</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18</v>
      </c>
      <c r="E5" s="124">
        <f>SUM(E6:E10)</f>
        <v>0</v>
      </c>
      <c r="F5" s="124">
        <f t="shared" ref="F5:F11" si="0">SUM(C5:E5)</f>
        <v>26</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18</v>
      </c>
      <c r="E8" s="125">
        <f t="shared" si="1"/>
        <v>0</v>
      </c>
      <c r="F8" s="125">
        <f t="shared" si="0"/>
        <v>26</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686</v>
      </c>
      <c r="C15" s="135"/>
      <c r="D15" s="135"/>
      <c r="E15" s="135"/>
      <c r="F15" s="135"/>
      <c r="G15" s="135"/>
      <c r="H15" s="135"/>
      <c r="I15" s="135"/>
      <c r="J15" s="135"/>
      <c r="K15" s="135"/>
      <c r="L15" s="135"/>
      <c r="M15" s="135"/>
      <c r="N15" s="135"/>
      <c r="O15" s="135"/>
    </row>
    <row r="16" spans="1:15" ht="79.5" customHeight="1">
      <c r="A16" s="161">
        <v>1</v>
      </c>
      <c r="B16" s="162" t="s">
        <v>687</v>
      </c>
      <c r="C16" s="162" t="s">
        <v>126</v>
      </c>
      <c r="D16" s="162" t="s">
        <v>688</v>
      </c>
      <c r="E16" s="162" t="s">
        <v>689</v>
      </c>
      <c r="F16" s="162"/>
      <c r="G16" s="162" t="s">
        <v>690</v>
      </c>
      <c r="H16" s="161" t="s">
        <v>44</v>
      </c>
      <c r="I16" s="161" t="s">
        <v>92</v>
      </c>
      <c r="J16" s="161" t="s">
        <v>102</v>
      </c>
      <c r="K16" s="161" t="s">
        <v>54</v>
      </c>
      <c r="L16" s="161" t="s">
        <v>54</v>
      </c>
      <c r="M16" s="161" t="s">
        <v>54</v>
      </c>
      <c r="N16" s="161"/>
      <c r="O16" s="162" t="s">
        <v>691</v>
      </c>
    </row>
    <row r="17" spans="1:15" ht="79.5" customHeight="1">
      <c r="A17" s="161">
        <v>2</v>
      </c>
      <c r="B17" s="162" t="s">
        <v>692</v>
      </c>
      <c r="C17" s="162" t="s">
        <v>132</v>
      </c>
      <c r="D17" s="162" t="s">
        <v>688</v>
      </c>
      <c r="E17" s="162" t="s">
        <v>693</v>
      </c>
      <c r="F17" s="162"/>
      <c r="G17" s="162" t="s">
        <v>134</v>
      </c>
      <c r="H17" s="161" t="s">
        <v>44</v>
      </c>
      <c r="I17" s="161" t="s">
        <v>94</v>
      </c>
      <c r="J17" s="161" t="s">
        <v>102</v>
      </c>
      <c r="K17" s="161" t="s">
        <v>54</v>
      </c>
      <c r="L17" s="161" t="s">
        <v>54</v>
      </c>
      <c r="M17" s="161" t="s">
        <v>54</v>
      </c>
      <c r="N17" s="161"/>
      <c r="O17" s="162"/>
    </row>
    <row r="18" spans="1:15" ht="79.5" customHeight="1">
      <c r="A18" s="161">
        <v>3</v>
      </c>
      <c r="B18" s="162" t="s">
        <v>694</v>
      </c>
      <c r="C18" s="162" t="s">
        <v>136</v>
      </c>
      <c r="D18" s="162" t="s">
        <v>688</v>
      </c>
      <c r="E18" s="162" t="s">
        <v>695</v>
      </c>
      <c r="F18" s="162"/>
      <c r="G18" s="162" t="s">
        <v>138</v>
      </c>
      <c r="H18" s="161" t="s">
        <v>44</v>
      </c>
      <c r="I18" s="161" t="s">
        <v>94</v>
      </c>
      <c r="J18" s="161" t="s">
        <v>102</v>
      </c>
      <c r="K18" s="161" t="s">
        <v>54</v>
      </c>
      <c r="L18" s="161" t="s">
        <v>54</v>
      </c>
      <c r="M18" s="161" t="s">
        <v>54</v>
      </c>
      <c r="N18" s="161"/>
      <c r="O18" s="162"/>
    </row>
    <row r="19" spans="1:15" ht="90.75" customHeight="1">
      <c r="A19" s="161">
        <v>4</v>
      </c>
      <c r="B19" s="162" t="s">
        <v>696</v>
      </c>
      <c r="C19" s="162" t="s">
        <v>697</v>
      </c>
      <c r="D19" s="162" t="s">
        <v>688</v>
      </c>
      <c r="E19" s="162" t="s">
        <v>698</v>
      </c>
      <c r="F19" s="162"/>
      <c r="G19" s="162" t="s">
        <v>146</v>
      </c>
      <c r="H19" s="161" t="s">
        <v>44</v>
      </c>
      <c r="I19" s="161" t="s">
        <v>94</v>
      </c>
      <c r="J19" s="161" t="s">
        <v>102</v>
      </c>
      <c r="K19" s="161" t="s">
        <v>54</v>
      </c>
      <c r="L19" s="161" t="s">
        <v>54</v>
      </c>
      <c r="M19" s="161" t="s">
        <v>54</v>
      </c>
      <c r="N19" s="161"/>
      <c r="O19" s="162"/>
    </row>
    <row r="20" spans="1:15" ht="79.5" customHeight="1">
      <c r="A20" s="161">
        <v>5</v>
      </c>
      <c r="B20" s="162" t="s">
        <v>699</v>
      </c>
      <c r="C20" s="162" t="s">
        <v>700</v>
      </c>
      <c r="D20" s="162" t="s">
        <v>688</v>
      </c>
      <c r="E20" s="162" t="s">
        <v>701</v>
      </c>
      <c r="F20" s="162"/>
      <c r="G20" s="162" t="s">
        <v>702</v>
      </c>
      <c r="H20" s="161" t="s">
        <v>44</v>
      </c>
      <c r="I20" s="161" t="s">
        <v>94</v>
      </c>
      <c r="J20" s="161" t="s">
        <v>102</v>
      </c>
      <c r="K20" s="161" t="s">
        <v>54</v>
      </c>
      <c r="L20" s="161" t="s">
        <v>54</v>
      </c>
      <c r="M20" s="161" t="s">
        <v>54</v>
      </c>
      <c r="N20" s="161"/>
      <c r="O20" s="162"/>
    </row>
    <row r="21" spans="1:15" ht="90.75" customHeight="1">
      <c r="A21" s="161">
        <v>6</v>
      </c>
      <c r="B21" s="162" t="s">
        <v>703</v>
      </c>
      <c r="C21" s="162" t="s">
        <v>704</v>
      </c>
      <c r="D21" s="162" t="s">
        <v>688</v>
      </c>
      <c r="E21" s="162" t="s">
        <v>705</v>
      </c>
      <c r="F21" s="162"/>
      <c r="G21" s="162" t="s">
        <v>671</v>
      </c>
      <c r="H21" s="161" t="s">
        <v>44</v>
      </c>
      <c r="I21" s="161" t="s">
        <v>94</v>
      </c>
      <c r="J21" s="161" t="s">
        <v>102</v>
      </c>
      <c r="K21" s="161" t="s">
        <v>54</v>
      </c>
      <c r="L21" s="161" t="s">
        <v>54</v>
      </c>
      <c r="M21" s="161" t="s">
        <v>54</v>
      </c>
      <c r="N21" s="161"/>
      <c r="O21" s="162"/>
    </row>
    <row r="22" spans="1:15" ht="18" customHeight="1">
      <c r="A22" s="134" t="s">
        <v>150</v>
      </c>
      <c r="B22" s="135" t="s">
        <v>706</v>
      </c>
      <c r="C22" s="135"/>
      <c r="D22" s="135"/>
      <c r="E22" s="135"/>
      <c r="F22" s="135"/>
      <c r="G22" s="135"/>
      <c r="H22" s="135"/>
      <c r="I22" s="135"/>
      <c r="J22" s="135"/>
      <c r="K22" s="135"/>
      <c r="L22" s="135"/>
      <c r="M22" s="135"/>
      <c r="N22" s="135"/>
      <c r="O22" s="135"/>
    </row>
    <row r="23" spans="1:15" ht="79.5" customHeight="1">
      <c r="A23" s="161">
        <v>7</v>
      </c>
      <c r="B23" s="162" t="s">
        <v>707</v>
      </c>
      <c r="C23" s="162" t="s">
        <v>126</v>
      </c>
      <c r="D23" s="162" t="s">
        <v>688</v>
      </c>
      <c r="E23" s="162" t="s">
        <v>689</v>
      </c>
      <c r="F23" s="162"/>
      <c r="G23" s="162" t="s">
        <v>708</v>
      </c>
      <c r="H23" s="161" t="s">
        <v>44</v>
      </c>
      <c r="I23" s="161" t="s">
        <v>92</v>
      </c>
      <c r="J23" s="161" t="s">
        <v>102</v>
      </c>
      <c r="K23" s="161" t="s">
        <v>54</v>
      </c>
      <c r="L23" s="161" t="s">
        <v>54</v>
      </c>
      <c r="M23" s="161" t="s">
        <v>54</v>
      </c>
      <c r="N23" s="161"/>
      <c r="O23" s="162"/>
    </row>
    <row r="24" spans="1:15" ht="79.5" customHeight="1">
      <c r="A24" s="161">
        <v>8</v>
      </c>
      <c r="B24" s="162" t="s">
        <v>709</v>
      </c>
      <c r="C24" s="162" t="s">
        <v>132</v>
      </c>
      <c r="D24" s="162" t="s">
        <v>688</v>
      </c>
      <c r="E24" s="162" t="s">
        <v>693</v>
      </c>
      <c r="F24" s="162"/>
      <c r="G24" s="162" t="s">
        <v>134</v>
      </c>
      <c r="H24" s="161" t="s">
        <v>44</v>
      </c>
      <c r="I24" s="161" t="s">
        <v>94</v>
      </c>
      <c r="J24" s="161" t="s">
        <v>102</v>
      </c>
      <c r="K24" s="161" t="s">
        <v>54</v>
      </c>
      <c r="L24" s="161" t="s">
        <v>54</v>
      </c>
      <c r="M24" s="161" t="s">
        <v>54</v>
      </c>
      <c r="N24" s="161"/>
      <c r="O24" s="162"/>
    </row>
    <row r="25" spans="1:15" ht="79.5" customHeight="1">
      <c r="A25" s="161">
        <v>9</v>
      </c>
      <c r="B25" s="162" t="s">
        <v>710</v>
      </c>
      <c r="C25" s="162" t="s">
        <v>136</v>
      </c>
      <c r="D25" s="162" t="s">
        <v>688</v>
      </c>
      <c r="E25" s="162" t="s">
        <v>695</v>
      </c>
      <c r="F25" s="162"/>
      <c r="G25" s="162" t="s">
        <v>138</v>
      </c>
      <c r="H25" s="161" t="s">
        <v>44</v>
      </c>
      <c r="I25" s="161" t="s">
        <v>94</v>
      </c>
      <c r="J25" s="161" t="s">
        <v>102</v>
      </c>
      <c r="K25" s="161" t="s">
        <v>54</v>
      </c>
      <c r="L25" s="161" t="s">
        <v>54</v>
      </c>
      <c r="M25" s="161" t="s">
        <v>54</v>
      </c>
      <c r="N25" s="161"/>
      <c r="O25" s="162"/>
    </row>
    <row r="26" spans="1:15" ht="90.75" customHeight="1">
      <c r="A26" s="161">
        <v>10</v>
      </c>
      <c r="B26" s="162" t="s">
        <v>711</v>
      </c>
      <c r="C26" s="162" t="s">
        <v>697</v>
      </c>
      <c r="D26" s="162" t="s">
        <v>688</v>
      </c>
      <c r="E26" s="162" t="s">
        <v>698</v>
      </c>
      <c r="F26" s="162"/>
      <c r="G26" s="162" t="s">
        <v>146</v>
      </c>
      <c r="H26" s="161" t="s">
        <v>44</v>
      </c>
      <c r="I26" s="161" t="s">
        <v>94</v>
      </c>
      <c r="J26" s="161" t="s">
        <v>102</v>
      </c>
      <c r="K26" s="161" t="s">
        <v>54</v>
      </c>
      <c r="L26" s="161" t="s">
        <v>54</v>
      </c>
      <c r="M26" s="161" t="s">
        <v>54</v>
      </c>
      <c r="N26" s="161"/>
      <c r="O26" s="162"/>
    </row>
    <row r="27" spans="1:15" ht="79.5" customHeight="1">
      <c r="A27" s="161">
        <v>11</v>
      </c>
      <c r="B27" s="162" t="s">
        <v>712</v>
      </c>
      <c r="C27" s="162" t="s">
        <v>713</v>
      </c>
      <c r="D27" s="162" t="s">
        <v>688</v>
      </c>
      <c r="E27" s="162" t="s">
        <v>714</v>
      </c>
      <c r="F27" s="162"/>
      <c r="G27" s="162" t="s">
        <v>702</v>
      </c>
      <c r="H27" s="161" t="s">
        <v>44</v>
      </c>
      <c r="I27" s="161" t="s">
        <v>94</v>
      </c>
      <c r="J27" s="161" t="s">
        <v>102</v>
      </c>
      <c r="K27" s="161" t="s">
        <v>54</v>
      </c>
      <c r="L27" s="161" t="s">
        <v>54</v>
      </c>
      <c r="M27" s="161" t="s">
        <v>54</v>
      </c>
      <c r="N27" s="161"/>
      <c r="O27" s="162"/>
    </row>
    <row r="28" spans="1:15" ht="90.75" customHeight="1">
      <c r="A28" s="161">
        <v>12</v>
      </c>
      <c r="B28" s="162" t="s">
        <v>715</v>
      </c>
      <c r="C28" s="162" t="s">
        <v>704</v>
      </c>
      <c r="D28" s="162" t="s">
        <v>688</v>
      </c>
      <c r="E28" s="162" t="s">
        <v>705</v>
      </c>
      <c r="F28" s="162"/>
      <c r="G28" s="162" t="s">
        <v>671</v>
      </c>
      <c r="H28" s="161" t="s">
        <v>44</v>
      </c>
      <c r="I28" s="161" t="s">
        <v>94</v>
      </c>
      <c r="J28" s="161" t="s">
        <v>102</v>
      </c>
      <c r="K28" s="161" t="s">
        <v>54</v>
      </c>
      <c r="L28" s="161" t="s">
        <v>54</v>
      </c>
      <c r="M28" s="161" t="s">
        <v>54</v>
      </c>
      <c r="N28" s="161"/>
      <c r="O28" s="162"/>
    </row>
    <row r="29" spans="1:15" ht="18" customHeight="1">
      <c r="A29" s="159" t="s">
        <v>180</v>
      </c>
      <c r="B29" s="159"/>
      <c r="C29" s="159"/>
      <c r="D29" s="159"/>
      <c r="E29" s="159"/>
      <c r="F29" s="159"/>
      <c r="G29" s="159"/>
      <c r="H29" s="159"/>
      <c r="I29" s="159"/>
      <c r="J29" s="159"/>
      <c r="K29" s="159"/>
      <c r="L29" s="159"/>
      <c r="M29" s="159"/>
      <c r="N29" s="159"/>
      <c r="O29" s="159"/>
    </row>
    <row r="30" spans="1:15" ht="18" customHeight="1">
      <c r="A30" s="134" t="s">
        <v>123</v>
      </c>
      <c r="B30" s="135" t="s">
        <v>686</v>
      </c>
      <c r="C30" s="135"/>
      <c r="D30" s="135"/>
      <c r="E30" s="135"/>
      <c r="F30" s="135"/>
      <c r="G30" s="135"/>
      <c r="H30" s="135"/>
      <c r="I30" s="135"/>
      <c r="J30" s="135"/>
      <c r="K30" s="135"/>
      <c r="L30" s="135"/>
      <c r="M30" s="135"/>
      <c r="N30" s="135"/>
      <c r="O30" s="135"/>
    </row>
    <row r="31" spans="1:15" ht="124.5" customHeight="1">
      <c r="A31" s="161">
        <v>13</v>
      </c>
      <c r="B31" s="162" t="s">
        <v>716</v>
      </c>
      <c r="C31" s="162" t="s">
        <v>182</v>
      </c>
      <c r="D31" s="162" t="s">
        <v>717</v>
      </c>
      <c r="E31" s="162" t="s">
        <v>184</v>
      </c>
      <c r="F31" s="162"/>
      <c r="G31" s="162" t="s">
        <v>185</v>
      </c>
      <c r="H31" s="161" t="s">
        <v>44</v>
      </c>
      <c r="I31" s="161" t="s">
        <v>92</v>
      </c>
      <c r="J31" s="161" t="s">
        <v>102</v>
      </c>
      <c r="K31" s="161" t="s">
        <v>54</v>
      </c>
      <c r="L31" s="161" t="s">
        <v>54</v>
      </c>
      <c r="M31" s="161" t="s">
        <v>54</v>
      </c>
      <c r="N31" s="161"/>
      <c r="O31" s="162"/>
    </row>
    <row r="32" spans="1:15" ht="124.5" customHeight="1">
      <c r="A32" s="161">
        <v>14</v>
      </c>
      <c r="B32" s="162" t="s">
        <v>718</v>
      </c>
      <c r="C32" s="162" t="s">
        <v>187</v>
      </c>
      <c r="D32" s="162" t="s">
        <v>717</v>
      </c>
      <c r="E32" s="162" t="s">
        <v>184</v>
      </c>
      <c r="F32" s="162"/>
      <c r="G32" s="162" t="s">
        <v>185</v>
      </c>
      <c r="H32" s="161" t="s">
        <v>44</v>
      </c>
      <c r="I32" s="161" t="s">
        <v>92</v>
      </c>
      <c r="J32" s="161" t="s">
        <v>102</v>
      </c>
      <c r="K32" s="161" t="s">
        <v>54</v>
      </c>
      <c r="L32" s="161" t="s">
        <v>54</v>
      </c>
      <c r="M32" s="161" t="s">
        <v>54</v>
      </c>
      <c r="N32" s="161"/>
      <c r="O32" s="162"/>
    </row>
    <row r="33" spans="1:15" ht="124.5" customHeight="1">
      <c r="A33" s="161">
        <v>15</v>
      </c>
      <c r="B33" s="162" t="s">
        <v>719</v>
      </c>
      <c r="C33" s="162" t="s">
        <v>720</v>
      </c>
      <c r="D33" s="162" t="s">
        <v>717</v>
      </c>
      <c r="E33" s="162" t="s">
        <v>184</v>
      </c>
      <c r="F33" s="162"/>
      <c r="G33" s="162" t="s">
        <v>190</v>
      </c>
      <c r="H33" s="161" t="s">
        <v>44</v>
      </c>
      <c r="I33" s="161" t="s">
        <v>94</v>
      </c>
      <c r="J33" s="161" t="s">
        <v>102</v>
      </c>
      <c r="K33" s="161" t="s">
        <v>54</v>
      </c>
      <c r="L33" s="161" t="s">
        <v>54</v>
      </c>
      <c r="M33" s="161" t="s">
        <v>54</v>
      </c>
      <c r="N33" s="161"/>
      <c r="O33" s="162"/>
    </row>
    <row r="34" spans="1:15" ht="124.5" customHeight="1">
      <c r="A34" s="161">
        <v>16</v>
      </c>
      <c r="B34" s="162" t="s">
        <v>721</v>
      </c>
      <c r="C34" s="162" t="s">
        <v>722</v>
      </c>
      <c r="D34" s="162" t="s">
        <v>717</v>
      </c>
      <c r="E34" s="162" t="s">
        <v>184</v>
      </c>
      <c r="F34" s="162"/>
      <c r="G34" s="162" t="s">
        <v>190</v>
      </c>
      <c r="H34" s="161" t="s">
        <v>44</v>
      </c>
      <c r="I34" s="161" t="s">
        <v>94</v>
      </c>
      <c r="J34" s="161" t="s">
        <v>102</v>
      </c>
      <c r="K34" s="161" t="s">
        <v>54</v>
      </c>
      <c r="L34" s="161" t="s">
        <v>54</v>
      </c>
      <c r="M34" s="161" t="s">
        <v>54</v>
      </c>
      <c r="N34" s="161"/>
      <c r="O34" s="162"/>
    </row>
    <row r="35" spans="1:15" ht="124.5" customHeight="1">
      <c r="A35" s="161">
        <v>17</v>
      </c>
      <c r="B35" s="162" t="s">
        <v>723</v>
      </c>
      <c r="C35" s="162" t="s">
        <v>724</v>
      </c>
      <c r="D35" s="162" t="s">
        <v>717</v>
      </c>
      <c r="E35" s="162" t="s">
        <v>184</v>
      </c>
      <c r="F35" s="162"/>
      <c r="G35" s="162" t="s">
        <v>190</v>
      </c>
      <c r="H35" s="161" t="s">
        <v>44</v>
      </c>
      <c r="I35" s="161" t="s">
        <v>94</v>
      </c>
      <c r="J35" s="161" t="s">
        <v>102</v>
      </c>
      <c r="K35" s="161" t="s">
        <v>54</v>
      </c>
      <c r="L35" s="161" t="s">
        <v>54</v>
      </c>
      <c r="M35" s="161" t="s">
        <v>54</v>
      </c>
      <c r="N35" s="161"/>
      <c r="O35" s="162"/>
    </row>
    <row r="36" spans="1:15" ht="124.5" customHeight="1">
      <c r="A36" s="161">
        <v>18</v>
      </c>
      <c r="B36" s="162" t="s">
        <v>725</v>
      </c>
      <c r="C36" s="162" t="s">
        <v>726</v>
      </c>
      <c r="D36" s="162" t="s">
        <v>717</v>
      </c>
      <c r="E36" s="162" t="s">
        <v>184</v>
      </c>
      <c r="F36" s="162"/>
      <c r="G36" s="162" t="s">
        <v>190</v>
      </c>
      <c r="H36" s="161" t="s">
        <v>44</v>
      </c>
      <c r="I36" s="161" t="s">
        <v>94</v>
      </c>
      <c r="J36" s="161" t="s">
        <v>102</v>
      </c>
      <c r="K36" s="161" t="s">
        <v>54</v>
      </c>
      <c r="L36" s="161" t="s">
        <v>54</v>
      </c>
      <c r="M36" s="161" t="s">
        <v>54</v>
      </c>
      <c r="N36" s="161"/>
      <c r="O36" s="162"/>
    </row>
    <row r="37" spans="1:15" ht="18" customHeight="1">
      <c r="A37" s="134" t="s">
        <v>150</v>
      </c>
      <c r="B37" s="135" t="s">
        <v>706</v>
      </c>
      <c r="C37" s="135"/>
      <c r="D37" s="135"/>
      <c r="E37" s="135"/>
      <c r="F37" s="135"/>
      <c r="G37" s="135"/>
      <c r="H37" s="135"/>
      <c r="I37" s="135"/>
      <c r="J37" s="135"/>
      <c r="K37" s="135"/>
      <c r="L37" s="135"/>
      <c r="M37" s="135"/>
      <c r="N37" s="135"/>
      <c r="O37" s="135"/>
    </row>
    <row r="38" spans="1:15" ht="124.5" customHeight="1">
      <c r="A38" s="161">
        <v>19</v>
      </c>
      <c r="B38" s="162" t="s">
        <v>727</v>
      </c>
      <c r="C38" s="162" t="s">
        <v>182</v>
      </c>
      <c r="D38" s="162" t="s">
        <v>717</v>
      </c>
      <c r="E38" s="162" t="s">
        <v>184</v>
      </c>
      <c r="F38" s="162"/>
      <c r="G38" s="162" t="s">
        <v>185</v>
      </c>
      <c r="H38" s="161" t="s">
        <v>44</v>
      </c>
      <c r="I38" s="161" t="s">
        <v>92</v>
      </c>
      <c r="J38" s="161" t="s">
        <v>102</v>
      </c>
      <c r="K38" s="161" t="s">
        <v>54</v>
      </c>
      <c r="L38" s="161" t="s">
        <v>54</v>
      </c>
      <c r="M38" s="161" t="s">
        <v>54</v>
      </c>
      <c r="N38" s="161"/>
      <c r="O38" s="162"/>
    </row>
    <row r="39" spans="1:15" ht="124.5" customHeight="1">
      <c r="A39" s="161">
        <v>20</v>
      </c>
      <c r="B39" s="162" t="s">
        <v>728</v>
      </c>
      <c r="C39" s="162" t="s">
        <v>187</v>
      </c>
      <c r="D39" s="162" t="s">
        <v>717</v>
      </c>
      <c r="E39" s="162" t="s">
        <v>184</v>
      </c>
      <c r="F39" s="162"/>
      <c r="G39" s="162" t="s">
        <v>185</v>
      </c>
      <c r="H39" s="161" t="s">
        <v>44</v>
      </c>
      <c r="I39" s="161" t="s">
        <v>92</v>
      </c>
      <c r="J39" s="161" t="s">
        <v>102</v>
      </c>
      <c r="K39" s="161" t="s">
        <v>54</v>
      </c>
      <c r="L39" s="161" t="s">
        <v>54</v>
      </c>
      <c r="M39" s="161" t="s">
        <v>54</v>
      </c>
      <c r="N39" s="161"/>
      <c r="O39" s="162"/>
    </row>
    <row r="40" spans="1:15" ht="124.5" customHeight="1">
      <c r="A40" s="161">
        <v>21</v>
      </c>
      <c r="B40" s="162" t="s">
        <v>729</v>
      </c>
      <c r="C40" s="162" t="s">
        <v>720</v>
      </c>
      <c r="D40" s="162" t="s">
        <v>717</v>
      </c>
      <c r="E40" s="162" t="s">
        <v>184</v>
      </c>
      <c r="F40" s="162"/>
      <c r="G40" s="162" t="s">
        <v>190</v>
      </c>
      <c r="H40" s="161" t="s">
        <v>44</v>
      </c>
      <c r="I40" s="161" t="s">
        <v>94</v>
      </c>
      <c r="J40" s="161" t="s">
        <v>102</v>
      </c>
      <c r="K40" s="161" t="s">
        <v>54</v>
      </c>
      <c r="L40" s="161" t="s">
        <v>54</v>
      </c>
      <c r="M40" s="161" t="s">
        <v>54</v>
      </c>
      <c r="N40" s="161"/>
      <c r="O40" s="162"/>
    </row>
    <row r="41" spans="1:15" ht="124.5" customHeight="1">
      <c r="A41" s="161">
        <v>22</v>
      </c>
      <c r="B41" s="162" t="s">
        <v>730</v>
      </c>
      <c r="C41" s="162" t="s">
        <v>722</v>
      </c>
      <c r="D41" s="162" t="s">
        <v>717</v>
      </c>
      <c r="E41" s="162" t="s">
        <v>184</v>
      </c>
      <c r="F41" s="162"/>
      <c r="G41" s="162" t="s">
        <v>190</v>
      </c>
      <c r="H41" s="161" t="s">
        <v>44</v>
      </c>
      <c r="I41" s="161" t="s">
        <v>94</v>
      </c>
      <c r="J41" s="161" t="s">
        <v>102</v>
      </c>
      <c r="K41" s="161" t="s">
        <v>54</v>
      </c>
      <c r="L41" s="161" t="s">
        <v>54</v>
      </c>
      <c r="M41" s="161" t="s">
        <v>54</v>
      </c>
      <c r="N41" s="161"/>
      <c r="O41" s="162"/>
    </row>
    <row r="42" spans="1:15" ht="124.5" customHeight="1">
      <c r="A42" s="161">
        <v>23</v>
      </c>
      <c r="B42" s="162" t="s">
        <v>731</v>
      </c>
      <c r="C42" s="162" t="s">
        <v>732</v>
      </c>
      <c r="D42" s="162" t="s">
        <v>717</v>
      </c>
      <c r="E42" s="162" t="s">
        <v>184</v>
      </c>
      <c r="F42" s="162"/>
      <c r="G42" s="162" t="s">
        <v>190</v>
      </c>
      <c r="H42" s="161" t="s">
        <v>44</v>
      </c>
      <c r="I42" s="161" t="s">
        <v>94</v>
      </c>
      <c r="J42" s="161" t="s">
        <v>102</v>
      </c>
      <c r="K42" s="161" t="s">
        <v>54</v>
      </c>
      <c r="L42" s="161" t="s">
        <v>54</v>
      </c>
      <c r="M42" s="161" t="s">
        <v>54</v>
      </c>
      <c r="N42" s="161"/>
      <c r="O42" s="162"/>
    </row>
    <row r="43" spans="1:15" ht="124.5" customHeight="1">
      <c r="A43" s="161">
        <v>24</v>
      </c>
      <c r="B43" s="162" t="s">
        <v>733</v>
      </c>
      <c r="C43" s="162" t="s">
        <v>726</v>
      </c>
      <c r="D43" s="162" t="s">
        <v>717</v>
      </c>
      <c r="E43" s="162" t="s">
        <v>184</v>
      </c>
      <c r="F43" s="162"/>
      <c r="G43" s="162" t="s">
        <v>190</v>
      </c>
      <c r="H43" s="161" t="s">
        <v>44</v>
      </c>
      <c r="I43" s="161" t="s">
        <v>94</v>
      </c>
      <c r="J43" s="161" t="s">
        <v>102</v>
      </c>
      <c r="K43" s="161" t="s">
        <v>54</v>
      </c>
      <c r="L43" s="161" t="s">
        <v>54</v>
      </c>
      <c r="M43" s="161" t="s">
        <v>54</v>
      </c>
      <c r="N43" s="161"/>
      <c r="O43" s="162"/>
    </row>
    <row r="44" spans="1:15" ht="18" customHeight="1">
      <c r="A44" s="159" t="s">
        <v>209</v>
      </c>
      <c r="B44" s="159"/>
      <c r="C44" s="159"/>
      <c r="D44" s="159"/>
      <c r="E44" s="159"/>
      <c r="F44" s="159"/>
      <c r="G44" s="159"/>
      <c r="H44" s="159"/>
      <c r="I44" s="159"/>
      <c r="J44" s="159"/>
      <c r="K44" s="159"/>
      <c r="L44" s="159"/>
      <c r="M44" s="159"/>
      <c r="N44" s="159"/>
      <c r="O44" s="159"/>
    </row>
    <row r="45" spans="1:15" ht="191.25" customHeight="1">
      <c r="A45" s="161">
        <v>25</v>
      </c>
      <c r="B45" s="162" t="s">
        <v>734</v>
      </c>
      <c r="C45" s="162" t="s">
        <v>211</v>
      </c>
      <c r="D45" s="162" t="s">
        <v>735</v>
      </c>
      <c r="E45" s="162" t="s">
        <v>213</v>
      </c>
      <c r="F45" s="162"/>
      <c r="G45" s="162" t="s">
        <v>214</v>
      </c>
      <c r="H45" s="161" t="s">
        <v>44</v>
      </c>
      <c r="I45" s="161" t="s">
        <v>92</v>
      </c>
      <c r="J45" s="161" t="s">
        <v>102</v>
      </c>
      <c r="K45" s="161" t="s">
        <v>54</v>
      </c>
      <c r="L45" s="161" t="s">
        <v>54</v>
      </c>
      <c r="M45" s="161" t="s">
        <v>54</v>
      </c>
      <c r="N45" s="161"/>
      <c r="O45" s="162" t="s">
        <v>215</v>
      </c>
    </row>
    <row r="46" spans="1:15" ht="213.75" customHeight="1">
      <c r="A46" s="161">
        <v>26</v>
      </c>
      <c r="B46" s="162" t="s">
        <v>736</v>
      </c>
      <c r="C46" s="162" t="s">
        <v>217</v>
      </c>
      <c r="D46" s="162" t="s">
        <v>737</v>
      </c>
      <c r="E46" s="162" t="s">
        <v>219</v>
      </c>
      <c r="F46" s="162"/>
      <c r="G46" s="162" t="s">
        <v>220</v>
      </c>
      <c r="H46" s="161" t="s">
        <v>44</v>
      </c>
      <c r="I46" s="161" t="s">
        <v>92</v>
      </c>
      <c r="J46" s="161" t="s">
        <v>102</v>
      </c>
      <c r="K46" s="161" t="s">
        <v>54</v>
      </c>
      <c r="L46" s="161" t="s">
        <v>54</v>
      </c>
      <c r="M46" s="161" t="s">
        <v>54</v>
      </c>
      <c r="N46" s="161"/>
      <c r="O46" s="162" t="s">
        <v>215</v>
      </c>
    </row>
  </sheetData>
  <mergeCells count="3">
    <mergeCell ref="A14:O14"/>
    <mergeCell ref="A29:O29"/>
    <mergeCell ref="A44:O44"/>
  </mergeCell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O29"/>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738</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5</v>
      </c>
      <c r="D5" s="124">
        <f>SUM(D6:D10)</f>
        <v>8</v>
      </c>
      <c r="E5" s="124">
        <f>SUM(E6:E10)</f>
        <v>0</v>
      </c>
      <c r="F5" s="124">
        <f t="shared" ref="F5:F11" si="0">SUM(C5:E5)</f>
        <v>13</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5</v>
      </c>
      <c r="D8" s="125">
        <f t="shared" si="1"/>
        <v>8</v>
      </c>
      <c r="E8" s="125">
        <f t="shared" si="1"/>
        <v>0</v>
      </c>
      <c r="F8" s="125">
        <f t="shared" si="0"/>
        <v>13</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02" customHeight="1">
      <c r="A15" s="161">
        <v>1</v>
      </c>
      <c r="B15" s="162" t="s">
        <v>739</v>
      </c>
      <c r="C15" s="162" t="s">
        <v>126</v>
      </c>
      <c r="D15" s="162" t="s">
        <v>740</v>
      </c>
      <c r="E15" s="162" t="s">
        <v>741</v>
      </c>
      <c r="F15" s="162"/>
      <c r="G15" s="162" t="s">
        <v>742</v>
      </c>
      <c r="H15" s="161" t="s">
        <v>44</v>
      </c>
      <c r="I15" s="161" t="s">
        <v>92</v>
      </c>
      <c r="J15" s="161" t="s">
        <v>102</v>
      </c>
      <c r="K15" s="161" t="s">
        <v>54</v>
      </c>
      <c r="L15" s="161" t="s">
        <v>54</v>
      </c>
      <c r="M15" s="161" t="s">
        <v>54</v>
      </c>
      <c r="N15" s="161"/>
      <c r="O15" s="162" t="s">
        <v>743</v>
      </c>
    </row>
    <row r="16" spans="1:15" ht="90.75" customHeight="1">
      <c r="A16" s="161">
        <v>2</v>
      </c>
      <c r="B16" s="162" t="s">
        <v>744</v>
      </c>
      <c r="C16" s="162" t="s">
        <v>132</v>
      </c>
      <c r="D16" s="162" t="s">
        <v>740</v>
      </c>
      <c r="E16" s="162" t="s">
        <v>745</v>
      </c>
      <c r="F16" s="162"/>
      <c r="G16" s="162" t="s">
        <v>134</v>
      </c>
      <c r="H16" s="161" t="s">
        <v>44</v>
      </c>
      <c r="I16" s="161" t="s">
        <v>94</v>
      </c>
      <c r="J16" s="161" t="s">
        <v>102</v>
      </c>
      <c r="K16" s="161" t="s">
        <v>54</v>
      </c>
      <c r="L16" s="161" t="s">
        <v>54</v>
      </c>
      <c r="M16" s="161" t="s">
        <v>54</v>
      </c>
      <c r="N16" s="161"/>
      <c r="O16" s="162"/>
    </row>
    <row r="17" spans="1:15" ht="90.75" customHeight="1">
      <c r="A17" s="161">
        <v>3</v>
      </c>
      <c r="B17" s="162" t="s">
        <v>746</v>
      </c>
      <c r="C17" s="162" t="s">
        <v>136</v>
      </c>
      <c r="D17" s="162" t="s">
        <v>740</v>
      </c>
      <c r="E17" s="162" t="s">
        <v>747</v>
      </c>
      <c r="F17" s="162"/>
      <c r="G17" s="162" t="s">
        <v>138</v>
      </c>
      <c r="H17" s="161" t="s">
        <v>44</v>
      </c>
      <c r="I17" s="161" t="s">
        <v>94</v>
      </c>
      <c r="J17" s="161" t="s">
        <v>102</v>
      </c>
      <c r="K17" s="161" t="s">
        <v>54</v>
      </c>
      <c r="L17" s="161" t="s">
        <v>54</v>
      </c>
      <c r="M17" s="161" t="s">
        <v>54</v>
      </c>
      <c r="N17" s="161"/>
      <c r="O17" s="162"/>
    </row>
    <row r="18" spans="1:15" ht="102" customHeight="1">
      <c r="A18" s="161">
        <v>4</v>
      </c>
      <c r="B18" s="162" t="s">
        <v>748</v>
      </c>
      <c r="C18" s="162" t="s">
        <v>749</v>
      </c>
      <c r="D18" s="162" t="s">
        <v>740</v>
      </c>
      <c r="E18" s="162" t="s">
        <v>750</v>
      </c>
      <c r="F18" s="162"/>
      <c r="G18" s="162" t="s">
        <v>146</v>
      </c>
      <c r="H18" s="161" t="s">
        <v>44</v>
      </c>
      <c r="I18" s="161" t="s">
        <v>94</v>
      </c>
      <c r="J18" s="161" t="s">
        <v>102</v>
      </c>
      <c r="K18" s="161" t="s">
        <v>54</v>
      </c>
      <c r="L18" s="161" t="s">
        <v>54</v>
      </c>
      <c r="M18" s="161" t="s">
        <v>54</v>
      </c>
      <c r="N18" s="161"/>
      <c r="O18" s="162"/>
    </row>
    <row r="19" spans="1:15" ht="102" customHeight="1">
      <c r="A19" s="161">
        <v>5</v>
      </c>
      <c r="B19" s="162" t="s">
        <v>751</v>
      </c>
      <c r="C19" s="162" t="s">
        <v>752</v>
      </c>
      <c r="D19" s="162" t="s">
        <v>740</v>
      </c>
      <c r="E19" s="162" t="s">
        <v>753</v>
      </c>
      <c r="F19" s="162"/>
      <c r="G19" s="162" t="s">
        <v>702</v>
      </c>
      <c r="H19" s="161" t="s">
        <v>44</v>
      </c>
      <c r="I19" s="161" t="s">
        <v>94</v>
      </c>
      <c r="J19" s="161" t="s">
        <v>102</v>
      </c>
      <c r="K19" s="161" t="s">
        <v>54</v>
      </c>
      <c r="L19" s="161" t="s">
        <v>54</v>
      </c>
      <c r="M19" s="161" t="s">
        <v>54</v>
      </c>
      <c r="N19" s="161"/>
      <c r="O19" s="162"/>
    </row>
    <row r="20" spans="1:15" ht="102" customHeight="1">
      <c r="A20" s="161">
        <v>6</v>
      </c>
      <c r="B20" s="162" t="s">
        <v>754</v>
      </c>
      <c r="C20" s="162" t="s">
        <v>669</v>
      </c>
      <c r="D20" s="162" t="s">
        <v>740</v>
      </c>
      <c r="E20" s="162" t="s">
        <v>755</v>
      </c>
      <c r="F20" s="162"/>
      <c r="G20" s="162" t="s">
        <v>671</v>
      </c>
      <c r="H20" s="161" t="s">
        <v>44</v>
      </c>
      <c r="I20" s="161" t="s">
        <v>94</v>
      </c>
      <c r="J20" s="161" t="s">
        <v>102</v>
      </c>
      <c r="K20" s="161" t="s">
        <v>54</v>
      </c>
      <c r="L20" s="161" t="s">
        <v>54</v>
      </c>
      <c r="M20" s="161" t="s">
        <v>54</v>
      </c>
      <c r="N20" s="161"/>
      <c r="O20" s="162"/>
    </row>
    <row r="21" spans="1:15" ht="18" customHeight="1">
      <c r="A21" s="159" t="s">
        <v>180</v>
      </c>
      <c r="B21" s="159"/>
      <c r="C21" s="159"/>
      <c r="D21" s="159"/>
      <c r="E21" s="159"/>
      <c r="F21" s="159"/>
      <c r="G21" s="159"/>
      <c r="H21" s="159"/>
      <c r="I21" s="159"/>
      <c r="J21" s="159"/>
      <c r="K21" s="159"/>
      <c r="L21" s="159"/>
      <c r="M21" s="159"/>
      <c r="N21" s="159"/>
      <c r="O21" s="159"/>
    </row>
    <row r="22" spans="1:15" ht="124.5" customHeight="1">
      <c r="A22" s="161">
        <v>7</v>
      </c>
      <c r="B22" s="162" t="s">
        <v>756</v>
      </c>
      <c r="C22" s="162" t="s">
        <v>182</v>
      </c>
      <c r="D22" s="162" t="s">
        <v>757</v>
      </c>
      <c r="E22" s="162" t="s">
        <v>184</v>
      </c>
      <c r="F22" s="162"/>
      <c r="G22" s="162" t="s">
        <v>185</v>
      </c>
      <c r="H22" s="161" t="s">
        <v>44</v>
      </c>
      <c r="I22" s="161" t="s">
        <v>92</v>
      </c>
      <c r="J22" s="161" t="s">
        <v>102</v>
      </c>
      <c r="K22" s="161" t="s">
        <v>54</v>
      </c>
      <c r="L22" s="161" t="s">
        <v>54</v>
      </c>
      <c r="M22" s="161" t="s">
        <v>54</v>
      </c>
      <c r="N22" s="161"/>
      <c r="O22" s="162"/>
    </row>
    <row r="23" spans="1:15" ht="124.5" customHeight="1">
      <c r="A23" s="161">
        <v>8</v>
      </c>
      <c r="B23" s="162" t="s">
        <v>758</v>
      </c>
      <c r="C23" s="162" t="s">
        <v>187</v>
      </c>
      <c r="D23" s="162" t="s">
        <v>757</v>
      </c>
      <c r="E23" s="162" t="s">
        <v>184</v>
      </c>
      <c r="F23" s="162"/>
      <c r="G23" s="162" t="s">
        <v>185</v>
      </c>
      <c r="H23" s="161" t="s">
        <v>44</v>
      </c>
      <c r="I23" s="161" t="s">
        <v>92</v>
      </c>
      <c r="J23" s="161" t="s">
        <v>102</v>
      </c>
      <c r="K23" s="161" t="s">
        <v>54</v>
      </c>
      <c r="L23" s="161" t="s">
        <v>54</v>
      </c>
      <c r="M23" s="161" t="s">
        <v>54</v>
      </c>
      <c r="N23" s="161"/>
      <c r="O23" s="162"/>
    </row>
    <row r="24" spans="1:15" ht="124.5" customHeight="1">
      <c r="A24" s="161">
        <v>9</v>
      </c>
      <c r="B24" s="162" t="s">
        <v>759</v>
      </c>
      <c r="C24" s="162" t="s">
        <v>760</v>
      </c>
      <c r="D24" s="162" t="s">
        <v>757</v>
      </c>
      <c r="E24" s="162" t="s">
        <v>184</v>
      </c>
      <c r="F24" s="162"/>
      <c r="G24" s="162" t="s">
        <v>190</v>
      </c>
      <c r="H24" s="161" t="s">
        <v>44</v>
      </c>
      <c r="I24" s="161" t="s">
        <v>94</v>
      </c>
      <c r="J24" s="161" t="s">
        <v>102</v>
      </c>
      <c r="K24" s="161" t="s">
        <v>54</v>
      </c>
      <c r="L24" s="161" t="s">
        <v>54</v>
      </c>
      <c r="M24" s="161" t="s">
        <v>54</v>
      </c>
      <c r="N24" s="161"/>
      <c r="O24" s="162"/>
    </row>
    <row r="25" spans="1:15" ht="124.5" customHeight="1">
      <c r="A25" s="161">
        <v>10</v>
      </c>
      <c r="B25" s="162" t="s">
        <v>761</v>
      </c>
      <c r="C25" s="162" t="s">
        <v>762</v>
      </c>
      <c r="D25" s="162" t="s">
        <v>757</v>
      </c>
      <c r="E25" s="162" t="s">
        <v>184</v>
      </c>
      <c r="F25" s="162"/>
      <c r="G25" s="162" t="s">
        <v>190</v>
      </c>
      <c r="H25" s="161" t="s">
        <v>44</v>
      </c>
      <c r="I25" s="161" t="s">
        <v>94</v>
      </c>
      <c r="J25" s="161" t="s">
        <v>102</v>
      </c>
      <c r="K25" s="161" t="s">
        <v>54</v>
      </c>
      <c r="L25" s="161" t="s">
        <v>54</v>
      </c>
      <c r="M25" s="161" t="s">
        <v>54</v>
      </c>
      <c r="N25" s="161"/>
      <c r="O25" s="162"/>
    </row>
    <row r="26" spans="1:15" ht="124.5" customHeight="1">
      <c r="A26" s="161">
        <v>11</v>
      </c>
      <c r="B26" s="162" t="s">
        <v>763</v>
      </c>
      <c r="C26" s="162" t="s">
        <v>680</v>
      </c>
      <c r="D26" s="162" t="s">
        <v>757</v>
      </c>
      <c r="E26" s="162" t="s">
        <v>184</v>
      </c>
      <c r="F26" s="162"/>
      <c r="G26" s="162" t="s">
        <v>190</v>
      </c>
      <c r="H26" s="161" t="s">
        <v>44</v>
      </c>
      <c r="I26" s="161" t="s">
        <v>94</v>
      </c>
      <c r="J26" s="161" t="s">
        <v>102</v>
      </c>
      <c r="K26" s="161" t="s">
        <v>54</v>
      </c>
      <c r="L26" s="161" t="s">
        <v>54</v>
      </c>
      <c r="M26" s="161" t="s">
        <v>54</v>
      </c>
      <c r="N26" s="161"/>
      <c r="O26" s="162"/>
    </row>
    <row r="27" spans="1:15" ht="18" customHeight="1">
      <c r="A27" s="159" t="s">
        <v>209</v>
      </c>
      <c r="B27" s="159"/>
      <c r="C27" s="159"/>
      <c r="D27" s="159"/>
      <c r="E27" s="159"/>
      <c r="F27" s="159"/>
      <c r="G27" s="159"/>
      <c r="H27" s="159"/>
      <c r="I27" s="159"/>
      <c r="J27" s="159"/>
      <c r="K27" s="159"/>
      <c r="L27" s="159"/>
      <c r="M27" s="159"/>
      <c r="N27" s="159"/>
      <c r="O27" s="159"/>
    </row>
    <row r="28" spans="1:15" ht="191.25" customHeight="1">
      <c r="A28" s="161">
        <v>12</v>
      </c>
      <c r="B28" s="162" t="s">
        <v>764</v>
      </c>
      <c r="C28" s="162" t="s">
        <v>211</v>
      </c>
      <c r="D28" s="162" t="s">
        <v>765</v>
      </c>
      <c r="E28" s="162" t="s">
        <v>213</v>
      </c>
      <c r="F28" s="162"/>
      <c r="G28" s="162" t="s">
        <v>214</v>
      </c>
      <c r="H28" s="161" t="s">
        <v>44</v>
      </c>
      <c r="I28" s="161" t="s">
        <v>92</v>
      </c>
      <c r="J28" s="161" t="s">
        <v>102</v>
      </c>
      <c r="K28" s="161" t="s">
        <v>54</v>
      </c>
      <c r="L28" s="161" t="s">
        <v>54</v>
      </c>
      <c r="M28" s="161" t="s">
        <v>54</v>
      </c>
      <c r="N28" s="161"/>
      <c r="O28" s="162" t="s">
        <v>215</v>
      </c>
    </row>
    <row r="29" spans="1:15" ht="213.75" customHeight="1">
      <c r="A29" s="161">
        <v>13</v>
      </c>
      <c r="B29" s="162" t="s">
        <v>766</v>
      </c>
      <c r="C29" s="162" t="s">
        <v>217</v>
      </c>
      <c r="D29" s="162" t="s">
        <v>767</v>
      </c>
      <c r="E29" s="162" t="s">
        <v>219</v>
      </c>
      <c r="F29" s="162"/>
      <c r="G29" s="162" t="s">
        <v>220</v>
      </c>
      <c r="H29" s="161" t="s">
        <v>44</v>
      </c>
      <c r="I29" s="161" t="s">
        <v>92</v>
      </c>
      <c r="J29" s="161" t="s">
        <v>102</v>
      </c>
      <c r="K29" s="161" t="s">
        <v>54</v>
      </c>
      <c r="L29" s="161" t="s">
        <v>54</v>
      </c>
      <c r="M29" s="161" t="s">
        <v>54</v>
      </c>
      <c r="N29" s="161"/>
      <c r="O29" s="162" t="s">
        <v>215</v>
      </c>
    </row>
  </sheetData>
  <mergeCells count="3">
    <mergeCell ref="A14:O14"/>
    <mergeCell ref="A21:O21"/>
    <mergeCell ref="A27:O27"/>
  </mergeCell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O44"/>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768</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16</v>
      </c>
      <c r="E5" s="124">
        <f>SUM(E6:E10)</f>
        <v>0</v>
      </c>
      <c r="F5" s="124">
        <f t="shared" ref="F5:F11" si="0">SUM(C5:E5)</f>
        <v>24</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16</v>
      </c>
      <c r="E8" s="125">
        <f t="shared" si="1"/>
        <v>0</v>
      </c>
      <c r="F8" s="125">
        <f t="shared" si="0"/>
        <v>24</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769</v>
      </c>
      <c r="C15" s="135"/>
      <c r="D15" s="135"/>
      <c r="E15" s="135"/>
      <c r="F15" s="135"/>
      <c r="G15" s="135"/>
      <c r="H15" s="135"/>
      <c r="I15" s="135"/>
      <c r="J15" s="135"/>
      <c r="K15" s="135"/>
      <c r="L15" s="135"/>
      <c r="M15" s="135"/>
      <c r="N15" s="135"/>
      <c r="O15" s="135"/>
    </row>
    <row r="16" spans="1:15" ht="90.75" customHeight="1">
      <c r="A16" s="161">
        <v>1</v>
      </c>
      <c r="B16" s="162" t="s">
        <v>770</v>
      </c>
      <c r="C16" s="162" t="s">
        <v>126</v>
      </c>
      <c r="D16" s="162" t="s">
        <v>771</v>
      </c>
      <c r="E16" s="162" t="s">
        <v>772</v>
      </c>
      <c r="F16" s="162"/>
      <c r="G16" s="162" t="s">
        <v>773</v>
      </c>
      <c r="H16" s="161" t="s">
        <v>44</v>
      </c>
      <c r="I16" s="161" t="s">
        <v>92</v>
      </c>
      <c r="J16" s="161" t="s">
        <v>102</v>
      </c>
      <c r="K16" s="161" t="s">
        <v>54</v>
      </c>
      <c r="L16" s="161" t="s">
        <v>54</v>
      </c>
      <c r="M16" s="161" t="s">
        <v>54</v>
      </c>
      <c r="N16" s="161"/>
      <c r="O16" s="162" t="s">
        <v>774</v>
      </c>
    </row>
    <row r="17" spans="1:15" ht="90.75" customHeight="1">
      <c r="A17" s="161">
        <v>2</v>
      </c>
      <c r="B17" s="162" t="s">
        <v>775</v>
      </c>
      <c r="C17" s="162" t="s">
        <v>132</v>
      </c>
      <c r="D17" s="162" t="s">
        <v>771</v>
      </c>
      <c r="E17" s="162" t="s">
        <v>776</v>
      </c>
      <c r="F17" s="162"/>
      <c r="G17" s="162" t="s">
        <v>134</v>
      </c>
      <c r="H17" s="161" t="s">
        <v>44</v>
      </c>
      <c r="I17" s="161" t="s">
        <v>94</v>
      </c>
      <c r="J17" s="161" t="s">
        <v>102</v>
      </c>
      <c r="K17" s="161" t="s">
        <v>54</v>
      </c>
      <c r="L17" s="161" t="s">
        <v>54</v>
      </c>
      <c r="M17" s="161" t="s">
        <v>54</v>
      </c>
      <c r="N17" s="161"/>
      <c r="O17" s="162"/>
    </row>
    <row r="18" spans="1:15" ht="90.75" customHeight="1">
      <c r="A18" s="161">
        <v>3</v>
      </c>
      <c r="B18" s="162" t="s">
        <v>777</v>
      </c>
      <c r="C18" s="162" t="s">
        <v>136</v>
      </c>
      <c r="D18" s="162" t="s">
        <v>771</v>
      </c>
      <c r="E18" s="162" t="s">
        <v>778</v>
      </c>
      <c r="F18" s="162"/>
      <c r="G18" s="162" t="s">
        <v>138</v>
      </c>
      <c r="H18" s="161" t="s">
        <v>44</v>
      </c>
      <c r="I18" s="161" t="s">
        <v>94</v>
      </c>
      <c r="J18" s="161" t="s">
        <v>102</v>
      </c>
      <c r="K18" s="161" t="s">
        <v>54</v>
      </c>
      <c r="L18" s="161" t="s">
        <v>54</v>
      </c>
      <c r="M18" s="161" t="s">
        <v>54</v>
      </c>
      <c r="N18" s="161"/>
      <c r="O18" s="162"/>
    </row>
    <row r="19" spans="1:15" ht="102" customHeight="1">
      <c r="A19" s="161">
        <v>4</v>
      </c>
      <c r="B19" s="162" t="s">
        <v>779</v>
      </c>
      <c r="C19" s="162" t="s">
        <v>780</v>
      </c>
      <c r="D19" s="162" t="s">
        <v>771</v>
      </c>
      <c r="E19" s="162" t="s">
        <v>781</v>
      </c>
      <c r="F19" s="162"/>
      <c r="G19" s="162" t="s">
        <v>142</v>
      </c>
      <c r="H19" s="161" t="s">
        <v>44</v>
      </c>
      <c r="I19" s="161" t="s">
        <v>94</v>
      </c>
      <c r="J19" s="161" t="s">
        <v>102</v>
      </c>
      <c r="K19" s="161" t="s">
        <v>54</v>
      </c>
      <c r="L19" s="161" t="s">
        <v>54</v>
      </c>
      <c r="M19" s="161" t="s">
        <v>54</v>
      </c>
      <c r="N19" s="161"/>
      <c r="O19" s="162"/>
    </row>
    <row r="20" spans="1:15" ht="102" customHeight="1">
      <c r="A20" s="161">
        <v>5</v>
      </c>
      <c r="B20" s="162" t="s">
        <v>782</v>
      </c>
      <c r="C20" s="162" t="s">
        <v>783</v>
      </c>
      <c r="D20" s="162" t="s">
        <v>771</v>
      </c>
      <c r="E20" s="162" t="s">
        <v>784</v>
      </c>
      <c r="F20" s="162"/>
      <c r="G20" s="162" t="s">
        <v>142</v>
      </c>
      <c r="H20" s="161" t="s">
        <v>44</v>
      </c>
      <c r="I20" s="161" t="s">
        <v>94</v>
      </c>
      <c r="J20" s="161" t="s">
        <v>102</v>
      </c>
      <c r="K20" s="161" t="s">
        <v>54</v>
      </c>
      <c r="L20" s="161" t="s">
        <v>54</v>
      </c>
      <c r="M20" s="161" t="s">
        <v>54</v>
      </c>
      <c r="N20" s="161"/>
      <c r="O20" s="162"/>
    </row>
    <row r="21" spans="1:15" ht="102" customHeight="1">
      <c r="A21" s="161">
        <v>6</v>
      </c>
      <c r="B21" s="162" t="s">
        <v>785</v>
      </c>
      <c r="C21" s="162" t="s">
        <v>786</v>
      </c>
      <c r="D21" s="162" t="s">
        <v>771</v>
      </c>
      <c r="E21" s="162" t="s">
        <v>787</v>
      </c>
      <c r="F21" s="162"/>
      <c r="G21" s="162" t="s">
        <v>788</v>
      </c>
      <c r="H21" s="161" t="s">
        <v>44</v>
      </c>
      <c r="I21" s="161" t="s">
        <v>94</v>
      </c>
      <c r="J21" s="161" t="s">
        <v>102</v>
      </c>
      <c r="K21" s="161" t="s">
        <v>54</v>
      </c>
      <c r="L21" s="161" t="s">
        <v>54</v>
      </c>
      <c r="M21" s="161" t="s">
        <v>54</v>
      </c>
      <c r="N21" s="161"/>
      <c r="O21" s="162"/>
    </row>
    <row r="22" spans="1:15" ht="18" customHeight="1">
      <c r="A22" s="134" t="s">
        <v>150</v>
      </c>
      <c r="B22" s="135" t="s">
        <v>789</v>
      </c>
      <c r="C22" s="135"/>
      <c r="D22" s="135"/>
      <c r="E22" s="135"/>
      <c r="F22" s="135"/>
      <c r="G22" s="135"/>
      <c r="H22" s="135"/>
      <c r="I22" s="135"/>
      <c r="J22" s="135"/>
      <c r="K22" s="135"/>
      <c r="L22" s="135"/>
      <c r="M22" s="135"/>
      <c r="N22" s="135"/>
      <c r="O22" s="135"/>
    </row>
    <row r="23" spans="1:15" ht="90.75" customHeight="1">
      <c r="A23" s="161">
        <v>7</v>
      </c>
      <c r="B23" s="162" t="s">
        <v>790</v>
      </c>
      <c r="C23" s="162" t="s">
        <v>126</v>
      </c>
      <c r="D23" s="162" t="s">
        <v>771</v>
      </c>
      <c r="E23" s="162" t="s">
        <v>772</v>
      </c>
      <c r="F23" s="162"/>
      <c r="G23" s="162" t="s">
        <v>773</v>
      </c>
      <c r="H23" s="161" t="s">
        <v>44</v>
      </c>
      <c r="I23" s="161" t="s">
        <v>92</v>
      </c>
      <c r="J23" s="161" t="s">
        <v>102</v>
      </c>
      <c r="K23" s="161" t="s">
        <v>54</v>
      </c>
      <c r="L23" s="161" t="s">
        <v>54</v>
      </c>
      <c r="M23" s="161" t="s">
        <v>54</v>
      </c>
      <c r="N23" s="161"/>
      <c r="O23" s="162"/>
    </row>
    <row r="24" spans="1:15" ht="90.75" customHeight="1">
      <c r="A24" s="161">
        <v>8</v>
      </c>
      <c r="B24" s="162" t="s">
        <v>791</v>
      </c>
      <c r="C24" s="162" t="s">
        <v>132</v>
      </c>
      <c r="D24" s="162" t="s">
        <v>771</v>
      </c>
      <c r="E24" s="162" t="s">
        <v>776</v>
      </c>
      <c r="F24" s="162"/>
      <c r="G24" s="162" t="s">
        <v>134</v>
      </c>
      <c r="H24" s="161" t="s">
        <v>44</v>
      </c>
      <c r="I24" s="161" t="s">
        <v>94</v>
      </c>
      <c r="J24" s="161" t="s">
        <v>102</v>
      </c>
      <c r="K24" s="161" t="s">
        <v>54</v>
      </c>
      <c r="L24" s="161" t="s">
        <v>54</v>
      </c>
      <c r="M24" s="161" t="s">
        <v>54</v>
      </c>
      <c r="N24" s="161"/>
      <c r="O24" s="162"/>
    </row>
    <row r="25" spans="1:15" ht="90.75" customHeight="1">
      <c r="A25" s="161">
        <v>9</v>
      </c>
      <c r="B25" s="162" t="s">
        <v>792</v>
      </c>
      <c r="C25" s="162" t="s">
        <v>136</v>
      </c>
      <c r="D25" s="162" t="s">
        <v>771</v>
      </c>
      <c r="E25" s="162" t="s">
        <v>778</v>
      </c>
      <c r="F25" s="162"/>
      <c r="G25" s="162" t="s">
        <v>138</v>
      </c>
      <c r="H25" s="161" t="s">
        <v>44</v>
      </c>
      <c r="I25" s="161" t="s">
        <v>94</v>
      </c>
      <c r="J25" s="161" t="s">
        <v>102</v>
      </c>
      <c r="K25" s="161" t="s">
        <v>54</v>
      </c>
      <c r="L25" s="161" t="s">
        <v>54</v>
      </c>
      <c r="M25" s="161" t="s">
        <v>54</v>
      </c>
      <c r="N25" s="161"/>
      <c r="O25" s="162"/>
    </row>
    <row r="26" spans="1:15" ht="102" customHeight="1">
      <c r="A26" s="161">
        <v>10</v>
      </c>
      <c r="B26" s="162" t="s">
        <v>793</v>
      </c>
      <c r="C26" s="162" t="s">
        <v>780</v>
      </c>
      <c r="D26" s="162" t="s">
        <v>771</v>
      </c>
      <c r="E26" s="162" t="s">
        <v>781</v>
      </c>
      <c r="F26" s="162"/>
      <c r="G26" s="162" t="s">
        <v>242</v>
      </c>
      <c r="H26" s="161" t="s">
        <v>44</v>
      </c>
      <c r="I26" s="161" t="s">
        <v>94</v>
      </c>
      <c r="J26" s="161" t="s">
        <v>102</v>
      </c>
      <c r="K26" s="161" t="s">
        <v>54</v>
      </c>
      <c r="L26" s="161" t="s">
        <v>54</v>
      </c>
      <c r="M26" s="161" t="s">
        <v>54</v>
      </c>
      <c r="N26" s="161"/>
      <c r="O26" s="162"/>
    </row>
    <row r="27" spans="1:15" ht="102" customHeight="1">
      <c r="A27" s="161">
        <v>11</v>
      </c>
      <c r="B27" s="162" t="s">
        <v>794</v>
      </c>
      <c r="C27" s="162" t="s">
        <v>783</v>
      </c>
      <c r="D27" s="162" t="s">
        <v>771</v>
      </c>
      <c r="E27" s="162" t="s">
        <v>784</v>
      </c>
      <c r="F27" s="162"/>
      <c r="G27" s="162" t="s">
        <v>242</v>
      </c>
      <c r="H27" s="161" t="s">
        <v>44</v>
      </c>
      <c r="I27" s="161" t="s">
        <v>94</v>
      </c>
      <c r="J27" s="161" t="s">
        <v>102</v>
      </c>
      <c r="K27" s="161" t="s">
        <v>54</v>
      </c>
      <c r="L27" s="161" t="s">
        <v>54</v>
      </c>
      <c r="M27" s="161" t="s">
        <v>54</v>
      </c>
      <c r="N27" s="161"/>
      <c r="O27" s="162"/>
    </row>
    <row r="28" spans="1:15" ht="102" customHeight="1">
      <c r="A28" s="161">
        <v>12</v>
      </c>
      <c r="B28" s="162" t="s">
        <v>795</v>
      </c>
      <c r="C28" s="162" t="s">
        <v>786</v>
      </c>
      <c r="D28" s="162" t="s">
        <v>771</v>
      </c>
      <c r="E28" s="162" t="s">
        <v>787</v>
      </c>
      <c r="F28" s="162"/>
      <c r="G28" s="162" t="s">
        <v>788</v>
      </c>
      <c r="H28" s="161" t="s">
        <v>44</v>
      </c>
      <c r="I28" s="161" t="s">
        <v>94</v>
      </c>
      <c r="J28" s="161" t="s">
        <v>102</v>
      </c>
      <c r="K28" s="161" t="s">
        <v>54</v>
      </c>
      <c r="L28" s="161" t="s">
        <v>54</v>
      </c>
      <c r="M28" s="161" t="s">
        <v>54</v>
      </c>
      <c r="N28" s="161"/>
      <c r="O28" s="162"/>
    </row>
    <row r="29" spans="1:15" ht="18" customHeight="1">
      <c r="A29" s="159" t="s">
        <v>180</v>
      </c>
      <c r="B29" s="159"/>
      <c r="C29" s="159"/>
      <c r="D29" s="159"/>
      <c r="E29" s="159"/>
      <c r="F29" s="159"/>
      <c r="G29" s="159"/>
      <c r="H29" s="159"/>
      <c r="I29" s="159"/>
      <c r="J29" s="159"/>
      <c r="K29" s="159"/>
      <c r="L29" s="159"/>
      <c r="M29" s="159"/>
      <c r="N29" s="159"/>
      <c r="O29" s="159"/>
    </row>
    <row r="30" spans="1:15" ht="18" customHeight="1">
      <c r="A30" s="134" t="s">
        <v>123</v>
      </c>
      <c r="B30" s="135" t="s">
        <v>769</v>
      </c>
      <c r="C30" s="135"/>
      <c r="D30" s="135"/>
      <c r="E30" s="135"/>
      <c r="F30" s="135"/>
      <c r="G30" s="135"/>
      <c r="H30" s="135"/>
      <c r="I30" s="135"/>
      <c r="J30" s="135"/>
      <c r="K30" s="135"/>
      <c r="L30" s="135"/>
      <c r="M30" s="135"/>
      <c r="N30" s="135"/>
      <c r="O30" s="135"/>
    </row>
    <row r="31" spans="1:15" ht="124.5" customHeight="1">
      <c r="A31" s="161">
        <v>13</v>
      </c>
      <c r="B31" s="162" t="s">
        <v>796</v>
      </c>
      <c r="C31" s="162" t="s">
        <v>182</v>
      </c>
      <c r="D31" s="162" t="s">
        <v>797</v>
      </c>
      <c r="E31" s="162" t="s">
        <v>184</v>
      </c>
      <c r="F31" s="162"/>
      <c r="G31" s="162" t="s">
        <v>185</v>
      </c>
      <c r="H31" s="161" t="s">
        <v>44</v>
      </c>
      <c r="I31" s="161" t="s">
        <v>92</v>
      </c>
      <c r="J31" s="161" t="s">
        <v>102</v>
      </c>
      <c r="K31" s="161" t="s">
        <v>54</v>
      </c>
      <c r="L31" s="161" t="s">
        <v>54</v>
      </c>
      <c r="M31" s="161" t="s">
        <v>54</v>
      </c>
      <c r="N31" s="161"/>
      <c r="O31" s="162"/>
    </row>
    <row r="32" spans="1:15" ht="124.5" customHeight="1">
      <c r="A32" s="161">
        <v>14</v>
      </c>
      <c r="B32" s="162" t="s">
        <v>798</v>
      </c>
      <c r="C32" s="162" t="s">
        <v>187</v>
      </c>
      <c r="D32" s="162" t="s">
        <v>797</v>
      </c>
      <c r="E32" s="162" t="s">
        <v>184</v>
      </c>
      <c r="F32" s="162"/>
      <c r="G32" s="162" t="s">
        <v>185</v>
      </c>
      <c r="H32" s="161" t="s">
        <v>44</v>
      </c>
      <c r="I32" s="161" t="s">
        <v>92</v>
      </c>
      <c r="J32" s="161" t="s">
        <v>102</v>
      </c>
      <c r="K32" s="161" t="s">
        <v>54</v>
      </c>
      <c r="L32" s="161" t="s">
        <v>54</v>
      </c>
      <c r="M32" s="161" t="s">
        <v>54</v>
      </c>
      <c r="N32" s="161"/>
      <c r="O32" s="162"/>
    </row>
    <row r="33" spans="1:15" ht="124.5" customHeight="1">
      <c r="A33" s="161">
        <v>15</v>
      </c>
      <c r="B33" s="162" t="s">
        <v>799</v>
      </c>
      <c r="C33" s="162" t="s">
        <v>800</v>
      </c>
      <c r="D33" s="162" t="s">
        <v>797</v>
      </c>
      <c r="E33" s="162" t="s">
        <v>184</v>
      </c>
      <c r="F33" s="162"/>
      <c r="G33" s="162" t="s">
        <v>190</v>
      </c>
      <c r="H33" s="161" t="s">
        <v>44</v>
      </c>
      <c r="I33" s="161" t="s">
        <v>94</v>
      </c>
      <c r="J33" s="161" t="s">
        <v>102</v>
      </c>
      <c r="K33" s="161" t="s">
        <v>54</v>
      </c>
      <c r="L33" s="161" t="s">
        <v>54</v>
      </c>
      <c r="M33" s="161" t="s">
        <v>54</v>
      </c>
      <c r="N33" s="161"/>
      <c r="O33" s="162"/>
    </row>
    <row r="34" spans="1:15" ht="124.5" customHeight="1">
      <c r="A34" s="161">
        <v>16</v>
      </c>
      <c r="B34" s="162" t="s">
        <v>801</v>
      </c>
      <c r="C34" s="162" t="s">
        <v>802</v>
      </c>
      <c r="D34" s="162" t="s">
        <v>797</v>
      </c>
      <c r="E34" s="162" t="s">
        <v>184</v>
      </c>
      <c r="F34" s="162"/>
      <c r="G34" s="162" t="s">
        <v>190</v>
      </c>
      <c r="H34" s="161" t="s">
        <v>44</v>
      </c>
      <c r="I34" s="161" t="s">
        <v>94</v>
      </c>
      <c r="J34" s="161" t="s">
        <v>102</v>
      </c>
      <c r="K34" s="161" t="s">
        <v>54</v>
      </c>
      <c r="L34" s="161" t="s">
        <v>54</v>
      </c>
      <c r="M34" s="161" t="s">
        <v>54</v>
      </c>
      <c r="N34" s="161"/>
      <c r="O34" s="162"/>
    </row>
    <row r="35" spans="1:15" ht="124.5" customHeight="1">
      <c r="A35" s="161">
        <v>17</v>
      </c>
      <c r="B35" s="162" t="s">
        <v>803</v>
      </c>
      <c r="C35" s="162" t="s">
        <v>804</v>
      </c>
      <c r="D35" s="162" t="s">
        <v>797</v>
      </c>
      <c r="E35" s="162" t="s">
        <v>184</v>
      </c>
      <c r="F35" s="162"/>
      <c r="G35" s="162" t="s">
        <v>190</v>
      </c>
      <c r="H35" s="161" t="s">
        <v>44</v>
      </c>
      <c r="I35" s="161" t="s">
        <v>94</v>
      </c>
      <c r="J35" s="161" t="s">
        <v>102</v>
      </c>
      <c r="K35" s="161" t="s">
        <v>54</v>
      </c>
      <c r="L35" s="161" t="s">
        <v>54</v>
      </c>
      <c r="M35" s="161" t="s">
        <v>54</v>
      </c>
      <c r="N35" s="161"/>
      <c r="O35" s="162"/>
    </row>
    <row r="36" spans="1:15" ht="18" customHeight="1">
      <c r="A36" s="134" t="s">
        <v>150</v>
      </c>
      <c r="B36" s="135" t="s">
        <v>789</v>
      </c>
      <c r="C36" s="135"/>
      <c r="D36" s="135"/>
      <c r="E36" s="135"/>
      <c r="F36" s="135"/>
      <c r="G36" s="135"/>
      <c r="H36" s="135"/>
      <c r="I36" s="135"/>
      <c r="J36" s="135"/>
      <c r="K36" s="135"/>
      <c r="L36" s="135"/>
      <c r="M36" s="135"/>
      <c r="N36" s="135"/>
      <c r="O36" s="135"/>
    </row>
    <row r="37" spans="1:15" ht="124.5" customHeight="1">
      <c r="A37" s="161">
        <v>18</v>
      </c>
      <c r="B37" s="162" t="s">
        <v>805</v>
      </c>
      <c r="C37" s="162" t="s">
        <v>182</v>
      </c>
      <c r="D37" s="162" t="s">
        <v>806</v>
      </c>
      <c r="E37" s="162" t="s">
        <v>184</v>
      </c>
      <c r="F37" s="162"/>
      <c r="G37" s="162" t="s">
        <v>185</v>
      </c>
      <c r="H37" s="161" t="s">
        <v>44</v>
      </c>
      <c r="I37" s="161" t="s">
        <v>92</v>
      </c>
      <c r="J37" s="161" t="s">
        <v>102</v>
      </c>
      <c r="K37" s="161" t="s">
        <v>54</v>
      </c>
      <c r="L37" s="161" t="s">
        <v>54</v>
      </c>
      <c r="M37" s="161" t="s">
        <v>54</v>
      </c>
      <c r="N37" s="161"/>
      <c r="O37" s="162"/>
    </row>
    <row r="38" spans="1:15" ht="124.5" customHeight="1">
      <c r="A38" s="161">
        <v>19</v>
      </c>
      <c r="B38" s="162" t="s">
        <v>807</v>
      </c>
      <c r="C38" s="162" t="s">
        <v>187</v>
      </c>
      <c r="D38" s="162" t="s">
        <v>806</v>
      </c>
      <c r="E38" s="162" t="s">
        <v>184</v>
      </c>
      <c r="F38" s="162"/>
      <c r="G38" s="162" t="s">
        <v>185</v>
      </c>
      <c r="H38" s="161" t="s">
        <v>44</v>
      </c>
      <c r="I38" s="161" t="s">
        <v>92</v>
      </c>
      <c r="J38" s="161" t="s">
        <v>102</v>
      </c>
      <c r="K38" s="161" t="s">
        <v>54</v>
      </c>
      <c r="L38" s="161" t="s">
        <v>54</v>
      </c>
      <c r="M38" s="161" t="s">
        <v>54</v>
      </c>
      <c r="N38" s="161"/>
      <c r="O38" s="162"/>
    </row>
    <row r="39" spans="1:15" ht="124.5" customHeight="1">
      <c r="A39" s="161">
        <v>20</v>
      </c>
      <c r="B39" s="162" t="s">
        <v>808</v>
      </c>
      <c r="C39" s="162" t="s">
        <v>800</v>
      </c>
      <c r="D39" s="162" t="s">
        <v>806</v>
      </c>
      <c r="E39" s="162" t="s">
        <v>184</v>
      </c>
      <c r="F39" s="162"/>
      <c r="G39" s="162" t="s">
        <v>190</v>
      </c>
      <c r="H39" s="161" t="s">
        <v>44</v>
      </c>
      <c r="I39" s="161" t="s">
        <v>94</v>
      </c>
      <c r="J39" s="161" t="s">
        <v>102</v>
      </c>
      <c r="K39" s="161" t="s">
        <v>54</v>
      </c>
      <c r="L39" s="161" t="s">
        <v>54</v>
      </c>
      <c r="M39" s="161" t="s">
        <v>54</v>
      </c>
      <c r="N39" s="161"/>
      <c r="O39" s="162"/>
    </row>
    <row r="40" spans="1:15" ht="124.5" customHeight="1">
      <c r="A40" s="161">
        <v>21</v>
      </c>
      <c r="B40" s="162" t="s">
        <v>809</v>
      </c>
      <c r="C40" s="162" t="s">
        <v>802</v>
      </c>
      <c r="D40" s="162" t="s">
        <v>806</v>
      </c>
      <c r="E40" s="162" t="s">
        <v>184</v>
      </c>
      <c r="F40" s="162"/>
      <c r="G40" s="162" t="s">
        <v>190</v>
      </c>
      <c r="H40" s="161" t="s">
        <v>44</v>
      </c>
      <c r="I40" s="161" t="s">
        <v>94</v>
      </c>
      <c r="J40" s="161" t="s">
        <v>102</v>
      </c>
      <c r="K40" s="161" t="s">
        <v>54</v>
      </c>
      <c r="L40" s="161" t="s">
        <v>54</v>
      </c>
      <c r="M40" s="161" t="s">
        <v>54</v>
      </c>
      <c r="N40" s="161"/>
      <c r="O40" s="162"/>
    </row>
    <row r="41" spans="1:15" ht="124.5" customHeight="1">
      <c r="A41" s="161">
        <v>22</v>
      </c>
      <c r="B41" s="162" t="s">
        <v>810</v>
      </c>
      <c r="C41" s="162" t="s">
        <v>804</v>
      </c>
      <c r="D41" s="162" t="s">
        <v>806</v>
      </c>
      <c r="E41" s="162" t="s">
        <v>184</v>
      </c>
      <c r="F41" s="162"/>
      <c r="G41" s="162" t="s">
        <v>190</v>
      </c>
      <c r="H41" s="161" t="s">
        <v>44</v>
      </c>
      <c r="I41" s="161" t="s">
        <v>94</v>
      </c>
      <c r="J41" s="161" t="s">
        <v>102</v>
      </c>
      <c r="K41" s="161" t="s">
        <v>54</v>
      </c>
      <c r="L41" s="161" t="s">
        <v>54</v>
      </c>
      <c r="M41" s="161" t="s">
        <v>54</v>
      </c>
      <c r="N41" s="161"/>
      <c r="O41" s="162"/>
    </row>
    <row r="42" spans="1:15" ht="18" customHeight="1">
      <c r="A42" s="159" t="s">
        <v>209</v>
      </c>
      <c r="B42" s="159"/>
      <c r="C42" s="159"/>
      <c r="D42" s="159"/>
      <c r="E42" s="159"/>
      <c r="F42" s="159"/>
      <c r="G42" s="159"/>
      <c r="H42" s="159"/>
      <c r="I42" s="159"/>
      <c r="J42" s="159"/>
      <c r="K42" s="159"/>
      <c r="L42" s="159"/>
      <c r="M42" s="159"/>
      <c r="N42" s="159"/>
      <c r="O42" s="159"/>
    </row>
    <row r="43" spans="1:15" ht="191.25" customHeight="1">
      <c r="A43" s="161">
        <v>23</v>
      </c>
      <c r="B43" s="162" t="s">
        <v>811</v>
      </c>
      <c r="C43" s="162" t="s">
        <v>211</v>
      </c>
      <c r="D43" s="162" t="s">
        <v>812</v>
      </c>
      <c r="E43" s="162" t="s">
        <v>213</v>
      </c>
      <c r="F43" s="162"/>
      <c r="G43" s="162" t="s">
        <v>214</v>
      </c>
      <c r="H43" s="161" t="s">
        <v>44</v>
      </c>
      <c r="I43" s="161" t="s">
        <v>92</v>
      </c>
      <c r="J43" s="161" t="s">
        <v>102</v>
      </c>
      <c r="K43" s="161" t="s">
        <v>54</v>
      </c>
      <c r="L43" s="161" t="s">
        <v>54</v>
      </c>
      <c r="M43" s="161" t="s">
        <v>54</v>
      </c>
      <c r="N43" s="161"/>
      <c r="O43" s="162" t="s">
        <v>215</v>
      </c>
    </row>
    <row r="44" spans="1:15" ht="213.75" customHeight="1">
      <c r="A44" s="161">
        <v>24</v>
      </c>
      <c r="B44" s="162" t="s">
        <v>813</v>
      </c>
      <c r="C44" s="162" t="s">
        <v>217</v>
      </c>
      <c r="D44" s="162" t="s">
        <v>814</v>
      </c>
      <c r="E44" s="162" t="s">
        <v>219</v>
      </c>
      <c r="F44" s="162"/>
      <c r="G44" s="162" t="s">
        <v>220</v>
      </c>
      <c r="H44" s="161" t="s">
        <v>44</v>
      </c>
      <c r="I44" s="161" t="s">
        <v>92</v>
      </c>
      <c r="J44" s="161" t="s">
        <v>102</v>
      </c>
      <c r="K44" s="161" t="s">
        <v>54</v>
      </c>
      <c r="L44" s="161" t="s">
        <v>54</v>
      </c>
      <c r="M44" s="161" t="s">
        <v>54</v>
      </c>
      <c r="N44" s="161"/>
      <c r="O44" s="162" t="s">
        <v>215</v>
      </c>
    </row>
  </sheetData>
  <mergeCells count="3">
    <mergeCell ref="A14:O14"/>
    <mergeCell ref="A29:O29"/>
    <mergeCell ref="A42:O42"/>
  </mergeCell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A1:O44"/>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815</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16</v>
      </c>
      <c r="E5" s="124">
        <f>SUM(E6:E10)</f>
        <v>0</v>
      </c>
      <c r="F5" s="124">
        <f t="shared" ref="F5:F11" si="0">SUM(C5:E5)</f>
        <v>24</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16</v>
      </c>
      <c r="E8" s="125">
        <f t="shared" si="1"/>
        <v>0</v>
      </c>
      <c r="F8" s="125">
        <f t="shared" si="0"/>
        <v>24</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816</v>
      </c>
      <c r="C15" s="135"/>
      <c r="D15" s="135"/>
      <c r="E15" s="135"/>
      <c r="F15" s="135"/>
      <c r="G15" s="135"/>
      <c r="H15" s="135"/>
      <c r="I15" s="135"/>
      <c r="J15" s="135"/>
      <c r="K15" s="135"/>
      <c r="L15" s="135"/>
      <c r="M15" s="135"/>
      <c r="N15" s="135"/>
      <c r="O15" s="135"/>
    </row>
    <row r="16" spans="1:15" ht="90.75" customHeight="1">
      <c r="A16" s="161">
        <v>1</v>
      </c>
      <c r="B16" s="162" t="s">
        <v>817</v>
      </c>
      <c r="C16" s="162" t="s">
        <v>126</v>
      </c>
      <c r="D16" s="162" t="s">
        <v>818</v>
      </c>
      <c r="E16" s="162" t="s">
        <v>819</v>
      </c>
      <c r="F16" s="162"/>
      <c r="G16" s="162" t="s">
        <v>820</v>
      </c>
      <c r="H16" s="161" t="s">
        <v>44</v>
      </c>
      <c r="I16" s="161" t="s">
        <v>92</v>
      </c>
      <c r="J16" s="161" t="s">
        <v>102</v>
      </c>
      <c r="K16" s="161" t="s">
        <v>54</v>
      </c>
      <c r="L16" s="161" t="s">
        <v>54</v>
      </c>
      <c r="M16" s="161" t="s">
        <v>54</v>
      </c>
      <c r="N16" s="161"/>
      <c r="O16" s="162" t="s">
        <v>774</v>
      </c>
    </row>
    <row r="17" spans="1:15" ht="90.75" customHeight="1">
      <c r="A17" s="161">
        <v>2</v>
      </c>
      <c r="B17" s="162" t="s">
        <v>821</v>
      </c>
      <c r="C17" s="162" t="s">
        <v>132</v>
      </c>
      <c r="D17" s="162" t="s">
        <v>818</v>
      </c>
      <c r="E17" s="162" t="s">
        <v>822</v>
      </c>
      <c r="F17" s="162"/>
      <c r="G17" s="162" t="s">
        <v>134</v>
      </c>
      <c r="H17" s="161" t="s">
        <v>44</v>
      </c>
      <c r="I17" s="161" t="s">
        <v>94</v>
      </c>
      <c r="J17" s="161" t="s">
        <v>102</v>
      </c>
      <c r="K17" s="161" t="s">
        <v>54</v>
      </c>
      <c r="L17" s="161" t="s">
        <v>54</v>
      </c>
      <c r="M17" s="161" t="s">
        <v>54</v>
      </c>
      <c r="N17" s="161"/>
      <c r="O17" s="162"/>
    </row>
    <row r="18" spans="1:15" ht="90.75" customHeight="1">
      <c r="A18" s="161">
        <v>3</v>
      </c>
      <c r="B18" s="162" t="s">
        <v>823</v>
      </c>
      <c r="C18" s="162" t="s">
        <v>136</v>
      </c>
      <c r="D18" s="162" t="s">
        <v>818</v>
      </c>
      <c r="E18" s="162" t="s">
        <v>824</v>
      </c>
      <c r="F18" s="162"/>
      <c r="G18" s="162" t="s">
        <v>138</v>
      </c>
      <c r="H18" s="161" t="s">
        <v>44</v>
      </c>
      <c r="I18" s="161" t="s">
        <v>94</v>
      </c>
      <c r="J18" s="161" t="s">
        <v>102</v>
      </c>
      <c r="K18" s="161" t="s">
        <v>54</v>
      </c>
      <c r="L18" s="161" t="s">
        <v>54</v>
      </c>
      <c r="M18" s="161" t="s">
        <v>54</v>
      </c>
      <c r="N18" s="161"/>
      <c r="O18" s="162"/>
    </row>
    <row r="19" spans="1:15" ht="102" customHeight="1">
      <c r="A19" s="161">
        <v>4</v>
      </c>
      <c r="B19" s="162" t="s">
        <v>825</v>
      </c>
      <c r="C19" s="162" t="s">
        <v>826</v>
      </c>
      <c r="D19" s="162" t="s">
        <v>818</v>
      </c>
      <c r="E19" s="162" t="s">
        <v>827</v>
      </c>
      <c r="F19" s="162"/>
      <c r="G19" s="162" t="s">
        <v>828</v>
      </c>
      <c r="H19" s="161" t="s">
        <v>44</v>
      </c>
      <c r="I19" s="161" t="s">
        <v>94</v>
      </c>
      <c r="J19" s="161" t="s">
        <v>102</v>
      </c>
      <c r="K19" s="161" t="s">
        <v>54</v>
      </c>
      <c r="L19" s="161" t="s">
        <v>54</v>
      </c>
      <c r="M19" s="161" t="s">
        <v>54</v>
      </c>
      <c r="N19" s="161"/>
      <c r="O19" s="162"/>
    </row>
    <row r="20" spans="1:15" ht="102" customHeight="1">
      <c r="A20" s="161">
        <v>5</v>
      </c>
      <c r="B20" s="162" t="s">
        <v>829</v>
      </c>
      <c r="C20" s="162" t="s">
        <v>783</v>
      </c>
      <c r="D20" s="162" t="s">
        <v>818</v>
      </c>
      <c r="E20" s="162" t="s">
        <v>830</v>
      </c>
      <c r="F20" s="162"/>
      <c r="G20" s="162" t="s">
        <v>464</v>
      </c>
      <c r="H20" s="161" t="s">
        <v>44</v>
      </c>
      <c r="I20" s="161" t="s">
        <v>94</v>
      </c>
      <c r="J20" s="161" t="s">
        <v>102</v>
      </c>
      <c r="K20" s="161" t="s">
        <v>54</v>
      </c>
      <c r="L20" s="161" t="s">
        <v>54</v>
      </c>
      <c r="M20" s="161" t="s">
        <v>54</v>
      </c>
      <c r="N20" s="161"/>
      <c r="O20" s="162"/>
    </row>
    <row r="21" spans="1:15" ht="102" customHeight="1">
      <c r="A21" s="161">
        <v>6</v>
      </c>
      <c r="B21" s="162" t="s">
        <v>831</v>
      </c>
      <c r="C21" s="162" t="s">
        <v>832</v>
      </c>
      <c r="D21" s="162" t="s">
        <v>818</v>
      </c>
      <c r="E21" s="162" t="s">
        <v>833</v>
      </c>
      <c r="F21" s="162"/>
      <c r="G21" s="162" t="s">
        <v>834</v>
      </c>
      <c r="H21" s="161" t="s">
        <v>44</v>
      </c>
      <c r="I21" s="161" t="s">
        <v>94</v>
      </c>
      <c r="J21" s="161" t="s">
        <v>102</v>
      </c>
      <c r="K21" s="161" t="s">
        <v>54</v>
      </c>
      <c r="L21" s="161" t="s">
        <v>54</v>
      </c>
      <c r="M21" s="161" t="s">
        <v>54</v>
      </c>
      <c r="N21" s="161"/>
      <c r="O21" s="162"/>
    </row>
    <row r="22" spans="1:15" ht="18" customHeight="1">
      <c r="A22" s="134" t="s">
        <v>150</v>
      </c>
      <c r="B22" s="135" t="s">
        <v>835</v>
      </c>
      <c r="C22" s="135"/>
      <c r="D22" s="135"/>
      <c r="E22" s="135"/>
      <c r="F22" s="135"/>
      <c r="G22" s="135"/>
      <c r="H22" s="135"/>
      <c r="I22" s="135"/>
      <c r="J22" s="135"/>
      <c r="K22" s="135"/>
      <c r="L22" s="135"/>
      <c r="M22" s="135"/>
      <c r="N22" s="135"/>
      <c r="O22" s="135"/>
    </row>
    <row r="23" spans="1:15" ht="90.75" customHeight="1">
      <c r="A23" s="161">
        <v>7</v>
      </c>
      <c r="B23" s="162" t="s">
        <v>836</v>
      </c>
      <c r="C23" s="162" t="s">
        <v>126</v>
      </c>
      <c r="D23" s="162" t="s">
        <v>818</v>
      </c>
      <c r="E23" s="162" t="s">
        <v>819</v>
      </c>
      <c r="F23" s="162"/>
      <c r="G23" s="162" t="s">
        <v>820</v>
      </c>
      <c r="H23" s="161" t="s">
        <v>44</v>
      </c>
      <c r="I23" s="161" t="s">
        <v>92</v>
      </c>
      <c r="J23" s="161" t="s">
        <v>102</v>
      </c>
      <c r="K23" s="161" t="s">
        <v>54</v>
      </c>
      <c r="L23" s="161" t="s">
        <v>54</v>
      </c>
      <c r="M23" s="161" t="s">
        <v>54</v>
      </c>
      <c r="N23" s="161"/>
      <c r="O23" s="162"/>
    </row>
    <row r="24" spans="1:15" ht="90.75" customHeight="1">
      <c r="A24" s="161">
        <v>8</v>
      </c>
      <c r="B24" s="162" t="s">
        <v>837</v>
      </c>
      <c r="C24" s="162" t="s">
        <v>132</v>
      </c>
      <c r="D24" s="162" t="s">
        <v>818</v>
      </c>
      <c r="E24" s="162" t="s">
        <v>822</v>
      </c>
      <c r="F24" s="162"/>
      <c r="G24" s="162" t="s">
        <v>134</v>
      </c>
      <c r="H24" s="161" t="s">
        <v>44</v>
      </c>
      <c r="I24" s="161" t="s">
        <v>94</v>
      </c>
      <c r="J24" s="161" t="s">
        <v>102</v>
      </c>
      <c r="K24" s="161" t="s">
        <v>54</v>
      </c>
      <c r="L24" s="161" t="s">
        <v>54</v>
      </c>
      <c r="M24" s="161" t="s">
        <v>54</v>
      </c>
      <c r="N24" s="161"/>
      <c r="O24" s="162"/>
    </row>
    <row r="25" spans="1:15" ht="90.75" customHeight="1">
      <c r="A25" s="161">
        <v>9</v>
      </c>
      <c r="B25" s="162" t="s">
        <v>838</v>
      </c>
      <c r="C25" s="162" t="s">
        <v>136</v>
      </c>
      <c r="D25" s="162" t="s">
        <v>818</v>
      </c>
      <c r="E25" s="162" t="s">
        <v>824</v>
      </c>
      <c r="F25" s="162"/>
      <c r="G25" s="162" t="s">
        <v>138</v>
      </c>
      <c r="H25" s="161" t="s">
        <v>44</v>
      </c>
      <c r="I25" s="161" t="s">
        <v>94</v>
      </c>
      <c r="J25" s="161" t="s">
        <v>102</v>
      </c>
      <c r="K25" s="161" t="s">
        <v>54</v>
      </c>
      <c r="L25" s="161" t="s">
        <v>54</v>
      </c>
      <c r="M25" s="161" t="s">
        <v>54</v>
      </c>
      <c r="N25" s="161"/>
      <c r="O25" s="162"/>
    </row>
    <row r="26" spans="1:15" ht="102" customHeight="1">
      <c r="A26" s="161">
        <v>10</v>
      </c>
      <c r="B26" s="162" t="s">
        <v>839</v>
      </c>
      <c r="C26" s="162" t="s">
        <v>826</v>
      </c>
      <c r="D26" s="162" t="s">
        <v>818</v>
      </c>
      <c r="E26" s="162" t="s">
        <v>827</v>
      </c>
      <c r="F26" s="162"/>
      <c r="G26" s="162" t="s">
        <v>828</v>
      </c>
      <c r="H26" s="161" t="s">
        <v>44</v>
      </c>
      <c r="I26" s="161" t="s">
        <v>94</v>
      </c>
      <c r="J26" s="161" t="s">
        <v>102</v>
      </c>
      <c r="K26" s="161" t="s">
        <v>54</v>
      </c>
      <c r="L26" s="161" t="s">
        <v>54</v>
      </c>
      <c r="M26" s="161" t="s">
        <v>54</v>
      </c>
      <c r="N26" s="161"/>
      <c r="O26" s="162"/>
    </row>
    <row r="27" spans="1:15" ht="102" customHeight="1">
      <c r="A27" s="161">
        <v>11</v>
      </c>
      <c r="B27" s="162" t="s">
        <v>840</v>
      </c>
      <c r="C27" s="162" t="s">
        <v>783</v>
      </c>
      <c r="D27" s="162" t="s">
        <v>818</v>
      </c>
      <c r="E27" s="162" t="s">
        <v>830</v>
      </c>
      <c r="F27" s="162"/>
      <c r="G27" s="162" t="s">
        <v>841</v>
      </c>
      <c r="H27" s="161" t="s">
        <v>44</v>
      </c>
      <c r="I27" s="161" t="s">
        <v>94</v>
      </c>
      <c r="J27" s="161" t="s">
        <v>102</v>
      </c>
      <c r="K27" s="161" t="s">
        <v>54</v>
      </c>
      <c r="L27" s="161" t="s">
        <v>54</v>
      </c>
      <c r="M27" s="161" t="s">
        <v>54</v>
      </c>
      <c r="N27" s="161"/>
      <c r="O27" s="162"/>
    </row>
    <row r="28" spans="1:15" ht="102" customHeight="1">
      <c r="A28" s="161">
        <v>12</v>
      </c>
      <c r="B28" s="162" t="s">
        <v>842</v>
      </c>
      <c r="C28" s="162" t="s">
        <v>832</v>
      </c>
      <c r="D28" s="162" t="s">
        <v>818</v>
      </c>
      <c r="E28" s="162" t="s">
        <v>833</v>
      </c>
      <c r="F28" s="162"/>
      <c r="G28" s="162" t="s">
        <v>834</v>
      </c>
      <c r="H28" s="161" t="s">
        <v>44</v>
      </c>
      <c r="I28" s="161" t="s">
        <v>94</v>
      </c>
      <c r="J28" s="161" t="s">
        <v>102</v>
      </c>
      <c r="K28" s="161" t="s">
        <v>54</v>
      </c>
      <c r="L28" s="161" t="s">
        <v>54</v>
      </c>
      <c r="M28" s="161" t="s">
        <v>54</v>
      </c>
      <c r="N28" s="161"/>
      <c r="O28" s="162"/>
    </row>
    <row r="29" spans="1:15" ht="18" customHeight="1">
      <c r="A29" s="159" t="s">
        <v>180</v>
      </c>
      <c r="B29" s="159"/>
      <c r="C29" s="159"/>
      <c r="D29" s="159"/>
      <c r="E29" s="159"/>
      <c r="F29" s="159"/>
      <c r="G29" s="159"/>
      <c r="H29" s="159"/>
      <c r="I29" s="159"/>
      <c r="J29" s="159"/>
      <c r="K29" s="159"/>
      <c r="L29" s="159"/>
      <c r="M29" s="159"/>
      <c r="N29" s="159"/>
      <c r="O29" s="159"/>
    </row>
    <row r="30" spans="1:15" ht="18" customHeight="1">
      <c r="A30" s="134" t="s">
        <v>123</v>
      </c>
      <c r="B30" s="135" t="s">
        <v>816</v>
      </c>
      <c r="C30" s="135"/>
      <c r="D30" s="135"/>
      <c r="E30" s="135"/>
      <c r="F30" s="135"/>
      <c r="G30" s="135"/>
      <c r="H30" s="135"/>
      <c r="I30" s="135"/>
      <c r="J30" s="135"/>
      <c r="K30" s="135"/>
      <c r="L30" s="135"/>
      <c r="M30" s="135"/>
      <c r="N30" s="135"/>
      <c r="O30" s="135"/>
    </row>
    <row r="31" spans="1:15" ht="124.5" customHeight="1">
      <c r="A31" s="161">
        <v>13</v>
      </c>
      <c r="B31" s="162" t="s">
        <v>843</v>
      </c>
      <c r="C31" s="162" t="s">
        <v>182</v>
      </c>
      <c r="D31" s="162" t="s">
        <v>844</v>
      </c>
      <c r="E31" s="162" t="s">
        <v>184</v>
      </c>
      <c r="F31" s="162"/>
      <c r="G31" s="162" t="s">
        <v>185</v>
      </c>
      <c r="H31" s="161" t="s">
        <v>44</v>
      </c>
      <c r="I31" s="161" t="s">
        <v>92</v>
      </c>
      <c r="J31" s="161" t="s">
        <v>102</v>
      </c>
      <c r="K31" s="161" t="s">
        <v>54</v>
      </c>
      <c r="L31" s="161" t="s">
        <v>54</v>
      </c>
      <c r="M31" s="161" t="s">
        <v>54</v>
      </c>
      <c r="N31" s="161"/>
      <c r="O31" s="162"/>
    </row>
    <row r="32" spans="1:15" ht="124.5" customHeight="1">
      <c r="A32" s="161">
        <v>14</v>
      </c>
      <c r="B32" s="162" t="s">
        <v>845</v>
      </c>
      <c r="C32" s="162" t="s">
        <v>187</v>
      </c>
      <c r="D32" s="162" t="s">
        <v>844</v>
      </c>
      <c r="E32" s="162" t="s">
        <v>184</v>
      </c>
      <c r="F32" s="162"/>
      <c r="G32" s="162" t="s">
        <v>185</v>
      </c>
      <c r="H32" s="161" t="s">
        <v>44</v>
      </c>
      <c r="I32" s="161" t="s">
        <v>92</v>
      </c>
      <c r="J32" s="161" t="s">
        <v>102</v>
      </c>
      <c r="K32" s="161" t="s">
        <v>54</v>
      </c>
      <c r="L32" s="161" t="s">
        <v>54</v>
      </c>
      <c r="M32" s="161" t="s">
        <v>54</v>
      </c>
      <c r="N32" s="161"/>
      <c r="O32" s="162"/>
    </row>
    <row r="33" spans="1:15" ht="124.5" customHeight="1">
      <c r="A33" s="161">
        <v>15</v>
      </c>
      <c r="B33" s="162" t="s">
        <v>846</v>
      </c>
      <c r="C33" s="162" t="s">
        <v>847</v>
      </c>
      <c r="D33" s="162" t="s">
        <v>844</v>
      </c>
      <c r="E33" s="162" t="s">
        <v>184</v>
      </c>
      <c r="F33" s="162"/>
      <c r="G33" s="162" t="s">
        <v>190</v>
      </c>
      <c r="H33" s="161" t="s">
        <v>44</v>
      </c>
      <c r="I33" s="161" t="s">
        <v>94</v>
      </c>
      <c r="J33" s="161" t="s">
        <v>102</v>
      </c>
      <c r="K33" s="161" t="s">
        <v>54</v>
      </c>
      <c r="L33" s="161" t="s">
        <v>54</v>
      </c>
      <c r="M33" s="161" t="s">
        <v>54</v>
      </c>
      <c r="N33" s="161"/>
      <c r="O33" s="162"/>
    </row>
    <row r="34" spans="1:15" ht="124.5" customHeight="1">
      <c r="A34" s="161">
        <v>16</v>
      </c>
      <c r="B34" s="162" t="s">
        <v>848</v>
      </c>
      <c r="C34" s="162" t="s">
        <v>802</v>
      </c>
      <c r="D34" s="162" t="s">
        <v>844</v>
      </c>
      <c r="E34" s="162" t="s">
        <v>184</v>
      </c>
      <c r="F34" s="162"/>
      <c r="G34" s="162" t="s">
        <v>190</v>
      </c>
      <c r="H34" s="161" t="s">
        <v>44</v>
      </c>
      <c r="I34" s="161" t="s">
        <v>94</v>
      </c>
      <c r="J34" s="161" t="s">
        <v>102</v>
      </c>
      <c r="K34" s="161" t="s">
        <v>54</v>
      </c>
      <c r="L34" s="161" t="s">
        <v>54</v>
      </c>
      <c r="M34" s="161" t="s">
        <v>54</v>
      </c>
      <c r="N34" s="161"/>
      <c r="O34" s="162"/>
    </row>
    <row r="35" spans="1:15" ht="124.5" customHeight="1">
      <c r="A35" s="161">
        <v>17</v>
      </c>
      <c r="B35" s="162" t="s">
        <v>849</v>
      </c>
      <c r="C35" s="162" t="s">
        <v>850</v>
      </c>
      <c r="D35" s="162" t="s">
        <v>844</v>
      </c>
      <c r="E35" s="162" t="s">
        <v>184</v>
      </c>
      <c r="F35" s="162"/>
      <c r="G35" s="162" t="s">
        <v>190</v>
      </c>
      <c r="H35" s="161" t="s">
        <v>44</v>
      </c>
      <c r="I35" s="161" t="s">
        <v>94</v>
      </c>
      <c r="J35" s="161" t="s">
        <v>102</v>
      </c>
      <c r="K35" s="161" t="s">
        <v>54</v>
      </c>
      <c r="L35" s="161" t="s">
        <v>54</v>
      </c>
      <c r="M35" s="161" t="s">
        <v>54</v>
      </c>
      <c r="N35" s="161"/>
      <c r="O35" s="162"/>
    </row>
    <row r="36" spans="1:15" ht="18" customHeight="1">
      <c r="A36" s="134" t="s">
        <v>150</v>
      </c>
      <c r="B36" s="135" t="s">
        <v>835</v>
      </c>
      <c r="C36" s="135"/>
      <c r="D36" s="135"/>
      <c r="E36" s="135"/>
      <c r="F36" s="135"/>
      <c r="G36" s="135"/>
      <c r="H36" s="135"/>
      <c r="I36" s="135"/>
      <c r="J36" s="135"/>
      <c r="K36" s="135"/>
      <c r="L36" s="135"/>
      <c r="M36" s="135"/>
      <c r="N36" s="135"/>
      <c r="O36" s="135"/>
    </row>
    <row r="37" spans="1:15" ht="124.5" customHeight="1">
      <c r="A37" s="161">
        <v>18</v>
      </c>
      <c r="B37" s="162" t="s">
        <v>851</v>
      </c>
      <c r="C37" s="162" t="s">
        <v>182</v>
      </c>
      <c r="D37" s="162" t="s">
        <v>852</v>
      </c>
      <c r="E37" s="162" t="s">
        <v>184</v>
      </c>
      <c r="F37" s="162"/>
      <c r="G37" s="162" t="s">
        <v>185</v>
      </c>
      <c r="H37" s="161" t="s">
        <v>44</v>
      </c>
      <c r="I37" s="161" t="s">
        <v>92</v>
      </c>
      <c r="J37" s="161" t="s">
        <v>102</v>
      </c>
      <c r="K37" s="161" t="s">
        <v>54</v>
      </c>
      <c r="L37" s="161" t="s">
        <v>54</v>
      </c>
      <c r="M37" s="161" t="s">
        <v>54</v>
      </c>
      <c r="N37" s="161"/>
      <c r="O37" s="162"/>
    </row>
    <row r="38" spans="1:15" ht="124.5" customHeight="1">
      <c r="A38" s="161">
        <v>19</v>
      </c>
      <c r="B38" s="162" t="s">
        <v>853</v>
      </c>
      <c r="C38" s="162" t="s">
        <v>187</v>
      </c>
      <c r="D38" s="162" t="s">
        <v>852</v>
      </c>
      <c r="E38" s="162" t="s">
        <v>184</v>
      </c>
      <c r="F38" s="162"/>
      <c r="G38" s="162" t="s">
        <v>185</v>
      </c>
      <c r="H38" s="161" t="s">
        <v>44</v>
      </c>
      <c r="I38" s="161" t="s">
        <v>92</v>
      </c>
      <c r="J38" s="161" t="s">
        <v>102</v>
      </c>
      <c r="K38" s="161" t="s">
        <v>54</v>
      </c>
      <c r="L38" s="161" t="s">
        <v>54</v>
      </c>
      <c r="M38" s="161" t="s">
        <v>54</v>
      </c>
      <c r="N38" s="161"/>
      <c r="O38" s="162"/>
    </row>
    <row r="39" spans="1:15" ht="124.5" customHeight="1">
      <c r="A39" s="161">
        <v>20</v>
      </c>
      <c r="B39" s="162" t="s">
        <v>854</v>
      </c>
      <c r="C39" s="162" t="s">
        <v>847</v>
      </c>
      <c r="D39" s="162" t="s">
        <v>852</v>
      </c>
      <c r="E39" s="162" t="s">
        <v>184</v>
      </c>
      <c r="F39" s="162"/>
      <c r="G39" s="162" t="s">
        <v>190</v>
      </c>
      <c r="H39" s="161" t="s">
        <v>44</v>
      </c>
      <c r="I39" s="161" t="s">
        <v>94</v>
      </c>
      <c r="J39" s="161" t="s">
        <v>102</v>
      </c>
      <c r="K39" s="161" t="s">
        <v>54</v>
      </c>
      <c r="L39" s="161" t="s">
        <v>54</v>
      </c>
      <c r="M39" s="161" t="s">
        <v>54</v>
      </c>
      <c r="N39" s="161"/>
      <c r="O39" s="162"/>
    </row>
    <row r="40" spans="1:15" ht="124.5" customHeight="1">
      <c r="A40" s="161">
        <v>21</v>
      </c>
      <c r="B40" s="162" t="s">
        <v>855</v>
      </c>
      <c r="C40" s="162" t="s">
        <v>802</v>
      </c>
      <c r="D40" s="162" t="s">
        <v>852</v>
      </c>
      <c r="E40" s="162" t="s">
        <v>184</v>
      </c>
      <c r="F40" s="162"/>
      <c r="G40" s="162" t="s">
        <v>190</v>
      </c>
      <c r="H40" s="161" t="s">
        <v>44</v>
      </c>
      <c r="I40" s="161" t="s">
        <v>94</v>
      </c>
      <c r="J40" s="161" t="s">
        <v>102</v>
      </c>
      <c r="K40" s="161" t="s">
        <v>54</v>
      </c>
      <c r="L40" s="161" t="s">
        <v>54</v>
      </c>
      <c r="M40" s="161" t="s">
        <v>54</v>
      </c>
      <c r="N40" s="161"/>
      <c r="O40" s="162"/>
    </row>
    <row r="41" spans="1:15" ht="124.5" customHeight="1">
      <c r="A41" s="161">
        <v>22</v>
      </c>
      <c r="B41" s="162" t="s">
        <v>856</v>
      </c>
      <c r="C41" s="162" t="s">
        <v>850</v>
      </c>
      <c r="D41" s="162" t="s">
        <v>852</v>
      </c>
      <c r="E41" s="162" t="s">
        <v>184</v>
      </c>
      <c r="F41" s="162"/>
      <c r="G41" s="162" t="s">
        <v>190</v>
      </c>
      <c r="H41" s="161" t="s">
        <v>44</v>
      </c>
      <c r="I41" s="161" t="s">
        <v>94</v>
      </c>
      <c r="J41" s="161" t="s">
        <v>102</v>
      </c>
      <c r="K41" s="161" t="s">
        <v>54</v>
      </c>
      <c r="L41" s="161" t="s">
        <v>54</v>
      </c>
      <c r="M41" s="161" t="s">
        <v>54</v>
      </c>
      <c r="N41" s="161"/>
      <c r="O41" s="162"/>
    </row>
    <row r="42" spans="1:15" ht="18" customHeight="1">
      <c r="A42" s="159" t="s">
        <v>209</v>
      </c>
      <c r="B42" s="159"/>
      <c r="C42" s="159"/>
      <c r="D42" s="159"/>
      <c r="E42" s="159"/>
      <c r="F42" s="159"/>
      <c r="G42" s="159"/>
      <c r="H42" s="159"/>
      <c r="I42" s="159"/>
      <c r="J42" s="159"/>
      <c r="K42" s="159"/>
      <c r="L42" s="159"/>
      <c r="M42" s="159"/>
      <c r="N42" s="159"/>
      <c r="O42" s="159"/>
    </row>
    <row r="43" spans="1:15" ht="191.25" customHeight="1">
      <c r="A43" s="161">
        <v>23</v>
      </c>
      <c r="B43" s="162" t="s">
        <v>857</v>
      </c>
      <c r="C43" s="162" t="s">
        <v>211</v>
      </c>
      <c r="D43" s="162" t="s">
        <v>858</v>
      </c>
      <c r="E43" s="162" t="s">
        <v>213</v>
      </c>
      <c r="F43" s="162"/>
      <c r="G43" s="162" t="s">
        <v>214</v>
      </c>
      <c r="H43" s="161" t="s">
        <v>44</v>
      </c>
      <c r="I43" s="161" t="s">
        <v>92</v>
      </c>
      <c r="J43" s="161" t="s">
        <v>102</v>
      </c>
      <c r="K43" s="161" t="s">
        <v>54</v>
      </c>
      <c r="L43" s="161" t="s">
        <v>54</v>
      </c>
      <c r="M43" s="161" t="s">
        <v>54</v>
      </c>
      <c r="N43" s="161"/>
      <c r="O43" s="162" t="s">
        <v>215</v>
      </c>
    </row>
    <row r="44" spans="1:15" ht="213.75" customHeight="1">
      <c r="A44" s="161">
        <v>24</v>
      </c>
      <c r="B44" s="162" t="s">
        <v>859</v>
      </c>
      <c r="C44" s="162" t="s">
        <v>217</v>
      </c>
      <c r="D44" s="162" t="s">
        <v>860</v>
      </c>
      <c r="E44" s="162" t="s">
        <v>219</v>
      </c>
      <c r="F44" s="162"/>
      <c r="G44" s="162" t="s">
        <v>220</v>
      </c>
      <c r="H44" s="161" t="s">
        <v>44</v>
      </c>
      <c r="I44" s="161" t="s">
        <v>92</v>
      </c>
      <c r="J44" s="161" t="s">
        <v>102</v>
      </c>
      <c r="K44" s="161" t="s">
        <v>54</v>
      </c>
      <c r="L44" s="161" t="s">
        <v>54</v>
      </c>
      <c r="M44" s="161" t="s">
        <v>54</v>
      </c>
      <c r="N44" s="161"/>
      <c r="O44" s="162" t="s">
        <v>215</v>
      </c>
    </row>
  </sheetData>
  <mergeCells count="3">
    <mergeCell ref="A14:O14"/>
    <mergeCell ref="A29:O29"/>
    <mergeCell ref="A42:O42"/>
  </mergeCell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O40"/>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861</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8</v>
      </c>
      <c r="D5" s="124">
        <f>SUM(D6:D10)</f>
        <v>12</v>
      </c>
      <c r="E5" s="124">
        <f>SUM(E6:E10)</f>
        <v>0</v>
      </c>
      <c r="F5" s="124">
        <f t="shared" ref="F5:F11" si="0">SUM(C5:E5)</f>
        <v>20</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8</v>
      </c>
      <c r="D8" s="125">
        <f t="shared" si="1"/>
        <v>12</v>
      </c>
      <c r="E8" s="125">
        <f t="shared" si="1"/>
        <v>0</v>
      </c>
      <c r="F8" s="125">
        <f t="shared" si="0"/>
        <v>20</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8" customHeight="1">
      <c r="A15" s="134" t="s">
        <v>123</v>
      </c>
      <c r="B15" s="135" t="s">
        <v>862</v>
      </c>
      <c r="C15" s="135"/>
      <c r="D15" s="135"/>
      <c r="E15" s="135"/>
      <c r="F15" s="135"/>
      <c r="G15" s="135"/>
      <c r="H15" s="135"/>
      <c r="I15" s="135"/>
      <c r="J15" s="135"/>
      <c r="K15" s="135"/>
      <c r="L15" s="135"/>
      <c r="M15" s="135"/>
      <c r="N15" s="135"/>
      <c r="O15" s="135"/>
    </row>
    <row r="16" spans="1:15" ht="90.75" customHeight="1">
      <c r="A16" s="161">
        <v>1</v>
      </c>
      <c r="B16" s="162" t="s">
        <v>863</v>
      </c>
      <c r="C16" s="162" t="s">
        <v>126</v>
      </c>
      <c r="D16" s="162" t="s">
        <v>864</v>
      </c>
      <c r="E16" s="162" t="s">
        <v>865</v>
      </c>
      <c r="F16" s="162"/>
      <c r="G16" s="162" t="s">
        <v>866</v>
      </c>
      <c r="H16" s="161" t="s">
        <v>44</v>
      </c>
      <c r="I16" s="161" t="s">
        <v>92</v>
      </c>
      <c r="J16" s="161" t="s">
        <v>102</v>
      </c>
      <c r="K16" s="161" t="s">
        <v>54</v>
      </c>
      <c r="L16" s="161" t="s">
        <v>54</v>
      </c>
      <c r="M16" s="161" t="s">
        <v>54</v>
      </c>
      <c r="N16" s="161"/>
      <c r="O16" s="162" t="s">
        <v>774</v>
      </c>
    </row>
    <row r="17" spans="1:15" ht="90.75" customHeight="1">
      <c r="A17" s="161">
        <v>2</v>
      </c>
      <c r="B17" s="162" t="s">
        <v>867</v>
      </c>
      <c r="C17" s="162" t="s">
        <v>132</v>
      </c>
      <c r="D17" s="162" t="s">
        <v>864</v>
      </c>
      <c r="E17" s="162" t="s">
        <v>868</v>
      </c>
      <c r="F17" s="162"/>
      <c r="G17" s="162" t="s">
        <v>134</v>
      </c>
      <c r="H17" s="161" t="s">
        <v>44</v>
      </c>
      <c r="I17" s="161" t="s">
        <v>94</v>
      </c>
      <c r="J17" s="161" t="s">
        <v>102</v>
      </c>
      <c r="K17" s="161" t="s">
        <v>54</v>
      </c>
      <c r="L17" s="161" t="s">
        <v>54</v>
      </c>
      <c r="M17" s="161" t="s">
        <v>54</v>
      </c>
      <c r="N17" s="161"/>
      <c r="O17" s="162"/>
    </row>
    <row r="18" spans="1:15" ht="90.75" customHeight="1">
      <c r="A18" s="161">
        <v>3</v>
      </c>
      <c r="B18" s="162" t="s">
        <v>869</v>
      </c>
      <c r="C18" s="162" t="s">
        <v>136</v>
      </c>
      <c r="D18" s="162" t="s">
        <v>864</v>
      </c>
      <c r="E18" s="162" t="s">
        <v>870</v>
      </c>
      <c r="F18" s="162"/>
      <c r="G18" s="162" t="s">
        <v>138</v>
      </c>
      <c r="H18" s="161" t="s">
        <v>44</v>
      </c>
      <c r="I18" s="161" t="s">
        <v>94</v>
      </c>
      <c r="J18" s="161" t="s">
        <v>102</v>
      </c>
      <c r="K18" s="161" t="s">
        <v>54</v>
      </c>
      <c r="L18" s="161" t="s">
        <v>54</v>
      </c>
      <c r="M18" s="161" t="s">
        <v>54</v>
      </c>
      <c r="N18" s="161"/>
      <c r="O18" s="162"/>
    </row>
    <row r="19" spans="1:15" ht="102" customHeight="1">
      <c r="A19" s="161">
        <v>4</v>
      </c>
      <c r="B19" s="162" t="s">
        <v>871</v>
      </c>
      <c r="C19" s="162" t="s">
        <v>872</v>
      </c>
      <c r="D19" s="162" t="s">
        <v>864</v>
      </c>
      <c r="E19" s="162" t="s">
        <v>873</v>
      </c>
      <c r="F19" s="162"/>
      <c r="G19" s="162" t="s">
        <v>874</v>
      </c>
      <c r="H19" s="161" t="s">
        <v>44</v>
      </c>
      <c r="I19" s="161" t="s">
        <v>94</v>
      </c>
      <c r="J19" s="161" t="s">
        <v>102</v>
      </c>
      <c r="K19" s="161" t="s">
        <v>54</v>
      </c>
      <c r="L19" s="161" t="s">
        <v>54</v>
      </c>
      <c r="M19" s="161" t="s">
        <v>54</v>
      </c>
      <c r="N19" s="161"/>
      <c r="O19" s="162"/>
    </row>
    <row r="20" spans="1:15" ht="102" customHeight="1">
      <c r="A20" s="161">
        <v>5</v>
      </c>
      <c r="B20" s="162" t="s">
        <v>875</v>
      </c>
      <c r="C20" s="162" t="s">
        <v>876</v>
      </c>
      <c r="D20" s="162" t="s">
        <v>864</v>
      </c>
      <c r="E20" s="162" t="s">
        <v>877</v>
      </c>
      <c r="F20" s="162"/>
      <c r="G20" s="162" t="s">
        <v>834</v>
      </c>
      <c r="H20" s="161" t="s">
        <v>44</v>
      </c>
      <c r="I20" s="161" t="s">
        <v>94</v>
      </c>
      <c r="J20" s="161" t="s">
        <v>102</v>
      </c>
      <c r="K20" s="161" t="s">
        <v>54</v>
      </c>
      <c r="L20" s="161" t="s">
        <v>54</v>
      </c>
      <c r="M20" s="161" t="s">
        <v>54</v>
      </c>
      <c r="N20" s="161"/>
      <c r="O20" s="162"/>
    </row>
    <row r="21" spans="1:15" ht="18" customHeight="1">
      <c r="A21" s="134" t="s">
        <v>150</v>
      </c>
      <c r="B21" s="135" t="s">
        <v>878</v>
      </c>
      <c r="C21" s="135"/>
      <c r="D21" s="135"/>
      <c r="E21" s="135"/>
      <c r="F21" s="135"/>
      <c r="G21" s="135"/>
      <c r="H21" s="135"/>
      <c r="I21" s="135"/>
      <c r="J21" s="135"/>
      <c r="K21" s="135"/>
      <c r="L21" s="135"/>
      <c r="M21" s="135"/>
      <c r="N21" s="135"/>
      <c r="O21" s="135"/>
    </row>
    <row r="22" spans="1:15" ht="90.75" customHeight="1">
      <c r="A22" s="161">
        <v>6</v>
      </c>
      <c r="B22" s="162" t="s">
        <v>879</v>
      </c>
      <c r="C22" s="162" t="s">
        <v>126</v>
      </c>
      <c r="D22" s="162" t="s">
        <v>864</v>
      </c>
      <c r="E22" s="162" t="s">
        <v>865</v>
      </c>
      <c r="F22" s="162"/>
      <c r="G22" s="162" t="s">
        <v>866</v>
      </c>
      <c r="H22" s="161" t="s">
        <v>44</v>
      </c>
      <c r="I22" s="161" t="s">
        <v>92</v>
      </c>
      <c r="J22" s="161" t="s">
        <v>102</v>
      </c>
      <c r="K22" s="161" t="s">
        <v>54</v>
      </c>
      <c r="L22" s="161" t="s">
        <v>54</v>
      </c>
      <c r="M22" s="161" t="s">
        <v>54</v>
      </c>
      <c r="N22" s="161"/>
      <c r="O22" s="162"/>
    </row>
    <row r="23" spans="1:15" ht="90.75" customHeight="1">
      <c r="A23" s="161">
        <v>7</v>
      </c>
      <c r="B23" s="162" t="s">
        <v>880</v>
      </c>
      <c r="C23" s="162" t="s">
        <v>132</v>
      </c>
      <c r="D23" s="162" t="s">
        <v>864</v>
      </c>
      <c r="E23" s="162" t="s">
        <v>868</v>
      </c>
      <c r="F23" s="162"/>
      <c r="G23" s="162" t="s">
        <v>134</v>
      </c>
      <c r="H23" s="161" t="s">
        <v>44</v>
      </c>
      <c r="I23" s="161" t="s">
        <v>94</v>
      </c>
      <c r="J23" s="161" t="s">
        <v>102</v>
      </c>
      <c r="K23" s="161" t="s">
        <v>54</v>
      </c>
      <c r="L23" s="161" t="s">
        <v>54</v>
      </c>
      <c r="M23" s="161" t="s">
        <v>54</v>
      </c>
      <c r="N23" s="161"/>
      <c r="O23" s="162"/>
    </row>
    <row r="24" spans="1:15" ht="90.75" customHeight="1">
      <c r="A24" s="161">
        <v>8</v>
      </c>
      <c r="B24" s="162" t="s">
        <v>881</v>
      </c>
      <c r="C24" s="162" t="s">
        <v>136</v>
      </c>
      <c r="D24" s="162" t="s">
        <v>864</v>
      </c>
      <c r="E24" s="162" t="s">
        <v>870</v>
      </c>
      <c r="F24" s="162"/>
      <c r="G24" s="162" t="s">
        <v>138</v>
      </c>
      <c r="H24" s="161" t="s">
        <v>44</v>
      </c>
      <c r="I24" s="161" t="s">
        <v>94</v>
      </c>
      <c r="J24" s="161" t="s">
        <v>102</v>
      </c>
      <c r="K24" s="161" t="s">
        <v>54</v>
      </c>
      <c r="L24" s="161" t="s">
        <v>54</v>
      </c>
      <c r="M24" s="161" t="s">
        <v>54</v>
      </c>
      <c r="N24" s="161"/>
      <c r="O24" s="162"/>
    </row>
    <row r="25" spans="1:15" ht="102" customHeight="1">
      <c r="A25" s="161">
        <v>9</v>
      </c>
      <c r="B25" s="162" t="s">
        <v>882</v>
      </c>
      <c r="C25" s="162" t="s">
        <v>872</v>
      </c>
      <c r="D25" s="162" t="s">
        <v>864</v>
      </c>
      <c r="E25" s="162" t="s">
        <v>873</v>
      </c>
      <c r="F25" s="162"/>
      <c r="G25" s="162" t="s">
        <v>883</v>
      </c>
      <c r="H25" s="161" t="s">
        <v>44</v>
      </c>
      <c r="I25" s="161" t="s">
        <v>94</v>
      </c>
      <c r="J25" s="161" t="s">
        <v>102</v>
      </c>
      <c r="K25" s="161" t="s">
        <v>54</v>
      </c>
      <c r="L25" s="161" t="s">
        <v>54</v>
      </c>
      <c r="M25" s="161" t="s">
        <v>54</v>
      </c>
      <c r="N25" s="161"/>
      <c r="O25" s="162"/>
    </row>
    <row r="26" spans="1:15" ht="102" customHeight="1">
      <c r="A26" s="161">
        <v>10</v>
      </c>
      <c r="B26" s="162" t="s">
        <v>884</v>
      </c>
      <c r="C26" s="162" t="s">
        <v>876</v>
      </c>
      <c r="D26" s="162" t="s">
        <v>864</v>
      </c>
      <c r="E26" s="162" t="s">
        <v>877</v>
      </c>
      <c r="F26" s="162"/>
      <c r="G26" s="162" t="s">
        <v>834</v>
      </c>
      <c r="H26" s="161" t="s">
        <v>44</v>
      </c>
      <c r="I26" s="161" t="s">
        <v>94</v>
      </c>
      <c r="J26" s="161" t="s">
        <v>102</v>
      </c>
      <c r="K26" s="161" t="s">
        <v>54</v>
      </c>
      <c r="L26" s="161" t="s">
        <v>54</v>
      </c>
      <c r="M26" s="161" t="s">
        <v>54</v>
      </c>
      <c r="N26" s="161"/>
      <c r="O26" s="162"/>
    </row>
    <row r="27" spans="1:15" ht="18" customHeight="1">
      <c r="A27" s="159" t="s">
        <v>180</v>
      </c>
      <c r="B27" s="159"/>
      <c r="C27" s="159"/>
      <c r="D27" s="159"/>
      <c r="E27" s="159"/>
      <c r="F27" s="159"/>
      <c r="G27" s="159"/>
      <c r="H27" s="159"/>
      <c r="I27" s="159"/>
      <c r="J27" s="159"/>
      <c r="K27" s="159"/>
      <c r="L27" s="159"/>
      <c r="M27" s="159"/>
      <c r="N27" s="159"/>
      <c r="O27" s="159"/>
    </row>
    <row r="28" spans="1:15" ht="18" customHeight="1">
      <c r="A28" s="134" t="s">
        <v>123</v>
      </c>
      <c r="B28" s="135" t="s">
        <v>862</v>
      </c>
      <c r="C28" s="135"/>
      <c r="D28" s="135"/>
      <c r="E28" s="135"/>
      <c r="F28" s="135"/>
      <c r="G28" s="135"/>
      <c r="H28" s="135"/>
      <c r="I28" s="135"/>
      <c r="J28" s="135"/>
      <c r="K28" s="135"/>
      <c r="L28" s="135"/>
      <c r="M28" s="135"/>
      <c r="N28" s="135"/>
      <c r="O28" s="135"/>
    </row>
    <row r="29" spans="1:15" ht="124.5" customHeight="1">
      <c r="A29" s="161">
        <v>11</v>
      </c>
      <c r="B29" s="162" t="s">
        <v>885</v>
      </c>
      <c r="C29" s="162" t="s">
        <v>182</v>
      </c>
      <c r="D29" s="162" t="s">
        <v>886</v>
      </c>
      <c r="E29" s="162" t="s">
        <v>184</v>
      </c>
      <c r="F29" s="162"/>
      <c r="G29" s="162" t="s">
        <v>185</v>
      </c>
      <c r="H29" s="161" t="s">
        <v>44</v>
      </c>
      <c r="I29" s="161" t="s">
        <v>92</v>
      </c>
      <c r="J29" s="161" t="s">
        <v>102</v>
      </c>
      <c r="K29" s="161" t="s">
        <v>54</v>
      </c>
      <c r="L29" s="161" t="s">
        <v>54</v>
      </c>
      <c r="M29" s="161" t="s">
        <v>54</v>
      </c>
      <c r="N29" s="161"/>
      <c r="O29" s="162"/>
    </row>
    <row r="30" spans="1:15" ht="124.5" customHeight="1">
      <c r="A30" s="161">
        <v>12</v>
      </c>
      <c r="B30" s="162" t="s">
        <v>887</v>
      </c>
      <c r="C30" s="162" t="s">
        <v>187</v>
      </c>
      <c r="D30" s="162" t="s">
        <v>886</v>
      </c>
      <c r="E30" s="162" t="s">
        <v>184</v>
      </c>
      <c r="F30" s="162"/>
      <c r="G30" s="162" t="s">
        <v>185</v>
      </c>
      <c r="H30" s="161" t="s">
        <v>44</v>
      </c>
      <c r="I30" s="161" t="s">
        <v>92</v>
      </c>
      <c r="J30" s="161" t="s">
        <v>102</v>
      </c>
      <c r="K30" s="161" t="s">
        <v>54</v>
      </c>
      <c r="L30" s="161" t="s">
        <v>54</v>
      </c>
      <c r="M30" s="161" t="s">
        <v>54</v>
      </c>
      <c r="N30" s="161"/>
      <c r="O30" s="162"/>
    </row>
    <row r="31" spans="1:15" ht="124.5" customHeight="1">
      <c r="A31" s="161">
        <v>13</v>
      </c>
      <c r="B31" s="162" t="s">
        <v>888</v>
      </c>
      <c r="C31" s="162" t="s">
        <v>889</v>
      </c>
      <c r="D31" s="162" t="s">
        <v>886</v>
      </c>
      <c r="E31" s="162" t="s">
        <v>184</v>
      </c>
      <c r="F31" s="162"/>
      <c r="G31" s="162" t="s">
        <v>190</v>
      </c>
      <c r="H31" s="161" t="s">
        <v>44</v>
      </c>
      <c r="I31" s="161" t="s">
        <v>94</v>
      </c>
      <c r="J31" s="161" t="s">
        <v>102</v>
      </c>
      <c r="K31" s="161" t="s">
        <v>54</v>
      </c>
      <c r="L31" s="161" t="s">
        <v>54</v>
      </c>
      <c r="M31" s="161" t="s">
        <v>54</v>
      </c>
      <c r="N31" s="161"/>
      <c r="O31" s="162"/>
    </row>
    <row r="32" spans="1:15" ht="124.5" customHeight="1">
      <c r="A32" s="161">
        <v>14</v>
      </c>
      <c r="B32" s="162" t="s">
        <v>890</v>
      </c>
      <c r="C32" s="162" t="s">
        <v>891</v>
      </c>
      <c r="D32" s="162" t="s">
        <v>886</v>
      </c>
      <c r="E32" s="162" t="s">
        <v>184</v>
      </c>
      <c r="F32" s="162"/>
      <c r="G32" s="162" t="s">
        <v>190</v>
      </c>
      <c r="H32" s="161" t="s">
        <v>44</v>
      </c>
      <c r="I32" s="161" t="s">
        <v>94</v>
      </c>
      <c r="J32" s="161" t="s">
        <v>102</v>
      </c>
      <c r="K32" s="161" t="s">
        <v>54</v>
      </c>
      <c r="L32" s="161" t="s">
        <v>54</v>
      </c>
      <c r="M32" s="161" t="s">
        <v>54</v>
      </c>
      <c r="N32" s="161"/>
      <c r="O32" s="162"/>
    </row>
    <row r="33" spans="1:15" ht="18" customHeight="1">
      <c r="A33" s="134" t="s">
        <v>150</v>
      </c>
      <c r="B33" s="135" t="s">
        <v>878</v>
      </c>
      <c r="C33" s="135"/>
      <c r="D33" s="135"/>
      <c r="E33" s="135"/>
      <c r="F33" s="135"/>
      <c r="G33" s="135"/>
      <c r="H33" s="135"/>
      <c r="I33" s="135"/>
      <c r="J33" s="135"/>
      <c r="K33" s="135"/>
      <c r="L33" s="135"/>
      <c r="M33" s="135"/>
      <c r="N33" s="135"/>
      <c r="O33" s="135"/>
    </row>
    <row r="34" spans="1:15" ht="124.5" customHeight="1">
      <c r="A34" s="161">
        <v>15</v>
      </c>
      <c r="B34" s="162" t="s">
        <v>892</v>
      </c>
      <c r="C34" s="162" t="s">
        <v>182</v>
      </c>
      <c r="D34" s="162" t="s">
        <v>893</v>
      </c>
      <c r="E34" s="162" t="s">
        <v>184</v>
      </c>
      <c r="F34" s="162"/>
      <c r="G34" s="162" t="s">
        <v>185</v>
      </c>
      <c r="H34" s="161" t="s">
        <v>44</v>
      </c>
      <c r="I34" s="161" t="s">
        <v>92</v>
      </c>
      <c r="J34" s="161" t="s">
        <v>102</v>
      </c>
      <c r="K34" s="161" t="s">
        <v>54</v>
      </c>
      <c r="L34" s="161" t="s">
        <v>54</v>
      </c>
      <c r="M34" s="161" t="s">
        <v>54</v>
      </c>
      <c r="N34" s="161"/>
      <c r="O34" s="162"/>
    </row>
    <row r="35" spans="1:15" ht="124.5" customHeight="1">
      <c r="A35" s="161">
        <v>16</v>
      </c>
      <c r="B35" s="162" t="s">
        <v>894</v>
      </c>
      <c r="C35" s="162" t="s">
        <v>187</v>
      </c>
      <c r="D35" s="162" t="s">
        <v>893</v>
      </c>
      <c r="E35" s="162" t="s">
        <v>184</v>
      </c>
      <c r="F35" s="162"/>
      <c r="G35" s="162" t="s">
        <v>185</v>
      </c>
      <c r="H35" s="161" t="s">
        <v>44</v>
      </c>
      <c r="I35" s="161" t="s">
        <v>92</v>
      </c>
      <c r="J35" s="161" t="s">
        <v>102</v>
      </c>
      <c r="K35" s="161" t="s">
        <v>54</v>
      </c>
      <c r="L35" s="161" t="s">
        <v>54</v>
      </c>
      <c r="M35" s="161" t="s">
        <v>54</v>
      </c>
      <c r="N35" s="161"/>
      <c r="O35" s="162"/>
    </row>
    <row r="36" spans="1:15" ht="124.5" customHeight="1">
      <c r="A36" s="161">
        <v>17</v>
      </c>
      <c r="B36" s="162" t="s">
        <v>895</v>
      </c>
      <c r="C36" s="162" t="s">
        <v>889</v>
      </c>
      <c r="D36" s="162" t="s">
        <v>893</v>
      </c>
      <c r="E36" s="162" t="s">
        <v>184</v>
      </c>
      <c r="F36" s="162"/>
      <c r="G36" s="162" t="s">
        <v>190</v>
      </c>
      <c r="H36" s="161" t="s">
        <v>44</v>
      </c>
      <c r="I36" s="161" t="s">
        <v>94</v>
      </c>
      <c r="J36" s="161" t="s">
        <v>102</v>
      </c>
      <c r="K36" s="161" t="s">
        <v>54</v>
      </c>
      <c r="L36" s="161" t="s">
        <v>54</v>
      </c>
      <c r="M36" s="161" t="s">
        <v>54</v>
      </c>
      <c r="N36" s="161"/>
      <c r="O36" s="162"/>
    </row>
    <row r="37" spans="1:15" ht="124.5" customHeight="1">
      <c r="A37" s="161">
        <v>18</v>
      </c>
      <c r="B37" s="162" t="s">
        <v>896</v>
      </c>
      <c r="C37" s="162" t="s">
        <v>891</v>
      </c>
      <c r="D37" s="162" t="s">
        <v>893</v>
      </c>
      <c r="E37" s="162" t="s">
        <v>184</v>
      </c>
      <c r="F37" s="162"/>
      <c r="G37" s="162" t="s">
        <v>190</v>
      </c>
      <c r="H37" s="161" t="s">
        <v>44</v>
      </c>
      <c r="I37" s="161" t="s">
        <v>94</v>
      </c>
      <c r="J37" s="161" t="s">
        <v>102</v>
      </c>
      <c r="K37" s="161" t="s">
        <v>54</v>
      </c>
      <c r="L37" s="161" t="s">
        <v>54</v>
      </c>
      <c r="M37" s="161" t="s">
        <v>54</v>
      </c>
      <c r="N37" s="161"/>
      <c r="O37" s="162"/>
    </row>
    <row r="38" spans="1:15" ht="18" customHeight="1">
      <c r="A38" s="159" t="s">
        <v>209</v>
      </c>
      <c r="B38" s="159"/>
      <c r="C38" s="159"/>
      <c r="D38" s="159"/>
      <c r="E38" s="159"/>
      <c r="F38" s="159"/>
      <c r="G38" s="159"/>
      <c r="H38" s="159"/>
      <c r="I38" s="159"/>
      <c r="J38" s="159"/>
      <c r="K38" s="159"/>
      <c r="L38" s="159"/>
      <c r="M38" s="159"/>
      <c r="N38" s="159"/>
      <c r="O38" s="159"/>
    </row>
    <row r="39" spans="1:15" ht="191.25" customHeight="1">
      <c r="A39" s="161">
        <v>19</v>
      </c>
      <c r="B39" s="162" t="s">
        <v>897</v>
      </c>
      <c r="C39" s="162" t="s">
        <v>211</v>
      </c>
      <c r="D39" s="162" t="s">
        <v>898</v>
      </c>
      <c r="E39" s="162" t="s">
        <v>213</v>
      </c>
      <c r="F39" s="162"/>
      <c r="G39" s="162" t="s">
        <v>214</v>
      </c>
      <c r="H39" s="161" t="s">
        <v>44</v>
      </c>
      <c r="I39" s="161" t="s">
        <v>92</v>
      </c>
      <c r="J39" s="161" t="s">
        <v>102</v>
      </c>
      <c r="K39" s="161" t="s">
        <v>54</v>
      </c>
      <c r="L39" s="161" t="s">
        <v>54</v>
      </c>
      <c r="M39" s="161" t="s">
        <v>54</v>
      </c>
      <c r="N39" s="161"/>
      <c r="O39" s="162" t="s">
        <v>215</v>
      </c>
    </row>
    <row r="40" spans="1:15" ht="213.75" customHeight="1">
      <c r="A40" s="161">
        <v>20</v>
      </c>
      <c r="B40" s="162" t="s">
        <v>899</v>
      </c>
      <c r="C40" s="162" t="s">
        <v>217</v>
      </c>
      <c r="D40" s="162" t="s">
        <v>900</v>
      </c>
      <c r="E40" s="162" t="s">
        <v>219</v>
      </c>
      <c r="F40" s="162"/>
      <c r="G40" s="162" t="s">
        <v>220</v>
      </c>
      <c r="H40" s="161" t="s">
        <v>44</v>
      </c>
      <c r="I40" s="161" t="s">
        <v>92</v>
      </c>
      <c r="J40" s="161" t="s">
        <v>102</v>
      </c>
      <c r="K40" s="161" t="s">
        <v>54</v>
      </c>
      <c r="L40" s="161" t="s">
        <v>54</v>
      </c>
      <c r="M40" s="161" t="s">
        <v>54</v>
      </c>
      <c r="N40" s="161"/>
      <c r="O40" s="162" t="s">
        <v>215</v>
      </c>
    </row>
  </sheetData>
  <mergeCells count="3">
    <mergeCell ref="A14:O14"/>
    <mergeCell ref="A27:O27"/>
    <mergeCell ref="A38:O38"/>
  </mergeCell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30A0"/>
  </sheetPr>
  <dimension ref="A1:O29"/>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901</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3</v>
      </c>
      <c r="D5" s="124">
        <f>SUM(D6:D10)</f>
        <v>8</v>
      </c>
      <c r="E5" s="124">
        <f>SUM(E6:E10)</f>
        <v>0</v>
      </c>
      <c r="F5" s="124">
        <f t="shared" ref="F5:F11" si="0">SUM(C5:E5)</f>
        <v>11</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3</v>
      </c>
      <c r="D8" s="125">
        <f t="shared" si="1"/>
        <v>8</v>
      </c>
      <c r="E8" s="125">
        <f t="shared" si="1"/>
        <v>0</v>
      </c>
      <c r="F8" s="125">
        <f t="shared" si="0"/>
        <v>11</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122</v>
      </c>
      <c r="B14" s="159"/>
      <c r="C14" s="159"/>
      <c r="D14" s="159"/>
      <c r="E14" s="159"/>
      <c r="F14" s="159"/>
      <c r="G14" s="159"/>
      <c r="H14" s="159"/>
      <c r="I14" s="159"/>
      <c r="J14" s="159"/>
      <c r="K14" s="159"/>
      <c r="L14" s="159"/>
      <c r="M14" s="159"/>
      <c r="N14" s="159"/>
      <c r="O14" s="159"/>
    </row>
    <row r="15" spans="1:15" ht="102" customHeight="1">
      <c r="A15" s="161">
        <v>1</v>
      </c>
      <c r="B15" s="162" t="s">
        <v>902</v>
      </c>
      <c r="C15" s="162" t="s">
        <v>126</v>
      </c>
      <c r="D15" s="162" t="s">
        <v>903</v>
      </c>
      <c r="E15" s="162" t="s">
        <v>904</v>
      </c>
      <c r="F15" s="162"/>
      <c r="G15" s="162" t="s">
        <v>905</v>
      </c>
      <c r="H15" s="161" t="s">
        <v>44</v>
      </c>
      <c r="I15" s="161" t="s">
        <v>92</v>
      </c>
      <c r="J15" s="161" t="s">
        <v>102</v>
      </c>
      <c r="K15" s="161" t="s">
        <v>54</v>
      </c>
      <c r="L15" s="161" t="s">
        <v>54</v>
      </c>
      <c r="M15" s="161" t="s">
        <v>54</v>
      </c>
      <c r="N15" s="161"/>
      <c r="O15" s="162" t="s">
        <v>774</v>
      </c>
    </row>
    <row r="16" spans="1:15" ht="90.75" customHeight="1">
      <c r="A16" s="161">
        <v>2</v>
      </c>
      <c r="B16" s="162" t="s">
        <v>906</v>
      </c>
      <c r="C16" s="162" t="s">
        <v>132</v>
      </c>
      <c r="D16" s="162" t="s">
        <v>903</v>
      </c>
      <c r="E16" s="162" t="s">
        <v>907</v>
      </c>
      <c r="F16" s="162"/>
      <c r="G16" s="162" t="s">
        <v>546</v>
      </c>
      <c r="H16" s="161" t="s">
        <v>44</v>
      </c>
      <c r="I16" s="161" t="s">
        <v>94</v>
      </c>
      <c r="J16" s="161" t="s">
        <v>102</v>
      </c>
      <c r="K16" s="161" t="s">
        <v>54</v>
      </c>
      <c r="L16" s="161" t="s">
        <v>54</v>
      </c>
      <c r="M16" s="161" t="s">
        <v>54</v>
      </c>
      <c r="N16" s="161"/>
      <c r="O16" s="162"/>
    </row>
    <row r="17" spans="1:15" ht="90.75" customHeight="1">
      <c r="A17" s="161">
        <v>3</v>
      </c>
      <c r="B17" s="162" t="s">
        <v>908</v>
      </c>
      <c r="C17" s="162" t="s">
        <v>136</v>
      </c>
      <c r="D17" s="162" t="s">
        <v>903</v>
      </c>
      <c r="E17" s="162" t="s">
        <v>909</v>
      </c>
      <c r="F17" s="162"/>
      <c r="G17" s="162" t="s">
        <v>546</v>
      </c>
      <c r="H17" s="161" t="s">
        <v>44</v>
      </c>
      <c r="I17" s="161" t="s">
        <v>94</v>
      </c>
      <c r="J17" s="161" t="s">
        <v>102</v>
      </c>
      <c r="K17" s="161" t="s">
        <v>54</v>
      </c>
      <c r="L17" s="161" t="s">
        <v>54</v>
      </c>
      <c r="M17" s="161" t="s">
        <v>54</v>
      </c>
      <c r="N17" s="161"/>
      <c r="O17" s="162"/>
    </row>
    <row r="18" spans="1:15" ht="102" customHeight="1">
      <c r="A18" s="161">
        <v>4</v>
      </c>
      <c r="B18" s="162" t="s">
        <v>910</v>
      </c>
      <c r="C18" s="162" t="s">
        <v>911</v>
      </c>
      <c r="D18" s="162" t="s">
        <v>903</v>
      </c>
      <c r="E18" s="162" t="s">
        <v>912</v>
      </c>
      <c r="F18" s="162"/>
      <c r="G18" s="162" t="s">
        <v>913</v>
      </c>
      <c r="H18" s="161" t="s">
        <v>44</v>
      </c>
      <c r="I18" s="161" t="s">
        <v>94</v>
      </c>
      <c r="J18" s="161" t="s">
        <v>102</v>
      </c>
      <c r="K18" s="161" t="s">
        <v>54</v>
      </c>
      <c r="L18" s="161" t="s">
        <v>54</v>
      </c>
      <c r="M18" s="161" t="s">
        <v>54</v>
      </c>
      <c r="N18" s="161"/>
      <c r="O18" s="162"/>
    </row>
    <row r="19" spans="1:15" ht="102" customHeight="1">
      <c r="A19" s="161">
        <v>5</v>
      </c>
      <c r="B19" s="162" t="s">
        <v>914</v>
      </c>
      <c r="C19" s="162" t="s">
        <v>915</v>
      </c>
      <c r="D19" s="162" t="s">
        <v>903</v>
      </c>
      <c r="E19" s="162" t="s">
        <v>916</v>
      </c>
      <c r="F19" s="162"/>
      <c r="G19" s="162" t="s">
        <v>917</v>
      </c>
      <c r="H19" s="161" t="s">
        <v>44</v>
      </c>
      <c r="I19" s="161" t="s">
        <v>94</v>
      </c>
      <c r="J19" s="161" t="s">
        <v>102</v>
      </c>
      <c r="K19" s="161" t="s">
        <v>54</v>
      </c>
      <c r="L19" s="161" t="s">
        <v>54</v>
      </c>
      <c r="M19" s="161" t="s">
        <v>54</v>
      </c>
      <c r="N19" s="161"/>
      <c r="O19" s="162"/>
    </row>
    <row r="20" spans="1:15" ht="102" customHeight="1">
      <c r="A20" s="161">
        <v>6</v>
      </c>
      <c r="B20" s="162" t="s">
        <v>918</v>
      </c>
      <c r="C20" s="162" t="s">
        <v>919</v>
      </c>
      <c r="D20" s="162" t="s">
        <v>903</v>
      </c>
      <c r="E20" s="162" t="s">
        <v>920</v>
      </c>
      <c r="F20" s="162"/>
      <c r="G20" s="162" t="s">
        <v>834</v>
      </c>
      <c r="H20" s="161" t="s">
        <v>44</v>
      </c>
      <c r="I20" s="161" t="s">
        <v>94</v>
      </c>
      <c r="J20" s="161" t="s">
        <v>102</v>
      </c>
      <c r="K20" s="161" t="s">
        <v>54</v>
      </c>
      <c r="L20" s="161" t="s">
        <v>54</v>
      </c>
      <c r="M20" s="161" t="s">
        <v>54</v>
      </c>
      <c r="N20" s="161"/>
      <c r="O20" s="162"/>
    </row>
    <row r="21" spans="1:15" ht="18" customHeight="1">
      <c r="A21" s="159" t="s">
        <v>180</v>
      </c>
      <c r="B21" s="159"/>
      <c r="C21" s="159"/>
      <c r="D21" s="159"/>
      <c r="E21" s="159"/>
      <c r="F21" s="159"/>
      <c r="G21" s="159"/>
      <c r="H21" s="159"/>
      <c r="I21" s="159"/>
      <c r="J21" s="159"/>
      <c r="K21" s="159"/>
      <c r="L21" s="159"/>
      <c r="M21" s="159"/>
      <c r="N21" s="159"/>
      <c r="O21" s="159"/>
    </row>
    <row r="22" spans="1:15" ht="124.5" customHeight="1">
      <c r="A22" s="161">
        <v>7</v>
      </c>
      <c r="B22" s="162" t="s">
        <v>921</v>
      </c>
      <c r="C22" s="162" t="s">
        <v>182</v>
      </c>
      <c r="D22" s="162" t="s">
        <v>922</v>
      </c>
      <c r="E22" s="162" t="s">
        <v>184</v>
      </c>
      <c r="F22" s="162"/>
      <c r="G22" s="162" t="s">
        <v>185</v>
      </c>
      <c r="H22" s="161" t="s">
        <v>44</v>
      </c>
      <c r="I22" s="161" t="s">
        <v>92</v>
      </c>
      <c r="J22" s="161" t="s">
        <v>102</v>
      </c>
      <c r="K22" s="161" t="s">
        <v>54</v>
      </c>
      <c r="L22" s="161" t="s">
        <v>54</v>
      </c>
      <c r="M22" s="161" t="s">
        <v>54</v>
      </c>
      <c r="N22" s="161"/>
      <c r="O22" s="162"/>
    </row>
    <row r="23" spans="1:15" ht="124.5" customHeight="1">
      <c r="A23" s="161">
        <v>8</v>
      </c>
      <c r="B23" s="162" t="s">
        <v>923</v>
      </c>
      <c r="C23" s="162" t="s">
        <v>187</v>
      </c>
      <c r="D23" s="162" t="s">
        <v>922</v>
      </c>
      <c r="E23" s="162" t="s">
        <v>184</v>
      </c>
      <c r="F23" s="162"/>
      <c r="G23" s="162" t="s">
        <v>185</v>
      </c>
      <c r="H23" s="161" t="s">
        <v>44</v>
      </c>
      <c r="I23" s="161" t="s">
        <v>92</v>
      </c>
      <c r="J23" s="161" t="s">
        <v>102</v>
      </c>
      <c r="K23" s="161" t="s">
        <v>54</v>
      </c>
      <c r="L23" s="161" t="s">
        <v>54</v>
      </c>
      <c r="M23" s="161" t="s">
        <v>54</v>
      </c>
      <c r="N23" s="161"/>
      <c r="O23" s="162"/>
    </row>
    <row r="24" spans="1:15" ht="124.5" customHeight="1">
      <c r="A24" s="161">
        <v>9</v>
      </c>
      <c r="B24" s="162" t="s">
        <v>924</v>
      </c>
      <c r="C24" s="162" t="s">
        <v>925</v>
      </c>
      <c r="D24" s="162" t="s">
        <v>922</v>
      </c>
      <c r="E24" s="162" t="s">
        <v>184</v>
      </c>
      <c r="F24" s="162"/>
      <c r="G24" s="162" t="s">
        <v>190</v>
      </c>
      <c r="H24" s="161" t="s">
        <v>44</v>
      </c>
      <c r="I24" s="161" t="s">
        <v>94</v>
      </c>
      <c r="J24" s="161" t="s">
        <v>102</v>
      </c>
      <c r="K24" s="161" t="s">
        <v>54</v>
      </c>
      <c r="L24" s="161" t="s">
        <v>54</v>
      </c>
      <c r="M24" s="161" t="s">
        <v>54</v>
      </c>
      <c r="N24" s="161"/>
      <c r="O24" s="162"/>
    </row>
    <row r="25" spans="1:15" ht="124.5" customHeight="1">
      <c r="A25" s="161">
        <v>10</v>
      </c>
      <c r="B25" s="162" t="s">
        <v>926</v>
      </c>
      <c r="C25" s="162" t="s">
        <v>927</v>
      </c>
      <c r="D25" s="162" t="s">
        <v>922</v>
      </c>
      <c r="E25" s="162" t="s">
        <v>184</v>
      </c>
      <c r="F25" s="162"/>
      <c r="G25" s="162" t="s">
        <v>190</v>
      </c>
      <c r="H25" s="161" t="s">
        <v>44</v>
      </c>
      <c r="I25" s="161" t="s">
        <v>94</v>
      </c>
      <c r="J25" s="161" t="s">
        <v>102</v>
      </c>
      <c r="K25" s="161" t="s">
        <v>54</v>
      </c>
      <c r="L25" s="161" t="s">
        <v>54</v>
      </c>
      <c r="M25" s="161" t="s">
        <v>54</v>
      </c>
      <c r="N25" s="161"/>
      <c r="O25" s="162"/>
    </row>
    <row r="26" spans="1:15" ht="124.5" customHeight="1">
      <c r="A26" s="161">
        <v>11</v>
      </c>
      <c r="B26" s="162" t="s">
        <v>928</v>
      </c>
      <c r="C26" s="162" t="s">
        <v>929</v>
      </c>
      <c r="D26" s="162" t="s">
        <v>922</v>
      </c>
      <c r="E26" s="162" t="s">
        <v>184</v>
      </c>
      <c r="F26" s="162"/>
      <c r="G26" s="162" t="s">
        <v>190</v>
      </c>
      <c r="H26" s="161" t="s">
        <v>44</v>
      </c>
      <c r="I26" s="161" t="s">
        <v>94</v>
      </c>
      <c r="J26" s="161" t="s">
        <v>102</v>
      </c>
      <c r="K26" s="161" t="s">
        <v>54</v>
      </c>
      <c r="L26" s="161" t="s">
        <v>54</v>
      </c>
      <c r="M26" s="161" t="s">
        <v>54</v>
      </c>
      <c r="N26" s="161"/>
      <c r="O26" s="162"/>
    </row>
    <row r="27" spans="1:15" ht="18" customHeight="1">
      <c r="A27" s="160"/>
      <c r="B27" s="160"/>
      <c r="C27" s="160"/>
      <c r="D27" s="160"/>
      <c r="E27" s="160"/>
      <c r="F27" s="160"/>
      <c r="G27" s="160"/>
      <c r="H27" s="160"/>
      <c r="I27" s="160"/>
      <c r="J27" s="160"/>
      <c r="K27" s="160"/>
      <c r="L27" s="160"/>
      <c r="M27" s="160"/>
      <c r="N27" s="160"/>
      <c r="O27" s="160"/>
    </row>
    <row r="28" spans="1:15" ht="180" customHeight="1"/>
    <row r="29" spans="1:15" ht="202.5" customHeight="1"/>
  </sheetData>
  <mergeCells count="3">
    <mergeCell ref="A14:O14"/>
    <mergeCell ref="A21:O21"/>
    <mergeCell ref="A27:O27"/>
  </mergeCells>
  <pageMargins left="0.75" right="0.75" top="1" bottom="1"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30A0"/>
  </sheetPr>
  <dimension ref="A1:O48"/>
  <sheetViews>
    <sheetView zoomScaleNormal="100" workbookViewId="0">
      <pane ySplit="13" topLeftCell="A14" activePane="bottomLeft" state="frozen"/>
      <selection pane="bottomLeft"/>
    </sheetView>
  </sheetViews>
  <sheetFormatPr defaultColWidth="9" defaultRowHeight="14.25"/>
  <cols>
    <col min="1" max="1" width="7.28515625" style="113"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4" customWidth="1"/>
  </cols>
  <sheetData>
    <row r="1" spans="1:15" ht="30" customHeight="1">
      <c r="B1" s="115" t="s">
        <v>117</v>
      </c>
      <c r="C1" s="115" t="s">
        <v>930</v>
      </c>
      <c r="D1" s="116"/>
      <c r="E1" s="116"/>
      <c r="F1" s="117"/>
    </row>
    <row r="2" spans="1:15" ht="15" customHeight="1">
      <c r="B2" s="115" t="s">
        <v>119</v>
      </c>
      <c r="C2" s="115" t="s">
        <v>120</v>
      </c>
      <c r="D2" s="116"/>
      <c r="E2" s="116"/>
      <c r="F2" s="117"/>
    </row>
    <row r="3" spans="1:15" ht="15" customHeight="1">
      <c r="B3" s="118"/>
      <c r="C3" s="119"/>
      <c r="D3" s="119"/>
      <c r="E3" s="119"/>
      <c r="F3" s="117"/>
    </row>
    <row r="4" spans="1:15" ht="15" customHeight="1">
      <c r="B4" s="120"/>
      <c r="C4" s="121" t="s">
        <v>92</v>
      </c>
      <c r="D4" s="121" t="s">
        <v>94</v>
      </c>
      <c r="E4" s="121" t="s">
        <v>96</v>
      </c>
      <c r="F4" s="122" t="s">
        <v>55</v>
      </c>
      <c r="G4" s="117"/>
    </row>
    <row r="5" spans="1:15" ht="15" customHeight="1">
      <c r="B5" s="123"/>
      <c r="C5" s="124">
        <f>SUM(C6:C10)</f>
        <v>14</v>
      </c>
      <c r="D5" s="124">
        <f>SUM(D6:D10)</f>
        <v>13</v>
      </c>
      <c r="E5" s="124">
        <f>SUM(E6:E10)</f>
        <v>1</v>
      </c>
      <c r="F5" s="124">
        <f t="shared" ref="F5:F11" si="0">SUM(C5:E5)</f>
        <v>28</v>
      </c>
    </row>
    <row r="6" spans="1:15" ht="14.25" customHeight="1">
      <c r="B6" s="106" t="s">
        <v>50</v>
      </c>
      <c r="C6" s="125">
        <f t="shared" ref="C6:E11" si="1">COUNTIFS($K:$K, $B6,$I:$I,C$4)</f>
        <v>0</v>
      </c>
      <c r="D6" s="125">
        <f t="shared" si="1"/>
        <v>0</v>
      </c>
      <c r="E6" s="125">
        <f t="shared" si="1"/>
        <v>0</v>
      </c>
      <c r="F6" s="125">
        <f t="shared" si="0"/>
        <v>0</v>
      </c>
    </row>
    <row r="7" spans="1:15" ht="14.25" customHeight="1">
      <c r="B7" s="106" t="s">
        <v>51</v>
      </c>
      <c r="C7" s="125">
        <f t="shared" si="1"/>
        <v>0</v>
      </c>
      <c r="D7" s="125">
        <f t="shared" si="1"/>
        <v>0</v>
      </c>
      <c r="E7" s="125">
        <f t="shared" si="1"/>
        <v>0</v>
      </c>
      <c r="F7" s="125">
        <f t="shared" si="0"/>
        <v>0</v>
      </c>
    </row>
    <row r="8" spans="1:15" ht="14.25" customHeight="1">
      <c r="B8" s="106" t="s">
        <v>54</v>
      </c>
      <c r="C8" s="125">
        <f t="shared" si="1"/>
        <v>14</v>
      </c>
      <c r="D8" s="125">
        <f t="shared" si="1"/>
        <v>13</v>
      </c>
      <c r="E8" s="125">
        <f t="shared" si="1"/>
        <v>1</v>
      </c>
      <c r="F8" s="125">
        <f t="shared" si="0"/>
        <v>28</v>
      </c>
    </row>
    <row r="9" spans="1:15" ht="14.25" customHeight="1">
      <c r="B9" s="106" t="s">
        <v>52</v>
      </c>
      <c r="C9" s="125">
        <f t="shared" si="1"/>
        <v>0</v>
      </c>
      <c r="D9" s="125">
        <f t="shared" si="1"/>
        <v>0</v>
      </c>
      <c r="E9" s="125">
        <f t="shared" si="1"/>
        <v>0</v>
      </c>
      <c r="F9" s="125">
        <f t="shared" si="0"/>
        <v>0</v>
      </c>
    </row>
    <row r="10" spans="1:15" ht="14.25" customHeight="1">
      <c r="B10" s="106" t="s">
        <v>101</v>
      </c>
      <c r="C10" s="125">
        <f t="shared" si="1"/>
        <v>0</v>
      </c>
      <c r="D10" s="125">
        <f t="shared" si="1"/>
        <v>0</v>
      </c>
      <c r="E10" s="125">
        <f t="shared" si="1"/>
        <v>0</v>
      </c>
      <c r="F10" s="125">
        <f t="shared" si="0"/>
        <v>0</v>
      </c>
    </row>
    <row r="11" spans="1:15" ht="14.25" customHeight="1">
      <c r="B11" s="106" t="s">
        <v>104</v>
      </c>
      <c r="C11" s="125">
        <f t="shared" si="1"/>
        <v>0</v>
      </c>
      <c r="D11" s="125">
        <f t="shared" si="1"/>
        <v>0</v>
      </c>
      <c r="E11" s="125">
        <f t="shared" si="1"/>
        <v>0</v>
      </c>
      <c r="F11" s="125">
        <f t="shared" si="0"/>
        <v>0</v>
      </c>
    </row>
    <row r="12" spans="1:15" ht="14.25" customHeight="1">
      <c r="F12" s="117"/>
    </row>
    <row r="13" spans="1:15" s="126" customFormat="1" ht="30" customHeight="1">
      <c r="A13" s="97" t="s">
        <v>121</v>
      </c>
      <c r="B13" s="97" t="s">
        <v>63</v>
      </c>
      <c r="C13" s="97" t="s">
        <v>64</v>
      </c>
      <c r="D13" s="97" t="s">
        <v>65</v>
      </c>
      <c r="E13" s="97" t="s">
        <v>66</v>
      </c>
      <c r="F13" s="97" t="s">
        <v>67</v>
      </c>
      <c r="G13" s="97" t="s">
        <v>68</v>
      </c>
      <c r="H13" s="97" t="s">
        <v>43</v>
      </c>
      <c r="I13" s="97" t="s">
        <v>69</v>
      </c>
      <c r="J13" s="97" t="s">
        <v>70</v>
      </c>
      <c r="K13" s="97" t="s">
        <v>71</v>
      </c>
      <c r="L13" s="97" t="s">
        <v>72</v>
      </c>
      <c r="M13" s="97" t="s">
        <v>73</v>
      </c>
      <c r="N13" s="97" t="s">
        <v>74</v>
      </c>
      <c r="O13" s="97" t="s">
        <v>75</v>
      </c>
    </row>
    <row r="14" spans="1:15" ht="18" customHeight="1">
      <c r="A14" s="159" t="s">
        <v>931</v>
      </c>
      <c r="B14" s="159"/>
      <c r="C14" s="159"/>
      <c r="D14" s="159"/>
      <c r="E14" s="159"/>
      <c r="F14" s="159"/>
      <c r="G14" s="159"/>
      <c r="H14" s="159"/>
      <c r="I14" s="159"/>
      <c r="J14" s="159"/>
      <c r="K14" s="159"/>
      <c r="L14" s="159"/>
      <c r="M14" s="159"/>
      <c r="N14" s="159"/>
      <c r="O14" s="159"/>
    </row>
    <row r="15" spans="1:15" ht="18" customHeight="1">
      <c r="A15" s="134" t="s">
        <v>123</v>
      </c>
      <c r="B15" s="135" t="s">
        <v>932</v>
      </c>
      <c r="C15" s="135"/>
      <c r="D15" s="135"/>
      <c r="E15" s="135"/>
      <c r="F15" s="135"/>
      <c r="G15" s="135"/>
      <c r="H15" s="135"/>
      <c r="I15" s="135"/>
      <c r="J15" s="135"/>
      <c r="K15" s="135"/>
      <c r="L15" s="135"/>
      <c r="M15" s="135"/>
      <c r="N15" s="135"/>
      <c r="O15" s="135"/>
    </row>
    <row r="16" spans="1:15" ht="113.25" customHeight="1">
      <c r="A16" s="161">
        <v>1</v>
      </c>
      <c r="B16" s="162" t="s">
        <v>933</v>
      </c>
      <c r="C16" s="162" t="s">
        <v>934</v>
      </c>
      <c r="D16" s="162" t="s">
        <v>935</v>
      </c>
      <c r="E16" s="162" t="s">
        <v>936</v>
      </c>
      <c r="F16" s="162"/>
      <c r="G16" s="162" t="s">
        <v>937</v>
      </c>
      <c r="H16" s="161" t="s">
        <v>44</v>
      </c>
      <c r="I16" s="161" t="s">
        <v>92</v>
      </c>
      <c r="J16" s="161" t="s">
        <v>102</v>
      </c>
      <c r="K16" s="161" t="s">
        <v>54</v>
      </c>
      <c r="L16" s="161" t="s">
        <v>54</v>
      </c>
      <c r="M16" s="161" t="s">
        <v>54</v>
      </c>
      <c r="N16" s="161"/>
      <c r="O16" s="162"/>
    </row>
    <row r="17" spans="1:15" ht="113.25" customHeight="1">
      <c r="A17" s="161">
        <v>2</v>
      </c>
      <c r="B17" s="162" t="s">
        <v>938</v>
      </c>
      <c r="C17" s="162" t="s">
        <v>939</v>
      </c>
      <c r="D17" s="162" t="s">
        <v>935</v>
      </c>
      <c r="E17" s="162" t="s">
        <v>940</v>
      </c>
      <c r="F17" s="162"/>
      <c r="G17" s="162" t="s">
        <v>941</v>
      </c>
      <c r="H17" s="161" t="s">
        <v>44</v>
      </c>
      <c r="I17" s="161" t="s">
        <v>94</v>
      </c>
      <c r="J17" s="161" t="s">
        <v>102</v>
      </c>
      <c r="K17" s="161" t="s">
        <v>54</v>
      </c>
      <c r="L17" s="161" t="s">
        <v>54</v>
      </c>
      <c r="M17" s="161" t="s">
        <v>54</v>
      </c>
      <c r="N17" s="161"/>
      <c r="O17" s="162"/>
    </row>
    <row r="18" spans="1:15" ht="113.25" customHeight="1">
      <c r="A18" s="161">
        <v>3</v>
      </c>
      <c r="B18" s="162" t="s">
        <v>942</v>
      </c>
      <c r="C18" s="162" t="s">
        <v>943</v>
      </c>
      <c r="D18" s="162" t="s">
        <v>935</v>
      </c>
      <c r="E18" s="162" t="s">
        <v>944</v>
      </c>
      <c r="F18" s="162"/>
      <c r="G18" s="162" t="s">
        <v>945</v>
      </c>
      <c r="H18" s="161" t="s">
        <v>44</v>
      </c>
      <c r="I18" s="161" t="s">
        <v>92</v>
      </c>
      <c r="J18" s="161" t="s">
        <v>102</v>
      </c>
      <c r="K18" s="161" t="s">
        <v>54</v>
      </c>
      <c r="L18" s="161" t="s">
        <v>54</v>
      </c>
      <c r="M18" s="161" t="s">
        <v>54</v>
      </c>
      <c r="N18" s="161"/>
      <c r="O18" s="162"/>
    </row>
    <row r="19" spans="1:15" ht="113.25" customHeight="1">
      <c r="A19" s="161">
        <v>4</v>
      </c>
      <c r="B19" s="162" t="s">
        <v>946</v>
      </c>
      <c r="C19" s="162" t="s">
        <v>947</v>
      </c>
      <c r="D19" s="162" t="s">
        <v>935</v>
      </c>
      <c r="E19" s="162" t="s">
        <v>948</v>
      </c>
      <c r="F19" s="162"/>
      <c r="G19" s="162" t="s">
        <v>949</v>
      </c>
      <c r="H19" s="161" t="s">
        <v>44</v>
      </c>
      <c r="I19" s="161" t="s">
        <v>94</v>
      </c>
      <c r="J19" s="161" t="s">
        <v>102</v>
      </c>
      <c r="K19" s="161" t="s">
        <v>54</v>
      </c>
      <c r="L19" s="161" t="s">
        <v>54</v>
      </c>
      <c r="M19" s="161" t="s">
        <v>54</v>
      </c>
      <c r="N19" s="161"/>
      <c r="O19" s="162"/>
    </row>
    <row r="20" spans="1:15" ht="113.25" customHeight="1">
      <c r="A20" s="161">
        <v>5</v>
      </c>
      <c r="B20" s="162" t="s">
        <v>950</v>
      </c>
      <c r="C20" s="162" t="s">
        <v>951</v>
      </c>
      <c r="D20" s="162" t="s">
        <v>935</v>
      </c>
      <c r="E20" s="162" t="s">
        <v>952</v>
      </c>
      <c r="F20" s="162"/>
      <c r="G20" s="162" t="s">
        <v>953</v>
      </c>
      <c r="H20" s="161" t="s">
        <v>44</v>
      </c>
      <c r="I20" s="161" t="s">
        <v>94</v>
      </c>
      <c r="J20" s="161" t="s">
        <v>102</v>
      </c>
      <c r="K20" s="161" t="s">
        <v>54</v>
      </c>
      <c r="L20" s="161" t="s">
        <v>54</v>
      </c>
      <c r="M20" s="161" t="s">
        <v>54</v>
      </c>
      <c r="N20" s="161"/>
      <c r="O20" s="162"/>
    </row>
    <row r="21" spans="1:15" ht="18" customHeight="1">
      <c r="A21" s="134" t="s">
        <v>150</v>
      </c>
      <c r="B21" s="135" t="s">
        <v>954</v>
      </c>
      <c r="C21" s="135"/>
      <c r="D21" s="135"/>
      <c r="E21" s="135"/>
      <c r="F21" s="135"/>
      <c r="G21" s="135"/>
      <c r="H21" s="135"/>
      <c r="I21" s="135"/>
      <c r="J21" s="135"/>
      <c r="K21" s="135"/>
      <c r="L21" s="135"/>
      <c r="M21" s="135"/>
      <c r="N21" s="135"/>
      <c r="O21" s="135"/>
    </row>
    <row r="22" spans="1:15" ht="157.5" customHeight="1">
      <c r="A22" s="161">
        <v>6</v>
      </c>
      <c r="B22" s="162" t="s">
        <v>955</v>
      </c>
      <c r="C22" s="162" t="s">
        <v>956</v>
      </c>
      <c r="D22" s="162" t="s">
        <v>957</v>
      </c>
      <c r="E22" s="162" t="s">
        <v>958</v>
      </c>
      <c r="F22" s="162"/>
      <c r="G22" s="162" t="s">
        <v>959</v>
      </c>
      <c r="H22" s="161" t="s">
        <v>44</v>
      </c>
      <c r="I22" s="161" t="s">
        <v>94</v>
      </c>
      <c r="J22" s="161" t="s">
        <v>102</v>
      </c>
      <c r="K22" s="161" t="s">
        <v>54</v>
      </c>
      <c r="L22" s="161" t="s">
        <v>54</v>
      </c>
      <c r="M22" s="161" t="s">
        <v>54</v>
      </c>
      <c r="N22" s="161"/>
      <c r="O22" s="162"/>
    </row>
    <row r="23" spans="1:15" ht="168.75" customHeight="1">
      <c r="A23" s="161">
        <v>7</v>
      </c>
      <c r="B23" s="162" t="s">
        <v>960</v>
      </c>
      <c r="C23" s="162" t="s">
        <v>961</v>
      </c>
      <c r="D23" s="162" t="s">
        <v>962</v>
      </c>
      <c r="E23" s="162" t="s">
        <v>963</v>
      </c>
      <c r="F23" s="162"/>
      <c r="G23" s="162" t="s">
        <v>964</v>
      </c>
      <c r="H23" s="161" t="s">
        <v>44</v>
      </c>
      <c r="I23" s="161" t="s">
        <v>92</v>
      </c>
      <c r="J23" s="161" t="s">
        <v>102</v>
      </c>
      <c r="K23" s="161" t="s">
        <v>54</v>
      </c>
      <c r="L23" s="161" t="s">
        <v>54</v>
      </c>
      <c r="M23" s="161" t="s">
        <v>54</v>
      </c>
      <c r="N23" s="161"/>
      <c r="O23" s="162"/>
    </row>
    <row r="24" spans="1:15" ht="135.75" customHeight="1">
      <c r="A24" s="161">
        <v>8</v>
      </c>
      <c r="B24" s="162" t="s">
        <v>965</v>
      </c>
      <c r="C24" s="162" t="s">
        <v>966</v>
      </c>
      <c r="D24" s="162" t="s">
        <v>967</v>
      </c>
      <c r="E24" s="162" t="s">
        <v>968</v>
      </c>
      <c r="F24" s="162"/>
      <c r="G24" s="162" t="s">
        <v>969</v>
      </c>
      <c r="H24" s="161" t="s">
        <v>44</v>
      </c>
      <c r="I24" s="161" t="s">
        <v>94</v>
      </c>
      <c r="J24" s="161" t="s">
        <v>102</v>
      </c>
      <c r="K24" s="161" t="s">
        <v>54</v>
      </c>
      <c r="L24" s="161" t="s">
        <v>54</v>
      </c>
      <c r="M24" s="161" t="s">
        <v>54</v>
      </c>
      <c r="N24" s="161"/>
      <c r="O24" s="162"/>
    </row>
    <row r="25" spans="1:15" ht="157.5" customHeight="1">
      <c r="A25" s="161">
        <v>9</v>
      </c>
      <c r="B25" s="162" t="s">
        <v>970</v>
      </c>
      <c r="C25" s="162" t="s">
        <v>971</v>
      </c>
      <c r="D25" s="162" t="s">
        <v>957</v>
      </c>
      <c r="E25" s="162" t="s">
        <v>972</v>
      </c>
      <c r="F25" s="162"/>
      <c r="G25" s="162" t="s">
        <v>973</v>
      </c>
      <c r="H25" s="161" t="s">
        <v>44</v>
      </c>
      <c r="I25" s="161" t="s">
        <v>92</v>
      </c>
      <c r="J25" s="161" t="s">
        <v>102</v>
      </c>
      <c r="K25" s="161" t="s">
        <v>54</v>
      </c>
      <c r="L25" s="161" t="s">
        <v>54</v>
      </c>
      <c r="M25" s="161" t="s">
        <v>54</v>
      </c>
      <c r="N25" s="161"/>
      <c r="O25" s="162"/>
    </row>
    <row r="26" spans="1:15" ht="18" customHeight="1">
      <c r="A26" s="134" t="s">
        <v>165</v>
      </c>
      <c r="B26" s="135" t="s">
        <v>974</v>
      </c>
      <c r="C26" s="135"/>
      <c r="D26" s="135"/>
      <c r="E26" s="135"/>
      <c r="F26" s="135"/>
      <c r="G26" s="135"/>
      <c r="H26" s="135"/>
      <c r="I26" s="135"/>
      <c r="J26" s="135"/>
      <c r="K26" s="135"/>
      <c r="L26" s="135"/>
      <c r="M26" s="135"/>
      <c r="N26" s="135"/>
      <c r="O26" s="135"/>
    </row>
    <row r="27" spans="1:15" ht="157.5" customHeight="1">
      <c r="A27" s="161">
        <v>10</v>
      </c>
      <c r="B27" s="162" t="s">
        <v>975</v>
      </c>
      <c r="C27" s="162" t="s">
        <v>976</v>
      </c>
      <c r="D27" s="162" t="s">
        <v>957</v>
      </c>
      <c r="E27" s="162" t="s">
        <v>977</v>
      </c>
      <c r="F27" s="162"/>
      <c r="G27" s="162" t="s">
        <v>978</v>
      </c>
      <c r="H27" s="161" t="s">
        <v>44</v>
      </c>
      <c r="I27" s="161" t="s">
        <v>94</v>
      </c>
      <c r="J27" s="161" t="s">
        <v>102</v>
      </c>
      <c r="K27" s="161" t="s">
        <v>54</v>
      </c>
      <c r="L27" s="161" t="s">
        <v>54</v>
      </c>
      <c r="M27" s="161" t="s">
        <v>54</v>
      </c>
      <c r="N27" s="161"/>
      <c r="O27" s="162"/>
    </row>
    <row r="28" spans="1:15" ht="135.75" customHeight="1">
      <c r="A28" s="161">
        <v>11</v>
      </c>
      <c r="B28" s="162" t="s">
        <v>979</v>
      </c>
      <c r="C28" s="162" t="s">
        <v>980</v>
      </c>
      <c r="D28" s="162" t="s">
        <v>981</v>
      </c>
      <c r="E28" s="162" t="s">
        <v>982</v>
      </c>
      <c r="F28" s="162"/>
      <c r="G28" s="162" t="s">
        <v>983</v>
      </c>
      <c r="H28" s="161" t="s">
        <v>44</v>
      </c>
      <c r="I28" s="161" t="s">
        <v>94</v>
      </c>
      <c r="J28" s="161" t="s">
        <v>102</v>
      </c>
      <c r="K28" s="161" t="s">
        <v>54</v>
      </c>
      <c r="L28" s="161" t="s">
        <v>54</v>
      </c>
      <c r="M28" s="161" t="s">
        <v>54</v>
      </c>
      <c r="N28" s="161"/>
      <c r="O28" s="162"/>
    </row>
    <row r="29" spans="1:15" ht="157.5" customHeight="1">
      <c r="A29" s="161">
        <v>12</v>
      </c>
      <c r="B29" s="162" t="s">
        <v>984</v>
      </c>
      <c r="C29" s="162" t="s">
        <v>985</v>
      </c>
      <c r="D29" s="162" t="s">
        <v>986</v>
      </c>
      <c r="E29" s="162" t="s">
        <v>987</v>
      </c>
      <c r="F29" s="162"/>
      <c r="G29" s="162" t="s">
        <v>988</v>
      </c>
      <c r="H29" s="161" t="s">
        <v>44</v>
      </c>
      <c r="I29" s="161" t="s">
        <v>94</v>
      </c>
      <c r="J29" s="161" t="s">
        <v>102</v>
      </c>
      <c r="K29" s="161" t="s">
        <v>54</v>
      </c>
      <c r="L29" s="161" t="s">
        <v>54</v>
      </c>
      <c r="M29" s="161" t="s">
        <v>54</v>
      </c>
      <c r="N29" s="161"/>
      <c r="O29" s="162" t="s">
        <v>989</v>
      </c>
    </row>
    <row r="30" spans="1:15" ht="18" customHeight="1">
      <c r="A30" s="134" t="s">
        <v>317</v>
      </c>
      <c r="B30" s="135" t="s">
        <v>990</v>
      </c>
      <c r="C30" s="135"/>
      <c r="D30" s="135"/>
      <c r="E30" s="135"/>
      <c r="F30" s="135"/>
      <c r="G30" s="135"/>
      <c r="H30" s="135"/>
      <c r="I30" s="135"/>
      <c r="J30" s="135"/>
      <c r="K30" s="135"/>
      <c r="L30" s="135"/>
      <c r="M30" s="135"/>
      <c r="N30" s="135"/>
      <c r="O30" s="135"/>
    </row>
    <row r="31" spans="1:15" ht="113.25" customHeight="1">
      <c r="A31" s="161">
        <v>13</v>
      </c>
      <c r="B31" s="162" t="s">
        <v>991</v>
      </c>
      <c r="C31" s="162" t="s">
        <v>992</v>
      </c>
      <c r="D31" s="162" t="s">
        <v>935</v>
      </c>
      <c r="E31" s="162" t="s">
        <v>993</v>
      </c>
      <c r="F31" s="162"/>
      <c r="G31" s="162" t="s">
        <v>994</v>
      </c>
      <c r="H31" s="161" t="s">
        <v>44</v>
      </c>
      <c r="I31" s="161" t="s">
        <v>92</v>
      </c>
      <c r="J31" s="161" t="s">
        <v>102</v>
      </c>
      <c r="K31" s="161" t="s">
        <v>54</v>
      </c>
      <c r="L31" s="161" t="s">
        <v>54</v>
      </c>
      <c r="M31" s="161" t="s">
        <v>54</v>
      </c>
      <c r="N31" s="161"/>
      <c r="O31" s="162"/>
    </row>
    <row r="32" spans="1:15" ht="113.25" customHeight="1">
      <c r="A32" s="161">
        <v>14</v>
      </c>
      <c r="B32" s="162" t="s">
        <v>995</v>
      </c>
      <c r="C32" s="162" t="s">
        <v>996</v>
      </c>
      <c r="D32" s="162" t="s">
        <v>935</v>
      </c>
      <c r="E32" s="162" t="s">
        <v>997</v>
      </c>
      <c r="F32" s="162"/>
      <c r="G32" s="162" t="s">
        <v>998</v>
      </c>
      <c r="H32" s="161" t="s">
        <v>44</v>
      </c>
      <c r="I32" s="161" t="s">
        <v>92</v>
      </c>
      <c r="J32" s="161" t="s">
        <v>102</v>
      </c>
      <c r="K32" s="161" t="s">
        <v>54</v>
      </c>
      <c r="L32" s="161" t="s">
        <v>54</v>
      </c>
      <c r="M32" s="161" t="s">
        <v>54</v>
      </c>
      <c r="N32" s="161"/>
      <c r="O32" s="162" t="s">
        <v>999</v>
      </c>
    </row>
    <row r="33" spans="1:15" ht="113.25" customHeight="1">
      <c r="A33" s="161">
        <v>15</v>
      </c>
      <c r="B33" s="162" t="s">
        <v>1000</v>
      </c>
      <c r="C33" s="162" t="s">
        <v>1001</v>
      </c>
      <c r="D33" s="162" t="s">
        <v>935</v>
      </c>
      <c r="E33" s="162" t="s">
        <v>1002</v>
      </c>
      <c r="F33" s="162"/>
      <c r="G33" s="162" t="s">
        <v>1003</v>
      </c>
      <c r="H33" s="161" t="s">
        <v>44</v>
      </c>
      <c r="I33" s="161" t="s">
        <v>96</v>
      </c>
      <c r="J33" s="161" t="s">
        <v>102</v>
      </c>
      <c r="K33" s="161" t="s">
        <v>54</v>
      </c>
      <c r="L33" s="161" t="s">
        <v>54</v>
      </c>
      <c r="M33" s="161" t="s">
        <v>54</v>
      </c>
      <c r="N33" s="161"/>
      <c r="O33" s="162"/>
    </row>
    <row r="34" spans="1:15" ht="113.25" customHeight="1">
      <c r="A34" s="161">
        <v>16</v>
      </c>
      <c r="B34" s="162" t="s">
        <v>1004</v>
      </c>
      <c r="C34" s="162" t="s">
        <v>1005</v>
      </c>
      <c r="D34" s="162" t="s">
        <v>935</v>
      </c>
      <c r="E34" s="162" t="s">
        <v>1006</v>
      </c>
      <c r="F34" s="162"/>
      <c r="G34" s="162" t="s">
        <v>1007</v>
      </c>
      <c r="H34" s="161" t="s">
        <v>44</v>
      </c>
      <c r="I34" s="161" t="s">
        <v>94</v>
      </c>
      <c r="J34" s="161" t="s">
        <v>102</v>
      </c>
      <c r="K34" s="161" t="s">
        <v>54</v>
      </c>
      <c r="L34" s="161" t="s">
        <v>54</v>
      </c>
      <c r="M34" s="161" t="s">
        <v>54</v>
      </c>
      <c r="N34" s="161"/>
      <c r="O34" s="162"/>
    </row>
    <row r="35" spans="1:15" ht="113.25" customHeight="1">
      <c r="A35" s="161">
        <v>17</v>
      </c>
      <c r="B35" s="162" t="s">
        <v>1008</v>
      </c>
      <c r="C35" s="162" t="s">
        <v>1009</v>
      </c>
      <c r="D35" s="162" t="s">
        <v>935</v>
      </c>
      <c r="E35" s="162" t="s">
        <v>1010</v>
      </c>
      <c r="F35" s="162"/>
      <c r="G35" s="162" t="s">
        <v>1011</v>
      </c>
      <c r="H35" s="161" t="s">
        <v>44</v>
      </c>
      <c r="I35" s="161" t="s">
        <v>94</v>
      </c>
      <c r="J35" s="161" t="s">
        <v>102</v>
      </c>
      <c r="K35" s="161" t="s">
        <v>54</v>
      </c>
      <c r="L35" s="161" t="s">
        <v>54</v>
      </c>
      <c r="M35" s="161" t="s">
        <v>54</v>
      </c>
      <c r="N35" s="161"/>
      <c r="O35" s="162"/>
    </row>
    <row r="36" spans="1:15" ht="147" customHeight="1">
      <c r="A36" s="161">
        <v>18</v>
      </c>
      <c r="B36" s="162" t="s">
        <v>1012</v>
      </c>
      <c r="C36" s="162" t="s">
        <v>1013</v>
      </c>
      <c r="D36" s="162" t="s">
        <v>1014</v>
      </c>
      <c r="E36" s="162" t="s">
        <v>1015</v>
      </c>
      <c r="F36" s="162"/>
      <c r="G36" s="162" t="s">
        <v>1016</v>
      </c>
      <c r="H36" s="161" t="s">
        <v>44</v>
      </c>
      <c r="I36" s="161" t="s">
        <v>92</v>
      </c>
      <c r="J36" s="161" t="s">
        <v>102</v>
      </c>
      <c r="K36" s="161" t="s">
        <v>54</v>
      </c>
      <c r="L36" s="161" t="s">
        <v>54</v>
      </c>
      <c r="M36" s="161" t="s">
        <v>54</v>
      </c>
      <c r="N36" s="161"/>
      <c r="O36" s="162" t="s">
        <v>1017</v>
      </c>
    </row>
    <row r="37" spans="1:15" ht="18" customHeight="1">
      <c r="A37" s="134" t="s">
        <v>1018</v>
      </c>
      <c r="B37" s="135" t="s">
        <v>1019</v>
      </c>
      <c r="C37" s="135"/>
      <c r="D37" s="135"/>
      <c r="E37" s="135"/>
      <c r="F37" s="135"/>
      <c r="G37" s="135"/>
      <c r="H37" s="135"/>
      <c r="I37" s="135"/>
      <c r="J37" s="135"/>
      <c r="K37" s="135"/>
      <c r="L37" s="135"/>
      <c r="M37" s="135"/>
      <c r="N37" s="135"/>
      <c r="O37" s="135"/>
    </row>
    <row r="38" spans="1:15" ht="113.25" customHeight="1">
      <c r="A38" s="161">
        <v>19</v>
      </c>
      <c r="B38" s="162" t="s">
        <v>1020</v>
      </c>
      <c r="C38" s="162" t="s">
        <v>1021</v>
      </c>
      <c r="D38" s="162" t="s">
        <v>935</v>
      </c>
      <c r="E38" s="162" t="s">
        <v>1022</v>
      </c>
      <c r="F38" s="162"/>
      <c r="G38" s="162" t="s">
        <v>1023</v>
      </c>
      <c r="H38" s="161" t="s">
        <v>44</v>
      </c>
      <c r="I38" s="161" t="s">
        <v>92</v>
      </c>
      <c r="J38" s="161" t="s">
        <v>102</v>
      </c>
      <c r="K38" s="161" t="s">
        <v>54</v>
      </c>
      <c r="L38" s="161" t="s">
        <v>54</v>
      </c>
      <c r="M38" s="161" t="s">
        <v>54</v>
      </c>
      <c r="N38" s="161"/>
      <c r="O38" s="162"/>
    </row>
    <row r="39" spans="1:15" ht="135.75" customHeight="1">
      <c r="A39" s="161">
        <v>20</v>
      </c>
      <c r="B39" s="162" t="s">
        <v>1024</v>
      </c>
      <c r="C39" s="162" t="s">
        <v>1025</v>
      </c>
      <c r="D39" s="162" t="s">
        <v>1026</v>
      </c>
      <c r="E39" s="162" t="s">
        <v>1027</v>
      </c>
      <c r="F39" s="162"/>
      <c r="G39" s="162" t="s">
        <v>1028</v>
      </c>
      <c r="H39" s="161" t="s">
        <v>44</v>
      </c>
      <c r="I39" s="161" t="s">
        <v>92</v>
      </c>
      <c r="J39" s="161" t="s">
        <v>102</v>
      </c>
      <c r="K39" s="161" t="s">
        <v>54</v>
      </c>
      <c r="L39" s="161" t="s">
        <v>54</v>
      </c>
      <c r="M39" s="161" t="s">
        <v>54</v>
      </c>
      <c r="N39" s="161"/>
      <c r="O39" s="162"/>
    </row>
    <row r="40" spans="1:15" ht="124.5" customHeight="1">
      <c r="A40" s="161">
        <v>21</v>
      </c>
      <c r="B40" s="162" t="s">
        <v>1029</v>
      </c>
      <c r="C40" s="162" t="s">
        <v>1030</v>
      </c>
      <c r="D40" s="162" t="s">
        <v>1031</v>
      </c>
      <c r="E40" s="162" t="s">
        <v>1032</v>
      </c>
      <c r="F40" s="162"/>
      <c r="G40" s="162" t="s">
        <v>1033</v>
      </c>
      <c r="H40" s="161" t="s">
        <v>44</v>
      </c>
      <c r="I40" s="161" t="s">
        <v>94</v>
      </c>
      <c r="J40" s="161" t="s">
        <v>102</v>
      </c>
      <c r="K40" s="161" t="s">
        <v>54</v>
      </c>
      <c r="L40" s="161" t="s">
        <v>54</v>
      </c>
      <c r="M40" s="161" t="s">
        <v>54</v>
      </c>
      <c r="N40" s="161"/>
      <c r="O40" s="162"/>
    </row>
    <row r="41" spans="1:15" ht="168.75" customHeight="1">
      <c r="A41" s="161">
        <v>22</v>
      </c>
      <c r="B41" s="162" t="s">
        <v>1034</v>
      </c>
      <c r="C41" s="162" t="s">
        <v>1035</v>
      </c>
      <c r="D41" s="162" t="s">
        <v>1036</v>
      </c>
      <c r="E41" s="162" t="s">
        <v>1037</v>
      </c>
      <c r="F41" s="162"/>
      <c r="G41" s="162" t="s">
        <v>1038</v>
      </c>
      <c r="H41" s="161" t="s">
        <v>44</v>
      </c>
      <c r="I41" s="161" t="s">
        <v>94</v>
      </c>
      <c r="J41" s="161" t="s">
        <v>102</v>
      </c>
      <c r="K41" s="161" t="s">
        <v>54</v>
      </c>
      <c r="L41" s="161" t="s">
        <v>54</v>
      </c>
      <c r="M41" s="161" t="s">
        <v>54</v>
      </c>
      <c r="N41" s="161"/>
      <c r="O41" s="162"/>
    </row>
    <row r="42" spans="1:15" ht="18" customHeight="1">
      <c r="A42" s="159" t="s">
        <v>1039</v>
      </c>
      <c r="B42" s="159"/>
      <c r="C42" s="159"/>
      <c r="D42" s="159"/>
      <c r="E42" s="159"/>
      <c r="F42" s="159"/>
      <c r="G42" s="159"/>
      <c r="H42" s="159"/>
      <c r="I42" s="159"/>
      <c r="J42" s="159"/>
      <c r="K42" s="159"/>
      <c r="L42" s="159"/>
      <c r="M42" s="159"/>
      <c r="N42" s="159"/>
      <c r="O42" s="159"/>
    </row>
    <row r="43" spans="1:15" ht="168.75" customHeight="1">
      <c r="A43" s="161">
        <v>23</v>
      </c>
      <c r="B43" s="162" t="s">
        <v>1040</v>
      </c>
      <c r="C43" s="162" t="s">
        <v>1041</v>
      </c>
      <c r="D43" s="162" t="s">
        <v>1042</v>
      </c>
      <c r="E43" s="162" t="s">
        <v>1043</v>
      </c>
      <c r="F43" s="162"/>
      <c r="G43" s="162" t="s">
        <v>1044</v>
      </c>
      <c r="H43" s="161" t="s">
        <v>44</v>
      </c>
      <c r="I43" s="161" t="s">
        <v>92</v>
      </c>
      <c r="J43" s="161" t="s">
        <v>102</v>
      </c>
      <c r="K43" s="161" t="s">
        <v>54</v>
      </c>
      <c r="L43" s="161" t="s">
        <v>54</v>
      </c>
      <c r="M43" s="161" t="s">
        <v>54</v>
      </c>
      <c r="N43" s="161"/>
      <c r="O43" s="162"/>
    </row>
    <row r="44" spans="1:15" ht="147" customHeight="1">
      <c r="A44" s="161">
        <v>24</v>
      </c>
      <c r="B44" s="162" t="s">
        <v>1045</v>
      </c>
      <c r="C44" s="162" t="s">
        <v>1046</v>
      </c>
      <c r="D44" s="162" t="s">
        <v>1047</v>
      </c>
      <c r="E44" s="162" t="s">
        <v>1043</v>
      </c>
      <c r="F44" s="162"/>
      <c r="G44" s="162" t="s">
        <v>1048</v>
      </c>
      <c r="H44" s="161" t="s">
        <v>44</v>
      </c>
      <c r="I44" s="161" t="s">
        <v>92</v>
      </c>
      <c r="J44" s="161" t="s">
        <v>102</v>
      </c>
      <c r="K44" s="161" t="s">
        <v>54</v>
      </c>
      <c r="L44" s="161" t="s">
        <v>54</v>
      </c>
      <c r="M44" s="161" t="s">
        <v>54</v>
      </c>
      <c r="N44" s="161"/>
      <c r="O44" s="162"/>
    </row>
    <row r="45" spans="1:15" ht="113.25" customHeight="1">
      <c r="A45" s="161">
        <v>25</v>
      </c>
      <c r="B45" s="162" t="s">
        <v>1049</v>
      </c>
      <c r="C45" s="162" t="s">
        <v>1050</v>
      </c>
      <c r="D45" s="162" t="s">
        <v>1051</v>
      </c>
      <c r="E45" s="162" t="s">
        <v>1043</v>
      </c>
      <c r="F45" s="162"/>
      <c r="G45" s="162" t="s">
        <v>1052</v>
      </c>
      <c r="H45" s="161" t="s">
        <v>44</v>
      </c>
      <c r="I45" s="161" t="s">
        <v>92</v>
      </c>
      <c r="J45" s="161" t="s">
        <v>102</v>
      </c>
      <c r="K45" s="161" t="s">
        <v>54</v>
      </c>
      <c r="L45" s="161" t="s">
        <v>54</v>
      </c>
      <c r="M45" s="161" t="s">
        <v>54</v>
      </c>
      <c r="N45" s="161"/>
      <c r="O45" s="162"/>
    </row>
    <row r="46" spans="1:15" ht="113.25" customHeight="1">
      <c r="A46" s="161">
        <v>26</v>
      </c>
      <c r="B46" s="162" t="s">
        <v>1053</v>
      </c>
      <c r="C46" s="162" t="s">
        <v>1054</v>
      </c>
      <c r="D46" s="162" t="s">
        <v>1055</v>
      </c>
      <c r="E46" s="162" t="s">
        <v>1043</v>
      </c>
      <c r="F46" s="162"/>
      <c r="G46" s="162" t="s">
        <v>1056</v>
      </c>
      <c r="H46" s="161" t="s">
        <v>44</v>
      </c>
      <c r="I46" s="161" t="s">
        <v>94</v>
      </c>
      <c r="J46" s="161" t="s">
        <v>102</v>
      </c>
      <c r="K46" s="161" t="s">
        <v>54</v>
      </c>
      <c r="L46" s="161" t="s">
        <v>54</v>
      </c>
      <c r="M46" s="161" t="s">
        <v>54</v>
      </c>
      <c r="N46" s="161"/>
      <c r="O46" s="162"/>
    </row>
    <row r="47" spans="1:15" ht="135.75" customHeight="1">
      <c r="A47" s="161">
        <v>27</v>
      </c>
      <c r="B47" s="162" t="s">
        <v>1057</v>
      </c>
      <c r="C47" s="162" t="s">
        <v>1058</v>
      </c>
      <c r="D47" s="162" t="s">
        <v>1059</v>
      </c>
      <c r="E47" s="162" t="s">
        <v>1060</v>
      </c>
      <c r="F47" s="162"/>
      <c r="G47" s="162" t="s">
        <v>1061</v>
      </c>
      <c r="H47" s="161" t="s">
        <v>44</v>
      </c>
      <c r="I47" s="161" t="s">
        <v>92</v>
      </c>
      <c r="J47" s="161" t="s">
        <v>102</v>
      </c>
      <c r="K47" s="161" t="s">
        <v>54</v>
      </c>
      <c r="L47" s="161" t="s">
        <v>54</v>
      </c>
      <c r="M47" s="161" t="s">
        <v>54</v>
      </c>
      <c r="N47" s="161"/>
      <c r="O47" s="162" t="s">
        <v>1062</v>
      </c>
    </row>
    <row r="48" spans="1:15" ht="135.75" customHeight="1">
      <c r="A48" s="161">
        <v>28</v>
      </c>
      <c r="B48" s="162" t="s">
        <v>1063</v>
      </c>
      <c r="C48" s="162" t="s">
        <v>1064</v>
      </c>
      <c r="D48" s="162" t="s">
        <v>1065</v>
      </c>
      <c r="E48" s="162" t="s">
        <v>1043</v>
      </c>
      <c r="F48" s="162"/>
      <c r="G48" s="162" t="s">
        <v>1066</v>
      </c>
      <c r="H48" s="161" t="s">
        <v>44</v>
      </c>
      <c r="I48" s="161" t="s">
        <v>92</v>
      </c>
      <c r="J48" s="161" t="s">
        <v>102</v>
      </c>
      <c r="K48" s="161" t="s">
        <v>54</v>
      </c>
      <c r="L48" s="161" t="s">
        <v>54</v>
      </c>
      <c r="M48" s="161" t="s">
        <v>54</v>
      </c>
      <c r="N48" s="161"/>
      <c r="O48" s="162"/>
    </row>
  </sheetData>
  <mergeCells count="2">
    <mergeCell ref="A14:O14"/>
    <mergeCell ref="A42:O42"/>
  </mergeCell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Trang Pham Quynh</cp:lastModifiedBy>
  <cp:revision>0</cp:revision>
  <dcterms:created xsi:type="dcterms:W3CDTF">2026-05-12T11:22:22Z</dcterms:created>
  <dcterms:modified xsi:type="dcterms:W3CDTF">2026-09-11T02:07:22Z</dcterms:modified>
  <cp:category/>
  <cp:contentStatus/>
</cp:coreProperties>
</file>