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D:\FIS\MSB_AML\Test\TM\Testcase\"/>
    </mc:Choice>
  </mc:AlternateContent>
  <xr:revisionPtr revIDLastSave="2" documentId="13_ncr:1_{4CC30E39-8892-4785-845A-E91AB8D9F75C}" xr6:coauthVersionLast="47" xr6:coauthVersionMax="47" xr10:uidLastSave="{612F750D-11A7-4392-B86D-E08B56CA1955}"/>
  <bookViews>
    <workbookView xWindow="0" yWindow="0" windowWidth="21600" windowHeight="9570" tabRatio="500" firstSheet="3" activeTab="3" xr2:uid="{00000000-000D-0000-FFFF-FFFF00000000}"/>
  </bookViews>
  <sheets>
    <sheet name="Cover" sheetId="1" r:id="rId1"/>
    <sheet name="Records" sheetId="2" r:id="rId2"/>
    <sheet name="Test Report" sheetId="3" r:id="rId3"/>
    <sheet name="DEF_Whitelist" sheetId="4" r:id="rId4"/>
    <sheet name="Legend" sheetId="5" r:id="rId5"/>
  </sheets>
  <definedNames>
    <definedName name="_xlnm._FilterDatabase" localSheetId="3" hidden="1">DEF_Whitelist!$A$21:$O$21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9" i="4" l="1"/>
  <c r="A139" i="4"/>
  <c r="B138" i="4"/>
  <c r="A138" i="4"/>
  <c r="B137" i="4"/>
  <c r="A137" i="4"/>
  <c r="B136" i="4"/>
  <c r="A136" i="4"/>
  <c r="B134" i="4"/>
  <c r="A134" i="4"/>
  <c r="B133" i="4"/>
  <c r="A133" i="4"/>
  <c r="B132" i="4"/>
  <c r="A132" i="4"/>
  <c r="B130" i="4"/>
  <c r="A130" i="4"/>
  <c r="B129" i="4"/>
  <c r="A129" i="4"/>
  <c r="B127" i="4"/>
  <c r="A127" i="4"/>
  <c r="B126" i="4"/>
  <c r="A126" i="4"/>
  <c r="B125" i="4"/>
  <c r="A125" i="4"/>
  <c r="B124" i="4"/>
  <c r="A124" i="4"/>
  <c r="B123" i="4"/>
  <c r="A123" i="4"/>
  <c r="B122" i="4"/>
  <c r="A122" i="4"/>
  <c r="B121" i="4"/>
  <c r="A121" i="4"/>
  <c r="B119" i="4"/>
  <c r="A119" i="4"/>
  <c r="B118" i="4"/>
  <c r="A118" i="4"/>
  <c r="B117" i="4"/>
  <c r="A117" i="4"/>
  <c r="B116" i="4"/>
  <c r="A116" i="4"/>
  <c r="B115" i="4"/>
  <c r="A115" i="4"/>
  <c r="B114" i="4"/>
  <c r="A114" i="4"/>
  <c r="B112" i="4"/>
  <c r="A112" i="4"/>
  <c r="B111" i="4"/>
  <c r="A111" i="4"/>
  <c r="B109" i="4"/>
  <c r="A109" i="4"/>
  <c r="B108" i="4"/>
  <c r="A108" i="4"/>
  <c r="B107" i="4"/>
  <c r="A107" i="4"/>
  <c r="B106" i="4"/>
  <c r="A106" i="4"/>
  <c r="B105" i="4"/>
  <c r="A105" i="4"/>
  <c r="B104" i="4"/>
  <c r="A104" i="4"/>
  <c r="B103" i="4"/>
  <c r="A103" i="4"/>
  <c r="B102" i="4"/>
  <c r="A102" i="4"/>
  <c r="B100" i="4"/>
  <c r="A100" i="4"/>
  <c r="B97" i="4"/>
  <c r="A97" i="4"/>
  <c r="B96" i="4"/>
  <c r="A96"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79" i="4"/>
  <c r="A79" i="4"/>
  <c r="B76" i="4"/>
  <c r="A76" i="4"/>
  <c r="B75" i="4"/>
  <c r="A75" i="4"/>
  <c r="B73" i="4"/>
  <c r="A73" i="4"/>
  <c r="B72" i="4"/>
  <c r="A72"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2" i="4"/>
  <c r="A52"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E20" i="4"/>
  <c r="D20" i="4"/>
  <c r="C20" i="4"/>
  <c r="E19" i="4"/>
  <c r="D19" i="4"/>
  <c r="C19" i="4"/>
  <c r="E18" i="4"/>
  <c r="D18" i="4"/>
  <c r="C18" i="4"/>
  <c r="E17" i="4"/>
  <c r="D17" i="4"/>
  <c r="C17" i="4"/>
  <c r="E16" i="4"/>
  <c r="D16" i="4"/>
  <c r="C16" i="4"/>
  <c r="E15" i="4"/>
  <c r="D15" i="4"/>
  <c r="C15" i="4"/>
  <c r="F15" i="4" s="1"/>
  <c r="B19" i="3" s="1"/>
  <c r="E11" i="4"/>
  <c r="D11" i="4"/>
  <c r="C11" i="4"/>
  <c r="F11" i="4" s="1"/>
  <c r="G16" i="3" s="1"/>
  <c r="E10" i="4"/>
  <c r="D10" i="4"/>
  <c r="C10" i="4"/>
  <c r="E9" i="4"/>
  <c r="D9" i="4"/>
  <c r="C9" i="4"/>
  <c r="E8" i="4"/>
  <c r="D8" i="4"/>
  <c r="C8" i="4"/>
  <c r="E7" i="4"/>
  <c r="D7" i="4"/>
  <c r="C7" i="4"/>
  <c r="E6" i="4"/>
  <c r="D6" i="4"/>
  <c r="C6" i="4"/>
  <c r="C5" i="4" s="1"/>
  <c r="F7" i="4" l="1"/>
  <c r="C16" i="3" s="1"/>
  <c r="C15" i="3" s="1"/>
  <c r="D5" i="4"/>
  <c r="F8" i="4"/>
  <c r="D16" i="3" s="1"/>
  <c r="D15" i="3" s="1"/>
  <c r="F9" i="4"/>
  <c r="E16" i="3" s="1"/>
  <c r="E15" i="3" s="1"/>
  <c r="F19" i="4"/>
  <c r="F19" i="3" s="1"/>
  <c r="F18" i="3" s="1"/>
  <c r="F16" i="4"/>
  <c r="C19" i="3" s="1"/>
  <c r="C18" i="3" s="1"/>
  <c r="F17" i="4"/>
  <c r="D19" i="3" s="1"/>
  <c r="D18" i="3" s="1"/>
  <c r="E5" i="4"/>
  <c r="F5" i="4" s="1"/>
  <c r="D14" i="4"/>
  <c r="E14" i="4"/>
  <c r="F18" i="4"/>
  <c r="E19" i="3" s="1"/>
  <c r="E18" i="3" s="1"/>
  <c r="F10" i="4"/>
  <c r="F16" i="3" s="1"/>
  <c r="F15" i="3" s="1"/>
  <c r="F20" i="4"/>
  <c r="G19" i="3" s="1"/>
  <c r="H19" i="3" s="1"/>
  <c r="B18" i="3"/>
  <c r="F6" i="4"/>
  <c r="B16" i="3" s="1"/>
  <c r="C14" i="4"/>
  <c r="F14" i="4" l="1"/>
  <c r="H18" i="3"/>
  <c r="H16" i="3"/>
  <c r="B15" i="3"/>
  <c r="H15" i="3" l="1"/>
  <c r="B21" i="3" s="1"/>
  <c r="B2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1" authorId="0" shapeId="0" xr:uid="{00000000-0006-0000-0100-000001000000}">
      <text>
        <r>
          <rPr>
            <sz val="10"/>
            <rFont val="Arial"/>
            <family val="2"/>
          </rPr>
          <t>PC: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1" authorId="0" shapeId="0" xr:uid="{00000000-0006-0000-0300-000001000000}">
      <text>
        <r>
          <rPr>
            <sz val="10"/>
            <rFont val="Arial"/>
            <family val="2"/>
          </rPr>
          <t>Lưu ý: Đường dẫn màn hình OFSAA và mã/thông báo lỗi trong bộ testcase mang tính minh hoạ theo mẫu KYC Private List, cần rà soát và cập nhật theo build thực tế. Các dòng có [Nhãn: cần rà soát] là điểm suy diễn ngoài phạm vi BRD.</t>
        </r>
      </text>
    </comment>
  </commentList>
</comments>
</file>

<file path=xl/sharedStrings.xml><?xml version="1.0" encoding="utf-8"?>
<sst xmlns="http://schemas.openxmlformats.org/spreadsheetml/2006/main" count="1368" uniqueCount="526">
  <si>
    <t>Test Report</t>
  </si>
  <si>
    <t>Project Name:</t>
  </si>
  <si>
    <t>DỰ ÁN TRIỂN KHAI BẢN QUYỀN PHẦN MỀM HỆ THỐNG AML MỚI</t>
  </si>
  <si>
    <t>Reviewer:</t>
  </si>
  <si>
    <t xml:space="preserve"> </t>
  </si>
  <si>
    <t>Document Code:</t>
  </si>
  <si>
    <t>MSB_AML_TM_Testcase_Whitelist</t>
  </si>
  <si>
    <t>Position:</t>
  </si>
  <si>
    <t>Originator:</t>
  </si>
  <si>
    <t>Reviewed Date:</t>
  </si>
  <si>
    <t>Approver:</t>
  </si>
  <si>
    <t>Created Date:</t>
  </si>
  <si>
    <t>Version:</t>
  </si>
  <si>
    <t>1.0</t>
  </si>
  <si>
    <t>Approved Date:</t>
  </si>
  <si>
    <t>TABLE OF CONTENT</t>
  </si>
  <si>
    <t>No</t>
  </si>
  <si>
    <t>Items</t>
  </si>
  <si>
    <t>Content</t>
  </si>
  <si>
    <t>Cover</t>
  </si>
  <si>
    <t>Records</t>
  </si>
  <si>
    <t>Record of changes</t>
  </si>
  <si>
    <t>Báo cáo tổng hợp tình trạng kiểm thử của module TM - Whitelist</t>
  </si>
  <si>
    <t>Testcase Whitelist</t>
  </si>
  <si>
    <t>Danh sách testcase chức năng Whitelist (Module TM)</t>
  </si>
  <si>
    <t>Legend</t>
  </si>
  <si>
    <t>Chú thích các giá trị dùng trong bộ testcase</t>
  </si>
  <si>
    <t>Effective Date</t>
  </si>
  <si>
    <t>A, M, D</t>
  </si>
  <si>
    <t xml:space="preserve">Change Description </t>
  </si>
  <si>
    <t>New Version</t>
  </si>
  <si>
    <t>Author</t>
  </si>
  <si>
    <t>A</t>
  </si>
  <si>
    <t>Tạo mới bộ testcase Whitelist (Module TM)</t>
  </si>
  <si>
    <t>SYSTEM TEST REPORT</t>
  </si>
  <si>
    <t>Project</t>
  </si>
  <si>
    <t>Project manager</t>
  </si>
  <si>
    <t>Application</t>
  </si>
  <si>
    <t>Module TM - Whitelist</t>
  </si>
  <si>
    <t>Approved Date</t>
  </si>
  <si>
    <t>Consolidated By</t>
  </si>
  <si>
    <t>Reviewed By</t>
  </si>
  <si>
    <t>Build Versions</t>
  </si>
  <si>
    <t>v1.0</t>
  </si>
  <si>
    <t>Reviewed date</t>
  </si>
  <si>
    <t>Test Environment</t>
  </si>
  <si>
    <t>SIT</t>
  </si>
  <si>
    <t>Last Updated Date</t>
  </si>
  <si>
    <t>Test Execution Summary</t>
  </si>
  <si>
    <t>Reported by</t>
  </si>
  <si>
    <t>Date</t>
  </si>
  <si>
    <t>Test Results (Round1)</t>
  </si>
  <si>
    <t>Passed</t>
  </si>
  <si>
    <t>Failed</t>
  </si>
  <si>
    <t>Untested</t>
  </si>
  <si>
    <t>Accepted</t>
  </si>
  <si>
    <t>Pending</t>
  </si>
  <si>
    <t>Cancel</t>
  </si>
  <si>
    <t>Total</t>
  </si>
  <si>
    <t xml:space="preserve">Test cases </t>
  </si>
  <si>
    <t>Test Results (Round2)</t>
  </si>
  <si>
    <t>Test coverage</t>
  </si>
  <si>
    <t>Test successful coverage</t>
  </si>
  <si>
    <t>Issues</t>
  </si>
  <si>
    <t>1. Block testing issue</t>
  </si>
  <si>
    <t>2. Critical defects</t>
  </si>
  <si>
    <t xml:space="preserve">  </t>
  </si>
  <si>
    <t>Functions</t>
  </si>
  <si>
    <t>Build Version</t>
  </si>
  <si>
    <t>v1.0 - Whitelist (Module TM)</t>
  </si>
  <si>
    <t>ROUND 1</t>
  </si>
  <si>
    <t>High</t>
  </si>
  <si>
    <t>Medium</t>
  </si>
  <si>
    <t>Low</t>
  </si>
  <si>
    <t>ROUND2</t>
  </si>
  <si>
    <t>STT</t>
  </si>
  <si>
    <t>Test case Id</t>
  </si>
  <si>
    <t>Test case Title</t>
  </si>
  <si>
    <t>Pre-conditions</t>
  </si>
  <si>
    <t>Test Steps</t>
  </si>
  <si>
    <t>Test Datas</t>
  </si>
  <si>
    <t>Expected result</t>
  </si>
  <si>
    <t>Priority</t>
  </si>
  <si>
    <t>Automation Status</t>
  </si>
  <si>
    <t>1st Test Results</t>
  </si>
  <si>
    <t>2nd Test Results</t>
  </si>
  <si>
    <t>3rd Test Results</t>
  </si>
  <si>
    <t>BugID</t>
  </si>
  <si>
    <t>Notes</t>
  </si>
  <si>
    <t>abc</t>
  </si>
  <si>
    <t>1. Kiểm tra giao diện hiển thị và Tìm kiếm</t>
  </si>
  <si>
    <t>Kiểm tra giao diện hiển thị chức năng View</t>
  </si>
  <si>
    <t>User đăng nhập đã được phân quyền role maker/checker sử dụng chức năng cho form nhập liệu</t>
  </si>
  <si>
    <t>1. Truy cập màn hình Data Entry Form and Query Forms, chọn form Whitelist
2. Kiểm tra các trường hiển thị trên màn hình</t>
  </si>
  <si>
    <t>Màn hình hiển thị các trường trên form đúng và đủ theo yêu cầu:
- List Code * (tự sinh)
- ID *
- ID Type *
- Application scenario *
- Status *
- Reason Added
- Effective date (tự sinh, chỉ đọc)
- Description
- Comment
- Trạng thái phê duyệt
- Người tạo
- Ngày tạo
- Người kiểm tra
- Ngày kiểm tra</t>
  </si>
  <si>
    <t>N</t>
  </si>
  <si>
    <t>UI</t>
  </si>
  <si>
    <t>Kiểm tra chức năng tìm kiếm cơ bản theo List Code thỏa mãn</t>
  </si>
  <si>
    <t>Form đã có dữ liệu
Giá trị List Code nhập tìm kiếm tồn tại trong hệ thống
User đăng nhập đã được phân quyền role maker/checker sử dụng chức năng cho form nhập liệu</t>
  </si>
  <si>
    <t>1. Truy cập màn hình Data Entry Form and Query Forms, chọn form Whitelist
2. Chọn chức năng Search
3. Chọn trường List Code
4. Nhập/Chọn giá trị cần tìm kiếm tồn tại
5. Nhấn nút Go</t>
  </si>
  <si>
    <t>List Code: &lt;giá trị tồn tại&gt;</t>
  </si>
  <si>
    <t>Màn hình hiển thị các bản ghi thỏa mãn điều kiện tìm kiếm
script SQL check:
select "List Code", "ID", "ID Type", "Application scenario", "Status",
 "Reason Added", "Effective date", "Description", "Comment",
 "Trạng thái phê duyệt", "Người tạo", "Ngày tạo", "Người kiểm tra", "Ngày kiểm tra"
from Whitelist where upper("List Code") like upper('%xâu%')</t>
  </si>
  <si>
    <t>Kiểm tra chức năng tìm kiếm cơ bản theo List Code tồn tại nhưng phân biệt hoa thường</t>
  </si>
  <si>
    <t>Form đã có dữ liệu
Giá trị List Code tồn tại nhưng nhập khác kiểu hoa thường
User đăng nhập đã được phân quyền role maker/checker sử dụng chức năng cho form nhập liệu</t>
  </si>
  <si>
    <t>1. Truy cập màn hình Data Entry Form and Query Forms, chọn form Whitelist
2. Chọn chức năng Search
3. Chọn trường List Code
4. Nhập giá trị tồn tại nhưng nhập kí tự hoa thường khác với dữ liệu gốc
5. Nhấn nút Go</t>
  </si>
  <si>
    <t>List Code: &lt;giá trị tồn tại, đảo hoa/thường&gt;</t>
  </si>
  <si>
    <t>Màn hình hiển thị các bản ghi chứa xâu tìm kiếm không phân biệt hoa thường</t>
  </si>
  <si>
    <t>Kiểm tra chức năng tìm kiếm cơ bản theo List Code nhập kí tự đặc biệt</t>
  </si>
  <si>
    <t>Form đã có dữ liệu
User đăng nhập đã được phân quyền role maker/checker sử dụng chức năng cho form nhập liệu</t>
  </si>
  <si>
    <t>1. Truy cập màn hình Data Entry Form and Query Forms, chọn form Whitelist
2. Chọn chức năng Search
3. Chọn trường List Code
4. Nhập giá trị là các kí tự đặc biệt(@, #, $, %, ^, *...) có thể tồn tại hoặc không tồn tại
5. Nhấn nút Go</t>
  </si>
  <si>
    <t>List Code: @#$%</t>
  </si>
  <si>
    <t>Trả về thông báo không có dữ liệu [6997] No match found for the current search (nếu không tồn tại giá trị) hoặc hiển thị đúng kết quả chứa giá trị nhập (nếu tồn tại)</t>
  </si>
  <si>
    <t>Kiểm tra chức năng tìm kiếm cơ bản theo ID thỏa mãn</t>
  </si>
  <si>
    <t>Form đã có dữ liệu
Giá trị ID nhập tìm kiếm tồn tại trong hệ thống
User đăng nhập đã được phân quyền role maker/checker sử dụng chức năng cho form nhập liệu</t>
  </si>
  <si>
    <t>1. Truy cập màn hình Data Entry Form and Query Forms, chọn form Whitelist
2. Chọn chức năng Search
3. Chọn trường ID
4. Nhập/Chọn giá trị cần tìm kiếm tồn tại
5. Nhấn nút Go</t>
  </si>
  <si>
    <t>ID: &lt;giá trị tồn tại&gt;</t>
  </si>
  <si>
    <t>Màn hình hiển thị các bản ghi thỏa mãn điều kiện tìm kiếm
script SQL check:
select "List Code", "ID", "ID Type", "Application scenario", "Status",
 "Reason Added", "Effective date", "Description", "Comment",
 "Trạng thái phê duyệt", "Người tạo", "Ngày tạo", "Người kiểm tra", "Ngày kiểm tra"
from Whitelist where upper("ID") like upper('%xâu%')</t>
  </si>
  <si>
    <t>Kiểm tra chức năng tìm kiếm cơ bản theo ID tồn tại nhưng phân biệt hoa thường</t>
  </si>
  <si>
    <t>Form đã có dữ liệu
Giá trị ID tồn tại nhưng nhập khác kiểu hoa thường
User đăng nhập đã được phân quyền role maker/checker sử dụng chức năng cho form nhập liệu</t>
  </si>
  <si>
    <t>1. Truy cập màn hình Data Entry Form and Query Forms, chọn form Whitelist
2. Chọn chức năng Search
3. Chọn trường ID
4. Nhập giá trị tồn tại nhưng nhập kí tự hoa thường khác với dữ liệu gốc
5. Nhấn nút Go</t>
  </si>
  <si>
    <t>ID: &lt;giá trị tồn tại, đảo hoa/thường&gt;</t>
  </si>
  <si>
    <t>Kiểm tra chức năng tìm kiếm cơ bản theo ID nhập kí tự đặc biệt</t>
  </si>
  <si>
    <t>1. Truy cập màn hình Data Entry Form and Query Forms, chọn form Whitelist
2. Chọn chức năng Search
3. Chọn trường ID
4. Nhập giá trị là các kí tự đặc biệt(@, #, $, %, ^, *...) có thể tồn tại hoặc không tồn tại
5. Nhấn nút Go</t>
  </si>
  <si>
    <t>ID: @#$%</t>
  </si>
  <si>
    <t>Kiểm tra chức năng tìm kiếm cơ bản theo ID Type thỏa mãn</t>
  </si>
  <si>
    <t>Form đã có dữ liệu
Giá trị ID Type nhập tìm kiếm tồn tại trong hệ thống
User đăng nhập đã được phân quyền role maker/checker sử dụng chức năng cho form nhập liệu</t>
  </si>
  <si>
    <t>1. Truy cập màn hình Data Entry Form and Query Forms, chọn form Whitelist
2. Chọn chức năng Search
3. Chọn trường ID Type
4. Nhập/Chọn giá trị cần tìm kiếm tồn tại
5. Nhấn nút Go</t>
  </si>
  <si>
    <t>ID Type: &lt;giá trị tồn tại&gt;</t>
  </si>
  <si>
    <t>Màn hình hiển thị các bản ghi thỏa mãn điều kiện tìm kiếm
script SQL check:
select "List Code", "ID", "ID Type", "Application scenario", "Status",
 "Reason Added", "Effective date", "Description", "Comment",
 "Trạng thái phê duyệt", "Người tạo", "Ngày tạo", "Người kiểm tra", "Ngày kiểm tra"
from Whitelist where upper("ID Type") like upper('%xâu%')</t>
  </si>
  <si>
    <t>Kiểm tra chức năng tìm kiếm cơ bản theo ID Type tồn tại nhưng phân biệt hoa thường</t>
  </si>
  <si>
    <t>Form đã có dữ liệu
Giá trị ID Type tồn tại nhưng nhập khác kiểu hoa thường
User đăng nhập đã được phân quyền role maker/checker sử dụng chức năng cho form nhập liệu</t>
  </si>
  <si>
    <t>1. Truy cập màn hình Data Entry Form and Query Forms, chọn form Whitelist
2. Chọn chức năng Search
3. Chọn trường ID Type
4. Nhập giá trị tồn tại nhưng nhập kí tự hoa thường khác với dữ liệu gốc
5. Nhấn nút Go</t>
  </si>
  <si>
    <t>ID Type: &lt;giá trị tồn tại, đảo hoa/thường&gt;</t>
  </si>
  <si>
    <t>Kiểm tra chức năng tìm kiếm cơ bản theo ID Type nhập kí tự đặc biệt</t>
  </si>
  <si>
    <t>1. Truy cập màn hình Data Entry Form and Query Forms, chọn form Whitelist
2. Chọn chức năng Search
3. Chọn trường ID Type
4. Nhập giá trị là các kí tự đặc biệt(@, #, $, %, ^, *...) có thể tồn tại hoặc không tồn tại
5. Nhấn nút Go</t>
  </si>
  <si>
    <t>ID Type: @#$%</t>
  </si>
  <si>
    <t>Kiểm tra chức năng tìm kiếm cơ bản theo Application scenario thỏa mãn</t>
  </si>
  <si>
    <t>Form đã có dữ liệu
Giá trị Application scenario nhập tìm kiếm tồn tại trong hệ thống
User đăng nhập đã được phân quyền role maker/checker sử dụng chức năng cho form nhập liệu</t>
  </si>
  <si>
    <t>1. Truy cập màn hình Data Entry Form and Query Forms, chọn form Whitelist
2. Chọn chức năng Search
3. Chọn trường Application scenario
4. Nhập/Chọn giá trị cần tìm kiếm tồn tại
5. Nhấn nút Go</t>
  </si>
  <si>
    <t>Application scenario: &lt;giá trị tồn tại&gt;</t>
  </si>
  <si>
    <t>Màn hình hiển thị các bản ghi thỏa mãn điều kiện tìm kiếm
script SQL check:
select "List Code", "ID", "ID Type", "Application scenario", "Status",
 "Reason Added", "Effective date", "Description", "Comment",
 "Trạng thái phê duyệt", "Người tạo", "Ngày tạo", "Người kiểm tra", "Ngày kiểm tra"
from Whitelist where upper("Application scenario") like upper('%xâu%')</t>
  </si>
  <si>
    <t>Kiểm tra chức năng tìm kiếm cơ bản theo Application scenario tồn tại nhưng phân biệt hoa thường</t>
  </si>
  <si>
    <t>Form đã có dữ liệu
Giá trị Application scenario tồn tại nhưng nhập khác kiểu hoa thường
User đăng nhập đã được phân quyền role maker/checker sử dụng chức năng cho form nhập liệu</t>
  </si>
  <si>
    <t>1. Truy cập màn hình Data Entry Form and Query Forms, chọn form Whitelist
2. Chọn chức năng Search
3. Chọn trường Application scenario
4. Nhập giá trị tồn tại nhưng nhập kí tự hoa thường khác với dữ liệu gốc
5. Nhấn nút Go</t>
  </si>
  <si>
    <t>Application scenario: &lt;giá trị tồn tại, đảo hoa/thường&gt;</t>
  </si>
  <si>
    <t>Kiểm tra chức năng tìm kiếm cơ bản theo Application scenario nhập kí tự đặc biệt</t>
  </si>
  <si>
    <t>1. Truy cập màn hình Data Entry Form and Query Forms, chọn form Whitelist
2. Chọn chức năng Search
3. Chọn trường Application scenario
4. Nhập giá trị là các kí tự đặc biệt(@, #, $, %, ^, *...) có thể tồn tại hoặc không tồn tại
5. Nhấn nút Go</t>
  </si>
  <si>
    <t>Application scenario: @#$%</t>
  </si>
  <si>
    <t>Kiểm tra chức năng tìm kiếm cơ bản theo Status thỏa mãn</t>
  </si>
  <si>
    <t>Form đã có dữ liệu
Giá trị Status nhập tìm kiếm tồn tại trong hệ thống
User đăng nhập đã được phân quyền role maker/checker sử dụng chức năng cho form nhập liệu</t>
  </si>
  <si>
    <t>1. Truy cập màn hình Data Entry Form and Query Forms, chọn form Whitelist
2. Chọn chức năng Search
3. Chọn trường Status
4. Nhập/Chọn giá trị cần tìm kiếm tồn tại
5. Nhấn nút Go</t>
  </si>
  <si>
    <t>Status: &lt;giá trị tồn tại&gt;</t>
  </si>
  <si>
    <t>Màn hình hiển thị các bản ghi thỏa mãn điều kiện tìm kiếm
script SQL check:
select "List Code", "ID", "ID Type", "Application scenario", "Status",
 "Reason Added", "Effective date", "Description", "Comment",
 "Trạng thái phê duyệt", "Người tạo", "Ngày tạo", "Người kiểm tra", "Ngày kiểm tra"
from Whitelist where upper("Status") like upper('%xâu%')</t>
  </si>
  <si>
    <t>Kiểm tra chức năng tìm kiếm cơ bản theo Reason Added thỏa mãn</t>
  </si>
  <si>
    <t>Form đã có dữ liệu
Giá trị Reason Added nhập tìm kiếm tồn tại trong hệ thống
User đăng nhập đã được phân quyền role maker/checker sử dụng chức năng cho form nhập liệu</t>
  </si>
  <si>
    <t>1. Truy cập màn hình Data Entry Form and Query Forms, chọn form Whitelist
2. Chọn chức năng Search
3. Chọn trường Reason Added
4. Nhập/Chọn giá trị cần tìm kiếm tồn tại
5. Nhấn nút Go</t>
  </si>
  <si>
    <t>Reason Added: &lt;giá trị tồn tại&gt;</t>
  </si>
  <si>
    <t>Màn hình hiển thị các bản ghi thỏa mãn điều kiện tìm kiếm
script SQL check:
select "List Code", "ID", "ID Type", "Application scenario", "Status",
 "Reason Added", "Effective date", "Description", "Comment",
 "Trạng thái phê duyệt", "Người tạo", "Ngày tạo", "Người kiểm tra", "Ngày kiểm tra"
from Whitelist where upper("Reason Added") like upper('%xâu%')</t>
  </si>
  <si>
    <t>Kiểm tra chức năng tìm kiếm cơ bản theo Reason Added tồn tại nhưng phân biệt hoa thường</t>
  </si>
  <si>
    <t>Form đã có dữ liệu
Giá trị Reason Added tồn tại nhưng nhập khác kiểu hoa thường
User đăng nhập đã được phân quyền role maker/checker sử dụng chức năng cho form nhập liệu</t>
  </si>
  <si>
    <t>1. Truy cập màn hình Data Entry Form and Query Forms, chọn form Whitelist
2. Chọn chức năng Search
3. Chọn trường Reason Added
4. Nhập giá trị tồn tại nhưng nhập kí tự hoa thường khác với dữ liệu gốc
5. Nhấn nút Go</t>
  </si>
  <si>
    <t>Reason Added: &lt;giá trị tồn tại, đảo hoa/thường&gt;</t>
  </si>
  <si>
    <t>Kiểm tra chức năng tìm kiếm cơ bản theo Reason Added nhập kí tự đặc biệt</t>
  </si>
  <si>
    <t>1. Truy cập màn hình Data Entry Form and Query Forms, chọn form Whitelist
2. Chọn chức năng Search
3. Chọn trường Reason Added
4. Nhập giá trị là các kí tự đặc biệt(@, #, $, %, ^, *...) có thể tồn tại hoặc không tồn tại
5. Nhấn nút Go</t>
  </si>
  <si>
    <t>Reason Added: @#$%</t>
  </si>
  <si>
    <t>Kiểm tra chức năng tìm kiếm cơ bản theo Effective date thỏa mãn</t>
  </si>
  <si>
    <t>Form đã có dữ liệu
Giá trị Effective date nhập tìm kiếm tồn tại trong hệ thống
User đăng nhập đã được phân quyền role maker/checker sử dụng chức năng cho form nhập liệu</t>
  </si>
  <si>
    <t>1. Truy cập màn hình Data Entry Form and Query Forms, chọn form Whitelist
2. Chọn chức năng Search
3. Chọn trường Effective date
4. Nhập/Chọn giá trị cần tìm kiếm tồn tại
5. Nhấn nút Go</t>
  </si>
  <si>
    <t>Effective date: &lt;giá trị tồn tại&gt;</t>
  </si>
  <si>
    <t>Màn hình hiển thị các bản ghi thỏa mãn điều kiện tìm kiếm
script SQL check:
select "List Code", "ID", "ID Type", "Application scenario", "Status",
 "Reason Added", "Effective date", "Description", "Comment",
 "Trạng thái phê duyệt", "Người tạo", "Ngày tạo", "Người kiểm tra", "Ngày kiểm tra"
from Whitelist where upper("Effective date") like upper('%xâu%')</t>
  </si>
  <si>
    <t>Kiểm tra chức năng tìm kiếm cơ bản theo Effective date nhập kí tự đặc biệt</t>
  </si>
  <si>
    <t>1. Truy cập màn hình Data Entry Form and Query Forms, chọn form Whitelist
2. Chọn chức năng Search
3. Chọn trường Effective date
4. Nhập giá trị là các kí tự đặc biệt(@, #, $, %, ^, *...) có thể tồn tại hoặc không tồn tại
5. Nhấn nút Go</t>
  </si>
  <si>
    <t>Effective date: @#$%</t>
  </si>
  <si>
    <t>Kiểm tra chức năng tìm kiếm cơ bản theo Description thỏa mãn</t>
  </si>
  <si>
    <t>Form đã có dữ liệu
Giá trị Description nhập tìm kiếm tồn tại trong hệ thống
User đăng nhập đã được phân quyền role maker/checker sử dụng chức năng cho form nhập liệu</t>
  </si>
  <si>
    <t>1. Truy cập màn hình Data Entry Form and Query Forms, chọn form Whitelist
2. Chọn chức năng Search
3. Chọn trường Description
4. Nhập/Chọn giá trị cần tìm kiếm tồn tại
5. Nhấn nút Go</t>
  </si>
  <si>
    <t>Description: &lt;giá trị tồn tại&gt;</t>
  </si>
  <si>
    <t>Màn hình hiển thị các bản ghi thỏa mãn điều kiện tìm kiếm
script SQL check:
select "List Code", "ID", "ID Type", "Application scenario", "Status",
 "Reason Added", "Effective date", "Description", "Comment",
 "Trạng thái phê duyệt", "Người tạo", "Ngày tạo", "Người kiểm tra", "Ngày kiểm tra"
from Whitelist where upper("Description") like upper('%xâu%')</t>
  </si>
  <si>
    <t>Kiểm tra chức năng tìm kiếm cơ bản theo Description tồn tại nhưng phân biệt hoa thường</t>
  </si>
  <si>
    <t>Form đã có dữ liệu
Giá trị Description tồn tại nhưng nhập khác kiểu hoa thường
User đăng nhập đã được phân quyền role maker/checker sử dụng chức năng cho form nhập liệu</t>
  </si>
  <si>
    <t>1. Truy cập màn hình Data Entry Form and Query Forms, chọn form Whitelist
2. Chọn chức năng Search
3. Chọn trường Description
4. Nhập giá trị tồn tại nhưng nhập kí tự hoa thường khác với dữ liệu gốc
5. Nhấn nút Go</t>
  </si>
  <si>
    <t>Description: &lt;giá trị tồn tại, đảo hoa/thường&gt;</t>
  </si>
  <si>
    <t>Kiểm tra chức năng tìm kiếm cơ bản theo Description nhập kí tự đặc biệt</t>
  </si>
  <si>
    <t>1. Truy cập màn hình Data Entry Form and Query Forms, chọn form Whitelist
2. Chọn chức năng Search
3. Chọn trường Description
4. Nhập giá trị là các kí tự đặc biệt(@, #, $, %, ^, *...) có thể tồn tại hoặc không tồn tại
5. Nhấn nút Go</t>
  </si>
  <si>
    <t>Description: @#$%</t>
  </si>
  <si>
    <t>Kiểm tra chức năng tìm kiếm cơ bản theo Comment thỏa mãn</t>
  </si>
  <si>
    <t>Form đã có dữ liệu
Giá trị Comment nhập tìm kiếm tồn tại trong hệ thống
User đăng nhập đã được phân quyền role maker/checker sử dụng chức năng cho form nhập liệu</t>
  </si>
  <si>
    <t>1. Truy cập màn hình Data Entry Form and Query Forms, chọn form Whitelist
2. Chọn chức năng Search
3. Chọn trường Comment
4. Nhập/Chọn giá trị cần tìm kiếm tồn tại
5. Nhấn nút Go</t>
  </si>
  <si>
    <t>Comment: &lt;giá trị tồn tại&gt;</t>
  </si>
  <si>
    <t>Màn hình hiển thị các bản ghi thỏa mãn điều kiện tìm kiếm
script SQL check:
select "List Code", "ID", "ID Type", "Application scenario", "Status",
 "Reason Added", "Effective date", "Description", "Comment",
 "Trạng thái phê duyệt", "Người tạo", "Ngày tạo", "Người kiểm tra", "Ngày kiểm tra"
from Whitelist where upper("Comment") like upper('%xâu%')</t>
  </si>
  <si>
    <t>Kiểm tra chức năng tìm kiếm cơ bản theo Comment tồn tại nhưng phân biệt hoa thường</t>
  </si>
  <si>
    <t>Form đã có dữ liệu
Giá trị Comment tồn tại nhưng nhập khác kiểu hoa thường
User đăng nhập đã được phân quyền role maker/checker sử dụng chức năng cho form nhập liệu</t>
  </si>
  <si>
    <t>1. Truy cập màn hình Data Entry Form and Query Forms, chọn form Whitelist
2. Chọn chức năng Search
3. Chọn trường Comment
4. Nhập giá trị tồn tại nhưng nhập kí tự hoa thường khác với dữ liệu gốc
5. Nhấn nút Go</t>
  </si>
  <si>
    <t>Comment: &lt;giá trị tồn tại, đảo hoa/thường&gt;</t>
  </si>
  <si>
    <t>Kiểm tra chức năng tìm kiếm cơ bản theo Comment nhập kí tự đặc biệt</t>
  </si>
  <si>
    <t>1. Truy cập màn hình Data Entry Form and Query Forms, chọn form Whitelist
2. Chọn chức năng Search
3. Chọn trường Comment
4. Nhập giá trị là các kí tự đặc biệt(@, #, $, %, ^, *...) có thể tồn tại hoặc không tồn tại
5. Nhấn nút Go</t>
  </si>
  <si>
    <t>Comment: @#$%</t>
  </si>
  <si>
    <t>Kiểm tra chức năng tìm kiếm kết hợp nhiều tiêu chí</t>
  </si>
  <si>
    <t>1. Truy cập màn hình Data Entry Form and Query Forms, chọn form Whitelist
2. Chọn chức năng Search
3. Nhập đồng thời nhiều trường tìm kiếm (Application scenario, ID Type, Status)
4. Nhấn nút Go</t>
  </si>
  <si>
    <t>Application scenario: AML-01; ID Type: Customer; Status: Active</t>
  </si>
  <si>
    <t>Màn hình hiển thị các bản ghi thỏa mãn đồng thời tất cả tiêu chí tìm kiếm (điều kiện AND)</t>
  </si>
  <si>
    <t>Kiểm tra chức năng tìm kiếm khi bỏ trống toàn bộ tiêu chí</t>
  </si>
  <si>
    <t>1. Truy cập màn hình Data Entry Form and Query Forms, chọn form Whitelist
2. Chọn chức năng Search
3. Không nhập tiêu chí nào
4. Nhấn nút Go</t>
  </si>
  <si>
    <t>Màn hình hiển thị toàn bộ danh sách bản ghi whitelist đang tồn tại</t>
  </si>
  <si>
    <t>2. Kiểm tra chức năng Upload Excel</t>
  </si>
  <si>
    <t>2.1. Kiểm tra Template Upload</t>
  </si>
  <si>
    <t>Kiểm tra template Excel upload đúng cấu trúc cột</t>
  </si>
  <si>
    <t>User đăng nhập đã được phân quyền role maker sử dụng chức năng cho form nhập liệu</t>
  </si>
  <si>
    <t>1. NSD vào Data Entry Forms and Queries, chọn Excel upload
2. Trong mục Excel-Entity Mapping, Select Mapping bấm &lt;mũi tên&gt;
3. Chọn Download Excel của Whitelist</t>
  </si>
  <si>
    <t>Template tải về có đầy đủ các cột theo BRD: ID, ID Type, Application scenario, Status, Reason Added, Description, Comment (List Code và Effective date do hệ thống tự sinh, không có trong file nhập)</t>
  </si>
  <si>
    <t>UPL</t>
  </si>
  <si>
    <t>2.2. Kiểm tra Validate các trường dữ liệu</t>
  </si>
  <si>
    <t>Kiểm tra chức năng Upload file không thành công khi bỏ trống không chọn file upload</t>
  </si>
  <si>
    <t>1. NSD vào Data Entry Forms and Queries, chọn Excel upload
2. Trong mục Excel Utilities chọn Excel Upload
3. Tại mục Excel to Upload, bỏ trống không chọn file upload
4. Tại mục Excel-Entity Mappings, Select Mapping bấm &lt;mũi tên&gt;
5. Chọn mapping Whitelist
6. Bấm Upload</t>
  </si>
  <si>
    <t>Hệ thống hiển thị thông báo lỗi: [13496] Please select an Excel file [Ghi chú: mã/thông báo lỗi theo mẫu OFSAA, rà soát theo build Whitelist thực tế]</t>
  </si>
  <si>
    <t>Kiểm tra chức năng Upload file không thành công khi sai định dạng file upload</t>
  </si>
  <si>
    <t>1. NSD vào Data Entry Forms and Queries, chọn Excel upload
2. Trong mục Excel Utilities chọn Excel Upload
3. Tại mục Excel to Upload, Excel file bấm &lt;Browse&gt;
4. Chọn File không phải định dạng Excel và bấm &lt;mũi tên&gt;
5. Select Mapping Whitelist
6. Bấm Upload</t>
  </si>
  <si>
    <t>File .txt/.pdf</t>
  </si>
  <si>
    <t>Hệ thống hiển thị thông báo lỗi: [4402] Select the Excel File [Ghi chú: mã/thông báo lỗi theo mẫu OFSAA, rà soát theo build Whitelist thực tế]</t>
  </si>
  <si>
    <t>Kiểm tra chức năng Upload file không thành công khi sai mapping/template</t>
  </si>
  <si>
    <t>1. NSD vào Data Entry Forms and Queries, chọn Excel upload
2. Trong mục Excel Utilities chọn Excel Upload
3. Chọn file đúng dữ liệu nhưng sai cấu trúc cột so với template
4. Select Mapping Whitelist
5. Bấm Upload</t>
  </si>
  <si>
    <t>File Excel sai thứ tự/tên cột</t>
  </si>
  <si>
    <t>Hệ thống hiển thị thông báo lỗi: [17597] Mismatch in column order or column name in the selected excel file and excel template. Kindly correct the excel file or choose the correct template. [Ghi chú: mã/thông báo lỗi theo mẫu OFSAA, rà soát theo build Whitelist thực tế]</t>
  </si>
  <si>
    <t>Kiểm tra chức năng Upload file không thành công khi file chỉ có header, không có bản ghi</t>
  </si>
  <si>
    <t>1. NSD vào Data Entry Forms and Queries, chọn Excel upload
2. Trong mục Excel Utilities chọn Excel Upload
3. Chọn file chỉ có dòng tiêu đề, không có dữ liệu
4. Select Mapping Whitelist
5. Bấm Upload</t>
  </si>
  <si>
    <t>File chỉ có header</t>
  </si>
  <si>
    <t>Hệ thống hiển thị thông báo lỗi: [17178] No records in the Excel sheet to load into Whitelist [Ghi chú: mã/thông báo lỗi theo mẫu OFSAA, rà soát theo build Whitelist thực tế]</t>
  </si>
  <si>
    <t>Kiểm tra chức năng Upload file không thành công khi để trống trường ID</t>
  </si>
  <si>
    <t>1. NSD vào Data Entry Forms and Queries, chọn Excel upload
2. Trong mục Excel Utilities chọn Excel Upload
3. Tại mục Excel to Upload, Excel file bấm &lt;Browse&gt;
4. Chọn File cần upload và bấm &lt;mũi tên&gt;. File dữ liệu bỏ trống trường ID, các trường còn lại điền đủ, đúng theo format yêu cầu trong BRD
5. Chọn sheet chứa dữ liệu cần upload
6. Tại mục Excel-Standard Mapping, Select Mapping bấm &lt;mũi tên&gt;
7. Chọn mapping Whitelist
8. Bấm Upload
9. Kiểm tra thông tin upload trong form Whitelist</t>
  </si>
  <si>
    <t>ID = &lt;trống&gt;</t>
  </si>
  <si>
    <t>Hệ thống hiển thị thông báo lỗi: [17158] Failed to upload data into Whitelist. Please click on View Log button to check the logs.
Logs: cannot insert NULL into "ID" [Ghi chú: mã/thông báo lỗi theo mẫu OFSAA, rà soát theo build Whitelist thực tế]</t>
  </si>
  <si>
    <t>Kiểm tra chức năng Upload file không thành công khi để trống trường ID Type</t>
  </si>
  <si>
    <t>1. NSD vào Data Entry Forms and Queries, chọn Excel upload
2. Trong mục Excel Utilities chọn Excel Upload
3. Tại mục Excel to Upload, Excel file bấm &lt;Browse&gt;
4. Chọn File cần upload và bấm &lt;mũi tên&gt;. File dữ liệu bỏ trống trường ID Type, các trường còn lại điền đủ, đúng theo format yêu cầu trong BRD
5. Chọn sheet chứa dữ liệu cần upload
6. Tại mục Excel-Standard Mapping, Select Mapping bấm &lt;mũi tên&gt;
7. Chọn mapping Whitelist
8. Bấm Upload
9. Kiểm tra thông tin upload trong form Whitelist</t>
  </si>
  <si>
    <t>ID Type = &lt;trống&gt;</t>
  </si>
  <si>
    <t>Hệ thống hiển thị thông báo lỗi: [17158] Failed to upload data into Whitelist. Please click on View Log button to check the logs.
Logs: cannot insert NULL into "ID Type" [Ghi chú: mã/thông báo lỗi theo mẫu OFSAA, rà soát theo build Whitelist thực tế]</t>
  </si>
  <si>
    <t>Kiểm tra chức năng Upload file không thành công khi để trống trường Application scenario</t>
  </si>
  <si>
    <t>1. NSD vào Data Entry Forms and Queries, chọn Excel upload
2. Trong mục Excel Utilities chọn Excel Upload
3. Tại mục Excel to Upload, Excel file bấm &lt;Browse&gt;
4. Chọn File cần upload và bấm &lt;mũi tên&gt;. File dữ liệu bỏ trống trường Application scenario, các trường còn lại điền đủ, đúng theo format yêu cầu trong BRD
5. Chọn sheet chứa dữ liệu cần upload
6. Tại mục Excel-Standard Mapping, Select Mapping bấm &lt;mũi tên&gt;
7. Chọn mapping Whitelist
8. Bấm Upload
9. Kiểm tra thông tin upload trong form Whitelist</t>
  </si>
  <si>
    <t>Application scenario = &lt;trống&gt;</t>
  </si>
  <si>
    <t>Hệ thống hiển thị thông báo lỗi: [17158] Failed to upload data into Whitelist. Please click on View Log button to check the logs.
Logs: cannot insert NULL into "Application scenario" [Ghi chú: mã/thông báo lỗi theo mẫu OFSAA, rà soát theo build Whitelist thực tế]</t>
  </si>
  <si>
    <t>Kiểm tra chức năng Upload file không thành công khi để trống trường Status</t>
  </si>
  <si>
    <t>1. NSD vào Data Entry Forms and Queries, chọn Excel upload
2. Trong mục Excel Utilities chọn Excel Upload
3. Tại mục Excel to Upload, Excel file bấm &lt;Browse&gt;
4. Chọn File cần upload và bấm &lt;mũi tên&gt;. File dữ liệu bỏ trống trường Status, các trường còn lại điền đủ, đúng theo format yêu cầu trong BRD
5. Chọn sheet chứa dữ liệu cần upload
6. Tại mục Excel-Standard Mapping, Select Mapping bấm &lt;mũi tên&gt;
7. Chọn mapping Whitelist
8. Bấm Upload
9. Kiểm tra thông tin upload trong form Whitelist</t>
  </si>
  <si>
    <t>Status = &lt;trống&gt;</t>
  </si>
  <si>
    <t>Hệ thống hiển thị thông báo lỗi: [17158] Failed to upload data into Whitelist. Please click on View Log button to check the logs.
Logs: cannot insert NULL into "Status" [Ghi chú: mã/thông báo lỗi theo mẫu OFSAA, rà soát theo build Whitelist thực tế]</t>
  </si>
  <si>
    <t>Kiểm tra chức năng Upload file không thành công khi nhập quá độ dài trường ID</t>
  </si>
  <si>
    <t>1. NSD vào Data Entry Forms and Queries, chọn Excel upload
2. Trong mục Excel Utilities chọn Excel Upload
3. Tại mục Excel to Upload, Excel file bấm &lt;Browse&gt;
4. Chọn File cần upload và bấm &lt;mũi tên&gt;. File dữ liệu nhập trường ID vượt quá 50 ký tự, các trường còn lại điền đủ, đúng theo format yêu cầu trong BRD
5. Chọn sheet chứa dữ liệu cần upload
6. Tại mục Excel-Standard Mapping, Select Mapping bấm &lt;mũi tên&gt;
7. Chọn mapping Whitelist
8. Bấm Upload
9. Kiểm tra thông tin upload trong form Whitelist</t>
  </si>
  <si>
    <t>ID: chuỗi 51 ký tự</t>
  </si>
  <si>
    <t>Hệ thống hiển thị thông báo lỗi vượt quá độ dài cho phép của trường ID (tối đa 50)</t>
  </si>
  <si>
    <t>Kiểm tra chức năng Upload file không thành công khi nhập quá độ dài trường ID Type</t>
  </si>
  <si>
    <t>1. NSD vào Data Entry Forms and Queries, chọn Excel upload
2. Trong mục Excel Utilities chọn Excel Upload
3. Tại mục Excel to Upload, Excel file bấm &lt;Browse&gt;
4. Chọn File cần upload và bấm &lt;mũi tên&gt;. File dữ liệu nhập trường ID Type vượt quá 50 ký tự, các trường còn lại điền đủ, đúng theo format yêu cầu trong BRD
5. Chọn sheet chứa dữ liệu cần upload
6. Tại mục Excel-Standard Mapping, Select Mapping bấm &lt;mũi tên&gt;
7. Chọn mapping Whitelist
8. Bấm Upload
9. Kiểm tra thông tin upload trong form Whitelist</t>
  </si>
  <si>
    <t>ID Type: chuỗi 51 ký tự</t>
  </si>
  <si>
    <t>Hệ thống hiển thị thông báo lỗi vượt quá độ dài cho phép của trường ID Type (tối đa 50)</t>
  </si>
  <si>
    <t>Kiểm tra chức năng Upload file không thành công khi nhập quá độ dài trường Application scenario</t>
  </si>
  <si>
    <t>1. NSD vào Data Entry Forms and Queries, chọn Excel upload
2. Trong mục Excel Utilities chọn Excel Upload
3. Tại mục Excel to Upload, Excel file bấm &lt;Browse&gt;
4. Chọn File cần upload và bấm &lt;mũi tên&gt;. File dữ liệu nhập trường Application scenario vượt quá 500 ký tự, các trường còn lại điền đủ, đúng theo format yêu cầu trong BRD
5. Chọn sheet chứa dữ liệu cần upload
6. Tại mục Excel-Standard Mapping, Select Mapping bấm &lt;mũi tên&gt;
7. Chọn mapping Whitelist
8. Bấm Upload
9. Kiểm tra thông tin upload trong form Whitelist</t>
  </si>
  <si>
    <t>Application scenario: chuỗi 501 ký tự</t>
  </si>
  <si>
    <t>Hệ thống hiển thị thông báo lỗi vượt quá độ dài cho phép của trường Application scenario (tối đa 500)</t>
  </si>
  <si>
    <t>Kiểm tra chức năng Upload file không thành công khi nhập quá độ dài trường Reason Added</t>
  </si>
  <si>
    <t>1. NSD vào Data Entry Forms and Queries, chọn Excel upload
2. Trong mục Excel Utilities chọn Excel Upload
3. Tại mục Excel to Upload, Excel file bấm &lt;Browse&gt;
4. Chọn File cần upload và bấm &lt;mũi tên&gt;. File dữ liệu nhập trường Reason Added vượt quá 500 ký tự, các trường còn lại điền đủ, đúng theo format yêu cầu trong BRD
5. Chọn sheet chứa dữ liệu cần upload
6. Tại mục Excel-Standard Mapping, Select Mapping bấm &lt;mũi tên&gt;
7. Chọn mapping Whitelist
8. Bấm Upload
9. Kiểm tra thông tin upload trong form Whitelist</t>
  </si>
  <si>
    <t>Reason Added: chuỗi 501 ký tự</t>
  </si>
  <si>
    <t>Hệ thống hiển thị thông báo lỗi vượt quá độ dài cho phép của trường Reason Added (tối đa 500)</t>
  </si>
  <si>
    <t>Kiểm tra chức năng Upload file không thành công khi nhập quá độ dài trường Description</t>
  </si>
  <si>
    <t>1. NSD vào Data Entry Forms and Queries, chọn Excel upload
2. Trong mục Excel Utilities chọn Excel Upload
3. Tại mục Excel to Upload, Excel file bấm &lt;Browse&gt;
4. Chọn File cần upload và bấm &lt;mũi tên&gt;. File dữ liệu nhập trường Description vượt quá 500 ký tự, các trường còn lại điền đủ, đúng theo format yêu cầu trong BRD
5. Chọn sheet chứa dữ liệu cần upload
6. Tại mục Excel-Standard Mapping, Select Mapping bấm &lt;mũi tên&gt;
7. Chọn mapping Whitelist
8. Bấm Upload
9. Kiểm tra thông tin upload trong form Whitelist</t>
  </si>
  <si>
    <t>Description: chuỗi 501 ký tự</t>
  </si>
  <si>
    <t>Hệ thống hiển thị thông báo lỗi vượt quá độ dài cho phép của trường Description (tối đa 500)</t>
  </si>
  <si>
    <t>Kiểm tra chức năng Upload file không thành công khi nhập quá độ dài trường Comment</t>
  </si>
  <si>
    <t>1. NSD vào Data Entry Forms and Queries, chọn Excel upload
2. Trong mục Excel Utilities chọn Excel Upload
3. Tại mục Excel to Upload, Excel file bấm &lt;Browse&gt;
4. Chọn File cần upload và bấm &lt;mũi tên&gt;. File dữ liệu nhập trường Comment vượt quá 500 ký tự, các trường còn lại điền đủ, đúng theo format yêu cầu trong BRD
5. Chọn sheet chứa dữ liệu cần upload
6. Tại mục Excel-Standard Mapping, Select Mapping bấm &lt;mũi tên&gt;
7. Chọn mapping Whitelist
8. Bấm Upload
9. Kiểm tra thông tin upload trong form Whitelist</t>
  </si>
  <si>
    <t>Comment: chuỗi 501 ký tự</t>
  </si>
  <si>
    <t>Hệ thống hiển thị thông báo lỗi vượt quá độ dài cho phép của trường Comment (tối đa 500)</t>
  </si>
  <si>
    <t>Kiểm tra chức năng Upload file không thành công khi Status không hợp lệ</t>
  </si>
  <si>
    <t>1. NSD vào Data Entry Forms and Queries, chọn Excel upload
2. Trong mục Excel Utilities chọn Excel Upload
3. Tại mục Excel to Upload, Excel file bấm &lt;Browse&gt;
4. Chọn File cần upload và bấm &lt;mũi tên&gt;. File dữ liệu nhập trường Status là giá trị không thuộc {Active, Deactivated}, các trường còn lại điền đủ
5. Chọn sheet chứa dữ liệu cần upload
6. Tại mục Excel-Standard Mapping, Select Mapping bấm &lt;mũi tên&gt;
7. Chọn mapping Whitelist
8. Bấm Upload
9. Kiểm tra thông tin upload trong form Whitelist</t>
  </si>
  <si>
    <t>Status: 'Enable'</t>
  </si>
  <si>
    <t>Hệ thống hiển thị thông báo lỗi giá trị Status không hợp lệ (chỉ nhận Active/Deactivated)</t>
  </si>
  <si>
    <t>Kiểm tra chức năng Upload file không thành công khi Application scenario không tồn tại</t>
  </si>
  <si>
    <t>1. NSD vào Data Entry Forms and Queries, chọn Excel upload
2. Trong mục Excel Utilities chọn Excel Upload
3. Tại mục Excel to Upload, Excel file bấm &lt;Browse&gt;
4. Chọn File cần upload và bấm &lt;mũi tên&gt;. File dữ liệu nhập trường Application scenario không tồn tại trong danh mục kịch bản, các trường còn lại điền đủ
5. Chọn sheet chứa dữ liệu cần upload
6. Tại mục Excel-Standard Mapping, Select Mapping bấm &lt;mũi tên&gt;
7. Chọn mapping Whitelist
8. Bấm Upload
9. Kiểm tra thông tin upload trong form Whitelist</t>
  </si>
  <si>
    <t>Application scenario: AML-99</t>
  </si>
  <si>
    <t>Hệ thống hiển thị thông báo lỗi kịch bản không tồn tại/không hợp lệ</t>
  </si>
  <si>
    <t>Kiểm tra chức năng Upload file khi ID Type không phù hợp đối tượng giám sát của kịch bản</t>
  </si>
  <si>
    <t>1. NSD vào Data Entry Forms and Queries, chọn Excel upload
2. Trong mục Excel Utilities chọn Excel Upload
3. Tại mục Excel to Upload, Excel file bấm &lt;Browse&gt;
4. Chọn File cần upload và bấm &lt;mũi tên&gt;. File dữ liệu nhập ID Type không phù hợp đối tượng giám sát của kịch bản đã chọn, các trường còn lại điền đủ
5. Chọn sheet chứa dữ liệu cần upload
6. Tại mục Excel-Standard Mapping, Select Mapping bấm &lt;mũi tên&gt;
7. Chọn mapping Whitelist
8. Bấm Upload
9. Kiểm tra thông tin upload trong form Whitelist</t>
  </si>
  <si>
    <t>Application scenario: AML-10 (giám sát Tài khoản); ID Type: Customer</t>
  </si>
  <si>
    <t>Hệ thống cảnh báo/loại bỏ dòng do ID Type không phù hợp đối tượng giám sát của kịch bản [Ghi chú: mã/thông báo lỗi theo mẫu OFSAA, rà soát theo build Whitelist thực tế]</t>
  </si>
  <si>
    <t>2.3. Kiểm tra chức năng Upload Tạo mới</t>
  </si>
  <si>
    <t>Kiểm tra chức năng Upload file thành công khi các trường điền đủ, đúng format</t>
  </si>
  <si>
    <t>1. NSD vào Data Entry Forms and Queries, chọn Excel upload
2. Trong mục Excel Utilities chọn Excel Upload
3. Tại mục Excel to Upload, Excel file bấm &lt;Browse&gt;
4. Chọn File cần upload và bấm &lt;mũi tên&gt;. File dữ liệu các trường điền đủ, đúng theo format yêu cầu trong BRD
5. Chọn sheet chứa dữ liệu cần upload
6. Tại mục Excel-Standard Mapping, Select Mapping bấm &lt;mũi tên&gt;
7. Chọn mapping Whitelist
8. Bấm Upload
9. Kiểm tra thông tin upload trong form Whitelist</t>
  </si>
  <si>
    <t>1 bản ghi hợp lệ</t>
  </si>
  <si>
    <t>1. Hệ thống hiển thị thông báo thành công
2. Dữ liệu được lưu vào Database
3. Các bản ghi trong form upload đã được hiển thị trên màn hình View
4. Hệ thống tự sinh các trường thông tin gồm:
- List Code theo nguyên tắc: Mã kịch bản + STT
- Trạng thái phê duyệt: Unauthorized; Người tạo; Ngày tạo
- Effective date chưa sinh (chờ phê duyệt)</t>
  </si>
  <si>
    <t>Kiểm tra chức năng Upload file thành công với nhiều bản ghi cùng lúc</t>
  </si>
  <si>
    <t>1. NSD vào Data Entry Forms and Queries, chọn Excel upload
2. Trong mục Excel Utilities chọn Excel Upload
3. Tại mục Excel to Upload, Excel file bấm &lt;Browse&gt;
4. Chọn File cần upload và bấm &lt;mũi tên&gt;. File dữ liệu chứa nhiều bản ghi (≥ 50 bản ghi), các trường điền đủ, đúng theo format yêu cầu trong BRD
5. Chọn sheet chứa dữ liệu cần upload
6. Tại mục Excel-Standard Mapping, Select Mapping bấm &lt;mũi tên&gt;
7. Chọn mapping Whitelist
8. Bấm Upload
9. Kiểm tra thông tin upload trong form Whitelist</t>
  </si>
  <si>
    <t>≥ 50 bản ghi hợp lệ</t>
  </si>
  <si>
    <t>1. Hệ thống hiển thị thông báo thành công
2. Dữ liệu được lưu vào Database
3. Các bản ghi trong form upload đã được hiển thị trên màn hình View
4. Hệ thống tự sinh các trường thông tin gồm:
- List Code theo nguyên tắc: Mã kịch bản + STT
- Trạng thái phê duyệt: Unauthorized; Người tạo; Ngày tạo
- Effective date chưa sinh (chờ phê duyệt)
5. Mỗi bản ghi được sinh List Code riêng</t>
  </si>
  <si>
    <t>2.4. Kiểm tra chức năng Upload Chỉnh sửa</t>
  </si>
  <si>
    <t>Kiểm tra chức năng Upload chỉnh sửa - bản ghi trùng Key cập nhật trường còn lại</t>
  </si>
  <si>
    <t>User đăng nhập đã được phân quyền role maker sử dụng chức năng cho form nhập liệu
Đã tồn tại bản ghi trên hệ thống</t>
  </si>
  <si>
    <t>1. NSD vào Data Entry Forms and Queries, chọn Excel upload
2. Trong mục Excel Utilities chọn Excel Upload
3. Tại mục Excel to Upload, Excel file bấm &lt;Browse&gt;
4. Chọn File cần upload và bấm &lt;mũi tên&gt;. File dữ liệu chứa bản ghi trùng bộ Key (ID + ID Type + Application scenario) với bản ghi đã có, các trường khác thay đổi và điền đủ
5. Chọn sheet chứa dữ liệu cần upload
6. Tại mục Excel-Standard Mapping, Select Mapping bấm &lt;mũi tên&gt;
7. Chọn mapping Whitelist
8. Bấm Upload
9. Kiểm tra thông tin upload trong form Whitelist</t>
  </si>
  <si>
    <t>Key trùng bản ghi cũ; các trường khác thay đổi</t>
  </si>
  <si>
    <t>1. Hệ thống hiển thị thông báo thành công
2. Cập nhật các trường thông tin còn lại theo bản ghi mới import vào đúng bản ghi đã tồn tại; KHÔNG sinh bản ghi mới; List Code giữ nguyên</t>
  </si>
  <si>
    <t>Kiểm tra chức năng Upload chỉnh sửa - Key khác bản ghi cũ sinh bản ghi mới</t>
  </si>
  <si>
    <t>1. NSD vào Data Entry Forms and Queries, chọn Excel upload
2. Trong mục Excel Utilities chọn Excel Upload
3. Tại mục Excel to Upload, Excel file bấm &lt;Browse&gt;
4. Chọn File cần upload và bấm &lt;mũi tên&gt;. File dữ liệu chứa bản ghi khác bộ Key (ID + ID Type + Application scenario) so với các bản ghi đã có, các trường điền đủ
5. Chọn sheet chứa dữ liệu cần upload
6. Tại mục Excel-Standard Mapping, Select Mapping bấm &lt;mũi tên&gt;
7. Chọn mapping Whitelist
8. Bấm Upload
9. Kiểm tra thông tin upload trong form Whitelist</t>
  </si>
  <si>
    <t>Key mới (khác ID/ID Type/Application scenario)</t>
  </si>
  <si>
    <t>1. Hệ thống hiển thị thông báo thành công
2. Sinh bản ghi mới với List Code mới, trạng thái Unauthorized</t>
  </si>
  <si>
    <t>3. Kiểm tra chức năng Thêm mới</t>
  </si>
  <si>
    <t>3.1. Kiểm tra giao diện hiển thị</t>
  </si>
  <si>
    <t>Kiểm tra giao diện hiển thị form Thêm mới</t>
  </si>
  <si>
    <t>1. Truy cập màn hình Data Entry Form and Query Forms, chọn form Whitelist
2. Chọn Add
3. Kiểm tra giao diện hiển thị</t>
  </si>
  <si>
    <t>Form hiển thị đủ trường nhập: ID *, ID Type *, Application scenario *, Status *, Reason Added, Description, Comment. List Code và Effective date để trống/không cho nhập (tự sinh)</t>
  </si>
  <si>
    <t>ADD</t>
  </si>
  <si>
    <t>3.2. Kiểm tra Validate các trường dữ liệu</t>
  </si>
  <si>
    <t>Kiểm tra chức năng Thêm mới không thành công khi để trống trường ID</t>
  </si>
  <si>
    <t>1. Truy cập màn hình Data Entry Form and Query Forms, chọn form Whitelist
2. Chọn Add
3. Để trống trường ID, các trường khác nhập đúng và đủ theo yêu cầu
4. Nhấn nút Save</t>
  </si>
  <si>
    <t>Hệ thống hiển thị popup thông báo trong thời gian ngắn sau đó hiện in-text đỏ như sau:
Row :1 - Error Code :1400 - ORA-01400: cannot insert NULL into ("Whitelist"."ID") [Ghi chú: mã/thông báo lỗi theo mẫu OFSAA, rà soát theo build Whitelist thực tế]</t>
  </si>
  <si>
    <t>Kiểm tra chức năng Thêm mới không thành công khi để trống trường ID Type</t>
  </si>
  <si>
    <t>1. Truy cập màn hình Data Entry Form and Query Forms, chọn form Whitelist
2. Chọn Add
3. Để trống trường ID Type, các trường khác nhập đúng và đủ theo yêu cầu
4. Nhấn nút Save</t>
  </si>
  <si>
    <t>Hệ thống hiển thị popup thông báo trong thời gian ngắn sau đó hiện in-text đỏ như sau:
Row :1 - Error Code :1400 - ORA-01400: cannot insert NULL into ("Whitelist"."ID Type") [Ghi chú: mã/thông báo lỗi theo mẫu OFSAA, rà soát theo build Whitelist thực tế]</t>
  </si>
  <si>
    <t>Kiểm tra chức năng Thêm mới không thành công khi để trống trường Application scenario</t>
  </si>
  <si>
    <t>1. Truy cập màn hình Data Entry Form and Query Forms, chọn form Whitelist
2. Chọn Add
3. Để trống trường Application scenario, các trường khác nhập đúng và đủ theo yêu cầu
4. Nhấn nút Save</t>
  </si>
  <si>
    <t>Hệ thống hiển thị popup thông báo trong thời gian ngắn sau đó hiện in-text đỏ như sau:
Row :1 - Error Code :1400 - ORA-01400: cannot insert NULL into ("Whitelist"."Application scenario") [Ghi chú: mã/thông báo lỗi theo mẫu OFSAA, rà soát theo build Whitelist thực tế]</t>
  </si>
  <si>
    <t>Kiểm tra chức năng Thêm mới không thành công khi để trống trường Status</t>
  </si>
  <si>
    <t>1. Truy cập màn hình Data Entry Form and Query Forms, chọn form Whitelist
2. Chọn Add
3. Để trống trường Status, các trường khác nhập đúng và đủ theo yêu cầu
4. Nhấn nút Save</t>
  </si>
  <si>
    <t>Hệ thống hiển thị popup thông báo trong thời gian ngắn sau đó hiện in-text đỏ như sau:
Row :1 - Error Code :1400 - ORA-01400: cannot insert NULL into ("Whitelist"."Status") [Ghi chú: mã/thông báo lỗi theo mẫu OFSAA, rà soát theo build Whitelist thực tế]</t>
  </si>
  <si>
    <t>Kiểm tra chức năng Thêm mới không thành công khi nhập quá độ dài trường ID</t>
  </si>
  <si>
    <t>1. Truy cập màn hình Data Entry Form and Query Forms, chọn form Whitelist
2. Chọn Add
3. Nhập trường ID vượt quá 50 ký tự, các trường khác nhập đúng và đủ
4. Nhấn nút Save</t>
  </si>
  <si>
    <t>Hệ thống chặn ngay từ lúc nhập nên không được nhập quá ký tự quy định.</t>
  </si>
  <si>
    <t>Kiểm tra chức năng Thêm mới không thành công khi nhập quá độ dài trường ID Type</t>
  </si>
  <si>
    <t>1. Truy cập màn hình Data Entry Form and Query Forms, chọn form Whitelist
2. Chọn Add
3. Nhập trường ID Type vượt quá 50 ký tự, các trường khác nhập đúng và đủ
4. Nhấn nút Save</t>
  </si>
  <si>
    <t>Kiểm tra chức năng Thêm mới không thành công khi nhập quá độ dài trường Application scenario</t>
  </si>
  <si>
    <t>1. Truy cập màn hình Data Entry Form and Query Forms, chọn form Whitelist
2. Chọn Add
3. Nhập trường Application scenario vượt quá 500 ký tự, các trường khác nhập đúng và đủ
4. Nhấn nút Save</t>
  </si>
  <si>
    <t>Kiểm tra chức năng Thêm mới không thành công khi nhập quá độ dài trường Reason Added</t>
  </si>
  <si>
    <t>1. Truy cập màn hình Data Entry Form and Query Forms, chọn form Whitelist
2. Chọn Add
3. Nhập trường Reason Added vượt quá 500 ký tự, các trường khác nhập đúng và đủ
4. Nhấn nút Save</t>
  </si>
  <si>
    <t>Kiểm tra chức năng Thêm mới không thành công khi nhập quá độ dài trường Description</t>
  </si>
  <si>
    <t>1. Truy cập màn hình Data Entry Form and Query Forms, chọn form Whitelist
2. Chọn Add
3. Nhập trường Description vượt quá 500 ký tự, các trường khác nhập đúng và đủ
4. Nhấn nút Save</t>
  </si>
  <si>
    <t>Kiểm tra chức năng Thêm mới không thành công khi nhập quá độ dài trường Comment</t>
  </si>
  <si>
    <t>1. Truy cập màn hình Data Entry Form and Query Forms, chọn form Whitelist
2. Chọn Add
3. Nhập trường Comment vượt quá 500 ký tự, các trường khác nhập đúng và đủ
4. Nhấn nút Save</t>
  </si>
  <si>
    <t>Kiểm tra trường Effective date không cho phép nhập (chỉ đọc)</t>
  </si>
  <si>
    <t>1. Truy cập màn hình Data Entry Form and Query Forms, chọn form Whitelist
2. Chọn Add
3. Thao tác vào trường Effective date</t>
  </si>
  <si>
    <t>Trường Effective date ở trạng thái chỉ đọc/không cho nhập (do hệ thống tự sinh khi phê duyệt)</t>
  </si>
  <si>
    <t>Kiểm tra trường Status chỉ nhận giá trị Active/Deactivated</t>
  </si>
  <si>
    <t>1. Truy cập màn hình Data Entry Form and Query Forms, chọn form Whitelist
2. Chọn Add
3. Kiểm tra danh sách giá trị của trường Status</t>
  </si>
  <si>
    <t>Drop-list Status chỉ có 2 giá trị Active và Deactivated, không cho nhập giá trị khác</t>
  </si>
  <si>
    <t>Kiểm tra chức năng Thêm mới không thành công khi trùng bộ Key</t>
  </si>
  <si>
    <t>User đăng nhập đã được phân quyền role maker sử dụng chức năng cho form nhập liệu
Đã tồn tại bản ghi có bộ Key (ID + ID Type + Application scenario) trên hệ thống</t>
  </si>
  <si>
    <t>1. Truy cập màn hình Data Entry Form and Query Forms, chọn form Whitelist
2. Chọn Add
3. Nhập bản ghi có bộ Key (ID + ID Type + Application scenario) trùng bản ghi đã tồn tại, các trường khác nhập đúng và đủ
4. Nhấn nút Save</t>
  </si>
  <si>
    <t>ID/ID Type/Application scenario trùng bản ghi cũ</t>
  </si>
  <si>
    <t>Hệ thống hiển thị thông báo lỗi trùng lặp, không cho tạo bản ghi trùng bộ Key (kiểm tra trùng theo 3 trường Key)</t>
  </si>
  <si>
    <t>Kiểm tra List Code tự sinh theo Mã kịch bản + STT khi tạo mới</t>
  </si>
  <si>
    <t>1. Truy cập màn hình Data Entry Form and Query Forms, chọn form Whitelist
2. Chọn Add
3. Nhập bản ghi hợp lệ với Application scenario = AML-01, các trường khác nhập đúng và đủ
4. Nhấn nút Save</t>
  </si>
  <si>
    <t>Application scenario: AML-01</t>
  </si>
  <si>
    <t>Hệ thống tự sinh List Code theo nguyên tắc Mã kịch bản + STT (VD: AML-01 + số thứ tự), gắn duy nhất với bản ghi</t>
  </si>
  <si>
    <t>3.3. Kiểm tra nút Chức năng</t>
  </si>
  <si>
    <t>Kiểm tra chức năng Thêm mới thành công khi nhấn Save</t>
  </si>
  <si>
    <t>1. Truy cập màn hình Data Entry Form and Query Forms, chọn form Whitelist
2. Chọn Add
3. Các trường nhập đúng và đủ theo yêu cầu
4. Nhấn nút Save</t>
  </si>
  <si>
    <t>Bản ghi hợp lệ, Key chưa tồn tại</t>
  </si>
  <si>
    <t>1. Hệ thống thông báo lưu thành công (SAVED SUCCESSFULLY)
2. Bản ghi được lưu, trạng thái phê duyệt = Unauthorized, chờ phê duyệt; ghi nhận Người tạo, Ngày tạo</t>
  </si>
  <si>
    <t>Kiểm tra chức năng Thêm mới khi nhấn Cancel</t>
  </si>
  <si>
    <t>1. Truy cập màn hình Data Entry Form and Query Forms, chọn form Whitelist
2. Chọn Add
3. Nhập dữ liệu vào các trường
4. Nhấn nút Cancel</t>
  </si>
  <si>
    <t>Hệ thống không lưu bản ghi; quay lại màn hình danh sách; dữ liệu vừa nhập không được tạo</t>
  </si>
  <si>
    <t>4. Kiểm tra chức năng Chỉnh sửa</t>
  </si>
  <si>
    <t>4.1. Kiểm tra giao diện hiển thị</t>
  </si>
  <si>
    <t>Kiểm tra giao diện hiển thị form Chỉnh sửa</t>
  </si>
  <si>
    <t>Form đã có dữ liệu
User đăng nhập đã được phân quyền role maker sử dụng chức năng cho form nhập liệu</t>
  </si>
  <si>
    <t>1. Truy cập màn hình Data Entry Form and Query Forms, chọn form Whitelist
2. Chọn một bản ghi
3. Chọn Edit
4. Kiểm tra giao diện hiển thị</t>
  </si>
  <si>
    <t>Form chỉnh sửa hiển thị và load đúng toàn bộ dữ liệu hiện tại của bản ghi được chọn</t>
  </si>
  <si>
    <t>EDT</t>
  </si>
  <si>
    <t>4.2. Kiểm tra Validate các trường dữ liệu</t>
  </si>
  <si>
    <t>Kiểm tra không cho phép sửa trường List Code</t>
  </si>
  <si>
    <t>1. Truy cập màn hình Data Entry Form and Query Forms, chọn form Whitelist
2. Chọn một bản ghi
3. Chọn Edit
4. Thao tác sửa trường List Code</t>
  </si>
  <si>
    <t>Trường List Code ở trạng thái chỉ đọc, không cho chỉnh sửa (List Code gắn duy nhất với bản ghi)</t>
  </si>
  <si>
    <t>Kiểm tra không cho phép sửa trường Effective date</t>
  </si>
  <si>
    <t>1. Truy cập màn hình Data Entry Form and Query Forms, chọn form Whitelist
2. Chọn một bản ghi
3. Chọn Edit
4. Thao tác sửa trường Effective date</t>
  </si>
  <si>
    <t>Trường Effective date ở trạng thái chỉ đọc, không cho chỉnh sửa</t>
  </si>
  <si>
    <t>Kiểm tra chức năng Chỉnh sửa không thành công khi sửa trường ID thành rỗng</t>
  </si>
  <si>
    <t>1. Truy cập màn hình Data Entry Form and Query Forms, chọn form Whitelist
2. Chọn một bản ghi
3. Chọn Edit
4. Xóa trắng trường ID, các trường khác nhập đúng và đủ
5. Nhấn nút Save</t>
  </si>
  <si>
    <t>Kiểm tra chức năng Chỉnh sửa không thành công khi sửa trường ID Type thành rỗng</t>
  </si>
  <si>
    <t>1. Truy cập màn hình Data Entry Form and Query Forms, chọn form Whitelist
2. Chọn một bản ghi
3. Chọn Edit
4. Xóa trắng trường ID Type, các trường khác nhập đúng và đủ
5. Nhấn nút Save</t>
  </si>
  <si>
    <t>Kiểm tra chức năng Chỉnh sửa không thành công khi sửa trường Application scenario thành rỗng</t>
  </si>
  <si>
    <t>1. Truy cập màn hình Data Entry Form and Query Forms, chọn form Whitelist
2. Chọn một bản ghi
3. Chọn Edit
4. Xóa trắng trường Application scenario, các trường khác nhập đúng và đủ
5. Nhấn nút Save</t>
  </si>
  <si>
    <t>Kiểm tra chức năng Chỉnh sửa không thành công khi sửa trường Status thành rỗng</t>
  </si>
  <si>
    <t>1. Truy cập màn hình Data Entry Form and Query Forms, chọn form Whitelist
2. Chọn một bản ghi
3. Chọn Edit
4. Xóa trắng trường Status, các trường khác nhập đúng và đủ
5. Nhấn nút Save</t>
  </si>
  <si>
    <t>Kiểm tra chức năng Chỉnh sửa không thành công khi nhập quá độ dài</t>
  </si>
  <si>
    <t>1. Truy cập màn hình Data Entry Form and Query Forms, chọn form Whitelist
2. Chọn một bản ghi
3. Chọn Edit
4. Nhập trường Description vượt quá 500 ký tự
5. Nhấn nút Save</t>
  </si>
  <si>
    <t>Kiểm tra chức năng Chỉnh sửa trường thuộc bộ Key kiểm tra trùng lặp</t>
  </si>
  <si>
    <t>Form đã có dữ liệu
Đã tồn tại bản ghi khác có bộ Key sẽ bị trùng sau khi sửa
User đăng nhập đã được phân quyền role maker sử dụng chức năng cho form nhập liệu</t>
  </si>
  <si>
    <t>1. Truy cập màn hình Data Entry Form and Query Forms, chọn form Whitelist
2. Chọn một bản ghi
3. Chọn Edit
4. Sửa một trong ba trường Key (ID/ID Type/Application scenario) thành bộ Key đã tồn tại ở bản ghi khác
5. Nhấn nút Save</t>
  </si>
  <si>
    <t>Bộ Key sau sửa trùng bản ghi khác</t>
  </si>
  <si>
    <t>Hệ thống hiển thị thông báo lỗi trùng lặp bộ Key, không cho lưu</t>
  </si>
  <si>
    <t>4.3. Kiểm tra nút Chức năng</t>
  </si>
  <si>
    <t>Kiểm tra chức năng Chỉnh sửa thành công khi nhấn Save</t>
  </si>
  <si>
    <t>1. Truy cập màn hình Data Entry Form and Query Forms, chọn form Whitelist
2. Chọn một bản ghi
3. Chọn Edit
4. Sửa các trường được phép (VD: Status, Comment) đúng và đủ
5. Nhấn nút Save</t>
  </si>
  <si>
    <t>Status: Active -&gt; Deactivated</t>
  </si>
  <si>
    <t>1. Hệ thống thông báo lưu thành công
2. Bản ghi được cập nhật, chuyển trạng thái Unauthorized/Modified, chờ phê duyệt</t>
  </si>
  <si>
    <t>Kiểm tra chức năng Chỉnh sửa khi nhấn Cancel</t>
  </si>
  <si>
    <t>1. Truy cập màn hình Data Entry Form and Query Forms, chọn form Whitelist
2. Chọn một bản ghi
3. Chọn Edit
4. Sửa dữ liệu
5. Nhấn nút Cancel</t>
  </si>
  <si>
    <t>Hệ thống không lưu thay đổi; dữ liệu bản ghi giữ nguyên như trước khi sửa</t>
  </si>
  <si>
    <t>5. Kiểm tra chức năng Xóa</t>
  </si>
  <si>
    <t>Xóa thành công bản ghi có trạng thái Unauthorized</t>
  </si>
  <si>
    <t>User đăng nhập đã được phân quyền role maker sử dụng chức năng cho form nhập liệu
Đã thêm mới bản ghi thành công</t>
  </si>
  <si>
    <t>1. Truy cập màn hình Data Entry Form and Query Forms, chọn form Whitelist
2. Chọn một bản ghi có trạng thái Unauthorized
3. Nhấn nút Delete
4. Nhấn nút OK để xác nhận xóa</t>
  </si>
  <si>
    <t>Bản ghi Unauthorized</t>
  </si>
  <si>
    <t>1. Hệ thống thực hiện xóa bản ghi đã chọn và thông báo xóa thành công cho NSD</t>
  </si>
  <si>
    <t>DEL</t>
  </si>
  <si>
    <t>Xóa thành công bản ghi có trạng thái Authorized</t>
  </si>
  <si>
    <t>User đăng nhập đã được phân quyền role checker sử dụng chức năng cho form nhập liệu
Đã tồn tại bản ghi Authorized</t>
  </si>
  <si>
    <t>1. Truy cập màn hình Data Entry Form and Query Forms, chọn form Whitelist
2. Chọn một bản ghi có trạng thái Authorized
3. Nhấn nút Delete
4. Nhấn nút OK để xác nhận xóa</t>
  </si>
  <si>
    <t>Bản ghi Authorized</t>
  </si>
  <si>
    <t>1. Hệ thống thực hiện xóa bản ghi đã chọn (chờ phê duyệt xóa)
2. Database ghi nhận bản ghi với cờ trạng thái = D (Deleted) [Ghi chú: mã/thông báo lỗi theo mẫu OFSAA, rà soát theo build Whitelist thực tế]</t>
  </si>
  <si>
    <t>Xóa nhiều bản ghi cùng lúc</t>
  </si>
  <si>
    <t>User đăng nhập đã được phân quyền role maker sử dụng chức năng cho form nhập liệu
Đã thêm mới nhiều bản ghi thành công</t>
  </si>
  <si>
    <t>1. Truy cập màn hình Data Entry Form and Query Forms, chọn form Whitelist
2. Chọn nhiều bản ghi
3. Nhấn nút Delete
4. Nhấn nút OK để xác nhận xóa</t>
  </si>
  <si>
    <t>≥ 2 bản ghi</t>
  </si>
  <si>
    <t>1. Hệ thống thực hiện xóa các bản ghi đã chọn và thông báo xóa thành công cho NSD</t>
  </si>
  <si>
    <t>Xóa bản ghi không thành công khi nhấn Cancel</t>
  </si>
  <si>
    <t>1. Truy cập màn hình Data Entry Form and Query Forms, chọn form Whitelist
2. Chọn một bản ghi
3. Nhấn nút Delete
4. Nhấn nút Cancel để hủy thao tác xóa</t>
  </si>
  <si>
    <t>Hệ thống không thực hiện xóa bản ghi đã chọn</t>
  </si>
  <si>
    <t>Xóa bản ghi không thành công khi không chọn bản ghi</t>
  </si>
  <si>
    <t>1. Truy cập màn hình Data Entry Form and Query Forms, chọn form Whitelist
2. Không chọn bản ghi nào
3. Nhấn nút Delete</t>
  </si>
  <si>
    <t>Hệ thống hiển thị thông báo yêu cầu chọn bản ghi để xóa: "[7003] Please select the records for deletion" [Ghi chú: mã/thông báo lỗi theo mẫu OFSAA, rà soát theo build Whitelist thực tế]</t>
  </si>
  <si>
    <t>Xóa rồi thêm lại giữ nguyên List Code sinh lần đầu</t>
  </si>
  <si>
    <t>User đăng nhập đã được phân quyền role checker sử dụng chức năng cho form nhập liệu
Đã tồn tại bản ghi bị xóa (đã phê duyệt xóa) trước đó</t>
  </si>
  <si>
    <t>1. Truy cập màn hình Data Entry Form and Query Forms, chọn form Whitelist
2. Thêm lại bản ghi có cùng bộ Key với bản ghi đã xóa
3. Nhấn nút Save
4. Đăng nhập bằng tài khoản checker, chọn chức năng Authorize và phê duyệt bản ghi</t>
  </si>
  <si>
    <t>Bản ghi cùng bộ Key với bản ghi đã xóa</t>
  </si>
  <si>
    <t>Bản ghi thêm lại vẫn gắn với List Code hệ thống sinh ở lần đầu (theo BRD)</t>
  </si>
  <si>
    <t>6. Kiểm tra chức năng Phê duyệt</t>
  </si>
  <si>
    <t>Authorize bản ghi trạng thái Unauthorized</t>
  </si>
  <si>
    <t>User đăng nhập đã được phân quyền role checker sử dụng chức năng cho form nhập liệu
Đã thêm mới bản ghi thành công (Unauthorized)</t>
  </si>
  <si>
    <t>1. Truy cập màn hình Data Entry Form and Query Forms, chọn form Whitelist
2. Chọn chức năng Authorize
3. Chọn 1 hoặc nhiều bản ghi nhấn Authorize hoặc Authorize all
4. Nhấn nút Save</t>
  </si>
  <si>
    <t>1. Hệ thống hiển thị thông báo "Record(s) Authorized or Rejected or Put On Hold successfullly"
2. Bản ghi sau khi Authorize có trạng thái Authorized (Status Active có hiệu lực); Database cập nhật cờ phê duyệt = A; cập nhật Người kiểm tra, Ngày kiểm tra [Ghi chú: mã/thông báo lỗi theo mẫu OFSAA, rà soát theo build Whitelist thực tế]</t>
  </si>
  <si>
    <t>APR</t>
  </si>
  <si>
    <t>Kiểm tra Effective date tự sinh = ngày Supervisor phê duyệt</t>
  </si>
  <si>
    <t>1. Truy cập màn hình Data Entry Form and Query Forms, chọn form Whitelist
2. Chọn chức năng Authorize
3. Chọn bản ghi tạo mới nhấn Authorize
4. Nhấn nút Save
5. Kiểm tra trường Effective date của bản ghi</t>
  </si>
  <si>
    <t>Effective date được hệ thống tự sinh = ngày Supervisor phê duyệt, định dạng DD/MM/YYYY (theo BRD)</t>
  </si>
  <si>
    <t>Reject bản ghi trạng thái Unauthorized</t>
  </si>
  <si>
    <t>1. Truy cập màn hình Data Entry Form and Query Forms, chọn form Whitelist
2. Chọn chức năng Authorize
3. Chọn bản ghi nhấn Reject
4. Nhấn nút Save</t>
  </si>
  <si>
    <t>1. Hệ thống hiển thị thông báo "Record(s) Authorized or Rejected or Put On Hold successfullly"
2. Bản ghi sau khi Reject có trạng thái Rejected; Database cập nhật cờ phê duyệt = R [Ghi chú: mã/thông báo lỗi theo mẫu OFSAA, rà soát theo build Whitelist thực tế]</t>
  </si>
  <si>
    <t>Authorize bản ghi chỉnh sửa (Modified)</t>
  </si>
  <si>
    <t>User đăng nhập đã được phân quyền role checker sử dụng chức năng cho form nhập liệu
Đã tồn tại bản ghi chỉnh sửa đang chờ phê duyệt (Modified)</t>
  </si>
  <si>
    <t>1. Truy cập màn hình Data Entry Form and Query Forms, chọn form Whitelist
2. Chọn chức năng Authorize
3. Chọn bản ghi Modified nhấn Authorize
4. Nhấn nút Save</t>
  </si>
  <si>
    <t>Trạng thái bản ghi Modified sau khi Authorize đổi thành Authorized; bản ghi cập nhật đúng dữ liệu sau chỉnh sửa [Ghi chú: mã/thông báo lỗi theo mẫu OFSAA, rà soát theo build Whitelist thực tế]</t>
  </si>
  <si>
    <t>Authorize bản ghi xóa (Deleted)</t>
  </si>
  <si>
    <t>User đăng nhập đã được phân quyền role checker sử dụng chức năng cho form nhập liệu
Đã tồn tại bản ghi được đánh dấu xóa chờ phê duyệt (Deleted)</t>
  </si>
  <si>
    <t>1. Truy cập màn hình Data Entry Form and Query Forms, chọn form Whitelist
2. Chọn chức năng Authorize
3. Chọn bản ghi Deleted nhấn Authorize
4. Nhấn nút Save</t>
  </si>
  <si>
    <t>1. Hệ thống hiển thị thông báo "[6992] Records Authorized or Rejected or Put On Hold Successfully"
2. Bản ghi bị xóa hoàn toàn khỏi hệ thống; đối tượng quay lại phạm vi quét của kịch bản [Ghi chú: mã/thông báo lỗi theo mẫu OFSAA, rà soát theo build Whitelist thực tế]</t>
  </si>
  <si>
    <t>Authorize không thành công khi không chọn bản ghi</t>
  </si>
  <si>
    <t>User đăng nhập đã được phân quyền role checker sử dụng chức năng cho form nhập liệu
Tồn tại bản ghi Unauthorized</t>
  </si>
  <si>
    <t>1. Truy cập màn hình Data Entry Form and Query Forms, chọn form Whitelist
2. Chọn chức năng Authorize
3. Không chọn bản ghi nào
4. Nhấn nút Save</t>
  </si>
  <si>
    <t>Hệ thống hiển thị thông báo "Nothing to save" [Ghi chú: mã/thông báo lỗi theo mẫu OFSAA, rà soát theo build Whitelist thực tế]</t>
  </si>
  <si>
    <t>Maker không thể tự phê duyệt bản ghi do mình tạo</t>
  </si>
  <si>
    <t>Bản ghi do chính Maker tạo, trạng thái Unauthorized
User đăng nhập đã được phân quyền role maker sử dụng chức năng cho form nhập liệu</t>
  </si>
  <si>
    <t>1. Truy cập màn hình Data Entry Form and Query Forms, chọn form Whitelist
2. Đăng nhập bằng tài khoản Maker đã tạo bản ghi
3. Chọn chức năng Authorize và thử phê duyệt bản ghi do mình tạo</t>
  </si>
  <si>
    <t>Hệ thống không cho Maker tự phê duyệt bản ghi mình tạo (nguyên tắc Maker/Checker 2 cấp) [Ghi chú: mã/thông báo lỗi theo mẫu OFSAA, rà soát theo build Whitelist thực tế]</t>
  </si>
  <si>
    <t>7. Kiểm tra chức năng Xuất dữ liệu</t>
  </si>
  <si>
    <t>Xuất dữ liệu biểu mẫu nhập liệu</t>
  </si>
  <si>
    <t>User đăng nhập đã được phân quyền role maker/checker sử dụng chức năng cho form nhập liệu
Đã thêm mới bản ghi thành công</t>
  </si>
  <si>
    <t>1. Truy cập màn hình Data Entry Form and Query Forms, chọn form Whitelist
2. Chọn chức năng Export</t>
  </si>
  <si>
    <t>Hệ thống tự động tải toàn bộ các bản ghi trong biểu mẫu dưới dạng excel</t>
  </si>
  <si>
    <t>EXP</t>
  </si>
  <si>
    <t>Xuất dữ liệu biểu mẫu sau khi tìm kiếm theo tiêu chí</t>
  </si>
  <si>
    <t>1. Truy cập màn hình Data Entry Form and Query Forms, chọn form Whitelist
2. Chọn chức năng Search, tìm kiếm theo Application scenario = AML-01
3. Chọn chức năng Export</t>
  </si>
  <si>
    <t>Hệ thống tự động tải toàn bộ các bản ghi thỏa mãn điều kiện tìm kiếm trong biểu mẫu dưới dạng excel</t>
  </si>
  <si>
    <t>8. Kiểm tra Email thông báo cập nhật (EM-10)</t>
  </si>
  <si>
    <t>Gửi email tổng hợp thay đổi sau khi Upload</t>
  </si>
  <si>
    <t>User đăng nhập đã được phân quyền role maker sử dụng chức năng cho form nhập liệu
Đã cấu hình tần suất tổng hợp và mẫu email EM-10</t>
  </si>
  <si>
    <t>1. Truy cập màn hình Data Entry Form and Query Forms, chọn form Whitelist
2. Thực hiện upload thêm bản ghi whitelist thành công
3. Chờ hệ thống chạy tổng hợp theo tần suất cập nhật của MSB
4. Kiểm tra email nhận được</t>
  </si>
  <si>
    <t>Hệ thống gửi email theo mẫu EM-10 tổng hợp kết quả cập nhật (theo BRD)</t>
  </si>
  <si>
    <t>EML</t>
  </si>
  <si>
    <t>Nội dung email có số bản ghi trước/sau/thay đổi (thêm mới)</t>
  </si>
  <si>
    <t>User đăng nhập đã được phân quyền role maker sử dụng chức năng cho form nhập liệu
Đã phát sinh upload thêm bản ghi</t>
  </si>
  <si>
    <t>1. Truy cập màn hình Data Entry Form and Query Forms, chọn form Whitelist
2. Thực hiện upload thêm bản ghi whitelist thành công
3. Sau khi hệ thống tổng hợp, kiểm tra nội dung email EM-10</t>
  </si>
  <si>
    <t>Email thể hiện: số bản ghi trước thay đổi; số bản ghi sau thay đổi; số bản ghi thêm mới (khi upload excel), theo BRD</t>
  </si>
  <si>
    <t>Nội dung email phản ánh số bản ghi bị xóa</t>
  </si>
  <si>
    <t>User đăng nhập đã được phân quyền role maker sử dụng chức năng cho form nhập liệu
Đã phát sinh xóa bản ghi trên màn hình</t>
  </si>
  <si>
    <t>1. Truy cập màn hình Data Entry Form and Query Forms, chọn form Whitelist
2. Thực hiện xóa bản ghi trên màn hình
3. Sau khi hệ thống tổng hợp, kiểm tra nội dung email EM-10</t>
  </si>
  <si>
    <t>Email thể hiện số bản ghi bị xóa so với danh sách cũ (khi xóa bản ghi trên màn hình), theo BRD</t>
  </si>
  <si>
    <t>9. Kiểm tra tác động loại trừ quét kịch bản</t>
  </si>
  <si>
    <t>Đối tượng Active trong whitelist không bị quét, không tạo case</t>
  </si>
  <si>
    <t>Đối tượng đã ở whitelist của kịch bản, Status = Active, đã phê duyệt (Authorized)
Đối tượng thỏa mãn điều kiện HIT của kịch bản đó</t>
  </si>
  <si>
    <t>1. Đảm bảo đối tượng nằm trong whitelist Active (Authorized) của kịch bản AML-01
2. Chạy batch kịch bản AML-01
3. Kiểm tra kết quả quét/case của đối tượng</t>
  </si>
  <si>
    <t>Đối tượng thuộc whitelist Active kịch bản AML-01</t>
  </si>
  <si>
    <t>Đối tượng bị loại khỏi phạm vi quét của kịch bản; không phát sinh Event/Case cho đối tượng đó (theo BRD)</t>
  </si>
  <si>
    <t>SCN</t>
  </si>
  <si>
    <t>Đối tượng Deactivated vẫn bị quét bình thường</t>
  </si>
  <si>
    <t>Đối tượng ở whitelist của kịch bản nhưng Status = Deactivated (đã phê duyệt)
Đối tượng thỏa mãn điều kiện HIT</t>
  </si>
  <si>
    <t>1. Đặt bản ghi whitelist của đối tượng về Deactivated và phê duyệt
2. Chạy batch kịch bản AML-01
3. Kiểm tra kết quả quét/case của đối tượng</t>
  </si>
  <si>
    <t>Đối tượng thuộc whitelist Deactivated</t>
  </si>
  <si>
    <t>Đối tượng KHÔNG được loại trừ, vẫn bị quét và tạo case nếu HIT (Deactivated không dùng để quét)</t>
  </si>
  <si>
    <t>Whitelist chỉ loại trừ đúng kịch bản tương ứng</t>
  </si>
  <si>
    <t>Đối tượng ở whitelist Active của kịch bản A (AML-01)
Đối tượng thỏa mãn HIT ở kịch bản B (AML-02) và không có trong whitelist B</t>
  </si>
  <si>
    <t>1. Đảm bảo đối tượng chỉ thuộc whitelist kịch bản AML-01
2. Chạy batch kịch bản AML-01 và AML-02
3. Kiểm tra kết quả quét/case của từng kịch bản</t>
  </si>
  <si>
    <t>Đối tượng thuộc whitelist AML-01; thỏa mãn HIT AML-02</t>
  </si>
  <si>
    <t>Đối tượng bị loại trừ ở kịch bản A nhưng vẫn bị quét/tạo case ở kịch bản B (whitelist quản trị theo từng kịch bản)</t>
  </si>
  <si>
    <t>Bản ghi Unauthorized chưa có tác dụng loại trừ</t>
  </si>
  <si>
    <t>Đối tượng vừa được thêm vào whitelist nhưng chưa phê duyệt (Unauthorized)
Đối tượng thỏa mãn HIT</t>
  </si>
  <si>
    <t>1. Thêm đối tượng vào whitelist, chưa phê duyệt
2. Chạy batch kịch bản AML-01
3. Kiểm tra kết quả quét/case của đối tượng</t>
  </si>
  <si>
    <t>Bản ghi whitelist Unauthorized</t>
  </si>
  <si>
    <t>Bản ghi chưa phê duyệt chưa có hiệu lực loại trừ; đối tượng vẫn bị quét cho tới khi được phê duyệt trước lần chạy batch kế tiếp [Ghi chú: mã/thông báo lỗi theo mẫu OFSAA, rà soát theo build Whitelist thực tế]</t>
  </si>
  <si>
    <t>Giai đoạn kiểm thử</t>
  </si>
  <si>
    <t>Test Level</t>
  </si>
  <si>
    <t>Giá trị</t>
  </si>
  <si>
    <t>Giải thích</t>
  </si>
  <si>
    <t>Value</t>
  </si>
  <si>
    <t>Description</t>
  </si>
  <si>
    <t>UT</t>
  </si>
  <si>
    <t>Kiểm thử kỹ thuật (Unit Test) (IT thực hiện)</t>
  </si>
  <si>
    <t>Kiểm thử tích hợp hệ thống (System Integration Test) (IT thực hiện)</t>
  </si>
  <si>
    <t>OAT</t>
  </si>
  <si>
    <t>Kiểm thử vận hành (Operation Acceptance Test) (IT thực hiện)</t>
  </si>
  <si>
    <t>ST</t>
  </si>
  <si>
    <t>Kiểm thử an ninh thông tin (Security Test) (IT thực hiện)</t>
  </si>
  <si>
    <t>UAT</t>
  </si>
  <si>
    <t>Kiểm thử người dùng cuối (User Acceptance Test) (ĐVNV thực hiện)</t>
  </si>
  <si>
    <t>Độ ưu tiên</t>
  </si>
  <si>
    <t>Ưu tiên cao</t>
  </si>
  <si>
    <t>Ưu tiên trung bình</t>
  </si>
  <si>
    <t>Ưu tiên thấp/không ưu tiên</t>
  </si>
  <si>
    <t>Cách thực hiện test</t>
  </si>
  <si>
    <t>Y</t>
  </si>
  <si>
    <t>Thực hiện Auto test</t>
  </si>
  <si>
    <t>Thực hiện Manual test</t>
  </si>
  <si>
    <t>Trạng thái</t>
  </si>
  <si>
    <t>Status</t>
  </si>
  <si>
    <t>Chưa thực hiện</t>
  </si>
  <si>
    <t>Đạt yêu cầu</t>
  </si>
  <si>
    <t>Không đạt yêu cầu</t>
  </si>
  <si>
    <t>Một testcase tạm dừng thực hiện do ảnh hưởng bởi testcase khác fail hoặc cần xác nhận từ các bên liên quan.</t>
  </si>
  <si>
    <t>Không thực hiện</t>
  </si>
  <si>
    <t>Total = 'Untested' + 'Passed' + 'Failed' + 'Pending' + 'Cancel</t>
  </si>
  <si>
    <t>% Executed</t>
  </si>
  <si>
    <t>% Executed = ('Total' - 'Todo' - 'Un-executed')/'Total'</t>
  </si>
  <si>
    <t>% Pass</t>
  </si>
  <si>
    <t>% Pass = 'Pass'/'Total'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</si>
</sst>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d\-mmm\-yy;@"/>
    <numFmt numFmtId="165" formatCode="[$-409]d\-mmm\-yy;@"/>
    <numFmt numFmtId="166" formatCode="[$]@"/>
    <numFmt numFmtId="167" formatCode="[$-409]0"/>
    <numFmt numFmtId="168" formatCode="0.0"/>
    <numFmt numFmtId="169" formatCode="d\-mmm\-yy;@"/>
    <numFmt numFmtId="170" formatCode="0.0%"/>
  </numFmts>
  <fonts count="49">
    <font>
      <sz val="11"/>
      <color theme="1"/>
      <name val="Calibri"/>
      <family val="2"/>
      <charset val="1"/>
    </font>
    <font>
      <sz val="11"/>
      <color rgb="FF000000"/>
      <name val="Calibri"/>
      <family val="2"/>
      <charset val="1"/>
    </font>
    <font>
      <sz val="11"/>
      <name val="ＭＳ Ｐゴシック"/>
      <family val="3"/>
      <charset val="128"/>
    </font>
    <font>
      <sz val="10"/>
      <name val="Arial"/>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b/>
      <sz val="14"/>
      <color rgb="FF1F497D"/>
      <name val="Arial"/>
      <family val="2"/>
      <charset val="1"/>
    </font>
    <font>
      <b/>
      <sz val="10"/>
      <color rgb="FF0000FF"/>
      <name val="Arial"/>
      <family val="2"/>
      <charset val="1"/>
    </font>
    <font>
      <b/>
      <sz val="10"/>
      <color rgb="FFFFFFFF"/>
      <name val="Arial"/>
      <family val="2"/>
      <charset val="1"/>
    </font>
    <font>
      <u/>
      <sz val="11"/>
      <color theme="10"/>
      <name val="Calibri"/>
      <family val="2"/>
      <charset val="1"/>
    </font>
    <font>
      <u/>
      <sz val="11"/>
      <color rgb="FF0563C1"/>
      <name val="Arial"/>
      <charset val="1"/>
    </font>
    <font>
      <sz val="10"/>
      <color rgb="FF000000"/>
      <name val="Arial"/>
      <family val="2"/>
      <charset val="1"/>
    </font>
    <font>
      <sz val="10"/>
      <name val="Arial"/>
      <family val="2"/>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11"/>
      <color rgb="FF000000"/>
      <name val="Calibri"/>
      <family val="2"/>
      <charset val="1"/>
    </font>
    <font>
      <b/>
      <sz val="8"/>
      <color rgb="FF000000"/>
      <name val="Arial"/>
      <family val="2"/>
      <charset val="1"/>
    </font>
    <font>
      <b/>
      <i/>
      <sz val="8"/>
      <color rgb="FF000000"/>
      <name val="Arial"/>
      <family val="2"/>
      <charset val="1"/>
    </font>
    <font>
      <i/>
      <sz val="10"/>
      <color rgb="FF000000"/>
      <name val="Arial"/>
      <family val="2"/>
      <charset val="1"/>
    </font>
    <font>
      <b/>
      <sz val="10"/>
      <color rgb="FF000000"/>
      <name val="Arial"/>
      <family val="2"/>
      <charset val="1"/>
    </font>
    <font>
      <b/>
      <sz val="12"/>
      <color rgb="FF1F497D"/>
      <name val="Times New Roman"/>
      <family val="1"/>
      <charset val="1"/>
    </font>
    <font>
      <b/>
      <sz val="11"/>
      <name val="Times New Roman"/>
      <family val="1"/>
      <charset val="1"/>
    </font>
    <font>
      <sz val="11"/>
      <name val="Times New Roman"/>
      <family val="1"/>
      <charset val="1"/>
    </font>
    <font>
      <b/>
      <sz val="12"/>
      <name val="Times New Roman"/>
      <family val="1"/>
      <charset val="1"/>
    </font>
    <font>
      <b/>
      <sz val="11"/>
      <color rgb="FFC00000"/>
      <name val="Times New Roman"/>
      <family val="1"/>
      <charset val="1"/>
    </font>
    <font>
      <b/>
      <sz val="10"/>
      <color rgb="FFFFFFFF"/>
      <name val="Arial"/>
      <charset val="1"/>
    </font>
    <font>
      <sz val="8"/>
      <color rgb="FF999999"/>
      <name val="Arial"/>
      <charset val="1"/>
    </font>
    <font>
      <b/>
      <sz val="11"/>
      <color rgb="FF1F3864"/>
      <name val="Arial"/>
      <charset val="1"/>
    </font>
    <font>
      <sz val="10"/>
      <name val="Arial"/>
      <charset val="1"/>
    </font>
    <font>
      <b/>
      <i/>
      <sz val="10"/>
      <color rgb="FF1F3864"/>
      <name val="Arial"/>
      <charset val="1"/>
    </font>
    <font>
      <b/>
      <sz val="12"/>
      <color rgb="FFFF0000"/>
      <name val="Times New Roman"/>
      <charset val="1"/>
    </font>
    <font>
      <i/>
      <sz val="12"/>
      <color rgb="FFFF0000"/>
      <name val="Times New Roman"/>
      <charset val="1"/>
    </font>
    <font>
      <sz val="12"/>
      <color rgb="FF000000"/>
      <name val="Times New Roman"/>
      <charset val="1"/>
    </font>
  </fonts>
  <fills count="20">
    <fill>
      <patternFill patternType="none"/>
    </fill>
    <fill>
      <patternFill patternType="gray125"/>
    </fill>
    <fill>
      <patternFill patternType="solid">
        <fgColor rgb="FFFFFFFF"/>
        <bgColor rgb="FFFFF2CC"/>
      </patternFill>
    </fill>
    <fill>
      <patternFill patternType="solid">
        <fgColor rgb="FFCCFFCC"/>
        <bgColor rgb="FFD6DCE4"/>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theme="7" tint="0.59987182226020086"/>
        <bgColor rgb="FFBFBFBF"/>
      </patternFill>
    </fill>
    <fill>
      <patternFill patternType="solid">
        <fgColor rgb="FFFFF2CC"/>
        <bgColor rgb="FFFDE9D9"/>
      </patternFill>
    </fill>
    <fill>
      <patternFill patternType="solid">
        <fgColor rgb="FF1F4E79"/>
        <bgColor rgb="FF1F497D"/>
      </patternFill>
    </fill>
    <fill>
      <patternFill patternType="solid">
        <fgColor rgb="FF8EAADB"/>
        <bgColor rgb="FF8497B0"/>
      </patternFill>
    </fill>
    <fill>
      <patternFill patternType="solid">
        <fgColor rgb="FFD6DCE4"/>
        <bgColor rgb="FFBDD7EE"/>
      </patternFill>
    </fill>
    <fill>
      <patternFill patternType="solid">
        <fgColor rgb="FFFDE9D9"/>
        <bgColor rgb="FFFFF2CC"/>
      </patternFill>
    </fill>
    <fill>
      <patternFill patternType="solid">
        <fgColor rgb="FF00B0F0"/>
        <bgColor rgb="FF008080"/>
      </patternFill>
    </fill>
    <fill>
      <patternFill patternType="solid">
        <fgColor rgb="FF92D050"/>
        <bgColor rgb="FFBFBFBF"/>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s>
  <borders count="44">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39988402966399123"/>
      </left>
      <right style="thin">
        <color theme="3" tint="0.39988402966399123"/>
      </right>
      <top style="thin">
        <color theme="3" tint="0.39988402966399123"/>
      </top>
      <bottom style="thin">
        <color theme="3" tint="0.39988402966399123"/>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thin">
        <color rgb="FF8497B0"/>
      </left>
      <right style="medium">
        <color rgb="FF8497B0"/>
      </right>
      <top style="thin">
        <color rgb="FF8497B0"/>
      </top>
      <bottom/>
      <diagonal/>
    </border>
    <border>
      <left style="thin">
        <color auto="1"/>
      </left>
      <right style="thin">
        <color auto="1"/>
      </right>
      <top style="thin">
        <color auto="1"/>
      </top>
      <bottom style="thin">
        <color auto="1"/>
      </bottom>
      <diagonal/>
    </border>
    <border>
      <left style="medium">
        <color rgb="FF8497B0"/>
      </left>
      <right/>
      <top style="thin">
        <color rgb="FF8497B0"/>
      </top>
      <bottom style="thin">
        <color rgb="FF8497B0"/>
      </bottom>
      <diagonal/>
    </border>
    <border>
      <left style="medium">
        <color rgb="FF8497B0"/>
      </left>
      <right/>
      <top style="thin">
        <color rgb="FF8497B0"/>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0">
    <xf numFmtId="0" fontId="0" fillId="0" borderId="0"/>
    <xf numFmtId="0" fontId="21" fillId="0" borderId="0"/>
    <xf numFmtId="164" fontId="1" fillId="0" borderId="0"/>
    <xf numFmtId="164" fontId="1" fillId="0" borderId="0"/>
    <xf numFmtId="165" fontId="2" fillId="0" borderId="0"/>
    <xf numFmtId="164" fontId="2" fillId="0" borderId="0">
      <alignment vertical="center"/>
    </xf>
    <xf numFmtId="164" fontId="2" fillId="0" borderId="0"/>
    <xf numFmtId="164" fontId="3" fillId="0" borderId="0"/>
    <xf numFmtId="164" fontId="4" fillId="0" borderId="0"/>
    <xf numFmtId="0" fontId="31" fillId="0" borderId="0"/>
  </cellStyleXfs>
  <cellXfs count="150">
    <xf numFmtId="0" fontId="0" fillId="0" borderId="0" xfId="0"/>
    <xf numFmtId="164" fontId="5" fillId="2" borderId="0" xfId="5" applyFont="1" applyFill="1">
      <alignment vertical="center"/>
    </xf>
    <xf numFmtId="164" fontId="6" fillId="2" borderId="0" xfId="7" applyFont="1" applyFill="1"/>
    <xf numFmtId="164" fontId="8" fillId="3" borderId="3" xfId="5" applyFont="1" applyFill="1" applyBorder="1" applyAlignment="1">
      <alignment shrinkToFit="1"/>
    </xf>
    <xf numFmtId="164" fontId="8" fillId="3" borderId="0" xfId="5" applyFont="1" applyFill="1" applyAlignment="1">
      <alignment shrinkToFit="1"/>
    </xf>
    <xf numFmtId="164" fontId="8" fillId="3" borderId="4" xfId="5" applyFont="1" applyFill="1" applyBorder="1" applyAlignment="1">
      <alignment shrinkToFit="1"/>
    </xf>
    <xf numFmtId="164" fontId="10" fillId="3" borderId="3" xfId="5" applyFont="1" applyFill="1" applyBorder="1" applyAlignment="1">
      <alignment horizontal="center" vertical="center" wrapText="1"/>
    </xf>
    <xf numFmtId="164" fontId="10" fillId="3" borderId="0" xfId="5" applyFont="1" applyFill="1" applyAlignment="1">
      <alignment horizontal="center" vertical="center" wrapText="1"/>
    </xf>
    <xf numFmtId="164" fontId="10" fillId="3" borderId="4" xfId="5" applyFont="1" applyFill="1" applyBorder="1" applyAlignment="1">
      <alignment horizontal="center" vertical="center" wrapText="1"/>
    </xf>
    <xf numFmtId="164" fontId="12" fillId="3" borderId="4" xfId="5" applyFont="1" applyFill="1" applyBorder="1" applyAlignment="1">
      <alignment horizontal="center"/>
    </xf>
    <xf numFmtId="164" fontId="12" fillId="3" borderId="3" xfId="5" applyFont="1" applyFill="1" applyBorder="1" applyAlignment="1">
      <alignment horizontal="left"/>
    </xf>
    <xf numFmtId="164" fontId="14" fillId="0" borderId="0" xfId="5" applyFont="1" applyAlignment="1">
      <alignment horizontal="left" vertical="center" wrapText="1"/>
    </xf>
    <xf numFmtId="164" fontId="13" fillId="3" borderId="0" xfId="5" applyFont="1" applyFill="1" applyAlignment="1">
      <alignment horizontal="left"/>
    </xf>
    <xf numFmtId="164" fontId="13" fillId="3" borderId="0" xfId="5" applyFont="1" applyFill="1" applyAlignment="1">
      <alignment horizontal="left" vertical="center" wrapText="1"/>
    </xf>
    <xf numFmtId="164" fontId="12" fillId="3" borderId="0" xfId="5" applyFont="1" applyFill="1" applyAlignment="1">
      <alignment horizontal="left"/>
    </xf>
    <xf numFmtId="164" fontId="12" fillId="3" borderId="4" xfId="5" applyFont="1" applyFill="1" applyBorder="1" applyAlignment="1">
      <alignment horizontal="left"/>
    </xf>
    <xf numFmtId="164" fontId="12" fillId="3" borderId="3" xfId="5" applyFont="1" applyFill="1" applyBorder="1" applyAlignment="1">
      <alignment horizontal="left" vertical="center" wrapText="1"/>
    </xf>
    <xf numFmtId="164" fontId="15" fillId="3" borderId="0" xfId="5" applyFont="1" applyFill="1" applyAlignment="1">
      <alignment horizontal="left" vertical="center" wrapText="1"/>
    </xf>
    <xf numFmtId="164" fontId="16" fillId="3" borderId="0" xfId="5" applyFont="1" applyFill="1" applyAlignment="1">
      <alignment horizontal="left" vertical="center" wrapText="1"/>
    </xf>
    <xf numFmtId="164" fontId="16" fillId="3" borderId="4" xfId="5" applyFont="1" applyFill="1" applyBorder="1" applyAlignment="1">
      <alignment horizontal="left" vertical="center" wrapText="1"/>
    </xf>
    <xf numFmtId="166" fontId="14" fillId="0" borderId="0" xfId="5" applyNumberFormat="1" applyFont="1" applyAlignment="1">
      <alignment horizontal="left" vertical="center" wrapText="1"/>
    </xf>
    <xf numFmtId="164" fontId="17" fillId="3" borderId="3" xfId="5" applyFont="1" applyFill="1" applyBorder="1" applyAlignment="1"/>
    <xf numFmtId="164" fontId="17" fillId="3" borderId="0" xfId="5" applyFont="1" applyFill="1" applyAlignment="1"/>
    <xf numFmtId="164" fontId="17" fillId="3" borderId="0" xfId="5" applyFont="1" applyFill="1">
      <alignment vertical="center"/>
    </xf>
    <xf numFmtId="164" fontId="17" fillId="3" borderId="4" xfId="5" applyFont="1" applyFill="1" applyBorder="1">
      <alignment vertical="center"/>
    </xf>
    <xf numFmtId="164" fontId="17" fillId="3" borderId="3" xfId="5" applyFont="1" applyFill="1" applyBorder="1">
      <alignment vertical="center"/>
    </xf>
    <xf numFmtId="164" fontId="17" fillId="3" borderId="5" xfId="5" applyFont="1" applyFill="1" applyBorder="1">
      <alignment vertical="center"/>
    </xf>
    <xf numFmtId="164" fontId="17" fillId="3" borderId="6" xfId="5" applyFont="1" applyFill="1" applyBorder="1">
      <alignment vertical="center"/>
    </xf>
    <xf numFmtId="164" fontId="17" fillId="3" borderId="7" xfId="5" applyFont="1" applyFill="1" applyBorder="1">
      <alignment vertical="center"/>
    </xf>
    <xf numFmtId="164" fontId="3" fillId="2" borderId="0" xfId="2" applyFont="1" applyFill="1"/>
    <xf numFmtId="164" fontId="18" fillId="2" borderId="0" xfId="2" applyFont="1" applyFill="1" applyAlignment="1">
      <alignment vertical="center"/>
    </xf>
    <xf numFmtId="164" fontId="19" fillId="2" borderId="0" xfId="2" applyFont="1" applyFill="1"/>
    <xf numFmtId="164" fontId="20" fillId="4" borderId="8" xfId="6" applyFont="1" applyFill="1" applyBorder="1" applyAlignment="1">
      <alignment horizontal="center" vertical="center" wrapText="1"/>
    </xf>
    <xf numFmtId="167" fontId="3" fillId="2" borderId="8" xfId="2" applyNumberFormat="1" applyFont="1" applyFill="1" applyBorder="1" applyAlignment="1">
      <alignment horizontal="center" vertical="center" wrapText="1"/>
    </xf>
    <xf numFmtId="164" fontId="21" fillId="2" borderId="8" xfId="1" applyNumberFormat="1" applyFill="1" applyBorder="1" applyAlignment="1">
      <alignment vertical="top" wrapText="1"/>
    </xf>
    <xf numFmtId="164" fontId="3" fillId="0" borderId="8" xfId="2" applyFont="1" applyBorder="1" applyAlignment="1">
      <alignment horizontal="left" vertical="center" wrapText="1"/>
    </xf>
    <xf numFmtId="0" fontId="21" fillId="0" borderId="8" xfId="1" applyBorder="1"/>
    <xf numFmtId="0" fontId="22" fillId="0" borderId="8" xfId="1" applyFont="1" applyBorder="1"/>
    <xf numFmtId="0" fontId="22" fillId="0" borderId="8" xfId="1" applyFont="1" applyBorder="1" applyAlignment="1">
      <alignment vertical="center"/>
    </xf>
    <xf numFmtId="164" fontId="3" fillId="2" borderId="0" xfId="2" applyFont="1" applyFill="1" applyAlignment="1">
      <alignment vertical="center"/>
    </xf>
    <xf numFmtId="0" fontId="0" fillId="0" borderId="0" xfId="0" applyAlignment="1">
      <alignment vertical="center"/>
    </xf>
    <xf numFmtId="164" fontId="19" fillId="2" borderId="0" xfId="2" applyFont="1" applyFill="1" applyAlignment="1">
      <alignment horizontal="left" vertical="center" wrapText="1"/>
    </xf>
    <xf numFmtId="164" fontId="23" fillId="2" borderId="0" xfId="2" applyFont="1" applyFill="1"/>
    <xf numFmtId="164" fontId="20" fillId="4" borderId="9" xfId="6" applyFont="1" applyFill="1" applyBorder="1" applyAlignment="1">
      <alignment horizontal="center" vertical="center" wrapText="1"/>
    </xf>
    <xf numFmtId="164" fontId="3" fillId="2" borderId="11" xfId="1" applyNumberFormat="1" applyFont="1" applyFill="1" applyBorder="1" applyAlignment="1">
      <alignment horizontal="center" vertical="center" wrapText="1"/>
    </xf>
    <xf numFmtId="164" fontId="3" fillId="2" borderId="12" xfId="1" applyNumberFormat="1" applyFont="1" applyFill="1" applyBorder="1" applyAlignment="1">
      <alignment horizontal="center" vertical="center" wrapText="1"/>
    </xf>
    <xf numFmtId="168" fontId="3" fillId="2" borderId="12" xfId="1" applyNumberFormat="1" applyFont="1" applyFill="1" applyBorder="1" applyAlignment="1">
      <alignment horizontal="center" vertical="center" wrapText="1"/>
    </xf>
    <xf numFmtId="164" fontId="3" fillId="2" borderId="13" xfId="1" applyNumberFormat="1" applyFont="1" applyFill="1" applyBorder="1" applyAlignment="1">
      <alignment horizontal="center" vertical="center" wrapText="1"/>
    </xf>
    <xf numFmtId="165" fontId="25" fillId="2" borderId="0" xfId="4" applyFont="1" applyFill="1" applyAlignment="1">
      <alignment vertical="center"/>
    </xf>
    <xf numFmtId="165" fontId="3" fillId="2" borderId="0" xfId="4" applyFont="1" applyFill="1" applyAlignment="1">
      <alignment vertical="center"/>
    </xf>
    <xf numFmtId="169" fontId="3" fillId="2" borderId="0" xfId="4" applyNumberFormat="1" applyFont="1" applyFill="1" applyAlignment="1">
      <alignment vertical="center"/>
    </xf>
    <xf numFmtId="0" fontId="6" fillId="2" borderId="0" xfId="0" applyFont="1" applyFill="1" applyAlignment="1">
      <alignment vertical="center"/>
    </xf>
    <xf numFmtId="0" fontId="26" fillId="2" borderId="0" xfId="0" applyFont="1" applyFill="1" applyAlignment="1">
      <alignment vertical="center"/>
    </xf>
    <xf numFmtId="164" fontId="27" fillId="5" borderId="14" xfId="6" applyFont="1" applyFill="1" applyBorder="1" applyAlignment="1">
      <alignment horizontal="left" vertical="center" wrapText="1"/>
    </xf>
    <xf numFmtId="164" fontId="27" fillId="5" borderId="15" xfId="6" applyFont="1" applyFill="1" applyBorder="1" applyAlignment="1">
      <alignment horizontal="left" vertical="center" wrapText="1"/>
    </xf>
    <xf numFmtId="164" fontId="27" fillId="5" borderId="17" xfId="6" applyFont="1" applyFill="1" applyBorder="1" applyAlignment="1">
      <alignment vertical="center" wrapText="1"/>
    </xf>
    <xf numFmtId="164" fontId="27" fillId="5" borderId="18" xfId="6" applyFont="1" applyFill="1" applyBorder="1" applyAlignment="1">
      <alignment vertical="center" wrapText="1"/>
    </xf>
    <xf numFmtId="164" fontId="29" fillId="2" borderId="20" xfId="6" applyFont="1" applyFill="1" applyBorder="1" applyAlignment="1">
      <alignment horizontal="left" vertical="center" wrapText="1"/>
    </xf>
    <xf numFmtId="164" fontId="29" fillId="2" borderId="21" xfId="6" applyFont="1" applyFill="1" applyBorder="1" applyAlignment="1">
      <alignment horizontal="left" vertical="center" wrapText="1"/>
    </xf>
    <xf numFmtId="165" fontId="28" fillId="2" borderId="22" xfId="6" applyNumberFormat="1" applyFont="1" applyFill="1" applyBorder="1" applyAlignment="1">
      <alignment horizontal="left" vertical="center" wrapText="1"/>
    </xf>
    <xf numFmtId="165" fontId="28" fillId="2" borderId="23" xfId="6" applyNumberFormat="1" applyFont="1" applyFill="1" applyBorder="1" applyAlignment="1">
      <alignment horizontal="left" vertical="center" wrapText="1"/>
    </xf>
    <xf numFmtId="165" fontId="28" fillId="2" borderId="24" xfId="6" applyNumberFormat="1" applyFont="1" applyFill="1" applyBorder="1" applyAlignment="1">
      <alignment horizontal="left" vertical="center" wrapText="1"/>
    </xf>
    <xf numFmtId="164" fontId="30" fillId="6" borderId="27" xfId="9" applyNumberFormat="1" applyFont="1" applyFill="1" applyBorder="1" applyAlignment="1">
      <alignment horizontal="center" vertical="center" wrapText="1"/>
    </xf>
    <xf numFmtId="164" fontId="30" fillId="6" borderId="28" xfId="9" applyNumberFormat="1" applyFont="1" applyFill="1" applyBorder="1" applyAlignment="1">
      <alignment horizontal="center" vertical="center" wrapText="1"/>
    </xf>
    <xf numFmtId="0" fontId="32" fillId="7" borderId="17" xfId="0" applyFont="1" applyFill="1" applyBorder="1" applyAlignment="1">
      <alignment horizontal="left" vertical="center"/>
    </xf>
    <xf numFmtId="0" fontId="28" fillId="2" borderId="29" xfId="0" applyFont="1" applyFill="1" applyBorder="1" applyAlignment="1">
      <alignment horizontal="left" vertical="center"/>
    </xf>
    <xf numFmtId="0" fontId="28" fillId="2" borderId="30" xfId="0" applyFont="1" applyFill="1" applyBorder="1" applyAlignment="1">
      <alignment horizontal="left" vertical="center"/>
    </xf>
    <xf numFmtId="0" fontId="28" fillId="2" borderId="31" xfId="0" applyFont="1" applyFill="1" applyBorder="1" applyAlignment="1">
      <alignment horizontal="left" vertical="center"/>
    </xf>
    <xf numFmtId="0" fontId="32" fillId="7" borderId="17" xfId="0" applyFont="1" applyFill="1" applyBorder="1" applyAlignment="1">
      <alignment vertical="center"/>
    </xf>
    <xf numFmtId="165" fontId="28" fillId="2" borderId="22" xfId="0" applyNumberFormat="1" applyFont="1" applyFill="1" applyBorder="1" applyAlignment="1">
      <alignment horizontal="left" vertical="center"/>
    </xf>
    <xf numFmtId="165" fontId="28" fillId="2" borderId="23" xfId="0" applyNumberFormat="1" applyFont="1" applyFill="1" applyBorder="1" applyAlignment="1">
      <alignment horizontal="left" vertical="center"/>
    </xf>
    <xf numFmtId="165" fontId="28" fillId="2" borderId="24" xfId="0" applyNumberFormat="1" applyFont="1" applyFill="1" applyBorder="1" applyAlignment="1">
      <alignment horizontal="left" vertical="center"/>
    </xf>
    <xf numFmtId="0" fontId="33" fillId="7" borderId="32" xfId="0" applyFont="1" applyFill="1" applyBorder="1" applyAlignment="1">
      <alignment horizontal="center" vertical="center" wrapText="1"/>
    </xf>
    <xf numFmtId="0" fontId="32" fillId="7" borderId="32" xfId="0" applyFont="1" applyFill="1" applyBorder="1" applyAlignment="1">
      <alignment horizontal="center" vertical="center" wrapText="1"/>
    </xf>
    <xf numFmtId="1" fontId="34" fillId="8" borderId="33" xfId="0" applyNumberFormat="1" applyFont="1" applyFill="1" applyBorder="1" applyAlignment="1">
      <alignment horizontal="center" vertical="center"/>
    </xf>
    <xf numFmtId="1" fontId="34" fillId="8" borderId="33" xfId="0" applyNumberFormat="1" applyFont="1" applyFill="1" applyBorder="1" applyAlignment="1">
      <alignment vertical="center"/>
    </xf>
    <xf numFmtId="0" fontId="23" fillId="7" borderId="34" xfId="0" applyFont="1" applyFill="1" applyBorder="1" applyAlignment="1">
      <alignment horizontal="right" vertical="center"/>
    </xf>
    <xf numFmtId="1" fontId="34" fillId="2" borderId="33" xfId="0" applyNumberFormat="1" applyFont="1" applyFill="1" applyBorder="1" applyAlignment="1">
      <alignment horizontal="center" vertical="center"/>
    </xf>
    <xf numFmtId="1" fontId="34" fillId="2" borderId="33" xfId="0" applyNumberFormat="1" applyFont="1" applyFill="1" applyBorder="1" applyAlignment="1">
      <alignment vertical="center"/>
    </xf>
    <xf numFmtId="0" fontId="23" fillId="7" borderId="35" xfId="0" applyFont="1" applyFill="1" applyBorder="1" applyAlignment="1">
      <alignment horizontal="right" vertical="center"/>
    </xf>
    <xf numFmtId="164" fontId="27" fillId="5" borderId="35" xfId="6" applyFont="1" applyFill="1" applyBorder="1" applyAlignment="1">
      <alignment horizontal="left" vertical="center" wrapText="1"/>
    </xf>
    <xf numFmtId="0" fontId="35" fillId="7" borderId="35" xfId="0" applyFont="1" applyFill="1" applyBorder="1" applyAlignment="1">
      <alignment horizontal="left" vertical="center"/>
    </xf>
    <xf numFmtId="0" fontId="34" fillId="2" borderId="33" xfId="0" applyFont="1" applyFill="1" applyBorder="1" applyAlignment="1">
      <alignment horizontal="center" vertical="center"/>
    </xf>
    <xf numFmtId="0" fontId="34" fillId="2" borderId="33" xfId="0" applyFont="1" applyFill="1" applyBorder="1" applyAlignment="1">
      <alignment horizontal="center" vertical="center" wrapText="1"/>
    </xf>
    <xf numFmtId="0" fontId="34" fillId="2" borderId="33" xfId="0" applyFont="1" applyFill="1" applyBorder="1" applyAlignment="1">
      <alignment vertical="center"/>
    </xf>
    <xf numFmtId="170" fontId="34" fillId="2" borderId="33" xfId="0" applyNumberFormat="1" applyFont="1" applyFill="1" applyBorder="1" applyAlignment="1">
      <alignment horizontal="center" vertical="center"/>
    </xf>
    <xf numFmtId="10" fontId="34" fillId="2" borderId="33" xfId="0" applyNumberFormat="1" applyFont="1" applyFill="1" applyBorder="1" applyAlignment="1">
      <alignment vertical="center"/>
    </xf>
    <xf numFmtId="0" fontId="35" fillId="0" borderId="33" xfId="0" applyFont="1" applyBorder="1" applyAlignment="1">
      <alignment horizontal="left" vertical="center"/>
    </xf>
    <xf numFmtId="0" fontId="0" fillId="0" borderId="0" xfId="0" applyAlignment="1">
      <alignment horizontal="center"/>
    </xf>
    <xf numFmtId="0" fontId="0" fillId="0" borderId="0" xfId="0" applyAlignment="1">
      <alignment vertical="top"/>
    </xf>
    <xf numFmtId="164" fontId="36" fillId="0" borderId="36" xfId="0" applyNumberFormat="1" applyFont="1" applyBorder="1" applyAlignment="1">
      <alignment horizontal="left" vertical="center" wrapText="1"/>
    </xf>
    <xf numFmtId="164" fontId="36" fillId="0" borderId="33" xfId="0" applyNumberFormat="1" applyFont="1" applyBorder="1" applyAlignment="1">
      <alignment horizontal="left" vertical="center" wrapText="1"/>
    </xf>
    <xf numFmtId="0" fontId="1" fillId="0" borderId="0" xfId="0" applyFont="1"/>
    <xf numFmtId="164" fontId="37" fillId="9" borderId="37" xfId="8" applyFont="1" applyFill="1" applyBorder="1" applyAlignment="1">
      <alignment horizontal="left" vertical="center" wrapText="1"/>
    </xf>
    <xf numFmtId="167" fontId="38" fillId="9" borderId="37" xfId="8" applyNumberFormat="1" applyFont="1" applyFill="1" applyBorder="1" applyAlignment="1">
      <alignment horizontal="center" vertical="center" wrapText="1"/>
    </xf>
    <xf numFmtId="0" fontId="1" fillId="9" borderId="0" xfId="0" applyFont="1" applyFill="1"/>
    <xf numFmtId="164" fontId="39" fillId="5" borderId="36" xfId="6" applyFont="1" applyFill="1" applyBorder="1" applyAlignment="1">
      <alignment horizontal="center" vertical="top" wrapText="1"/>
    </xf>
    <xf numFmtId="167" fontId="37" fillId="7" borderId="36" xfId="6" applyNumberFormat="1" applyFont="1" applyFill="1" applyBorder="1" applyAlignment="1">
      <alignment horizontal="center" vertical="center" wrapText="1"/>
    </xf>
    <xf numFmtId="0" fontId="37" fillId="7" borderId="36" xfId="0" applyFont="1" applyFill="1" applyBorder="1" applyAlignment="1">
      <alignment wrapText="1"/>
    </xf>
    <xf numFmtId="0" fontId="39" fillId="5" borderId="36" xfId="0" applyFont="1" applyFill="1" applyBorder="1" applyAlignment="1">
      <alignment horizontal="left" vertical="top" wrapText="1"/>
    </xf>
    <xf numFmtId="1" fontId="40" fillId="10" borderId="36" xfId="0" applyNumberFormat="1" applyFont="1" applyFill="1" applyBorder="1" applyAlignment="1">
      <alignment horizontal="center" vertical="center" wrapText="1"/>
    </xf>
    <xf numFmtId="164" fontId="37" fillId="5" borderId="36" xfId="8" applyFont="1" applyFill="1" applyBorder="1" applyAlignment="1">
      <alignment horizontal="left" vertical="center" wrapText="1"/>
    </xf>
    <xf numFmtId="167" fontId="38" fillId="0" borderId="36" xfId="8" applyNumberFormat="1" applyFont="1" applyBorder="1" applyAlignment="1">
      <alignment horizontal="center" vertical="center" wrapText="1"/>
    </xf>
    <xf numFmtId="0" fontId="41" fillId="11" borderId="38" xfId="0" applyFont="1" applyFill="1" applyBorder="1" applyAlignment="1">
      <alignment horizontal="center" vertical="center" wrapText="1"/>
    </xf>
    <xf numFmtId="0" fontId="42" fillId="0" borderId="0" xfId="0" applyFont="1"/>
    <xf numFmtId="0" fontId="0" fillId="0" borderId="0" xfId="0" applyAlignment="1">
      <alignment horizontal="center" vertical="center"/>
    </xf>
    <xf numFmtId="0" fontId="44" fillId="0" borderId="38" xfId="0" applyFont="1" applyBorder="1" applyAlignment="1">
      <alignment horizontal="center" vertical="center" wrapText="1"/>
    </xf>
    <xf numFmtId="0" fontId="44" fillId="0" borderId="38" xfId="0" applyFont="1" applyBorder="1" applyAlignment="1">
      <alignment vertical="top" wrapText="1"/>
    </xf>
    <xf numFmtId="0" fontId="46" fillId="0" borderId="41" xfId="0" applyFont="1" applyBorder="1" applyAlignment="1">
      <alignment horizontal="center" vertical="center" wrapText="1"/>
    </xf>
    <xf numFmtId="0" fontId="47" fillId="0" borderId="42" xfId="0" applyFont="1" applyBorder="1" applyAlignment="1">
      <alignment horizontal="center" vertical="center" wrapText="1"/>
    </xf>
    <xf numFmtId="0" fontId="48" fillId="0" borderId="33" xfId="0" applyFont="1" applyBorder="1" applyAlignment="1">
      <alignment horizontal="center" vertical="center"/>
    </xf>
    <xf numFmtId="0" fontId="48" fillId="0" borderId="33" xfId="0" applyFont="1" applyBorder="1" applyAlignment="1">
      <alignment horizontal="left" vertical="center" wrapText="1"/>
    </xf>
    <xf numFmtId="0" fontId="48" fillId="0" borderId="0" xfId="0" applyFont="1" applyAlignment="1">
      <alignment horizontal="center" vertical="center"/>
    </xf>
    <xf numFmtId="0" fontId="48" fillId="0" borderId="0" xfId="0" applyFont="1"/>
    <xf numFmtId="0" fontId="48" fillId="0" borderId="41" xfId="0" applyFont="1" applyBorder="1" applyAlignment="1">
      <alignment horizontal="center" vertical="center"/>
    </xf>
    <xf numFmtId="0" fontId="48" fillId="0" borderId="41" xfId="0" applyFont="1" applyBorder="1" applyAlignment="1">
      <alignment horizontal="left" vertical="center" wrapText="1"/>
    </xf>
    <xf numFmtId="164" fontId="37" fillId="5" borderId="37" xfId="8" applyFont="1" applyFill="1" applyBorder="1" applyAlignment="1">
      <alignment horizontal="left" vertical="center" wrapText="1"/>
    </xf>
    <xf numFmtId="0" fontId="48" fillId="15" borderId="41" xfId="0" applyFont="1" applyFill="1" applyBorder="1" applyAlignment="1">
      <alignment horizontal="center" vertical="center"/>
    </xf>
    <xf numFmtId="0" fontId="48" fillId="16" borderId="41" xfId="0" applyFont="1" applyFill="1" applyBorder="1" applyAlignment="1">
      <alignment horizontal="center" vertical="center"/>
    </xf>
    <xf numFmtId="0" fontId="48" fillId="17" borderId="41" xfId="0" applyFont="1" applyFill="1" applyBorder="1" applyAlignment="1">
      <alignment horizontal="center" vertical="center"/>
    </xf>
    <xf numFmtId="0" fontId="48" fillId="0" borderId="43" xfId="0" applyFont="1" applyBorder="1" applyAlignment="1">
      <alignment horizontal="left" vertical="center" wrapText="1"/>
    </xf>
    <xf numFmtId="0" fontId="48" fillId="19" borderId="41" xfId="0" applyFont="1" applyFill="1" applyBorder="1" applyAlignment="1">
      <alignment horizontal="center" vertical="center"/>
    </xf>
    <xf numFmtId="0" fontId="41" fillId="0" borderId="38" xfId="0" applyFont="1" applyBorder="1" applyAlignment="1">
      <alignment horizontal="center" vertical="center" wrapText="1"/>
    </xf>
    <xf numFmtId="164" fontId="36" fillId="0" borderId="36" xfId="0" applyNumberFormat="1" applyFont="1" applyBorder="1" applyAlignment="1">
      <alignment horizontal="left" vertical="center"/>
    </xf>
    <xf numFmtId="0" fontId="43" fillId="12" borderId="38" xfId="0" applyFont="1" applyFill="1" applyBorder="1" applyAlignment="1">
      <alignment vertical="center" wrapText="1"/>
    </xf>
    <xf numFmtId="0" fontId="45" fillId="13" borderId="38" xfId="0" applyFont="1" applyFill="1" applyBorder="1" applyAlignment="1">
      <alignment vertical="center" wrapText="1"/>
    </xf>
    <xf numFmtId="164" fontId="7" fillId="3" borderId="1" xfId="5" applyFont="1" applyFill="1" applyBorder="1" applyAlignment="1">
      <alignment horizontal="center"/>
    </xf>
    <xf numFmtId="164" fontId="7" fillId="3" borderId="2" xfId="5" applyFont="1" applyFill="1" applyBorder="1" applyAlignment="1">
      <alignment horizontal="center"/>
    </xf>
    <xf numFmtId="164" fontId="9" fillId="3" borderId="2" xfId="5" applyFont="1" applyFill="1" applyBorder="1" applyAlignment="1">
      <alignment horizontal="center" vertical="center" wrapText="1"/>
    </xf>
    <xf numFmtId="164" fontId="11" fillId="3" borderId="0" xfId="5" applyFont="1" applyFill="1" applyAlignment="1">
      <alignment horizontal="center" vertical="center" wrapText="1"/>
    </xf>
    <xf numFmtId="164" fontId="12" fillId="3" borderId="2" xfId="5" applyFont="1" applyFill="1" applyBorder="1" applyAlignment="1">
      <alignment horizontal="center" vertical="center" wrapText="1"/>
    </xf>
    <xf numFmtId="164" fontId="13" fillId="3" borderId="0" xfId="5" applyFont="1" applyFill="1" applyAlignment="1">
      <alignment horizontal="left" vertical="center"/>
    </xf>
    <xf numFmtId="164" fontId="12" fillId="3" borderId="3" xfId="5" applyFont="1" applyFill="1" applyBorder="1" applyAlignment="1">
      <alignment horizontal="center"/>
    </xf>
    <xf numFmtId="164" fontId="13" fillId="3" borderId="0" xfId="5" applyFont="1" applyFill="1" applyAlignment="1">
      <alignment horizontal="left" vertical="center" wrapText="1"/>
    </xf>
    <xf numFmtId="164" fontId="3" fillId="0" borderId="8" xfId="2" applyFont="1" applyBorder="1" applyAlignment="1">
      <alignment horizontal="left" vertical="center" wrapText="1"/>
    </xf>
    <xf numFmtId="164" fontId="20" fillId="4" borderId="10" xfId="6" applyFont="1" applyFill="1" applyBorder="1" applyAlignment="1">
      <alignment horizontal="center" vertical="center" wrapText="1"/>
    </xf>
    <xf numFmtId="164" fontId="3" fillId="0" borderId="12" xfId="2" applyFont="1" applyBorder="1" applyAlignment="1">
      <alignment horizontal="left" vertical="center" wrapText="1"/>
    </xf>
    <xf numFmtId="164" fontId="20" fillId="4" borderId="8" xfId="6" applyFont="1" applyFill="1" applyBorder="1" applyAlignment="1">
      <alignment horizontal="center" vertical="center" wrapText="1"/>
    </xf>
    <xf numFmtId="164" fontId="28" fillId="2" borderId="9" xfId="6" applyFont="1" applyFill="1" applyBorder="1" applyAlignment="1">
      <alignment horizontal="left" vertical="center" wrapText="1"/>
    </xf>
    <xf numFmtId="164" fontId="28" fillId="2" borderId="16" xfId="6" applyFont="1" applyFill="1" applyBorder="1" applyAlignment="1">
      <alignment horizontal="left" vertical="center" wrapText="1"/>
    </xf>
    <xf numFmtId="164" fontId="28" fillId="2" borderId="18" xfId="6" applyFont="1" applyFill="1" applyBorder="1" applyAlignment="1">
      <alignment horizontal="left" vertical="center" wrapText="1"/>
    </xf>
    <xf numFmtId="165" fontId="28" fillId="2" borderId="19" xfId="6" applyNumberFormat="1" applyFont="1" applyFill="1" applyBorder="1" applyAlignment="1">
      <alignment horizontal="left" vertical="center" wrapText="1"/>
    </xf>
    <xf numFmtId="164" fontId="29" fillId="2" borderId="18" xfId="6" applyFont="1" applyFill="1" applyBorder="1" applyAlignment="1">
      <alignment horizontal="left" vertical="center" wrapText="1"/>
    </xf>
    <xf numFmtId="164" fontId="29" fillId="2" borderId="19" xfId="6" applyFont="1" applyFill="1" applyBorder="1" applyAlignment="1">
      <alignment horizontal="left" vertical="center" wrapText="1"/>
    </xf>
    <xf numFmtId="164" fontId="27" fillId="5" borderId="17" xfId="6" applyFont="1" applyFill="1" applyBorder="1" applyAlignment="1">
      <alignment horizontal="left" vertical="center" wrapText="1"/>
    </xf>
    <xf numFmtId="165" fontId="29" fillId="2" borderId="25" xfId="6" applyNumberFormat="1" applyFont="1" applyFill="1" applyBorder="1" applyAlignment="1">
      <alignment horizontal="left" vertical="center" wrapText="1"/>
    </xf>
    <xf numFmtId="164" fontId="30" fillId="6" borderId="26" xfId="9" applyNumberFormat="1" applyFont="1" applyFill="1" applyBorder="1" applyAlignment="1">
      <alignment horizontal="left" vertical="center" wrapText="1"/>
    </xf>
    <xf numFmtId="0" fontId="47" fillId="14" borderId="40" xfId="0" applyFont="1" applyFill="1" applyBorder="1" applyAlignment="1">
      <alignment horizontal="center" vertical="center" wrapText="1"/>
    </xf>
    <xf numFmtId="0" fontId="46" fillId="14" borderId="39" xfId="0" applyFont="1" applyFill="1" applyBorder="1" applyAlignment="1">
      <alignment horizontal="center" vertical="center" wrapText="1"/>
    </xf>
    <xf numFmtId="0" fontId="48" fillId="18" borderId="41" xfId="0" applyFont="1" applyFill="1" applyBorder="1" applyAlignment="1">
      <alignment horizontal="center" vertical="center"/>
    </xf>
  </cellXfs>
  <cellStyles count="10">
    <cellStyle name="Bình thường" xfId="0" builtinId="0"/>
    <cellStyle name="Excel Built-in RowLevel_0" xfId="9" xr:uid="{00000000-0005-0000-0000-00000E000000}"/>
    <cellStyle name="Normal 2" xfId="2" xr:uid="{00000000-0005-0000-0000-000006000000}"/>
    <cellStyle name="Normal 6" xfId="3" xr:uid="{00000000-0005-0000-0000-000007000000}"/>
    <cellStyle name="Normal_Functional Test Case v1.0" xfId="4" xr:uid="{00000000-0005-0000-0000-000008000000}"/>
    <cellStyle name="Normal_PBP_Application_TC v1.0" xfId="5" xr:uid="{00000000-0005-0000-0000-000009000000}"/>
    <cellStyle name="Normal_Sheet1" xfId="6" xr:uid="{00000000-0005-0000-0000-00000A000000}"/>
    <cellStyle name="Normal_Sheet1_BlueSword-3_Browser_Func_TC_v1.0 )" xfId="7" xr:uid="{00000000-0005-0000-0000-00000B000000}"/>
    <cellStyle name="Siêu kết nối" xfId="1" builtinId="8"/>
    <cellStyle name="標準_打刻ﾃﾞｰﾀ収集" xfId="8" xr:uid="{00000000-0005-0000-0000-00000C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497B0"/>
      <rgbColor rgb="FF800080"/>
      <rgbColor rgb="FF1F4E79"/>
      <rgbColor rgb="FFBFBFBF"/>
      <rgbColor rgb="FF808080"/>
      <rgbColor rgb="FF8EAADB"/>
      <rgbColor rgb="FF7030A0"/>
      <rgbColor rgb="FFFFF2CC"/>
      <rgbColor rgb="FFD6DCE4"/>
      <rgbColor rgb="FF660066"/>
      <rgbColor rgb="FFFF8080"/>
      <rgbColor rgb="FF0563C1"/>
      <rgbColor rgb="FFBDD7EE"/>
      <rgbColor rgb="FF000080"/>
      <rgbColor rgb="FFFF00FF"/>
      <rgbColor rgb="FFFFFF00"/>
      <rgbColor rgb="FF00FFFF"/>
      <rgbColor rgb="FF800080"/>
      <rgbColor rgb="FF800000"/>
      <rgbColor rgb="FF008080"/>
      <rgbColor rgb="FF0000FF"/>
      <rgbColor rgb="FF00B0F0"/>
      <rgbColor rgb="FFB4C7E7"/>
      <rgbColor rgb="FFCCFFCC"/>
      <rgbColor rgb="FFFDE9D9"/>
      <rgbColor rgb="FFA7D6E3"/>
      <rgbColor rgb="FFFAC090"/>
      <rgbColor rgb="FFCCC1DA"/>
      <rgbColor rgb="FFF8CBAD"/>
      <rgbColor rgb="FF4F81BD"/>
      <rgbColor rgb="FF558ED5"/>
      <rgbColor rgb="FF92D050"/>
      <rgbColor rgb="FFFFC000"/>
      <rgbColor rgb="FFFF9900"/>
      <rgbColor rgb="FFFF6600"/>
      <rgbColor rgb="FF7F7F7F"/>
      <rgbColor rgb="FF999999"/>
      <rgbColor rgb="FF1F3864"/>
      <rgbColor rgb="FF548DD4"/>
      <rgbColor rgb="FF003300"/>
      <rgbColor rgb="FF44546A"/>
      <rgbColor rgb="FF993300"/>
      <rgbColor rgb="FF993366"/>
      <rgbColor rgb="FF333399"/>
      <rgbColor rgb="FF1F497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zoomScaleNormal="100" workbookViewId="0">
      <selection activeCell="E15" sqref="E15"/>
    </sheetView>
  </sheetViews>
  <sheetFormatPr defaultColWidth="9.140625" defaultRowHeight="14.25"/>
  <cols>
    <col min="1" max="1" width="9.140625" style="1"/>
    <col min="2" max="2" width="5.7109375" style="1" customWidth="1"/>
    <col min="3" max="4" width="9.140625" style="1"/>
    <col min="5" max="5" width="45.42578125" style="1" customWidth="1"/>
    <col min="6" max="6" width="9.140625" style="1"/>
    <col min="7" max="7" width="16.5703125" style="1" customWidth="1"/>
    <col min="8" max="8" width="31.7109375" style="1" customWidth="1"/>
    <col min="9" max="1024" width="9.140625" style="1"/>
  </cols>
  <sheetData>
    <row r="1" spans="1:10" ht="15" customHeight="1">
      <c r="A1" s="2"/>
      <c r="B1" s="2"/>
      <c r="C1" s="2"/>
      <c r="D1" s="2"/>
      <c r="E1" s="2"/>
      <c r="F1" s="2"/>
      <c r="G1" s="2"/>
      <c r="H1" s="2"/>
      <c r="I1" s="2"/>
      <c r="J1" s="2"/>
    </row>
    <row r="2" spans="1:10" s="1" customFormat="1" ht="13.5" customHeight="1">
      <c r="A2" s="2"/>
      <c r="B2" s="126"/>
      <c r="C2" s="126"/>
      <c r="D2" s="126"/>
      <c r="E2" s="126"/>
      <c r="F2" s="126"/>
      <c r="G2" s="126"/>
      <c r="H2" s="126"/>
      <c r="I2" s="126"/>
      <c r="J2" s="126"/>
    </row>
    <row r="3" spans="1:10" s="1" customFormat="1" ht="13.5" customHeight="1">
      <c r="A3" s="2"/>
      <c r="B3" s="127"/>
      <c r="C3" s="127"/>
      <c r="D3" s="127"/>
      <c r="E3" s="127"/>
      <c r="F3" s="127"/>
      <c r="G3" s="127"/>
      <c r="H3" s="127"/>
      <c r="I3" s="127"/>
      <c r="J3" s="127"/>
    </row>
    <row r="4" spans="1:10" s="1" customFormat="1" ht="13.5" customHeight="1">
      <c r="A4" s="2"/>
      <c r="B4" s="3"/>
      <c r="C4" s="4"/>
      <c r="D4" s="4"/>
      <c r="E4" s="4"/>
      <c r="F4" s="4"/>
      <c r="G4" s="4"/>
      <c r="H4" s="4"/>
      <c r="I4" s="4"/>
      <c r="J4" s="5"/>
    </row>
    <row r="5" spans="1:10" s="1" customFormat="1" ht="13.5" customHeight="1">
      <c r="A5" s="2"/>
      <c r="B5" s="3"/>
      <c r="C5" s="4"/>
      <c r="D5" s="4"/>
      <c r="E5" s="4"/>
      <c r="F5" s="4"/>
      <c r="G5" s="4"/>
      <c r="H5" s="4"/>
      <c r="I5" s="4"/>
      <c r="J5" s="5"/>
    </row>
    <row r="6" spans="1:10" s="1" customFormat="1" ht="13.5" customHeight="1">
      <c r="A6" s="2"/>
      <c r="B6" s="128"/>
      <c r="C6" s="128"/>
      <c r="D6" s="128"/>
      <c r="E6" s="128"/>
      <c r="F6" s="128"/>
      <c r="G6" s="128"/>
      <c r="H6" s="128"/>
      <c r="I6" s="128"/>
      <c r="J6" s="128"/>
    </row>
    <row r="7" spans="1:10" s="1" customFormat="1" ht="13.5" customHeight="1">
      <c r="A7" s="2"/>
      <c r="B7" s="128"/>
      <c r="C7" s="128"/>
      <c r="D7" s="128"/>
      <c r="E7" s="128"/>
      <c r="F7" s="128"/>
      <c r="G7" s="128"/>
      <c r="H7" s="128"/>
      <c r="I7" s="128"/>
      <c r="J7" s="128"/>
    </row>
    <row r="8" spans="1:10" s="1" customFormat="1" ht="45" customHeight="1">
      <c r="A8" s="2"/>
      <c r="B8" s="6"/>
      <c r="C8" s="7"/>
      <c r="D8" s="7"/>
      <c r="E8" s="129" t="s">
        <v>0</v>
      </c>
      <c r="F8" s="129"/>
      <c r="G8" s="129"/>
      <c r="H8" s="129"/>
      <c r="I8" s="7"/>
      <c r="J8" s="8"/>
    </row>
    <row r="9" spans="1:10" s="1" customFormat="1" ht="13.5" customHeight="1">
      <c r="A9" s="2"/>
      <c r="B9" s="130"/>
      <c r="C9" s="130"/>
      <c r="D9" s="130"/>
      <c r="E9" s="130"/>
      <c r="F9" s="130"/>
      <c r="G9" s="130"/>
      <c r="H9" s="130"/>
      <c r="I9" s="130"/>
      <c r="J9" s="130"/>
    </row>
    <row r="10" spans="1:10" s="1" customFormat="1" ht="13.5" customHeight="1">
      <c r="A10" s="2"/>
      <c r="B10" s="132"/>
      <c r="C10" s="132"/>
      <c r="D10" s="132"/>
      <c r="E10" s="132"/>
      <c r="F10" s="132"/>
      <c r="G10" s="132"/>
      <c r="H10" s="132"/>
      <c r="I10" s="132"/>
      <c r="J10" s="9"/>
    </row>
    <row r="11" spans="1:10" s="1" customFormat="1" ht="26.25" customHeight="1">
      <c r="A11" s="2"/>
      <c r="B11" s="10"/>
      <c r="C11" s="131" t="s">
        <v>1</v>
      </c>
      <c r="D11" s="131"/>
      <c r="E11" s="11" t="s">
        <v>2</v>
      </c>
      <c r="F11" s="12"/>
      <c r="G11" s="13" t="s">
        <v>3</v>
      </c>
      <c r="H11" s="11"/>
      <c r="I11" s="14"/>
      <c r="J11" s="15"/>
    </row>
    <row r="12" spans="1:10" s="1" customFormat="1" ht="13.5" customHeight="1">
      <c r="A12" s="2"/>
      <c r="B12" s="16" t="s">
        <v>4</v>
      </c>
      <c r="C12" s="133" t="s">
        <v>5</v>
      </c>
      <c r="D12" s="133"/>
      <c r="E12" s="11" t="s">
        <v>6</v>
      </c>
      <c r="F12" s="17"/>
      <c r="G12" s="13" t="s">
        <v>7</v>
      </c>
      <c r="H12" s="11"/>
      <c r="I12" s="18"/>
      <c r="J12" s="19"/>
    </row>
    <row r="13" spans="1:10" s="1" customFormat="1" ht="13.5" customHeight="1">
      <c r="A13" s="2"/>
      <c r="B13" s="10"/>
      <c r="C13" s="131" t="s">
        <v>8</v>
      </c>
      <c r="D13" s="131"/>
      <c r="E13" s="11"/>
      <c r="F13" s="12"/>
      <c r="G13" s="13" t="s">
        <v>9</v>
      </c>
      <c r="H13" s="11"/>
      <c r="I13" s="14"/>
      <c r="J13" s="15"/>
    </row>
    <row r="14" spans="1:10" s="1" customFormat="1" ht="13.5" customHeight="1">
      <c r="A14" s="2"/>
      <c r="B14" s="10"/>
      <c r="C14" s="131" t="s">
        <v>7</v>
      </c>
      <c r="D14" s="131"/>
      <c r="E14" s="11"/>
      <c r="F14" s="12"/>
      <c r="G14" s="13" t="s">
        <v>10</v>
      </c>
      <c r="H14" s="11"/>
      <c r="I14" s="14"/>
      <c r="J14" s="15"/>
    </row>
    <row r="15" spans="1:10" s="1" customFormat="1" ht="13.5" customHeight="1">
      <c r="A15" s="2"/>
      <c r="B15" s="10"/>
      <c r="C15" s="131" t="s">
        <v>11</v>
      </c>
      <c r="D15" s="131"/>
      <c r="E15" s="11">
        <v>46157</v>
      </c>
      <c r="F15" s="12"/>
      <c r="G15" s="13" t="s">
        <v>7</v>
      </c>
      <c r="H15" s="11"/>
      <c r="I15" s="14"/>
      <c r="J15" s="15"/>
    </row>
    <row r="16" spans="1:10" s="1" customFormat="1" ht="13.5" customHeight="1">
      <c r="A16" s="2"/>
      <c r="B16" s="10"/>
      <c r="C16" s="131" t="s">
        <v>12</v>
      </c>
      <c r="D16" s="131"/>
      <c r="E16" s="20" t="s">
        <v>13</v>
      </c>
      <c r="F16" s="12"/>
      <c r="G16" s="13" t="s">
        <v>14</v>
      </c>
      <c r="H16" s="11"/>
      <c r="I16" s="14"/>
      <c r="J16" s="15"/>
    </row>
    <row r="17" spans="1:10" s="1" customFormat="1" ht="13.5" customHeight="1">
      <c r="A17" s="2"/>
      <c r="B17" s="21"/>
      <c r="C17" s="22"/>
      <c r="D17" s="22"/>
      <c r="E17" s="23"/>
      <c r="F17" s="23"/>
      <c r="G17" s="23"/>
      <c r="H17" s="23"/>
      <c r="I17" s="23"/>
      <c r="J17" s="24"/>
    </row>
    <row r="18" spans="1:10" s="1" customFormat="1" ht="13.5" customHeight="1">
      <c r="B18" s="25"/>
      <c r="C18" s="23"/>
      <c r="D18" s="23"/>
      <c r="E18" s="23"/>
      <c r="F18" s="23"/>
      <c r="G18" s="23"/>
      <c r="H18" s="23"/>
      <c r="I18" s="23"/>
      <c r="J18" s="24"/>
    </row>
    <row r="19" spans="1:10" ht="15" customHeight="1">
      <c r="B19" s="26"/>
      <c r="C19" s="27"/>
      <c r="D19" s="27"/>
      <c r="E19" s="27"/>
      <c r="F19" s="27"/>
      <c r="G19" s="27"/>
      <c r="H19" s="27"/>
      <c r="I19" s="27"/>
      <c r="J19" s="28"/>
    </row>
  </sheetData>
  <mergeCells count="12">
    <mergeCell ref="C15:D15"/>
    <mergeCell ref="C16:D16"/>
    <mergeCell ref="B10:I10"/>
    <mergeCell ref="C11:D11"/>
    <mergeCell ref="C12:D12"/>
    <mergeCell ref="C13:D13"/>
    <mergeCell ref="C14:D14"/>
    <mergeCell ref="B2:J2"/>
    <mergeCell ref="B3:J3"/>
    <mergeCell ref="B6:J7"/>
    <mergeCell ref="E8:H8"/>
    <mergeCell ref="B9:J9"/>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2"/>
  <sheetViews>
    <sheetView zoomScaleNormal="100" workbookViewId="0">
      <selection activeCell="F24" sqref="F24"/>
    </sheetView>
  </sheetViews>
  <sheetFormatPr defaultColWidth="9.140625" defaultRowHeight="14.25"/>
  <cols>
    <col min="1" max="1" width="21.42578125" style="29" customWidth="1"/>
    <col min="2" max="2" width="22.5703125" style="29" customWidth="1"/>
    <col min="3" max="3" width="14.140625" style="29" customWidth="1"/>
    <col min="4" max="4" width="11.5703125" style="29" customWidth="1"/>
    <col min="5" max="5" width="10.5703125" style="29" customWidth="1"/>
    <col min="6" max="6" width="12.7109375" style="29" customWidth="1"/>
    <col min="7" max="7" width="14" style="29" customWidth="1"/>
    <col min="8" max="1024" width="9.140625" style="29"/>
  </cols>
  <sheetData>
    <row r="1" spans="1:1024" ht="17.25" customHeight="1">
      <c r="A1" s="30" t="s">
        <v>15</v>
      </c>
      <c r="B1" s="31"/>
    </row>
    <row r="2" spans="1:1024" ht="15" customHeight="1"/>
    <row r="3" spans="1:1024" ht="14.25" customHeight="1">
      <c r="A3" s="32" t="s">
        <v>16</v>
      </c>
      <c r="B3" s="32" t="s">
        <v>17</v>
      </c>
      <c r="C3" s="137" t="s">
        <v>18</v>
      </c>
      <c r="D3" s="137"/>
      <c r="E3" s="137"/>
      <c r="F3" s="137"/>
      <c r="G3" s="137"/>
    </row>
    <row r="4" spans="1:1024" ht="14.25" customHeight="1">
      <c r="A4" s="33">
        <v>1</v>
      </c>
      <c r="B4" s="34" t="s">
        <v>19</v>
      </c>
      <c r="C4" s="134" t="s">
        <v>19</v>
      </c>
      <c r="D4" s="134"/>
      <c r="E4" s="134"/>
      <c r="F4" s="134"/>
      <c r="G4" s="134"/>
    </row>
    <row r="5" spans="1:1024" ht="14.25" customHeight="1">
      <c r="A5" s="33">
        <v>2</v>
      </c>
      <c r="B5" s="36" t="s">
        <v>20</v>
      </c>
      <c r="C5" s="134" t="s">
        <v>21</v>
      </c>
      <c r="D5" s="134"/>
      <c r="E5" s="134"/>
      <c r="F5" s="134"/>
      <c r="G5" s="134"/>
    </row>
    <row r="6" spans="1:1024" ht="14.25" customHeight="1">
      <c r="A6" s="33">
        <v>3</v>
      </c>
      <c r="B6" s="37" t="s">
        <v>0</v>
      </c>
      <c r="C6" s="134" t="s">
        <v>22</v>
      </c>
      <c r="D6" s="134"/>
      <c r="E6" s="134"/>
      <c r="F6" s="134"/>
      <c r="G6" s="134"/>
    </row>
    <row r="7" spans="1:1024" s="40" customFormat="1" ht="38.25" customHeight="1">
      <c r="A7" s="33">
        <v>4</v>
      </c>
      <c r="B7" s="38" t="s">
        <v>23</v>
      </c>
      <c r="C7" s="134" t="s">
        <v>24</v>
      </c>
      <c r="D7" s="134"/>
      <c r="E7" s="134"/>
      <c r="F7" s="134"/>
      <c r="G7" s="134"/>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c r="IX7" s="39"/>
      <c r="IY7" s="39"/>
      <c r="IZ7" s="39"/>
      <c r="JA7" s="39"/>
      <c r="JB7" s="39"/>
      <c r="JC7" s="39"/>
      <c r="JD7" s="39"/>
      <c r="JE7" s="39"/>
      <c r="JF7" s="39"/>
      <c r="JG7" s="39"/>
      <c r="JH7" s="39"/>
      <c r="JI7" s="39"/>
      <c r="JJ7" s="39"/>
      <c r="JK7" s="39"/>
      <c r="JL7" s="39"/>
      <c r="JM7" s="39"/>
      <c r="JN7" s="39"/>
      <c r="JO7" s="39"/>
      <c r="JP7" s="39"/>
      <c r="JQ7" s="39"/>
      <c r="JR7" s="39"/>
      <c r="JS7" s="39"/>
      <c r="JT7" s="39"/>
      <c r="JU7" s="39"/>
      <c r="JV7" s="39"/>
      <c r="JW7" s="39"/>
      <c r="JX7" s="39"/>
      <c r="JY7" s="39"/>
      <c r="JZ7" s="39"/>
      <c r="KA7" s="39"/>
      <c r="KB7" s="39"/>
      <c r="KC7" s="39"/>
      <c r="KD7" s="39"/>
      <c r="KE7" s="39"/>
      <c r="KF7" s="39"/>
      <c r="KG7" s="39"/>
      <c r="KH7" s="39"/>
      <c r="KI7" s="39"/>
      <c r="KJ7" s="39"/>
      <c r="KK7" s="39"/>
      <c r="KL7" s="39"/>
      <c r="KM7" s="39"/>
      <c r="KN7" s="39"/>
      <c r="KO7" s="39"/>
      <c r="KP7" s="39"/>
      <c r="KQ7" s="39"/>
      <c r="KR7" s="39"/>
      <c r="KS7" s="39"/>
      <c r="KT7" s="39"/>
      <c r="KU7" s="39"/>
      <c r="KV7" s="39"/>
      <c r="KW7" s="39"/>
      <c r="KX7" s="39"/>
      <c r="KY7" s="39"/>
      <c r="KZ7" s="39"/>
      <c r="LA7" s="39"/>
      <c r="LB7" s="39"/>
      <c r="LC7" s="39"/>
      <c r="LD7" s="39"/>
      <c r="LE7" s="39"/>
      <c r="LF7" s="39"/>
      <c r="LG7" s="39"/>
      <c r="LH7" s="39"/>
      <c r="LI7" s="39"/>
      <c r="LJ7" s="39"/>
      <c r="LK7" s="39"/>
      <c r="LL7" s="39"/>
      <c r="LM7" s="39"/>
      <c r="LN7" s="39"/>
      <c r="LO7" s="39"/>
      <c r="LP7" s="39"/>
      <c r="LQ7" s="39"/>
      <c r="LR7" s="39"/>
      <c r="LS7" s="39"/>
      <c r="LT7" s="39"/>
      <c r="LU7" s="39"/>
      <c r="LV7" s="39"/>
      <c r="LW7" s="39"/>
      <c r="LX7" s="39"/>
      <c r="LY7" s="39"/>
      <c r="LZ7" s="39"/>
      <c r="MA7" s="39"/>
      <c r="MB7" s="39"/>
      <c r="MC7" s="39"/>
      <c r="MD7" s="39"/>
      <c r="ME7" s="39"/>
      <c r="MF7" s="39"/>
      <c r="MG7" s="39"/>
      <c r="MH7" s="39"/>
      <c r="MI7" s="39"/>
      <c r="MJ7" s="39"/>
      <c r="MK7" s="39"/>
      <c r="ML7" s="39"/>
      <c r="MM7" s="39"/>
      <c r="MN7" s="39"/>
      <c r="MO7" s="39"/>
      <c r="MP7" s="39"/>
      <c r="MQ7" s="39"/>
      <c r="MR7" s="39"/>
      <c r="MS7" s="39"/>
      <c r="MT7" s="39"/>
      <c r="MU7" s="39"/>
      <c r="MV7" s="39"/>
      <c r="MW7" s="39"/>
      <c r="MX7" s="39"/>
      <c r="MY7" s="39"/>
      <c r="MZ7" s="39"/>
      <c r="NA7" s="39"/>
      <c r="NB7" s="39"/>
      <c r="NC7" s="39"/>
      <c r="ND7" s="39"/>
      <c r="NE7" s="39"/>
      <c r="NF7" s="39"/>
      <c r="NG7" s="39"/>
      <c r="NH7" s="39"/>
      <c r="NI7" s="39"/>
      <c r="NJ7" s="39"/>
      <c r="NK7" s="39"/>
      <c r="NL7" s="39"/>
      <c r="NM7" s="39"/>
      <c r="NN7" s="39"/>
      <c r="NO7" s="39"/>
      <c r="NP7" s="39"/>
      <c r="NQ7" s="39"/>
      <c r="NR7" s="39"/>
      <c r="NS7" s="39"/>
      <c r="NT7" s="39"/>
      <c r="NU7" s="39"/>
      <c r="NV7" s="39"/>
      <c r="NW7" s="39"/>
      <c r="NX7" s="39"/>
      <c r="NY7" s="39"/>
      <c r="NZ7" s="39"/>
      <c r="OA7" s="39"/>
      <c r="OB7" s="39"/>
      <c r="OC7" s="39"/>
      <c r="OD7" s="39"/>
      <c r="OE7" s="39"/>
      <c r="OF7" s="39"/>
      <c r="OG7" s="39"/>
      <c r="OH7" s="39"/>
      <c r="OI7" s="39"/>
      <c r="OJ7" s="39"/>
      <c r="OK7" s="39"/>
      <c r="OL7" s="39"/>
      <c r="OM7" s="39"/>
      <c r="ON7" s="39"/>
      <c r="OO7" s="39"/>
      <c r="OP7" s="39"/>
      <c r="OQ7" s="39"/>
      <c r="OR7" s="39"/>
      <c r="OS7" s="39"/>
      <c r="OT7" s="39"/>
      <c r="OU7" s="39"/>
      <c r="OV7" s="39"/>
      <c r="OW7" s="39"/>
      <c r="OX7" s="39"/>
      <c r="OY7" s="39"/>
      <c r="OZ7" s="39"/>
      <c r="PA7" s="39"/>
      <c r="PB7" s="39"/>
      <c r="PC7" s="39"/>
      <c r="PD7" s="39"/>
      <c r="PE7" s="39"/>
      <c r="PF7" s="39"/>
      <c r="PG7" s="39"/>
      <c r="PH7" s="39"/>
      <c r="PI7" s="39"/>
      <c r="PJ7" s="39"/>
      <c r="PK7" s="39"/>
      <c r="PL7" s="39"/>
      <c r="PM7" s="39"/>
      <c r="PN7" s="39"/>
      <c r="PO7" s="39"/>
      <c r="PP7" s="39"/>
      <c r="PQ7" s="39"/>
      <c r="PR7" s="39"/>
      <c r="PS7" s="39"/>
      <c r="PT7" s="39"/>
      <c r="PU7" s="39"/>
      <c r="PV7" s="39"/>
      <c r="PW7" s="39"/>
      <c r="PX7" s="39"/>
      <c r="PY7" s="39"/>
      <c r="PZ7" s="39"/>
      <c r="QA7" s="39"/>
      <c r="QB7" s="39"/>
      <c r="QC7" s="39"/>
      <c r="QD7" s="39"/>
      <c r="QE7" s="39"/>
      <c r="QF7" s="39"/>
      <c r="QG7" s="39"/>
      <c r="QH7" s="39"/>
      <c r="QI7" s="39"/>
      <c r="QJ7" s="39"/>
      <c r="QK7" s="39"/>
      <c r="QL7" s="39"/>
      <c r="QM7" s="39"/>
      <c r="QN7" s="39"/>
      <c r="QO7" s="39"/>
      <c r="QP7" s="39"/>
      <c r="QQ7" s="39"/>
      <c r="QR7" s="39"/>
      <c r="QS7" s="39"/>
      <c r="QT7" s="39"/>
      <c r="QU7" s="39"/>
      <c r="QV7" s="39"/>
      <c r="QW7" s="39"/>
      <c r="QX7" s="39"/>
      <c r="QY7" s="39"/>
      <c r="QZ7" s="39"/>
      <c r="RA7" s="39"/>
      <c r="RB7" s="39"/>
      <c r="RC7" s="39"/>
      <c r="RD7" s="39"/>
      <c r="RE7" s="39"/>
      <c r="RF7" s="39"/>
      <c r="RG7" s="39"/>
      <c r="RH7" s="39"/>
      <c r="RI7" s="39"/>
      <c r="RJ7" s="39"/>
      <c r="RK7" s="39"/>
      <c r="RL7" s="39"/>
      <c r="RM7" s="39"/>
      <c r="RN7" s="39"/>
      <c r="RO7" s="39"/>
      <c r="RP7" s="39"/>
      <c r="RQ7" s="39"/>
      <c r="RR7" s="39"/>
      <c r="RS7" s="39"/>
      <c r="RT7" s="39"/>
      <c r="RU7" s="39"/>
      <c r="RV7" s="39"/>
      <c r="RW7" s="39"/>
      <c r="RX7" s="39"/>
      <c r="RY7" s="39"/>
      <c r="RZ7" s="39"/>
      <c r="SA7" s="39"/>
      <c r="SB7" s="39"/>
      <c r="SC7" s="39"/>
      <c r="SD7" s="39"/>
      <c r="SE7" s="39"/>
      <c r="SF7" s="39"/>
      <c r="SG7" s="39"/>
      <c r="SH7" s="39"/>
      <c r="SI7" s="39"/>
      <c r="SJ7" s="39"/>
      <c r="SK7" s="39"/>
      <c r="SL7" s="39"/>
      <c r="SM7" s="39"/>
      <c r="SN7" s="39"/>
      <c r="SO7" s="39"/>
      <c r="SP7" s="39"/>
      <c r="SQ7" s="39"/>
      <c r="SR7" s="39"/>
      <c r="SS7" s="39"/>
      <c r="ST7" s="39"/>
      <c r="SU7" s="39"/>
      <c r="SV7" s="39"/>
      <c r="SW7" s="39"/>
      <c r="SX7" s="39"/>
      <c r="SY7" s="39"/>
      <c r="SZ7" s="39"/>
      <c r="TA7" s="39"/>
      <c r="TB7" s="39"/>
      <c r="TC7" s="39"/>
      <c r="TD7" s="39"/>
      <c r="TE7" s="39"/>
      <c r="TF7" s="39"/>
      <c r="TG7" s="39"/>
      <c r="TH7" s="39"/>
      <c r="TI7" s="39"/>
      <c r="TJ7" s="39"/>
      <c r="TK7" s="39"/>
      <c r="TL7" s="39"/>
      <c r="TM7" s="39"/>
      <c r="TN7" s="39"/>
      <c r="TO7" s="39"/>
      <c r="TP7" s="39"/>
      <c r="TQ7" s="39"/>
      <c r="TR7" s="39"/>
      <c r="TS7" s="39"/>
      <c r="TT7" s="39"/>
      <c r="TU7" s="39"/>
      <c r="TV7" s="39"/>
      <c r="TW7" s="39"/>
      <c r="TX7" s="39"/>
      <c r="TY7" s="39"/>
      <c r="TZ7" s="39"/>
      <c r="UA7" s="39"/>
      <c r="UB7" s="39"/>
      <c r="UC7" s="39"/>
      <c r="UD7" s="39"/>
      <c r="UE7" s="39"/>
      <c r="UF7" s="39"/>
      <c r="UG7" s="39"/>
      <c r="UH7" s="39"/>
      <c r="UI7" s="39"/>
      <c r="UJ7" s="39"/>
      <c r="UK7" s="39"/>
      <c r="UL7" s="39"/>
      <c r="UM7" s="39"/>
      <c r="UN7" s="39"/>
      <c r="UO7" s="39"/>
      <c r="UP7" s="39"/>
      <c r="UQ7" s="39"/>
      <c r="UR7" s="39"/>
      <c r="US7" s="39"/>
      <c r="UT7" s="39"/>
      <c r="UU7" s="39"/>
      <c r="UV7" s="39"/>
      <c r="UW7" s="39"/>
      <c r="UX7" s="39"/>
      <c r="UY7" s="39"/>
      <c r="UZ7" s="39"/>
      <c r="VA7" s="39"/>
      <c r="VB7" s="39"/>
      <c r="VC7" s="39"/>
      <c r="VD7" s="39"/>
      <c r="VE7" s="39"/>
      <c r="VF7" s="39"/>
      <c r="VG7" s="39"/>
      <c r="VH7" s="39"/>
      <c r="VI7" s="39"/>
      <c r="VJ7" s="39"/>
      <c r="VK7" s="39"/>
      <c r="VL7" s="39"/>
      <c r="VM7" s="39"/>
      <c r="VN7" s="39"/>
      <c r="VO7" s="39"/>
      <c r="VP7" s="39"/>
      <c r="VQ7" s="39"/>
      <c r="VR7" s="39"/>
      <c r="VS7" s="39"/>
      <c r="VT7" s="39"/>
      <c r="VU7" s="39"/>
      <c r="VV7" s="39"/>
      <c r="VW7" s="39"/>
      <c r="VX7" s="39"/>
      <c r="VY7" s="39"/>
      <c r="VZ7" s="39"/>
      <c r="WA7" s="39"/>
      <c r="WB7" s="39"/>
      <c r="WC7" s="39"/>
      <c r="WD7" s="39"/>
      <c r="WE7" s="39"/>
      <c r="WF7" s="39"/>
      <c r="WG7" s="39"/>
      <c r="WH7" s="39"/>
      <c r="WI7" s="39"/>
      <c r="WJ7" s="39"/>
      <c r="WK7" s="39"/>
      <c r="WL7" s="39"/>
      <c r="WM7" s="39"/>
      <c r="WN7" s="39"/>
      <c r="WO7" s="39"/>
      <c r="WP7" s="39"/>
      <c r="WQ7" s="39"/>
      <c r="WR7" s="39"/>
      <c r="WS7" s="39"/>
      <c r="WT7" s="39"/>
      <c r="WU7" s="39"/>
      <c r="WV7" s="39"/>
      <c r="WW7" s="39"/>
      <c r="WX7" s="39"/>
      <c r="WY7" s="39"/>
      <c r="WZ7" s="39"/>
      <c r="XA7" s="39"/>
      <c r="XB7" s="39"/>
      <c r="XC7" s="39"/>
      <c r="XD7" s="39"/>
      <c r="XE7" s="39"/>
      <c r="XF7" s="39"/>
      <c r="XG7" s="39"/>
      <c r="XH7" s="39"/>
      <c r="XI7" s="39"/>
      <c r="XJ7" s="39"/>
      <c r="XK7" s="39"/>
      <c r="XL7" s="39"/>
      <c r="XM7" s="39"/>
      <c r="XN7" s="39"/>
      <c r="XO7" s="39"/>
      <c r="XP7" s="39"/>
      <c r="XQ7" s="39"/>
      <c r="XR7" s="39"/>
      <c r="XS7" s="39"/>
      <c r="XT7" s="39"/>
      <c r="XU7" s="39"/>
      <c r="XV7" s="39"/>
      <c r="XW7" s="39"/>
      <c r="XX7" s="39"/>
      <c r="XY7" s="39"/>
      <c r="XZ7" s="39"/>
      <c r="YA7" s="39"/>
      <c r="YB7" s="39"/>
      <c r="YC7" s="39"/>
      <c r="YD7" s="39"/>
      <c r="YE7" s="39"/>
      <c r="YF7" s="39"/>
      <c r="YG7" s="39"/>
      <c r="YH7" s="39"/>
      <c r="YI7" s="39"/>
      <c r="YJ7" s="39"/>
      <c r="YK7" s="39"/>
      <c r="YL7" s="39"/>
      <c r="YM7" s="39"/>
      <c r="YN7" s="39"/>
      <c r="YO7" s="39"/>
      <c r="YP7" s="39"/>
      <c r="YQ7" s="39"/>
      <c r="YR7" s="39"/>
      <c r="YS7" s="39"/>
      <c r="YT7" s="39"/>
      <c r="YU7" s="39"/>
      <c r="YV7" s="39"/>
      <c r="YW7" s="39"/>
      <c r="YX7" s="39"/>
      <c r="YY7" s="39"/>
      <c r="YZ7" s="39"/>
      <c r="ZA7" s="39"/>
      <c r="ZB7" s="39"/>
      <c r="ZC7" s="39"/>
      <c r="ZD7" s="39"/>
      <c r="ZE7" s="39"/>
      <c r="ZF7" s="39"/>
      <c r="ZG7" s="39"/>
      <c r="ZH7" s="39"/>
      <c r="ZI7" s="39"/>
      <c r="ZJ7" s="39"/>
      <c r="ZK7" s="39"/>
      <c r="ZL7" s="39"/>
      <c r="ZM7" s="39"/>
      <c r="ZN7" s="39"/>
      <c r="ZO7" s="39"/>
      <c r="ZP7" s="39"/>
      <c r="ZQ7" s="39"/>
      <c r="ZR7" s="39"/>
      <c r="ZS7" s="39"/>
      <c r="ZT7" s="39"/>
      <c r="ZU7" s="39"/>
      <c r="ZV7" s="39"/>
      <c r="ZW7" s="39"/>
      <c r="ZX7" s="39"/>
      <c r="ZY7" s="39"/>
      <c r="ZZ7" s="39"/>
      <c r="AAA7" s="39"/>
      <c r="AAB7" s="39"/>
      <c r="AAC7" s="39"/>
      <c r="AAD7" s="39"/>
      <c r="AAE7" s="39"/>
      <c r="AAF7" s="39"/>
      <c r="AAG7" s="39"/>
      <c r="AAH7" s="39"/>
      <c r="AAI7" s="39"/>
      <c r="AAJ7" s="39"/>
      <c r="AAK7" s="39"/>
      <c r="AAL7" s="39"/>
      <c r="AAM7" s="39"/>
      <c r="AAN7" s="39"/>
      <c r="AAO7" s="39"/>
      <c r="AAP7" s="39"/>
      <c r="AAQ7" s="39"/>
      <c r="AAR7" s="39"/>
      <c r="AAS7" s="39"/>
      <c r="AAT7" s="39"/>
      <c r="AAU7" s="39"/>
      <c r="AAV7" s="39"/>
      <c r="AAW7" s="39"/>
      <c r="AAX7" s="39"/>
      <c r="AAY7" s="39"/>
      <c r="AAZ7" s="39"/>
      <c r="ABA7" s="39"/>
      <c r="ABB7" s="39"/>
      <c r="ABC7" s="39"/>
      <c r="ABD7" s="39"/>
      <c r="ABE7" s="39"/>
      <c r="ABF7" s="39"/>
      <c r="ABG7" s="39"/>
      <c r="ABH7" s="39"/>
      <c r="ABI7" s="39"/>
      <c r="ABJ7" s="39"/>
      <c r="ABK7" s="39"/>
      <c r="ABL7" s="39"/>
      <c r="ABM7" s="39"/>
      <c r="ABN7" s="39"/>
      <c r="ABO7" s="39"/>
      <c r="ABP7" s="39"/>
      <c r="ABQ7" s="39"/>
      <c r="ABR7" s="39"/>
      <c r="ABS7" s="39"/>
      <c r="ABT7" s="39"/>
      <c r="ABU7" s="39"/>
      <c r="ABV7" s="39"/>
      <c r="ABW7" s="39"/>
      <c r="ABX7" s="39"/>
      <c r="ABY7" s="39"/>
      <c r="ABZ7" s="39"/>
      <c r="ACA7" s="39"/>
      <c r="ACB7" s="39"/>
      <c r="ACC7" s="39"/>
      <c r="ACD7" s="39"/>
      <c r="ACE7" s="39"/>
      <c r="ACF7" s="39"/>
      <c r="ACG7" s="39"/>
      <c r="ACH7" s="39"/>
      <c r="ACI7" s="39"/>
      <c r="ACJ7" s="39"/>
      <c r="ACK7" s="39"/>
      <c r="ACL7" s="39"/>
      <c r="ACM7" s="39"/>
      <c r="ACN7" s="39"/>
      <c r="ACO7" s="39"/>
      <c r="ACP7" s="39"/>
      <c r="ACQ7" s="39"/>
      <c r="ACR7" s="39"/>
      <c r="ACS7" s="39"/>
      <c r="ACT7" s="39"/>
      <c r="ACU7" s="39"/>
      <c r="ACV7" s="39"/>
      <c r="ACW7" s="39"/>
      <c r="ACX7" s="39"/>
      <c r="ACY7" s="39"/>
      <c r="ACZ7" s="39"/>
      <c r="ADA7" s="39"/>
      <c r="ADB7" s="39"/>
      <c r="ADC7" s="39"/>
      <c r="ADD7" s="39"/>
      <c r="ADE7" s="39"/>
      <c r="ADF7" s="39"/>
      <c r="ADG7" s="39"/>
      <c r="ADH7" s="39"/>
      <c r="ADI7" s="39"/>
      <c r="ADJ7" s="39"/>
      <c r="ADK7" s="39"/>
      <c r="ADL7" s="39"/>
      <c r="ADM7" s="39"/>
      <c r="ADN7" s="39"/>
      <c r="ADO7" s="39"/>
      <c r="ADP7" s="39"/>
      <c r="ADQ7" s="39"/>
      <c r="ADR7" s="39"/>
      <c r="ADS7" s="39"/>
      <c r="ADT7" s="39"/>
      <c r="ADU7" s="39"/>
      <c r="ADV7" s="39"/>
      <c r="ADW7" s="39"/>
      <c r="ADX7" s="39"/>
      <c r="ADY7" s="39"/>
      <c r="ADZ7" s="39"/>
      <c r="AEA7" s="39"/>
      <c r="AEB7" s="39"/>
      <c r="AEC7" s="39"/>
      <c r="AED7" s="39"/>
      <c r="AEE7" s="39"/>
      <c r="AEF7" s="39"/>
      <c r="AEG7" s="39"/>
      <c r="AEH7" s="39"/>
      <c r="AEI7" s="39"/>
      <c r="AEJ7" s="39"/>
      <c r="AEK7" s="39"/>
      <c r="AEL7" s="39"/>
      <c r="AEM7" s="39"/>
      <c r="AEN7" s="39"/>
      <c r="AEO7" s="39"/>
      <c r="AEP7" s="39"/>
      <c r="AEQ7" s="39"/>
      <c r="AER7" s="39"/>
      <c r="AES7" s="39"/>
      <c r="AET7" s="39"/>
      <c r="AEU7" s="39"/>
      <c r="AEV7" s="39"/>
      <c r="AEW7" s="39"/>
      <c r="AEX7" s="39"/>
      <c r="AEY7" s="39"/>
      <c r="AEZ7" s="39"/>
      <c r="AFA7" s="39"/>
      <c r="AFB7" s="39"/>
      <c r="AFC7" s="39"/>
      <c r="AFD7" s="39"/>
      <c r="AFE7" s="39"/>
      <c r="AFF7" s="39"/>
      <c r="AFG7" s="39"/>
      <c r="AFH7" s="39"/>
      <c r="AFI7" s="39"/>
      <c r="AFJ7" s="39"/>
      <c r="AFK7" s="39"/>
      <c r="AFL7" s="39"/>
      <c r="AFM7" s="39"/>
      <c r="AFN7" s="39"/>
      <c r="AFO7" s="39"/>
      <c r="AFP7" s="39"/>
      <c r="AFQ7" s="39"/>
      <c r="AFR7" s="39"/>
      <c r="AFS7" s="39"/>
      <c r="AFT7" s="39"/>
      <c r="AFU7" s="39"/>
      <c r="AFV7" s="39"/>
      <c r="AFW7" s="39"/>
      <c r="AFX7" s="39"/>
      <c r="AFY7" s="39"/>
      <c r="AFZ7" s="39"/>
      <c r="AGA7" s="39"/>
      <c r="AGB7" s="39"/>
      <c r="AGC7" s="39"/>
      <c r="AGD7" s="39"/>
      <c r="AGE7" s="39"/>
      <c r="AGF7" s="39"/>
      <c r="AGG7" s="39"/>
      <c r="AGH7" s="39"/>
      <c r="AGI7" s="39"/>
      <c r="AGJ7" s="39"/>
      <c r="AGK7" s="39"/>
      <c r="AGL7" s="39"/>
      <c r="AGM7" s="39"/>
      <c r="AGN7" s="39"/>
      <c r="AGO7" s="39"/>
      <c r="AGP7" s="39"/>
      <c r="AGQ7" s="39"/>
      <c r="AGR7" s="39"/>
      <c r="AGS7" s="39"/>
      <c r="AGT7" s="39"/>
      <c r="AGU7" s="39"/>
      <c r="AGV7" s="39"/>
      <c r="AGW7" s="39"/>
      <c r="AGX7" s="39"/>
      <c r="AGY7" s="39"/>
      <c r="AGZ7" s="39"/>
      <c r="AHA7" s="39"/>
      <c r="AHB7" s="39"/>
      <c r="AHC7" s="39"/>
      <c r="AHD7" s="39"/>
      <c r="AHE7" s="39"/>
      <c r="AHF7" s="39"/>
      <c r="AHG7" s="39"/>
      <c r="AHH7" s="39"/>
      <c r="AHI7" s="39"/>
      <c r="AHJ7" s="39"/>
      <c r="AHK7" s="39"/>
      <c r="AHL7" s="39"/>
      <c r="AHM7" s="39"/>
      <c r="AHN7" s="39"/>
      <c r="AHO7" s="39"/>
      <c r="AHP7" s="39"/>
      <c r="AHQ7" s="39"/>
      <c r="AHR7" s="39"/>
      <c r="AHS7" s="39"/>
      <c r="AHT7" s="39"/>
      <c r="AHU7" s="39"/>
      <c r="AHV7" s="39"/>
      <c r="AHW7" s="39"/>
      <c r="AHX7" s="39"/>
      <c r="AHY7" s="39"/>
      <c r="AHZ7" s="39"/>
      <c r="AIA7" s="39"/>
      <c r="AIB7" s="39"/>
      <c r="AIC7" s="39"/>
      <c r="AID7" s="39"/>
      <c r="AIE7" s="39"/>
      <c r="AIF7" s="39"/>
      <c r="AIG7" s="39"/>
      <c r="AIH7" s="39"/>
      <c r="AII7" s="39"/>
      <c r="AIJ7" s="39"/>
      <c r="AIK7" s="39"/>
      <c r="AIL7" s="39"/>
      <c r="AIM7" s="39"/>
      <c r="AIN7" s="39"/>
      <c r="AIO7" s="39"/>
      <c r="AIP7" s="39"/>
      <c r="AIQ7" s="39"/>
      <c r="AIR7" s="39"/>
      <c r="AIS7" s="39"/>
      <c r="AIT7" s="39"/>
      <c r="AIU7" s="39"/>
      <c r="AIV7" s="39"/>
      <c r="AIW7" s="39"/>
      <c r="AIX7" s="39"/>
      <c r="AIY7" s="39"/>
      <c r="AIZ7" s="39"/>
      <c r="AJA7" s="39"/>
      <c r="AJB7" s="39"/>
      <c r="AJC7" s="39"/>
      <c r="AJD7" s="39"/>
      <c r="AJE7" s="39"/>
      <c r="AJF7" s="39"/>
      <c r="AJG7" s="39"/>
      <c r="AJH7" s="39"/>
      <c r="AJI7" s="39"/>
      <c r="AJJ7" s="39"/>
      <c r="AJK7" s="39"/>
      <c r="AJL7" s="39"/>
      <c r="AJM7" s="39"/>
      <c r="AJN7" s="39"/>
      <c r="AJO7" s="39"/>
      <c r="AJP7" s="39"/>
      <c r="AJQ7" s="39"/>
      <c r="AJR7" s="39"/>
      <c r="AJS7" s="39"/>
      <c r="AJT7" s="39"/>
      <c r="AJU7" s="39"/>
      <c r="AJV7" s="39"/>
      <c r="AJW7" s="39"/>
      <c r="AJX7" s="39"/>
      <c r="AJY7" s="39"/>
      <c r="AJZ7" s="39"/>
      <c r="AKA7" s="39"/>
      <c r="AKB7" s="39"/>
      <c r="AKC7" s="39"/>
      <c r="AKD7" s="39"/>
      <c r="AKE7" s="39"/>
      <c r="AKF7" s="39"/>
      <c r="AKG7" s="39"/>
      <c r="AKH7" s="39"/>
      <c r="AKI7" s="39"/>
      <c r="AKJ7" s="39"/>
      <c r="AKK7" s="39"/>
      <c r="AKL7" s="39"/>
      <c r="AKM7" s="39"/>
      <c r="AKN7" s="39"/>
      <c r="AKO7" s="39"/>
      <c r="AKP7" s="39"/>
      <c r="AKQ7" s="39"/>
      <c r="AKR7" s="39"/>
      <c r="AKS7" s="39"/>
      <c r="AKT7" s="39"/>
      <c r="AKU7" s="39"/>
      <c r="AKV7" s="39"/>
      <c r="AKW7" s="39"/>
      <c r="AKX7" s="39"/>
      <c r="AKY7" s="39"/>
      <c r="AKZ7" s="39"/>
      <c r="ALA7" s="39"/>
      <c r="ALB7" s="39"/>
      <c r="ALC7" s="39"/>
      <c r="ALD7" s="39"/>
      <c r="ALE7" s="39"/>
      <c r="ALF7" s="39"/>
      <c r="ALG7" s="39"/>
      <c r="ALH7" s="39"/>
      <c r="ALI7" s="39"/>
      <c r="ALJ7" s="39"/>
      <c r="ALK7" s="39"/>
      <c r="ALL7" s="39"/>
      <c r="ALM7" s="39"/>
      <c r="ALN7" s="39"/>
      <c r="ALO7" s="39"/>
      <c r="ALP7" s="39"/>
      <c r="ALQ7" s="39"/>
      <c r="ALR7" s="39"/>
      <c r="ALS7" s="39"/>
      <c r="ALT7" s="39"/>
      <c r="ALU7" s="39"/>
      <c r="ALV7" s="39"/>
      <c r="ALW7" s="39"/>
      <c r="ALX7" s="39"/>
      <c r="ALY7" s="39"/>
      <c r="ALZ7" s="39"/>
      <c r="AMA7" s="39"/>
      <c r="AMB7" s="39"/>
      <c r="AMC7" s="39"/>
      <c r="AMD7" s="39"/>
      <c r="AME7" s="39"/>
      <c r="AMF7" s="39"/>
      <c r="AMG7" s="39"/>
      <c r="AMH7" s="39"/>
      <c r="AMI7" s="39"/>
      <c r="AMJ7" s="39"/>
    </row>
    <row r="8" spans="1:1024" ht="14.25" customHeight="1">
      <c r="A8" s="33">
        <v>5</v>
      </c>
      <c r="B8" s="37" t="s">
        <v>25</v>
      </c>
      <c r="C8" s="134" t="s">
        <v>26</v>
      </c>
      <c r="D8" s="134"/>
      <c r="E8" s="134"/>
      <c r="F8" s="134"/>
      <c r="G8" s="134"/>
    </row>
    <row r="9" spans="1:1024" ht="14.25" customHeight="1">
      <c r="A9" s="33"/>
      <c r="B9" s="36"/>
      <c r="C9" s="35"/>
    </row>
    <row r="10" spans="1:1024" ht="15" customHeight="1">
      <c r="A10" s="41"/>
      <c r="B10" s="42"/>
      <c r="C10" s="42"/>
      <c r="D10" s="42"/>
      <c r="E10" s="42"/>
    </row>
    <row r="11" spans="1:1024" ht="14.25" customHeight="1">
      <c r="A11" s="43" t="s">
        <v>27</v>
      </c>
      <c r="B11" s="43" t="s">
        <v>28</v>
      </c>
      <c r="C11" s="135" t="s">
        <v>29</v>
      </c>
      <c r="D11" s="135"/>
      <c r="E11" s="135"/>
      <c r="F11" s="43" t="s">
        <v>30</v>
      </c>
      <c r="G11" s="43" t="s">
        <v>31</v>
      </c>
    </row>
    <row r="12" spans="1:1024" ht="14.25" customHeight="1">
      <c r="A12" s="44">
        <v>46157</v>
      </c>
      <c r="B12" s="45" t="s">
        <v>32</v>
      </c>
      <c r="C12" s="136" t="s">
        <v>33</v>
      </c>
      <c r="D12" s="136"/>
      <c r="E12" s="136"/>
      <c r="F12" s="46">
        <v>1</v>
      </c>
      <c r="G12" s="47"/>
    </row>
  </sheetData>
  <mergeCells count="8">
    <mergeCell ref="C8:G8"/>
    <mergeCell ref="C11:E11"/>
    <mergeCell ref="C12:E12"/>
    <mergeCell ref="C3:G3"/>
    <mergeCell ref="C4:G4"/>
    <mergeCell ref="C5:G5"/>
    <mergeCell ref="C6:G6"/>
    <mergeCell ref="C7:G7"/>
  </mergeCells>
  <hyperlinks>
    <hyperlink ref="B4" location="Cover!A1" display="Cover" xr:uid="{00000000-0004-0000-0100-000000000000}"/>
    <hyperlink ref="B5" location="Records!A1" display="Records" xr:uid="{00000000-0004-0000-0100-000001000000}"/>
    <hyperlink ref="B6" location="'Test Report'!A1" display="Test Report" xr:uid="{00000000-0004-0000-0100-000002000000}"/>
    <hyperlink ref="B7" location="'Testcase Whitelist'!A1" display="Testcase Whitelist" xr:uid="{00000000-0004-0000-0100-000003000000}"/>
    <hyperlink ref="B8" location="'Legend'!A1" display="Legend" xr:uid="{00000000-0004-0000-0100-000004000000}"/>
  </hyperlink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C090"/>
  </sheetPr>
  <dimension ref="A1:H31"/>
  <sheetViews>
    <sheetView zoomScaleNormal="100" workbookViewId="0">
      <selection activeCell="K20" sqref="K20"/>
    </sheetView>
  </sheetViews>
  <sheetFormatPr defaultColWidth="8.5703125" defaultRowHeight="14.25"/>
  <cols>
    <col min="1" max="1" width="24.140625" style="40" customWidth="1"/>
    <col min="2" max="2" width="15.42578125" style="40" customWidth="1"/>
    <col min="3" max="3" width="16" style="40" customWidth="1"/>
    <col min="4" max="8" width="15.42578125" style="40" customWidth="1"/>
    <col min="9" max="16384" width="8.5703125" style="40"/>
  </cols>
  <sheetData>
    <row r="1" spans="1:8">
      <c r="A1" s="48"/>
      <c r="B1" s="49"/>
      <c r="C1" s="49"/>
      <c r="D1" s="49"/>
      <c r="E1" s="49"/>
      <c r="F1" s="49"/>
      <c r="G1" s="49"/>
      <c r="H1" s="50"/>
    </row>
    <row r="2" spans="1:8" ht="27.75" customHeight="1">
      <c r="A2" s="51"/>
      <c r="B2" s="52" t="s">
        <v>34</v>
      </c>
      <c r="C2" s="51"/>
      <c r="D2" s="51"/>
      <c r="E2" s="51"/>
      <c r="F2" s="51"/>
      <c r="G2" s="51"/>
      <c r="H2" s="51"/>
    </row>
    <row r="3" spans="1:8">
      <c r="A3" s="51"/>
      <c r="B3" s="51"/>
      <c r="C3" s="51"/>
      <c r="D3" s="51"/>
      <c r="E3" s="51"/>
      <c r="F3" s="51"/>
      <c r="G3" s="51"/>
      <c r="H3" s="51"/>
    </row>
    <row r="4" spans="1:8" ht="15" customHeight="1">
      <c r="A4" s="51"/>
      <c r="B4" s="51"/>
      <c r="C4" s="51"/>
      <c r="D4" s="51"/>
      <c r="E4" s="51"/>
      <c r="F4" s="51"/>
      <c r="G4" s="51"/>
      <c r="H4" s="51"/>
    </row>
    <row r="5" spans="1:8" ht="27.75" customHeight="1">
      <c r="A5" s="53" t="s">
        <v>35</v>
      </c>
      <c r="B5" s="138" t="s">
        <v>2</v>
      </c>
      <c r="C5" s="138"/>
      <c r="D5" s="54" t="s">
        <v>36</v>
      </c>
      <c r="E5" s="139"/>
      <c r="F5" s="139"/>
      <c r="G5" s="139"/>
      <c r="H5" s="139"/>
    </row>
    <row r="6" spans="1:8" ht="14.25" customHeight="1">
      <c r="A6" s="55" t="s">
        <v>37</v>
      </c>
      <c r="B6" s="140" t="s">
        <v>38</v>
      </c>
      <c r="C6" s="140"/>
      <c r="D6" s="56" t="s">
        <v>39</v>
      </c>
      <c r="E6" s="141"/>
      <c r="F6" s="141"/>
      <c r="G6" s="141"/>
      <c r="H6" s="141"/>
    </row>
    <row r="7" spans="1:8">
      <c r="A7" s="55" t="s">
        <v>40</v>
      </c>
      <c r="B7" s="142"/>
      <c r="C7" s="142"/>
      <c r="D7" s="56" t="s">
        <v>41</v>
      </c>
      <c r="E7" s="143"/>
      <c r="F7" s="143"/>
      <c r="G7" s="143"/>
      <c r="H7" s="143"/>
    </row>
    <row r="8" spans="1:8" ht="14.25" customHeight="1">
      <c r="A8" s="55" t="s">
        <v>42</v>
      </c>
      <c r="B8" s="142" t="s">
        <v>43</v>
      </c>
      <c r="C8" s="142"/>
      <c r="D8" s="56" t="s">
        <v>44</v>
      </c>
      <c r="E8" s="141"/>
      <c r="F8" s="141"/>
      <c r="G8" s="141"/>
      <c r="H8" s="141"/>
    </row>
    <row r="9" spans="1:8">
      <c r="A9" s="55" t="s">
        <v>45</v>
      </c>
      <c r="B9" s="57" t="s">
        <v>46</v>
      </c>
      <c r="C9" s="58"/>
      <c r="D9" s="56"/>
      <c r="E9" s="59"/>
      <c r="F9" s="60"/>
      <c r="G9" s="60"/>
      <c r="H9" s="61"/>
    </row>
    <row r="10" spans="1:8">
      <c r="A10" s="55" t="s">
        <v>47</v>
      </c>
      <c r="B10" s="145"/>
      <c r="C10" s="145"/>
      <c r="D10" s="56"/>
      <c r="E10" s="141"/>
      <c r="F10" s="141"/>
      <c r="G10" s="141"/>
      <c r="H10" s="141"/>
    </row>
    <row r="11" spans="1:8" ht="15" customHeight="1">
      <c r="A11" s="146" t="s">
        <v>48</v>
      </c>
      <c r="B11" s="146"/>
      <c r="C11" s="62"/>
      <c r="D11" s="62"/>
      <c r="E11" s="62"/>
      <c r="F11" s="62"/>
      <c r="G11" s="62"/>
      <c r="H11" s="63"/>
    </row>
    <row r="12" spans="1:8">
      <c r="A12" s="64" t="s">
        <v>49</v>
      </c>
      <c r="B12" s="65"/>
      <c r="C12" s="66"/>
      <c r="D12" s="66"/>
      <c r="E12" s="66"/>
      <c r="F12" s="66"/>
      <c r="G12" s="66"/>
      <c r="H12" s="67"/>
    </row>
    <row r="13" spans="1:8">
      <c r="A13" s="68" t="s">
        <v>50</v>
      </c>
      <c r="B13" s="69"/>
      <c r="C13" s="70"/>
      <c r="D13" s="70"/>
      <c r="E13" s="70"/>
      <c r="F13" s="70"/>
      <c r="G13" s="70"/>
      <c r="H13" s="71"/>
    </row>
    <row r="14" spans="1:8" ht="14.25" customHeight="1">
      <c r="A14" s="144" t="s">
        <v>51</v>
      </c>
      <c r="B14" s="72" t="s">
        <v>52</v>
      </c>
      <c r="C14" s="72" t="s">
        <v>53</v>
      </c>
      <c r="D14" s="72" t="s">
        <v>54</v>
      </c>
      <c r="E14" s="72" t="s">
        <v>55</v>
      </c>
      <c r="F14" s="72" t="s">
        <v>56</v>
      </c>
      <c r="G14" s="72" t="s">
        <v>57</v>
      </c>
      <c r="H14" s="73" t="s">
        <v>58</v>
      </c>
    </row>
    <row r="15" spans="1:8">
      <c r="A15" s="144"/>
      <c r="B15" s="74">
        <f>B16</f>
        <v>0</v>
      </c>
      <c r="C15" s="74">
        <f>C16</f>
        <v>0</v>
      </c>
      <c r="D15" s="74">
        <f>D16</f>
        <v>99</v>
      </c>
      <c r="E15" s="74">
        <f>E16</f>
        <v>0</v>
      </c>
      <c r="F15" s="74">
        <f>F16</f>
        <v>0</v>
      </c>
      <c r="G15" s="74"/>
      <c r="H15" s="75">
        <f>SUM(B15:F15)</f>
        <v>99</v>
      </c>
    </row>
    <row r="16" spans="1:8">
      <c r="A16" s="76" t="s">
        <v>59</v>
      </c>
      <c r="B16" s="77">
        <f>DEF_Whitelist!F6</f>
        <v>0</v>
      </c>
      <c r="C16" s="77">
        <f>DEF_Whitelist!F7</f>
        <v>0</v>
      </c>
      <c r="D16" s="77">
        <f>DEF_Whitelist!F8</f>
        <v>99</v>
      </c>
      <c r="E16" s="77">
        <f>DEF_Whitelist!F9</f>
        <v>0</v>
      </c>
      <c r="F16" s="77">
        <f>DEF_Whitelist!F10</f>
        <v>0</v>
      </c>
      <c r="G16" s="77">
        <f>DEF_Whitelist!F11</f>
        <v>0</v>
      </c>
      <c r="H16" s="78">
        <f>SUM(B16:G16)</f>
        <v>99</v>
      </c>
    </row>
    <row r="17" spans="1:8">
      <c r="A17" s="79"/>
      <c r="B17" s="77"/>
      <c r="C17" s="77"/>
      <c r="D17" s="77"/>
      <c r="E17" s="77"/>
      <c r="F17" s="77"/>
      <c r="G17" s="77"/>
      <c r="H17" s="78"/>
    </row>
    <row r="18" spans="1:8">
      <c r="A18" s="80" t="s">
        <v>60</v>
      </c>
      <c r="B18" s="74">
        <f>B19</f>
        <v>0</v>
      </c>
      <c r="C18" s="74">
        <f>C19</f>
        <v>0</v>
      </c>
      <c r="D18" s="74">
        <f>D19</f>
        <v>99</v>
      </c>
      <c r="E18" s="74">
        <f>E19</f>
        <v>0</v>
      </c>
      <c r="F18" s="74">
        <f>F19</f>
        <v>0</v>
      </c>
      <c r="G18" s="74"/>
      <c r="H18" s="75">
        <f>SUM(B18:F18)</f>
        <v>99</v>
      </c>
    </row>
    <row r="19" spans="1:8">
      <c r="A19" s="76" t="s">
        <v>59</v>
      </c>
      <c r="B19" s="77">
        <f>DEF_Whitelist!F15</f>
        <v>0</v>
      </c>
      <c r="C19" s="77">
        <f>DEF_Whitelist!F16</f>
        <v>0</v>
      </c>
      <c r="D19" s="77">
        <f>DEF_Whitelist!F17</f>
        <v>99</v>
      </c>
      <c r="E19" s="77">
        <f>DEF_Whitelist!F18</f>
        <v>0</v>
      </c>
      <c r="F19" s="77">
        <f>DEF_Whitelist!F19</f>
        <v>0</v>
      </c>
      <c r="G19" s="77">
        <f>DEF_Whitelist!F20</f>
        <v>0</v>
      </c>
      <c r="H19" s="78">
        <f>SUM(B19:G19)</f>
        <v>99</v>
      </c>
    </row>
    <row r="20" spans="1:8">
      <c r="A20" s="81" t="s">
        <v>61</v>
      </c>
      <c r="B20" s="82"/>
      <c r="C20" s="82"/>
      <c r="D20" s="82"/>
      <c r="E20" s="83"/>
      <c r="F20" s="83"/>
      <c r="G20" s="83"/>
      <c r="H20" s="84"/>
    </row>
    <row r="21" spans="1:8">
      <c r="A21" s="76" t="s">
        <v>61</v>
      </c>
      <c r="B21" s="85">
        <f>IFERROR((H15-D15)/H15,0)</f>
        <v>0</v>
      </c>
      <c r="C21" s="82"/>
      <c r="D21" s="82"/>
      <c r="E21" s="83"/>
      <c r="F21" s="83"/>
      <c r="G21" s="83"/>
      <c r="H21" s="86"/>
    </row>
    <row r="22" spans="1:8">
      <c r="A22" s="79" t="s">
        <v>62</v>
      </c>
      <c r="B22" s="85">
        <f>IFERROR(B15/H15,0)</f>
        <v>0</v>
      </c>
      <c r="C22" s="82"/>
      <c r="D22" s="82"/>
      <c r="E22" s="83"/>
      <c r="F22" s="83"/>
      <c r="G22" s="83"/>
      <c r="H22" s="86"/>
    </row>
    <row r="23" spans="1:8">
      <c r="A23" s="81" t="s">
        <v>63</v>
      </c>
      <c r="B23" s="82" t="s">
        <v>4</v>
      </c>
      <c r="C23" s="82"/>
      <c r="D23" s="82"/>
      <c r="E23" s="83"/>
      <c r="F23" s="83"/>
      <c r="G23" s="83"/>
      <c r="H23" s="82"/>
    </row>
    <row r="24" spans="1:8">
      <c r="A24" s="79" t="s">
        <v>64</v>
      </c>
      <c r="B24" s="87"/>
      <c r="C24" s="87"/>
      <c r="D24" s="87"/>
      <c r="E24" s="87"/>
      <c r="F24" s="87"/>
      <c r="G24" s="87"/>
      <c r="H24" s="87"/>
    </row>
    <row r="25" spans="1:8">
      <c r="A25" s="79" t="s">
        <v>65</v>
      </c>
      <c r="B25" s="87"/>
      <c r="C25" s="87"/>
      <c r="D25" s="87"/>
      <c r="E25" s="87"/>
      <c r="F25" s="87"/>
      <c r="G25" s="87"/>
      <c r="H25" s="87"/>
    </row>
    <row r="31" spans="1:8">
      <c r="E31" s="40" t="s">
        <v>66</v>
      </c>
    </row>
  </sheetData>
  <mergeCells count="12">
    <mergeCell ref="A14:A15"/>
    <mergeCell ref="B8:C8"/>
    <mergeCell ref="E8:H8"/>
    <mergeCell ref="B10:C10"/>
    <mergeCell ref="E10:H10"/>
    <mergeCell ref="A11:B11"/>
    <mergeCell ref="B5:C5"/>
    <mergeCell ref="E5:H5"/>
    <mergeCell ref="B6:C6"/>
    <mergeCell ref="E6:H6"/>
    <mergeCell ref="B7:C7"/>
    <mergeCell ref="E7:H7"/>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outlinePr summaryBelow="0" summaryRight="0"/>
  </sheetPr>
  <dimension ref="A1:P139"/>
  <sheetViews>
    <sheetView tabSelected="1" zoomScale="115" zoomScaleNormal="115" workbookViewId="0">
      <pane ySplit="21" topLeftCell="A24" activePane="bottomLeft" state="frozen"/>
      <selection pane="bottomLeft" activeCell="A2" sqref="A2:XFD20"/>
    </sheetView>
  </sheetViews>
  <sheetFormatPr defaultColWidth="9" defaultRowHeight="14.25" outlineLevelRow="2"/>
  <cols>
    <col min="1" max="1" width="6" style="88" customWidth="1"/>
    <col min="2" max="2" width="18" customWidth="1"/>
    <col min="3" max="3" width="34" customWidth="1"/>
    <col min="4" max="4" width="30" customWidth="1"/>
    <col min="5" max="5" width="40" customWidth="1"/>
    <col min="6" max="6" width="26" customWidth="1"/>
    <col min="7" max="7" width="40" customWidth="1"/>
    <col min="8" max="8" width="8" customWidth="1"/>
    <col min="10" max="10" width="8" customWidth="1"/>
    <col min="11" max="13" width="12" customWidth="1"/>
    <col min="14" max="14" width="8" customWidth="1"/>
    <col min="15" max="15" width="18" style="89" customWidth="1"/>
    <col min="16" max="16" width="8" hidden="1" customWidth="1"/>
  </cols>
  <sheetData>
    <row r="1" spans="2:9" ht="30" customHeight="1">
      <c r="B1" s="90" t="s">
        <v>67</v>
      </c>
      <c r="C1" s="123" t="s">
        <v>2</v>
      </c>
      <c r="D1" s="91"/>
      <c r="E1" s="91"/>
      <c r="F1" s="92"/>
    </row>
    <row r="2" spans="2:9" ht="15" hidden="1" customHeight="1">
      <c r="B2" s="90" t="s">
        <v>68</v>
      </c>
      <c r="C2" s="90" t="s">
        <v>69</v>
      </c>
      <c r="D2" s="91"/>
      <c r="E2" s="91"/>
      <c r="F2" s="92"/>
    </row>
    <row r="3" spans="2:9" hidden="1">
      <c r="B3" s="93" t="s">
        <v>70</v>
      </c>
      <c r="C3" s="94"/>
      <c r="D3" s="94"/>
      <c r="E3" s="94"/>
      <c r="F3" s="95"/>
    </row>
    <row r="4" spans="2:9" ht="15" hidden="1" customHeight="1">
      <c r="B4" s="96"/>
      <c r="C4" s="97" t="s">
        <v>71</v>
      </c>
      <c r="D4" s="97" t="s">
        <v>72</v>
      </c>
      <c r="E4" s="97" t="s">
        <v>73</v>
      </c>
      <c r="F4" s="98" t="s">
        <v>58</v>
      </c>
      <c r="G4" s="92"/>
    </row>
    <row r="5" spans="2:9" ht="15" hidden="1" customHeight="1">
      <c r="B5" s="99"/>
      <c r="C5" s="100">
        <f>SUM(C6:C10)</f>
        <v>41</v>
      </c>
      <c r="D5" s="100">
        <f>SUM(D6:D10)</f>
        <v>43</v>
      </c>
      <c r="E5" s="100">
        <f>SUM(E6:E10)</f>
        <v>15</v>
      </c>
      <c r="F5" s="100">
        <f t="shared" ref="F5:F11" si="0">SUM(C5:E5)</f>
        <v>99</v>
      </c>
    </row>
    <row r="6" spans="2:9" hidden="1">
      <c r="B6" s="101" t="s">
        <v>52</v>
      </c>
      <c r="C6" s="102">
        <f t="shared" ref="C6:E11" si="1">COUNTIFS($K:$K, $B6,$I:$I,C$4)</f>
        <v>0</v>
      </c>
      <c r="D6" s="102">
        <f t="shared" si="1"/>
        <v>0</v>
      </c>
      <c r="E6" s="102">
        <f t="shared" si="1"/>
        <v>0</v>
      </c>
      <c r="F6" s="102">
        <f t="shared" si="0"/>
        <v>0</v>
      </c>
    </row>
    <row r="7" spans="2:9" hidden="1">
      <c r="B7" s="101" t="s">
        <v>53</v>
      </c>
      <c r="C7" s="102">
        <f t="shared" si="1"/>
        <v>0</v>
      </c>
      <c r="D7" s="102">
        <f t="shared" si="1"/>
        <v>0</v>
      </c>
      <c r="E7" s="102">
        <f t="shared" si="1"/>
        <v>0</v>
      </c>
      <c r="F7" s="102">
        <f t="shared" si="0"/>
        <v>0</v>
      </c>
    </row>
    <row r="8" spans="2:9" hidden="1">
      <c r="B8" s="101" t="s">
        <v>54</v>
      </c>
      <c r="C8" s="102">
        <f t="shared" si="1"/>
        <v>41</v>
      </c>
      <c r="D8" s="102">
        <f t="shared" si="1"/>
        <v>43</v>
      </c>
      <c r="E8" s="102">
        <f t="shared" si="1"/>
        <v>15</v>
      </c>
      <c r="F8" s="102">
        <f t="shared" si="0"/>
        <v>99</v>
      </c>
    </row>
    <row r="9" spans="2:9" hidden="1">
      <c r="B9" s="101" t="s">
        <v>55</v>
      </c>
      <c r="C9" s="102">
        <f t="shared" si="1"/>
        <v>0</v>
      </c>
      <c r="D9" s="102">
        <f t="shared" si="1"/>
        <v>0</v>
      </c>
      <c r="E9" s="102">
        <f t="shared" si="1"/>
        <v>0</v>
      </c>
      <c r="F9" s="102">
        <f t="shared" si="0"/>
        <v>0</v>
      </c>
    </row>
    <row r="10" spans="2:9" hidden="1">
      <c r="B10" s="101" t="s">
        <v>56</v>
      </c>
      <c r="C10" s="102">
        <f t="shared" si="1"/>
        <v>0</v>
      </c>
      <c r="D10" s="102">
        <f t="shared" si="1"/>
        <v>0</v>
      </c>
      <c r="E10" s="102">
        <f t="shared" si="1"/>
        <v>0</v>
      </c>
      <c r="F10" s="102">
        <f t="shared" si="0"/>
        <v>0</v>
      </c>
    </row>
    <row r="11" spans="2:9" hidden="1">
      <c r="B11" s="101" t="s">
        <v>57</v>
      </c>
      <c r="C11" s="102">
        <f t="shared" si="1"/>
        <v>0</v>
      </c>
      <c r="D11" s="102">
        <f t="shared" si="1"/>
        <v>0</v>
      </c>
      <c r="E11" s="102">
        <f t="shared" si="1"/>
        <v>0</v>
      </c>
      <c r="F11" s="102">
        <f t="shared" si="0"/>
        <v>0</v>
      </c>
    </row>
    <row r="12" spans="2:9" hidden="1">
      <c r="B12" s="93" t="s">
        <v>74</v>
      </c>
      <c r="C12" s="94"/>
      <c r="D12" s="94"/>
      <c r="E12" s="94"/>
      <c r="F12" s="95"/>
    </row>
    <row r="13" spans="2:9" ht="15" hidden="1" customHeight="1">
      <c r="B13" s="96"/>
      <c r="C13" s="97" t="s">
        <v>71</v>
      </c>
      <c r="D13" s="97" t="s">
        <v>72</v>
      </c>
      <c r="E13" s="97" t="s">
        <v>73</v>
      </c>
      <c r="F13" s="98" t="s">
        <v>58</v>
      </c>
      <c r="G13" s="92"/>
    </row>
    <row r="14" spans="2:9" ht="15" hidden="1" customHeight="1">
      <c r="B14" s="99"/>
      <c r="C14" s="100">
        <f>SUM(C15:C19)</f>
        <v>41</v>
      </c>
      <c r="D14" s="100">
        <f>SUM(D15:D19)</f>
        <v>43</v>
      </c>
      <c r="E14" s="100">
        <f>SUM(E15:E19)</f>
        <v>15</v>
      </c>
      <c r="F14" s="100">
        <f t="shared" ref="F14:F20" si="2">SUM(C14:E14)</f>
        <v>99</v>
      </c>
    </row>
    <row r="15" spans="2:9" hidden="1">
      <c r="B15" s="101" t="s">
        <v>52</v>
      </c>
      <c r="C15" s="102">
        <f t="shared" ref="C15:E20" si="3">COUNTIFS($L:$L, $B15,$I:$I,C$4)</f>
        <v>0</v>
      </c>
      <c r="D15" s="102">
        <f t="shared" si="3"/>
        <v>0</v>
      </c>
      <c r="E15" s="102">
        <f t="shared" si="3"/>
        <v>0</v>
      </c>
      <c r="F15" s="102">
        <f t="shared" si="2"/>
        <v>0</v>
      </c>
      <c r="H15" s="122"/>
      <c r="I15" s="122"/>
    </row>
    <row r="16" spans="2:9" hidden="1">
      <c r="B16" s="101" t="s">
        <v>53</v>
      </c>
      <c r="C16" s="102">
        <f t="shared" si="3"/>
        <v>0</v>
      </c>
      <c r="D16" s="102">
        <f t="shared" si="3"/>
        <v>0</v>
      </c>
      <c r="E16" s="102">
        <f t="shared" si="3"/>
        <v>0</v>
      </c>
      <c r="F16" s="102">
        <f t="shared" si="2"/>
        <v>0</v>
      </c>
    </row>
    <row r="17" spans="1:16" hidden="1">
      <c r="B17" s="101" t="s">
        <v>54</v>
      </c>
      <c r="C17" s="102">
        <f t="shared" si="3"/>
        <v>41</v>
      </c>
      <c r="D17" s="102">
        <f t="shared" si="3"/>
        <v>43</v>
      </c>
      <c r="E17" s="102">
        <f t="shared" si="3"/>
        <v>15</v>
      </c>
      <c r="F17" s="102">
        <f t="shared" si="2"/>
        <v>99</v>
      </c>
    </row>
    <row r="18" spans="1:16" hidden="1">
      <c r="B18" s="101" t="s">
        <v>55</v>
      </c>
      <c r="C18" s="102">
        <f t="shared" si="3"/>
        <v>0</v>
      </c>
      <c r="D18" s="102">
        <f t="shared" si="3"/>
        <v>0</v>
      </c>
      <c r="E18" s="102">
        <f t="shared" si="3"/>
        <v>0</v>
      </c>
      <c r="F18" s="102">
        <f t="shared" si="2"/>
        <v>0</v>
      </c>
    </row>
    <row r="19" spans="1:16" hidden="1">
      <c r="B19" s="101" t="s">
        <v>56</v>
      </c>
      <c r="C19" s="102">
        <f t="shared" si="3"/>
        <v>0</v>
      </c>
      <c r="D19" s="102">
        <f t="shared" si="3"/>
        <v>0</v>
      </c>
      <c r="E19" s="102">
        <f t="shared" si="3"/>
        <v>0</v>
      </c>
      <c r="F19" s="102">
        <f t="shared" si="2"/>
        <v>0</v>
      </c>
    </row>
    <row r="20" spans="1:16" hidden="1">
      <c r="B20" s="101" t="s">
        <v>57</v>
      </c>
      <c r="C20" s="102">
        <f t="shared" si="3"/>
        <v>0</v>
      </c>
      <c r="D20" s="102">
        <f t="shared" si="3"/>
        <v>0</v>
      </c>
      <c r="E20" s="102">
        <f t="shared" si="3"/>
        <v>0</v>
      </c>
      <c r="F20" s="102">
        <f t="shared" si="2"/>
        <v>0</v>
      </c>
    </row>
    <row r="21" spans="1:16" s="105" customFormat="1" ht="30" customHeight="1">
      <c r="A21" s="103" t="s">
        <v>75</v>
      </c>
      <c r="B21" s="103" t="s">
        <v>76</v>
      </c>
      <c r="C21" s="103" t="s">
        <v>77</v>
      </c>
      <c r="D21" s="103" t="s">
        <v>78</v>
      </c>
      <c r="E21" s="103" t="s">
        <v>79</v>
      </c>
      <c r="F21" s="103" t="s">
        <v>80</v>
      </c>
      <c r="G21" s="103" t="s">
        <v>81</v>
      </c>
      <c r="H21" s="103" t="s">
        <v>45</v>
      </c>
      <c r="I21" s="103" t="s">
        <v>82</v>
      </c>
      <c r="J21" s="103" t="s">
        <v>83</v>
      </c>
      <c r="K21" s="103" t="s">
        <v>84</v>
      </c>
      <c r="L21" s="103" t="s">
        <v>85</v>
      </c>
      <c r="M21" s="103" t="s">
        <v>86</v>
      </c>
      <c r="N21" s="103" t="s">
        <v>87</v>
      </c>
      <c r="O21" s="103" t="s">
        <v>88</v>
      </c>
      <c r="P21" s="104" t="s">
        <v>89</v>
      </c>
    </row>
    <row r="22" spans="1:16" ht="14.25" customHeight="1">
      <c r="A22" s="124" t="s">
        <v>90</v>
      </c>
      <c r="B22" s="124"/>
      <c r="C22" s="124"/>
      <c r="D22" s="124"/>
      <c r="E22" s="124"/>
      <c r="F22" s="124"/>
      <c r="G22" s="124"/>
      <c r="H22" s="124"/>
      <c r="I22" s="124"/>
      <c r="J22" s="124"/>
      <c r="K22" s="124"/>
      <c r="L22" s="124"/>
      <c r="M22" s="124"/>
      <c r="N22" s="124"/>
      <c r="O22" s="124"/>
    </row>
    <row r="23" spans="1:16" ht="204" outlineLevel="2">
      <c r="A23" s="106">
        <f>COUNTA($C$22:C23)</f>
        <v>1</v>
      </c>
      <c r="B23" s="107" t="str">
        <f>"TM_DEF_"&amp;$P23&amp;"_"&amp;TEXT(COUNTIF($P$22:$P23,$P23),"000")</f>
        <v>TM_DEF_UI_001</v>
      </c>
      <c r="C23" s="107" t="s">
        <v>91</v>
      </c>
      <c r="D23" s="107" t="s">
        <v>92</v>
      </c>
      <c r="E23" s="107" t="s">
        <v>93</v>
      </c>
      <c r="F23" s="107"/>
      <c r="G23" s="107" t="s">
        <v>94</v>
      </c>
      <c r="H23" s="106" t="s">
        <v>46</v>
      </c>
      <c r="I23" s="106" t="s">
        <v>71</v>
      </c>
      <c r="J23" s="106" t="s">
        <v>95</v>
      </c>
      <c r="K23" s="106" t="s">
        <v>54</v>
      </c>
      <c r="L23" s="106" t="s">
        <v>54</v>
      </c>
      <c r="M23" s="106" t="s">
        <v>54</v>
      </c>
      <c r="N23" s="107"/>
      <c r="O23" s="107"/>
      <c r="P23" t="s">
        <v>96</v>
      </c>
    </row>
    <row r="24" spans="1:16" ht="140.25" outlineLevel="2">
      <c r="A24" s="106">
        <f>COUNTA($C$22:C24)</f>
        <v>2</v>
      </c>
      <c r="B24" s="107" t="str">
        <f>"TM_DEF_"&amp;$P24&amp;"_"&amp;TEXT(COUNTIF($P$22:$P24,$P24),"000")</f>
        <v>TM_DEF_UI_002</v>
      </c>
      <c r="C24" s="107" t="s">
        <v>97</v>
      </c>
      <c r="D24" s="107" t="s">
        <v>98</v>
      </c>
      <c r="E24" s="107" t="s">
        <v>99</v>
      </c>
      <c r="F24" s="107" t="s">
        <v>100</v>
      </c>
      <c r="G24" s="107" t="s">
        <v>101</v>
      </c>
      <c r="H24" s="106" t="s">
        <v>46</v>
      </c>
      <c r="I24" s="106" t="s">
        <v>71</v>
      </c>
      <c r="J24" s="106" t="s">
        <v>95</v>
      </c>
      <c r="K24" s="106" t="s">
        <v>54</v>
      </c>
      <c r="L24" s="106" t="s">
        <v>54</v>
      </c>
      <c r="M24" s="106" t="s">
        <v>54</v>
      </c>
      <c r="N24" s="107"/>
      <c r="O24" s="107"/>
      <c r="P24" t="s">
        <v>96</v>
      </c>
    </row>
    <row r="25" spans="1:16" ht="89.25" outlineLevel="2">
      <c r="A25" s="106">
        <f>COUNTA($C$22:C25)</f>
        <v>3</v>
      </c>
      <c r="B25" s="107" t="str">
        <f>"TM_DEF_"&amp;$P25&amp;"_"&amp;TEXT(COUNTIF($P$22:$P25,$P25),"000")</f>
        <v>TM_DEF_UI_003</v>
      </c>
      <c r="C25" s="107" t="s">
        <v>102</v>
      </c>
      <c r="D25" s="107" t="s">
        <v>103</v>
      </c>
      <c r="E25" s="107" t="s">
        <v>104</v>
      </c>
      <c r="F25" s="107" t="s">
        <v>105</v>
      </c>
      <c r="G25" s="107" t="s">
        <v>106</v>
      </c>
      <c r="H25" s="106" t="s">
        <v>46</v>
      </c>
      <c r="I25" s="106" t="s">
        <v>72</v>
      </c>
      <c r="J25" s="106" t="s">
        <v>95</v>
      </c>
      <c r="K25" s="106" t="s">
        <v>54</v>
      </c>
      <c r="L25" s="106" t="s">
        <v>54</v>
      </c>
      <c r="M25" s="106" t="s">
        <v>54</v>
      </c>
      <c r="N25" s="107"/>
      <c r="O25" s="107"/>
      <c r="P25" t="s">
        <v>96</v>
      </c>
    </row>
    <row r="26" spans="1:16" ht="89.25" outlineLevel="2">
      <c r="A26" s="106">
        <f>COUNTA($C$22:C26)</f>
        <v>4</v>
      </c>
      <c r="B26" s="107" t="str">
        <f>"TM_DEF_"&amp;$P26&amp;"_"&amp;TEXT(COUNTIF($P$22:$P26,$P26),"000")</f>
        <v>TM_DEF_UI_004</v>
      </c>
      <c r="C26" s="107" t="s">
        <v>107</v>
      </c>
      <c r="D26" s="107" t="s">
        <v>108</v>
      </c>
      <c r="E26" s="107" t="s">
        <v>109</v>
      </c>
      <c r="F26" s="107" t="s">
        <v>110</v>
      </c>
      <c r="G26" s="107" t="s">
        <v>111</v>
      </c>
      <c r="H26" s="106" t="s">
        <v>46</v>
      </c>
      <c r="I26" s="106" t="s">
        <v>73</v>
      </c>
      <c r="J26" s="106" t="s">
        <v>95</v>
      </c>
      <c r="K26" s="106" t="s">
        <v>54</v>
      </c>
      <c r="L26" s="106" t="s">
        <v>54</v>
      </c>
      <c r="M26" s="106" t="s">
        <v>54</v>
      </c>
      <c r="N26" s="107"/>
      <c r="O26" s="107"/>
      <c r="P26" t="s">
        <v>96</v>
      </c>
    </row>
    <row r="27" spans="1:16" ht="140.25" outlineLevel="2">
      <c r="A27" s="106">
        <f>COUNTA($C$22:C27)</f>
        <v>5</v>
      </c>
      <c r="B27" s="107" t="str">
        <f>"TM_DEF_"&amp;$P27&amp;"_"&amp;TEXT(COUNTIF($P$22:$P27,$P27),"000")</f>
        <v>TM_DEF_UI_005</v>
      </c>
      <c r="C27" s="107" t="s">
        <v>112</v>
      </c>
      <c r="D27" s="107" t="s">
        <v>113</v>
      </c>
      <c r="E27" s="107" t="s">
        <v>114</v>
      </c>
      <c r="F27" s="107" t="s">
        <v>115</v>
      </c>
      <c r="G27" s="107" t="s">
        <v>116</v>
      </c>
      <c r="H27" s="106" t="s">
        <v>46</v>
      </c>
      <c r="I27" s="106" t="s">
        <v>71</v>
      </c>
      <c r="J27" s="106" t="s">
        <v>95</v>
      </c>
      <c r="K27" s="106" t="s">
        <v>54</v>
      </c>
      <c r="L27" s="106" t="s">
        <v>54</v>
      </c>
      <c r="M27" s="106" t="s">
        <v>54</v>
      </c>
      <c r="N27" s="107"/>
      <c r="O27" s="107"/>
      <c r="P27" t="s">
        <v>96</v>
      </c>
    </row>
    <row r="28" spans="1:16" ht="89.25" outlineLevel="2">
      <c r="A28" s="106">
        <f>COUNTA($C$22:C28)</f>
        <v>6</v>
      </c>
      <c r="B28" s="107" t="str">
        <f>"TM_DEF_"&amp;$P28&amp;"_"&amp;TEXT(COUNTIF($P$22:$P28,$P28),"000")</f>
        <v>TM_DEF_UI_006</v>
      </c>
      <c r="C28" s="107" t="s">
        <v>117</v>
      </c>
      <c r="D28" s="107" t="s">
        <v>118</v>
      </c>
      <c r="E28" s="107" t="s">
        <v>119</v>
      </c>
      <c r="F28" s="107" t="s">
        <v>120</v>
      </c>
      <c r="G28" s="107" t="s">
        <v>106</v>
      </c>
      <c r="H28" s="106" t="s">
        <v>46</v>
      </c>
      <c r="I28" s="106" t="s">
        <v>72</v>
      </c>
      <c r="J28" s="106" t="s">
        <v>95</v>
      </c>
      <c r="K28" s="106" t="s">
        <v>54</v>
      </c>
      <c r="L28" s="106" t="s">
        <v>54</v>
      </c>
      <c r="M28" s="106" t="s">
        <v>54</v>
      </c>
      <c r="N28" s="107"/>
      <c r="O28" s="107"/>
      <c r="P28" t="s">
        <v>96</v>
      </c>
    </row>
    <row r="29" spans="1:16" ht="89.25" outlineLevel="2">
      <c r="A29" s="106">
        <f>COUNTA($C$22:C29)</f>
        <v>7</v>
      </c>
      <c r="B29" s="107" t="str">
        <f>"TM_DEF_"&amp;$P29&amp;"_"&amp;TEXT(COUNTIF($P$22:$P29,$P29),"000")</f>
        <v>TM_DEF_UI_007</v>
      </c>
      <c r="C29" s="107" t="s">
        <v>121</v>
      </c>
      <c r="D29" s="107" t="s">
        <v>108</v>
      </c>
      <c r="E29" s="107" t="s">
        <v>122</v>
      </c>
      <c r="F29" s="107" t="s">
        <v>123</v>
      </c>
      <c r="G29" s="107" t="s">
        <v>111</v>
      </c>
      <c r="H29" s="106" t="s">
        <v>46</v>
      </c>
      <c r="I29" s="106" t="s">
        <v>73</v>
      </c>
      <c r="J29" s="106" t="s">
        <v>95</v>
      </c>
      <c r="K29" s="106" t="s">
        <v>54</v>
      </c>
      <c r="L29" s="106" t="s">
        <v>54</v>
      </c>
      <c r="M29" s="106" t="s">
        <v>54</v>
      </c>
      <c r="N29" s="107"/>
      <c r="O29" s="107"/>
      <c r="P29" t="s">
        <v>96</v>
      </c>
    </row>
    <row r="30" spans="1:16" ht="140.25" outlineLevel="2">
      <c r="A30" s="106">
        <f>COUNTA($C$22:C30)</f>
        <v>8</v>
      </c>
      <c r="B30" s="107" t="str">
        <f>"TM_DEF_"&amp;$P30&amp;"_"&amp;TEXT(COUNTIF($P$22:$P30,$P30),"000")</f>
        <v>TM_DEF_UI_008</v>
      </c>
      <c r="C30" s="107" t="s">
        <v>124</v>
      </c>
      <c r="D30" s="107" t="s">
        <v>125</v>
      </c>
      <c r="E30" s="107" t="s">
        <v>126</v>
      </c>
      <c r="F30" s="107" t="s">
        <v>127</v>
      </c>
      <c r="G30" s="107" t="s">
        <v>128</v>
      </c>
      <c r="H30" s="106" t="s">
        <v>46</v>
      </c>
      <c r="I30" s="106" t="s">
        <v>71</v>
      </c>
      <c r="J30" s="106" t="s">
        <v>95</v>
      </c>
      <c r="K30" s="106" t="s">
        <v>54</v>
      </c>
      <c r="L30" s="106" t="s">
        <v>54</v>
      </c>
      <c r="M30" s="106" t="s">
        <v>54</v>
      </c>
      <c r="N30" s="107"/>
      <c r="O30" s="107"/>
      <c r="P30" t="s">
        <v>96</v>
      </c>
    </row>
    <row r="31" spans="1:16" ht="89.25" outlineLevel="2">
      <c r="A31" s="106">
        <f>COUNTA($C$22:C31)</f>
        <v>9</v>
      </c>
      <c r="B31" s="107" t="str">
        <f>"TM_DEF_"&amp;$P31&amp;"_"&amp;TEXT(COUNTIF($P$22:$P31,$P31),"000")</f>
        <v>TM_DEF_UI_009</v>
      </c>
      <c r="C31" s="107" t="s">
        <v>129</v>
      </c>
      <c r="D31" s="107" t="s">
        <v>130</v>
      </c>
      <c r="E31" s="107" t="s">
        <v>131</v>
      </c>
      <c r="F31" s="107" t="s">
        <v>132</v>
      </c>
      <c r="G31" s="107" t="s">
        <v>106</v>
      </c>
      <c r="H31" s="106" t="s">
        <v>46</v>
      </c>
      <c r="I31" s="106" t="s">
        <v>72</v>
      </c>
      <c r="J31" s="106" t="s">
        <v>95</v>
      </c>
      <c r="K31" s="106" t="s">
        <v>54</v>
      </c>
      <c r="L31" s="106" t="s">
        <v>54</v>
      </c>
      <c r="M31" s="106" t="s">
        <v>54</v>
      </c>
      <c r="N31" s="107"/>
      <c r="O31" s="107"/>
      <c r="P31" t="s">
        <v>96</v>
      </c>
    </row>
    <row r="32" spans="1:16" ht="89.25" outlineLevel="2">
      <c r="A32" s="106">
        <f>COUNTA($C$22:C32)</f>
        <v>10</v>
      </c>
      <c r="B32" s="107" t="str">
        <f>"TM_DEF_"&amp;$P32&amp;"_"&amp;TEXT(COUNTIF($P$22:$P32,$P32),"000")</f>
        <v>TM_DEF_UI_010</v>
      </c>
      <c r="C32" s="107" t="s">
        <v>133</v>
      </c>
      <c r="D32" s="107" t="s">
        <v>108</v>
      </c>
      <c r="E32" s="107" t="s">
        <v>134</v>
      </c>
      <c r="F32" s="107" t="s">
        <v>135</v>
      </c>
      <c r="G32" s="107" t="s">
        <v>111</v>
      </c>
      <c r="H32" s="106" t="s">
        <v>46</v>
      </c>
      <c r="I32" s="106" t="s">
        <v>73</v>
      </c>
      <c r="J32" s="106" t="s">
        <v>95</v>
      </c>
      <c r="K32" s="106" t="s">
        <v>54</v>
      </c>
      <c r="L32" s="106" t="s">
        <v>54</v>
      </c>
      <c r="M32" s="106" t="s">
        <v>54</v>
      </c>
      <c r="N32" s="107"/>
      <c r="O32" s="107"/>
      <c r="P32" t="s">
        <v>96</v>
      </c>
    </row>
    <row r="33" spans="1:16" ht="140.25" outlineLevel="2">
      <c r="A33" s="106">
        <f>COUNTA($C$22:C33)</f>
        <v>11</v>
      </c>
      <c r="B33" s="107" t="str">
        <f>"TM_DEF_"&amp;$P33&amp;"_"&amp;TEXT(COUNTIF($P$22:$P33,$P33),"000")</f>
        <v>TM_DEF_UI_011</v>
      </c>
      <c r="C33" s="107" t="s">
        <v>136</v>
      </c>
      <c r="D33" s="107" t="s">
        <v>137</v>
      </c>
      <c r="E33" s="107" t="s">
        <v>138</v>
      </c>
      <c r="F33" s="107" t="s">
        <v>139</v>
      </c>
      <c r="G33" s="107" t="s">
        <v>140</v>
      </c>
      <c r="H33" s="106" t="s">
        <v>46</v>
      </c>
      <c r="I33" s="106" t="s">
        <v>71</v>
      </c>
      <c r="J33" s="106" t="s">
        <v>95</v>
      </c>
      <c r="K33" s="106" t="s">
        <v>54</v>
      </c>
      <c r="L33" s="106" t="s">
        <v>54</v>
      </c>
      <c r="M33" s="106" t="s">
        <v>54</v>
      </c>
      <c r="N33" s="107"/>
      <c r="O33" s="107"/>
      <c r="P33" t="s">
        <v>96</v>
      </c>
    </row>
    <row r="34" spans="1:16" ht="89.25" outlineLevel="2">
      <c r="A34" s="106">
        <f>COUNTA($C$22:C34)</f>
        <v>12</v>
      </c>
      <c r="B34" s="107" t="str">
        <f>"TM_DEF_"&amp;$P34&amp;"_"&amp;TEXT(COUNTIF($P$22:$P34,$P34),"000")</f>
        <v>TM_DEF_UI_012</v>
      </c>
      <c r="C34" s="107" t="s">
        <v>141</v>
      </c>
      <c r="D34" s="107" t="s">
        <v>142</v>
      </c>
      <c r="E34" s="107" t="s">
        <v>143</v>
      </c>
      <c r="F34" s="107" t="s">
        <v>144</v>
      </c>
      <c r="G34" s="107" t="s">
        <v>106</v>
      </c>
      <c r="H34" s="106" t="s">
        <v>46</v>
      </c>
      <c r="I34" s="106" t="s">
        <v>72</v>
      </c>
      <c r="J34" s="106" t="s">
        <v>95</v>
      </c>
      <c r="K34" s="106" t="s">
        <v>54</v>
      </c>
      <c r="L34" s="106" t="s">
        <v>54</v>
      </c>
      <c r="M34" s="106" t="s">
        <v>54</v>
      </c>
      <c r="N34" s="107"/>
      <c r="O34" s="107"/>
      <c r="P34" t="s">
        <v>96</v>
      </c>
    </row>
    <row r="35" spans="1:16" ht="89.25" outlineLevel="2">
      <c r="A35" s="106">
        <f>COUNTA($C$22:C35)</f>
        <v>13</v>
      </c>
      <c r="B35" s="107" t="str">
        <f>"TM_DEF_"&amp;$P35&amp;"_"&amp;TEXT(COUNTIF($P$22:$P35,$P35),"000")</f>
        <v>TM_DEF_UI_013</v>
      </c>
      <c r="C35" s="107" t="s">
        <v>145</v>
      </c>
      <c r="D35" s="107" t="s">
        <v>108</v>
      </c>
      <c r="E35" s="107" t="s">
        <v>146</v>
      </c>
      <c r="F35" s="107" t="s">
        <v>147</v>
      </c>
      <c r="G35" s="107" t="s">
        <v>111</v>
      </c>
      <c r="H35" s="106" t="s">
        <v>46</v>
      </c>
      <c r="I35" s="106" t="s">
        <v>73</v>
      </c>
      <c r="J35" s="106" t="s">
        <v>95</v>
      </c>
      <c r="K35" s="106" t="s">
        <v>54</v>
      </c>
      <c r="L35" s="106" t="s">
        <v>54</v>
      </c>
      <c r="M35" s="106" t="s">
        <v>54</v>
      </c>
      <c r="N35" s="107"/>
      <c r="O35" s="107"/>
      <c r="P35" t="s">
        <v>96</v>
      </c>
    </row>
    <row r="36" spans="1:16" ht="140.25" outlineLevel="2">
      <c r="A36" s="106">
        <f>COUNTA($C$22:C36)</f>
        <v>14</v>
      </c>
      <c r="B36" s="107" t="str">
        <f>"TM_DEF_"&amp;$P36&amp;"_"&amp;TEXT(COUNTIF($P$22:$P36,$P36),"000")</f>
        <v>TM_DEF_UI_014</v>
      </c>
      <c r="C36" s="107" t="s">
        <v>148</v>
      </c>
      <c r="D36" s="107" t="s">
        <v>149</v>
      </c>
      <c r="E36" s="107" t="s">
        <v>150</v>
      </c>
      <c r="F36" s="107" t="s">
        <v>151</v>
      </c>
      <c r="G36" s="107" t="s">
        <v>152</v>
      </c>
      <c r="H36" s="106" t="s">
        <v>46</v>
      </c>
      <c r="I36" s="106" t="s">
        <v>71</v>
      </c>
      <c r="J36" s="106" t="s">
        <v>95</v>
      </c>
      <c r="K36" s="106" t="s">
        <v>54</v>
      </c>
      <c r="L36" s="106" t="s">
        <v>54</v>
      </c>
      <c r="M36" s="106" t="s">
        <v>54</v>
      </c>
      <c r="N36" s="107"/>
      <c r="O36" s="107"/>
      <c r="P36" t="s">
        <v>96</v>
      </c>
    </row>
    <row r="37" spans="1:16" ht="140.25" outlineLevel="2">
      <c r="A37" s="106">
        <f>COUNTA($C$22:C37)</f>
        <v>15</v>
      </c>
      <c r="B37" s="107" t="str">
        <f>"TM_DEF_"&amp;$P37&amp;"_"&amp;TEXT(COUNTIF($P$22:$P37,$P37),"000")</f>
        <v>TM_DEF_UI_015</v>
      </c>
      <c r="C37" s="107" t="s">
        <v>153</v>
      </c>
      <c r="D37" s="107" t="s">
        <v>154</v>
      </c>
      <c r="E37" s="107" t="s">
        <v>155</v>
      </c>
      <c r="F37" s="107" t="s">
        <v>156</v>
      </c>
      <c r="G37" s="107" t="s">
        <v>157</v>
      </c>
      <c r="H37" s="106" t="s">
        <v>46</v>
      </c>
      <c r="I37" s="106" t="s">
        <v>71</v>
      </c>
      <c r="J37" s="106" t="s">
        <v>95</v>
      </c>
      <c r="K37" s="106" t="s">
        <v>54</v>
      </c>
      <c r="L37" s="106" t="s">
        <v>54</v>
      </c>
      <c r="M37" s="106" t="s">
        <v>54</v>
      </c>
      <c r="N37" s="107"/>
      <c r="O37" s="107"/>
      <c r="P37" t="s">
        <v>96</v>
      </c>
    </row>
    <row r="38" spans="1:16" ht="89.25" outlineLevel="2">
      <c r="A38" s="106">
        <f>COUNTA($C$22:C38)</f>
        <v>16</v>
      </c>
      <c r="B38" s="107" t="str">
        <f>"TM_DEF_"&amp;$P38&amp;"_"&amp;TEXT(COUNTIF($P$22:$P38,$P38),"000")</f>
        <v>TM_DEF_UI_016</v>
      </c>
      <c r="C38" s="107" t="s">
        <v>158</v>
      </c>
      <c r="D38" s="107" t="s">
        <v>159</v>
      </c>
      <c r="E38" s="107" t="s">
        <v>160</v>
      </c>
      <c r="F38" s="107" t="s">
        <v>161</v>
      </c>
      <c r="G38" s="107" t="s">
        <v>106</v>
      </c>
      <c r="H38" s="106" t="s">
        <v>46</v>
      </c>
      <c r="I38" s="106" t="s">
        <v>72</v>
      </c>
      <c r="J38" s="106" t="s">
        <v>95</v>
      </c>
      <c r="K38" s="106" t="s">
        <v>54</v>
      </c>
      <c r="L38" s="106" t="s">
        <v>54</v>
      </c>
      <c r="M38" s="106" t="s">
        <v>54</v>
      </c>
      <c r="N38" s="107"/>
      <c r="O38" s="107"/>
      <c r="P38" t="s">
        <v>96</v>
      </c>
    </row>
    <row r="39" spans="1:16" ht="89.25" outlineLevel="2">
      <c r="A39" s="106">
        <f>COUNTA($C$22:C39)</f>
        <v>17</v>
      </c>
      <c r="B39" s="107" t="str">
        <f>"TM_DEF_"&amp;$P39&amp;"_"&amp;TEXT(COUNTIF($P$22:$P39,$P39),"000")</f>
        <v>TM_DEF_UI_017</v>
      </c>
      <c r="C39" s="107" t="s">
        <v>162</v>
      </c>
      <c r="D39" s="107" t="s">
        <v>108</v>
      </c>
      <c r="E39" s="107" t="s">
        <v>163</v>
      </c>
      <c r="F39" s="107" t="s">
        <v>164</v>
      </c>
      <c r="G39" s="107" t="s">
        <v>111</v>
      </c>
      <c r="H39" s="106" t="s">
        <v>46</v>
      </c>
      <c r="I39" s="106" t="s">
        <v>73</v>
      </c>
      <c r="J39" s="106" t="s">
        <v>95</v>
      </c>
      <c r="K39" s="106" t="s">
        <v>54</v>
      </c>
      <c r="L39" s="106" t="s">
        <v>54</v>
      </c>
      <c r="M39" s="106" t="s">
        <v>54</v>
      </c>
      <c r="N39" s="107"/>
      <c r="O39" s="107"/>
      <c r="P39" t="s">
        <v>96</v>
      </c>
    </row>
    <row r="40" spans="1:16" ht="140.25" outlineLevel="2">
      <c r="A40" s="106">
        <f>COUNTA($C$22:C40)</f>
        <v>18</v>
      </c>
      <c r="B40" s="107" t="str">
        <f>"TM_DEF_"&amp;$P40&amp;"_"&amp;TEXT(COUNTIF($P$22:$P40,$P40),"000")</f>
        <v>TM_DEF_UI_018</v>
      </c>
      <c r="C40" s="107" t="s">
        <v>165</v>
      </c>
      <c r="D40" s="107" t="s">
        <v>166</v>
      </c>
      <c r="E40" s="107" t="s">
        <v>167</v>
      </c>
      <c r="F40" s="107" t="s">
        <v>168</v>
      </c>
      <c r="G40" s="107" t="s">
        <v>169</v>
      </c>
      <c r="H40" s="106" t="s">
        <v>46</v>
      </c>
      <c r="I40" s="106" t="s">
        <v>71</v>
      </c>
      <c r="J40" s="106" t="s">
        <v>95</v>
      </c>
      <c r="K40" s="106" t="s">
        <v>54</v>
      </c>
      <c r="L40" s="106" t="s">
        <v>54</v>
      </c>
      <c r="M40" s="106" t="s">
        <v>54</v>
      </c>
      <c r="N40" s="107"/>
      <c r="O40" s="107"/>
      <c r="P40" t="s">
        <v>96</v>
      </c>
    </row>
    <row r="41" spans="1:16" ht="89.25" outlineLevel="2">
      <c r="A41" s="106">
        <f>COUNTA($C$22:C41)</f>
        <v>19</v>
      </c>
      <c r="B41" s="107" t="str">
        <f>"TM_DEF_"&amp;$P41&amp;"_"&amp;TEXT(COUNTIF($P$22:$P41,$P41),"000")</f>
        <v>TM_DEF_UI_019</v>
      </c>
      <c r="C41" s="107" t="s">
        <v>170</v>
      </c>
      <c r="D41" s="107" t="s">
        <v>108</v>
      </c>
      <c r="E41" s="107" t="s">
        <v>171</v>
      </c>
      <c r="F41" s="107" t="s">
        <v>172</v>
      </c>
      <c r="G41" s="107" t="s">
        <v>111</v>
      </c>
      <c r="H41" s="106" t="s">
        <v>46</v>
      </c>
      <c r="I41" s="106" t="s">
        <v>73</v>
      </c>
      <c r="J41" s="106" t="s">
        <v>95</v>
      </c>
      <c r="K41" s="106" t="s">
        <v>54</v>
      </c>
      <c r="L41" s="106" t="s">
        <v>54</v>
      </c>
      <c r="M41" s="106" t="s">
        <v>54</v>
      </c>
      <c r="N41" s="107"/>
      <c r="O41" s="107"/>
      <c r="P41" t="s">
        <v>96</v>
      </c>
    </row>
    <row r="42" spans="1:16" ht="140.25" outlineLevel="2">
      <c r="A42" s="106">
        <f>COUNTA($C$22:C42)</f>
        <v>20</v>
      </c>
      <c r="B42" s="107" t="str">
        <f>"TM_DEF_"&amp;$P42&amp;"_"&amp;TEXT(COUNTIF($P$22:$P42,$P42),"000")</f>
        <v>TM_DEF_UI_020</v>
      </c>
      <c r="C42" s="107" t="s">
        <v>173</v>
      </c>
      <c r="D42" s="107" t="s">
        <v>174</v>
      </c>
      <c r="E42" s="107" t="s">
        <v>175</v>
      </c>
      <c r="F42" s="107" t="s">
        <v>176</v>
      </c>
      <c r="G42" s="107" t="s">
        <v>177</v>
      </c>
      <c r="H42" s="106" t="s">
        <v>46</v>
      </c>
      <c r="I42" s="106" t="s">
        <v>71</v>
      </c>
      <c r="J42" s="106" t="s">
        <v>95</v>
      </c>
      <c r="K42" s="106" t="s">
        <v>54</v>
      </c>
      <c r="L42" s="106" t="s">
        <v>54</v>
      </c>
      <c r="M42" s="106" t="s">
        <v>54</v>
      </c>
      <c r="N42" s="107"/>
      <c r="O42" s="107"/>
      <c r="P42" t="s">
        <v>96</v>
      </c>
    </row>
    <row r="43" spans="1:16" ht="89.25" outlineLevel="2">
      <c r="A43" s="106">
        <f>COUNTA($C$22:C43)</f>
        <v>21</v>
      </c>
      <c r="B43" s="107" t="str">
        <f>"TM_DEF_"&amp;$P43&amp;"_"&amp;TEXT(COUNTIF($P$22:$P43,$P43),"000")</f>
        <v>TM_DEF_UI_021</v>
      </c>
      <c r="C43" s="107" t="s">
        <v>178</v>
      </c>
      <c r="D43" s="107" t="s">
        <v>179</v>
      </c>
      <c r="E43" s="107" t="s">
        <v>180</v>
      </c>
      <c r="F43" s="107" t="s">
        <v>181</v>
      </c>
      <c r="G43" s="107" t="s">
        <v>106</v>
      </c>
      <c r="H43" s="106" t="s">
        <v>46</v>
      </c>
      <c r="I43" s="106" t="s">
        <v>72</v>
      </c>
      <c r="J43" s="106" t="s">
        <v>95</v>
      </c>
      <c r="K43" s="106" t="s">
        <v>54</v>
      </c>
      <c r="L43" s="106" t="s">
        <v>54</v>
      </c>
      <c r="M43" s="106" t="s">
        <v>54</v>
      </c>
      <c r="N43" s="107"/>
      <c r="O43" s="107"/>
      <c r="P43" t="s">
        <v>96</v>
      </c>
    </row>
    <row r="44" spans="1:16" ht="89.25" outlineLevel="2">
      <c r="A44" s="106">
        <f>COUNTA($C$22:C44)</f>
        <v>22</v>
      </c>
      <c r="B44" s="107" t="str">
        <f>"TM_DEF_"&amp;$P44&amp;"_"&amp;TEXT(COUNTIF($P$22:$P44,$P44),"000")</f>
        <v>TM_DEF_UI_022</v>
      </c>
      <c r="C44" s="107" t="s">
        <v>182</v>
      </c>
      <c r="D44" s="107" t="s">
        <v>108</v>
      </c>
      <c r="E44" s="107" t="s">
        <v>183</v>
      </c>
      <c r="F44" s="107" t="s">
        <v>184</v>
      </c>
      <c r="G44" s="107" t="s">
        <v>111</v>
      </c>
      <c r="H44" s="106" t="s">
        <v>46</v>
      </c>
      <c r="I44" s="106" t="s">
        <v>73</v>
      </c>
      <c r="J44" s="106" t="s">
        <v>95</v>
      </c>
      <c r="K44" s="106" t="s">
        <v>54</v>
      </c>
      <c r="L44" s="106" t="s">
        <v>54</v>
      </c>
      <c r="M44" s="106" t="s">
        <v>54</v>
      </c>
      <c r="N44" s="107"/>
      <c r="O44" s="107"/>
      <c r="P44" t="s">
        <v>96</v>
      </c>
    </row>
    <row r="45" spans="1:16" ht="140.25" outlineLevel="2">
      <c r="A45" s="106">
        <f>COUNTA($C$22:C45)</f>
        <v>23</v>
      </c>
      <c r="B45" s="107" t="str">
        <f>"TM_DEF_"&amp;$P45&amp;"_"&amp;TEXT(COUNTIF($P$22:$P45,$P45),"000")</f>
        <v>TM_DEF_UI_023</v>
      </c>
      <c r="C45" s="107" t="s">
        <v>185</v>
      </c>
      <c r="D45" s="107" t="s">
        <v>186</v>
      </c>
      <c r="E45" s="107" t="s">
        <v>187</v>
      </c>
      <c r="F45" s="107" t="s">
        <v>188</v>
      </c>
      <c r="G45" s="107" t="s">
        <v>189</v>
      </c>
      <c r="H45" s="106" t="s">
        <v>46</v>
      </c>
      <c r="I45" s="106" t="s">
        <v>71</v>
      </c>
      <c r="J45" s="106" t="s">
        <v>95</v>
      </c>
      <c r="K45" s="106" t="s">
        <v>54</v>
      </c>
      <c r="L45" s="106" t="s">
        <v>54</v>
      </c>
      <c r="M45" s="106" t="s">
        <v>54</v>
      </c>
      <c r="N45" s="107"/>
      <c r="O45" s="107"/>
      <c r="P45" t="s">
        <v>96</v>
      </c>
    </row>
    <row r="46" spans="1:16" ht="89.25" outlineLevel="2">
      <c r="A46" s="106">
        <f>COUNTA($C$22:C46)</f>
        <v>24</v>
      </c>
      <c r="B46" s="107" t="str">
        <f>"TM_DEF_"&amp;$P46&amp;"_"&amp;TEXT(COUNTIF($P$22:$P46,$P46),"000")</f>
        <v>TM_DEF_UI_024</v>
      </c>
      <c r="C46" s="107" t="s">
        <v>190</v>
      </c>
      <c r="D46" s="107" t="s">
        <v>191</v>
      </c>
      <c r="E46" s="107" t="s">
        <v>192</v>
      </c>
      <c r="F46" s="107" t="s">
        <v>193</v>
      </c>
      <c r="G46" s="107" t="s">
        <v>106</v>
      </c>
      <c r="H46" s="106" t="s">
        <v>46</v>
      </c>
      <c r="I46" s="106" t="s">
        <v>72</v>
      </c>
      <c r="J46" s="106" t="s">
        <v>95</v>
      </c>
      <c r="K46" s="106" t="s">
        <v>54</v>
      </c>
      <c r="L46" s="106" t="s">
        <v>54</v>
      </c>
      <c r="M46" s="106" t="s">
        <v>54</v>
      </c>
      <c r="N46" s="107"/>
      <c r="O46" s="107"/>
      <c r="P46" t="s">
        <v>96</v>
      </c>
    </row>
    <row r="47" spans="1:16" ht="89.25" outlineLevel="2">
      <c r="A47" s="106">
        <f>COUNTA($C$22:C47)</f>
        <v>25</v>
      </c>
      <c r="B47" s="107" t="str">
        <f>"TM_DEF_"&amp;$P47&amp;"_"&amp;TEXT(COUNTIF($P$22:$P47,$P47),"000")</f>
        <v>TM_DEF_UI_025</v>
      </c>
      <c r="C47" s="107" t="s">
        <v>194</v>
      </c>
      <c r="D47" s="107" t="s">
        <v>108</v>
      </c>
      <c r="E47" s="107" t="s">
        <v>195</v>
      </c>
      <c r="F47" s="107" t="s">
        <v>196</v>
      </c>
      <c r="G47" s="107" t="s">
        <v>111</v>
      </c>
      <c r="H47" s="106" t="s">
        <v>46</v>
      </c>
      <c r="I47" s="106" t="s">
        <v>73</v>
      </c>
      <c r="J47" s="106" t="s">
        <v>95</v>
      </c>
      <c r="K47" s="106" t="s">
        <v>54</v>
      </c>
      <c r="L47" s="106" t="s">
        <v>54</v>
      </c>
      <c r="M47" s="106" t="s">
        <v>54</v>
      </c>
      <c r="N47" s="107"/>
      <c r="O47" s="107"/>
      <c r="P47" t="s">
        <v>96</v>
      </c>
    </row>
    <row r="48" spans="1:16" ht="76.5" outlineLevel="2">
      <c r="A48" s="106">
        <f>COUNTA($C$22:C48)</f>
        <v>26</v>
      </c>
      <c r="B48" s="107" t="str">
        <f>"TM_DEF_"&amp;$P48&amp;"_"&amp;TEXT(COUNTIF($P$22:$P48,$P48),"000")</f>
        <v>TM_DEF_UI_026</v>
      </c>
      <c r="C48" s="107" t="s">
        <v>197</v>
      </c>
      <c r="D48" s="107" t="s">
        <v>108</v>
      </c>
      <c r="E48" s="107" t="s">
        <v>198</v>
      </c>
      <c r="F48" s="107" t="s">
        <v>199</v>
      </c>
      <c r="G48" s="107" t="s">
        <v>200</v>
      </c>
      <c r="H48" s="106" t="s">
        <v>46</v>
      </c>
      <c r="I48" s="106" t="s">
        <v>72</v>
      </c>
      <c r="J48" s="106" t="s">
        <v>95</v>
      </c>
      <c r="K48" s="106" t="s">
        <v>54</v>
      </c>
      <c r="L48" s="106" t="s">
        <v>54</v>
      </c>
      <c r="M48" s="106" t="s">
        <v>54</v>
      </c>
      <c r="N48" s="107"/>
      <c r="O48" s="107"/>
      <c r="P48" t="s">
        <v>96</v>
      </c>
    </row>
    <row r="49" spans="1:16" ht="63.75" outlineLevel="2">
      <c r="A49" s="106">
        <f>COUNTA($C$22:C49)</f>
        <v>27</v>
      </c>
      <c r="B49" s="107" t="str">
        <f>"TM_DEF_"&amp;$P49&amp;"_"&amp;TEXT(COUNTIF($P$22:$P49,$P49),"000")</f>
        <v>TM_DEF_UI_027</v>
      </c>
      <c r="C49" s="107" t="s">
        <v>201</v>
      </c>
      <c r="D49" s="107" t="s">
        <v>108</v>
      </c>
      <c r="E49" s="107" t="s">
        <v>202</v>
      </c>
      <c r="F49" s="107"/>
      <c r="G49" s="107" t="s">
        <v>203</v>
      </c>
      <c r="H49" s="106" t="s">
        <v>46</v>
      </c>
      <c r="I49" s="106" t="s">
        <v>73</v>
      </c>
      <c r="J49" s="106" t="s">
        <v>95</v>
      </c>
      <c r="K49" s="106" t="s">
        <v>54</v>
      </c>
      <c r="L49" s="106" t="s">
        <v>54</v>
      </c>
      <c r="M49" s="106" t="s">
        <v>54</v>
      </c>
      <c r="N49" s="107"/>
      <c r="O49" s="107"/>
      <c r="P49" t="s">
        <v>96</v>
      </c>
    </row>
    <row r="50" spans="1:16" ht="14.25" customHeight="1">
      <c r="A50" s="124" t="s">
        <v>204</v>
      </c>
      <c r="B50" s="124"/>
      <c r="C50" s="124"/>
      <c r="D50" s="124"/>
      <c r="E50" s="124"/>
      <c r="F50" s="124"/>
      <c r="G50" s="124"/>
      <c r="H50" s="124"/>
      <c r="I50" s="124"/>
      <c r="J50" s="124"/>
      <c r="K50" s="124"/>
      <c r="L50" s="124"/>
      <c r="M50" s="124"/>
      <c r="N50" s="124"/>
      <c r="O50" s="124"/>
    </row>
    <row r="51" spans="1:16" ht="14.25" customHeight="1" outlineLevel="1">
      <c r="A51" s="125" t="s">
        <v>205</v>
      </c>
      <c r="B51" s="125"/>
      <c r="C51" s="125"/>
      <c r="D51" s="125"/>
      <c r="E51" s="125"/>
      <c r="F51" s="125"/>
      <c r="G51" s="125"/>
      <c r="H51" s="125"/>
      <c r="I51" s="125"/>
      <c r="J51" s="125"/>
      <c r="K51" s="125"/>
      <c r="L51" s="125"/>
      <c r="M51" s="125"/>
      <c r="N51" s="125"/>
      <c r="O51" s="125"/>
    </row>
    <row r="52" spans="1:16" ht="63.75" outlineLevel="2">
      <c r="A52" s="106">
        <f>COUNTA($C$22:C52)</f>
        <v>28</v>
      </c>
      <c r="B52" s="107" t="str">
        <f>"TM_DEF_"&amp;$P52&amp;"_"&amp;TEXT(COUNTIF($P$22:$P52,$P52),"000")</f>
        <v>TM_DEF_UPL_001</v>
      </c>
      <c r="C52" s="107" t="s">
        <v>206</v>
      </c>
      <c r="D52" s="107" t="s">
        <v>207</v>
      </c>
      <c r="E52" s="107" t="s">
        <v>208</v>
      </c>
      <c r="F52" s="107"/>
      <c r="G52" s="107" t="s">
        <v>209</v>
      </c>
      <c r="H52" s="106" t="s">
        <v>46</v>
      </c>
      <c r="I52" s="106" t="s">
        <v>71</v>
      </c>
      <c r="J52" s="106" t="s">
        <v>95</v>
      </c>
      <c r="K52" s="106" t="s">
        <v>54</v>
      </c>
      <c r="L52" s="106" t="s">
        <v>54</v>
      </c>
      <c r="M52" s="106" t="s">
        <v>54</v>
      </c>
      <c r="N52" s="107"/>
      <c r="O52" s="107"/>
      <c r="P52" t="s">
        <v>210</v>
      </c>
    </row>
    <row r="53" spans="1:16" ht="14.25" customHeight="1" outlineLevel="1">
      <c r="A53" s="125" t="s">
        <v>211</v>
      </c>
      <c r="B53" s="125"/>
      <c r="C53" s="125"/>
      <c r="D53" s="125"/>
      <c r="E53" s="125"/>
      <c r="F53" s="125"/>
      <c r="G53" s="125"/>
      <c r="H53" s="125"/>
      <c r="I53" s="125"/>
      <c r="J53" s="125"/>
      <c r="K53" s="125"/>
      <c r="L53" s="125"/>
      <c r="M53" s="125"/>
      <c r="N53" s="125"/>
      <c r="O53" s="125"/>
    </row>
    <row r="54" spans="1:16" ht="114.75" outlineLevel="2">
      <c r="A54" s="106">
        <f>COUNTA($C$22:C54)</f>
        <v>29</v>
      </c>
      <c r="B54" s="107" t="str">
        <f>"TM_DEF_"&amp;$P54&amp;"_"&amp;TEXT(COUNTIF($P$22:$P54,$P54),"000")</f>
        <v>TM_DEF_UPL_002</v>
      </c>
      <c r="C54" s="107" t="s">
        <v>212</v>
      </c>
      <c r="D54" s="107" t="s">
        <v>207</v>
      </c>
      <c r="E54" s="107" t="s">
        <v>213</v>
      </c>
      <c r="F54" s="107"/>
      <c r="G54" s="107" t="s">
        <v>214</v>
      </c>
      <c r="H54" s="106" t="s">
        <v>46</v>
      </c>
      <c r="I54" s="106" t="s">
        <v>71</v>
      </c>
      <c r="J54" s="106" t="s">
        <v>95</v>
      </c>
      <c r="K54" s="106" t="s">
        <v>54</v>
      </c>
      <c r="L54" s="106" t="s">
        <v>54</v>
      </c>
      <c r="M54" s="106" t="s">
        <v>54</v>
      </c>
      <c r="N54" s="107"/>
      <c r="O54" s="107"/>
      <c r="P54" t="s">
        <v>210</v>
      </c>
    </row>
    <row r="55" spans="1:16" ht="114.75" outlineLevel="2">
      <c r="A55" s="106">
        <f>COUNTA($C$22:C55)</f>
        <v>30</v>
      </c>
      <c r="B55" s="107" t="str">
        <f>"TM_DEF_"&amp;$P55&amp;"_"&amp;TEXT(COUNTIF($P$22:$P55,$P55),"000")</f>
        <v>TM_DEF_UPL_003</v>
      </c>
      <c r="C55" s="107" t="s">
        <v>215</v>
      </c>
      <c r="D55" s="107" t="s">
        <v>207</v>
      </c>
      <c r="E55" s="107" t="s">
        <v>216</v>
      </c>
      <c r="F55" s="107" t="s">
        <v>217</v>
      </c>
      <c r="G55" s="107" t="s">
        <v>218</v>
      </c>
      <c r="H55" s="106" t="s">
        <v>46</v>
      </c>
      <c r="I55" s="106" t="s">
        <v>71</v>
      </c>
      <c r="J55" s="106" t="s">
        <v>95</v>
      </c>
      <c r="K55" s="106" t="s">
        <v>54</v>
      </c>
      <c r="L55" s="106" t="s">
        <v>54</v>
      </c>
      <c r="M55" s="106" t="s">
        <v>54</v>
      </c>
      <c r="N55" s="107"/>
      <c r="O55" s="107"/>
      <c r="P55" t="s">
        <v>210</v>
      </c>
    </row>
    <row r="56" spans="1:16" ht="89.25" outlineLevel="2">
      <c r="A56" s="106">
        <f>COUNTA($C$22:C56)</f>
        <v>31</v>
      </c>
      <c r="B56" s="107" t="str">
        <f>"TM_DEF_"&amp;$P56&amp;"_"&amp;TEXT(COUNTIF($P$22:$P56,$P56),"000")</f>
        <v>TM_DEF_UPL_004</v>
      </c>
      <c r="C56" s="107" t="s">
        <v>219</v>
      </c>
      <c r="D56" s="107" t="s">
        <v>207</v>
      </c>
      <c r="E56" s="107" t="s">
        <v>220</v>
      </c>
      <c r="F56" s="107" t="s">
        <v>221</v>
      </c>
      <c r="G56" s="107" t="s">
        <v>222</v>
      </c>
      <c r="H56" s="106" t="s">
        <v>46</v>
      </c>
      <c r="I56" s="106" t="s">
        <v>71</v>
      </c>
      <c r="J56" s="106" t="s">
        <v>95</v>
      </c>
      <c r="K56" s="106" t="s">
        <v>54</v>
      </c>
      <c r="L56" s="106" t="s">
        <v>54</v>
      </c>
      <c r="M56" s="106" t="s">
        <v>54</v>
      </c>
      <c r="N56" s="107"/>
      <c r="O56" s="107"/>
      <c r="P56" t="s">
        <v>210</v>
      </c>
    </row>
    <row r="57" spans="1:16" ht="89.25" outlineLevel="2">
      <c r="A57" s="106">
        <f>COUNTA($C$22:C57)</f>
        <v>32</v>
      </c>
      <c r="B57" s="107" t="str">
        <f>"TM_DEF_"&amp;$P57&amp;"_"&amp;TEXT(COUNTIF($P$22:$P57,$P57),"000")</f>
        <v>TM_DEF_UPL_005</v>
      </c>
      <c r="C57" s="107" t="s">
        <v>223</v>
      </c>
      <c r="D57" s="107" t="s">
        <v>207</v>
      </c>
      <c r="E57" s="107" t="s">
        <v>224</v>
      </c>
      <c r="F57" s="107" t="s">
        <v>225</v>
      </c>
      <c r="G57" s="107" t="s">
        <v>226</v>
      </c>
      <c r="H57" s="106" t="s">
        <v>46</v>
      </c>
      <c r="I57" s="106" t="s">
        <v>72</v>
      </c>
      <c r="J57" s="106" t="s">
        <v>95</v>
      </c>
      <c r="K57" s="106" t="s">
        <v>54</v>
      </c>
      <c r="L57" s="106" t="s">
        <v>54</v>
      </c>
      <c r="M57" s="106" t="s">
        <v>54</v>
      </c>
      <c r="N57" s="107"/>
      <c r="O57" s="107"/>
      <c r="P57" t="s">
        <v>210</v>
      </c>
    </row>
    <row r="58" spans="1:16" ht="204" outlineLevel="2">
      <c r="A58" s="106">
        <f>COUNTA($C$22:C58)</f>
        <v>33</v>
      </c>
      <c r="B58" s="107" t="str">
        <f>"TM_DEF_"&amp;$P58&amp;"_"&amp;TEXT(COUNTIF($P$22:$P58,$P58),"000")</f>
        <v>TM_DEF_UPL_006</v>
      </c>
      <c r="C58" s="107" t="s">
        <v>227</v>
      </c>
      <c r="D58" s="107" t="s">
        <v>207</v>
      </c>
      <c r="E58" s="107" t="s">
        <v>228</v>
      </c>
      <c r="F58" s="107" t="s">
        <v>229</v>
      </c>
      <c r="G58" s="107" t="s">
        <v>230</v>
      </c>
      <c r="H58" s="106" t="s">
        <v>46</v>
      </c>
      <c r="I58" s="106" t="s">
        <v>71</v>
      </c>
      <c r="J58" s="106" t="s">
        <v>95</v>
      </c>
      <c r="K58" s="106" t="s">
        <v>54</v>
      </c>
      <c r="L58" s="106" t="s">
        <v>54</v>
      </c>
      <c r="M58" s="106" t="s">
        <v>54</v>
      </c>
      <c r="N58" s="107"/>
      <c r="O58" s="107"/>
      <c r="P58" t="s">
        <v>210</v>
      </c>
    </row>
    <row r="59" spans="1:16" ht="204" outlineLevel="2">
      <c r="A59" s="106">
        <f>COUNTA($C$22:C59)</f>
        <v>34</v>
      </c>
      <c r="B59" s="107" t="str">
        <f>"TM_DEF_"&amp;$P59&amp;"_"&amp;TEXT(COUNTIF($P$22:$P59,$P59),"000")</f>
        <v>TM_DEF_UPL_007</v>
      </c>
      <c r="C59" s="107" t="s">
        <v>231</v>
      </c>
      <c r="D59" s="107" t="s">
        <v>207</v>
      </c>
      <c r="E59" s="107" t="s">
        <v>232</v>
      </c>
      <c r="F59" s="107" t="s">
        <v>233</v>
      </c>
      <c r="G59" s="107" t="s">
        <v>234</v>
      </c>
      <c r="H59" s="106" t="s">
        <v>46</v>
      </c>
      <c r="I59" s="106" t="s">
        <v>71</v>
      </c>
      <c r="J59" s="106" t="s">
        <v>95</v>
      </c>
      <c r="K59" s="106" t="s">
        <v>54</v>
      </c>
      <c r="L59" s="106" t="s">
        <v>54</v>
      </c>
      <c r="M59" s="106" t="s">
        <v>54</v>
      </c>
      <c r="N59" s="107"/>
      <c r="O59" s="107"/>
      <c r="P59" t="s">
        <v>210</v>
      </c>
    </row>
    <row r="60" spans="1:16" ht="204" outlineLevel="2">
      <c r="A60" s="106">
        <f>COUNTA($C$22:C60)</f>
        <v>35</v>
      </c>
      <c r="B60" s="107" t="str">
        <f>"TM_DEF_"&amp;$P60&amp;"_"&amp;TEXT(COUNTIF($P$22:$P60,$P60),"000")</f>
        <v>TM_DEF_UPL_008</v>
      </c>
      <c r="C60" s="107" t="s">
        <v>235</v>
      </c>
      <c r="D60" s="107" t="s">
        <v>207</v>
      </c>
      <c r="E60" s="107" t="s">
        <v>236</v>
      </c>
      <c r="F60" s="107" t="s">
        <v>237</v>
      </c>
      <c r="G60" s="107" t="s">
        <v>238</v>
      </c>
      <c r="H60" s="106" t="s">
        <v>46</v>
      </c>
      <c r="I60" s="106" t="s">
        <v>71</v>
      </c>
      <c r="J60" s="106" t="s">
        <v>95</v>
      </c>
      <c r="K60" s="106" t="s">
        <v>54</v>
      </c>
      <c r="L60" s="106" t="s">
        <v>54</v>
      </c>
      <c r="M60" s="106" t="s">
        <v>54</v>
      </c>
      <c r="N60" s="107"/>
      <c r="O60" s="107"/>
      <c r="P60" t="s">
        <v>210</v>
      </c>
    </row>
    <row r="61" spans="1:16" ht="204" outlineLevel="2">
      <c r="A61" s="106">
        <f>COUNTA($C$22:C61)</f>
        <v>36</v>
      </c>
      <c r="B61" s="107" t="str">
        <f>"TM_DEF_"&amp;$P61&amp;"_"&amp;TEXT(COUNTIF($P$22:$P61,$P61),"000")</f>
        <v>TM_DEF_UPL_009</v>
      </c>
      <c r="C61" s="107" t="s">
        <v>239</v>
      </c>
      <c r="D61" s="107" t="s">
        <v>207</v>
      </c>
      <c r="E61" s="107" t="s">
        <v>240</v>
      </c>
      <c r="F61" s="107" t="s">
        <v>241</v>
      </c>
      <c r="G61" s="107" t="s">
        <v>242</v>
      </c>
      <c r="H61" s="106" t="s">
        <v>46</v>
      </c>
      <c r="I61" s="106" t="s">
        <v>71</v>
      </c>
      <c r="J61" s="106" t="s">
        <v>95</v>
      </c>
      <c r="K61" s="106" t="s">
        <v>54</v>
      </c>
      <c r="L61" s="106" t="s">
        <v>54</v>
      </c>
      <c r="M61" s="106" t="s">
        <v>54</v>
      </c>
      <c r="N61" s="107"/>
      <c r="O61" s="107"/>
      <c r="P61" t="s">
        <v>210</v>
      </c>
    </row>
    <row r="62" spans="1:16" ht="204" outlineLevel="2">
      <c r="A62" s="106">
        <f>COUNTA($C$22:C62)</f>
        <v>37</v>
      </c>
      <c r="B62" s="107" t="str">
        <f>"TM_DEF_"&amp;$P62&amp;"_"&amp;TEXT(COUNTIF($P$22:$P62,$P62),"000")</f>
        <v>TM_DEF_UPL_010</v>
      </c>
      <c r="C62" s="107" t="s">
        <v>243</v>
      </c>
      <c r="D62" s="107" t="s">
        <v>207</v>
      </c>
      <c r="E62" s="107" t="s">
        <v>244</v>
      </c>
      <c r="F62" s="107" t="s">
        <v>245</v>
      </c>
      <c r="G62" s="107" t="s">
        <v>246</v>
      </c>
      <c r="H62" s="106" t="s">
        <v>46</v>
      </c>
      <c r="I62" s="106" t="s">
        <v>72</v>
      </c>
      <c r="J62" s="106" t="s">
        <v>95</v>
      </c>
      <c r="K62" s="106" t="s">
        <v>54</v>
      </c>
      <c r="L62" s="106" t="s">
        <v>54</v>
      </c>
      <c r="M62" s="106" t="s">
        <v>54</v>
      </c>
      <c r="N62" s="107"/>
      <c r="O62" s="107"/>
      <c r="P62" t="s">
        <v>210</v>
      </c>
    </row>
    <row r="63" spans="1:16" ht="204" outlineLevel="2">
      <c r="A63" s="106">
        <f>COUNTA($C$22:C63)</f>
        <v>38</v>
      </c>
      <c r="B63" s="107" t="str">
        <f>"TM_DEF_"&amp;$P63&amp;"_"&amp;TEXT(COUNTIF($P$22:$P63,$P63),"000")</f>
        <v>TM_DEF_UPL_011</v>
      </c>
      <c r="C63" s="107" t="s">
        <v>247</v>
      </c>
      <c r="D63" s="107" t="s">
        <v>207</v>
      </c>
      <c r="E63" s="107" t="s">
        <v>248</v>
      </c>
      <c r="F63" s="107" t="s">
        <v>249</v>
      </c>
      <c r="G63" s="107" t="s">
        <v>250</v>
      </c>
      <c r="H63" s="106" t="s">
        <v>46</v>
      </c>
      <c r="I63" s="106" t="s">
        <v>72</v>
      </c>
      <c r="J63" s="106" t="s">
        <v>95</v>
      </c>
      <c r="K63" s="106" t="s">
        <v>54</v>
      </c>
      <c r="L63" s="106" t="s">
        <v>54</v>
      </c>
      <c r="M63" s="106" t="s">
        <v>54</v>
      </c>
      <c r="N63" s="107"/>
      <c r="O63" s="107"/>
      <c r="P63" t="s">
        <v>210</v>
      </c>
    </row>
    <row r="64" spans="1:16" ht="204" outlineLevel="2">
      <c r="A64" s="106">
        <f>COUNTA($C$22:C64)</f>
        <v>39</v>
      </c>
      <c r="B64" s="107" t="str">
        <f>"TM_DEF_"&amp;$P64&amp;"_"&amp;TEXT(COUNTIF($P$22:$P64,$P64),"000")</f>
        <v>TM_DEF_UPL_012</v>
      </c>
      <c r="C64" s="107" t="s">
        <v>251</v>
      </c>
      <c r="D64" s="107" t="s">
        <v>207</v>
      </c>
      <c r="E64" s="107" t="s">
        <v>252</v>
      </c>
      <c r="F64" s="107" t="s">
        <v>253</v>
      </c>
      <c r="G64" s="107" t="s">
        <v>254</v>
      </c>
      <c r="H64" s="106" t="s">
        <v>46</v>
      </c>
      <c r="I64" s="106" t="s">
        <v>72</v>
      </c>
      <c r="J64" s="106" t="s">
        <v>95</v>
      </c>
      <c r="K64" s="106" t="s">
        <v>54</v>
      </c>
      <c r="L64" s="106" t="s">
        <v>54</v>
      </c>
      <c r="M64" s="106" t="s">
        <v>54</v>
      </c>
      <c r="N64" s="107"/>
      <c r="O64" s="107"/>
      <c r="P64" t="s">
        <v>210</v>
      </c>
    </row>
    <row r="65" spans="1:16" ht="204" outlineLevel="2">
      <c r="A65" s="106">
        <f>COUNTA($C$22:C65)</f>
        <v>40</v>
      </c>
      <c r="B65" s="107" t="str">
        <f>"TM_DEF_"&amp;$P65&amp;"_"&amp;TEXT(COUNTIF($P$22:$P65,$P65),"000")</f>
        <v>TM_DEF_UPL_013</v>
      </c>
      <c r="C65" s="107" t="s">
        <v>255</v>
      </c>
      <c r="D65" s="107" t="s">
        <v>207</v>
      </c>
      <c r="E65" s="107" t="s">
        <v>256</v>
      </c>
      <c r="F65" s="107" t="s">
        <v>257</v>
      </c>
      <c r="G65" s="107" t="s">
        <v>258</v>
      </c>
      <c r="H65" s="106" t="s">
        <v>46</v>
      </c>
      <c r="I65" s="106" t="s">
        <v>72</v>
      </c>
      <c r="J65" s="106" t="s">
        <v>95</v>
      </c>
      <c r="K65" s="106" t="s">
        <v>54</v>
      </c>
      <c r="L65" s="106" t="s">
        <v>54</v>
      </c>
      <c r="M65" s="106" t="s">
        <v>54</v>
      </c>
      <c r="N65" s="107"/>
      <c r="O65" s="107"/>
      <c r="P65" t="s">
        <v>210</v>
      </c>
    </row>
    <row r="66" spans="1:16" ht="204" outlineLevel="2">
      <c r="A66" s="106">
        <f>COUNTA($C$22:C66)</f>
        <v>41</v>
      </c>
      <c r="B66" s="107" t="str">
        <f>"TM_DEF_"&amp;$P66&amp;"_"&amp;TEXT(COUNTIF($P$22:$P66,$P66),"000")</f>
        <v>TM_DEF_UPL_014</v>
      </c>
      <c r="C66" s="107" t="s">
        <v>259</v>
      </c>
      <c r="D66" s="107" t="s">
        <v>207</v>
      </c>
      <c r="E66" s="107" t="s">
        <v>260</v>
      </c>
      <c r="F66" s="107" t="s">
        <v>261</v>
      </c>
      <c r="G66" s="107" t="s">
        <v>262</v>
      </c>
      <c r="H66" s="106" t="s">
        <v>46</v>
      </c>
      <c r="I66" s="106" t="s">
        <v>72</v>
      </c>
      <c r="J66" s="106" t="s">
        <v>95</v>
      </c>
      <c r="K66" s="106" t="s">
        <v>54</v>
      </c>
      <c r="L66" s="106" t="s">
        <v>54</v>
      </c>
      <c r="M66" s="106" t="s">
        <v>54</v>
      </c>
      <c r="N66" s="107"/>
      <c r="O66" s="107"/>
      <c r="P66" t="s">
        <v>210</v>
      </c>
    </row>
    <row r="67" spans="1:16" ht="204" outlineLevel="2">
      <c r="A67" s="106">
        <f>COUNTA($C$22:C67)</f>
        <v>42</v>
      </c>
      <c r="B67" s="107" t="str">
        <f>"TM_DEF_"&amp;$P67&amp;"_"&amp;TEXT(COUNTIF($P$22:$P67,$P67),"000")</f>
        <v>TM_DEF_UPL_015</v>
      </c>
      <c r="C67" s="107" t="s">
        <v>263</v>
      </c>
      <c r="D67" s="107" t="s">
        <v>207</v>
      </c>
      <c r="E67" s="107" t="s">
        <v>264</v>
      </c>
      <c r="F67" s="107" t="s">
        <v>265</v>
      </c>
      <c r="G67" s="107" t="s">
        <v>266</v>
      </c>
      <c r="H67" s="106" t="s">
        <v>46</v>
      </c>
      <c r="I67" s="106" t="s">
        <v>72</v>
      </c>
      <c r="J67" s="106" t="s">
        <v>95</v>
      </c>
      <c r="K67" s="106" t="s">
        <v>54</v>
      </c>
      <c r="L67" s="106" t="s">
        <v>54</v>
      </c>
      <c r="M67" s="106" t="s">
        <v>54</v>
      </c>
      <c r="N67" s="107"/>
      <c r="O67" s="107"/>
      <c r="P67" t="s">
        <v>210</v>
      </c>
    </row>
    <row r="68" spans="1:16" ht="204" outlineLevel="2">
      <c r="A68" s="106">
        <f>COUNTA($C$22:C68)</f>
        <v>43</v>
      </c>
      <c r="B68" s="107" t="str">
        <f>"TM_DEF_"&amp;$P68&amp;"_"&amp;TEXT(COUNTIF($P$22:$P68,$P68),"000")</f>
        <v>TM_DEF_UPL_016</v>
      </c>
      <c r="C68" s="107" t="s">
        <v>267</v>
      </c>
      <c r="D68" s="107" t="s">
        <v>207</v>
      </c>
      <c r="E68" s="107" t="s">
        <v>268</v>
      </c>
      <c r="F68" s="107" t="s">
        <v>269</v>
      </c>
      <c r="G68" s="107" t="s">
        <v>270</v>
      </c>
      <c r="H68" s="106" t="s">
        <v>46</v>
      </c>
      <c r="I68" s="106" t="s">
        <v>72</v>
      </c>
      <c r="J68" s="106" t="s">
        <v>95</v>
      </c>
      <c r="K68" s="106" t="s">
        <v>54</v>
      </c>
      <c r="L68" s="106" t="s">
        <v>54</v>
      </c>
      <c r="M68" s="106" t="s">
        <v>54</v>
      </c>
      <c r="N68" s="107"/>
      <c r="O68" s="107"/>
      <c r="P68" t="s">
        <v>210</v>
      </c>
    </row>
    <row r="69" spans="1:16" ht="204" outlineLevel="2">
      <c r="A69" s="106">
        <f>COUNTA($C$22:C69)</f>
        <v>44</v>
      </c>
      <c r="B69" s="107" t="str">
        <f>"TM_DEF_"&amp;$P69&amp;"_"&amp;TEXT(COUNTIF($P$22:$P69,$P69),"000")</f>
        <v>TM_DEF_UPL_017</v>
      </c>
      <c r="C69" s="107" t="s">
        <v>271</v>
      </c>
      <c r="D69" s="107" t="s">
        <v>207</v>
      </c>
      <c r="E69" s="107" t="s">
        <v>272</v>
      </c>
      <c r="F69" s="107" t="s">
        <v>273</v>
      </c>
      <c r="G69" s="107" t="s">
        <v>274</v>
      </c>
      <c r="H69" s="106" t="s">
        <v>46</v>
      </c>
      <c r="I69" s="106" t="s">
        <v>72</v>
      </c>
      <c r="J69" s="106" t="s">
        <v>95</v>
      </c>
      <c r="K69" s="106" t="s">
        <v>54</v>
      </c>
      <c r="L69" s="106" t="s">
        <v>54</v>
      </c>
      <c r="M69" s="106" t="s">
        <v>54</v>
      </c>
      <c r="N69" s="107"/>
      <c r="O69" s="107"/>
      <c r="P69" t="s">
        <v>210</v>
      </c>
    </row>
    <row r="70" spans="1:16" ht="204" outlineLevel="2">
      <c r="A70" s="106">
        <f>COUNTA($C$22:C70)</f>
        <v>45</v>
      </c>
      <c r="B70" s="107" t="str">
        <f>"TM_DEF_"&amp;$P70&amp;"_"&amp;TEXT(COUNTIF($P$22:$P70,$P70),"000")</f>
        <v>TM_DEF_UPL_018</v>
      </c>
      <c r="C70" s="107" t="s">
        <v>275</v>
      </c>
      <c r="D70" s="107" t="s">
        <v>207</v>
      </c>
      <c r="E70" s="107" t="s">
        <v>276</v>
      </c>
      <c r="F70" s="107" t="s">
        <v>277</v>
      </c>
      <c r="G70" s="107" t="s">
        <v>278</v>
      </c>
      <c r="H70" s="106" t="s">
        <v>46</v>
      </c>
      <c r="I70" s="106" t="s">
        <v>72</v>
      </c>
      <c r="J70" s="106" t="s">
        <v>95</v>
      </c>
      <c r="K70" s="106" t="s">
        <v>54</v>
      </c>
      <c r="L70" s="106" t="s">
        <v>54</v>
      </c>
      <c r="M70" s="106" t="s">
        <v>54</v>
      </c>
      <c r="N70" s="107"/>
      <c r="O70" s="107"/>
      <c r="P70" t="s">
        <v>210</v>
      </c>
    </row>
    <row r="71" spans="1:16" ht="14.25" customHeight="1" outlineLevel="1">
      <c r="A71" s="125" t="s">
        <v>279</v>
      </c>
      <c r="B71" s="125"/>
      <c r="C71" s="125"/>
      <c r="D71" s="125"/>
      <c r="E71" s="125"/>
      <c r="F71" s="125"/>
      <c r="G71" s="125"/>
      <c r="H71" s="125"/>
      <c r="I71" s="125"/>
      <c r="J71" s="125"/>
      <c r="K71" s="125"/>
      <c r="L71" s="125"/>
      <c r="M71" s="125"/>
      <c r="N71" s="125"/>
      <c r="O71" s="125"/>
    </row>
    <row r="72" spans="1:16" ht="191.25" outlineLevel="2">
      <c r="A72" s="106">
        <f>COUNTA($C$22:C72)</f>
        <v>46</v>
      </c>
      <c r="B72" s="107" t="str">
        <f>"TM_DEF_"&amp;$P72&amp;"_"&amp;TEXT(COUNTIF($P$22:$P72,$P72),"000")</f>
        <v>TM_DEF_UPL_019</v>
      </c>
      <c r="C72" s="107" t="s">
        <v>280</v>
      </c>
      <c r="D72" s="107" t="s">
        <v>207</v>
      </c>
      <c r="E72" s="107" t="s">
        <v>281</v>
      </c>
      <c r="F72" s="107" t="s">
        <v>282</v>
      </c>
      <c r="G72" s="107" t="s">
        <v>283</v>
      </c>
      <c r="H72" s="106" t="s">
        <v>46</v>
      </c>
      <c r="I72" s="106" t="s">
        <v>71</v>
      </c>
      <c r="J72" s="106" t="s">
        <v>95</v>
      </c>
      <c r="K72" s="106" t="s">
        <v>54</v>
      </c>
      <c r="L72" s="106" t="s">
        <v>54</v>
      </c>
      <c r="M72" s="106" t="s">
        <v>54</v>
      </c>
      <c r="N72" s="107"/>
      <c r="O72" s="107"/>
      <c r="P72" t="s">
        <v>210</v>
      </c>
    </row>
    <row r="73" spans="1:16" ht="204" outlineLevel="2">
      <c r="A73" s="106">
        <f>COUNTA($C$22:C73)</f>
        <v>47</v>
      </c>
      <c r="B73" s="107" t="str">
        <f>"TM_DEF_"&amp;$P73&amp;"_"&amp;TEXT(COUNTIF($P$22:$P73,$P73),"000")</f>
        <v>TM_DEF_UPL_020</v>
      </c>
      <c r="C73" s="107" t="s">
        <v>284</v>
      </c>
      <c r="D73" s="107" t="s">
        <v>207</v>
      </c>
      <c r="E73" s="107" t="s">
        <v>285</v>
      </c>
      <c r="F73" s="107" t="s">
        <v>286</v>
      </c>
      <c r="G73" s="107" t="s">
        <v>287</v>
      </c>
      <c r="H73" s="106" t="s">
        <v>46</v>
      </c>
      <c r="I73" s="106" t="s">
        <v>72</v>
      </c>
      <c r="J73" s="106" t="s">
        <v>95</v>
      </c>
      <c r="K73" s="106" t="s">
        <v>54</v>
      </c>
      <c r="L73" s="106" t="s">
        <v>54</v>
      </c>
      <c r="M73" s="106" t="s">
        <v>54</v>
      </c>
      <c r="N73" s="107"/>
      <c r="O73" s="107"/>
      <c r="P73" t="s">
        <v>210</v>
      </c>
    </row>
    <row r="74" spans="1:16" ht="14.25" customHeight="1" outlineLevel="1">
      <c r="A74" s="125" t="s">
        <v>288</v>
      </c>
      <c r="B74" s="125"/>
      <c r="C74" s="125"/>
      <c r="D74" s="125"/>
      <c r="E74" s="125"/>
      <c r="F74" s="125"/>
      <c r="G74" s="125"/>
      <c r="H74" s="125"/>
      <c r="I74" s="125"/>
      <c r="J74" s="125"/>
      <c r="K74" s="125"/>
      <c r="L74" s="125"/>
      <c r="M74" s="125"/>
      <c r="N74" s="125"/>
      <c r="O74" s="125"/>
    </row>
    <row r="75" spans="1:16" ht="204" outlineLevel="2">
      <c r="A75" s="106">
        <f>COUNTA($C$22:C75)</f>
        <v>48</v>
      </c>
      <c r="B75" s="107" t="str">
        <f>"TM_DEF_"&amp;$P75&amp;"_"&amp;TEXT(COUNTIF($P$22:$P75,$P75),"000")</f>
        <v>TM_DEF_UPL_021</v>
      </c>
      <c r="C75" s="107" t="s">
        <v>289</v>
      </c>
      <c r="D75" s="107" t="s">
        <v>290</v>
      </c>
      <c r="E75" s="107" t="s">
        <v>291</v>
      </c>
      <c r="F75" s="107" t="s">
        <v>292</v>
      </c>
      <c r="G75" s="107" t="s">
        <v>293</v>
      </c>
      <c r="H75" s="106" t="s">
        <v>46</v>
      </c>
      <c r="I75" s="106" t="s">
        <v>71</v>
      </c>
      <c r="J75" s="106" t="s">
        <v>95</v>
      </c>
      <c r="K75" s="106" t="s">
        <v>54</v>
      </c>
      <c r="L75" s="106" t="s">
        <v>54</v>
      </c>
      <c r="M75" s="106" t="s">
        <v>54</v>
      </c>
      <c r="N75" s="107"/>
      <c r="O75" s="107"/>
      <c r="P75" t="s">
        <v>210</v>
      </c>
    </row>
    <row r="76" spans="1:16" ht="204" outlineLevel="2">
      <c r="A76" s="106">
        <f>COUNTA($C$22:C76)</f>
        <v>49</v>
      </c>
      <c r="B76" s="107" t="str">
        <f>"TM_DEF_"&amp;$P76&amp;"_"&amp;TEXT(COUNTIF($P$22:$P76,$P76),"000")</f>
        <v>TM_DEF_UPL_022</v>
      </c>
      <c r="C76" s="107" t="s">
        <v>294</v>
      </c>
      <c r="D76" s="107" t="s">
        <v>207</v>
      </c>
      <c r="E76" s="107" t="s">
        <v>295</v>
      </c>
      <c r="F76" s="107" t="s">
        <v>296</v>
      </c>
      <c r="G76" s="107" t="s">
        <v>297</v>
      </c>
      <c r="H76" s="106" t="s">
        <v>46</v>
      </c>
      <c r="I76" s="106" t="s">
        <v>71</v>
      </c>
      <c r="J76" s="106" t="s">
        <v>95</v>
      </c>
      <c r="K76" s="106" t="s">
        <v>54</v>
      </c>
      <c r="L76" s="106" t="s">
        <v>54</v>
      </c>
      <c r="M76" s="106" t="s">
        <v>54</v>
      </c>
      <c r="N76" s="107"/>
      <c r="O76" s="107"/>
      <c r="P76" t="s">
        <v>210</v>
      </c>
    </row>
    <row r="77" spans="1:16" ht="14.25" customHeight="1">
      <c r="A77" s="124" t="s">
        <v>298</v>
      </c>
      <c r="B77" s="124"/>
      <c r="C77" s="124"/>
      <c r="D77" s="124"/>
      <c r="E77" s="124"/>
      <c r="F77" s="124"/>
      <c r="G77" s="124"/>
      <c r="H77" s="124"/>
      <c r="I77" s="124"/>
      <c r="J77" s="124"/>
      <c r="K77" s="124"/>
      <c r="L77" s="124"/>
      <c r="M77" s="124"/>
      <c r="N77" s="124"/>
      <c r="O77" s="124"/>
    </row>
    <row r="78" spans="1:16" ht="14.25" customHeight="1" outlineLevel="1">
      <c r="A78" s="125" t="s">
        <v>299</v>
      </c>
      <c r="B78" s="125"/>
      <c r="C78" s="125"/>
      <c r="D78" s="125"/>
      <c r="E78" s="125"/>
      <c r="F78" s="125"/>
      <c r="G78" s="125"/>
      <c r="H78" s="125"/>
      <c r="I78" s="125"/>
      <c r="J78" s="125"/>
      <c r="K78" s="125"/>
      <c r="L78" s="125"/>
      <c r="M78" s="125"/>
      <c r="N78" s="125"/>
      <c r="O78" s="125"/>
    </row>
    <row r="79" spans="1:16" ht="63.75" outlineLevel="2">
      <c r="A79" s="106">
        <f>COUNTA($C$22:C79)</f>
        <v>50</v>
      </c>
      <c r="B79" s="107" t="str">
        <f>"TM_DEF_"&amp;$P79&amp;"_"&amp;TEXT(COUNTIF($P$22:$P79,$P79),"000")</f>
        <v>TM_DEF_ADD_001</v>
      </c>
      <c r="C79" s="107" t="s">
        <v>300</v>
      </c>
      <c r="D79" s="107" t="s">
        <v>207</v>
      </c>
      <c r="E79" s="107" t="s">
        <v>301</v>
      </c>
      <c r="F79" s="107"/>
      <c r="G79" s="107" t="s">
        <v>302</v>
      </c>
      <c r="H79" s="106" t="s">
        <v>46</v>
      </c>
      <c r="I79" s="106" t="s">
        <v>71</v>
      </c>
      <c r="J79" s="106" t="s">
        <v>95</v>
      </c>
      <c r="K79" s="106" t="s">
        <v>54</v>
      </c>
      <c r="L79" s="106" t="s">
        <v>54</v>
      </c>
      <c r="M79" s="106" t="s">
        <v>54</v>
      </c>
      <c r="N79" s="107"/>
      <c r="O79" s="107"/>
      <c r="P79" t="s">
        <v>303</v>
      </c>
    </row>
    <row r="80" spans="1:16" ht="14.25" customHeight="1" outlineLevel="1">
      <c r="A80" s="125" t="s">
        <v>304</v>
      </c>
      <c r="B80" s="125"/>
      <c r="C80" s="125"/>
      <c r="D80" s="125"/>
      <c r="E80" s="125"/>
      <c r="F80" s="125"/>
      <c r="G80" s="125"/>
      <c r="H80" s="125"/>
      <c r="I80" s="125"/>
      <c r="J80" s="125"/>
      <c r="K80" s="125"/>
      <c r="L80" s="125"/>
      <c r="M80" s="125"/>
      <c r="N80" s="125"/>
      <c r="O80" s="125"/>
    </row>
    <row r="81" spans="1:16" ht="76.5" outlineLevel="2">
      <c r="A81" s="106">
        <f>COUNTA($C$22:C81)</f>
        <v>51</v>
      </c>
      <c r="B81" s="107" t="str">
        <f>"TM_DEF_"&amp;$P81&amp;"_"&amp;TEXT(COUNTIF($P$22:$P81,$P81),"000")</f>
        <v>TM_DEF_ADD_002</v>
      </c>
      <c r="C81" s="107" t="s">
        <v>305</v>
      </c>
      <c r="D81" s="107" t="s">
        <v>207</v>
      </c>
      <c r="E81" s="107" t="s">
        <v>306</v>
      </c>
      <c r="F81" s="107" t="s">
        <v>229</v>
      </c>
      <c r="G81" s="107" t="s">
        <v>307</v>
      </c>
      <c r="H81" s="106" t="s">
        <v>46</v>
      </c>
      <c r="I81" s="106" t="s">
        <v>71</v>
      </c>
      <c r="J81" s="106" t="s">
        <v>95</v>
      </c>
      <c r="K81" s="106" t="s">
        <v>54</v>
      </c>
      <c r="L81" s="106" t="s">
        <v>54</v>
      </c>
      <c r="M81" s="106" t="s">
        <v>54</v>
      </c>
      <c r="N81" s="107"/>
      <c r="O81" s="107"/>
      <c r="P81" t="s">
        <v>303</v>
      </c>
    </row>
    <row r="82" spans="1:16" ht="76.5" outlineLevel="2">
      <c r="A82" s="106">
        <f>COUNTA($C$22:C82)</f>
        <v>52</v>
      </c>
      <c r="B82" s="107" t="str">
        <f>"TM_DEF_"&amp;$P82&amp;"_"&amp;TEXT(COUNTIF($P$22:$P82,$P82),"000")</f>
        <v>TM_DEF_ADD_003</v>
      </c>
      <c r="C82" s="107" t="s">
        <v>308</v>
      </c>
      <c r="D82" s="107" t="s">
        <v>207</v>
      </c>
      <c r="E82" s="107" t="s">
        <v>309</v>
      </c>
      <c r="F82" s="107" t="s">
        <v>233</v>
      </c>
      <c r="G82" s="107" t="s">
        <v>310</v>
      </c>
      <c r="H82" s="106" t="s">
        <v>46</v>
      </c>
      <c r="I82" s="106" t="s">
        <v>71</v>
      </c>
      <c r="J82" s="106" t="s">
        <v>95</v>
      </c>
      <c r="K82" s="106" t="s">
        <v>54</v>
      </c>
      <c r="L82" s="106" t="s">
        <v>54</v>
      </c>
      <c r="M82" s="106" t="s">
        <v>54</v>
      </c>
      <c r="N82" s="107"/>
      <c r="O82" s="107"/>
      <c r="P82" t="s">
        <v>303</v>
      </c>
    </row>
    <row r="83" spans="1:16" ht="89.25" outlineLevel="2">
      <c r="A83" s="106">
        <f>COUNTA($C$22:C83)</f>
        <v>53</v>
      </c>
      <c r="B83" s="107" t="str">
        <f>"TM_DEF_"&amp;$P83&amp;"_"&amp;TEXT(COUNTIF($P$22:$P83,$P83),"000")</f>
        <v>TM_DEF_ADD_004</v>
      </c>
      <c r="C83" s="107" t="s">
        <v>311</v>
      </c>
      <c r="D83" s="107" t="s">
        <v>207</v>
      </c>
      <c r="E83" s="107" t="s">
        <v>312</v>
      </c>
      <c r="F83" s="107" t="s">
        <v>237</v>
      </c>
      <c r="G83" s="107" t="s">
        <v>313</v>
      </c>
      <c r="H83" s="106" t="s">
        <v>46</v>
      </c>
      <c r="I83" s="106" t="s">
        <v>71</v>
      </c>
      <c r="J83" s="106" t="s">
        <v>95</v>
      </c>
      <c r="K83" s="106" t="s">
        <v>54</v>
      </c>
      <c r="L83" s="106" t="s">
        <v>54</v>
      </c>
      <c r="M83" s="106" t="s">
        <v>54</v>
      </c>
      <c r="N83" s="107"/>
      <c r="O83" s="107"/>
      <c r="P83" t="s">
        <v>303</v>
      </c>
    </row>
    <row r="84" spans="1:16" ht="76.5" outlineLevel="2">
      <c r="A84" s="106">
        <f>COUNTA($C$22:C84)</f>
        <v>54</v>
      </c>
      <c r="B84" s="107" t="str">
        <f>"TM_DEF_"&amp;$P84&amp;"_"&amp;TEXT(COUNTIF($P$22:$P84,$P84),"000")</f>
        <v>TM_DEF_ADD_005</v>
      </c>
      <c r="C84" s="107" t="s">
        <v>314</v>
      </c>
      <c r="D84" s="107" t="s">
        <v>207</v>
      </c>
      <c r="E84" s="107" t="s">
        <v>315</v>
      </c>
      <c r="F84" s="107" t="s">
        <v>241</v>
      </c>
      <c r="G84" s="107" t="s">
        <v>316</v>
      </c>
      <c r="H84" s="106" t="s">
        <v>46</v>
      </c>
      <c r="I84" s="106" t="s">
        <v>71</v>
      </c>
      <c r="J84" s="106" t="s">
        <v>95</v>
      </c>
      <c r="K84" s="106" t="s">
        <v>54</v>
      </c>
      <c r="L84" s="106" t="s">
        <v>54</v>
      </c>
      <c r="M84" s="106" t="s">
        <v>54</v>
      </c>
      <c r="N84" s="107"/>
      <c r="O84" s="107"/>
      <c r="P84" t="s">
        <v>303</v>
      </c>
    </row>
    <row r="85" spans="1:16" ht="76.5" outlineLevel="2">
      <c r="A85" s="106">
        <f>COUNTA($C$22:C85)</f>
        <v>55</v>
      </c>
      <c r="B85" s="107" t="str">
        <f>"TM_DEF_"&amp;$P85&amp;"_"&amp;TEXT(COUNTIF($P$22:$P85,$P85),"000")</f>
        <v>TM_DEF_ADD_006</v>
      </c>
      <c r="C85" s="107" t="s">
        <v>317</v>
      </c>
      <c r="D85" s="107" t="s">
        <v>207</v>
      </c>
      <c r="E85" s="107" t="s">
        <v>318</v>
      </c>
      <c r="F85" s="107" t="s">
        <v>245</v>
      </c>
      <c r="G85" s="107" t="s">
        <v>319</v>
      </c>
      <c r="H85" s="106" t="s">
        <v>46</v>
      </c>
      <c r="I85" s="106" t="s">
        <v>72</v>
      </c>
      <c r="J85" s="106" t="s">
        <v>95</v>
      </c>
      <c r="K85" s="106" t="s">
        <v>54</v>
      </c>
      <c r="L85" s="106" t="s">
        <v>54</v>
      </c>
      <c r="M85" s="106" t="s">
        <v>54</v>
      </c>
      <c r="N85" s="107"/>
      <c r="O85" s="107"/>
      <c r="P85" t="s">
        <v>303</v>
      </c>
    </row>
    <row r="86" spans="1:16" ht="76.5" outlineLevel="2">
      <c r="A86" s="106">
        <f>COUNTA($C$22:C86)</f>
        <v>56</v>
      </c>
      <c r="B86" s="107" t="str">
        <f>"TM_DEF_"&amp;$P86&amp;"_"&amp;TEXT(COUNTIF($P$22:$P86,$P86),"000")</f>
        <v>TM_DEF_ADD_007</v>
      </c>
      <c r="C86" s="107" t="s">
        <v>320</v>
      </c>
      <c r="D86" s="107" t="s">
        <v>207</v>
      </c>
      <c r="E86" s="107" t="s">
        <v>321</v>
      </c>
      <c r="F86" s="107" t="s">
        <v>249</v>
      </c>
      <c r="G86" s="107" t="s">
        <v>319</v>
      </c>
      <c r="H86" s="106" t="s">
        <v>46</v>
      </c>
      <c r="I86" s="106" t="s">
        <v>72</v>
      </c>
      <c r="J86" s="106" t="s">
        <v>95</v>
      </c>
      <c r="K86" s="106" t="s">
        <v>54</v>
      </c>
      <c r="L86" s="106" t="s">
        <v>54</v>
      </c>
      <c r="M86" s="106" t="s">
        <v>54</v>
      </c>
      <c r="N86" s="107"/>
      <c r="O86" s="107"/>
      <c r="P86" t="s">
        <v>303</v>
      </c>
    </row>
    <row r="87" spans="1:16" ht="89.25" outlineLevel="2">
      <c r="A87" s="106">
        <f>COUNTA($C$22:C87)</f>
        <v>57</v>
      </c>
      <c r="B87" s="107" t="str">
        <f>"TM_DEF_"&amp;$P87&amp;"_"&amp;TEXT(COUNTIF($P$22:$P87,$P87),"000")</f>
        <v>TM_DEF_ADD_008</v>
      </c>
      <c r="C87" s="107" t="s">
        <v>322</v>
      </c>
      <c r="D87" s="107" t="s">
        <v>207</v>
      </c>
      <c r="E87" s="107" t="s">
        <v>323</v>
      </c>
      <c r="F87" s="107" t="s">
        <v>253</v>
      </c>
      <c r="G87" s="107" t="s">
        <v>319</v>
      </c>
      <c r="H87" s="106" t="s">
        <v>46</v>
      </c>
      <c r="I87" s="106" t="s">
        <v>72</v>
      </c>
      <c r="J87" s="106" t="s">
        <v>95</v>
      </c>
      <c r="K87" s="106" t="s">
        <v>54</v>
      </c>
      <c r="L87" s="106" t="s">
        <v>54</v>
      </c>
      <c r="M87" s="106" t="s">
        <v>54</v>
      </c>
      <c r="N87" s="107"/>
      <c r="O87" s="107"/>
      <c r="P87" t="s">
        <v>303</v>
      </c>
    </row>
    <row r="88" spans="1:16" ht="76.5" outlineLevel="2">
      <c r="A88" s="106">
        <f>COUNTA($C$22:C88)</f>
        <v>58</v>
      </c>
      <c r="B88" s="107" t="str">
        <f>"TM_DEF_"&amp;$P88&amp;"_"&amp;TEXT(COUNTIF($P$22:$P88,$P88),"000")</f>
        <v>TM_DEF_ADD_009</v>
      </c>
      <c r="C88" s="107" t="s">
        <v>324</v>
      </c>
      <c r="D88" s="107" t="s">
        <v>207</v>
      </c>
      <c r="E88" s="107" t="s">
        <v>325</v>
      </c>
      <c r="F88" s="107" t="s">
        <v>257</v>
      </c>
      <c r="G88" s="107" t="s">
        <v>319</v>
      </c>
      <c r="H88" s="106" t="s">
        <v>46</v>
      </c>
      <c r="I88" s="106" t="s">
        <v>72</v>
      </c>
      <c r="J88" s="106" t="s">
        <v>95</v>
      </c>
      <c r="K88" s="106" t="s">
        <v>54</v>
      </c>
      <c r="L88" s="106" t="s">
        <v>54</v>
      </c>
      <c r="M88" s="106" t="s">
        <v>54</v>
      </c>
      <c r="N88" s="107"/>
      <c r="O88" s="107"/>
      <c r="P88" t="s">
        <v>303</v>
      </c>
    </row>
    <row r="89" spans="1:16" ht="76.5" outlineLevel="2">
      <c r="A89" s="106">
        <f>COUNTA($C$22:C89)</f>
        <v>59</v>
      </c>
      <c r="B89" s="107" t="str">
        <f>"TM_DEF_"&amp;$P89&amp;"_"&amp;TEXT(COUNTIF($P$22:$P89,$P89),"000")</f>
        <v>TM_DEF_ADD_010</v>
      </c>
      <c r="C89" s="107" t="s">
        <v>326</v>
      </c>
      <c r="D89" s="107" t="s">
        <v>207</v>
      </c>
      <c r="E89" s="107" t="s">
        <v>327</v>
      </c>
      <c r="F89" s="107" t="s">
        <v>261</v>
      </c>
      <c r="G89" s="107" t="s">
        <v>319</v>
      </c>
      <c r="H89" s="106" t="s">
        <v>46</v>
      </c>
      <c r="I89" s="106" t="s">
        <v>72</v>
      </c>
      <c r="J89" s="106" t="s">
        <v>95</v>
      </c>
      <c r="K89" s="106" t="s">
        <v>54</v>
      </c>
      <c r="L89" s="106" t="s">
        <v>54</v>
      </c>
      <c r="M89" s="106" t="s">
        <v>54</v>
      </c>
      <c r="N89" s="107"/>
      <c r="O89" s="107"/>
      <c r="P89" t="s">
        <v>303</v>
      </c>
    </row>
    <row r="90" spans="1:16" ht="76.5" outlineLevel="2">
      <c r="A90" s="106">
        <f>COUNTA($C$22:C90)</f>
        <v>60</v>
      </c>
      <c r="B90" s="107" t="str">
        <f>"TM_DEF_"&amp;$P90&amp;"_"&amp;TEXT(COUNTIF($P$22:$P90,$P90),"000")</f>
        <v>TM_DEF_ADD_011</v>
      </c>
      <c r="C90" s="107" t="s">
        <v>328</v>
      </c>
      <c r="D90" s="107" t="s">
        <v>207</v>
      </c>
      <c r="E90" s="107" t="s">
        <v>329</v>
      </c>
      <c r="F90" s="107" t="s">
        <v>265</v>
      </c>
      <c r="G90" s="107" t="s">
        <v>319</v>
      </c>
      <c r="H90" s="106" t="s">
        <v>46</v>
      </c>
      <c r="I90" s="106" t="s">
        <v>72</v>
      </c>
      <c r="J90" s="106" t="s">
        <v>95</v>
      </c>
      <c r="K90" s="106" t="s">
        <v>54</v>
      </c>
      <c r="L90" s="106" t="s">
        <v>54</v>
      </c>
      <c r="M90" s="106" t="s">
        <v>54</v>
      </c>
      <c r="N90" s="107"/>
      <c r="O90" s="107"/>
      <c r="P90" t="s">
        <v>303</v>
      </c>
    </row>
    <row r="91" spans="1:16" ht="51" outlineLevel="2">
      <c r="A91" s="106">
        <f>COUNTA($C$22:C91)</f>
        <v>61</v>
      </c>
      <c r="B91" s="107" t="str">
        <f>"TM_DEF_"&amp;$P91&amp;"_"&amp;TEXT(COUNTIF($P$22:$P91,$P91),"000")</f>
        <v>TM_DEF_ADD_012</v>
      </c>
      <c r="C91" s="107" t="s">
        <v>330</v>
      </c>
      <c r="D91" s="107" t="s">
        <v>207</v>
      </c>
      <c r="E91" s="107" t="s">
        <v>331</v>
      </c>
      <c r="F91" s="107"/>
      <c r="G91" s="107" t="s">
        <v>332</v>
      </c>
      <c r="H91" s="106" t="s">
        <v>46</v>
      </c>
      <c r="I91" s="106" t="s">
        <v>72</v>
      </c>
      <c r="J91" s="106" t="s">
        <v>95</v>
      </c>
      <c r="K91" s="106" t="s">
        <v>54</v>
      </c>
      <c r="L91" s="106" t="s">
        <v>54</v>
      </c>
      <c r="M91" s="106" t="s">
        <v>54</v>
      </c>
      <c r="N91" s="107"/>
      <c r="O91" s="107"/>
      <c r="P91" t="s">
        <v>303</v>
      </c>
    </row>
    <row r="92" spans="1:16" ht="63.75" outlineLevel="2">
      <c r="A92" s="106">
        <f>COUNTA($C$22:C92)</f>
        <v>62</v>
      </c>
      <c r="B92" s="107" t="str">
        <f>"TM_DEF_"&amp;$P92&amp;"_"&amp;TEXT(COUNTIF($P$22:$P92,$P92),"000")</f>
        <v>TM_DEF_ADD_013</v>
      </c>
      <c r="C92" s="107" t="s">
        <v>333</v>
      </c>
      <c r="D92" s="107" t="s">
        <v>207</v>
      </c>
      <c r="E92" s="107" t="s">
        <v>334</v>
      </c>
      <c r="F92" s="107"/>
      <c r="G92" s="107" t="s">
        <v>335</v>
      </c>
      <c r="H92" s="106" t="s">
        <v>46</v>
      </c>
      <c r="I92" s="106" t="s">
        <v>72</v>
      </c>
      <c r="J92" s="106" t="s">
        <v>95</v>
      </c>
      <c r="K92" s="106" t="s">
        <v>54</v>
      </c>
      <c r="L92" s="106" t="s">
        <v>54</v>
      </c>
      <c r="M92" s="106" t="s">
        <v>54</v>
      </c>
      <c r="N92" s="107"/>
      <c r="O92" s="107"/>
      <c r="P92" t="s">
        <v>303</v>
      </c>
    </row>
    <row r="93" spans="1:16" ht="89.25" outlineLevel="2">
      <c r="A93" s="106">
        <f>COUNTA($C$22:C93)</f>
        <v>63</v>
      </c>
      <c r="B93" s="107" t="str">
        <f>"TM_DEF_"&amp;$P93&amp;"_"&amp;TEXT(COUNTIF($P$22:$P93,$P93),"000")</f>
        <v>TM_DEF_ADD_014</v>
      </c>
      <c r="C93" s="107" t="s">
        <v>336</v>
      </c>
      <c r="D93" s="107" t="s">
        <v>337</v>
      </c>
      <c r="E93" s="107" t="s">
        <v>338</v>
      </c>
      <c r="F93" s="107" t="s">
        <v>339</v>
      </c>
      <c r="G93" s="107" t="s">
        <v>340</v>
      </c>
      <c r="H93" s="106" t="s">
        <v>46</v>
      </c>
      <c r="I93" s="106" t="s">
        <v>71</v>
      </c>
      <c r="J93" s="106" t="s">
        <v>95</v>
      </c>
      <c r="K93" s="106" t="s">
        <v>54</v>
      </c>
      <c r="L93" s="106" t="s">
        <v>54</v>
      </c>
      <c r="M93" s="106" t="s">
        <v>54</v>
      </c>
      <c r="N93" s="107"/>
      <c r="O93" s="107"/>
      <c r="P93" t="s">
        <v>303</v>
      </c>
    </row>
    <row r="94" spans="1:16" ht="89.25" outlineLevel="2">
      <c r="A94" s="106">
        <f>COUNTA($C$22:C94)</f>
        <v>64</v>
      </c>
      <c r="B94" s="107" t="str">
        <f>"TM_DEF_"&amp;$P94&amp;"_"&amp;TEXT(COUNTIF($P$22:$P94,$P94),"000")</f>
        <v>TM_DEF_ADD_015</v>
      </c>
      <c r="C94" s="107" t="s">
        <v>341</v>
      </c>
      <c r="D94" s="107" t="s">
        <v>207</v>
      </c>
      <c r="E94" s="107" t="s">
        <v>342</v>
      </c>
      <c r="F94" s="107" t="s">
        <v>343</v>
      </c>
      <c r="G94" s="107" t="s">
        <v>344</v>
      </c>
      <c r="H94" s="106" t="s">
        <v>46</v>
      </c>
      <c r="I94" s="106" t="s">
        <v>71</v>
      </c>
      <c r="J94" s="106" t="s">
        <v>95</v>
      </c>
      <c r="K94" s="106" t="s">
        <v>54</v>
      </c>
      <c r="L94" s="106" t="s">
        <v>54</v>
      </c>
      <c r="M94" s="106" t="s">
        <v>54</v>
      </c>
      <c r="N94" s="107"/>
      <c r="O94" s="107"/>
      <c r="P94" t="s">
        <v>303</v>
      </c>
    </row>
    <row r="95" spans="1:16" ht="14.25" customHeight="1" outlineLevel="1">
      <c r="A95" s="125" t="s">
        <v>345</v>
      </c>
      <c r="B95" s="125"/>
      <c r="C95" s="125"/>
      <c r="D95" s="125"/>
      <c r="E95" s="125"/>
      <c r="F95" s="125"/>
      <c r="G95" s="125"/>
      <c r="H95" s="125"/>
      <c r="I95" s="125"/>
      <c r="J95" s="125"/>
      <c r="K95" s="125"/>
      <c r="L95" s="125"/>
      <c r="M95" s="125"/>
      <c r="N95" s="125"/>
      <c r="O95" s="125"/>
    </row>
    <row r="96" spans="1:16" ht="63.75" outlineLevel="2">
      <c r="A96" s="106">
        <f>COUNTA($C$22:C96)</f>
        <v>65</v>
      </c>
      <c r="B96" s="107" t="str">
        <f>"TM_DEF_"&amp;$P96&amp;"_"&amp;TEXT(COUNTIF($P$22:$P96,$P96),"000")</f>
        <v>TM_DEF_ADD_016</v>
      </c>
      <c r="C96" s="107" t="s">
        <v>346</v>
      </c>
      <c r="D96" s="107" t="s">
        <v>207</v>
      </c>
      <c r="E96" s="107" t="s">
        <v>347</v>
      </c>
      <c r="F96" s="107" t="s">
        <v>348</v>
      </c>
      <c r="G96" s="107" t="s">
        <v>349</v>
      </c>
      <c r="H96" s="106" t="s">
        <v>46</v>
      </c>
      <c r="I96" s="106" t="s">
        <v>71</v>
      </c>
      <c r="J96" s="106" t="s">
        <v>95</v>
      </c>
      <c r="K96" s="106" t="s">
        <v>54</v>
      </c>
      <c r="L96" s="106" t="s">
        <v>54</v>
      </c>
      <c r="M96" s="106" t="s">
        <v>54</v>
      </c>
      <c r="N96" s="107"/>
      <c r="O96" s="107"/>
      <c r="P96" t="s">
        <v>303</v>
      </c>
    </row>
    <row r="97" spans="1:16" ht="63.75" outlineLevel="2">
      <c r="A97" s="106">
        <f>COUNTA($C$22:C97)</f>
        <v>66</v>
      </c>
      <c r="B97" s="107" t="str">
        <f>"TM_DEF_"&amp;$P97&amp;"_"&amp;TEXT(COUNTIF($P$22:$P97,$P97),"000")</f>
        <v>TM_DEF_ADD_017</v>
      </c>
      <c r="C97" s="107" t="s">
        <v>350</v>
      </c>
      <c r="D97" s="107" t="s">
        <v>207</v>
      </c>
      <c r="E97" s="107" t="s">
        <v>351</v>
      </c>
      <c r="F97" s="107"/>
      <c r="G97" s="107" t="s">
        <v>352</v>
      </c>
      <c r="H97" s="106" t="s">
        <v>46</v>
      </c>
      <c r="I97" s="106" t="s">
        <v>73</v>
      </c>
      <c r="J97" s="106" t="s">
        <v>95</v>
      </c>
      <c r="K97" s="106" t="s">
        <v>54</v>
      </c>
      <c r="L97" s="106" t="s">
        <v>54</v>
      </c>
      <c r="M97" s="106" t="s">
        <v>54</v>
      </c>
      <c r="N97" s="107"/>
      <c r="O97" s="107"/>
      <c r="P97" t="s">
        <v>303</v>
      </c>
    </row>
    <row r="98" spans="1:16" ht="14.25" customHeight="1">
      <c r="A98" s="124" t="s">
        <v>353</v>
      </c>
      <c r="B98" s="124"/>
      <c r="C98" s="124"/>
      <c r="D98" s="124"/>
      <c r="E98" s="124"/>
      <c r="F98" s="124"/>
      <c r="G98" s="124"/>
      <c r="H98" s="124"/>
      <c r="I98" s="124"/>
      <c r="J98" s="124"/>
      <c r="K98" s="124"/>
      <c r="L98" s="124"/>
      <c r="M98" s="124"/>
      <c r="N98" s="124"/>
      <c r="O98" s="124"/>
    </row>
    <row r="99" spans="1:16" ht="14.25" customHeight="1" outlineLevel="1">
      <c r="A99" s="125" t="s">
        <v>354</v>
      </c>
      <c r="B99" s="125"/>
      <c r="C99" s="125"/>
      <c r="D99" s="125"/>
      <c r="E99" s="125"/>
      <c r="F99" s="125"/>
      <c r="G99" s="125"/>
      <c r="H99" s="125"/>
      <c r="I99" s="125"/>
      <c r="J99" s="125"/>
      <c r="K99" s="125"/>
      <c r="L99" s="125"/>
      <c r="M99" s="125"/>
      <c r="N99" s="125"/>
      <c r="O99" s="125"/>
    </row>
    <row r="100" spans="1:16" ht="63.75" outlineLevel="2">
      <c r="A100" s="106">
        <f>COUNTA($C$22:C100)</f>
        <v>67</v>
      </c>
      <c r="B100" s="107" t="str">
        <f>"TM_DEF_"&amp;$P100&amp;"_"&amp;TEXT(COUNTIF($P$22:$P100,$P100),"000")</f>
        <v>TM_DEF_EDT_001</v>
      </c>
      <c r="C100" s="107" t="s">
        <v>355</v>
      </c>
      <c r="D100" s="107" t="s">
        <v>356</v>
      </c>
      <c r="E100" s="107" t="s">
        <v>357</v>
      </c>
      <c r="F100" s="107"/>
      <c r="G100" s="107" t="s">
        <v>358</v>
      </c>
      <c r="H100" s="106" t="s">
        <v>46</v>
      </c>
      <c r="I100" s="106" t="s">
        <v>71</v>
      </c>
      <c r="J100" s="106" t="s">
        <v>95</v>
      </c>
      <c r="K100" s="106" t="s">
        <v>54</v>
      </c>
      <c r="L100" s="106" t="s">
        <v>54</v>
      </c>
      <c r="M100" s="106" t="s">
        <v>54</v>
      </c>
      <c r="N100" s="107"/>
      <c r="O100" s="107"/>
      <c r="P100" t="s">
        <v>359</v>
      </c>
    </row>
    <row r="101" spans="1:16" ht="14.25" customHeight="1" outlineLevel="1">
      <c r="A101" s="125" t="s">
        <v>360</v>
      </c>
      <c r="B101" s="125"/>
      <c r="C101" s="125"/>
      <c r="D101" s="125"/>
      <c r="E101" s="125"/>
      <c r="F101" s="125"/>
      <c r="G101" s="125"/>
      <c r="H101" s="125"/>
      <c r="I101" s="125"/>
      <c r="J101" s="125"/>
      <c r="K101" s="125"/>
      <c r="L101" s="125"/>
      <c r="M101" s="125"/>
      <c r="N101" s="125"/>
      <c r="O101" s="125"/>
    </row>
    <row r="102" spans="1:16" ht="63.75" outlineLevel="2">
      <c r="A102" s="106">
        <f>COUNTA($C$22:C102)</f>
        <v>68</v>
      </c>
      <c r="B102" s="107" t="str">
        <f>"TM_DEF_"&amp;$P102&amp;"_"&amp;TEXT(COUNTIF($P$22:$P102,$P102),"000")</f>
        <v>TM_DEF_EDT_002</v>
      </c>
      <c r="C102" s="107" t="s">
        <v>361</v>
      </c>
      <c r="D102" s="107" t="s">
        <v>356</v>
      </c>
      <c r="E102" s="107" t="s">
        <v>362</v>
      </c>
      <c r="F102" s="107"/>
      <c r="G102" s="107" t="s">
        <v>363</v>
      </c>
      <c r="H102" s="106" t="s">
        <v>46</v>
      </c>
      <c r="I102" s="106" t="s">
        <v>72</v>
      </c>
      <c r="J102" s="106" t="s">
        <v>95</v>
      </c>
      <c r="K102" s="106" t="s">
        <v>54</v>
      </c>
      <c r="L102" s="106" t="s">
        <v>54</v>
      </c>
      <c r="M102" s="106" t="s">
        <v>54</v>
      </c>
      <c r="N102" s="107"/>
      <c r="O102" s="107"/>
      <c r="P102" t="s">
        <v>359</v>
      </c>
    </row>
    <row r="103" spans="1:16" ht="63.75" outlineLevel="2">
      <c r="A103" s="106">
        <f>COUNTA($C$22:C103)</f>
        <v>69</v>
      </c>
      <c r="B103" s="107" t="str">
        <f>"TM_DEF_"&amp;$P103&amp;"_"&amp;TEXT(COUNTIF($P$22:$P103,$P103),"000")</f>
        <v>TM_DEF_EDT_003</v>
      </c>
      <c r="C103" s="107" t="s">
        <v>364</v>
      </c>
      <c r="D103" s="107" t="s">
        <v>356</v>
      </c>
      <c r="E103" s="107" t="s">
        <v>365</v>
      </c>
      <c r="F103" s="107"/>
      <c r="G103" s="107" t="s">
        <v>366</v>
      </c>
      <c r="H103" s="106" t="s">
        <v>46</v>
      </c>
      <c r="I103" s="106" t="s">
        <v>72</v>
      </c>
      <c r="J103" s="106" t="s">
        <v>95</v>
      </c>
      <c r="K103" s="106" t="s">
        <v>54</v>
      </c>
      <c r="L103" s="106" t="s">
        <v>54</v>
      </c>
      <c r="M103" s="106" t="s">
        <v>54</v>
      </c>
      <c r="N103" s="107"/>
      <c r="O103" s="107"/>
      <c r="P103" t="s">
        <v>359</v>
      </c>
    </row>
    <row r="104" spans="1:16" ht="89.25" outlineLevel="2">
      <c r="A104" s="106">
        <f>COUNTA($C$22:C104)</f>
        <v>70</v>
      </c>
      <c r="B104" s="107" t="str">
        <f>"TM_DEF_"&amp;$P104&amp;"_"&amp;TEXT(COUNTIF($P$22:$P104,$P104),"000")</f>
        <v>TM_DEF_EDT_004</v>
      </c>
      <c r="C104" s="107" t="s">
        <v>367</v>
      </c>
      <c r="D104" s="107" t="s">
        <v>356</v>
      </c>
      <c r="E104" s="107" t="s">
        <v>368</v>
      </c>
      <c r="F104" s="107" t="s">
        <v>229</v>
      </c>
      <c r="G104" s="107" t="s">
        <v>307</v>
      </c>
      <c r="H104" s="106" t="s">
        <v>46</v>
      </c>
      <c r="I104" s="106" t="s">
        <v>71</v>
      </c>
      <c r="J104" s="106" t="s">
        <v>95</v>
      </c>
      <c r="K104" s="106" t="s">
        <v>54</v>
      </c>
      <c r="L104" s="106" t="s">
        <v>54</v>
      </c>
      <c r="M104" s="106" t="s">
        <v>54</v>
      </c>
      <c r="N104" s="107"/>
      <c r="O104" s="107"/>
      <c r="P104" t="s">
        <v>359</v>
      </c>
    </row>
    <row r="105" spans="1:16" ht="89.25" outlineLevel="2">
      <c r="A105" s="106">
        <f>COUNTA($C$22:C105)</f>
        <v>71</v>
      </c>
      <c r="B105" s="107" t="str">
        <f>"TM_DEF_"&amp;$P105&amp;"_"&amp;TEXT(COUNTIF($P$22:$P105,$P105),"000")</f>
        <v>TM_DEF_EDT_005</v>
      </c>
      <c r="C105" s="107" t="s">
        <v>369</v>
      </c>
      <c r="D105" s="107" t="s">
        <v>356</v>
      </c>
      <c r="E105" s="107" t="s">
        <v>370</v>
      </c>
      <c r="F105" s="107" t="s">
        <v>233</v>
      </c>
      <c r="G105" s="107" t="s">
        <v>310</v>
      </c>
      <c r="H105" s="106" t="s">
        <v>46</v>
      </c>
      <c r="I105" s="106" t="s">
        <v>72</v>
      </c>
      <c r="J105" s="106" t="s">
        <v>95</v>
      </c>
      <c r="K105" s="106" t="s">
        <v>54</v>
      </c>
      <c r="L105" s="106" t="s">
        <v>54</v>
      </c>
      <c r="M105" s="106" t="s">
        <v>54</v>
      </c>
      <c r="N105" s="107"/>
      <c r="O105" s="107"/>
      <c r="P105" t="s">
        <v>359</v>
      </c>
    </row>
    <row r="106" spans="1:16" ht="89.25" outlineLevel="2">
      <c r="A106" s="106">
        <f>COUNTA($C$22:C106)</f>
        <v>72</v>
      </c>
      <c r="B106" s="107" t="str">
        <f>"TM_DEF_"&amp;$P106&amp;"_"&amp;TEXT(COUNTIF($P$22:$P106,$P106),"000")</f>
        <v>TM_DEF_EDT_006</v>
      </c>
      <c r="C106" s="107" t="s">
        <v>371</v>
      </c>
      <c r="D106" s="107" t="s">
        <v>356</v>
      </c>
      <c r="E106" s="107" t="s">
        <v>372</v>
      </c>
      <c r="F106" s="107" t="s">
        <v>237</v>
      </c>
      <c r="G106" s="107" t="s">
        <v>313</v>
      </c>
      <c r="H106" s="106" t="s">
        <v>46</v>
      </c>
      <c r="I106" s="106" t="s">
        <v>72</v>
      </c>
      <c r="J106" s="106" t="s">
        <v>95</v>
      </c>
      <c r="K106" s="106" t="s">
        <v>54</v>
      </c>
      <c r="L106" s="106" t="s">
        <v>54</v>
      </c>
      <c r="M106" s="106" t="s">
        <v>54</v>
      </c>
      <c r="N106" s="107"/>
      <c r="O106" s="107"/>
      <c r="P106" t="s">
        <v>359</v>
      </c>
    </row>
    <row r="107" spans="1:16" ht="89.25" outlineLevel="2">
      <c r="A107" s="106">
        <f>COUNTA($C$22:C107)</f>
        <v>73</v>
      </c>
      <c r="B107" s="107" t="str">
        <f>"TM_DEF_"&amp;$P107&amp;"_"&amp;TEXT(COUNTIF($P$22:$P107,$P107),"000")</f>
        <v>TM_DEF_EDT_007</v>
      </c>
      <c r="C107" s="107" t="s">
        <v>373</v>
      </c>
      <c r="D107" s="107" t="s">
        <v>356</v>
      </c>
      <c r="E107" s="107" t="s">
        <v>374</v>
      </c>
      <c r="F107" s="107" t="s">
        <v>241</v>
      </c>
      <c r="G107" s="107" t="s">
        <v>316</v>
      </c>
      <c r="H107" s="106" t="s">
        <v>46</v>
      </c>
      <c r="I107" s="106" t="s">
        <v>71</v>
      </c>
      <c r="J107" s="106" t="s">
        <v>95</v>
      </c>
      <c r="K107" s="106" t="s">
        <v>54</v>
      </c>
      <c r="L107" s="106" t="s">
        <v>54</v>
      </c>
      <c r="M107" s="106" t="s">
        <v>54</v>
      </c>
      <c r="N107" s="107"/>
      <c r="O107" s="107"/>
      <c r="P107" t="s">
        <v>359</v>
      </c>
    </row>
    <row r="108" spans="1:16" ht="89.25" outlineLevel="2">
      <c r="A108" s="106">
        <f>COUNTA($C$22:C108)</f>
        <v>74</v>
      </c>
      <c r="B108" s="107" t="str">
        <f>"TM_DEF_"&amp;$P108&amp;"_"&amp;TEXT(COUNTIF($P$22:$P108,$P108),"000")</f>
        <v>TM_DEF_EDT_008</v>
      </c>
      <c r="C108" s="107" t="s">
        <v>375</v>
      </c>
      <c r="D108" s="107" t="s">
        <v>356</v>
      </c>
      <c r="E108" s="107" t="s">
        <v>376</v>
      </c>
      <c r="F108" s="107" t="s">
        <v>261</v>
      </c>
      <c r="G108" s="107" t="s">
        <v>319</v>
      </c>
      <c r="H108" s="106" t="s">
        <v>46</v>
      </c>
      <c r="I108" s="106" t="s">
        <v>73</v>
      </c>
      <c r="J108" s="106" t="s">
        <v>95</v>
      </c>
      <c r="K108" s="106" t="s">
        <v>54</v>
      </c>
      <c r="L108" s="106" t="s">
        <v>54</v>
      </c>
      <c r="M108" s="106" t="s">
        <v>54</v>
      </c>
      <c r="N108" s="107"/>
      <c r="O108" s="107"/>
      <c r="P108" t="s">
        <v>359</v>
      </c>
    </row>
    <row r="109" spans="1:16" ht="102" outlineLevel="2">
      <c r="A109" s="106">
        <f>COUNTA($C$22:C109)</f>
        <v>75</v>
      </c>
      <c r="B109" s="107" t="str">
        <f>"TM_DEF_"&amp;$P109&amp;"_"&amp;TEXT(COUNTIF($P$22:$P109,$P109),"000")</f>
        <v>TM_DEF_EDT_009</v>
      </c>
      <c r="C109" s="107" t="s">
        <v>377</v>
      </c>
      <c r="D109" s="107" t="s">
        <v>378</v>
      </c>
      <c r="E109" s="107" t="s">
        <v>379</v>
      </c>
      <c r="F109" s="107" t="s">
        <v>380</v>
      </c>
      <c r="G109" s="107" t="s">
        <v>381</v>
      </c>
      <c r="H109" s="106" t="s">
        <v>46</v>
      </c>
      <c r="I109" s="106" t="s">
        <v>71</v>
      </c>
      <c r="J109" s="106" t="s">
        <v>95</v>
      </c>
      <c r="K109" s="106" t="s">
        <v>54</v>
      </c>
      <c r="L109" s="106" t="s">
        <v>54</v>
      </c>
      <c r="M109" s="106" t="s">
        <v>54</v>
      </c>
      <c r="N109" s="107"/>
      <c r="O109" s="107"/>
      <c r="P109" t="s">
        <v>359</v>
      </c>
    </row>
    <row r="110" spans="1:16" ht="14.25" customHeight="1" outlineLevel="1">
      <c r="A110" s="125" t="s">
        <v>382</v>
      </c>
      <c r="B110" s="125"/>
      <c r="C110" s="125"/>
      <c r="D110" s="125"/>
      <c r="E110" s="125"/>
      <c r="F110" s="125"/>
      <c r="G110" s="125"/>
      <c r="H110" s="125"/>
      <c r="I110" s="125"/>
      <c r="J110" s="125"/>
      <c r="K110" s="125"/>
      <c r="L110" s="125"/>
      <c r="M110" s="125"/>
      <c r="N110" s="125"/>
      <c r="O110" s="125"/>
    </row>
    <row r="111" spans="1:16" ht="89.25" outlineLevel="2">
      <c r="A111" s="106">
        <f>COUNTA($C$22:C111)</f>
        <v>76</v>
      </c>
      <c r="B111" s="107" t="str">
        <f>"TM_DEF_"&amp;$P111&amp;"_"&amp;TEXT(COUNTIF($P$22:$P111,$P111),"000")</f>
        <v>TM_DEF_EDT_010</v>
      </c>
      <c r="C111" s="107" t="s">
        <v>383</v>
      </c>
      <c r="D111" s="107" t="s">
        <v>356</v>
      </c>
      <c r="E111" s="107" t="s">
        <v>384</v>
      </c>
      <c r="F111" s="107" t="s">
        <v>385</v>
      </c>
      <c r="G111" s="107" t="s">
        <v>386</v>
      </c>
      <c r="H111" s="106" t="s">
        <v>46</v>
      </c>
      <c r="I111" s="106" t="s">
        <v>71</v>
      </c>
      <c r="J111" s="106" t="s">
        <v>95</v>
      </c>
      <c r="K111" s="106" t="s">
        <v>54</v>
      </c>
      <c r="L111" s="106" t="s">
        <v>54</v>
      </c>
      <c r="M111" s="106" t="s">
        <v>54</v>
      </c>
      <c r="N111" s="107"/>
      <c r="O111" s="107"/>
      <c r="P111" t="s">
        <v>359</v>
      </c>
    </row>
    <row r="112" spans="1:16" ht="76.5" outlineLevel="2">
      <c r="A112" s="106">
        <f>COUNTA($C$22:C112)</f>
        <v>77</v>
      </c>
      <c r="B112" s="107" t="str">
        <f>"TM_DEF_"&amp;$P112&amp;"_"&amp;TEXT(COUNTIF($P$22:$P112,$P112),"000")</f>
        <v>TM_DEF_EDT_011</v>
      </c>
      <c r="C112" s="107" t="s">
        <v>387</v>
      </c>
      <c r="D112" s="107" t="s">
        <v>356</v>
      </c>
      <c r="E112" s="107" t="s">
        <v>388</v>
      </c>
      <c r="F112" s="107"/>
      <c r="G112" s="107" t="s">
        <v>389</v>
      </c>
      <c r="H112" s="106" t="s">
        <v>46</v>
      </c>
      <c r="I112" s="106" t="s">
        <v>73</v>
      </c>
      <c r="J112" s="106" t="s">
        <v>95</v>
      </c>
      <c r="K112" s="106" t="s">
        <v>54</v>
      </c>
      <c r="L112" s="106" t="s">
        <v>54</v>
      </c>
      <c r="M112" s="106" t="s">
        <v>54</v>
      </c>
      <c r="N112" s="107"/>
      <c r="O112" s="107"/>
      <c r="P112" t="s">
        <v>359</v>
      </c>
    </row>
    <row r="113" spans="1:16" ht="14.25" customHeight="1">
      <c r="A113" s="124" t="s">
        <v>390</v>
      </c>
      <c r="B113" s="124"/>
      <c r="C113" s="124"/>
      <c r="D113" s="124"/>
      <c r="E113" s="124"/>
      <c r="F113" s="124"/>
      <c r="G113" s="124"/>
      <c r="H113" s="124"/>
      <c r="I113" s="124"/>
      <c r="J113" s="124"/>
      <c r="K113" s="124"/>
      <c r="L113" s="124"/>
      <c r="M113" s="124"/>
      <c r="N113" s="124"/>
      <c r="O113" s="124"/>
    </row>
    <row r="114" spans="1:16" ht="76.5" outlineLevel="2">
      <c r="A114" s="106">
        <f>COUNTA($C$22:C114)</f>
        <v>78</v>
      </c>
      <c r="B114" s="107" t="str">
        <f>"TM_DEF_"&amp;$P114&amp;"_"&amp;TEXT(COUNTIF($P$22:$P114,$P114),"000")</f>
        <v>TM_DEF_DEL_001</v>
      </c>
      <c r="C114" s="107" t="s">
        <v>391</v>
      </c>
      <c r="D114" s="107" t="s">
        <v>392</v>
      </c>
      <c r="E114" s="107" t="s">
        <v>393</v>
      </c>
      <c r="F114" s="107" t="s">
        <v>394</v>
      </c>
      <c r="G114" s="107" t="s">
        <v>395</v>
      </c>
      <c r="H114" s="106" t="s">
        <v>46</v>
      </c>
      <c r="I114" s="106" t="s">
        <v>71</v>
      </c>
      <c r="J114" s="106" t="s">
        <v>95</v>
      </c>
      <c r="K114" s="106" t="s">
        <v>54</v>
      </c>
      <c r="L114" s="106" t="s">
        <v>54</v>
      </c>
      <c r="M114" s="106" t="s">
        <v>54</v>
      </c>
      <c r="N114" s="107"/>
      <c r="O114" s="107"/>
      <c r="P114" t="s">
        <v>396</v>
      </c>
    </row>
    <row r="115" spans="1:16" ht="76.5" outlineLevel="2">
      <c r="A115" s="106">
        <f>COUNTA($C$22:C115)</f>
        <v>79</v>
      </c>
      <c r="B115" s="107" t="str">
        <f>"TM_DEF_"&amp;$P115&amp;"_"&amp;TEXT(COUNTIF($P$22:$P115,$P115),"000")</f>
        <v>TM_DEF_DEL_002</v>
      </c>
      <c r="C115" s="107" t="s">
        <v>397</v>
      </c>
      <c r="D115" s="107" t="s">
        <v>398</v>
      </c>
      <c r="E115" s="107" t="s">
        <v>399</v>
      </c>
      <c r="F115" s="107" t="s">
        <v>400</v>
      </c>
      <c r="G115" s="107" t="s">
        <v>401</v>
      </c>
      <c r="H115" s="106" t="s">
        <v>46</v>
      </c>
      <c r="I115" s="106" t="s">
        <v>71</v>
      </c>
      <c r="J115" s="106" t="s">
        <v>95</v>
      </c>
      <c r="K115" s="106" t="s">
        <v>54</v>
      </c>
      <c r="L115" s="106" t="s">
        <v>54</v>
      </c>
      <c r="M115" s="106" t="s">
        <v>54</v>
      </c>
      <c r="N115" s="107"/>
      <c r="O115" s="107"/>
      <c r="P115" t="s">
        <v>396</v>
      </c>
    </row>
    <row r="116" spans="1:16" ht="63.75" outlineLevel="2">
      <c r="A116" s="106">
        <f>COUNTA($C$22:C116)</f>
        <v>80</v>
      </c>
      <c r="B116" s="107" t="str">
        <f>"TM_DEF_"&amp;$P116&amp;"_"&amp;TEXT(COUNTIF($P$22:$P116,$P116),"000")</f>
        <v>TM_DEF_DEL_003</v>
      </c>
      <c r="C116" s="107" t="s">
        <v>402</v>
      </c>
      <c r="D116" s="107" t="s">
        <v>403</v>
      </c>
      <c r="E116" s="107" t="s">
        <v>404</v>
      </c>
      <c r="F116" s="107" t="s">
        <v>405</v>
      </c>
      <c r="G116" s="107" t="s">
        <v>406</v>
      </c>
      <c r="H116" s="106" t="s">
        <v>46</v>
      </c>
      <c r="I116" s="106" t="s">
        <v>72</v>
      </c>
      <c r="J116" s="106" t="s">
        <v>95</v>
      </c>
      <c r="K116" s="106" t="s">
        <v>54</v>
      </c>
      <c r="L116" s="106" t="s">
        <v>54</v>
      </c>
      <c r="M116" s="106" t="s">
        <v>54</v>
      </c>
      <c r="N116" s="107"/>
      <c r="O116" s="107"/>
      <c r="P116" t="s">
        <v>396</v>
      </c>
    </row>
    <row r="117" spans="1:16" ht="63.75" outlineLevel="2">
      <c r="A117" s="106">
        <f>COUNTA($C$22:C117)</f>
        <v>81</v>
      </c>
      <c r="B117" s="107" t="str">
        <f>"TM_DEF_"&amp;$P117&amp;"_"&amp;TEXT(COUNTIF($P$22:$P117,$P117),"000")</f>
        <v>TM_DEF_DEL_004</v>
      </c>
      <c r="C117" s="107" t="s">
        <v>407</v>
      </c>
      <c r="D117" s="107" t="s">
        <v>356</v>
      </c>
      <c r="E117" s="107" t="s">
        <v>408</v>
      </c>
      <c r="F117" s="107"/>
      <c r="G117" s="107" t="s">
        <v>409</v>
      </c>
      <c r="H117" s="106" t="s">
        <v>46</v>
      </c>
      <c r="I117" s="106" t="s">
        <v>73</v>
      </c>
      <c r="J117" s="106" t="s">
        <v>95</v>
      </c>
      <c r="K117" s="106" t="s">
        <v>54</v>
      </c>
      <c r="L117" s="106" t="s">
        <v>54</v>
      </c>
      <c r="M117" s="106" t="s">
        <v>54</v>
      </c>
      <c r="N117" s="107"/>
      <c r="O117" s="107"/>
      <c r="P117" t="s">
        <v>396</v>
      </c>
    </row>
    <row r="118" spans="1:16" ht="63.75" outlineLevel="2">
      <c r="A118" s="106">
        <f>COUNTA($C$22:C118)</f>
        <v>82</v>
      </c>
      <c r="B118" s="107" t="str">
        <f>"TM_DEF_"&amp;$P118&amp;"_"&amp;TEXT(COUNTIF($P$22:$P118,$P118),"000")</f>
        <v>TM_DEF_DEL_005</v>
      </c>
      <c r="C118" s="107" t="s">
        <v>410</v>
      </c>
      <c r="D118" s="107" t="s">
        <v>356</v>
      </c>
      <c r="E118" s="107" t="s">
        <v>411</v>
      </c>
      <c r="F118" s="107"/>
      <c r="G118" s="107" t="s">
        <v>412</v>
      </c>
      <c r="H118" s="106" t="s">
        <v>46</v>
      </c>
      <c r="I118" s="106" t="s">
        <v>72</v>
      </c>
      <c r="J118" s="106" t="s">
        <v>95</v>
      </c>
      <c r="K118" s="106" t="s">
        <v>54</v>
      </c>
      <c r="L118" s="106" t="s">
        <v>54</v>
      </c>
      <c r="M118" s="106" t="s">
        <v>54</v>
      </c>
      <c r="N118" s="107"/>
      <c r="O118" s="107"/>
      <c r="P118" t="s">
        <v>396</v>
      </c>
    </row>
    <row r="119" spans="1:16" ht="89.25" outlineLevel="2">
      <c r="A119" s="106">
        <f>COUNTA($C$22:C119)</f>
        <v>83</v>
      </c>
      <c r="B119" s="107" t="str">
        <f>"TM_DEF_"&amp;$P119&amp;"_"&amp;TEXT(COUNTIF($P$22:$P119,$P119),"000")</f>
        <v>TM_DEF_DEL_006</v>
      </c>
      <c r="C119" s="107" t="s">
        <v>413</v>
      </c>
      <c r="D119" s="107" t="s">
        <v>414</v>
      </c>
      <c r="E119" s="107" t="s">
        <v>415</v>
      </c>
      <c r="F119" s="107" t="s">
        <v>416</v>
      </c>
      <c r="G119" s="107" t="s">
        <v>417</v>
      </c>
      <c r="H119" s="106" t="s">
        <v>46</v>
      </c>
      <c r="I119" s="106" t="s">
        <v>72</v>
      </c>
      <c r="J119" s="106" t="s">
        <v>95</v>
      </c>
      <c r="K119" s="106" t="s">
        <v>54</v>
      </c>
      <c r="L119" s="106" t="s">
        <v>54</v>
      </c>
      <c r="M119" s="106" t="s">
        <v>54</v>
      </c>
      <c r="N119" s="107"/>
      <c r="O119" s="107"/>
      <c r="P119" t="s">
        <v>396</v>
      </c>
    </row>
    <row r="120" spans="1:16" ht="14.25" customHeight="1">
      <c r="A120" s="124" t="s">
        <v>418</v>
      </c>
      <c r="B120" s="124"/>
      <c r="C120" s="124"/>
      <c r="D120" s="124"/>
      <c r="E120" s="124"/>
      <c r="F120" s="124"/>
      <c r="G120" s="124"/>
      <c r="H120" s="124"/>
      <c r="I120" s="124"/>
      <c r="J120" s="124"/>
      <c r="K120" s="124"/>
      <c r="L120" s="124"/>
      <c r="M120" s="124"/>
      <c r="N120" s="124"/>
      <c r="O120" s="124"/>
    </row>
    <row r="121" spans="1:16" ht="114.75" outlineLevel="2">
      <c r="A121" s="106">
        <f>COUNTA($C$22:C121)</f>
        <v>84</v>
      </c>
      <c r="B121" s="107" t="str">
        <f>"TM_DEF_"&amp;$P121&amp;"_"&amp;TEXT(COUNTIF($P$22:$P121,$P121),"000")</f>
        <v>TM_DEF_APR_001</v>
      </c>
      <c r="C121" s="107" t="s">
        <v>419</v>
      </c>
      <c r="D121" s="107" t="s">
        <v>420</v>
      </c>
      <c r="E121" s="107" t="s">
        <v>421</v>
      </c>
      <c r="F121" s="107" t="s">
        <v>394</v>
      </c>
      <c r="G121" s="107" t="s">
        <v>422</v>
      </c>
      <c r="H121" s="106" t="s">
        <v>46</v>
      </c>
      <c r="I121" s="106" t="s">
        <v>71</v>
      </c>
      <c r="J121" s="106" t="s">
        <v>95</v>
      </c>
      <c r="K121" s="106" t="s">
        <v>54</v>
      </c>
      <c r="L121" s="106" t="s">
        <v>54</v>
      </c>
      <c r="M121" s="106" t="s">
        <v>54</v>
      </c>
      <c r="N121" s="107"/>
      <c r="O121" s="107"/>
      <c r="P121" t="s">
        <v>423</v>
      </c>
    </row>
    <row r="122" spans="1:16" ht="76.5" outlineLevel="2">
      <c r="A122" s="106">
        <f>COUNTA($C$22:C122)</f>
        <v>85</v>
      </c>
      <c r="B122" s="107" t="str">
        <f>"TM_DEF_"&amp;$P122&amp;"_"&amp;TEXT(COUNTIF($P$22:$P122,$P122),"000")</f>
        <v>TM_DEF_APR_002</v>
      </c>
      <c r="C122" s="107" t="s">
        <v>424</v>
      </c>
      <c r="D122" s="107" t="s">
        <v>420</v>
      </c>
      <c r="E122" s="107" t="s">
        <v>425</v>
      </c>
      <c r="F122" s="107"/>
      <c r="G122" s="107" t="s">
        <v>426</v>
      </c>
      <c r="H122" s="106" t="s">
        <v>46</v>
      </c>
      <c r="I122" s="106" t="s">
        <v>71</v>
      </c>
      <c r="J122" s="106" t="s">
        <v>95</v>
      </c>
      <c r="K122" s="106" t="s">
        <v>54</v>
      </c>
      <c r="L122" s="106" t="s">
        <v>54</v>
      </c>
      <c r="M122" s="106" t="s">
        <v>54</v>
      </c>
      <c r="N122" s="107"/>
      <c r="O122" s="107"/>
      <c r="P122" t="s">
        <v>423</v>
      </c>
    </row>
    <row r="123" spans="1:16" ht="89.25" outlineLevel="2">
      <c r="A123" s="106">
        <f>COUNTA($C$22:C123)</f>
        <v>86</v>
      </c>
      <c r="B123" s="107" t="str">
        <f>"TM_DEF_"&amp;$P123&amp;"_"&amp;TEXT(COUNTIF($P$22:$P123,$P123),"000")</f>
        <v>TM_DEF_APR_003</v>
      </c>
      <c r="C123" s="107" t="s">
        <v>427</v>
      </c>
      <c r="D123" s="107" t="s">
        <v>420</v>
      </c>
      <c r="E123" s="107" t="s">
        <v>428</v>
      </c>
      <c r="F123" s="107" t="s">
        <v>394</v>
      </c>
      <c r="G123" s="107" t="s">
        <v>429</v>
      </c>
      <c r="H123" s="106" t="s">
        <v>46</v>
      </c>
      <c r="I123" s="106" t="s">
        <v>72</v>
      </c>
      <c r="J123" s="106" t="s">
        <v>95</v>
      </c>
      <c r="K123" s="106" t="s">
        <v>54</v>
      </c>
      <c r="L123" s="106" t="s">
        <v>54</v>
      </c>
      <c r="M123" s="106" t="s">
        <v>54</v>
      </c>
      <c r="N123" s="107"/>
      <c r="O123" s="107"/>
      <c r="P123" t="s">
        <v>423</v>
      </c>
    </row>
    <row r="124" spans="1:16" ht="63.75" outlineLevel="2">
      <c r="A124" s="106">
        <f>COUNTA($C$22:C124)</f>
        <v>87</v>
      </c>
      <c r="B124" s="107" t="str">
        <f>"TM_DEF_"&amp;$P124&amp;"_"&amp;TEXT(COUNTIF($P$22:$P124,$P124),"000")</f>
        <v>TM_DEF_APR_004</v>
      </c>
      <c r="C124" s="107" t="s">
        <v>430</v>
      </c>
      <c r="D124" s="107" t="s">
        <v>431</v>
      </c>
      <c r="E124" s="107" t="s">
        <v>432</v>
      </c>
      <c r="F124" s="107"/>
      <c r="G124" s="107" t="s">
        <v>433</v>
      </c>
      <c r="H124" s="106" t="s">
        <v>46</v>
      </c>
      <c r="I124" s="106" t="s">
        <v>72</v>
      </c>
      <c r="J124" s="106" t="s">
        <v>95</v>
      </c>
      <c r="K124" s="106" t="s">
        <v>54</v>
      </c>
      <c r="L124" s="106" t="s">
        <v>54</v>
      </c>
      <c r="M124" s="106" t="s">
        <v>54</v>
      </c>
      <c r="N124" s="107"/>
      <c r="O124" s="107"/>
      <c r="P124" t="s">
        <v>423</v>
      </c>
    </row>
    <row r="125" spans="1:16" ht="89.25" outlineLevel="2">
      <c r="A125" s="106">
        <f>COUNTA($C$22:C125)</f>
        <v>88</v>
      </c>
      <c r="B125" s="107" t="str">
        <f>"TM_DEF_"&amp;$P125&amp;"_"&amp;TEXT(COUNTIF($P$22:$P125,$P125),"000")</f>
        <v>TM_DEF_APR_005</v>
      </c>
      <c r="C125" s="107" t="s">
        <v>434</v>
      </c>
      <c r="D125" s="107" t="s">
        <v>435</v>
      </c>
      <c r="E125" s="107" t="s">
        <v>436</v>
      </c>
      <c r="F125" s="107"/>
      <c r="G125" s="107" t="s">
        <v>437</v>
      </c>
      <c r="H125" s="106" t="s">
        <v>46</v>
      </c>
      <c r="I125" s="106" t="s">
        <v>72</v>
      </c>
      <c r="J125" s="106" t="s">
        <v>95</v>
      </c>
      <c r="K125" s="106" t="s">
        <v>54</v>
      </c>
      <c r="L125" s="106" t="s">
        <v>54</v>
      </c>
      <c r="M125" s="106" t="s">
        <v>54</v>
      </c>
      <c r="N125" s="107"/>
      <c r="O125" s="107"/>
      <c r="P125" t="s">
        <v>423</v>
      </c>
    </row>
    <row r="126" spans="1:16" ht="63.75" outlineLevel="2">
      <c r="A126" s="106">
        <f>COUNTA($C$22:C126)</f>
        <v>89</v>
      </c>
      <c r="B126" s="107" t="str">
        <f>"TM_DEF_"&amp;$P126&amp;"_"&amp;TEXT(COUNTIF($P$22:$P126,$P126),"000")</f>
        <v>TM_DEF_APR_006</v>
      </c>
      <c r="C126" s="107" t="s">
        <v>438</v>
      </c>
      <c r="D126" s="107" t="s">
        <v>439</v>
      </c>
      <c r="E126" s="107" t="s">
        <v>440</v>
      </c>
      <c r="F126" s="107"/>
      <c r="G126" s="107" t="s">
        <v>441</v>
      </c>
      <c r="H126" s="106" t="s">
        <v>46</v>
      </c>
      <c r="I126" s="106" t="s">
        <v>73</v>
      </c>
      <c r="J126" s="106" t="s">
        <v>95</v>
      </c>
      <c r="K126" s="106" t="s">
        <v>54</v>
      </c>
      <c r="L126" s="106" t="s">
        <v>54</v>
      </c>
      <c r="M126" s="106" t="s">
        <v>54</v>
      </c>
      <c r="N126" s="107"/>
      <c r="O126" s="107"/>
      <c r="P126" t="s">
        <v>423</v>
      </c>
    </row>
    <row r="127" spans="1:16" ht="76.5" outlineLevel="2">
      <c r="A127" s="106">
        <f>COUNTA($C$22:C127)</f>
        <v>90</v>
      </c>
      <c r="B127" s="107" t="str">
        <f>"TM_DEF_"&amp;$P127&amp;"_"&amp;TEXT(COUNTIF($P$22:$P127,$P127),"000")</f>
        <v>TM_DEF_APR_007</v>
      </c>
      <c r="C127" s="107" t="s">
        <v>442</v>
      </c>
      <c r="D127" s="107" t="s">
        <v>443</v>
      </c>
      <c r="E127" s="107" t="s">
        <v>444</v>
      </c>
      <c r="F127" s="107"/>
      <c r="G127" s="107" t="s">
        <v>445</v>
      </c>
      <c r="H127" s="106" t="s">
        <v>46</v>
      </c>
      <c r="I127" s="106" t="s">
        <v>72</v>
      </c>
      <c r="J127" s="106" t="s">
        <v>95</v>
      </c>
      <c r="K127" s="106" t="s">
        <v>54</v>
      </c>
      <c r="L127" s="106" t="s">
        <v>54</v>
      </c>
      <c r="M127" s="106" t="s">
        <v>54</v>
      </c>
      <c r="N127" s="107"/>
      <c r="O127" s="107"/>
      <c r="P127" t="s">
        <v>423</v>
      </c>
    </row>
    <row r="128" spans="1:16" ht="14.25" customHeight="1">
      <c r="A128" s="124" t="s">
        <v>446</v>
      </c>
      <c r="B128" s="124"/>
      <c r="C128" s="124"/>
      <c r="D128" s="124"/>
      <c r="E128" s="124"/>
      <c r="F128" s="124"/>
      <c r="G128" s="124"/>
      <c r="H128" s="124"/>
      <c r="I128" s="124"/>
      <c r="J128" s="124"/>
      <c r="K128" s="124"/>
      <c r="L128" s="124"/>
      <c r="M128" s="124"/>
      <c r="N128" s="124"/>
      <c r="O128" s="124"/>
    </row>
    <row r="129" spans="1:16" ht="63.75" outlineLevel="2">
      <c r="A129" s="106">
        <f>COUNTA($C$22:C129)</f>
        <v>91</v>
      </c>
      <c r="B129" s="107" t="str">
        <f>"TM_DEF_"&amp;$P129&amp;"_"&amp;TEXT(COUNTIF($P$22:$P129,$P129),"000")</f>
        <v>TM_DEF_EXP_001</v>
      </c>
      <c r="C129" s="107" t="s">
        <v>447</v>
      </c>
      <c r="D129" s="107" t="s">
        <v>448</v>
      </c>
      <c r="E129" s="107" t="s">
        <v>449</v>
      </c>
      <c r="F129" s="107"/>
      <c r="G129" s="107" t="s">
        <v>450</v>
      </c>
      <c r="H129" s="106" t="s">
        <v>46</v>
      </c>
      <c r="I129" s="106" t="s">
        <v>72</v>
      </c>
      <c r="J129" s="106" t="s">
        <v>95</v>
      </c>
      <c r="K129" s="106" t="s">
        <v>54</v>
      </c>
      <c r="L129" s="106" t="s">
        <v>54</v>
      </c>
      <c r="M129" s="106" t="s">
        <v>54</v>
      </c>
      <c r="N129" s="107"/>
      <c r="O129" s="107"/>
      <c r="P129" t="s">
        <v>451</v>
      </c>
    </row>
    <row r="130" spans="1:16" ht="63.75" outlineLevel="2">
      <c r="A130" s="106">
        <f>COUNTA($C$22:C130)</f>
        <v>92</v>
      </c>
      <c r="B130" s="107" t="str">
        <f>"TM_DEF_"&amp;$P130&amp;"_"&amp;TEXT(COUNTIF($P$22:$P130,$P130),"000")</f>
        <v>TM_DEF_EXP_002</v>
      </c>
      <c r="C130" s="107" t="s">
        <v>452</v>
      </c>
      <c r="D130" s="107" t="s">
        <v>108</v>
      </c>
      <c r="E130" s="107" t="s">
        <v>453</v>
      </c>
      <c r="F130" s="107" t="s">
        <v>343</v>
      </c>
      <c r="G130" s="107" t="s">
        <v>454</v>
      </c>
      <c r="H130" s="106" t="s">
        <v>46</v>
      </c>
      <c r="I130" s="106" t="s">
        <v>73</v>
      </c>
      <c r="J130" s="106" t="s">
        <v>95</v>
      </c>
      <c r="K130" s="106" t="s">
        <v>54</v>
      </c>
      <c r="L130" s="106" t="s">
        <v>54</v>
      </c>
      <c r="M130" s="106" t="s">
        <v>54</v>
      </c>
      <c r="N130" s="107"/>
      <c r="O130" s="107"/>
      <c r="P130" t="s">
        <v>451</v>
      </c>
    </row>
    <row r="131" spans="1:16" ht="14.25" customHeight="1">
      <c r="A131" s="124" t="s">
        <v>455</v>
      </c>
      <c r="B131" s="124"/>
      <c r="C131" s="124"/>
      <c r="D131" s="124"/>
      <c r="E131" s="124"/>
      <c r="F131" s="124"/>
      <c r="G131" s="124"/>
      <c r="H131" s="124"/>
      <c r="I131" s="124"/>
      <c r="J131" s="124"/>
      <c r="K131" s="124"/>
      <c r="L131" s="124"/>
      <c r="M131" s="124"/>
      <c r="N131" s="124"/>
      <c r="O131" s="124"/>
    </row>
    <row r="132" spans="1:16" ht="89.25" outlineLevel="2">
      <c r="A132" s="106">
        <f>COUNTA($C$22:C132)</f>
        <v>93</v>
      </c>
      <c r="B132" s="107" t="str">
        <f>"TM_DEF_"&amp;$P132&amp;"_"&amp;TEXT(COUNTIF($P$22:$P132,$P132),"000")</f>
        <v>TM_DEF_EML_001</v>
      </c>
      <c r="C132" s="107" t="s">
        <v>456</v>
      </c>
      <c r="D132" s="107" t="s">
        <v>457</v>
      </c>
      <c r="E132" s="107" t="s">
        <v>458</v>
      </c>
      <c r="F132" s="107"/>
      <c r="G132" s="107" t="s">
        <v>459</v>
      </c>
      <c r="H132" s="106" t="s">
        <v>46</v>
      </c>
      <c r="I132" s="106" t="s">
        <v>72</v>
      </c>
      <c r="J132" s="106" t="s">
        <v>95</v>
      </c>
      <c r="K132" s="106" t="s">
        <v>54</v>
      </c>
      <c r="L132" s="106" t="s">
        <v>54</v>
      </c>
      <c r="M132" s="106" t="s">
        <v>54</v>
      </c>
      <c r="N132" s="107"/>
      <c r="O132" s="107"/>
      <c r="P132" t="s">
        <v>460</v>
      </c>
    </row>
    <row r="133" spans="1:16" ht="76.5" outlineLevel="2">
      <c r="A133" s="106">
        <f>COUNTA($C$22:C133)</f>
        <v>94</v>
      </c>
      <c r="B133" s="107" t="str">
        <f>"TM_DEF_"&amp;$P133&amp;"_"&amp;TEXT(COUNTIF($P$22:$P133,$P133),"000")</f>
        <v>TM_DEF_EML_002</v>
      </c>
      <c r="C133" s="107" t="s">
        <v>461</v>
      </c>
      <c r="D133" s="107" t="s">
        <v>462</v>
      </c>
      <c r="E133" s="107" t="s">
        <v>463</v>
      </c>
      <c r="F133" s="107"/>
      <c r="G133" s="107" t="s">
        <v>464</v>
      </c>
      <c r="H133" s="106" t="s">
        <v>46</v>
      </c>
      <c r="I133" s="106" t="s">
        <v>72</v>
      </c>
      <c r="J133" s="106" t="s">
        <v>95</v>
      </c>
      <c r="K133" s="106" t="s">
        <v>54</v>
      </c>
      <c r="L133" s="106" t="s">
        <v>54</v>
      </c>
      <c r="M133" s="106" t="s">
        <v>54</v>
      </c>
      <c r="N133" s="107"/>
      <c r="O133" s="107"/>
      <c r="P133" t="s">
        <v>460</v>
      </c>
    </row>
    <row r="134" spans="1:16" ht="63.75" outlineLevel="2">
      <c r="A134" s="106">
        <f>COUNTA($C$22:C134)</f>
        <v>95</v>
      </c>
      <c r="B134" s="107" t="str">
        <f>"TM_DEF_"&amp;$P134&amp;"_"&amp;TEXT(COUNTIF($P$22:$P134,$P134),"000")</f>
        <v>TM_DEF_EML_003</v>
      </c>
      <c r="C134" s="107" t="s">
        <v>465</v>
      </c>
      <c r="D134" s="107" t="s">
        <v>466</v>
      </c>
      <c r="E134" s="107" t="s">
        <v>467</v>
      </c>
      <c r="F134" s="107"/>
      <c r="G134" s="107" t="s">
        <v>468</v>
      </c>
      <c r="H134" s="106" t="s">
        <v>46</v>
      </c>
      <c r="I134" s="106" t="s">
        <v>72</v>
      </c>
      <c r="J134" s="106" t="s">
        <v>95</v>
      </c>
      <c r="K134" s="106" t="s">
        <v>54</v>
      </c>
      <c r="L134" s="106" t="s">
        <v>54</v>
      </c>
      <c r="M134" s="106" t="s">
        <v>54</v>
      </c>
      <c r="N134" s="107"/>
      <c r="O134" s="107"/>
      <c r="P134" t="s">
        <v>460</v>
      </c>
    </row>
    <row r="135" spans="1:16" ht="14.25" customHeight="1">
      <c r="A135" s="124" t="s">
        <v>469</v>
      </c>
      <c r="B135" s="124"/>
      <c r="C135" s="124"/>
      <c r="D135" s="124"/>
      <c r="E135" s="124"/>
      <c r="F135" s="124"/>
      <c r="G135" s="124"/>
      <c r="H135" s="124"/>
      <c r="I135" s="124"/>
      <c r="J135" s="124"/>
      <c r="K135" s="124"/>
      <c r="L135" s="124"/>
      <c r="M135" s="124"/>
      <c r="N135" s="124"/>
      <c r="O135" s="124"/>
    </row>
    <row r="136" spans="1:16" ht="63.75" outlineLevel="2">
      <c r="A136" s="106">
        <f>COUNTA($C$22:C136)</f>
        <v>96</v>
      </c>
      <c r="B136" s="107" t="str">
        <f>"TM_DEF_"&amp;$P136&amp;"_"&amp;TEXT(COUNTIF($P$22:$P136,$P136),"000")</f>
        <v>TM_DEF_SCN_001</v>
      </c>
      <c r="C136" s="107" t="s">
        <v>470</v>
      </c>
      <c r="D136" s="107" t="s">
        <v>471</v>
      </c>
      <c r="E136" s="107" t="s">
        <v>472</v>
      </c>
      <c r="F136" s="107" t="s">
        <v>473</v>
      </c>
      <c r="G136" s="107" t="s">
        <v>474</v>
      </c>
      <c r="H136" s="106" t="s">
        <v>46</v>
      </c>
      <c r="I136" s="106" t="s">
        <v>71</v>
      </c>
      <c r="J136" s="106" t="s">
        <v>95</v>
      </c>
      <c r="K136" s="106" t="s">
        <v>54</v>
      </c>
      <c r="L136" s="106" t="s">
        <v>54</v>
      </c>
      <c r="M136" s="106" t="s">
        <v>54</v>
      </c>
      <c r="N136" s="107"/>
      <c r="O136" s="107"/>
      <c r="P136" t="s">
        <v>475</v>
      </c>
    </row>
    <row r="137" spans="1:16" ht="51" outlineLevel="2">
      <c r="A137" s="106">
        <f>COUNTA($C$22:C137)</f>
        <v>97</v>
      </c>
      <c r="B137" s="107" t="str">
        <f>"TM_DEF_"&amp;$P137&amp;"_"&amp;TEXT(COUNTIF($P$22:$P137,$P137),"000")</f>
        <v>TM_DEF_SCN_002</v>
      </c>
      <c r="C137" s="107" t="s">
        <v>476</v>
      </c>
      <c r="D137" s="107" t="s">
        <v>477</v>
      </c>
      <c r="E137" s="107" t="s">
        <v>478</v>
      </c>
      <c r="F137" s="107" t="s">
        <v>479</v>
      </c>
      <c r="G137" s="107" t="s">
        <v>480</v>
      </c>
      <c r="H137" s="106" t="s">
        <v>46</v>
      </c>
      <c r="I137" s="106" t="s">
        <v>71</v>
      </c>
      <c r="J137" s="106" t="s">
        <v>95</v>
      </c>
      <c r="K137" s="106" t="s">
        <v>54</v>
      </c>
      <c r="L137" s="106" t="s">
        <v>54</v>
      </c>
      <c r="M137" s="106" t="s">
        <v>54</v>
      </c>
      <c r="N137" s="107"/>
      <c r="O137" s="107"/>
      <c r="P137" t="s">
        <v>475</v>
      </c>
    </row>
    <row r="138" spans="1:16" ht="63.75" outlineLevel="2">
      <c r="A138" s="106">
        <f>COUNTA($C$22:C138)</f>
        <v>98</v>
      </c>
      <c r="B138" s="107" t="str">
        <f>"TM_DEF_"&amp;$P138&amp;"_"&amp;TEXT(COUNTIF($P$22:$P138,$P138),"000")</f>
        <v>TM_DEF_SCN_003</v>
      </c>
      <c r="C138" s="107" t="s">
        <v>481</v>
      </c>
      <c r="D138" s="107" t="s">
        <v>482</v>
      </c>
      <c r="E138" s="107" t="s">
        <v>483</v>
      </c>
      <c r="F138" s="107" t="s">
        <v>484</v>
      </c>
      <c r="G138" s="107" t="s">
        <v>485</v>
      </c>
      <c r="H138" s="106" t="s">
        <v>46</v>
      </c>
      <c r="I138" s="106" t="s">
        <v>71</v>
      </c>
      <c r="J138" s="106" t="s">
        <v>95</v>
      </c>
      <c r="K138" s="106" t="s">
        <v>54</v>
      </c>
      <c r="L138" s="106" t="s">
        <v>54</v>
      </c>
      <c r="M138" s="106" t="s">
        <v>54</v>
      </c>
      <c r="N138" s="107"/>
      <c r="O138" s="107"/>
      <c r="P138" t="s">
        <v>475</v>
      </c>
    </row>
    <row r="139" spans="1:16" ht="63.75" outlineLevel="2">
      <c r="A139" s="106">
        <f>COUNTA($C$22:C139)</f>
        <v>99</v>
      </c>
      <c r="B139" s="107" t="str">
        <f>"TM_DEF_"&amp;$P139&amp;"_"&amp;TEXT(COUNTIF($P$22:$P139,$P139),"000")</f>
        <v>TM_DEF_SCN_004</v>
      </c>
      <c r="C139" s="107" t="s">
        <v>486</v>
      </c>
      <c r="D139" s="107" t="s">
        <v>487</v>
      </c>
      <c r="E139" s="107" t="s">
        <v>488</v>
      </c>
      <c r="F139" s="107" t="s">
        <v>489</v>
      </c>
      <c r="G139" s="107" t="s">
        <v>490</v>
      </c>
      <c r="H139" s="106" t="s">
        <v>46</v>
      </c>
      <c r="I139" s="106" t="s">
        <v>72</v>
      </c>
      <c r="J139" s="106" t="s">
        <v>95</v>
      </c>
      <c r="K139" s="106" t="s">
        <v>54</v>
      </c>
      <c r="L139" s="106" t="s">
        <v>54</v>
      </c>
      <c r="M139" s="106" t="s">
        <v>54</v>
      </c>
      <c r="N139" s="107"/>
      <c r="O139" s="107"/>
      <c r="P139" t="s">
        <v>475</v>
      </c>
    </row>
  </sheetData>
  <autoFilter ref="A21:O21" xr:uid="{00000000-0009-0000-0000-000003000000}"/>
  <mergeCells count="19">
    <mergeCell ref="A120:O120"/>
    <mergeCell ref="A128:O128"/>
    <mergeCell ref="A131:O131"/>
    <mergeCell ref="A135:O135"/>
    <mergeCell ref="A98:O98"/>
    <mergeCell ref="A99:O99"/>
    <mergeCell ref="A101:O101"/>
    <mergeCell ref="A110:O110"/>
    <mergeCell ref="A113:O113"/>
    <mergeCell ref="A74:O74"/>
    <mergeCell ref="A77:O77"/>
    <mergeCell ref="A78:O78"/>
    <mergeCell ref="A80:O80"/>
    <mergeCell ref="A95:O95"/>
    <mergeCell ref="A22:O22"/>
    <mergeCell ref="A50:O50"/>
    <mergeCell ref="A51:O51"/>
    <mergeCell ref="A53:O53"/>
    <mergeCell ref="A71:O71"/>
  </mergeCells>
  <dataValidations count="4">
    <dataValidation type="list" allowBlank="1" sqref="I23:I139" xr:uid="{00000000-0002-0000-0300-000000000000}">
      <formula1>"High,Medium,Low"</formula1>
      <formula2>0</formula2>
    </dataValidation>
    <dataValidation type="list" allowBlank="1" sqref="J23:J139" xr:uid="{00000000-0002-0000-0300-000001000000}">
      <formula1>"Y,N"</formula1>
      <formula2>0</formula2>
    </dataValidation>
    <dataValidation type="list" allowBlank="1" sqref="K23:M139" xr:uid="{00000000-0002-0000-0300-000002000000}">
      <formula1>"Untested,Passed,Failed,Accepted,Pending,Cancel"</formula1>
      <formula2>0</formula2>
    </dataValidation>
    <dataValidation type="list" allowBlank="1" sqref="H23:H139" xr:uid="{00000000-0002-0000-0300-000003000000}">
      <formula1>"UT,SIT,OAT,ST,UAT"</formula1>
      <formula2>0</formula2>
    </dataValidation>
  </dataValidations>
  <pageMargins left="0.75" right="0.75" top="1" bottom="1" header="0.511811023622047" footer="0.511811023622047"/>
  <pageSetup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89"/>
  <sheetViews>
    <sheetView topLeftCell="A15" zoomScaleNormal="100" workbookViewId="0">
      <selection activeCell="F20" sqref="F20"/>
    </sheetView>
  </sheetViews>
  <sheetFormatPr defaultColWidth="8.7109375" defaultRowHeight="14.25"/>
  <cols>
    <col min="1" max="1" width="24.5703125" customWidth="1"/>
    <col min="2" max="2" width="75.28515625" customWidth="1"/>
  </cols>
  <sheetData>
    <row r="1" spans="1:2" ht="15" customHeight="1">
      <c r="A1" s="148" t="s">
        <v>491</v>
      </c>
      <c r="B1" s="148"/>
    </row>
    <row r="2" spans="1:2" ht="15" customHeight="1">
      <c r="A2" s="147" t="s">
        <v>492</v>
      </c>
      <c r="B2" s="147"/>
    </row>
    <row r="3" spans="1:2" ht="15" customHeight="1">
      <c r="A3" s="108" t="s">
        <v>493</v>
      </c>
      <c r="B3" s="108" t="s">
        <v>494</v>
      </c>
    </row>
    <row r="4" spans="1:2" ht="15" customHeight="1">
      <c r="A4" s="109" t="s">
        <v>495</v>
      </c>
      <c r="B4" s="109" t="s">
        <v>496</v>
      </c>
    </row>
    <row r="5" spans="1:2" ht="15" customHeight="1">
      <c r="A5" s="110" t="s">
        <v>497</v>
      </c>
      <c r="B5" s="111" t="s">
        <v>498</v>
      </c>
    </row>
    <row r="6" spans="1:2" ht="15" customHeight="1">
      <c r="A6" s="110" t="s">
        <v>46</v>
      </c>
      <c r="B6" s="111" t="s">
        <v>499</v>
      </c>
    </row>
    <row r="7" spans="1:2" ht="15" customHeight="1">
      <c r="A7" s="110" t="s">
        <v>500</v>
      </c>
      <c r="B7" s="111" t="s">
        <v>501</v>
      </c>
    </row>
    <row r="8" spans="1:2" ht="15" customHeight="1">
      <c r="A8" s="110" t="s">
        <v>502</v>
      </c>
      <c r="B8" s="111" t="s">
        <v>503</v>
      </c>
    </row>
    <row r="9" spans="1:2" ht="15" customHeight="1">
      <c r="A9" s="110" t="s">
        <v>504</v>
      </c>
      <c r="B9" s="111" t="s">
        <v>505</v>
      </c>
    </row>
    <row r="10" spans="1:2" ht="15" customHeight="1">
      <c r="A10" s="112"/>
      <c r="B10" s="112"/>
    </row>
    <row r="11" spans="1:2" ht="15" customHeight="1">
      <c r="A11" s="113"/>
      <c r="B11" s="113"/>
    </row>
    <row r="12" spans="1:2" ht="15" customHeight="1">
      <c r="A12" s="148" t="s">
        <v>506</v>
      </c>
      <c r="B12" s="148"/>
    </row>
    <row r="13" spans="1:2" ht="15" customHeight="1">
      <c r="A13" s="147" t="s">
        <v>82</v>
      </c>
      <c r="B13" s="147"/>
    </row>
    <row r="14" spans="1:2" ht="15" customHeight="1">
      <c r="A14" s="108" t="s">
        <v>493</v>
      </c>
      <c r="B14" s="108" t="s">
        <v>494</v>
      </c>
    </row>
    <row r="15" spans="1:2" ht="15" customHeight="1">
      <c r="A15" s="109" t="s">
        <v>495</v>
      </c>
      <c r="B15" s="109" t="s">
        <v>496</v>
      </c>
    </row>
    <row r="16" spans="1:2" ht="15" customHeight="1">
      <c r="A16" s="114" t="s">
        <v>71</v>
      </c>
      <c r="B16" s="115" t="s">
        <v>507</v>
      </c>
    </row>
    <row r="17" spans="1:6" ht="15" customHeight="1">
      <c r="A17" s="114" t="s">
        <v>72</v>
      </c>
      <c r="B17" s="115" t="s">
        <v>508</v>
      </c>
    </row>
    <row r="18" spans="1:6" ht="15" customHeight="1">
      <c r="A18" s="114" t="s">
        <v>73</v>
      </c>
      <c r="B18" s="115" t="s">
        <v>509</v>
      </c>
    </row>
    <row r="19" spans="1:6" ht="15" customHeight="1">
      <c r="A19" s="112"/>
      <c r="B19" s="112"/>
    </row>
    <row r="20" spans="1:6" ht="15" customHeight="1">
      <c r="A20" s="148" t="s">
        <v>510</v>
      </c>
      <c r="B20" s="148"/>
      <c r="F20" s="101" t="s">
        <v>52</v>
      </c>
    </row>
    <row r="21" spans="1:6" ht="15" customHeight="1">
      <c r="A21" s="147" t="s">
        <v>83</v>
      </c>
      <c r="B21" s="147"/>
      <c r="F21" s="101" t="s">
        <v>53</v>
      </c>
    </row>
    <row r="22" spans="1:6" ht="15" customHeight="1">
      <c r="A22" s="108" t="s">
        <v>493</v>
      </c>
      <c r="B22" s="108" t="s">
        <v>494</v>
      </c>
      <c r="F22" s="101" t="s">
        <v>54</v>
      </c>
    </row>
    <row r="23" spans="1:6" ht="15" customHeight="1">
      <c r="A23" s="109" t="s">
        <v>495</v>
      </c>
      <c r="B23" s="109" t="s">
        <v>496</v>
      </c>
      <c r="F23" s="101" t="s">
        <v>55</v>
      </c>
    </row>
    <row r="24" spans="1:6" ht="15" customHeight="1">
      <c r="A24" s="114" t="s">
        <v>511</v>
      </c>
      <c r="B24" s="115" t="s">
        <v>512</v>
      </c>
      <c r="F24" s="101" t="s">
        <v>56</v>
      </c>
    </row>
    <row r="25" spans="1:6" ht="15" customHeight="1">
      <c r="A25" s="114" t="s">
        <v>95</v>
      </c>
      <c r="B25" s="115" t="s">
        <v>513</v>
      </c>
      <c r="F25" s="116" t="s">
        <v>57</v>
      </c>
    </row>
    <row r="26" spans="1:6" ht="15" customHeight="1">
      <c r="A26" s="113"/>
      <c r="B26" s="113"/>
    </row>
    <row r="27" spans="1:6" ht="15" customHeight="1">
      <c r="A27" s="148" t="s">
        <v>514</v>
      </c>
      <c r="B27" s="148"/>
    </row>
    <row r="28" spans="1:6" ht="15" customHeight="1">
      <c r="A28" s="147" t="s">
        <v>515</v>
      </c>
      <c r="B28" s="147"/>
    </row>
    <row r="29" spans="1:6" ht="15" customHeight="1">
      <c r="A29" s="108" t="s">
        <v>493</v>
      </c>
      <c r="B29" s="108" t="s">
        <v>494</v>
      </c>
    </row>
    <row r="30" spans="1:6" ht="15" customHeight="1">
      <c r="A30" s="109" t="s">
        <v>495</v>
      </c>
      <c r="B30" s="109" t="s">
        <v>496</v>
      </c>
    </row>
    <row r="31" spans="1:6" ht="15" customHeight="1">
      <c r="A31" s="117" t="s">
        <v>54</v>
      </c>
      <c r="B31" s="115" t="s">
        <v>516</v>
      </c>
    </row>
    <row r="32" spans="1:6" ht="15" customHeight="1">
      <c r="A32" s="118" t="s">
        <v>52</v>
      </c>
      <c r="B32" s="115" t="s">
        <v>517</v>
      </c>
    </row>
    <row r="33" spans="1:2" ht="15" customHeight="1">
      <c r="A33" s="119" t="s">
        <v>53</v>
      </c>
      <c r="B33" s="115" t="s">
        <v>518</v>
      </c>
    </row>
    <row r="34" spans="1:2" ht="15" customHeight="1">
      <c r="A34" s="149" t="s">
        <v>56</v>
      </c>
      <c r="B34" s="115" t="s">
        <v>56</v>
      </c>
    </row>
    <row r="35" spans="1:2" ht="30.75" customHeight="1">
      <c r="A35" s="149"/>
      <c r="B35" s="120" t="s">
        <v>519</v>
      </c>
    </row>
    <row r="36" spans="1:2" ht="15" customHeight="1">
      <c r="A36" s="121" t="s">
        <v>57</v>
      </c>
      <c r="B36" s="115" t="s">
        <v>520</v>
      </c>
    </row>
    <row r="37" spans="1:2" ht="15" customHeight="1">
      <c r="A37" s="110" t="s">
        <v>58</v>
      </c>
      <c r="B37" s="111" t="s">
        <v>521</v>
      </c>
    </row>
    <row r="38" spans="1:2" ht="15" customHeight="1">
      <c r="A38" s="110" t="s">
        <v>522</v>
      </c>
      <c r="B38" s="111" t="s">
        <v>523</v>
      </c>
    </row>
    <row r="39" spans="1:2" ht="15" customHeight="1">
      <c r="A39" s="110" t="s">
        <v>524</v>
      </c>
      <c r="B39" s="111" t="s">
        <v>525</v>
      </c>
    </row>
    <row r="40" spans="1:2" ht="15" customHeight="1">
      <c r="A40" s="113"/>
      <c r="B40" s="113"/>
    </row>
    <row r="41" spans="1:2" ht="15" customHeight="1">
      <c r="A41" s="112"/>
      <c r="B41" s="112"/>
    </row>
    <row r="42" spans="1:2" ht="15" customHeight="1">
      <c r="A42" s="112"/>
      <c r="B42" s="112"/>
    </row>
    <row r="43" spans="1:2" ht="15" customHeight="1">
      <c r="A43" s="112"/>
      <c r="B43" s="112"/>
    </row>
    <row r="44" spans="1:2" ht="15" customHeight="1">
      <c r="A44" s="112"/>
      <c r="B44" s="112"/>
    </row>
    <row r="45" spans="1:2" ht="15" customHeight="1">
      <c r="A45" s="112"/>
      <c r="B45" s="112"/>
    </row>
    <row r="46" spans="1:2" ht="15" customHeight="1">
      <c r="A46" s="112"/>
      <c r="B46" s="112"/>
    </row>
    <row r="47" spans="1:2" ht="15" customHeight="1">
      <c r="A47" s="112"/>
      <c r="B47" s="112"/>
    </row>
    <row r="48" spans="1:2" ht="15" customHeight="1">
      <c r="A48" s="112"/>
      <c r="B48" s="112"/>
    </row>
    <row r="49" spans="1:2" ht="15" customHeight="1">
      <c r="A49" s="112"/>
      <c r="B49" s="112"/>
    </row>
    <row r="50" spans="1:2" ht="15" customHeight="1">
      <c r="A50" s="112"/>
      <c r="B50" s="112"/>
    </row>
    <row r="51" spans="1:2" ht="15" customHeight="1">
      <c r="A51" s="112"/>
      <c r="B51" s="112"/>
    </row>
    <row r="52" spans="1:2" ht="15" customHeight="1">
      <c r="A52" s="112"/>
      <c r="B52" s="112"/>
    </row>
    <row r="53" spans="1:2" ht="15" customHeight="1">
      <c r="A53" s="112"/>
      <c r="B53" s="112"/>
    </row>
    <row r="54" spans="1:2" ht="15" customHeight="1">
      <c r="A54" s="112"/>
      <c r="B54" s="112"/>
    </row>
    <row r="55" spans="1:2" ht="15" customHeight="1">
      <c r="A55" s="112"/>
      <c r="B55" s="112"/>
    </row>
    <row r="56" spans="1:2" ht="15" customHeight="1">
      <c r="A56" s="112"/>
      <c r="B56" s="112"/>
    </row>
    <row r="57" spans="1:2" ht="15" customHeight="1">
      <c r="A57" s="112"/>
      <c r="B57" s="112"/>
    </row>
    <row r="58" spans="1:2" ht="15" customHeight="1">
      <c r="A58" s="112"/>
      <c r="B58" s="112"/>
    </row>
    <row r="59" spans="1:2" ht="15" customHeight="1">
      <c r="A59" s="112"/>
      <c r="B59" s="112"/>
    </row>
    <row r="60" spans="1:2" ht="15" customHeight="1">
      <c r="A60" s="112"/>
      <c r="B60" s="112"/>
    </row>
    <row r="61" spans="1:2" ht="15" customHeight="1">
      <c r="A61" s="112"/>
      <c r="B61" s="112"/>
    </row>
    <row r="62" spans="1:2" ht="15" customHeight="1">
      <c r="A62" s="112"/>
      <c r="B62" s="112"/>
    </row>
    <row r="63" spans="1:2" ht="15" customHeight="1">
      <c r="A63" s="112"/>
      <c r="B63" s="112"/>
    </row>
    <row r="64" spans="1:2" ht="15" customHeight="1">
      <c r="A64" s="112"/>
      <c r="B64" s="112"/>
    </row>
    <row r="65" spans="1:2" ht="15" customHeight="1">
      <c r="A65" s="112"/>
      <c r="B65" s="112"/>
    </row>
    <row r="66" spans="1:2" ht="15" customHeight="1">
      <c r="A66" s="112"/>
      <c r="B66" s="112"/>
    </row>
    <row r="67" spans="1:2" ht="15" customHeight="1">
      <c r="A67" s="112"/>
      <c r="B67" s="112"/>
    </row>
    <row r="68" spans="1:2" ht="15" customHeight="1">
      <c r="A68" s="112"/>
      <c r="B68" s="112"/>
    </row>
    <row r="69" spans="1:2" ht="15" customHeight="1">
      <c r="A69" s="112"/>
      <c r="B69" s="112"/>
    </row>
    <row r="70" spans="1:2" ht="15" customHeight="1">
      <c r="A70" s="112"/>
      <c r="B70" s="112"/>
    </row>
    <row r="71" spans="1:2" ht="15" customHeight="1">
      <c r="A71" s="112"/>
      <c r="B71" s="112"/>
    </row>
    <row r="72" spans="1:2" ht="15" customHeight="1">
      <c r="A72" s="112"/>
      <c r="B72" s="112"/>
    </row>
    <row r="73" spans="1:2" ht="15" customHeight="1">
      <c r="A73" s="112"/>
      <c r="B73" s="112"/>
    </row>
    <row r="74" spans="1:2" ht="15" customHeight="1">
      <c r="A74" s="112"/>
      <c r="B74" s="112"/>
    </row>
    <row r="75" spans="1:2" ht="15" customHeight="1">
      <c r="A75" s="112"/>
      <c r="B75" s="112"/>
    </row>
    <row r="76" spans="1:2" ht="15" customHeight="1">
      <c r="A76" s="112"/>
      <c r="B76" s="112"/>
    </row>
    <row r="77" spans="1:2" ht="15" customHeight="1">
      <c r="A77" s="112"/>
      <c r="B77" s="112"/>
    </row>
    <row r="78" spans="1:2" ht="15" customHeight="1">
      <c r="A78" s="112"/>
      <c r="B78" s="112"/>
    </row>
    <row r="79" spans="1:2" ht="15" customHeight="1">
      <c r="A79" s="112"/>
      <c r="B79" s="112"/>
    </row>
    <row r="80" spans="1:2" ht="15" customHeight="1">
      <c r="A80" s="112"/>
      <c r="B80" s="112"/>
    </row>
    <row r="81" spans="1:2" ht="15" customHeight="1">
      <c r="A81" s="112"/>
      <c r="B81" s="112"/>
    </row>
    <row r="82" spans="1:2" ht="15" customHeight="1">
      <c r="A82" s="112"/>
      <c r="B82" s="112"/>
    </row>
    <row r="83" spans="1:2" ht="15" customHeight="1">
      <c r="A83" s="112"/>
      <c r="B83" s="112"/>
    </row>
    <row r="84" spans="1:2" ht="15" customHeight="1">
      <c r="A84" s="112"/>
      <c r="B84" s="112"/>
    </row>
    <row r="85" spans="1:2" ht="15" customHeight="1">
      <c r="A85" s="112"/>
      <c r="B85" s="112"/>
    </row>
    <row r="86" spans="1:2" ht="15" customHeight="1">
      <c r="A86" s="112"/>
      <c r="B86" s="112"/>
    </row>
    <row r="87" spans="1:2" ht="15" customHeight="1">
      <c r="A87" s="112"/>
      <c r="B87" s="112"/>
    </row>
    <row r="88" spans="1:2" ht="15" customHeight="1">
      <c r="A88" s="112"/>
      <c r="B88" s="112"/>
    </row>
    <row r="89" spans="1:2" ht="15" customHeight="1">
      <c r="A89" s="112"/>
      <c r="B89" s="112"/>
    </row>
    <row r="90" spans="1:2" ht="15" customHeight="1">
      <c r="A90" s="112"/>
      <c r="B90" s="112"/>
    </row>
    <row r="91" spans="1:2" ht="15" customHeight="1">
      <c r="A91" s="112"/>
      <c r="B91" s="112"/>
    </row>
    <row r="92" spans="1:2" ht="15" customHeight="1">
      <c r="A92" s="112"/>
      <c r="B92" s="112"/>
    </row>
    <row r="93" spans="1:2" ht="15" customHeight="1">
      <c r="A93" s="112"/>
      <c r="B93" s="112"/>
    </row>
    <row r="94" spans="1:2" ht="15" customHeight="1">
      <c r="A94" s="112"/>
      <c r="B94" s="112"/>
    </row>
    <row r="95" spans="1:2" ht="15" customHeight="1">
      <c r="A95" s="112"/>
      <c r="B95" s="112"/>
    </row>
    <row r="96" spans="1:2" ht="15" customHeight="1">
      <c r="A96" s="112"/>
      <c r="B96" s="112"/>
    </row>
    <row r="97" spans="1:2" ht="15" customHeight="1">
      <c r="A97" s="112"/>
      <c r="B97" s="112"/>
    </row>
    <row r="98" spans="1:2" ht="15" customHeight="1">
      <c r="A98" s="112"/>
      <c r="B98" s="112"/>
    </row>
    <row r="99" spans="1:2" ht="15" customHeight="1">
      <c r="A99" s="112"/>
      <c r="B99" s="112"/>
    </row>
    <row r="100" spans="1:2" ht="15" customHeight="1">
      <c r="A100" s="112"/>
      <c r="B100" s="112"/>
    </row>
    <row r="101" spans="1:2" ht="15" customHeight="1">
      <c r="A101" s="112"/>
      <c r="B101" s="112"/>
    </row>
    <row r="102" spans="1:2" ht="15" customHeight="1">
      <c r="A102" s="112"/>
      <c r="B102" s="112"/>
    </row>
    <row r="103" spans="1:2" ht="15" customHeight="1">
      <c r="A103" s="112"/>
      <c r="B103" s="112"/>
    </row>
    <row r="104" spans="1:2" ht="15" customHeight="1">
      <c r="A104" s="112"/>
      <c r="B104" s="112"/>
    </row>
    <row r="105" spans="1:2" ht="15" customHeight="1">
      <c r="A105" s="112"/>
      <c r="B105" s="112"/>
    </row>
    <row r="106" spans="1:2" ht="15" customHeight="1">
      <c r="A106" s="112"/>
      <c r="B106" s="112"/>
    </row>
    <row r="107" spans="1:2" ht="15" customHeight="1">
      <c r="A107" s="112"/>
      <c r="B107" s="112"/>
    </row>
    <row r="108" spans="1:2" ht="15" customHeight="1">
      <c r="A108" s="112"/>
      <c r="B108" s="112"/>
    </row>
    <row r="109" spans="1:2" ht="15" customHeight="1">
      <c r="A109" s="112"/>
      <c r="B109" s="112"/>
    </row>
    <row r="110" spans="1:2" ht="15" customHeight="1">
      <c r="A110" s="112"/>
      <c r="B110" s="112"/>
    </row>
    <row r="111" spans="1:2" ht="15" customHeight="1">
      <c r="A111" s="112"/>
      <c r="B111" s="112"/>
    </row>
    <row r="112" spans="1:2" ht="15" customHeight="1">
      <c r="A112" s="112"/>
      <c r="B112" s="112"/>
    </row>
    <row r="113" spans="1:2" ht="15" customHeight="1">
      <c r="A113" s="112"/>
      <c r="B113" s="112"/>
    </row>
    <row r="114" spans="1:2" ht="15" customHeight="1">
      <c r="A114" s="112"/>
      <c r="B114" s="112"/>
    </row>
    <row r="115" spans="1:2" ht="15" customHeight="1">
      <c r="A115" s="112"/>
      <c r="B115" s="112"/>
    </row>
    <row r="116" spans="1:2" ht="15" customHeight="1">
      <c r="A116" s="112"/>
      <c r="B116" s="112"/>
    </row>
    <row r="117" spans="1:2" ht="15" customHeight="1">
      <c r="A117" s="112"/>
      <c r="B117" s="112"/>
    </row>
    <row r="118" spans="1:2" ht="15" customHeight="1">
      <c r="A118" s="112"/>
      <c r="B118" s="112"/>
    </row>
    <row r="119" spans="1:2" ht="15" customHeight="1">
      <c r="A119" s="112"/>
      <c r="B119" s="112"/>
    </row>
    <row r="120" spans="1:2" ht="15" customHeight="1">
      <c r="A120" s="112"/>
      <c r="B120" s="112"/>
    </row>
    <row r="121" spans="1:2" ht="15" customHeight="1">
      <c r="A121" s="112"/>
      <c r="B121" s="112"/>
    </row>
    <row r="122" spans="1:2" ht="15" customHeight="1">
      <c r="A122" s="112"/>
      <c r="B122" s="112"/>
    </row>
    <row r="123" spans="1:2" ht="15" customHeight="1">
      <c r="A123" s="112"/>
      <c r="B123" s="112"/>
    </row>
    <row r="124" spans="1:2" ht="15" customHeight="1">
      <c r="A124" s="112"/>
      <c r="B124" s="112"/>
    </row>
    <row r="125" spans="1:2" ht="15" customHeight="1">
      <c r="A125" s="112"/>
      <c r="B125" s="112"/>
    </row>
    <row r="126" spans="1:2" ht="15" customHeight="1">
      <c r="A126" s="112"/>
      <c r="B126" s="112"/>
    </row>
    <row r="127" spans="1:2" ht="15" customHeight="1">
      <c r="A127" s="112"/>
      <c r="B127" s="112"/>
    </row>
    <row r="128" spans="1:2" ht="15" customHeight="1">
      <c r="A128" s="112"/>
      <c r="B128" s="112"/>
    </row>
    <row r="129" spans="1:2" ht="15" customHeight="1">
      <c r="A129" s="112"/>
      <c r="B129" s="112"/>
    </row>
    <row r="130" spans="1:2" ht="15" customHeight="1">
      <c r="A130" s="112"/>
      <c r="B130" s="112"/>
    </row>
    <row r="131" spans="1:2" ht="15" customHeight="1">
      <c r="A131" s="112"/>
      <c r="B131" s="112"/>
    </row>
    <row r="132" spans="1:2" ht="15" customHeight="1">
      <c r="A132" s="112"/>
      <c r="B132" s="112"/>
    </row>
    <row r="133" spans="1:2" ht="15" customHeight="1">
      <c r="A133" s="112"/>
      <c r="B133" s="112"/>
    </row>
    <row r="134" spans="1:2" ht="15" customHeight="1">
      <c r="A134" s="112"/>
      <c r="B134" s="112"/>
    </row>
    <row r="135" spans="1:2" ht="15" customHeight="1">
      <c r="A135" s="112"/>
      <c r="B135" s="112"/>
    </row>
    <row r="136" spans="1:2" ht="15" customHeight="1">
      <c r="A136" s="112"/>
      <c r="B136" s="112"/>
    </row>
    <row r="137" spans="1:2" ht="15" customHeight="1">
      <c r="A137" s="112"/>
      <c r="B137" s="112"/>
    </row>
    <row r="138" spans="1:2" ht="15" customHeight="1">
      <c r="A138" s="112"/>
      <c r="B138" s="112"/>
    </row>
    <row r="139" spans="1:2" ht="15" customHeight="1">
      <c r="A139" s="112"/>
      <c r="B139" s="112"/>
    </row>
    <row r="140" spans="1:2" ht="15" customHeight="1">
      <c r="A140" s="112"/>
      <c r="B140" s="112"/>
    </row>
    <row r="141" spans="1:2" ht="15" customHeight="1">
      <c r="A141" s="112"/>
      <c r="B141" s="112"/>
    </row>
    <row r="142" spans="1:2" ht="15" customHeight="1">
      <c r="A142" s="112"/>
      <c r="B142" s="112"/>
    </row>
    <row r="143" spans="1:2" ht="15" customHeight="1">
      <c r="A143" s="112"/>
      <c r="B143" s="112"/>
    </row>
    <row r="144" spans="1:2" ht="15" customHeight="1">
      <c r="A144" s="112"/>
      <c r="B144" s="112"/>
    </row>
    <row r="145" spans="1:2" ht="15" customHeight="1">
      <c r="A145" s="112"/>
      <c r="B145" s="112"/>
    </row>
    <row r="146" spans="1:2" ht="15" customHeight="1">
      <c r="A146" s="112"/>
      <c r="B146" s="112"/>
    </row>
    <row r="147" spans="1:2" ht="15" customHeight="1">
      <c r="A147" s="112"/>
      <c r="B147" s="112"/>
    </row>
    <row r="148" spans="1:2" ht="15" customHeight="1">
      <c r="A148" s="112"/>
      <c r="B148" s="112"/>
    </row>
    <row r="149" spans="1:2" ht="15" customHeight="1">
      <c r="A149" s="112"/>
      <c r="B149" s="112"/>
    </row>
    <row r="150" spans="1:2" ht="15" customHeight="1">
      <c r="A150" s="112"/>
      <c r="B150" s="112"/>
    </row>
    <row r="151" spans="1:2" ht="15" customHeight="1">
      <c r="A151" s="112"/>
      <c r="B151" s="112"/>
    </row>
    <row r="152" spans="1:2" ht="15" customHeight="1">
      <c r="A152" s="112"/>
      <c r="B152" s="112"/>
    </row>
    <row r="153" spans="1:2" ht="15" customHeight="1">
      <c r="A153" s="112"/>
      <c r="B153" s="112"/>
    </row>
    <row r="154" spans="1:2" ht="15" customHeight="1">
      <c r="A154" s="112"/>
      <c r="B154" s="112"/>
    </row>
    <row r="155" spans="1:2" ht="15" customHeight="1">
      <c r="A155" s="112"/>
      <c r="B155" s="112"/>
    </row>
    <row r="156" spans="1:2" ht="15" customHeight="1">
      <c r="A156" s="112"/>
      <c r="B156" s="112"/>
    </row>
    <row r="157" spans="1:2" ht="15" customHeight="1">
      <c r="A157" s="112"/>
      <c r="B157" s="112"/>
    </row>
    <row r="158" spans="1:2" ht="15" customHeight="1">
      <c r="A158" s="112"/>
      <c r="B158" s="112"/>
    </row>
    <row r="159" spans="1:2" ht="15" customHeight="1">
      <c r="A159" s="112"/>
      <c r="B159" s="112"/>
    </row>
    <row r="160" spans="1:2" ht="15" customHeight="1">
      <c r="A160" s="112"/>
      <c r="B160" s="112"/>
    </row>
    <row r="161" spans="1:2" ht="15" customHeight="1">
      <c r="A161" s="112"/>
      <c r="B161" s="112"/>
    </row>
    <row r="162" spans="1:2" ht="15" customHeight="1">
      <c r="A162" s="112"/>
      <c r="B162" s="112"/>
    </row>
    <row r="163" spans="1:2" ht="15" customHeight="1">
      <c r="A163" s="112"/>
      <c r="B163" s="112"/>
    </row>
    <row r="164" spans="1:2" ht="15" customHeight="1">
      <c r="A164" s="112"/>
      <c r="B164" s="112"/>
    </row>
    <row r="165" spans="1:2" ht="15" customHeight="1">
      <c r="A165" s="112"/>
      <c r="B165" s="112"/>
    </row>
    <row r="166" spans="1:2" ht="15" customHeight="1">
      <c r="A166" s="112"/>
      <c r="B166" s="112"/>
    </row>
    <row r="167" spans="1:2" ht="15" customHeight="1">
      <c r="A167" s="112"/>
      <c r="B167" s="112"/>
    </row>
    <row r="168" spans="1:2" ht="15" customHeight="1">
      <c r="A168" s="112"/>
      <c r="B168" s="112"/>
    </row>
    <row r="169" spans="1:2" ht="15" customHeight="1">
      <c r="A169" s="112"/>
      <c r="B169" s="112"/>
    </row>
    <row r="170" spans="1:2" ht="15" customHeight="1">
      <c r="A170" s="112"/>
      <c r="B170" s="112"/>
    </row>
    <row r="171" spans="1:2" ht="15" customHeight="1">
      <c r="A171" s="112"/>
      <c r="B171" s="112"/>
    </row>
    <row r="172" spans="1:2" ht="15" customHeight="1">
      <c r="A172" s="112"/>
      <c r="B172" s="112"/>
    </row>
    <row r="173" spans="1:2" ht="15" customHeight="1">
      <c r="A173" s="112"/>
      <c r="B173" s="112"/>
    </row>
    <row r="174" spans="1:2" ht="15" customHeight="1">
      <c r="A174" s="112"/>
      <c r="B174" s="112"/>
    </row>
    <row r="175" spans="1:2" ht="15" customHeight="1">
      <c r="A175" s="112"/>
      <c r="B175" s="112"/>
    </row>
    <row r="176" spans="1:2" ht="15" customHeight="1">
      <c r="A176" s="112"/>
      <c r="B176" s="112"/>
    </row>
    <row r="177" spans="1:2" ht="15" customHeight="1">
      <c r="A177" s="112"/>
      <c r="B177" s="112"/>
    </row>
    <row r="178" spans="1:2" ht="15" customHeight="1">
      <c r="A178" s="112"/>
      <c r="B178" s="112"/>
    </row>
    <row r="179" spans="1:2" ht="15" customHeight="1">
      <c r="A179" s="112"/>
      <c r="B179" s="112"/>
    </row>
    <row r="180" spans="1:2" ht="15" customHeight="1">
      <c r="A180" s="112"/>
      <c r="B180" s="112"/>
    </row>
    <row r="181" spans="1:2" ht="15" customHeight="1">
      <c r="A181" s="112"/>
      <c r="B181" s="112"/>
    </row>
    <row r="182" spans="1:2" ht="15" customHeight="1">
      <c r="A182" s="112"/>
      <c r="B182" s="112"/>
    </row>
    <row r="183" spans="1:2" ht="15" customHeight="1">
      <c r="A183" s="112"/>
      <c r="B183" s="112"/>
    </row>
    <row r="184" spans="1:2" ht="15" customHeight="1">
      <c r="A184" s="112"/>
      <c r="B184" s="112"/>
    </row>
    <row r="185" spans="1:2" ht="15" customHeight="1">
      <c r="A185" s="112"/>
      <c r="B185" s="112"/>
    </row>
    <row r="186" spans="1:2" ht="15" customHeight="1">
      <c r="A186" s="112"/>
      <c r="B186" s="112"/>
    </row>
    <row r="187" spans="1:2" ht="15" customHeight="1">
      <c r="A187" s="112"/>
      <c r="B187" s="112"/>
    </row>
    <row r="188" spans="1:2" ht="15" customHeight="1">
      <c r="A188" s="112"/>
      <c r="B188" s="112"/>
    </row>
    <row r="189" spans="1:2" ht="15" customHeight="1">
      <c r="A189" s="112"/>
      <c r="B189" s="112"/>
    </row>
    <row r="190" spans="1:2" ht="15" customHeight="1">
      <c r="A190" s="112"/>
      <c r="B190" s="112"/>
    </row>
    <row r="191" spans="1:2" ht="15" customHeight="1">
      <c r="A191" s="112"/>
      <c r="B191" s="112"/>
    </row>
    <row r="192" spans="1:2" ht="15" customHeight="1">
      <c r="A192" s="112"/>
      <c r="B192" s="112"/>
    </row>
    <row r="193" spans="1:2" ht="15" customHeight="1">
      <c r="A193" s="112"/>
      <c r="B193" s="112"/>
    </row>
    <row r="194" spans="1:2" ht="15" customHeight="1">
      <c r="A194" s="112"/>
      <c r="B194" s="112"/>
    </row>
    <row r="195" spans="1:2" ht="15" customHeight="1">
      <c r="A195" s="112"/>
      <c r="B195" s="112"/>
    </row>
    <row r="196" spans="1:2" ht="15" customHeight="1">
      <c r="A196" s="112"/>
      <c r="B196" s="112"/>
    </row>
    <row r="197" spans="1:2" ht="15" customHeight="1">
      <c r="A197" s="112"/>
      <c r="B197" s="112"/>
    </row>
    <row r="198" spans="1:2" ht="15" customHeight="1">
      <c r="A198" s="112"/>
      <c r="B198" s="112"/>
    </row>
    <row r="199" spans="1:2" ht="15" customHeight="1">
      <c r="A199" s="112"/>
      <c r="B199" s="112"/>
    </row>
    <row r="200" spans="1:2" ht="15" customHeight="1">
      <c r="A200" s="112"/>
      <c r="B200" s="112"/>
    </row>
    <row r="201" spans="1:2" ht="15" customHeight="1">
      <c r="A201" s="112"/>
      <c r="B201" s="112"/>
    </row>
    <row r="202" spans="1:2" ht="15" customHeight="1">
      <c r="A202" s="112"/>
      <c r="B202" s="112"/>
    </row>
    <row r="203" spans="1:2" ht="15" customHeight="1">
      <c r="A203" s="112"/>
      <c r="B203" s="112"/>
    </row>
    <row r="204" spans="1:2" ht="15" customHeight="1">
      <c r="A204" s="112"/>
      <c r="B204" s="112"/>
    </row>
    <row r="205" spans="1:2" ht="15" customHeight="1">
      <c r="A205" s="112"/>
      <c r="B205" s="112"/>
    </row>
    <row r="206" spans="1:2" ht="15" customHeight="1">
      <c r="A206" s="112"/>
      <c r="B206" s="112"/>
    </row>
    <row r="207" spans="1:2" ht="15" customHeight="1">
      <c r="A207" s="112"/>
      <c r="B207" s="112"/>
    </row>
    <row r="208" spans="1:2" ht="15" customHeight="1">
      <c r="A208" s="112"/>
      <c r="B208" s="112"/>
    </row>
    <row r="209" spans="1:2" ht="15" customHeight="1">
      <c r="A209" s="112"/>
      <c r="B209" s="112"/>
    </row>
    <row r="210" spans="1:2" ht="15" customHeight="1">
      <c r="A210" s="112"/>
      <c r="B210" s="112"/>
    </row>
    <row r="211" spans="1:2" ht="15" customHeight="1">
      <c r="A211" s="112"/>
      <c r="B211" s="112"/>
    </row>
    <row r="212" spans="1:2" ht="15" customHeight="1">
      <c r="A212" s="112"/>
      <c r="B212" s="112"/>
    </row>
    <row r="213" spans="1:2" ht="15" customHeight="1">
      <c r="A213" s="112"/>
      <c r="B213" s="112"/>
    </row>
    <row r="214" spans="1:2" ht="15" customHeight="1">
      <c r="A214" s="112"/>
      <c r="B214" s="112"/>
    </row>
    <row r="215" spans="1:2" ht="15" customHeight="1">
      <c r="A215" s="112"/>
      <c r="B215" s="112"/>
    </row>
    <row r="216" spans="1:2" ht="15" customHeight="1">
      <c r="A216" s="112"/>
      <c r="B216" s="112"/>
    </row>
    <row r="217" spans="1:2" ht="15" customHeight="1">
      <c r="A217" s="112"/>
      <c r="B217" s="112"/>
    </row>
    <row r="218" spans="1:2" ht="15" customHeight="1">
      <c r="A218" s="112"/>
      <c r="B218" s="112"/>
    </row>
    <row r="219" spans="1:2" ht="15" customHeight="1">
      <c r="A219" s="112"/>
      <c r="B219" s="112"/>
    </row>
    <row r="220" spans="1:2" ht="15" customHeight="1">
      <c r="A220" s="112"/>
      <c r="B220" s="112"/>
    </row>
    <row r="221" spans="1:2" ht="15" customHeight="1">
      <c r="A221" s="112"/>
      <c r="B221" s="112"/>
    </row>
    <row r="222" spans="1:2" ht="15" customHeight="1">
      <c r="A222" s="112"/>
      <c r="B222" s="112"/>
    </row>
    <row r="223" spans="1:2" ht="15" customHeight="1">
      <c r="A223" s="112"/>
      <c r="B223" s="112"/>
    </row>
    <row r="224" spans="1:2" ht="15" customHeight="1">
      <c r="A224" s="112"/>
      <c r="B224" s="112"/>
    </row>
    <row r="225" spans="1:2" ht="15" customHeight="1">
      <c r="A225" s="112"/>
      <c r="B225" s="112"/>
    </row>
    <row r="226" spans="1:2" ht="15" customHeight="1">
      <c r="A226" s="112"/>
      <c r="B226" s="112"/>
    </row>
    <row r="227" spans="1:2" ht="15" customHeight="1">
      <c r="A227" s="112"/>
      <c r="B227" s="112"/>
    </row>
    <row r="228" spans="1:2" ht="15" customHeight="1">
      <c r="A228" s="112"/>
      <c r="B228" s="112"/>
    </row>
    <row r="229" spans="1:2" ht="15" customHeight="1">
      <c r="A229" s="112"/>
      <c r="B229" s="112"/>
    </row>
    <row r="230" spans="1:2" ht="15" customHeight="1">
      <c r="A230" s="112"/>
      <c r="B230" s="112"/>
    </row>
    <row r="231" spans="1:2" ht="15" customHeight="1">
      <c r="A231" s="112"/>
      <c r="B231" s="112"/>
    </row>
    <row r="232" spans="1:2" ht="15" customHeight="1">
      <c r="A232" s="112"/>
      <c r="B232" s="112"/>
    </row>
    <row r="233" spans="1:2" ht="15" customHeight="1">
      <c r="A233" s="112"/>
      <c r="B233" s="112"/>
    </row>
    <row r="234" spans="1:2" ht="15" customHeight="1">
      <c r="A234" s="112"/>
      <c r="B234" s="112"/>
    </row>
    <row r="235" spans="1:2" ht="15" customHeight="1">
      <c r="A235" s="112"/>
      <c r="B235" s="112"/>
    </row>
    <row r="236" spans="1:2" ht="15" customHeight="1">
      <c r="A236" s="112"/>
      <c r="B236" s="112"/>
    </row>
    <row r="237" spans="1:2" ht="15" customHeight="1">
      <c r="A237" s="112"/>
      <c r="B237" s="112"/>
    </row>
    <row r="238" spans="1:2" ht="15" customHeight="1">
      <c r="A238" s="112"/>
      <c r="B238" s="112"/>
    </row>
    <row r="239" spans="1:2" ht="15" customHeight="1">
      <c r="A239" s="112"/>
      <c r="B239" s="112"/>
    </row>
    <row r="240" spans="1:2" ht="15" customHeight="1">
      <c r="A240" s="112"/>
      <c r="B240" s="112"/>
    </row>
    <row r="241" spans="1:2" ht="15" customHeight="1">
      <c r="A241" s="112"/>
      <c r="B241" s="112"/>
    </row>
    <row r="242" spans="1:2" ht="15" customHeight="1">
      <c r="A242" s="112"/>
      <c r="B242" s="112"/>
    </row>
    <row r="243" spans="1:2" ht="15" customHeight="1">
      <c r="A243" s="112"/>
      <c r="B243" s="112"/>
    </row>
    <row r="244" spans="1:2" ht="15" customHeight="1">
      <c r="A244" s="112"/>
      <c r="B244" s="112"/>
    </row>
    <row r="245" spans="1:2" ht="15" customHeight="1">
      <c r="A245" s="112"/>
      <c r="B245" s="112"/>
    </row>
    <row r="246" spans="1:2" ht="15" customHeight="1">
      <c r="A246" s="112"/>
      <c r="B246" s="112"/>
    </row>
    <row r="247" spans="1:2" ht="15" customHeight="1">
      <c r="A247" s="112"/>
      <c r="B247" s="112"/>
    </row>
    <row r="248" spans="1:2" ht="15" customHeight="1">
      <c r="A248" s="112"/>
      <c r="B248" s="112"/>
    </row>
    <row r="249" spans="1:2" ht="15" customHeight="1">
      <c r="A249" s="112"/>
      <c r="B249" s="112"/>
    </row>
    <row r="250" spans="1:2" ht="15" customHeight="1">
      <c r="A250" s="112"/>
      <c r="B250" s="112"/>
    </row>
    <row r="251" spans="1:2" ht="15" customHeight="1">
      <c r="A251" s="112"/>
      <c r="B251" s="112"/>
    </row>
    <row r="252" spans="1:2" ht="15" customHeight="1">
      <c r="A252" s="112"/>
      <c r="B252" s="112"/>
    </row>
    <row r="253" spans="1:2" ht="15" customHeight="1">
      <c r="A253" s="112"/>
      <c r="B253" s="112"/>
    </row>
    <row r="254" spans="1:2" ht="15" customHeight="1">
      <c r="A254" s="112"/>
      <c r="B254" s="112"/>
    </row>
    <row r="255" spans="1:2" ht="15" customHeight="1">
      <c r="A255" s="112"/>
      <c r="B255" s="112"/>
    </row>
    <row r="256" spans="1:2" ht="15" customHeight="1">
      <c r="A256" s="112"/>
      <c r="B256" s="112"/>
    </row>
    <row r="257" spans="1:2" ht="15" customHeight="1">
      <c r="A257" s="112"/>
      <c r="B257" s="112"/>
    </row>
    <row r="258" spans="1:2" ht="15" customHeight="1">
      <c r="A258" s="112"/>
      <c r="B258" s="112"/>
    </row>
    <row r="259" spans="1:2" ht="15" customHeight="1">
      <c r="A259" s="112"/>
      <c r="B259" s="112"/>
    </row>
    <row r="260" spans="1:2" ht="15" customHeight="1">
      <c r="A260" s="112"/>
      <c r="B260" s="112"/>
    </row>
    <row r="261" spans="1:2" ht="15" customHeight="1">
      <c r="A261" s="112"/>
      <c r="B261" s="112"/>
    </row>
    <row r="262" spans="1:2" ht="15" customHeight="1">
      <c r="A262" s="112"/>
      <c r="B262" s="112"/>
    </row>
    <row r="263" spans="1:2" ht="15" customHeight="1">
      <c r="A263" s="112"/>
      <c r="B263" s="112"/>
    </row>
    <row r="264" spans="1:2" ht="15" customHeight="1">
      <c r="A264" s="112"/>
      <c r="B264" s="112"/>
    </row>
    <row r="265" spans="1:2" ht="15" customHeight="1">
      <c r="A265" s="112"/>
      <c r="B265" s="112"/>
    </row>
    <row r="266" spans="1:2" ht="15" customHeight="1">
      <c r="A266" s="112"/>
      <c r="B266" s="112"/>
    </row>
    <row r="267" spans="1:2" ht="15" customHeight="1">
      <c r="A267" s="112"/>
      <c r="B267" s="112"/>
    </row>
    <row r="268" spans="1:2" ht="15" customHeight="1">
      <c r="A268" s="112"/>
      <c r="B268" s="112"/>
    </row>
    <row r="269" spans="1:2" ht="15" customHeight="1">
      <c r="A269" s="112"/>
      <c r="B269" s="112"/>
    </row>
    <row r="270" spans="1:2" ht="15" customHeight="1">
      <c r="A270" s="112"/>
      <c r="B270" s="112"/>
    </row>
    <row r="271" spans="1:2" ht="15" customHeight="1">
      <c r="A271" s="112"/>
      <c r="B271" s="112"/>
    </row>
    <row r="272" spans="1:2" ht="15" customHeight="1">
      <c r="A272" s="112"/>
      <c r="B272" s="112"/>
    </row>
    <row r="273" spans="1:2" ht="15" customHeight="1">
      <c r="A273" s="112"/>
      <c r="B273" s="112"/>
    </row>
    <row r="274" spans="1:2" ht="15" customHeight="1">
      <c r="A274" s="112"/>
      <c r="B274" s="112"/>
    </row>
    <row r="275" spans="1:2" ht="15" customHeight="1">
      <c r="A275" s="112"/>
      <c r="B275" s="112"/>
    </row>
    <row r="276" spans="1:2" ht="15" customHeight="1">
      <c r="A276" s="112"/>
      <c r="B276" s="112"/>
    </row>
    <row r="277" spans="1:2" ht="15" customHeight="1">
      <c r="A277" s="112"/>
      <c r="B277" s="112"/>
    </row>
    <row r="278" spans="1:2" ht="15" customHeight="1">
      <c r="A278" s="112"/>
      <c r="B278" s="112"/>
    </row>
    <row r="279" spans="1:2" ht="15" customHeight="1">
      <c r="A279" s="112"/>
      <c r="B279" s="112"/>
    </row>
    <row r="280" spans="1:2" ht="15" customHeight="1">
      <c r="A280" s="112"/>
      <c r="B280" s="112"/>
    </row>
    <row r="281" spans="1:2" ht="15" customHeight="1">
      <c r="A281" s="112"/>
      <c r="B281" s="112"/>
    </row>
    <row r="282" spans="1:2" ht="15" customHeight="1">
      <c r="A282" s="112"/>
      <c r="B282" s="112"/>
    </row>
    <row r="283" spans="1:2" ht="15" customHeight="1">
      <c r="A283" s="112"/>
      <c r="B283" s="112"/>
    </row>
    <row r="284" spans="1:2" ht="15" customHeight="1">
      <c r="A284" s="112"/>
      <c r="B284" s="112"/>
    </row>
    <row r="285" spans="1:2" ht="15" customHeight="1">
      <c r="A285" s="112"/>
      <c r="B285" s="112"/>
    </row>
    <row r="286" spans="1:2" ht="15" customHeight="1">
      <c r="A286" s="112"/>
      <c r="B286" s="112"/>
    </row>
    <row r="287" spans="1:2" ht="15" customHeight="1">
      <c r="A287" s="112"/>
      <c r="B287" s="112"/>
    </row>
    <row r="288" spans="1:2" ht="15" customHeight="1">
      <c r="A288" s="112"/>
      <c r="B288" s="112"/>
    </row>
    <row r="289" spans="1:2" ht="15" customHeight="1">
      <c r="A289" s="112"/>
      <c r="B289" s="112"/>
    </row>
    <row r="290" spans="1:2" ht="15" customHeight="1">
      <c r="A290" s="112"/>
      <c r="B290" s="112"/>
    </row>
    <row r="291" spans="1:2" ht="15" customHeight="1">
      <c r="A291" s="112"/>
      <c r="B291" s="112"/>
    </row>
    <row r="292" spans="1:2" ht="15" customHeight="1">
      <c r="A292" s="112"/>
      <c r="B292" s="112"/>
    </row>
    <row r="293" spans="1:2" ht="15" customHeight="1">
      <c r="A293" s="112"/>
      <c r="B293" s="112"/>
    </row>
    <row r="294" spans="1:2" ht="15" customHeight="1">
      <c r="A294" s="112"/>
      <c r="B294" s="112"/>
    </row>
    <row r="295" spans="1:2" ht="15" customHeight="1">
      <c r="A295" s="112"/>
      <c r="B295" s="112"/>
    </row>
    <row r="296" spans="1:2" ht="15" customHeight="1">
      <c r="A296" s="112"/>
      <c r="B296" s="112"/>
    </row>
    <row r="297" spans="1:2" ht="15" customHeight="1">
      <c r="A297" s="112"/>
      <c r="B297" s="112"/>
    </row>
    <row r="298" spans="1:2" ht="15" customHeight="1">
      <c r="A298" s="112"/>
      <c r="B298" s="112"/>
    </row>
    <row r="299" spans="1:2" ht="15" customHeight="1">
      <c r="A299" s="112"/>
      <c r="B299" s="112"/>
    </row>
    <row r="300" spans="1:2" ht="15" customHeight="1">
      <c r="A300" s="112"/>
      <c r="B300" s="112"/>
    </row>
    <row r="301" spans="1:2" ht="15" customHeight="1">
      <c r="A301" s="112"/>
      <c r="B301" s="112"/>
    </row>
    <row r="302" spans="1:2" ht="15" customHeight="1">
      <c r="A302" s="112"/>
      <c r="B302" s="112"/>
    </row>
    <row r="303" spans="1:2" ht="15" customHeight="1">
      <c r="A303" s="112"/>
      <c r="B303" s="112"/>
    </row>
    <row r="304" spans="1:2" ht="15" customHeight="1">
      <c r="A304" s="112"/>
      <c r="B304" s="112"/>
    </row>
    <row r="305" spans="1:2" ht="15" customHeight="1">
      <c r="A305" s="112"/>
      <c r="B305" s="112"/>
    </row>
    <row r="306" spans="1:2" ht="15" customHeight="1">
      <c r="A306" s="112"/>
      <c r="B306" s="112"/>
    </row>
    <row r="307" spans="1:2" ht="15" customHeight="1">
      <c r="A307" s="112"/>
      <c r="B307" s="112"/>
    </row>
    <row r="308" spans="1:2" ht="15" customHeight="1">
      <c r="A308" s="112"/>
      <c r="B308" s="112"/>
    </row>
    <row r="309" spans="1:2" ht="15" customHeight="1">
      <c r="A309" s="112"/>
      <c r="B309" s="112"/>
    </row>
    <row r="310" spans="1:2" ht="15" customHeight="1">
      <c r="A310" s="112"/>
      <c r="B310" s="112"/>
    </row>
    <row r="311" spans="1:2" ht="15" customHeight="1">
      <c r="A311" s="112"/>
      <c r="B311" s="112"/>
    </row>
    <row r="312" spans="1:2" ht="15" customHeight="1">
      <c r="A312" s="112"/>
      <c r="B312" s="112"/>
    </row>
    <row r="313" spans="1:2" ht="15" customHeight="1">
      <c r="A313" s="112"/>
      <c r="B313" s="112"/>
    </row>
    <row r="314" spans="1:2" ht="15" customHeight="1">
      <c r="A314" s="112"/>
      <c r="B314" s="112"/>
    </row>
    <row r="315" spans="1:2" ht="15" customHeight="1">
      <c r="A315" s="112"/>
      <c r="B315" s="112"/>
    </row>
    <row r="316" spans="1:2" ht="15" customHeight="1">
      <c r="A316" s="112"/>
      <c r="B316" s="112"/>
    </row>
    <row r="317" spans="1:2" ht="15" customHeight="1">
      <c r="A317" s="112"/>
      <c r="B317" s="112"/>
    </row>
    <row r="318" spans="1:2" ht="15" customHeight="1">
      <c r="A318" s="112"/>
      <c r="B318" s="112"/>
    </row>
    <row r="319" spans="1:2" ht="15" customHeight="1">
      <c r="A319" s="112"/>
      <c r="B319" s="112"/>
    </row>
    <row r="320" spans="1:2" ht="15" customHeight="1">
      <c r="A320" s="112"/>
      <c r="B320" s="112"/>
    </row>
    <row r="321" spans="1:2" ht="15" customHeight="1">
      <c r="A321" s="112"/>
      <c r="B321" s="112"/>
    </row>
    <row r="322" spans="1:2" ht="15" customHeight="1">
      <c r="A322" s="112"/>
      <c r="B322" s="112"/>
    </row>
    <row r="323" spans="1:2" ht="15" customHeight="1">
      <c r="A323" s="112"/>
      <c r="B323" s="112"/>
    </row>
    <row r="324" spans="1:2" ht="15" customHeight="1">
      <c r="A324" s="112"/>
      <c r="B324" s="112"/>
    </row>
    <row r="325" spans="1:2" ht="15" customHeight="1">
      <c r="A325" s="112"/>
      <c r="B325" s="112"/>
    </row>
    <row r="326" spans="1:2" ht="15" customHeight="1">
      <c r="A326" s="112"/>
      <c r="B326" s="112"/>
    </row>
    <row r="327" spans="1:2" ht="15" customHeight="1">
      <c r="A327" s="112"/>
      <c r="B327" s="112"/>
    </row>
    <row r="328" spans="1:2" ht="15" customHeight="1">
      <c r="A328" s="112"/>
      <c r="B328" s="112"/>
    </row>
    <row r="329" spans="1:2" ht="15" customHeight="1">
      <c r="A329" s="112"/>
      <c r="B329" s="112"/>
    </row>
    <row r="330" spans="1:2" ht="15" customHeight="1">
      <c r="A330" s="112"/>
      <c r="B330" s="112"/>
    </row>
    <row r="331" spans="1:2" ht="15" customHeight="1">
      <c r="A331" s="112"/>
      <c r="B331" s="112"/>
    </row>
    <row r="332" spans="1:2" ht="15" customHeight="1">
      <c r="A332" s="112"/>
      <c r="B332" s="112"/>
    </row>
    <row r="333" spans="1:2" ht="15" customHeight="1">
      <c r="A333" s="112"/>
      <c r="B333" s="112"/>
    </row>
    <row r="334" spans="1:2" ht="15" customHeight="1">
      <c r="A334" s="112"/>
      <c r="B334" s="112"/>
    </row>
    <row r="335" spans="1:2" ht="15" customHeight="1">
      <c r="A335" s="112"/>
      <c r="B335" s="112"/>
    </row>
    <row r="336" spans="1:2" ht="15" customHeight="1">
      <c r="A336" s="112"/>
      <c r="B336" s="112"/>
    </row>
    <row r="337" spans="1:2" ht="15" customHeight="1">
      <c r="A337" s="112"/>
      <c r="B337" s="112"/>
    </row>
    <row r="338" spans="1:2" ht="15" customHeight="1">
      <c r="A338" s="112"/>
      <c r="B338" s="112"/>
    </row>
    <row r="339" spans="1:2" ht="15" customHeight="1">
      <c r="A339" s="112"/>
      <c r="B339" s="112"/>
    </row>
    <row r="340" spans="1:2" ht="15" customHeight="1">
      <c r="A340" s="112"/>
      <c r="B340" s="112"/>
    </row>
    <row r="341" spans="1:2" ht="15" customHeight="1">
      <c r="A341" s="112"/>
      <c r="B341" s="112"/>
    </row>
    <row r="342" spans="1:2" ht="15" customHeight="1">
      <c r="A342" s="112"/>
      <c r="B342" s="112"/>
    </row>
    <row r="343" spans="1:2" ht="15" customHeight="1">
      <c r="A343" s="112"/>
      <c r="B343" s="112"/>
    </row>
    <row r="344" spans="1:2" ht="15" customHeight="1">
      <c r="A344" s="112"/>
      <c r="B344" s="112"/>
    </row>
    <row r="345" spans="1:2" ht="15" customHeight="1">
      <c r="A345" s="112"/>
      <c r="B345" s="112"/>
    </row>
    <row r="346" spans="1:2" ht="15" customHeight="1">
      <c r="A346" s="112"/>
      <c r="B346" s="112"/>
    </row>
    <row r="347" spans="1:2" ht="15" customHeight="1">
      <c r="A347" s="112"/>
      <c r="B347" s="112"/>
    </row>
    <row r="348" spans="1:2" ht="15" customHeight="1">
      <c r="A348" s="112"/>
      <c r="B348" s="112"/>
    </row>
    <row r="349" spans="1:2" ht="15" customHeight="1">
      <c r="A349" s="112"/>
      <c r="B349" s="112"/>
    </row>
    <row r="350" spans="1:2" ht="15" customHeight="1">
      <c r="A350" s="112"/>
      <c r="B350" s="112"/>
    </row>
    <row r="351" spans="1:2" ht="15" customHeight="1">
      <c r="A351" s="112"/>
      <c r="B351" s="112"/>
    </row>
    <row r="352" spans="1:2" ht="15" customHeight="1">
      <c r="A352" s="112"/>
      <c r="B352" s="112"/>
    </row>
    <row r="353" spans="1:2" ht="15" customHeight="1">
      <c r="A353" s="112"/>
      <c r="B353" s="112"/>
    </row>
    <row r="354" spans="1:2" ht="15" customHeight="1">
      <c r="A354" s="112"/>
      <c r="B354" s="112"/>
    </row>
    <row r="355" spans="1:2" ht="15" customHeight="1">
      <c r="A355" s="112"/>
      <c r="B355" s="112"/>
    </row>
    <row r="356" spans="1:2" ht="15" customHeight="1">
      <c r="A356" s="112"/>
      <c r="B356" s="112"/>
    </row>
    <row r="357" spans="1:2" ht="15" customHeight="1">
      <c r="A357" s="112"/>
      <c r="B357" s="112"/>
    </row>
    <row r="358" spans="1:2" ht="15" customHeight="1">
      <c r="A358" s="112"/>
      <c r="B358" s="112"/>
    </row>
    <row r="359" spans="1:2" ht="15" customHeight="1">
      <c r="A359" s="112"/>
      <c r="B359" s="112"/>
    </row>
    <row r="360" spans="1:2" ht="15" customHeight="1">
      <c r="A360" s="112"/>
      <c r="B360" s="112"/>
    </row>
    <row r="361" spans="1:2" ht="15" customHeight="1">
      <c r="A361" s="112"/>
      <c r="B361" s="112"/>
    </row>
    <row r="362" spans="1:2" ht="15" customHeight="1">
      <c r="A362" s="112"/>
      <c r="B362" s="112"/>
    </row>
    <row r="363" spans="1:2" ht="15" customHeight="1">
      <c r="A363" s="112"/>
      <c r="B363" s="112"/>
    </row>
    <row r="364" spans="1:2" ht="15" customHeight="1">
      <c r="A364" s="112"/>
      <c r="B364" s="112"/>
    </row>
    <row r="365" spans="1:2" ht="15" customHeight="1">
      <c r="A365" s="112"/>
      <c r="B365" s="112"/>
    </row>
    <row r="366" spans="1:2" ht="15" customHeight="1">
      <c r="A366" s="112"/>
      <c r="B366" s="112"/>
    </row>
    <row r="367" spans="1:2" ht="15" customHeight="1">
      <c r="A367" s="112"/>
      <c r="B367" s="112"/>
    </row>
    <row r="368" spans="1:2" ht="15" customHeight="1">
      <c r="A368" s="112"/>
      <c r="B368" s="112"/>
    </row>
    <row r="369" spans="1:2" ht="15" customHeight="1">
      <c r="A369" s="112"/>
      <c r="B369" s="112"/>
    </row>
    <row r="370" spans="1:2" ht="15" customHeight="1">
      <c r="A370" s="112"/>
      <c r="B370" s="112"/>
    </row>
    <row r="371" spans="1:2" ht="15" customHeight="1">
      <c r="A371" s="112"/>
      <c r="B371" s="112"/>
    </row>
    <row r="372" spans="1:2" ht="15" customHeight="1">
      <c r="A372" s="112"/>
      <c r="B372" s="112"/>
    </row>
    <row r="373" spans="1:2" ht="15" customHeight="1">
      <c r="A373" s="112"/>
      <c r="B373" s="112"/>
    </row>
    <row r="374" spans="1:2" ht="15" customHeight="1">
      <c r="A374" s="112"/>
      <c r="B374" s="112"/>
    </row>
    <row r="375" spans="1:2" ht="15" customHeight="1">
      <c r="A375" s="112"/>
      <c r="B375" s="112"/>
    </row>
    <row r="376" spans="1:2" ht="15" customHeight="1">
      <c r="A376" s="112"/>
      <c r="B376" s="112"/>
    </row>
    <row r="377" spans="1:2" ht="15" customHeight="1">
      <c r="A377" s="112"/>
      <c r="B377" s="112"/>
    </row>
    <row r="378" spans="1:2" ht="15" customHeight="1">
      <c r="A378" s="112"/>
      <c r="B378" s="112"/>
    </row>
    <row r="379" spans="1:2" ht="15" customHeight="1">
      <c r="A379" s="112"/>
      <c r="B379" s="112"/>
    </row>
    <row r="380" spans="1:2" ht="15" customHeight="1">
      <c r="A380" s="112"/>
      <c r="B380" s="112"/>
    </row>
    <row r="381" spans="1:2" ht="15" customHeight="1">
      <c r="A381" s="112"/>
      <c r="B381" s="112"/>
    </row>
    <row r="382" spans="1:2" ht="15" customHeight="1">
      <c r="A382" s="112"/>
      <c r="B382" s="112"/>
    </row>
    <row r="383" spans="1:2" ht="15" customHeight="1">
      <c r="A383" s="112"/>
      <c r="B383" s="112"/>
    </row>
    <row r="384" spans="1:2" ht="15" customHeight="1">
      <c r="A384" s="112"/>
      <c r="B384" s="112"/>
    </row>
    <row r="385" spans="1:2" ht="15" customHeight="1">
      <c r="A385" s="112"/>
      <c r="B385" s="112"/>
    </row>
    <row r="386" spans="1:2" ht="15" customHeight="1">
      <c r="A386" s="112"/>
      <c r="B386" s="112"/>
    </row>
    <row r="387" spans="1:2" ht="15" customHeight="1">
      <c r="A387" s="112"/>
      <c r="B387" s="112"/>
    </row>
    <row r="388" spans="1:2" ht="15" customHeight="1">
      <c r="A388" s="112"/>
      <c r="B388" s="112"/>
    </row>
    <row r="389" spans="1:2" ht="15" customHeight="1">
      <c r="A389" s="112"/>
      <c r="B389" s="112"/>
    </row>
    <row r="390" spans="1:2" ht="15" customHeight="1">
      <c r="A390" s="112"/>
      <c r="B390" s="112"/>
    </row>
    <row r="391" spans="1:2" ht="15" customHeight="1">
      <c r="A391" s="112"/>
      <c r="B391" s="112"/>
    </row>
    <row r="392" spans="1:2" ht="15" customHeight="1">
      <c r="A392" s="112"/>
      <c r="B392" s="112"/>
    </row>
    <row r="393" spans="1:2" ht="15" customHeight="1">
      <c r="A393" s="112"/>
      <c r="B393" s="112"/>
    </row>
    <row r="394" spans="1:2" ht="15" customHeight="1">
      <c r="A394" s="112"/>
      <c r="B394" s="112"/>
    </row>
    <row r="395" spans="1:2" ht="15" customHeight="1">
      <c r="A395" s="112"/>
      <c r="B395" s="112"/>
    </row>
    <row r="396" spans="1:2" ht="15" customHeight="1">
      <c r="A396" s="112"/>
      <c r="B396" s="112"/>
    </row>
    <row r="397" spans="1:2" ht="15" customHeight="1">
      <c r="A397" s="112"/>
      <c r="B397" s="112"/>
    </row>
    <row r="398" spans="1:2" ht="15" customHeight="1">
      <c r="A398" s="112"/>
      <c r="B398" s="112"/>
    </row>
    <row r="399" spans="1:2" ht="15" customHeight="1">
      <c r="A399" s="112"/>
      <c r="B399" s="112"/>
    </row>
    <row r="400" spans="1:2" ht="15" customHeight="1">
      <c r="A400" s="112"/>
      <c r="B400" s="112"/>
    </row>
    <row r="401" spans="1:2" ht="15" customHeight="1">
      <c r="A401" s="112"/>
      <c r="B401" s="112"/>
    </row>
    <row r="402" spans="1:2" ht="15" customHeight="1">
      <c r="A402" s="112"/>
      <c r="B402" s="112"/>
    </row>
    <row r="403" spans="1:2" ht="15" customHeight="1">
      <c r="A403" s="112"/>
      <c r="B403" s="112"/>
    </row>
    <row r="404" spans="1:2" ht="15" customHeight="1">
      <c r="A404" s="112"/>
      <c r="B404" s="112"/>
    </row>
    <row r="405" spans="1:2" ht="15" customHeight="1">
      <c r="A405" s="112"/>
      <c r="B405" s="112"/>
    </row>
    <row r="406" spans="1:2" ht="15" customHeight="1">
      <c r="A406" s="112"/>
      <c r="B406" s="112"/>
    </row>
    <row r="407" spans="1:2" ht="15" customHeight="1">
      <c r="A407" s="112"/>
      <c r="B407" s="112"/>
    </row>
    <row r="408" spans="1:2" ht="15" customHeight="1">
      <c r="A408" s="112"/>
      <c r="B408" s="112"/>
    </row>
    <row r="409" spans="1:2" ht="15" customHeight="1">
      <c r="A409" s="112"/>
      <c r="B409" s="112"/>
    </row>
    <row r="410" spans="1:2" ht="15" customHeight="1">
      <c r="A410" s="112"/>
      <c r="B410" s="112"/>
    </row>
    <row r="411" spans="1:2" ht="15" customHeight="1">
      <c r="A411" s="112"/>
      <c r="B411" s="112"/>
    </row>
    <row r="412" spans="1:2" ht="15" customHeight="1">
      <c r="A412" s="112"/>
      <c r="B412" s="112"/>
    </row>
    <row r="413" spans="1:2" ht="15" customHeight="1">
      <c r="A413" s="112"/>
      <c r="B413" s="112"/>
    </row>
    <row r="414" spans="1:2" ht="15" customHeight="1">
      <c r="A414" s="112"/>
      <c r="B414" s="112"/>
    </row>
    <row r="415" spans="1:2" ht="15" customHeight="1">
      <c r="A415" s="112"/>
      <c r="B415" s="112"/>
    </row>
    <row r="416" spans="1:2" ht="15" customHeight="1">
      <c r="A416" s="112"/>
      <c r="B416" s="112"/>
    </row>
    <row r="417" spans="1:2" ht="15" customHeight="1">
      <c r="A417" s="112"/>
      <c r="B417" s="112"/>
    </row>
    <row r="418" spans="1:2" ht="15" customHeight="1">
      <c r="A418" s="112"/>
      <c r="B418" s="112"/>
    </row>
    <row r="419" spans="1:2" ht="15" customHeight="1">
      <c r="A419" s="112"/>
      <c r="B419" s="112"/>
    </row>
    <row r="420" spans="1:2" ht="15" customHeight="1">
      <c r="A420" s="112"/>
      <c r="B420" s="112"/>
    </row>
    <row r="421" spans="1:2" ht="15" customHeight="1">
      <c r="A421" s="112"/>
      <c r="B421" s="112"/>
    </row>
    <row r="422" spans="1:2" ht="15" customHeight="1">
      <c r="A422" s="112"/>
      <c r="B422" s="112"/>
    </row>
    <row r="423" spans="1:2" ht="15" customHeight="1">
      <c r="A423" s="112"/>
      <c r="B423" s="112"/>
    </row>
    <row r="424" spans="1:2" ht="15" customHeight="1">
      <c r="A424" s="112"/>
      <c r="B424" s="112"/>
    </row>
    <row r="425" spans="1:2" ht="15" customHeight="1">
      <c r="A425" s="112"/>
      <c r="B425" s="112"/>
    </row>
    <row r="426" spans="1:2" ht="15" customHeight="1">
      <c r="A426" s="112"/>
      <c r="B426" s="112"/>
    </row>
    <row r="427" spans="1:2" ht="15" customHeight="1">
      <c r="A427" s="112"/>
      <c r="B427" s="112"/>
    </row>
    <row r="428" spans="1:2" ht="15" customHeight="1">
      <c r="A428" s="112"/>
      <c r="B428" s="112"/>
    </row>
    <row r="429" spans="1:2" ht="15" customHeight="1">
      <c r="A429" s="112"/>
      <c r="B429" s="112"/>
    </row>
    <row r="430" spans="1:2" ht="15" customHeight="1">
      <c r="A430" s="112"/>
      <c r="B430" s="112"/>
    </row>
    <row r="431" spans="1:2" ht="15" customHeight="1">
      <c r="A431" s="112"/>
      <c r="B431" s="112"/>
    </row>
    <row r="432" spans="1:2" ht="15" customHeight="1">
      <c r="A432" s="112"/>
      <c r="B432" s="112"/>
    </row>
    <row r="433" spans="1:2" ht="15" customHeight="1">
      <c r="A433" s="112"/>
      <c r="B433" s="112"/>
    </row>
    <row r="434" spans="1:2" ht="15" customHeight="1">
      <c r="A434" s="112"/>
      <c r="B434" s="112"/>
    </row>
    <row r="435" spans="1:2" ht="15" customHeight="1">
      <c r="A435" s="112"/>
      <c r="B435" s="112"/>
    </row>
    <row r="436" spans="1:2" ht="15" customHeight="1">
      <c r="A436" s="112"/>
      <c r="B436" s="112"/>
    </row>
    <row r="437" spans="1:2" ht="15" customHeight="1">
      <c r="A437" s="112"/>
      <c r="B437" s="112"/>
    </row>
    <row r="438" spans="1:2" ht="15" customHeight="1">
      <c r="A438" s="112"/>
      <c r="B438" s="112"/>
    </row>
    <row r="439" spans="1:2" ht="15" customHeight="1">
      <c r="A439" s="112"/>
      <c r="B439" s="112"/>
    </row>
    <row r="440" spans="1:2" ht="15" customHeight="1">
      <c r="A440" s="112"/>
      <c r="B440" s="112"/>
    </row>
    <row r="441" spans="1:2" ht="15" customHeight="1">
      <c r="A441" s="112"/>
      <c r="B441" s="112"/>
    </row>
    <row r="442" spans="1:2" ht="15" customHeight="1">
      <c r="A442" s="112"/>
      <c r="B442" s="112"/>
    </row>
    <row r="443" spans="1:2" ht="15" customHeight="1">
      <c r="A443" s="112"/>
      <c r="B443" s="112"/>
    </row>
    <row r="444" spans="1:2" ht="15" customHeight="1">
      <c r="A444" s="112"/>
      <c r="B444" s="112"/>
    </row>
    <row r="445" spans="1:2" ht="15" customHeight="1">
      <c r="A445" s="112"/>
      <c r="B445" s="112"/>
    </row>
    <row r="446" spans="1:2" ht="15" customHeight="1">
      <c r="A446" s="112"/>
      <c r="B446" s="112"/>
    </row>
    <row r="447" spans="1:2" ht="15" customHeight="1">
      <c r="A447" s="112"/>
      <c r="B447" s="112"/>
    </row>
    <row r="448" spans="1:2" ht="15" customHeight="1">
      <c r="A448" s="112"/>
      <c r="B448" s="112"/>
    </row>
    <row r="449" spans="1:2" ht="15" customHeight="1">
      <c r="A449" s="112"/>
      <c r="B449" s="112"/>
    </row>
    <row r="450" spans="1:2" ht="15" customHeight="1">
      <c r="A450" s="112"/>
      <c r="B450" s="112"/>
    </row>
    <row r="451" spans="1:2" ht="15" customHeight="1">
      <c r="A451" s="112"/>
      <c r="B451" s="112"/>
    </row>
    <row r="452" spans="1:2" ht="15" customHeight="1">
      <c r="A452" s="112"/>
      <c r="B452" s="112"/>
    </row>
    <row r="453" spans="1:2" ht="15" customHeight="1">
      <c r="A453" s="112"/>
      <c r="B453" s="112"/>
    </row>
    <row r="454" spans="1:2" ht="15" customHeight="1">
      <c r="A454" s="112"/>
      <c r="B454" s="112"/>
    </row>
    <row r="455" spans="1:2" ht="15" customHeight="1">
      <c r="A455" s="112"/>
      <c r="B455" s="112"/>
    </row>
    <row r="456" spans="1:2" ht="15" customHeight="1">
      <c r="A456" s="112"/>
      <c r="B456" s="112"/>
    </row>
    <row r="457" spans="1:2" ht="15" customHeight="1">
      <c r="A457" s="112"/>
      <c r="B457" s="112"/>
    </row>
    <row r="458" spans="1:2" ht="15" customHeight="1">
      <c r="A458" s="112"/>
      <c r="B458" s="112"/>
    </row>
    <row r="459" spans="1:2" ht="15" customHeight="1">
      <c r="A459" s="112"/>
      <c r="B459" s="112"/>
    </row>
    <row r="460" spans="1:2" ht="15" customHeight="1">
      <c r="A460" s="112"/>
      <c r="B460" s="112"/>
    </row>
    <row r="461" spans="1:2" ht="15" customHeight="1">
      <c r="A461" s="112"/>
      <c r="B461" s="112"/>
    </row>
    <row r="462" spans="1:2" ht="15" customHeight="1">
      <c r="A462" s="112"/>
      <c r="B462" s="112"/>
    </row>
    <row r="463" spans="1:2" ht="15" customHeight="1">
      <c r="A463" s="112"/>
      <c r="B463" s="112"/>
    </row>
    <row r="464" spans="1:2" ht="15" customHeight="1">
      <c r="A464" s="112"/>
      <c r="B464" s="112"/>
    </row>
    <row r="465" spans="1:2" ht="15" customHeight="1">
      <c r="A465" s="112"/>
      <c r="B465" s="112"/>
    </row>
    <row r="466" spans="1:2" ht="15" customHeight="1">
      <c r="A466" s="112"/>
      <c r="B466" s="112"/>
    </row>
    <row r="467" spans="1:2" ht="15" customHeight="1">
      <c r="A467" s="112"/>
      <c r="B467" s="112"/>
    </row>
    <row r="468" spans="1:2" ht="15" customHeight="1">
      <c r="A468" s="112"/>
      <c r="B468" s="112"/>
    </row>
    <row r="469" spans="1:2" ht="15" customHeight="1">
      <c r="A469" s="112"/>
      <c r="B469" s="112"/>
    </row>
    <row r="470" spans="1:2" ht="15" customHeight="1">
      <c r="A470" s="112"/>
      <c r="B470" s="112"/>
    </row>
    <row r="471" spans="1:2" ht="15" customHeight="1">
      <c r="A471" s="112"/>
      <c r="B471" s="112"/>
    </row>
    <row r="472" spans="1:2" ht="15" customHeight="1">
      <c r="A472" s="112"/>
      <c r="B472" s="112"/>
    </row>
    <row r="473" spans="1:2" ht="15" customHeight="1">
      <c r="A473" s="112"/>
      <c r="B473" s="112"/>
    </row>
    <row r="474" spans="1:2" ht="15" customHeight="1">
      <c r="A474" s="112"/>
      <c r="B474" s="112"/>
    </row>
    <row r="475" spans="1:2" ht="15" customHeight="1">
      <c r="A475" s="112"/>
      <c r="B475" s="112"/>
    </row>
    <row r="476" spans="1:2" ht="15" customHeight="1">
      <c r="A476" s="112"/>
      <c r="B476" s="112"/>
    </row>
    <row r="477" spans="1:2" ht="15" customHeight="1">
      <c r="A477" s="112"/>
      <c r="B477" s="112"/>
    </row>
    <row r="478" spans="1:2" ht="15" customHeight="1">
      <c r="A478" s="112"/>
      <c r="B478" s="112"/>
    </row>
    <row r="479" spans="1:2" ht="15" customHeight="1">
      <c r="A479" s="112"/>
      <c r="B479" s="112"/>
    </row>
    <row r="480" spans="1:2" ht="15" customHeight="1">
      <c r="A480" s="112"/>
      <c r="B480" s="112"/>
    </row>
    <row r="481" spans="1:2" ht="15" customHeight="1">
      <c r="A481" s="112"/>
      <c r="B481" s="112"/>
    </row>
    <row r="482" spans="1:2" ht="15" customHeight="1">
      <c r="A482" s="112"/>
      <c r="B482" s="112"/>
    </row>
    <row r="483" spans="1:2" ht="15" customHeight="1">
      <c r="A483" s="112"/>
      <c r="B483" s="112"/>
    </row>
    <row r="484" spans="1:2" ht="15" customHeight="1">
      <c r="A484" s="112"/>
      <c r="B484" s="112"/>
    </row>
    <row r="485" spans="1:2" ht="15" customHeight="1">
      <c r="A485" s="112"/>
      <c r="B485" s="112"/>
    </row>
    <row r="486" spans="1:2" ht="15" customHeight="1">
      <c r="A486" s="112"/>
      <c r="B486" s="112"/>
    </row>
    <row r="487" spans="1:2" ht="15" customHeight="1">
      <c r="A487" s="112"/>
      <c r="B487" s="112"/>
    </row>
    <row r="488" spans="1:2" ht="15" customHeight="1">
      <c r="A488" s="112"/>
      <c r="B488" s="112"/>
    </row>
    <row r="489" spans="1:2" ht="15" customHeight="1">
      <c r="A489" s="112"/>
      <c r="B489" s="112"/>
    </row>
    <row r="490" spans="1:2" ht="15" customHeight="1">
      <c r="A490" s="112"/>
      <c r="B490" s="112"/>
    </row>
    <row r="491" spans="1:2" ht="15" customHeight="1">
      <c r="A491" s="112"/>
      <c r="B491" s="112"/>
    </row>
    <row r="492" spans="1:2" ht="15" customHeight="1">
      <c r="A492" s="112"/>
      <c r="B492" s="112"/>
    </row>
    <row r="493" spans="1:2" ht="15" customHeight="1">
      <c r="A493" s="112"/>
      <c r="B493" s="112"/>
    </row>
    <row r="494" spans="1:2" ht="15" customHeight="1">
      <c r="A494" s="112"/>
      <c r="B494" s="112"/>
    </row>
    <row r="495" spans="1:2" ht="15" customHeight="1">
      <c r="A495" s="112"/>
      <c r="B495" s="112"/>
    </row>
    <row r="496" spans="1:2" ht="15" customHeight="1">
      <c r="A496" s="112"/>
      <c r="B496" s="112"/>
    </row>
    <row r="497" spans="1:2" ht="15" customHeight="1">
      <c r="A497" s="112"/>
      <c r="B497" s="112"/>
    </row>
    <row r="498" spans="1:2" ht="15" customHeight="1">
      <c r="A498" s="112"/>
      <c r="B498" s="112"/>
    </row>
    <row r="499" spans="1:2" ht="15" customHeight="1">
      <c r="A499" s="112"/>
      <c r="B499" s="112"/>
    </row>
    <row r="500" spans="1:2" ht="15" customHeight="1">
      <c r="A500" s="112"/>
      <c r="B500" s="112"/>
    </row>
    <row r="501" spans="1:2" ht="15" customHeight="1">
      <c r="A501" s="112"/>
      <c r="B501" s="112"/>
    </row>
    <row r="502" spans="1:2" ht="15" customHeight="1">
      <c r="A502" s="112"/>
      <c r="B502" s="112"/>
    </row>
    <row r="503" spans="1:2" ht="15" customHeight="1">
      <c r="A503" s="112"/>
      <c r="B503" s="112"/>
    </row>
    <row r="504" spans="1:2" ht="15" customHeight="1">
      <c r="A504" s="112"/>
      <c r="B504" s="112"/>
    </row>
    <row r="505" spans="1:2" ht="15" customHeight="1">
      <c r="A505" s="112"/>
      <c r="B505" s="112"/>
    </row>
    <row r="506" spans="1:2" ht="15" customHeight="1">
      <c r="A506" s="112"/>
      <c r="B506" s="112"/>
    </row>
    <row r="507" spans="1:2" ht="15" customHeight="1">
      <c r="A507" s="112"/>
      <c r="B507" s="112"/>
    </row>
    <row r="508" spans="1:2" ht="15" customHeight="1">
      <c r="A508" s="112"/>
      <c r="B508" s="112"/>
    </row>
    <row r="509" spans="1:2" ht="15" customHeight="1">
      <c r="A509" s="112"/>
      <c r="B509" s="112"/>
    </row>
    <row r="510" spans="1:2" ht="15" customHeight="1">
      <c r="A510" s="112"/>
      <c r="B510" s="112"/>
    </row>
    <row r="511" spans="1:2" ht="15" customHeight="1">
      <c r="A511" s="112"/>
      <c r="B511" s="112"/>
    </row>
    <row r="512" spans="1:2" ht="15" customHeight="1">
      <c r="A512" s="112"/>
      <c r="B512" s="112"/>
    </row>
    <row r="513" spans="1:2" ht="15" customHeight="1">
      <c r="A513" s="112"/>
      <c r="B513" s="112"/>
    </row>
    <row r="514" spans="1:2" ht="15" customHeight="1">
      <c r="A514" s="112"/>
      <c r="B514" s="112"/>
    </row>
    <row r="515" spans="1:2" ht="15" customHeight="1">
      <c r="A515" s="112"/>
      <c r="B515" s="112"/>
    </row>
    <row r="516" spans="1:2" ht="15" customHeight="1">
      <c r="A516" s="112"/>
      <c r="B516" s="112"/>
    </row>
    <row r="517" spans="1:2" ht="15" customHeight="1">
      <c r="A517" s="112"/>
      <c r="B517" s="112"/>
    </row>
    <row r="518" spans="1:2" ht="15" customHeight="1">
      <c r="A518" s="112"/>
      <c r="B518" s="112"/>
    </row>
    <row r="519" spans="1:2" ht="15" customHeight="1">
      <c r="A519" s="112"/>
      <c r="B519" s="112"/>
    </row>
    <row r="520" spans="1:2" ht="15" customHeight="1">
      <c r="A520" s="112"/>
      <c r="B520" s="112"/>
    </row>
    <row r="521" spans="1:2" ht="15" customHeight="1">
      <c r="A521" s="112"/>
      <c r="B521" s="112"/>
    </row>
    <row r="522" spans="1:2" ht="15" customHeight="1">
      <c r="A522" s="112"/>
      <c r="B522" s="112"/>
    </row>
    <row r="523" spans="1:2" ht="15" customHeight="1">
      <c r="A523" s="112"/>
      <c r="B523" s="112"/>
    </row>
    <row r="524" spans="1:2" ht="15" customHeight="1">
      <c r="A524" s="112"/>
      <c r="B524" s="112"/>
    </row>
    <row r="525" spans="1:2" ht="15" customHeight="1">
      <c r="A525" s="112"/>
      <c r="B525" s="112"/>
    </row>
    <row r="526" spans="1:2" ht="15" customHeight="1">
      <c r="A526" s="112"/>
      <c r="B526" s="112"/>
    </row>
    <row r="527" spans="1:2" ht="15" customHeight="1">
      <c r="A527" s="112"/>
      <c r="B527" s="112"/>
    </row>
    <row r="528" spans="1:2" ht="15" customHeight="1">
      <c r="A528" s="112"/>
      <c r="B528" s="112"/>
    </row>
    <row r="529" spans="1:2" ht="15" customHeight="1">
      <c r="A529" s="112"/>
      <c r="B529" s="112"/>
    </row>
    <row r="530" spans="1:2" ht="15" customHeight="1">
      <c r="A530" s="112"/>
      <c r="B530" s="112"/>
    </row>
    <row r="531" spans="1:2" ht="15" customHeight="1">
      <c r="A531" s="112"/>
      <c r="B531" s="112"/>
    </row>
    <row r="532" spans="1:2" ht="15" customHeight="1">
      <c r="A532" s="112"/>
      <c r="B532" s="112"/>
    </row>
    <row r="533" spans="1:2" ht="15" customHeight="1">
      <c r="A533" s="112"/>
      <c r="B533" s="112"/>
    </row>
    <row r="534" spans="1:2" ht="15" customHeight="1">
      <c r="A534" s="112"/>
      <c r="B534" s="112"/>
    </row>
    <row r="535" spans="1:2" ht="15" customHeight="1">
      <c r="A535" s="112"/>
      <c r="B535" s="112"/>
    </row>
    <row r="536" spans="1:2" ht="15" customHeight="1">
      <c r="A536" s="112"/>
      <c r="B536" s="112"/>
    </row>
    <row r="537" spans="1:2" ht="15" customHeight="1">
      <c r="A537" s="112"/>
      <c r="B537" s="112"/>
    </row>
    <row r="538" spans="1:2" ht="15" customHeight="1">
      <c r="A538" s="112"/>
      <c r="B538" s="112"/>
    </row>
    <row r="539" spans="1:2" ht="15" customHeight="1">
      <c r="A539" s="112"/>
      <c r="B539" s="112"/>
    </row>
    <row r="540" spans="1:2" ht="15" customHeight="1">
      <c r="A540" s="112"/>
      <c r="B540" s="112"/>
    </row>
    <row r="541" spans="1:2" ht="15" customHeight="1">
      <c r="A541" s="112"/>
      <c r="B541" s="112"/>
    </row>
    <row r="542" spans="1:2" ht="15" customHeight="1">
      <c r="A542" s="112"/>
      <c r="B542" s="112"/>
    </row>
    <row r="543" spans="1:2" ht="15" customHeight="1">
      <c r="A543" s="112"/>
      <c r="B543" s="112"/>
    </row>
    <row r="544" spans="1:2" ht="15" customHeight="1">
      <c r="A544" s="112"/>
      <c r="B544" s="112"/>
    </row>
    <row r="545" spans="1:2" ht="15" customHeight="1">
      <c r="A545" s="112"/>
      <c r="B545" s="112"/>
    </row>
    <row r="546" spans="1:2" ht="15" customHeight="1">
      <c r="A546" s="112"/>
      <c r="B546" s="112"/>
    </row>
    <row r="547" spans="1:2" ht="15" customHeight="1">
      <c r="A547" s="112"/>
      <c r="B547" s="112"/>
    </row>
    <row r="548" spans="1:2" ht="15" customHeight="1">
      <c r="A548" s="112"/>
      <c r="B548" s="112"/>
    </row>
    <row r="549" spans="1:2" ht="15" customHeight="1">
      <c r="A549" s="112"/>
      <c r="B549" s="112"/>
    </row>
    <row r="550" spans="1:2" ht="15" customHeight="1">
      <c r="A550" s="112"/>
      <c r="B550" s="112"/>
    </row>
    <row r="551" spans="1:2" ht="15" customHeight="1">
      <c r="A551" s="112"/>
      <c r="B551" s="112"/>
    </row>
    <row r="552" spans="1:2" ht="15" customHeight="1">
      <c r="A552" s="112"/>
      <c r="B552" s="112"/>
    </row>
    <row r="553" spans="1:2" ht="15" customHeight="1">
      <c r="A553" s="112"/>
      <c r="B553" s="112"/>
    </row>
    <row r="554" spans="1:2" ht="15" customHeight="1">
      <c r="A554" s="112"/>
      <c r="B554" s="112"/>
    </row>
    <row r="555" spans="1:2" ht="15" customHeight="1">
      <c r="A555" s="112"/>
      <c r="B555" s="112"/>
    </row>
    <row r="556" spans="1:2" ht="15" customHeight="1">
      <c r="A556" s="112"/>
      <c r="B556" s="112"/>
    </row>
    <row r="557" spans="1:2" ht="15" customHeight="1">
      <c r="A557" s="112"/>
      <c r="B557" s="112"/>
    </row>
    <row r="558" spans="1:2" ht="15" customHeight="1">
      <c r="A558" s="112"/>
      <c r="B558" s="112"/>
    </row>
    <row r="559" spans="1:2" ht="15" customHeight="1">
      <c r="A559" s="112"/>
      <c r="B559" s="112"/>
    </row>
    <row r="560" spans="1:2" ht="15" customHeight="1">
      <c r="A560" s="112"/>
      <c r="B560" s="112"/>
    </row>
    <row r="561" spans="1:2" ht="15" customHeight="1">
      <c r="A561" s="112"/>
      <c r="B561" s="112"/>
    </row>
    <row r="562" spans="1:2" ht="15" customHeight="1">
      <c r="A562" s="112"/>
      <c r="B562" s="112"/>
    </row>
    <row r="563" spans="1:2" ht="15" customHeight="1">
      <c r="A563" s="112"/>
      <c r="B563" s="112"/>
    </row>
    <row r="564" spans="1:2" ht="15" customHeight="1">
      <c r="A564" s="112"/>
      <c r="B564" s="112"/>
    </row>
    <row r="565" spans="1:2" ht="15" customHeight="1">
      <c r="A565" s="112"/>
      <c r="B565" s="112"/>
    </row>
    <row r="566" spans="1:2" ht="15" customHeight="1">
      <c r="A566" s="112"/>
      <c r="B566" s="112"/>
    </row>
    <row r="567" spans="1:2" ht="15" customHeight="1">
      <c r="A567" s="112"/>
      <c r="B567" s="112"/>
    </row>
    <row r="568" spans="1:2" ht="15" customHeight="1">
      <c r="A568" s="112"/>
      <c r="B568" s="112"/>
    </row>
    <row r="569" spans="1:2" ht="15" customHeight="1">
      <c r="A569" s="112"/>
      <c r="B569" s="112"/>
    </row>
    <row r="570" spans="1:2" ht="15" customHeight="1">
      <c r="A570" s="112"/>
      <c r="B570" s="112"/>
    </row>
    <row r="571" spans="1:2" ht="15" customHeight="1">
      <c r="A571" s="112"/>
      <c r="B571" s="112"/>
    </row>
    <row r="572" spans="1:2" ht="15" customHeight="1">
      <c r="A572" s="112"/>
      <c r="B572" s="112"/>
    </row>
    <row r="573" spans="1:2" ht="15" customHeight="1">
      <c r="A573" s="112"/>
      <c r="B573" s="112"/>
    </row>
    <row r="574" spans="1:2" ht="15" customHeight="1">
      <c r="A574" s="112"/>
      <c r="B574" s="112"/>
    </row>
    <row r="575" spans="1:2" ht="15" customHeight="1">
      <c r="A575" s="112"/>
      <c r="B575" s="112"/>
    </row>
    <row r="576" spans="1:2" ht="15" customHeight="1">
      <c r="A576" s="112"/>
      <c r="B576" s="112"/>
    </row>
    <row r="577" spans="1:2" ht="15" customHeight="1">
      <c r="A577" s="112"/>
      <c r="B577" s="112"/>
    </row>
    <row r="578" spans="1:2" ht="15" customHeight="1">
      <c r="A578" s="112"/>
      <c r="B578" s="112"/>
    </row>
    <row r="579" spans="1:2" ht="15" customHeight="1">
      <c r="A579" s="112"/>
      <c r="B579" s="112"/>
    </row>
    <row r="580" spans="1:2" ht="15" customHeight="1">
      <c r="A580" s="112"/>
      <c r="B580" s="112"/>
    </row>
    <row r="581" spans="1:2" ht="15" customHeight="1">
      <c r="A581" s="112"/>
      <c r="B581" s="112"/>
    </row>
    <row r="582" spans="1:2" ht="15" customHeight="1">
      <c r="A582" s="112"/>
      <c r="B582" s="112"/>
    </row>
    <row r="583" spans="1:2" ht="15" customHeight="1">
      <c r="A583" s="112"/>
      <c r="B583" s="112"/>
    </row>
    <row r="584" spans="1:2" ht="15" customHeight="1">
      <c r="A584" s="112"/>
      <c r="B584" s="112"/>
    </row>
    <row r="585" spans="1:2" ht="15" customHeight="1">
      <c r="A585" s="112"/>
      <c r="B585" s="112"/>
    </row>
    <row r="586" spans="1:2" ht="15" customHeight="1">
      <c r="A586" s="112"/>
      <c r="B586" s="112"/>
    </row>
    <row r="587" spans="1:2" ht="15" customHeight="1">
      <c r="A587" s="112"/>
      <c r="B587" s="112"/>
    </row>
    <row r="588" spans="1:2" ht="15" customHeight="1">
      <c r="A588" s="112"/>
      <c r="B588" s="112"/>
    </row>
    <row r="589" spans="1:2" ht="15" customHeight="1">
      <c r="A589" s="112"/>
      <c r="B589" s="112"/>
    </row>
    <row r="590" spans="1:2" ht="15" customHeight="1">
      <c r="A590" s="112"/>
      <c r="B590" s="112"/>
    </row>
    <row r="591" spans="1:2" ht="15" customHeight="1">
      <c r="A591" s="112"/>
      <c r="B591" s="112"/>
    </row>
    <row r="592" spans="1:2" ht="15" customHeight="1">
      <c r="A592" s="112"/>
      <c r="B592" s="112"/>
    </row>
    <row r="593" spans="1:2" ht="15" customHeight="1">
      <c r="A593" s="112"/>
      <c r="B593" s="112"/>
    </row>
    <row r="594" spans="1:2" ht="15" customHeight="1">
      <c r="A594" s="112"/>
      <c r="B594" s="112"/>
    </row>
    <row r="595" spans="1:2" ht="15" customHeight="1">
      <c r="A595" s="112"/>
      <c r="B595" s="112"/>
    </row>
    <row r="596" spans="1:2" ht="15" customHeight="1">
      <c r="A596" s="112"/>
      <c r="B596" s="112"/>
    </row>
    <row r="597" spans="1:2" ht="15" customHeight="1">
      <c r="A597" s="112"/>
      <c r="B597" s="112"/>
    </row>
    <row r="598" spans="1:2" ht="15" customHeight="1">
      <c r="A598" s="112"/>
      <c r="B598" s="112"/>
    </row>
    <row r="599" spans="1:2" ht="15" customHeight="1">
      <c r="A599" s="112"/>
      <c r="B599" s="112"/>
    </row>
    <row r="600" spans="1:2" ht="15" customHeight="1">
      <c r="A600" s="112"/>
      <c r="B600" s="112"/>
    </row>
    <row r="601" spans="1:2" ht="15" customHeight="1">
      <c r="A601" s="112"/>
      <c r="B601" s="112"/>
    </row>
    <row r="602" spans="1:2" ht="15" customHeight="1">
      <c r="A602" s="112"/>
      <c r="B602" s="112"/>
    </row>
    <row r="603" spans="1:2" ht="15" customHeight="1">
      <c r="A603" s="112"/>
      <c r="B603" s="112"/>
    </row>
    <row r="604" spans="1:2" ht="15" customHeight="1">
      <c r="A604" s="112"/>
      <c r="B604" s="112"/>
    </row>
    <row r="605" spans="1:2" ht="15" customHeight="1">
      <c r="A605" s="112"/>
      <c r="B605" s="112"/>
    </row>
    <row r="606" spans="1:2" ht="15" customHeight="1">
      <c r="A606" s="112"/>
      <c r="B606" s="112"/>
    </row>
    <row r="607" spans="1:2" ht="15" customHeight="1">
      <c r="A607" s="112"/>
      <c r="B607" s="112"/>
    </row>
    <row r="608" spans="1:2" ht="15" customHeight="1">
      <c r="A608" s="112"/>
      <c r="B608" s="112"/>
    </row>
    <row r="609" spans="1:2" ht="15" customHeight="1">
      <c r="A609" s="112"/>
      <c r="B609" s="112"/>
    </row>
    <row r="610" spans="1:2" ht="15" customHeight="1">
      <c r="A610" s="112"/>
      <c r="B610" s="112"/>
    </row>
    <row r="611" spans="1:2" ht="15" customHeight="1">
      <c r="A611" s="112"/>
      <c r="B611" s="112"/>
    </row>
    <row r="612" spans="1:2" ht="15" customHeight="1">
      <c r="A612" s="112"/>
      <c r="B612" s="112"/>
    </row>
    <row r="613" spans="1:2" ht="15" customHeight="1">
      <c r="A613" s="112"/>
      <c r="B613" s="112"/>
    </row>
    <row r="614" spans="1:2" ht="15" customHeight="1">
      <c r="A614" s="112"/>
      <c r="B614" s="112"/>
    </row>
    <row r="615" spans="1:2" ht="15" customHeight="1">
      <c r="A615" s="112"/>
      <c r="B615" s="112"/>
    </row>
    <row r="616" spans="1:2" ht="15" customHeight="1">
      <c r="A616" s="112"/>
      <c r="B616" s="112"/>
    </row>
    <row r="617" spans="1:2" ht="15" customHeight="1">
      <c r="A617" s="112"/>
      <c r="B617" s="112"/>
    </row>
    <row r="618" spans="1:2" ht="15" customHeight="1">
      <c r="A618" s="112"/>
      <c r="B618" s="112"/>
    </row>
    <row r="619" spans="1:2" ht="15" customHeight="1">
      <c r="A619" s="112"/>
      <c r="B619" s="112"/>
    </row>
    <row r="620" spans="1:2" ht="15" customHeight="1">
      <c r="A620" s="112"/>
      <c r="B620" s="112"/>
    </row>
    <row r="621" spans="1:2" ht="15" customHeight="1">
      <c r="A621" s="112"/>
      <c r="B621" s="112"/>
    </row>
    <row r="622" spans="1:2" ht="15" customHeight="1">
      <c r="A622" s="112"/>
      <c r="B622" s="112"/>
    </row>
    <row r="623" spans="1:2" ht="15" customHeight="1">
      <c r="A623" s="112"/>
      <c r="B623" s="112"/>
    </row>
    <row r="624" spans="1:2" ht="15" customHeight="1">
      <c r="A624" s="112"/>
      <c r="B624" s="112"/>
    </row>
    <row r="625" spans="1:2" ht="15" customHeight="1">
      <c r="A625" s="112"/>
      <c r="B625" s="112"/>
    </row>
    <row r="626" spans="1:2" ht="15" customHeight="1">
      <c r="A626" s="112"/>
      <c r="B626" s="112"/>
    </row>
    <row r="627" spans="1:2" ht="15" customHeight="1">
      <c r="A627" s="112"/>
      <c r="B627" s="112"/>
    </row>
    <row r="628" spans="1:2" ht="15" customHeight="1">
      <c r="A628" s="112"/>
      <c r="B628" s="112"/>
    </row>
    <row r="629" spans="1:2" ht="15" customHeight="1">
      <c r="A629" s="112"/>
      <c r="B629" s="112"/>
    </row>
    <row r="630" spans="1:2" ht="15" customHeight="1">
      <c r="A630" s="112"/>
      <c r="B630" s="112"/>
    </row>
    <row r="631" spans="1:2" ht="15" customHeight="1">
      <c r="A631" s="112"/>
      <c r="B631" s="112"/>
    </row>
    <row r="632" spans="1:2" ht="15" customHeight="1">
      <c r="A632" s="112"/>
      <c r="B632" s="112"/>
    </row>
    <row r="633" spans="1:2" ht="15" customHeight="1">
      <c r="A633" s="112"/>
      <c r="B633" s="112"/>
    </row>
    <row r="634" spans="1:2" ht="15" customHeight="1">
      <c r="A634" s="112"/>
      <c r="B634" s="112"/>
    </row>
    <row r="635" spans="1:2" ht="15" customHeight="1">
      <c r="A635" s="112"/>
      <c r="B635" s="112"/>
    </row>
    <row r="636" spans="1:2" ht="15" customHeight="1">
      <c r="A636" s="112"/>
      <c r="B636" s="112"/>
    </row>
    <row r="637" spans="1:2" ht="15" customHeight="1">
      <c r="A637" s="112"/>
      <c r="B637" s="112"/>
    </row>
    <row r="638" spans="1:2" ht="15" customHeight="1">
      <c r="A638" s="112"/>
      <c r="B638" s="112"/>
    </row>
    <row r="639" spans="1:2" ht="15" customHeight="1">
      <c r="A639" s="112"/>
      <c r="B639" s="112"/>
    </row>
    <row r="640" spans="1:2" ht="15" customHeight="1">
      <c r="A640" s="112"/>
      <c r="B640" s="112"/>
    </row>
    <row r="641" spans="1:2" ht="15" customHeight="1">
      <c r="A641" s="112"/>
      <c r="B641" s="112"/>
    </row>
    <row r="642" spans="1:2" ht="15" customHeight="1">
      <c r="A642" s="112"/>
      <c r="B642" s="112"/>
    </row>
    <row r="643" spans="1:2" ht="15" customHeight="1">
      <c r="A643" s="112"/>
      <c r="B643" s="112"/>
    </row>
    <row r="644" spans="1:2" ht="15" customHeight="1">
      <c r="A644" s="112"/>
      <c r="B644" s="112"/>
    </row>
    <row r="645" spans="1:2" ht="15" customHeight="1">
      <c r="A645" s="112"/>
      <c r="B645" s="112"/>
    </row>
    <row r="646" spans="1:2" ht="15" customHeight="1">
      <c r="A646" s="112"/>
      <c r="B646" s="112"/>
    </row>
    <row r="647" spans="1:2" ht="15" customHeight="1">
      <c r="A647" s="112"/>
      <c r="B647" s="112"/>
    </row>
    <row r="648" spans="1:2" ht="15" customHeight="1">
      <c r="A648" s="112"/>
      <c r="B648" s="112"/>
    </row>
    <row r="649" spans="1:2" ht="15" customHeight="1">
      <c r="A649" s="112"/>
      <c r="B649" s="112"/>
    </row>
    <row r="650" spans="1:2" ht="15" customHeight="1">
      <c r="A650" s="112"/>
      <c r="B650" s="112"/>
    </row>
    <row r="651" spans="1:2" ht="15" customHeight="1">
      <c r="A651" s="112"/>
      <c r="B651" s="112"/>
    </row>
    <row r="652" spans="1:2" ht="15" customHeight="1">
      <c r="A652" s="112"/>
      <c r="B652" s="112"/>
    </row>
    <row r="653" spans="1:2" ht="15" customHeight="1">
      <c r="A653" s="112"/>
      <c r="B653" s="112"/>
    </row>
    <row r="654" spans="1:2" ht="15" customHeight="1">
      <c r="A654" s="112"/>
      <c r="B654" s="112"/>
    </row>
    <row r="655" spans="1:2" ht="15" customHeight="1">
      <c r="A655" s="112"/>
      <c r="B655" s="112"/>
    </row>
    <row r="656" spans="1:2" ht="15" customHeight="1">
      <c r="A656" s="112"/>
      <c r="B656" s="112"/>
    </row>
    <row r="657" spans="1:2" ht="15" customHeight="1">
      <c r="A657" s="112"/>
      <c r="B657" s="112"/>
    </row>
    <row r="658" spans="1:2" ht="15" customHeight="1">
      <c r="A658" s="112"/>
      <c r="B658" s="112"/>
    </row>
    <row r="659" spans="1:2" ht="15" customHeight="1">
      <c r="A659" s="112"/>
      <c r="B659" s="112"/>
    </row>
    <row r="660" spans="1:2" ht="15" customHeight="1">
      <c r="A660" s="112"/>
      <c r="B660" s="112"/>
    </row>
    <row r="661" spans="1:2" ht="15" customHeight="1">
      <c r="A661" s="112"/>
      <c r="B661" s="112"/>
    </row>
    <row r="662" spans="1:2" ht="15" customHeight="1">
      <c r="A662" s="112"/>
      <c r="B662" s="112"/>
    </row>
    <row r="663" spans="1:2" ht="15" customHeight="1">
      <c r="A663" s="112"/>
      <c r="B663" s="112"/>
    </row>
    <row r="664" spans="1:2" ht="15" customHeight="1">
      <c r="A664" s="112"/>
      <c r="B664" s="112"/>
    </row>
    <row r="665" spans="1:2" ht="15" customHeight="1">
      <c r="A665" s="112"/>
      <c r="B665" s="112"/>
    </row>
    <row r="666" spans="1:2" ht="15" customHeight="1">
      <c r="A666" s="112"/>
      <c r="B666" s="112"/>
    </row>
    <row r="667" spans="1:2" ht="15" customHeight="1">
      <c r="A667" s="112"/>
      <c r="B667" s="112"/>
    </row>
    <row r="668" spans="1:2" ht="15" customHeight="1">
      <c r="A668" s="112"/>
      <c r="B668" s="112"/>
    </row>
    <row r="669" spans="1:2" ht="15" customHeight="1">
      <c r="A669" s="112"/>
      <c r="B669" s="112"/>
    </row>
    <row r="670" spans="1:2" ht="15" customHeight="1">
      <c r="A670" s="112"/>
      <c r="B670" s="112"/>
    </row>
    <row r="671" spans="1:2" ht="15" customHeight="1">
      <c r="A671" s="112"/>
      <c r="B671" s="112"/>
    </row>
    <row r="672" spans="1:2" ht="15" customHeight="1">
      <c r="A672" s="112"/>
      <c r="B672" s="112"/>
    </row>
    <row r="673" spans="1:2" ht="15" customHeight="1">
      <c r="A673" s="112"/>
      <c r="B673" s="112"/>
    </row>
    <row r="674" spans="1:2" ht="15" customHeight="1">
      <c r="A674" s="112"/>
      <c r="B674" s="112"/>
    </row>
    <row r="675" spans="1:2" ht="15" customHeight="1">
      <c r="A675" s="112"/>
      <c r="B675" s="112"/>
    </row>
    <row r="676" spans="1:2" ht="15" customHeight="1">
      <c r="A676" s="112"/>
      <c r="B676" s="112"/>
    </row>
    <row r="677" spans="1:2" ht="15" customHeight="1">
      <c r="A677" s="112"/>
      <c r="B677" s="112"/>
    </row>
    <row r="678" spans="1:2" ht="15" customHeight="1">
      <c r="A678" s="112"/>
      <c r="B678" s="112"/>
    </row>
    <row r="679" spans="1:2" ht="15" customHeight="1">
      <c r="A679" s="112"/>
      <c r="B679" s="112"/>
    </row>
    <row r="680" spans="1:2" ht="15" customHeight="1">
      <c r="A680" s="112"/>
      <c r="B680" s="112"/>
    </row>
    <row r="681" spans="1:2" ht="15" customHeight="1">
      <c r="A681" s="112"/>
      <c r="B681" s="112"/>
    </row>
    <row r="682" spans="1:2" ht="15" customHeight="1">
      <c r="A682" s="112"/>
      <c r="B682" s="112"/>
    </row>
    <row r="683" spans="1:2" ht="15" customHeight="1">
      <c r="A683" s="112"/>
      <c r="B683" s="112"/>
    </row>
    <row r="684" spans="1:2" ht="15" customHeight="1">
      <c r="A684" s="112"/>
      <c r="B684" s="112"/>
    </row>
    <row r="685" spans="1:2" ht="15" customHeight="1">
      <c r="A685" s="112"/>
      <c r="B685" s="112"/>
    </row>
    <row r="686" spans="1:2" ht="15" customHeight="1">
      <c r="A686" s="112"/>
      <c r="B686" s="112"/>
    </row>
    <row r="687" spans="1:2" ht="15" customHeight="1">
      <c r="A687" s="112"/>
      <c r="B687" s="112"/>
    </row>
    <row r="688" spans="1:2" ht="15" customHeight="1">
      <c r="A688" s="112"/>
      <c r="B688" s="112"/>
    </row>
    <row r="689" spans="1:2" ht="15" customHeight="1">
      <c r="A689" s="112"/>
      <c r="B689" s="112"/>
    </row>
    <row r="690" spans="1:2" ht="15" customHeight="1">
      <c r="A690" s="112"/>
      <c r="B690" s="112"/>
    </row>
    <row r="691" spans="1:2" ht="15" customHeight="1">
      <c r="A691" s="112"/>
      <c r="B691" s="112"/>
    </row>
    <row r="692" spans="1:2" ht="15" customHeight="1">
      <c r="A692" s="112"/>
      <c r="B692" s="112"/>
    </row>
    <row r="693" spans="1:2" ht="15" customHeight="1">
      <c r="A693" s="112"/>
      <c r="B693" s="112"/>
    </row>
    <row r="694" spans="1:2" ht="15" customHeight="1">
      <c r="A694" s="112"/>
      <c r="B694" s="112"/>
    </row>
    <row r="695" spans="1:2" ht="15" customHeight="1">
      <c r="A695" s="112"/>
      <c r="B695" s="112"/>
    </row>
    <row r="696" spans="1:2" ht="15" customHeight="1">
      <c r="A696" s="112"/>
      <c r="B696" s="112"/>
    </row>
    <row r="697" spans="1:2" ht="15" customHeight="1">
      <c r="A697" s="112"/>
      <c r="B697" s="112"/>
    </row>
    <row r="698" spans="1:2" ht="15" customHeight="1">
      <c r="A698" s="112"/>
      <c r="B698" s="112"/>
    </row>
    <row r="699" spans="1:2" ht="15" customHeight="1">
      <c r="A699" s="112"/>
      <c r="B699" s="112"/>
    </row>
    <row r="700" spans="1:2" ht="15" customHeight="1">
      <c r="A700" s="112"/>
      <c r="B700" s="112"/>
    </row>
    <row r="701" spans="1:2" ht="15" customHeight="1">
      <c r="A701" s="112"/>
      <c r="B701" s="112"/>
    </row>
    <row r="702" spans="1:2" ht="15" customHeight="1">
      <c r="A702" s="112"/>
      <c r="B702" s="112"/>
    </row>
    <row r="703" spans="1:2" ht="15" customHeight="1">
      <c r="A703" s="112"/>
      <c r="B703" s="112"/>
    </row>
    <row r="704" spans="1:2" ht="15" customHeight="1">
      <c r="A704" s="112"/>
      <c r="B704" s="112"/>
    </row>
    <row r="705" spans="1:2" ht="15" customHeight="1">
      <c r="A705" s="112"/>
      <c r="B705" s="112"/>
    </row>
    <row r="706" spans="1:2" ht="15" customHeight="1">
      <c r="A706" s="112"/>
      <c r="B706" s="112"/>
    </row>
    <row r="707" spans="1:2" ht="15" customHeight="1">
      <c r="A707" s="112"/>
      <c r="B707" s="112"/>
    </row>
    <row r="708" spans="1:2" ht="15" customHeight="1">
      <c r="A708" s="112"/>
      <c r="B708" s="112"/>
    </row>
    <row r="709" spans="1:2" ht="15" customHeight="1">
      <c r="A709" s="112"/>
      <c r="B709" s="112"/>
    </row>
    <row r="710" spans="1:2" ht="15" customHeight="1">
      <c r="A710" s="112"/>
      <c r="B710" s="112"/>
    </row>
    <row r="711" spans="1:2" ht="15" customHeight="1">
      <c r="A711" s="112"/>
      <c r="B711" s="112"/>
    </row>
    <row r="712" spans="1:2" ht="15" customHeight="1">
      <c r="A712" s="112"/>
      <c r="B712" s="112"/>
    </row>
    <row r="713" spans="1:2" ht="15" customHeight="1">
      <c r="A713" s="112"/>
      <c r="B713" s="112"/>
    </row>
    <row r="714" spans="1:2" ht="15" customHeight="1">
      <c r="A714" s="112"/>
      <c r="B714" s="112"/>
    </row>
    <row r="715" spans="1:2" ht="15" customHeight="1">
      <c r="A715" s="112"/>
      <c r="B715" s="112"/>
    </row>
    <row r="716" spans="1:2" ht="15" customHeight="1">
      <c r="A716" s="112"/>
      <c r="B716" s="112"/>
    </row>
    <row r="717" spans="1:2" ht="15" customHeight="1">
      <c r="A717" s="112"/>
      <c r="B717" s="112"/>
    </row>
    <row r="718" spans="1:2" ht="15" customHeight="1">
      <c r="A718" s="112"/>
      <c r="B718" s="112"/>
    </row>
    <row r="719" spans="1:2" ht="15" customHeight="1">
      <c r="A719" s="112"/>
      <c r="B719" s="112"/>
    </row>
    <row r="720" spans="1:2" ht="15" customHeight="1">
      <c r="A720" s="112"/>
      <c r="B720" s="112"/>
    </row>
    <row r="721" spans="1:2" ht="15" customHeight="1">
      <c r="A721" s="112"/>
      <c r="B721" s="112"/>
    </row>
    <row r="722" spans="1:2" ht="15" customHeight="1">
      <c r="A722" s="112"/>
      <c r="B722" s="112"/>
    </row>
    <row r="723" spans="1:2" ht="15" customHeight="1">
      <c r="A723" s="112"/>
      <c r="B723" s="112"/>
    </row>
    <row r="724" spans="1:2" ht="15" customHeight="1">
      <c r="A724" s="112"/>
      <c r="B724" s="112"/>
    </row>
    <row r="725" spans="1:2" ht="15" customHeight="1">
      <c r="A725" s="112"/>
      <c r="B725" s="112"/>
    </row>
    <row r="726" spans="1:2" ht="15" customHeight="1">
      <c r="A726" s="112"/>
      <c r="B726" s="112"/>
    </row>
    <row r="727" spans="1:2" ht="15" customHeight="1">
      <c r="A727" s="112"/>
      <c r="B727" s="112"/>
    </row>
    <row r="728" spans="1:2" ht="15" customHeight="1">
      <c r="A728" s="112"/>
      <c r="B728" s="112"/>
    </row>
    <row r="729" spans="1:2" ht="15" customHeight="1">
      <c r="A729" s="112"/>
      <c r="B729" s="112"/>
    </row>
    <row r="730" spans="1:2" ht="15" customHeight="1">
      <c r="A730" s="112"/>
      <c r="B730" s="112"/>
    </row>
    <row r="731" spans="1:2" ht="15" customHeight="1">
      <c r="A731" s="112"/>
      <c r="B731" s="112"/>
    </row>
    <row r="732" spans="1:2" ht="15" customHeight="1">
      <c r="A732" s="112"/>
      <c r="B732" s="112"/>
    </row>
    <row r="733" spans="1:2" ht="15" customHeight="1">
      <c r="A733" s="112"/>
      <c r="B733" s="112"/>
    </row>
    <row r="734" spans="1:2" ht="15" customHeight="1">
      <c r="A734" s="112"/>
      <c r="B734" s="112"/>
    </row>
    <row r="735" spans="1:2" ht="15" customHeight="1">
      <c r="A735" s="112"/>
      <c r="B735" s="112"/>
    </row>
    <row r="736" spans="1:2" ht="15" customHeight="1">
      <c r="A736" s="112"/>
      <c r="B736" s="112"/>
    </row>
    <row r="737" spans="1:2" ht="15" customHeight="1">
      <c r="A737" s="112"/>
      <c r="B737" s="112"/>
    </row>
    <row r="738" spans="1:2" ht="15" customHeight="1">
      <c r="A738" s="112"/>
      <c r="B738" s="112"/>
    </row>
    <row r="739" spans="1:2" ht="15" customHeight="1">
      <c r="A739" s="112"/>
      <c r="B739" s="112"/>
    </row>
    <row r="740" spans="1:2" ht="15" customHeight="1">
      <c r="A740" s="112"/>
      <c r="B740" s="112"/>
    </row>
    <row r="741" spans="1:2" ht="15" customHeight="1">
      <c r="A741" s="112"/>
      <c r="B741" s="112"/>
    </row>
    <row r="742" spans="1:2" ht="15" customHeight="1">
      <c r="A742" s="112"/>
      <c r="B742" s="112"/>
    </row>
    <row r="743" spans="1:2" ht="15" customHeight="1">
      <c r="A743" s="112"/>
      <c r="B743" s="112"/>
    </row>
    <row r="744" spans="1:2" ht="15" customHeight="1">
      <c r="A744" s="112"/>
      <c r="B744" s="112"/>
    </row>
    <row r="745" spans="1:2" ht="15" customHeight="1">
      <c r="A745" s="112"/>
      <c r="B745" s="112"/>
    </row>
    <row r="746" spans="1:2" ht="15" customHeight="1">
      <c r="A746" s="112"/>
      <c r="B746" s="112"/>
    </row>
    <row r="747" spans="1:2" ht="15" customHeight="1">
      <c r="A747" s="112"/>
      <c r="B747" s="112"/>
    </row>
    <row r="748" spans="1:2" ht="15" customHeight="1">
      <c r="A748" s="112"/>
      <c r="B748" s="112"/>
    </row>
    <row r="749" spans="1:2" ht="15" customHeight="1">
      <c r="A749" s="112"/>
      <c r="B749" s="112"/>
    </row>
    <row r="750" spans="1:2" ht="15" customHeight="1">
      <c r="A750" s="112"/>
      <c r="B750" s="112"/>
    </row>
    <row r="751" spans="1:2" ht="15" customHeight="1">
      <c r="A751" s="112"/>
      <c r="B751" s="112"/>
    </row>
    <row r="752" spans="1:2" ht="15" customHeight="1">
      <c r="A752" s="112"/>
      <c r="B752" s="112"/>
    </row>
    <row r="753" spans="1:2" ht="15" customHeight="1">
      <c r="A753" s="112"/>
      <c r="B753" s="112"/>
    </row>
    <row r="754" spans="1:2" ht="15" customHeight="1">
      <c r="A754" s="112"/>
      <c r="B754" s="112"/>
    </row>
    <row r="755" spans="1:2" ht="15" customHeight="1">
      <c r="A755" s="112"/>
      <c r="B755" s="112"/>
    </row>
    <row r="756" spans="1:2" ht="15" customHeight="1">
      <c r="A756" s="112"/>
      <c r="B756" s="112"/>
    </row>
    <row r="757" spans="1:2" ht="15" customHeight="1">
      <c r="A757" s="112"/>
      <c r="B757" s="112"/>
    </row>
    <row r="758" spans="1:2" ht="15" customHeight="1">
      <c r="A758" s="112"/>
      <c r="B758" s="112"/>
    </row>
    <row r="759" spans="1:2" ht="15" customHeight="1">
      <c r="A759" s="112"/>
      <c r="B759" s="112"/>
    </row>
    <row r="760" spans="1:2" ht="15" customHeight="1">
      <c r="A760" s="112"/>
      <c r="B760" s="112"/>
    </row>
    <row r="761" spans="1:2" ht="15" customHeight="1">
      <c r="A761" s="112"/>
      <c r="B761" s="112"/>
    </row>
    <row r="762" spans="1:2" ht="15" customHeight="1">
      <c r="A762" s="112"/>
      <c r="B762" s="112"/>
    </row>
    <row r="763" spans="1:2" ht="15" customHeight="1">
      <c r="A763" s="112"/>
      <c r="B763" s="112"/>
    </row>
    <row r="764" spans="1:2" ht="15" customHeight="1">
      <c r="A764" s="112"/>
      <c r="B764" s="112"/>
    </row>
    <row r="765" spans="1:2" ht="15" customHeight="1">
      <c r="A765" s="112"/>
      <c r="B765" s="112"/>
    </row>
    <row r="766" spans="1:2" ht="15" customHeight="1">
      <c r="A766" s="112"/>
      <c r="B766" s="112"/>
    </row>
    <row r="767" spans="1:2" ht="15" customHeight="1">
      <c r="A767" s="112"/>
      <c r="B767" s="112"/>
    </row>
    <row r="768" spans="1:2" ht="15" customHeight="1">
      <c r="A768" s="112"/>
      <c r="B768" s="112"/>
    </row>
    <row r="769" spans="1:2" ht="15" customHeight="1">
      <c r="A769" s="112"/>
      <c r="B769" s="112"/>
    </row>
    <row r="770" spans="1:2" ht="15" customHeight="1">
      <c r="A770" s="112"/>
      <c r="B770" s="112"/>
    </row>
    <row r="771" spans="1:2" ht="15" customHeight="1">
      <c r="A771" s="112"/>
      <c r="B771" s="112"/>
    </row>
    <row r="772" spans="1:2" ht="15" customHeight="1">
      <c r="A772" s="112"/>
      <c r="B772" s="112"/>
    </row>
    <row r="773" spans="1:2" ht="15" customHeight="1">
      <c r="A773" s="112"/>
      <c r="B773" s="112"/>
    </row>
    <row r="774" spans="1:2" ht="15" customHeight="1">
      <c r="A774" s="112"/>
      <c r="B774" s="112"/>
    </row>
    <row r="775" spans="1:2" ht="15" customHeight="1">
      <c r="A775" s="112"/>
      <c r="B775" s="112"/>
    </row>
    <row r="776" spans="1:2" ht="15" customHeight="1">
      <c r="A776" s="112"/>
      <c r="B776" s="112"/>
    </row>
    <row r="777" spans="1:2" ht="15" customHeight="1">
      <c r="A777" s="112"/>
      <c r="B777" s="112"/>
    </row>
    <row r="778" spans="1:2" ht="15" customHeight="1">
      <c r="A778" s="112"/>
      <c r="B778" s="112"/>
    </row>
    <row r="779" spans="1:2" ht="15" customHeight="1">
      <c r="A779" s="112"/>
      <c r="B779" s="112"/>
    </row>
    <row r="780" spans="1:2" ht="15" customHeight="1">
      <c r="A780" s="112"/>
      <c r="B780" s="112"/>
    </row>
    <row r="781" spans="1:2" ht="15" customHeight="1">
      <c r="A781" s="112"/>
      <c r="B781" s="112"/>
    </row>
    <row r="782" spans="1:2" ht="15" customHeight="1">
      <c r="A782" s="112"/>
      <c r="B782" s="112"/>
    </row>
    <row r="783" spans="1:2" ht="15" customHeight="1">
      <c r="A783" s="112"/>
      <c r="B783" s="112"/>
    </row>
    <row r="784" spans="1:2" ht="15" customHeight="1">
      <c r="A784" s="112"/>
      <c r="B784" s="112"/>
    </row>
    <row r="785" spans="1:2" ht="15" customHeight="1">
      <c r="A785" s="112"/>
      <c r="B785" s="112"/>
    </row>
    <row r="786" spans="1:2" ht="15" customHeight="1">
      <c r="A786" s="112"/>
      <c r="B786" s="112"/>
    </row>
    <row r="787" spans="1:2" ht="15" customHeight="1">
      <c r="A787" s="112"/>
      <c r="B787" s="112"/>
    </row>
    <row r="788" spans="1:2" ht="15" customHeight="1">
      <c r="A788" s="112"/>
      <c r="B788" s="112"/>
    </row>
    <row r="789" spans="1:2" ht="15" customHeight="1">
      <c r="A789" s="112"/>
      <c r="B789" s="112"/>
    </row>
    <row r="790" spans="1:2" ht="15" customHeight="1">
      <c r="A790" s="112"/>
      <c r="B790" s="112"/>
    </row>
    <row r="791" spans="1:2" ht="15" customHeight="1">
      <c r="A791" s="112"/>
      <c r="B791" s="112"/>
    </row>
    <row r="792" spans="1:2" ht="15" customHeight="1">
      <c r="A792" s="112"/>
      <c r="B792" s="112"/>
    </row>
    <row r="793" spans="1:2" ht="15" customHeight="1">
      <c r="A793" s="112"/>
      <c r="B793" s="112"/>
    </row>
    <row r="794" spans="1:2" ht="15" customHeight="1">
      <c r="A794" s="112"/>
      <c r="B794" s="112"/>
    </row>
    <row r="795" spans="1:2" ht="15" customHeight="1">
      <c r="A795" s="112"/>
      <c r="B795" s="112"/>
    </row>
    <row r="796" spans="1:2" ht="15" customHeight="1">
      <c r="A796" s="112"/>
      <c r="B796" s="112"/>
    </row>
    <row r="797" spans="1:2" ht="15" customHeight="1">
      <c r="A797" s="112"/>
      <c r="B797" s="112"/>
    </row>
    <row r="798" spans="1:2" ht="15" customHeight="1">
      <c r="A798" s="112"/>
      <c r="B798" s="112"/>
    </row>
    <row r="799" spans="1:2" ht="15" customHeight="1">
      <c r="A799" s="112"/>
      <c r="B799" s="112"/>
    </row>
    <row r="800" spans="1:2" ht="15" customHeight="1">
      <c r="A800" s="112"/>
      <c r="B800" s="112"/>
    </row>
    <row r="801" spans="1:2" ht="15" customHeight="1">
      <c r="A801" s="112"/>
      <c r="B801" s="112"/>
    </row>
    <row r="802" spans="1:2" ht="15" customHeight="1">
      <c r="A802" s="112"/>
      <c r="B802" s="112"/>
    </row>
    <row r="803" spans="1:2" ht="15" customHeight="1">
      <c r="A803" s="112"/>
      <c r="B803" s="112"/>
    </row>
    <row r="804" spans="1:2" ht="15" customHeight="1">
      <c r="A804" s="112"/>
      <c r="B804" s="112"/>
    </row>
    <row r="805" spans="1:2" ht="15" customHeight="1">
      <c r="A805" s="112"/>
      <c r="B805" s="112"/>
    </row>
    <row r="806" spans="1:2" ht="15" customHeight="1">
      <c r="A806" s="112"/>
      <c r="B806" s="112"/>
    </row>
    <row r="807" spans="1:2" ht="15" customHeight="1">
      <c r="A807" s="112"/>
      <c r="B807" s="112"/>
    </row>
    <row r="808" spans="1:2" ht="15" customHeight="1">
      <c r="A808" s="112"/>
      <c r="B808" s="112"/>
    </row>
    <row r="809" spans="1:2" ht="15" customHeight="1">
      <c r="A809" s="112"/>
      <c r="B809" s="112"/>
    </row>
    <row r="810" spans="1:2" ht="15" customHeight="1">
      <c r="A810" s="112"/>
      <c r="B810" s="112"/>
    </row>
    <row r="811" spans="1:2" ht="15" customHeight="1">
      <c r="A811" s="112"/>
      <c r="B811" s="112"/>
    </row>
    <row r="812" spans="1:2" ht="15" customHeight="1">
      <c r="A812" s="112"/>
      <c r="B812" s="112"/>
    </row>
    <row r="813" spans="1:2" ht="15" customHeight="1">
      <c r="A813" s="112"/>
      <c r="B813" s="112"/>
    </row>
    <row r="814" spans="1:2" ht="15" customHeight="1">
      <c r="A814" s="112"/>
      <c r="B814" s="112"/>
    </row>
    <row r="815" spans="1:2" ht="15" customHeight="1">
      <c r="A815" s="112"/>
      <c r="B815" s="112"/>
    </row>
    <row r="816" spans="1:2" ht="15" customHeight="1">
      <c r="A816" s="112"/>
      <c r="B816" s="112"/>
    </row>
    <row r="817" spans="1:2" ht="15" customHeight="1">
      <c r="A817" s="112"/>
      <c r="B817" s="112"/>
    </row>
    <row r="818" spans="1:2" ht="15" customHeight="1">
      <c r="A818" s="112"/>
      <c r="B818" s="112"/>
    </row>
    <row r="819" spans="1:2" ht="15" customHeight="1">
      <c r="A819" s="112"/>
      <c r="B819" s="112"/>
    </row>
    <row r="820" spans="1:2" ht="15" customHeight="1">
      <c r="A820" s="112"/>
      <c r="B820" s="112"/>
    </row>
    <row r="821" spans="1:2" ht="15" customHeight="1">
      <c r="A821" s="112"/>
      <c r="B821" s="112"/>
    </row>
    <row r="822" spans="1:2" ht="15" customHeight="1">
      <c r="A822" s="112"/>
      <c r="B822" s="112"/>
    </row>
    <row r="823" spans="1:2" ht="15" customHeight="1">
      <c r="A823" s="112"/>
      <c r="B823" s="112"/>
    </row>
    <row r="824" spans="1:2" ht="15" customHeight="1">
      <c r="A824" s="112"/>
      <c r="B824" s="112"/>
    </row>
    <row r="825" spans="1:2" ht="15" customHeight="1">
      <c r="A825" s="112"/>
      <c r="B825" s="112"/>
    </row>
    <row r="826" spans="1:2" ht="15" customHeight="1">
      <c r="A826" s="112"/>
      <c r="B826" s="112"/>
    </row>
    <row r="827" spans="1:2" ht="15" customHeight="1">
      <c r="A827" s="112"/>
      <c r="B827" s="112"/>
    </row>
    <row r="828" spans="1:2" ht="15" customHeight="1">
      <c r="A828" s="112"/>
      <c r="B828" s="112"/>
    </row>
    <row r="829" spans="1:2" ht="15" customHeight="1">
      <c r="A829" s="112"/>
      <c r="B829" s="112"/>
    </row>
    <row r="830" spans="1:2" ht="15" customHeight="1">
      <c r="A830" s="112"/>
      <c r="B830" s="112"/>
    </row>
    <row r="831" spans="1:2" ht="15" customHeight="1">
      <c r="A831" s="112"/>
      <c r="B831" s="112"/>
    </row>
    <row r="832" spans="1:2" ht="15" customHeight="1">
      <c r="A832" s="112"/>
      <c r="B832" s="112"/>
    </row>
    <row r="833" spans="1:2" ht="15" customHeight="1">
      <c r="A833" s="112"/>
      <c r="B833" s="112"/>
    </row>
    <row r="834" spans="1:2" ht="15" customHeight="1">
      <c r="A834" s="112"/>
      <c r="B834" s="112"/>
    </row>
    <row r="835" spans="1:2" ht="15" customHeight="1">
      <c r="A835" s="112"/>
      <c r="B835" s="112"/>
    </row>
    <row r="836" spans="1:2" ht="15" customHeight="1">
      <c r="A836" s="112"/>
      <c r="B836" s="112"/>
    </row>
    <row r="837" spans="1:2" ht="15" customHeight="1">
      <c r="A837" s="112"/>
      <c r="B837" s="112"/>
    </row>
    <row r="838" spans="1:2" ht="15" customHeight="1">
      <c r="A838" s="112"/>
      <c r="B838" s="112"/>
    </row>
    <row r="839" spans="1:2" ht="15" customHeight="1">
      <c r="A839" s="112"/>
      <c r="B839" s="112"/>
    </row>
    <row r="840" spans="1:2" ht="15" customHeight="1">
      <c r="A840" s="112"/>
      <c r="B840" s="112"/>
    </row>
    <row r="841" spans="1:2" ht="15" customHeight="1">
      <c r="A841" s="112"/>
      <c r="B841" s="112"/>
    </row>
    <row r="842" spans="1:2" ht="15" customHeight="1">
      <c r="A842" s="112"/>
      <c r="B842" s="112"/>
    </row>
    <row r="843" spans="1:2" ht="15" customHeight="1">
      <c r="A843" s="112"/>
      <c r="B843" s="112"/>
    </row>
    <row r="844" spans="1:2" ht="15" customHeight="1">
      <c r="A844" s="112"/>
      <c r="B844" s="112"/>
    </row>
    <row r="845" spans="1:2" ht="15" customHeight="1">
      <c r="A845" s="112"/>
      <c r="B845" s="112"/>
    </row>
    <row r="846" spans="1:2" ht="15" customHeight="1">
      <c r="A846" s="112"/>
      <c r="B846" s="112"/>
    </row>
    <row r="847" spans="1:2" ht="15" customHeight="1">
      <c r="A847" s="112"/>
      <c r="B847" s="112"/>
    </row>
    <row r="848" spans="1:2" ht="15" customHeight="1">
      <c r="A848" s="112"/>
      <c r="B848" s="112"/>
    </row>
    <row r="849" spans="1:2" ht="15" customHeight="1">
      <c r="A849" s="112"/>
      <c r="B849" s="112"/>
    </row>
    <row r="850" spans="1:2" ht="15" customHeight="1">
      <c r="A850" s="112"/>
      <c r="B850" s="112"/>
    </row>
    <row r="851" spans="1:2" ht="15" customHeight="1">
      <c r="A851" s="112"/>
      <c r="B851" s="112"/>
    </row>
    <row r="852" spans="1:2" ht="15" customHeight="1">
      <c r="A852" s="112"/>
      <c r="B852" s="112"/>
    </row>
    <row r="853" spans="1:2" ht="15" customHeight="1">
      <c r="A853" s="112"/>
      <c r="B853" s="112"/>
    </row>
    <row r="854" spans="1:2" ht="15" customHeight="1">
      <c r="A854" s="112"/>
      <c r="B854" s="112"/>
    </row>
    <row r="855" spans="1:2" ht="15" customHeight="1">
      <c r="A855" s="112"/>
      <c r="B855" s="112"/>
    </row>
    <row r="856" spans="1:2" ht="15" customHeight="1">
      <c r="A856" s="112"/>
      <c r="B856" s="112"/>
    </row>
    <row r="857" spans="1:2" ht="15" customHeight="1">
      <c r="A857" s="112"/>
      <c r="B857" s="112"/>
    </row>
    <row r="858" spans="1:2" ht="15" customHeight="1">
      <c r="A858" s="112"/>
      <c r="B858" s="112"/>
    </row>
    <row r="859" spans="1:2" ht="15" customHeight="1">
      <c r="A859" s="112"/>
      <c r="B859" s="112"/>
    </row>
    <row r="860" spans="1:2" ht="15" customHeight="1">
      <c r="A860" s="112"/>
      <c r="B860" s="112"/>
    </row>
    <row r="861" spans="1:2" ht="15" customHeight="1">
      <c r="A861" s="112"/>
      <c r="B861" s="112"/>
    </row>
    <row r="862" spans="1:2" ht="15" customHeight="1">
      <c r="A862" s="112"/>
      <c r="B862" s="112"/>
    </row>
    <row r="863" spans="1:2" ht="15" customHeight="1">
      <c r="A863" s="112"/>
      <c r="B863" s="112"/>
    </row>
    <row r="864" spans="1:2" ht="15" customHeight="1">
      <c r="A864" s="112"/>
      <c r="B864" s="112"/>
    </row>
    <row r="865" spans="1:2" ht="15" customHeight="1">
      <c r="A865" s="112"/>
      <c r="B865" s="112"/>
    </row>
    <row r="866" spans="1:2" ht="15" customHeight="1">
      <c r="A866" s="112"/>
      <c r="B866" s="112"/>
    </row>
    <row r="867" spans="1:2" ht="15" customHeight="1">
      <c r="A867" s="112"/>
      <c r="B867" s="112"/>
    </row>
    <row r="868" spans="1:2" ht="15" customHeight="1">
      <c r="A868" s="112"/>
      <c r="B868" s="112"/>
    </row>
    <row r="869" spans="1:2" ht="15" customHeight="1">
      <c r="A869" s="112"/>
      <c r="B869" s="112"/>
    </row>
    <row r="870" spans="1:2" ht="15" customHeight="1">
      <c r="A870" s="112"/>
      <c r="B870" s="112"/>
    </row>
    <row r="871" spans="1:2" ht="15" customHeight="1">
      <c r="A871" s="112"/>
      <c r="B871" s="112"/>
    </row>
    <row r="872" spans="1:2" ht="15" customHeight="1">
      <c r="A872" s="112"/>
      <c r="B872" s="112"/>
    </row>
    <row r="873" spans="1:2" ht="15" customHeight="1">
      <c r="A873" s="112"/>
      <c r="B873" s="112"/>
    </row>
    <row r="874" spans="1:2" ht="15" customHeight="1">
      <c r="A874" s="112"/>
      <c r="B874" s="112"/>
    </row>
    <row r="875" spans="1:2" ht="15" customHeight="1">
      <c r="A875" s="112"/>
      <c r="B875" s="112"/>
    </row>
    <row r="876" spans="1:2" ht="15" customHeight="1">
      <c r="A876" s="112"/>
      <c r="B876" s="112"/>
    </row>
    <row r="877" spans="1:2" ht="15" customHeight="1">
      <c r="A877" s="112"/>
      <c r="B877" s="112"/>
    </row>
    <row r="878" spans="1:2" ht="15" customHeight="1">
      <c r="A878" s="112"/>
      <c r="B878" s="112"/>
    </row>
    <row r="879" spans="1:2" ht="15" customHeight="1">
      <c r="A879" s="112"/>
      <c r="B879" s="112"/>
    </row>
    <row r="880" spans="1:2" ht="15" customHeight="1">
      <c r="A880" s="112"/>
      <c r="B880" s="112"/>
    </row>
    <row r="881" spans="1:2" ht="15" customHeight="1">
      <c r="A881" s="112"/>
      <c r="B881" s="112"/>
    </row>
    <row r="882" spans="1:2" ht="15" customHeight="1">
      <c r="A882" s="112"/>
      <c r="B882" s="112"/>
    </row>
    <row r="883" spans="1:2" ht="15" customHeight="1">
      <c r="A883" s="112"/>
      <c r="B883" s="112"/>
    </row>
    <row r="884" spans="1:2" ht="15" customHeight="1">
      <c r="A884" s="112"/>
      <c r="B884" s="112"/>
    </row>
    <row r="885" spans="1:2" ht="15" customHeight="1">
      <c r="A885" s="112"/>
      <c r="B885" s="112"/>
    </row>
    <row r="886" spans="1:2" ht="15" customHeight="1">
      <c r="A886" s="112"/>
      <c r="B886" s="112"/>
    </row>
    <row r="887" spans="1:2" ht="15" customHeight="1">
      <c r="A887" s="112"/>
      <c r="B887" s="112"/>
    </row>
    <row r="888" spans="1:2" ht="15" customHeight="1">
      <c r="A888" s="112"/>
      <c r="B888" s="112"/>
    </row>
    <row r="889" spans="1:2" ht="15" customHeight="1">
      <c r="A889" s="112"/>
      <c r="B889" s="112"/>
    </row>
    <row r="890" spans="1:2" ht="15" customHeight="1">
      <c r="A890" s="112"/>
      <c r="B890" s="112"/>
    </row>
    <row r="891" spans="1:2" ht="15" customHeight="1">
      <c r="A891" s="112"/>
      <c r="B891" s="112"/>
    </row>
    <row r="892" spans="1:2" ht="15" customHeight="1">
      <c r="A892" s="112"/>
      <c r="B892" s="112"/>
    </row>
    <row r="893" spans="1:2" ht="15" customHeight="1">
      <c r="A893" s="112"/>
      <c r="B893" s="112"/>
    </row>
    <row r="894" spans="1:2" ht="15" customHeight="1">
      <c r="A894" s="112"/>
      <c r="B894" s="112"/>
    </row>
    <row r="895" spans="1:2" ht="15" customHeight="1">
      <c r="A895" s="112"/>
      <c r="B895" s="112"/>
    </row>
    <row r="896" spans="1:2" ht="15" customHeight="1">
      <c r="A896" s="112"/>
      <c r="B896" s="112"/>
    </row>
    <row r="897" spans="1:2" ht="15" customHeight="1">
      <c r="A897" s="112"/>
      <c r="B897" s="112"/>
    </row>
    <row r="898" spans="1:2" ht="15" customHeight="1">
      <c r="A898" s="112"/>
      <c r="B898" s="112"/>
    </row>
    <row r="899" spans="1:2" ht="15" customHeight="1">
      <c r="A899" s="112"/>
      <c r="B899" s="112"/>
    </row>
    <row r="900" spans="1:2" ht="15" customHeight="1">
      <c r="A900" s="112"/>
      <c r="B900" s="112"/>
    </row>
    <row r="901" spans="1:2" ht="15" customHeight="1">
      <c r="A901" s="112"/>
      <c r="B901" s="112"/>
    </row>
    <row r="902" spans="1:2" ht="15" customHeight="1">
      <c r="A902" s="112"/>
      <c r="B902" s="112"/>
    </row>
    <row r="903" spans="1:2" ht="15" customHeight="1">
      <c r="A903" s="112"/>
      <c r="B903" s="112"/>
    </row>
    <row r="904" spans="1:2" ht="15" customHeight="1">
      <c r="A904" s="112"/>
      <c r="B904" s="112"/>
    </row>
    <row r="905" spans="1:2" ht="15" customHeight="1">
      <c r="A905" s="112"/>
      <c r="B905" s="112"/>
    </row>
    <row r="906" spans="1:2" ht="15" customHeight="1">
      <c r="A906" s="112"/>
      <c r="B906" s="112"/>
    </row>
    <row r="907" spans="1:2" ht="15" customHeight="1">
      <c r="A907" s="112"/>
      <c r="B907" s="112"/>
    </row>
    <row r="908" spans="1:2" ht="15" customHeight="1">
      <c r="A908" s="112"/>
      <c r="B908" s="112"/>
    </row>
    <row r="909" spans="1:2" ht="15" customHeight="1">
      <c r="A909" s="112"/>
      <c r="B909" s="112"/>
    </row>
    <row r="910" spans="1:2" ht="15" customHeight="1">
      <c r="A910" s="112"/>
      <c r="B910" s="112"/>
    </row>
    <row r="911" spans="1:2" ht="15" customHeight="1">
      <c r="A911" s="112"/>
      <c r="B911" s="112"/>
    </row>
    <row r="912" spans="1:2" ht="15" customHeight="1">
      <c r="A912" s="112"/>
      <c r="B912" s="112"/>
    </row>
    <row r="913" spans="1:2" ht="15" customHeight="1">
      <c r="A913" s="112"/>
      <c r="B913" s="112"/>
    </row>
    <row r="914" spans="1:2" ht="15" customHeight="1">
      <c r="A914" s="112"/>
      <c r="B914" s="112"/>
    </row>
    <row r="915" spans="1:2" ht="15" customHeight="1">
      <c r="A915" s="112"/>
      <c r="B915" s="112"/>
    </row>
    <row r="916" spans="1:2" ht="15" customHeight="1">
      <c r="A916" s="112"/>
      <c r="B916" s="112"/>
    </row>
    <row r="917" spans="1:2" ht="15" customHeight="1">
      <c r="A917" s="112"/>
      <c r="B917" s="112"/>
    </row>
    <row r="918" spans="1:2" ht="15" customHeight="1">
      <c r="A918" s="112"/>
      <c r="B918" s="112"/>
    </row>
    <row r="919" spans="1:2" ht="15" customHeight="1">
      <c r="A919" s="112"/>
      <c r="B919" s="112"/>
    </row>
    <row r="920" spans="1:2" ht="15" customHeight="1">
      <c r="A920" s="112"/>
      <c r="B920" s="112"/>
    </row>
    <row r="921" spans="1:2" ht="15" customHeight="1">
      <c r="A921" s="112"/>
      <c r="B921" s="112"/>
    </row>
    <row r="922" spans="1:2" ht="15" customHeight="1">
      <c r="A922" s="112"/>
      <c r="B922" s="112"/>
    </row>
    <row r="923" spans="1:2" ht="15" customHeight="1">
      <c r="A923" s="112"/>
      <c r="B923" s="112"/>
    </row>
    <row r="924" spans="1:2" ht="15" customHeight="1">
      <c r="A924" s="112"/>
      <c r="B924" s="112"/>
    </row>
    <row r="925" spans="1:2" ht="15" customHeight="1">
      <c r="A925" s="112"/>
      <c r="B925" s="112"/>
    </row>
    <row r="926" spans="1:2" ht="15" customHeight="1">
      <c r="A926" s="112"/>
      <c r="B926" s="112"/>
    </row>
    <row r="927" spans="1:2" ht="15" customHeight="1">
      <c r="A927" s="112"/>
      <c r="B927" s="112"/>
    </row>
    <row r="928" spans="1:2" ht="15" customHeight="1">
      <c r="A928" s="112"/>
      <c r="B928" s="112"/>
    </row>
    <row r="929" spans="1:2" ht="15" customHeight="1">
      <c r="A929" s="112"/>
      <c r="B929" s="112"/>
    </row>
    <row r="930" spans="1:2" ht="15" customHeight="1">
      <c r="A930" s="112"/>
      <c r="B930" s="112"/>
    </row>
    <row r="931" spans="1:2" ht="15" customHeight="1">
      <c r="A931" s="112"/>
      <c r="B931" s="112"/>
    </row>
    <row r="932" spans="1:2" ht="15" customHeight="1">
      <c r="A932" s="112"/>
      <c r="B932" s="112"/>
    </row>
    <row r="933" spans="1:2" ht="15" customHeight="1">
      <c r="A933" s="112"/>
      <c r="B933" s="112"/>
    </row>
    <row r="934" spans="1:2" ht="15" customHeight="1">
      <c r="A934" s="112"/>
      <c r="B934" s="112"/>
    </row>
    <row r="935" spans="1:2" ht="15" customHeight="1">
      <c r="A935" s="112"/>
      <c r="B935" s="112"/>
    </row>
    <row r="936" spans="1:2" ht="15" customHeight="1">
      <c r="A936" s="112"/>
      <c r="B936" s="112"/>
    </row>
    <row r="937" spans="1:2" ht="15" customHeight="1">
      <c r="A937" s="112"/>
      <c r="B937" s="112"/>
    </row>
    <row r="938" spans="1:2" ht="15" customHeight="1">
      <c r="A938" s="112"/>
      <c r="B938" s="112"/>
    </row>
    <row r="939" spans="1:2" ht="15" customHeight="1">
      <c r="A939" s="112"/>
      <c r="B939" s="112"/>
    </row>
    <row r="940" spans="1:2" ht="15" customHeight="1">
      <c r="A940" s="112"/>
      <c r="B940" s="112"/>
    </row>
    <row r="941" spans="1:2" ht="15" customHeight="1">
      <c r="A941" s="112"/>
      <c r="B941" s="112"/>
    </row>
    <row r="942" spans="1:2" ht="15" customHeight="1">
      <c r="A942" s="112"/>
      <c r="B942" s="112"/>
    </row>
    <row r="943" spans="1:2" ht="15" customHeight="1">
      <c r="A943" s="112"/>
      <c r="B943" s="112"/>
    </row>
    <row r="944" spans="1:2" ht="15" customHeight="1">
      <c r="A944" s="112"/>
      <c r="B944" s="112"/>
    </row>
    <row r="945" spans="1:2" ht="15" customHeight="1">
      <c r="A945" s="112"/>
      <c r="B945" s="112"/>
    </row>
    <row r="946" spans="1:2" ht="15" customHeight="1">
      <c r="A946" s="112"/>
      <c r="B946" s="112"/>
    </row>
    <row r="947" spans="1:2" ht="15" customHeight="1">
      <c r="A947" s="112"/>
      <c r="B947" s="112"/>
    </row>
    <row r="948" spans="1:2" ht="15" customHeight="1">
      <c r="A948" s="112"/>
      <c r="B948" s="112"/>
    </row>
    <row r="949" spans="1:2" ht="15" customHeight="1">
      <c r="A949" s="112"/>
      <c r="B949" s="112"/>
    </row>
    <row r="950" spans="1:2" ht="15" customHeight="1">
      <c r="A950" s="112"/>
      <c r="B950" s="112"/>
    </row>
    <row r="951" spans="1:2" ht="15" customHeight="1">
      <c r="A951" s="112"/>
      <c r="B951" s="112"/>
    </row>
    <row r="952" spans="1:2" ht="15" customHeight="1">
      <c r="A952" s="112"/>
      <c r="B952" s="112"/>
    </row>
    <row r="953" spans="1:2" ht="15" customHeight="1">
      <c r="A953" s="112"/>
      <c r="B953" s="112"/>
    </row>
    <row r="954" spans="1:2" ht="15" customHeight="1">
      <c r="A954" s="112"/>
      <c r="B954" s="112"/>
    </row>
    <row r="955" spans="1:2" ht="15" customHeight="1">
      <c r="A955" s="112"/>
      <c r="B955" s="112"/>
    </row>
    <row r="956" spans="1:2" ht="15" customHeight="1">
      <c r="A956" s="112"/>
      <c r="B956" s="112"/>
    </row>
    <row r="957" spans="1:2" ht="15" customHeight="1">
      <c r="A957" s="112"/>
      <c r="B957" s="112"/>
    </row>
    <row r="958" spans="1:2" ht="15" customHeight="1">
      <c r="A958" s="112"/>
      <c r="B958" s="112"/>
    </row>
    <row r="959" spans="1:2" ht="15" customHeight="1">
      <c r="A959" s="112"/>
      <c r="B959" s="112"/>
    </row>
    <row r="960" spans="1:2" ht="15" customHeight="1">
      <c r="A960" s="112"/>
      <c r="B960" s="112"/>
    </row>
    <row r="961" spans="1:2" ht="15" customHeight="1">
      <c r="A961" s="112"/>
      <c r="B961" s="112"/>
    </row>
    <row r="962" spans="1:2" ht="15" customHeight="1">
      <c r="A962" s="112"/>
      <c r="B962" s="112"/>
    </row>
    <row r="963" spans="1:2" ht="15" customHeight="1">
      <c r="A963" s="112"/>
      <c r="B963" s="112"/>
    </row>
    <row r="964" spans="1:2" ht="15" customHeight="1">
      <c r="A964" s="112"/>
      <c r="B964" s="112"/>
    </row>
    <row r="965" spans="1:2" ht="15" customHeight="1">
      <c r="A965" s="112"/>
      <c r="B965" s="112"/>
    </row>
    <row r="966" spans="1:2" ht="15" customHeight="1">
      <c r="A966" s="112"/>
      <c r="B966" s="112"/>
    </row>
    <row r="967" spans="1:2" ht="15" customHeight="1">
      <c r="A967" s="112"/>
      <c r="B967" s="112"/>
    </row>
    <row r="968" spans="1:2" ht="15" customHeight="1">
      <c r="A968" s="112"/>
      <c r="B968" s="112"/>
    </row>
    <row r="969" spans="1:2" ht="15" customHeight="1">
      <c r="A969" s="112"/>
      <c r="B969" s="112"/>
    </row>
    <row r="970" spans="1:2" ht="15" customHeight="1">
      <c r="A970" s="112"/>
      <c r="B970" s="112"/>
    </row>
    <row r="971" spans="1:2" ht="15" customHeight="1">
      <c r="A971" s="112"/>
      <c r="B971" s="112"/>
    </row>
    <row r="972" spans="1:2" ht="15" customHeight="1">
      <c r="A972" s="112"/>
      <c r="B972" s="112"/>
    </row>
    <row r="973" spans="1:2" ht="15" customHeight="1">
      <c r="A973" s="112"/>
      <c r="B973" s="112"/>
    </row>
    <row r="974" spans="1:2" ht="15" customHeight="1">
      <c r="A974" s="112"/>
      <c r="B974" s="112"/>
    </row>
    <row r="975" spans="1:2" ht="15" customHeight="1">
      <c r="A975" s="112"/>
      <c r="B975" s="112"/>
    </row>
    <row r="976" spans="1:2" ht="15" customHeight="1">
      <c r="A976" s="112"/>
      <c r="B976" s="112"/>
    </row>
    <row r="977" spans="1:2" ht="15" customHeight="1">
      <c r="A977" s="112"/>
      <c r="B977" s="112"/>
    </row>
    <row r="978" spans="1:2" ht="15" customHeight="1">
      <c r="A978" s="112"/>
      <c r="B978" s="112"/>
    </row>
    <row r="979" spans="1:2" ht="15" customHeight="1">
      <c r="A979" s="112"/>
      <c r="B979" s="112"/>
    </row>
    <row r="980" spans="1:2" ht="15" customHeight="1">
      <c r="A980" s="112"/>
      <c r="B980" s="112"/>
    </row>
    <row r="981" spans="1:2" ht="15" customHeight="1">
      <c r="A981" s="112"/>
      <c r="B981" s="112"/>
    </row>
    <row r="982" spans="1:2" ht="15" customHeight="1">
      <c r="A982" s="112"/>
      <c r="B982" s="112"/>
    </row>
    <row r="983" spans="1:2" ht="15" customHeight="1">
      <c r="A983" s="112"/>
      <c r="B983" s="112"/>
    </row>
    <row r="984" spans="1:2" ht="15" customHeight="1">
      <c r="A984" s="112"/>
      <c r="B984" s="112"/>
    </row>
    <row r="985" spans="1:2" ht="15" customHeight="1">
      <c r="A985" s="112"/>
      <c r="B985" s="112"/>
    </row>
    <row r="986" spans="1:2" ht="15" customHeight="1">
      <c r="A986" s="112"/>
      <c r="B986" s="112"/>
    </row>
    <row r="987" spans="1:2" ht="15" customHeight="1">
      <c r="A987" s="112"/>
      <c r="B987" s="112"/>
    </row>
    <row r="988" spans="1:2" ht="15" customHeight="1">
      <c r="A988" s="112"/>
      <c r="B988" s="112"/>
    </row>
    <row r="989" spans="1:2" ht="15" customHeight="1">
      <c r="A989" s="112"/>
      <c r="B989" s="112"/>
    </row>
  </sheetData>
  <mergeCells count="9">
    <mergeCell ref="A21:B21"/>
    <mergeCell ref="A27:B27"/>
    <mergeCell ref="A28:B28"/>
    <mergeCell ref="A34:A35"/>
    <mergeCell ref="A1:B1"/>
    <mergeCell ref="A2:B2"/>
    <mergeCell ref="A12:B12"/>
    <mergeCell ref="A13:B13"/>
    <mergeCell ref="A20:B20"/>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Lam Nguyen Duc</cp:lastModifiedBy>
  <cp:revision>0</cp:revision>
  <dcterms:created xsi:type="dcterms:W3CDTF">2026-05-12T11:22:22Z</dcterms:created>
  <dcterms:modified xsi:type="dcterms:W3CDTF">2026-09-28T04:34:50Z</dcterms:modified>
  <cp:category/>
  <cp:contentStatus/>
</cp:coreProperties>
</file>