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D:\FIS\MSB_AML\Test\TM\Testcase\"/>
    </mc:Choice>
  </mc:AlternateContent>
  <xr:revisionPtr revIDLastSave="1" documentId="13_ncr:1_{C916BC41-D874-45A7-8287-B78D84D2DDFE}" xr6:coauthVersionLast="47" xr6:coauthVersionMax="47" xr10:uidLastSave="{11A6E6F4-215B-4ACE-B421-81CB88B1C247}"/>
  <bookViews>
    <workbookView xWindow="0" yWindow="0" windowWidth="16388" windowHeight="8190" tabRatio="500" firstSheet="3" activeTab="3" xr2:uid="{00000000-000D-0000-FFFF-FFFF00000000}"/>
  </bookViews>
  <sheets>
    <sheet name="Cover" sheetId="1" r:id="rId1"/>
    <sheet name="Records" sheetId="2" r:id="rId2"/>
    <sheet name="Test Report" sheetId="3" r:id="rId3"/>
    <sheet name="ETL" sheetId="6" r:id="rId4"/>
    <sheet name="Legend" sheetId="5" r:id="rId5"/>
  </sheets>
  <definedNames>
    <definedName name="_xlnm._FilterDatabase" localSheetId="3" hidden="1">ETL!$A$21:$O$21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0" i="6" l="1"/>
  <c r="D20" i="6"/>
  <c r="C20" i="6"/>
  <c r="E19" i="6"/>
  <c r="D19" i="6"/>
  <c r="C19" i="6"/>
  <c r="E18" i="6"/>
  <c r="D18" i="6"/>
  <c r="C18" i="6"/>
  <c r="E17" i="6"/>
  <c r="D17" i="6"/>
  <c r="C17" i="6"/>
  <c r="E16" i="6"/>
  <c r="D16" i="6"/>
  <c r="C16" i="6"/>
  <c r="E15" i="6"/>
  <c r="D15" i="6"/>
  <c r="C15" i="6"/>
  <c r="E11" i="6"/>
  <c r="D11" i="6"/>
  <c r="C11" i="6"/>
  <c r="E10" i="6"/>
  <c r="D10" i="6"/>
  <c r="C10" i="6"/>
  <c r="E9" i="6"/>
  <c r="D9" i="6"/>
  <c r="C9" i="6"/>
  <c r="E8" i="6"/>
  <c r="D8" i="6"/>
  <c r="C8" i="6"/>
  <c r="E7" i="6"/>
  <c r="D7" i="6"/>
  <c r="C7" i="6"/>
  <c r="E6" i="6"/>
  <c r="D6" i="6"/>
  <c r="C6" i="6"/>
  <c r="B10" i="3"/>
  <c r="B8" i="3"/>
  <c r="B5" i="3"/>
  <c r="F20" i="6" l="1"/>
  <c r="G19" i="3" s="1"/>
  <c r="G18" i="3" s="1"/>
  <c r="F10" i="6"/>
  <c r="F16" i="3" s="1"/>
  <c r="F15" i="3" s="1"/>
  <c r="F15" i="6"/>
  <c r="B19" i="3" s="1"/>
  <c r="F7" i="6"/>
  <c r="C16" i="3" s="1"/>
  <c r="C15" i="3" s="1"/>
  <c r="D5" i="6"/>
  <c r="F16" i="6"/>
  <c r="C19" i="3" s="1"/>
  <c r="C18" i="3" s="1"/>
  <c r="F8" i="6"/>
  <c r="D16" i="3" s="1"/>
  <c r="D15" i="3" s="1"/>
  <c r="F17" i="6"/>
  <c r="D19" i="3" s="1"/>
  <c r="D18" i="3" s="1"/>
  <c r="F18" i="6"/>
  <c r="E19" i="3" s="1"/>
  <c r="E18" i="3" s="1"/>
  <c r="F19" i="6"/>
  <c r="F19" i="3" s="1"/>
  <c r="F18" i="3" s="1"/>
  <c r="F9" i="6"/>
  <c r="E16" i="3" s="1"/>
  <c r="E15" i="3" s="1"/>
  <c r="F11" i="6"/>
  <c r="G16" i="3" s="1"/>
  <c r="G15" i="3" s="1"/>
  <c r="C5" i="6"/>
  <c r="D14" i="6"/>
  <c r="E5" i="6"/>
  <c r="E14" i="6"/>
  <c r="F6" i="6"/>
  <c r="B16" i="3" s="1"/>
  <c r="C14" i="6"/>
  <c r="B18" i="3" l="1"/>
  <c r="H19" i="3"/>
  <c r="B15" i="3"/>
  <c r="H16" i="3"/>
  <c r="H18" i="3"/>
  <c r="H15" i="3"/>
  <c r="F14" i="6"/>
  <c r="F5" i="6"/>
  <c r="H21" i="3" l="1"/>
  <c r="H2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9" authorId="0" shapeId="0" xr:uid="{00000000-0006-0000-0100-000001000000}">
      <text>
        <r>
          <rPr>
            <sz val="10"/>
            <rFont val="Arial"/>
            <family val="2"/>
          </rPr>
          <t>PC:
A: Add
M: Modify
D: Delete</t>
        </r>
      </text>
    </comment>
  </commentList>
</comments>
</file>

<file path=xl/sharedStrings.xml><?xml version="1.0" encoding="utf-8"?>
<sst xmlns="http://schemas.openxmlformats.org/spreadsheetml/2006/main" count="864" uniqueCount="333">
  <si>
    <t>Test Report</t>
  </si>
  <si>
    <t>Project Name:</t>
  </si>
  <si>
    <t>DỰ ÁN TRIỂN KHAI BẢN QUYỀN PHẦN MỀM HỆ THỐNG AML MỚI</t>
  </si>
  <si>
    <t>Reviewer:</t>
  </si>
  <si>
    <t xml:space="preserve"> </t>
  </si>
  <si>
    <t>Document Code:</t>
  </si>
  <si>
    <t>Position:</t>
  </si>
  <si>
    <t>Originator:</t>
  </si>
  <si>
    <t>Reviewed Date:</t>
  </si>
  <si>
    <t>Approver:</t>
  </si>
  <si>
    <t>Created Date:</t>
  </si>
  <si>
    <t>Version:</t>
  </si>
  <si>
    <t>1.0</t>
  </si>
  <si>
    <t>Approved Date:</t>
  </si>
  <si>
    <t>TABLE OF CONTENT</t>
  </si>
  <si>
    <t>No</t>
  </si>
  <si>
    <t>Items</t>
  </si>
  <si>
    <t>Content</t>
  </si>
  <si>
    <t>Cover</t>
  </si>
  <si>
    <t>Records</t>
  </si>
  <si>
    <t>Record of changes</t>
  </si>
  <si>
    <t>This test report is used to summarize the testing status of the project</t>
  </si>
  <si>
    <t>ETL</t>
  </si>
  <si>
    <t>Testcase kiểm tra ETL (STG Batch) — đối chiếu dữ liệu core banking MSB với các bảng STG_* theo MSB_TM_DataMapping_STG_Batch v1.0</t>
  </si>
  <si>
    <t>Effective Date</t>
  </si>
  <si>
    <t>A, M, D</t>
  </si>
  <si>
    <t xml:space="preserve">Change Description </t>
  </si>
  <si>
    <t>New Version</t>
  </si>
  <si>
    <t>Author</t>
  </si>
  <si>
    <t>A</t>
  </si>
  <si>
    <t>Create new TC</t>
  </si>
  <si>
    <t>SYSTEM TEST REPORT</t>
  </si>
  <si>
    <t>Project</t>
  </si>
  <si>
    <t>Project manager</t>
  </si>
  <si>
    <t>Application</t>
  </si>
  <si>
    <t>Approved Date</t>
  </si>
  <si>
    <t>Consolidated By</t>
  </si>
  <si>
    <t>Reviewed By</t>
  </si>
  <si>
    <t>Build Versions</t>
  </si>
  <si>
    <t>Reviewed date</t>
  </si>
  <si>
    <t>Test Environment</t>
  </si>
  <si>
    <t>SIT</t>
  </si>
  <si>
    <t>Last Updated Date</t>
  </si>
  <si>
    <t>Test Execution Summary</t>
  </si>
  <si>
    <t>Reported by</t>
  </si>
  <si>
    <t>Date</t>
  </si>
  <si>
    <t>Test Results (Round1)</t>
  </si>
  <si>
    <t>Passed</t>
  </si>
  <si>
    <t>Failed</t>
  </si>
  <si>
    <t>Untested</t>
  </si>
  <si>
    <t>Accepted</t>
  </si>
  <si>
    <t>Pending</t>
  </si>
  <si>
    <t>Cancel</t>
  </si>
  <si>
    <t>Total</t>
  </si>
  <si>
    <t xml:space="preserve">Test cases </t>
  </si>
  <si>
    <t>Test Results (Round2)</t>
  </si>
  <si>
    <t>Test coverage</t>
  </si>
  <si>
    <t>Test successful coverage</t>
  </si>
  <si>
    <t>Issues</t>
  </si>
  <si>
    <t>1. Block testing issue</t>
  </si>
  <si>
    <t>2. Critical defects</t>
  </si>
  <si>
    <t xml:space="preserve">  </t>
  </si>
  <si>
    <t>Functions</t>
  </si>
  <si>
    <t>Build Version</t>
  </si>
  <si>
    <t>v1.0</t>
  </si>
  <si>
    <t>ROUND 1</t>
  </si>
  <si>
    <t>High</t>
  </si>
  <si>
    <t>Medium</t>
  </si>
  <si>
    <t>Low</t>
  </si>
  <si>
    <t>ROUND2</t>
  </si>
  <si>
    <t>STT</t>
  </si>
  <si>
    <t>Test case Id</t>
  </si>
  <si>
    <t>Test case Title</t>
  </si>
  <si>
    <t>Pre-conditions</t>
  </si>
  <si>
    <t>Test Steps</t>
  </si>
  <si>
    <t>Test Datas</t>
  </si>
  <si>
    <t>Expected result</t>
  </si>
  <si>
    <t>Priority</t>
  </si>
  <si>
    <t>Automation Status</t>
  </si>
  <si>
    <t>1st Test Results</t>
  </si>
  <si>
    <t>2nd Test Results</t>
  </si>
  <si>
    <t>3rd Test Results</t>
  </si>
  <si>
    <t>BugID</t>
  </si>
  <si>
    <t>Notes</t>
  </si>
  <si>
    <t>I. CU — Nhóm bảng chứa thông tin Khách hàng (Customer) (11 bảng / 33 testcase)</t>
  </si>
  <si>
    <t>I.1   STG_PARTY_MASTER — KH – thông tin định danh/nhân khẩu/tổ chức</t>
  </si>
  <si>
    <t>TM_ETL_CU_CUS_001</t>
  </si>
  <si>
    <t>Kiểm tra số lượng bản ghi</t>
  </si>
  <si>
    <t>Batch/job ETL đã chạy xong cho ngày dữ liệu kiểm thử (FIC_MIS_DATE = &amp;TEST_DATE).</t>
  </si>
  <si>
    <t>- Đếm số bản ghi bảng nguồn (hệ thống nguồn/bảng nguồn MSB (CHƯA xác định)) theo ngày dữ liệu kiểm thử
- Đếm số bản ghi bảng đích STG_PARTY_MASTER theo FIC_MIS_DATE
- So sánh 2 kết quả</t>
  </si>
  <si>
    <t>Số bản ghi của bảng nguồn = Số bản ghi của bảng đích STG_PARTY_MASTER, đã lọc theo điều kiện FIC_MIS_DATE = &amp;TEST_DATE</t>
  </si>
  <si>
    <t>N</t>
  </si>
  <si>
    <t>[Unverified] MSB chưa cung cấp bảng/trường nguồn (cột 'Bảng nguồn'/'Trường nguồn' trong file MSB_TM_DataMapping_STG_Batch_V1_0.xlsx còn trống cho bảng này) — xem AT-02 (nguồn FIC_MIS_DATE + dấu hiệu bản ghi mới/cập nhật, đăng ký V_DATA_ORIGIN); AT-09 (thống nhất danh mục codeset); AT-10 (nguồn quốc gia/quốc tịch ISO2 + bảng map) trong sheet '★ Action Tracker (MSB)' của file đó. Cập nhật cột 'Test Datas' sau khi có mapping.</t>
  </si>
  <si>
    <t>TM_ETL_CU_CUS_002</t>
  </si>
  <si>
    <t>Kiểm tra bản ghi trùng lặp</t>
  </si>
  <si>
    <t>Kiểm tra key tất cả các bản ghi trong bảng đích STG_PARTY_MASTER theo tổ hợp khóa chính (V_PARTY_ID, FIC_MIS_DATE), lọc theo FIC_MIS_DATE</t>
  </si>
  <si>
    <t>SELECT V_PARTY_ID, FIC_MIS_DATE, COUNT(*) AS SL
FROM   STG_PARTY_MASTER
WHERE  FIC_MIS_DATE = DATE '&amp;TEST_DATE'
GROUP  BY V_PARTY_ID, FIC_MIS_DATE
HAVING COUNT(*) &gt; 1;</t>
  </si>
  <si>
    <t>Không có bản ghi nào trùng key (câu SQL trả về 0 dòng)</t>
  </si>
  <si>
    <t>PK theo mapping v1.0.</t>
  </si>
  <si>
    <t>TM_ETL_CU_CUS_003</t>
  </si>
  <si>
    <t>Kiểm tra tính đồng nhất của các trường dữ liệu</t>
  </si>
  <si>
    <t>Check toàn bộ dữ liệu các trường trong bảng đích STG_PARTY_MASTER so với các trường trong bảng nguồn theo logic mapping (nguồn: hệ thống nguồn/bảng nguồn MSB (CHƯA xác định))</t>
  </si>
  <si>
    <t>Tất cả các trường có dữ liệu trong bảng nguồn theo logic mapping và bảng đích STG_PARTY_MASTER giống nhau (câu lệnh MINUS trả về 0 dòng).
Các cột đích cần đối chiếu (35): FIC_MIS_DATE, V_DATA_JURISDICTION, V_BUSINESS_DOMAIN, V_PARTY_ID, V_PARTY_NAME, V_DISPLAY_NM, V_PARTY_TYPE, D_DATE_OF_BIRTH, V_GENDER, V_NATIONALITY_COUNTRY, V_DOMICILE_COUNTRY, V_PROFESSION, V_ORG_CONSTITUENT_TYPE, V_INDUSTRY_CODE, D_INCORPORATION_DATE, V_PARTY_TAX_ID, V_BUSS_SEGMENT, N_KYC_RISK, D_START_DATE, V_DATA_ORIGIN, V_INCORPORATION_COUNTRY_CD, V_CITIZENSHIP_TYPE, V_BENEFICIAL_OWNER_CATEGORY, V_EMP_COMPANY, V_OCCUPATION_STATUS, V_EDUCATION, V_RESIDENCY_STATUS_INDICATOR, V_ADDRESS_OFF_FAX_NO, V_WEBSITE, V_BRANCH_CODE, V_JOB_TITLE, V_PARTY_FULL_NAME, V_PARTY_ALIAS, V_SECONDARY_CITIZENSHIP, F_SAR_STR_FLAG</t>
  </si>
  <si>
    <t>[Unverified] MSB chưa cung cấp bảng/trường nguồn (cột 'Bảng nguồn'/'Trường nguồn' trong file MSB_TM_DataMapping_STG_Batch_V1_0.xlsx còn trống cho bảng này) — xem AT-02 (nguồn FIC_MIS_DATE + dấu hiệu bản ghi mới/cập nhật, đăng ký V_DATA_ORIGIN); AT-09 (thống nhất danh mục codeset); AT-10 (nguồn quốc gia/quốc tịch ISO2 + bảng map) trong sheet '★ Action Tracker (MSB)' của file đó. Cập nhật cột 'Test Datas' (câu lệnh MINUS) sau khi có mapping.</t>
  </si>
  <si>
    <t>I.2   STG_ADDRESS_MASTER — Nội dung địa chỉ (mô hình OFSAA)</t>
  </si>
  <si>
    <t>TM_ETL_CU_ADR_001</t>
  </si>
  <si>
    <t>- Đếm số bản ghi bảng nguồn (hệ thống nguồn/bảng nguồn MSB (CHƯA xác định)) theo ngày dữ liệu kiểm thử
- Đếm số bản ghi bảng đích STG_ADDRESS_MASTER theo FIC_MIS_DATE
- So sánh 2 kết quả</t>
  </si>
  <si>
    <t>Số bản ghi của bảng nguồn = Số bản ghi của bảng đích STG_ADDRESS_MASTER, đã lọc theo điều kiện FIC_MIS_DATE = &amp;TEST_DATE</t>
  </si>
  <si>
    <t>[Unverified] MSB chưa cung cấp bảng/trường nguồn (cột 'Bảng nguồn'/'Trường nguồn' trong file MSB_TM_DataMapping_STG_Batch_V1_0.xlsx còn trống cho bảng này) — xem AT-02 (nguồn FIC_MIS_DATE + dấu hiệu bản ghi mới/cập nhật, đăng ký V_DATA_ORIGIN) trong sheet '★ Action Tracker (MSB)' của file đó. Cập nhật cột 'Test Datas' sau khi có mapping.</t>
  </si>
  <si>
    <t>TM_ETL_CU_ADR_002</t>
  </si>
  <si>
    <t>Kiểm tra key tất cả các bản ghi trong bảng đích STG_ADDRESS_MASTER theo tổ hợp khóa chính (FIC_MIS_DATE, V_ADDRESS_ID), lọc theo FIC_MIS_DATE</t>
  </si>
  <si>
    <t>SELECT FIC_MIS_DATE, V_ADDRESS_ID, COUNT(*) AS SL
FROM   STG_ADDRESS_MASTER
WHERE  FIC_MIS_DATE = DATE '&amp;TEST_DATE'
GROUP  BY FIC_MIS_DATE, V_ADDRESS_ID
HAVING COUNT(*) &gt; 1;</t>
  </si>
  <si>
    <t>TM_ETL_CU_ADR_003</t>
  </si>
  <si>
    <t>Check toàn bộ dữ liệu các trường trong bảng đích STG_ADDRESS_MASTER so với các trường trong bảng nguồn theo logic mapping (nguồn: hệ thống nguồn/bảng nguồn MSB (CHƯA xác định))</t>
  </si>
  <si>
    <t>Tất cả các trường có dữ liệu trong bảng nguồn theo logic mapping và bảng đích STG_ADDRESS_MASTER giống nhau (câu lệnh MINUS trả về 0 dòng).
Các cột đích cần đối chiếu (7): FIC_MIS_DATE, V_ADDRESS_ID, V_ADDRESS_LINE1, V_ADDRESS_LINE2, V_CITY, V_COUNTRY_CODE, V_DATA_ORIGIN
Các trường gán mặc định đã xác nhận (sheet '1. Cơ chế Load' / mapping): V_ADDRESS_ID=Sinh mã địa chỉ (PK) để liên kết STG_PARTY_ADDRESS_MAP; V_DATA_ORIGIN=Gán mặc định = 'MSB'.</t>
  </si>
  <si>
    <t>[Unverified] MSB chưa cung cấp bảng/trường nguồn (cột 'Bảng nguồn'/'Trường nguồn' trong file MSB_TM_DataMapping_STG_Batch_V1_0.xlsx còn trống cho bảng này) — xem AT-02 (nguồn FIC_MIS_DATE + dấu hiệu bản ghi mới/cập nhật, đăng ký V_DATA_ORIGIN) trong sheet '★ Action Tracker (MSB)' của file đó. Cập nhật cột 'Test Datas' (câu lệnh MINUS) sau khi có mapping.</t>
  </si>
  <si>
    <t>I.3   STG_PARTY_ADDRESS_MAP — Liên kết KH–địa chỉ + mục đích địa chỉ</t>
  </si>
  <si>
    <t>TM_ETL_CU_PAD_001</t>
  </si>
  <si>
    <t>- Đếm số bản ghi bảng nguồn (hệ thống nguồn/bảng nguồn MSB (CHƯA xác định)) theo ngày dữ liệu kiểm thử
- Đếm số bản ghi bảng đích STG_PARTY_ADDRESS_MAP theo FIC_MIS_DATE
- So sánh 2 kết quả</t>
  </si>
  <si>
    <t>Số bản ghi của bảng nguồn = Số bản ghi của bảng đích STG_PARTY_ADDRESS_MAP, đã lọc theo điều kiện FIC_MIS_DATE = &amp;TEST_DATE</t>
  </si>
  <si>
    <t>TM_ETL_CU_PAD_002</t>
  </si>
  <si>
    <t>Kiểm tra key tất cả các bản ghi trong bảng đích STG_PARTY_ADDRESS_MAP theo tổ hợp khóa chính (FIC_MIS_DATE, V_ADDRESS_ID, V_ADDRESS_PURPOSE_TYPE_CD, V_PARTY_ID), lọc theo FIC_MIS_DATE</t>
  </si>
  <si>
    <t>SELECT FIC_MIS_DATE, V_ADDRESS_ID, V_ADDRESS_PURPOSE_TYPE_CD, V_PARTY_ID, COUNT(*) AS SL
FROM   STG_PARTY_ADDRESS_MAP
WHERE  FIC_MIS_DATE = DATE '&amp;TEST_DATE'
GROUP  BY FIC_MIS_DATE, V_ADDRESS_ID, V_ADDRESS_PURPOSE_TYPE_CD, V_PARTY_ID
HAVING COUNT(*) &gt; 1;</t>
  </si>
  <si>
    <t>TM_ETL_CU_PAD_003</t>
  </si>
  <si>
    <t>Check toàn bộ dữ liệu các trường trong bảng đích STG_PARTY_ADDRESS_MAP so với các trường trong bảng nguồn theo logic mapping (nguồn: hệ thống nguồn/bảng nguồn MSB (CHƯA xác định))</t>
  </si>
  <si>
    <t>Tất cả các trường có dữ liệu trong bảng nguồn theo logic mapping và bảng đích STG_PARTY_ADDRESS_MAP giống nhau (câu lệnh MINUS trả về 0 dòng).
Các cột đích cần đối chiếu (5): FIC_MIS_DATE, V_ADDRESS_ID, V_ADDRESS_PURPOSE_TYPE_CD, V_PARTY_ID, N_SEQUENCE_NUMBER</t>
  </si>
  <si>
    <t>I.4   STG_PARTY_PHONE_MAP — Số điện thoại / fax của KH</t>
  </si>
  <si>
    <t>TM_ETL_CU_PHO_001</t>
  </si>
  <si>
    <t>- Đếm số bản ghi bảng nguồn (hệ thống nguồn/bảng nguồn MSB (CHƯA xác định)) theo ngày dữ liệu kiểm thử
- Đếm số bản ghi bảng đích STG_PARTY_PHONE_MAP theo FIC_MIS_DATE
- So sánh 2 kết quả</t>
  </si>
  <si>
    <t>Số bản ghi của bảng nguồn = Số bản ghi của bảng đích STG_PARTY_PHONE_MAP, đã lọc theo điều kiện FIC_MIS_DATE = &amp;TEST_DATE</t>
  </si>
  <si>
    <t>[Unverified] MSB chưa cung cấp bảng/trường nguồn (cột 'Bảng nguồn'/'Trường nguồn' trong file MSB_TM_DataMapping_STG_Batch_V1_0.xlsx còn trống cho bảng này) — xem AT-01 (quy tắc UNPIVOT SĐT/email + sinh V_PHONE_ID/V_EMAIL_ID) trong sheet '★ Action Tracker (MSB)' của file đó. Cập nhật cột 'Test Datas' sau khi có mapping.</t>
  </si>
  <si>
    <t>TM_ETL_CU_PHO_002</t>
  </si>
  <si>
    <t>Kiểm tra key tất cả các bản ghi trong bảng đích STG_PARTY_PHONE_MAP theo tổ hợp khóa chính (FIC_MIS_DATE, V_PARTY_ID, V_PHONE_ID, V_PHONE_PURPOSE_TYPE_CD), lọc theo FIC_MIS_DATE</t>
  </si>
  <si>
    <t>SELECT FIC_MIS_DATE, V_PARTY_ID, V_PHONE_ID, V_PHONE_PURPOSE_TYPE_CD, COUNT(*) AS SL
FROM   STG_PARTY_PHONE_MAP
WHERE  FIC_MIS_DATE = DATE '&amp;TEST_DATE'
GROUP  BY FIC_MIS_DATE, V_PARTY_ID, V_PHONE_ID, V_PHONE_PURPOSE_TYPE_CD
HAVING COUNT(*) &gt; 1;</t>
  </si>
  <si>
    <t>TM_ETL_CU_PHO_003</t>
  </si>
  <si>
    <t>Check toàn bộ dữ liệu các trường trong bảng đích STG_PARTY_PHONE_MAP so với các trường trong bảng nguồn theo logic mapping (nguồn: hệ thống nguồn/bảng nguồn MSB (CHƯA xác định))</t>
  </si>
  <si>
    <t>Tất cả các trường có dữ liệu trong bảng nguồn theo logic mapping và bảng đích STG_PARTY_PHONE_MAP giống nhau (câu lệnh MINUS trả về 0 dòng).
Các cột đích cần đối chiếu (6): FIC_MIS_DATE, V_PARTY_ID, V_PHONE_ID, V_PHONE_PURPOSE_TYPE_CD, N_SEQUENCE_NUMBER, V_PHONE_NUMBER</t>
  </si>
  <si>
    <t>[Unverified] MSB chưa cung cấp bảng/trường nguồn (cột 'Bảng nguồn'/'Trường nguồn' trong file MSB_TM_DataMapping_STG_Batch_V1_0.xlsx còn trống cho bảng này) — xem AT-01 (quy tắc UNPIVOT SĐT/email + sinh V_PHONE_ID/V_EMAIL_ID) trong sheet '★ Action Tracker (MSB)' của file đó. Cập nhật cột 'Test Datas' (câu lệnh MINUS) sau khi có mapping.</t>
  </si>
  <si>
    <t>I.5   STG_PARTY_EMAIL_MAP — Email của KH</t>
  </si>
  <si>
    <t>TM_ETL_CU_EML_001</t>
  </si>
  <si>
    <t>- Đếm số bản ghi bảng nguồn (hệ thống nguồn/bảng nguồn MSB (CHƯA xác định)) theo ngày dữ liệu kiểm thử
- Đếm số bản ghi bảng đích STG_PARTY_EMAIL_MAP theo FIC_MIS_DATE
- So sánh 2 kết quả</t>
  </si>
  <si>
    <t>Số bản ghi của bảng nguồn = Số bản ghi của bảng đích STG_PARTY_EMAIL_MAP, đã lọc theo điều kiện FIC_MIS_DATE = &amp;TEST_DATE</t>
  </si>
  <si>
    <t>TM_ETL_CU_EML_002</t>
  </si>
  <si>
    <t>Kiểm tra key tất cả các bản ghi trong bảng đích STG_PARTY_EMAIL_MAP theo tổ hợp khóa chính (FIC_MIS_DATE, V_EMAIL_ID, V_EMAIL_PURPOSE_TYPE_CD, V_PARTY_ID), lọc theo FIC_MIS_DATE</t>
  </si>
  <si>
    <t>SELECT FIC_MIS_DATE, V_EMAIL_ID, V_EMAIL_PURPOSE_TYPE_CD, V_PARTY_ID, COUNT(*) AS SL
FROM   STG_PARTY_EMAIL_MAP
WHERE  FIC_MIS_DATE = DATE '&amp;TEST_DATE'
GROUP  BY FIC_MIS_DATE, V_EMAIL_ID, V_EMAIL_PURPOSE_TYPE_CD, V_PARTY_ID
HAVING COUNT(*) &gt; 1;</t>
  </si>
  <si>
    <t>TM_ETL_CU_EML_003</t>
  </si>
  <si>
    <t>Check toàn bộ dữ liệu các trường trong bảng đích STG_PARTY_EMAIL_MAP so với các trường trong bảng nguồn theo logic mapping (nguồn: hệ thống nguồn/bảng nguồn MSB (CHƯA xác định))</t>
  </si>
  <si>
    <t>Tất cả các trường có dữ liệu trong bảng nguồn theo logic mapping và bảng đích STG_PARTY_EMAIL_MAP giống nhau (câu lệnh MINUS trả về 0 dòng).
Các cột đích cần đối chiếu (5): FIC_MIS_DATE, V_EMAIL_PURPOSE_TYPE_CD, V_PARTY_ID, N_SEQUENCE_NUMBER, V_EMAIL_ID</t>
  </si>
  <si>
    <t>I.6   STG_CUSTOMER_IDENTIFCTN_DOC — Giấy tờ định danh KH</t>
  </si>
  <si>
    <t>TM_ETL_CU_DOC_001</t>
  </si>
  <si>
    <t>- Đếm số bản ghi bảng nguồn (hệ thống nguồn/bảng nguồn MSB (CHƯA xác định)) theo ngày dữ liệu kiểm thử
- Đếm số bản ghi bảng đích STG_CUSTOMER_IDENTIFCTN_DOC theo FIC_MIS_DATE
- So sánh 2 kết quả</t>
  </si>
  <si>
    <t>Số bản ghi của bảng nguồn = Số bản ghi của bảng đích STG_CUSTOMER_IDENTIFCTN_DOC, đã lọc theo điều kiện FIC_MIS_DATE = &amp;TEST_DATE</t>
  </si>
  <si>
    <t>[Unverified] MSB chưa cung cấp bảng/trường nguồn (cột 'Bảng nguồn'/'Trường nguồn' trong file MSB_TM_DataMapping_STG_Batch_V1_0.xlsx còn trống cho bảng này) — xem AT-07 (nguồn V_DOCUMENT_NAME, V_RELATIONSHIP_DESC, sinh N_SEQUENCE_NUMBER) trong sheet '★ Action Tracker (MSB)' của file đó. Cập nhật cột 'Test Datas' sau khi có mapping.</t>
  </si>
  <si>
    <t>TM_ETL_CU_DOC_002</t>
  </si>
  <si>
    <t>Kiểm tra key tất cả các bản ghi trong bảng đích STG_CUSTOMER_IDENTIFCTN_DOC theo tổ hợp khóa chính (V_CUST_REF_CODE, V_DOC_TYPE_CODE, FIC_MIS_DATE, V_DOCUMENT_ID), lọc theo FIC_MIS_DATE</t>
  </si>
  <si>
    <t>SELECT V_CUST_REF_CODE, V_DOC_TYPE_CODE, FIC_MIS_DATE, V_DOCUMENT_ID, COUNT(*) AS SL
FROM   STG_CUSTOMER_IDENTIFCTN_DOC
WHERE  FIC_MIS_DATE = DATE '&amp;TEST_DATE'
GROUP  BY V_CUST_REF_CODE, V_DOC_TYPE_CODE, FIC_MIS_DATE, V_DOCUMENT_ID
HAVING COUNT(*) &gt; 1;</t>
  </si>
  <si>
    <t>TM_ETL_CU_DOC_003</t>
  </si>
  <si>
    <t>Check toàn bộ dữ liệu các trường trong bảng đích STG_CUSTOMER_IDENTIFCTN_DOC so với các trường trong bảng nguồn theo logic mapping (nguồn: hệ thống nguồn/bảng nguồn MSB (CHƯA xác định))</t>
  </si>
  <si>
    <t>Tất cả các trường có dữ liệu trong bảng nguồn theo logic mapping và bảng đích STG_CUSTOMER_IDENTIFCTN_DOC giống nhau (câu lệnh MINUS trả về 0 dòng).
Các cột đích cần đối chiếu (12): V_CUST_REF_CODE, FIC_MIS_DATE, V_DOCUMENT_ID, V_DOCUMENT_NAME, V_DATA_JURISDICTION, V_DOC_TYPE_CODE, V_DOC_REF_NO, D_DOC_ISSUE_DATE, D_DOC_EXPIRY_DATE, V_DOC_ISSUED_BY, V_ISO_COUNTRY_CODE, V_DATA_ORIGIN
Các trường gán mặc định đã xác nhận (sheet '1. Cơ chế Load' / mapping): V_DATA_ORIGIN=Gán mặc định = 'MSB'.</t>
  </si>
  <si>
    <t>[Unverified] MSB chưa cung cấp bảng/trường nguồn (cột 'Bảng nguồn'/'Trường nguồn' trong file MSB_TM_DataMapping_STG_Batch_V1_0.xlsx còn trống cho bảng này) — xem AT-07 (nguồn V_DOCUMENT_NAME, V_RELATIONSHIP_DESC, sinh N_SEQUENCE_NUMBER) trong sheet '★ Action Tracker (MSB)' của file đó. Cập nhật cột 'Test Datas' (câu lệnh MINUS) sau khi có mapping.</t>
  </si>
  <si>
    <t>I.7   STG_PARTY_PARTY_RELATIONSHIP — Quan hệ KH – bên liên quan (đại diện/CSHHL)</t>
  </si>
  <si>
    <t>TM_ETL_CU_REL_001</t>
  </si>
  <si>
    <t>- Đếm số bản ghi bảng nguồn (hệ thống nguồn/bảng nguồn MSB (CHƯA xác định)) theo ngày dữ liệu kiểm thử
- Đếm số bản ghi bảng đích STG_PARTY_PARTY_RELATIONSHIP theo FIC_MIS_DATE
- So sánh 2 kết quả</t>
  </si>
  <si>
    <t>Số bản ghi của bảng nguồn = Số bản ghi của bảng đích STG_PARTY_PARTY_RELATIONSHIP, đã lọc theo điều kiện FIC_MIS_DATE = &amp;TEST_DATE</t>
  </si>
  <si>
    <t>TM_ETL_CU_REL_002</t>
  </si>
  <si>
    <t>Kiểm tra key tất cả các bản ghi trong bảng đích STG_PARTY_PARTY_RELATIONSHIP theo tổ hợp khóa chính (V_PARTY_ID, FIC_MIS_DATE, V_RELATED_PARTY_ID, V_RELATIONSHIP_TYPE_CODE), lọc theo FIC_MIS_DATE</t>
  </si>
  <si>
    <t>SELECT V_PARTY_ID, FIC_MIS_DATE, V_RELATED_PARTY_ID, V_RELATIONSHIP_TYPE_CODE, COUNT(*) AS SL
FROM   STG_PARTY_PARTY_RELATIONSHIP
WHERE  FIC_MIS_DATE = DATE '&amp;TEST_DATE'
GROUP  BY V_PARTY_ID, FIC_MIS_DATE, V_RELATED_PARTY_ID, V_RELATIONSHIP_TYPE_CODE
HAVING COUNT(*) &gt; 1;</t>
  </si>
  <si>
    <t>TM_ETL_CU_REL_003</t>
  </si>
  <si>
    <t>Check toàn bộ dữ liệu các trường trong bảng đích STG_PARTY_PARTY_RELATIONSHIP so với các trường trong bảng nguồn theo logic mapping (nguồn: hệ thống nguồn/bảng nguồn MSB (CHƯA xác định))</t>
  </si>
  <si>
    <t>Tất cả các trường có dữ liệu trong bảng nguồn theo logic mapping và bảng đích STG_PARTY_PARTY_RELATIONSHIP giống nhau (câu lệnh MINUS trả về 0 dòng).
Các cột đích cần đối chiếu (7): V_PARTY_ID, FIC_MIS_DATE, V_RELATIONSHIP_DESC, V_RELATED_PARTY_ID, V_RELATIONSHIP_TYPE_CODE, D_RELATIONSHIP_EFF_DATE, V_DATA_ORIGIN
Các trường gán mặc định đã xác nhận (sheet '1. Cơ chế Load' / mapping): V_DATA_ORIGIN=Gán mặc định = 'MSB'.</t>
  </si>
  <si>
    <t>I.8   STG_PARTY_ROLE_MAP — Vai trò/trạng thái KH</t>
  </si>
  <si>
    <t>TM_ETL_CU_PRL_001</t>
  </si>
  <si>
    <t>- Đếm số bản ghi bảng nguồn (hệ thống nguồn/bảng nguồn MSB (CHƯA xác định)) theo ngày dữ liệu kiểm thử
- Đếm số bản ghi bảng đích STG_PARTY_ROLE_MAP theo FIC_MIS_DATE
- So sánh 2 kết quả</t>
  </si>
  <si>
    <t>Số bản ghi của bảng nguồn = Số bản ghi của bảng đích STG_PARTY_ROLE_MAP, đã lọc theo điều kiện FIC_MIS_DATE = &amp;TEST_DATE</t>
  </si>
  <si>
    <t>TM_ETL_CU_PRL_002</t>
  </si>
  <si>
    <t>Kiểm tra key tất cả các bản ghi trong bảng đích STG_PARTY_ROLE_MAP theo tổ hợp khóa chính (V_PARTY_ID, V_PARTY_ROLE, FIC_MIS_DATE), lọc theo FIC_MIS_DATE</t>
  </si>
  <si>
    <t>SELECT V_PARTY_ID, V_PARTY_ROLE, FIC_MIS_DATE, COUNT(*) AS SL
FROM   STG_PARTY_ROLE_MAP
WHERE  FIC_MIS_DATE = DATE '&amp;TEST_DATE'
GROUP  BY V_PARTY_ID, V_PARTY_ROLE, FIC_MIS_DATE
HAVING COUNT(*) &gt; 1;</t>
  </si>
  <si>
    <t>TM_ETL_CU_PRL_003</t>
  </si>
  <si>
    <t>Check toàn bộ dữ liệu các trường trong bảng đích STG_PARTY_ROLE_MAP so với các trường trong bảng nguồn theo logic mapping (nguồn: hệ thống nguồn/bảng nguồn MSB (CHƯA xác định))</t>
  </si>
  <si>
    <t>Tất cả các trường có dữ liệu trong bảng nguồn theo logic mapping và bảng đích STG_PARTY_ROLE_MAP giống nhau (câu lệnh MINUS trả về 0 dòng).
Các cột đích cần đối chiếu (5): V_PARTY_ID, V_PARTY_ROLE, FIC_MIS_DATE, V_PARTY_STATUS, V_DATA_ORIGIN
Các trường gán mặc định đã xác nhận (sheet '1. Cơ chế Load' / mapping): V_PARTY_ROLE=Gán mặc định = 'CUSTOMER'; V_DATA_ORIGIN=Gán mặc định = 'MSB'.</t>
  </si>
  <si>
    <t>I.9   STG_CORRESPONDENT_PROD_SERVED — Sản phẩm/dịch vụ KH đang dùng</t>
  </si>
  <si>
    <t>TM_ETL_CU_PRS_001</t>
  </si>
  <si>
    <t>- Đếm số bản ghi bảng nguồn (hệ thống nguồn/bảng nguồn MSB (CHƯA xác định)) theo ngày dữ liệu kiểm thử
- Đếm số bản ghi bảng đích STG_CORRESPONDENT_PROD_SERVED theo FIC_MIS_DATE
- So sánh 2 kết quả</t>
  </si>
  <si>
    <t>Số bản ghi của bảng nguồn = Số bản ghi của bảng đích STG_CORRESPONDENT_PROD_SERVED, đã lọc theo điều kiện FIC_MIS_DATE = &amp;TEST_DATE</t>
  </si>
  <si>
    <t>[Unverified] MSB chưa cung cấp bảng/trường nguồn (cột 'Bảng nguồn'/'Trường nguồn' trong file MSB_TM_DataMapping_STG_Batch_V1_0.xlsx còn trống cho bảng này) — xem AT-11 (rule 8 loại SP KH dùng + nguồn doanh số CTQT/TTTM) trong sheet '★ Action Tracker (MSB)' của file đó. Cập nhật cột 'Test Datas' sau khi có mapping.</t>
  </si>
  <si>
    <t>TM_ETL_CU_PRS_002</t>
  </si>
  <si>
    <t>Kiểm tra key tất cả các bản ghi trong bảng đích STG_CORRESPONDENT_PROD_SERVED theo tổ hợp khóa chính (FIC_MIS_DATE, V_CORR_FIN_INST_ID, V_PROD_CODE), lọc theo FIC_MIS_DATE</t>
  </si>
  <si>
    <t>SELECT FIC_MIS_DATE, V_CORR_FIN_INST_ID, V_PROD_CODE, COUNT(*) AS SL
FROM   STG_CORRESPONDENT_PROD_SERVED
WHERE  FIC_MIS_DATE = DATE '&amp;TEST_DATE'
GROUP  BY FIC_MIS_DATE, V_CORR_FIN_INST_ID, V_PROD_CODE
HAVING COUNT(*) &gt; 1;</t>
  </si>
  <si>
    <t>TM_ETL_CU_PRS_003</t>
  </si>
  <si>
    <t>Check toàn bộ dữ liệu các trường trong bảng đích STG_CORRESPONDENT_PROD_SERVED so với các trường trong bảng nguồn theo logic mapping (nguồn: hệ thống nguồn/bảng nguồn MSB (CHƯA xác định))</t>
  </si>
  <si>
    <t>Tất cả các trường có dữ liệu trong bảng nguồn theo logic mapping và bảng đích STG_CORRESPONDENT_PROD_SERVED giống nhau (câu lệnh MINUS trả về 0 dòng).
Các cột đích cần đối chiếu (4): FIC_MIS_DATE, V_CORR_FIN_INST_ID, V_PROD_CODE, V_DATA_ORIGIN
Các trường gán mặc định đã xác nhận (sheet '1. Cơ chế Load' / mapping): V_DATA_ORIGIN=Gán mặc định = 'MSB'.</t>
  </si>
  <si>
    <t>[Unverified] MSB chưa cung cấp bảng/trường nguồn (cột 'Bảng nguồn'/'Trường nguồn' trong file MSB_TM_DataMapping_STG_Batch_V1_0.xlsx còn trống cho bảng này) — xem AT-11 (rule 8 loại SP KH dùng + nguồn doanh số CTQT/TTTM) trong sheet '★ Action Tracker (MSB)' của file đó. Cập nhật cột 'Test Datas' (câu lệnh MINUS) sau khi có mapping.</t>
  </si>
  <si>
    <t>I.10   STG_PARTY_MSB_DETAILS — ★ Bảng custom MSB (mới) – cờ/quốc tịch bổ sung</t>
  </si>
  <si>
    <t>TM_ETL_CU_MSD_001</t>
  </si>
  <si>
    <t>- Đếm số bản ghi bảng nguồn (hệ thống nguồn/bảng nguồn MSB (CHƯA xác định)) theo ngày dữ liệu kiểm thử
- Đếm số bản ghi bảng đích STG_PARTY_MSB_DETAILS theo FIC_MIS_DATE
- So sánh 2 kết quả</t>
  </si>
  <si>
    <t>Số bản ghi của bảng nguồn = Số bản ghi của bảng đích STG_PARTY_MSB_DETAILS, đã lọc theo điều kiện FIC_MIS_DATE = &amp;TEST_DATE</t>
  </si>
  <si>
    <t>[Unverified] MSB chưa cung cấp bảng/trường nguồn (cột 'Bảng nguồn'/'Trường nguồn' trong file MSB_TM_DataMapping_STG_Batch_V1_0.xlsx còn trống cho bảng này) — xem AT-05 (nguồn/logic các cờ FDI, ngưỡng, quốc tịch 3-5) trong sheet '★ Action Tracker (MSB)' của file đó. ⚠ Bảng đích hiện là DDL ĐỀ XUẤT, FIS chưa tạo bảng — test case này chỉ chạy được sau khi bảng được tạo trong môi trường SIT. Cập nhật cột 'Test Datas' sau khi có mapping.</t>
  </si>
  <si>
    <t>TM_ETL_CU_MSD_002</t>
  </si>
  <si>
    <t>Kiểm tra key tất cả các bản ghi trong bảng đích STG_PARTY_MSB_DETAILS theo tổ hợp khóa chính (V_PARTY_ID, FIC_MIS_DATE), lọc theo FIC_MIS_DATE</t>
  </si>
  <si>
    <t>SELECT V_PARTY_ID, FIC_MIS_DATE, COUNT(*) AS SL
FROM   STG_PARTY_MSB_DETAILS
WHERE  FIC_MIS_DATE = DATE '&amp;TEST_DATE'
GROUP  BY V_PARTY_ID, FIC_MIS_DATE
HAVING COUNT(*) &gt; 1;</t>
  </si>
  <si>
    <t>⚠ PK hiện là ĐỀ XUẤT (V_PARTY_ID, FIC_MIS_DATE) — xác nhận lại khi FIS chốt DDL bảng. ⚠ Bảng đích hiện là DDL ĐỀ XUẤT, FIS chưa tạo bảng — test case này chỉ chạy được sau khi bảng được tạo trong môi trường SIT.</t>
  </si>
  <si>
    <t>TM_ETL_CU_MSD_003</t>
  </si>
  <si>
    <t>Check toàn bộ dữ liệu các trường trong bảng đích STG_PARTY_MSB_DETAILS so với các trường trong bảng nguồn theo logic mapping (nguồn: hệ thống nguồn/bảng nguồn MSB (CHƯA xác định))</t>
  </si>
  <si>
    <t>Tất cả các trường có dữ liệu trong bảng nguồn theo logic mapping và bảng đích STG_PARTY_MSB_DETAILS giống nhau (câu lệnh MINUS trả về 0 dòng).
Các cột đích cần đối chiếu (11): V_PARTY_ID, FIC_MIS_DATE, V_CITIZENSHIP_3, V_CITIZENSHIP_4, V_CITIZENSHIP_5, F_FDI_FLAG, F_INTL_REMIT_THRESHOLD_FLAG, F_TRADE_FIN_THRESHOLD_FLAG, F_DOM_PAYMENT_THRESHOLD_FLAG, F_HAS_DEPOSIT_PROD_FLAG, V_DATA_ORIGIN</t>
  </si>
  <si>
    <t>[Unverified] MSB chưa cung cấp bảng/trường nguồn (cột 'Bảng nguồn'/'Trường nguồn' trong file MSB_TM_DataMapping_STG_Batch_V1_0.xlsx còn trống cho bảng này) — xem AT-05 (nguồn/logic các cờ FDI, ngưỡng, quốc tịch 3-5) trong sheet '★ Action Tracker (MSB)' của file đó. ⚠ Bảng đích hiện là DDL ĐỀ XUẤT, FIS chưa tạo bảng — test case này chỉ chạy được sau khi bảng được tạo trong môi trường SIT. Cập nhật cột 'Test Datas' (câu lệnh MINUS) sau khi có mapping.</t>
  </si>
  <si>
    <t>I.11   STG_PARTY_TYPE_MASTER — Bảng danh mục OFSAA (IND/ORG) – FIS init insert</t>
  </si>
  <si>
    <t>TM_ETL_CU_PTY_001</t>
  </si>
  <si>
    <t>- Đếm số bản ghi bảng nguồn (danh mục chuẩn OOB / dữ liệu tham chiếu (KYC nếu có)) theo ngày dữ liệu kiểm thử
- Đếm số bản ghi bảng đích STG_PARTY_TYPE_MASTER theo FIC_MIS_DATE
- So sánh 2 kết quả</t>
  </si>
  <si>
    <t>Số bản ghi của bảng nguồn = Số bản ghi của bảng đích STG_PARTY_TYPE_MASTER, đã lọc theo điều kiện FIC_MIS_DATE = &amp;TEST_DATE</t>
  </si>
  <si>
    <t>[Unverified] Đây là bảng danh mục OOB do FIS init insert (không đổ trực tiếp từ core banking MSB). Danh sách giá trị chuẩn cần rà soát với MSB trước khi viết câu lệnh đếm/đối chiếu cụ thể. Cập nhật cột 'Test Datas' sau khi có mapping.</t>
  </si>
  <si>
    <t>TM_ETL_CU_PTY_002</t>
  </si>
  <si>
    <t>Kiểm tra key tất cả các bản ghi trong bảng đích STG_PARTY_TYPE_MASTER theo tổ hợp khóa chính (V_PARTY_TYPE_CODE, FIC_MIS_DATE), lọc theo FIC_MIS_DATE</t>
  </si>
  <si>
    <t>SELECT V_PARTY_TYPE_CODE, FIC_MIS_DATE, COUNT(*) AS SL
FROM   STG_PARTY_TYPE_MASTER
WHERE  FIC_MIS_DATE = DATE '&amp;TEST_DATE'
GROUP  BY V_PARTY_TYPE_CODE, FIC_MIS_DATE
HAVING COUNT(*) &gt; 1;</t>
  </si>
  <si>
    <t>TM_ETL_CU_PTY_003</t>
  </si>
  <si>
    <t>Check toàn bộ dữ liệu các trường trong bảng đích STG_PARTY_TYPE_MASTER so với các trường trong bảng nguồn theo logic mapping (nguồn: danh mục chuẩn OOB / dữ liệu tham chiếu (KYC nếu có))</t>
  </si>
  <si>
    <t>Tất cả các trường có dữ liệu trong bảng nguồn theo logic mapping và bảng đích STG_PARTY_TYPE_MASTER giống nhau (câu lệnh MINUS trả về 0 dòng).
Các cột đích cần đối chiếu (5): V_PARTY_TYPE_CODE, FIC_MIS_DATE, V_PARTY_TYPE_DESC, V_PARTY_CATEGORY, V_DATA_ORIGIN</t>
  </si>
  <si>
    <t>[Unverified] Đây là bảng danh mục OOB do FIS init insert (không đổ trực tiếp từ core banking MSB). Danh sách giá trị chuẩn cần rà soát với MSB trước khi viết câu lệnh đếm/đối chiếu cụ thể. Cập nhật cột 'Test Datas' (câu lệnh MINUS) sau khi có mapping.</t>
  </si>
  <si>
    <t>II. AC — Nhóm bảng chứa thông tin Tài khoản thanh toán (TKTT) (2 bảng / 6 testcase)</t>
  </si>
  <si>
    <t>II.1   STG_CASA — Tài khoản thanh toán (CASA)</t>
  </si>
  <si>
    <t>TM_ETL_AC_CSA_001</t>
  </si>
  <si>
    <t>- Đếm số bản ghi bảng nguồn (hệ thống nguồn/bảng nguồn MSB (CHƯA xác định)) theo ngày dữ liệu kiểm thử
- Đếm số bản ghi bảng đích STG_CASA theo FIC_MIS_DATE
- So sánh 2 kết quả</t>
  </si>
  <si>
    <t>Số bản ghi của bảng nguồn = Số bản ghi của bảng đích STG_CASA, đã lọc theo điều kiện FIC_MIS_DATE = &amp;TEST_DATE</t>
  </si>
  <si>
    <t>[Unverified] MSB chưa cung cấp bảng/trường nguồn (cột 'Bảng nguồn'/'Trường nguồn' trong file MSB_TM_DataMapping_STG_Batch_V1_0.xlsx còn trống cho bảng này) — xem AT-03 (nguồn + codeset V_MANTAS_ACCT_HOLDR_TYPE, V_OWNERSHIP_TYPE) trong sheet '★ Action Tracker (MSB)' của file đó. Cập nhật cột 'Test Datas' sau khi có mapping.</t>
  </si>
  <si>
    <t>TM_ETL_AC_CSA_002</t>
  </si>
  <si>
    <t>Kiểm tra key tất cả các bản ghi trong bảng đích STG_CASA theo tổ hợp khóa chính (V_ACCOUNT_NUMBER, FIC_MIS_DATE, N_LOAD_RUN_ID, V_GAAP_CODE), lọc theo FIC_MIS_DATE</t>
  </si>
  <si>
    <t>SELECT V_ACCOUNT_NUMBER, FIC_MIS_DATE, N_LOAD_RUN_ID, V_GAAP_CODE, COUNT(*) AS SL
FROM   STG_CASA
WHERE  FIC_MIS_DATE = DATE '&amp;TEST_DATE'
GROUP  BY V_ACCOUNT_NUMBER, FIC_MIS_DATE, N_LOAD_RUN_ID, V_GAAP_CODE
HAVING COUNT(*) &gt; 1;</t>
  </si>
  <si>
    <t>TM_ETL_AC_CSA_003</t>
  </si>
  <si>
    <t>Check toàn bộ dữ liệu các trường trong bảng đích STG_CASA so với các trường trong bảng nguồn theo logic mapping (nguồn: hệ thống nguồn/bảng nguồn MSB (CHƯA xác định))</t>
  </si>
  <si>
    <t>Tất cả các trường có dữ liệu trong bảng nguồn theo logic mapping và bảng đích STG_CASA giống nhau (câu lệnh MINUS trả về 0 dòng).
Các cột đích cần đối chiếu (21): FIC_MIS_DATE, N_LOAD_RUN_ID, V_GAAP_CODE, V_MANTAS_ACCT_HOLDR_TYPE, V_DATA_JURISDICTION, V_BUSINESS_DOMAIN, V_ACCOUNT_NUMBER, V_CUST_REF_CODE, V_ACCOUNT_TYPE_CODE, V_ACCT_DISPLAY_NAME, V_CCY_CODE, D_ACCT_OPEN_DATE, V_ACCT_STATUS_CODE, D_ACCT_STATUS_DATE, D_LAST_ACTIVITY_DATE, V_ACCOUNT_PURPOSE, V_OWNERSHIP_TYPE, V_BRANCH_CODE, N_EOP_BAL, V_DATA_ORIGIN, F_ESCROW_ACCOUNT_FLAG
Các trường gán mặc định đã xác nhận (sheet '1. Cơ chế Load' / mapping): N_LOAD_RUN_ID=Gán mặc định = 1; V_GAAP_CODE=Gán mặc định = 'VNGAAP'; V_DATA_ORIGIN=Gán mặc định = 'MSB'.</t>
  </si>
  <si>
    <t>[Unverified] MSB chưa cung cấp bảng/trường nguồn (cột 'Bảng nguồn'/'Trường nguồn' trong file MSB_TM_DataMapping_STG_Batch_V1_0.xlsx còn trống cho bảng này) — xem AT-03 (nguồn + codeset V_MANTAS_ACCT_HOLDR_TYPE, V_OWNERSHIP_TYPE) trong sheet '★ Action Tracker (MSB)' của file đó. Cập nhật cột 'Test Datas' (câu lệnh MINUS) sau khi có mapping.</t>
  </si>
  <si>
    <t>II.2   STG_PARTY_ACCOUNT_ROLE_MAP — Vai trò chủ thể trên TK</t>
  </si>
  <si>
    <t>TM_ETL_AC_PAR_001</t>
  </si>
  <si>
    <t>- Đếm số bản ghi bảng nguồn (hệ thống nguồn/bảng nguồn MSB (CHƯA xác định)) theo ngày dữ liệu kiểm thử
- Đếm số bản ghi bảng đích STG_PARTY_ACCOUNT_ROLE_MAP theo FIC_MIS_DATE
- So sánh 2 kết quả</t>
  </si>
  <si>
    <t>Số bản ghi của bảng nguồn = Số bản ghi của bảng đích STG_PARTY_ACCOUNT_ROLE_MAP, đã lọc theo điều kiện FIC_MIS_DATE = &amp;TEST_DATE</t>
  </si>
  <si>
    <t>TM_ETL_AC_PAR_002</t>
  </si>
  <si>
    <t>Kiểm tra key tất cả các bản ghi trong bảng đích STG_PARTY_ACCOUNT_ROLE_MAP theo tổ hợp khóa chính (V_ACCOUNT_NUMBER, V_PARTY_ID, V_ACCT_PARTY_ROLE, FIC_MIS_DATE, D_ROLE_EFFECTIVE_DATE), lọc theo FIC_MIS_DATE</t>
  </si>
  <si>
    <t>SELECT V_ACCOUNT_NUMBER, V_PARTY_ID, V_ACCT_PARTY_ROLE, FIC_MIS_DATE, D_ROLE_EFFECTIVE_DATE, COUNT(*) AS SL
FROM   STG_PARTY_ACCOUNT_ROLE_MAP
WHERE  FIC_MIS_DATE = DATE '&amp;TEST_DATE'
GROUP  BY V_ACCOUNT_NUMBER, V_PARTY_ID, V_ACCT_PARTY_ROLE, FIC_MIS_DATE, D_ROLE_EFFECTIVE_DATE
HAVING COUNT(*) &gt; 1;</t>
  </si>
  <si>
    <t>TM_ETL_AC_PAR_003</t>
  </si>
  <si>
    <t>Check toàn bộ dữ liệu các trường trong bảng đích STG_PARTY_ACCOUNT_ROLE_MAP so với các trường trong bảng nguồn theo logic mapping (nguồn: hệ thống nguồn/bảng nguồn MSB (CHƯA xác định))</t>
  </si>
  <si>
    <t>Tất cả các trường có dữ liệu trong bảng nguồn theo logic mapping và bảng đích STG_PARTY_ACCOUNT_ROLE_MAP giống nhau (câu lệnh MINUS trả về 0 dòng).
Các cột đích cần đối chiếu (7): FIC_MIS_DATE, V_ACCOUNT_NUMBER, V_PARTY_ID, V_ACCT_PARTY_ROLE, D_ROLE_EFFECTIVE_DATE, V_ACCT_PARTY_OPERATN_ROLE_CD, V_DATA_ORIGIN
Các trường gán mặc định đã xác nhận (sheet '1. Cơ chế Load' / mapping): V_DATA_ORIGIN=Gán mặc định = 'MSB'.</t>
  </si>
  <si>
    <t>III. TXN — Nhóm bảng chứa thông tin Giao dịch (GD) (5 bảng / 15 testcase)</t>
  </si>
  <si>
    <t>III.1   STG_CASA_TXNS — Giao dịch trên TKTT</t>
  </si>
  <si>
    <t>TM_ETL_TXN_CTX_001</t>
  </si>
  <si>
    <t>- Đếm số bản ghi bảng nguồn (hệ thống nguồn/bảng nguồn MSB (CHƯA xác định)) theo ngày dữ liệu kiểm thử
- Đếm số bản ghi bảng đích STG_CASA_TXNS theo FIC_MIS_DATE
- So sánh 2 kết quả</t>
  </si>
  <si>
    <t>Số bản ghi của bảng nguồn = Số bản ghi của bảng đích STG_CASA_TXNS, đã lọc theo điều kiện FIC_MIS_DATE = &amp;TEST_DATE</t>
  </si>
  <si>
    <t>[Unverified] MSB chưa cung cấp bảng/trường nguồn (cột 'Bảng nguồn'/'Trường nguồn' trong file MSB_TM_DataMapping_STG_Batch_V1_0.xlsx còn trống cho bảng này) — xem AT-04 (nguồn V_MANTAS_TXN_ASSET_CLASS_CD); AT-12 (nguồn cờ GD ví điện tử &amp; cross-border) trong sheet '★ Action Tracker (MSB)' của file đó. Cập nhật cột 'Test Datas' sau khi có mapping.</t>
  </si>
  <si>
    <t>TM_ETL_TXN_CTX_002</t>
  </si>
  <si>
    <t>Kiểm tra key tất cả các bản ghi trong bảng đích STG_CASA_TXNS theo tổ hợp khóa chính (V_TXN_REF_NO, FIC_MIS_DATE), lọc theo FIC_MIS_DATE</t>
  </si>
  <si>
    <t>SELECT V_TXN_REF_NO, FIC_MIS_DATE, COUNT(*) AS SL
FROM   STG_CASA_TXNS
WHERE  FIC_MIS_DATE = DATE '&amp;TEST_DATE'
GROUP  BY V_TXN_REF_NO, FIC_MIS_DATE
HAVING COUNT(*) &gt; 1;</t>
  </si>
  <si>
    <t>TM_ETL_TXN_CTX_003</t>
  </si>
  <si>
    <t>Check toàn bộ dữ liệu các trường trong bảng đích STG_CASA_TXNS so với các trường trong bảng nguồn theo logic mapping (nguồn: hệ thống nguồn/bảng nguồn MSB (CHƯA xác định))</t>
  </si>
  <si>
    <t>Tất cả các trường có dữ liệu trong bảng nguồn theo logic mapping và bảng đích STG_CASA_TXNS giống nhau (câu lệnh MINUS trả về 0 dòng).
Các cột đích cần đối chiếu (24): FIC_MIS_DATE, V_MANTAS_TXN_ASSET_CLASS_CD, V_TXN_REF_NO, V_ACCOUNT_NUMBER, F_DRCR_INDICATOR, N_TXN_AMT, V_TXN_CCY_CODE, D_TXN_VALUE_DATE, D_EXECUTION_TIME, V_MANTAS_TXN_PROD_TYPE_CD, V_MANTAS_TXN_PURPOSE_CD, V_MANTAS_TXN_CHANNEL_CD, V_DATA_ORIGIN, F_CROSS_BORDER_TXN_FLAG, V_ORIGNTR_TO_BENFCRY_INSTRCTNS, V_TXN_TELLER_ID, V_BRANCH_CODE, D_TXN_POSTING_DATE, V_ON_US_OFF_US_IND, V_PAYMENT_SETTL_SYSTEM_CODE, V_TXN_ORIGIN_COUNTRY_ID, F_PASS_THROUGH_FLAG, V_ORIGINAL_TXN_REF_NO, F_CANCELING_INDICATOR
Các trường gán mặc định đã xác nhận (sheet '1. Cơ chế Load' / mapping): V_DATA_ORIGIN=Gán mặc định = 'MSB'.</t>
  </si>
  <si>
    <t>[Unverified] MSB chưa cung cấp bảng/trường nguồn (cột 'Bảng nguồn'/'Trường nguồn' trong file MSB_TM_DataMapping_STG_Batch_V1_0.xlsx còn trống cho bảng này) — xem AT-04 (nguồn V_MANTAS_TXN_ASSET_CLASS_CD); AT-12 (nguồn cờ GD ví điện tử &amp; cross-border) trong sheet '★ Action Tracker (MSB)' của file đó. Cập nhật cột 'Test Datas' (câu lệnh MINUS) sau khi có mapping.</t>
  </si>
  <si>
    <t>III.2   STG_TXN_ALT_CCY_VALUES — Giá trị GD theo tiền tệ khác</t>
  </si>
  <si>
    <t>TM_ETL_TXN_ACV_001</t>
  </si>
  <si>
    <t>- Đếm số bản ghi bảng nguồn (hệ thống nguồn/bảng nguồn MSB (CHƯA xác định)) theo ngày dữ liệu kiểm thử
- Đếm số bản ghi bảng đích STG_TXN_ALT_CCY_VALUES theo FIC_MIS_DATE
- So sánh 2 kết quả</t>
  </si>
  <si>
    <t>Số bản ghi của bảng nguồn = Số bản ghi của bảng đích STG_TXN_ALT_CCY_VALUES, đã lọc theo điều kiện FIC_MIS_DATE = &amp;TEST_DATE</t>
  </si>
  <si>
    <t>TM_ETL_TXN_ACV_002</t>
  </si>
  <si>
    <t>Kiểm tra key tất cả các bản ghi trong bảng đích STG_TXN_ALT_CCY_VALUES theo tổ hợp khóa chính (FIC_MIS_DATE, V_TXN_REF_NO), lọc theo FIC_MIS_DATE</t>
  </si>
  <si>
    <t>SELECT FIC_MIS_DATE, V_TXN_REF_NO, COUNT(*) AS SL
FROM   STG_TXN_ALT_CCY_VALUES
WHERE  FIC_MIS_DATE = DATE '&amp;TEST_DATE'
GROUP  BY FIC_MIS_DATE, V_TXN_REF_NO
HAVING COUNT(*) &gt; 1;</t>
  </si>
  <si>
    <t>TM_ETL_TXN_ACV_003</t>
  </si>
  <si>
    <t>Check toàn bộ dữ liệu các trường trong bảng đích STG_TXN_ALT_CCY_VALUES so với các trường trong bảng nguồn theo logic mapping (nguồn: hệ thống nguồn/bảng nguồn MSB (CHƯA xác định))</t>
  </si>
  <si>
    <t>Tất cả các trường có dữ liệu trong bảng nguồn theo logic mapping và bảng đích STG_TXN_ALT_CCY_VALUES giống nhau (câu lệnh MINUS trả về 0 dòng).
Các cột đích cần đối chiếu (4): FIC_MIS_DATE, V_TXN_REF_NO, N_TXN_AMOUNT_RCY, N_TXN_AMOUNT_FCY</t>
  </si>
  <si>
    <t>III.3   STG_FRONT_OFFICE_TXN_PARTY — Bên đối ứng của giao dịch</t>
  </si>
  <si>
    <t>TM_ETL_TXN_FOP_001</t>
  </si>
  <si>
    <t>- Đếm số bản ghi bảng nguồn (hệ thống nguồn/bảng nguồn MSB (CHƯA xác định)) theo ngày dữ liệu kiểm thử
- Đếm số bản ghi bảng đích STG_FRONT_OFFICE_TXN_PARTY theo FIC_MIS_DATE
- So sánh 2 kết quả</t>
  </si>
  <si>
    <t>Số bản ghi của bảng nguồn = Số bản ghi của bảng đích STG_FRONT_OFFICE_TXN_PARTY, đã lọc theo điều kiện FIC_MIS_DATE = &amp;TEST_DATE</t>
  </si>
  <si>
    <t>TM_ETL_TXN_FOP_002</t>
  </si>
  <si>
    <t>Kiểm tra key tất cả các bản ghi trong bảng đích STG_FRONT_OFFICE_TXN_PARTY theo tổ hợp khóa chính (V_PARTY_ROLE, V_TXN_REF_NO, FIC_MIS_DATE), lọc theo FIC_MIS_DATE</t>
  </si>
  <si>
    <t>SELECT V_PARTY_ROLE, V_TXN_REF_NO, FIC_MIS_DATE, COUNT(*) AS SL
FROM   STG_FRONT_OFFICE_TXN_PARTY
WHERE  FIC_MIS_DATE = DATE '&amp;TEST_DATE'
GROUP  BY V_PARTY_ROLE, V_TXN_REF_NO, FIC_MIS_DATE
HAVING COUNT(*) &gt; 1;</t>
  </si>
  <si>
    <t>TM_ETL_TXN_FOP_003</t>
  </si>
  <si>
    <t>Check toàn bộ dữ liệu các trường trong bảng đích STG_FRONT_OFFICE_TXN_PARTY so với các trường trong bảng nguồn theo logic mapping (nguồn: hệ thống nguồn/bảng nguồn MSB (CHƯA xác định))</t>
  </si>
  <si>
    <t>Tất cả các trường có dữ liệu trong bảng nguồn theo logic mapping và bảng đích STG_FRONT_OFFICE_TXN_PARTY giống nhau (câu lệnh MINUS trả về 0 dòng).
Các cột đích cần đối chiếu (11): V_TXN_REF_NO, FIC_MIS_DATE, V_PARTY_ROLE, V_PARTY_NAME, V_PARTY_ID, V_PARTY_ID_TYPE, V_PARTY_ID_ISSUER, V_ISO_COUNTRY_CODE, V_ADDRESS_LINE_1, F_INTERNAL_ACCOUNT_FLAG, V_DATA_ORIGIN
Các trường gán mặc định đã xác nhận (sheet '1. Cơ chế Load' / mapping): V_DATA_ORIGIN=Gán mặc định = 'MSB'.</t>
  </si>
  <si>
    <t>III.4   STG_PARTY_MSB_LOGIN — ★ Bảng custom MSB (mới) – phiên đăng nhập IB/MB</t>
  </si>
  <si>
    <t>TM_ETL_TXN_LOG_001</t>
  </si>
  <si>
    <t>- Đếm số bản ghi bảng nguồn (hệ thống nguồn/bảng nguồn MSB (CHƯA xác định)) theo ngày dữ liệu kiểm thử
- Đếm số bản ghi bảng đích STG_PARTY_MSB_LOGIN theo FIC_MIS_DATE
- So sánh 2 kết quả</t>
  </si>
  <si>
    <t>Số bản ghi của bảng nguồn = Số bản ghi của bảng đích STG_PARTY_MSB_LOGIN, đã lọc theo điều kiện FIC_MIS_DATE = &amp;TEST_DATE</t>
  </si>
  <si>
    <t>[Unverified] MSB chưa cung cấp bảng/trường nguồn (cột 'Bảng nguồn'/'Trường nguồn' trong file MSB_TM_DataMapping_STG_Batch_V1_0.xlsx còn trống cho bảng này) — xem AT-06 (nguồn phiên đăng nhập IB/MB: mã phiên, CIF, kênh, IP, GeoIP...) trong sheet '★ Action Tracker (MSB)' của file đó. ⚠ Bảng đích hiện là DDL ĐỀ XUẤT, FIS chưa tạo bảng — test case này chỉ chạy được sau khi bảng được tạo trong môi trường SIT. Cập nhật cột 'Test Datas' sau khi có mapping.</t>
  </si>
  <si>
    <t>TM_ETL_TXN_LOG_002</t>
  </si>
  <si>
    <t>Kiểm tra key tất cả các bản ghi trong bảng đích STG_PARTY_MSB_LOGIN theo tổ hợp khóa chính (V_SESSION_ID, FIC_MIS_DATE), lọc theo FIC_MIS_DATE</t>
  </si>
  <si>
    <t>SELECT V_SESSION_ID, FIC_MIS_DATE, COUNT(*) AS SL
FROM   STG_PARTY_MSB_LOGIN
WHERE  FIC_MIS_DATE = DATE '&amp;TEST_DATE'
GROUP  BY V_SESSION_ID, FIC_MIS_DATE
HAVING COUNT(*) &gt; 1;</t>
  </si>
  <si>
    <t>⚠ PK hiện là ĐỀ XUẤT (V_SESSION_ID, FIC_MIS_DATE) — xác nhận lại khi FIS chốt DDL bảng. ⚠ Bảng đích hiện là DDL ĐỀ XUẤT, FIS chưa tạo bảng — test case này chỉ chạy được sau khi bảng được tạo trong môi trường SIT.</t>
  </si>
  <si>
    <t>TM_ETL_TXN_LOG_003</t>
  </si>
  <si>
    <t>Check toàn bộ dữ liệu các trường trong bảng đích STG_PARTY_MSB_LOGIN so với các trường trong bảng nguồn theo logic mapping (nguồn: hệ thống nguồn/bảng nguồn MSB (CHƯA xác định))</t>
  </si>
  <si>
    <t>Tất cả các trường có dữ liệu trong bảng nguồn theo logic mapping và bảng đích STG_PARTY_MSB_LOGIN giống nhau (câu lệnh MINUS trả về 0 dòng).
Các cột đích cần đối chiếu (11): V_SESSION_ID, FIC_MIS_DATE, V_PARTY_ID, D_SESSION_START_TIME, D_SESSION_END_TIME, N_SESSION_DURATION, V_LOGIN_CHANNEL_CD, V_IP_ADDRESS, V_IP_COUNTRY_CD, V_LOGIN_STATUS, V_DATA_ORIGIN</t>
  </si>
  <si>
    <t>[Unverified] MSB chưa cung cấp bảng/trường nguồn (cột 'Bảng nguồn'/'Trường nguồn' trong file MSB_TM_DataMapping_STG_Batch_V1_0.xlsx còn trống cho bảng này) — xem AT-06 (nguồn phiên đăng nhập IB/MB: mã phiên, CIF, kênh, IP, GeoIP...) trong sheet '★ Action Tracker (MSB)' của file đó. ⚠ Bảng đích hiện là DDL ĐỀ XUẤT, FIS chưa tạo bảng — test case này chỉ chạy được sau khi bảng được tạo trong môi trường SIT. Cập nhật cột 'Test Datas' (câu lệnh MINUS) sau khi có mapping.</t>
  </si>
  <si>
    <t>III.5   STG_COUNTRY_MASTER — Bảng danh mục quốc gia OFSAA + điểm rủi ro (KYC)</t>
  </si>
  <si>
    <t>TM_ETL_TXN_CTR_001</t>
  </si>
  <si>
    <t>- Đếm số bản ghi bảng nguồn (danh mục chuẩn OOB / dữ liệu tham chiếu (KYC nếu có)) theo ngày dữ liệu kiểm thử
- Đếm số bản ghi bảng đích STG_COUNTRY_MASTER theo FIC_MIS_DATE
- So sánh 2 kết quả</t>
  </si>
  <si>
    <t>Số bản ghi của bảng nguồn = Số bản ghi của bảng đích STG_COUNTRY_MASTER, đã lọc theo điều kiện FIC_MIS_DATE = &amp;TEST_DATE</t>
  </si>
  <si>
    <t>[Unverified] Đây là bảng danh mục OOB do FIS init insert, không đổ trực tiếp từ core banking MSB. Cần xác nhận danh sách giá trị chuẩn/nguồn tham chiếu — AT-08 (bảng điểm rủi ro quốc gia từ KYC). Cập nhật cột 'Test Datas' sau khi có mapping.</t>
  </si>
  <si>
    <t>TM_ETL_TXN_CTR_002</t>
  </si>
  <si>
    <t>Kiểm tra key tất cả các bản ghi trong bảng đích STG_COUNTRY_MASTER theo tổ hợp khóa chính (V_COUNTRY_ID, FIC_MIS_DATE), lọc theo FIC_MIS_DATE</t>
  </si>
  <si>
    <t>SELECT V_COUNTRY_ID, FIC_MIS_DATE, COUNT(*) AS SL
FROM   STG_COUNTRY_MASTER
WHERE  FIC_MIS_DATE = DATE '&amp;TEST_DATE'
GROUP  BY V_COUNTRY_ID, FIC_MIS_DATE
HAVING COUNT(*) &gt; 1;</t>
  </si>
  <si>
    <t>TM_ETL_TXN_CTR_003</t>
  </si>
  <si>
    <t>Check toàn bộ dữ liệu các trường trong bảng đích STG_COUNTRY_MASTER so với các trường trong bảng nguồn theo logic mapping (nguồn: danh mục chuẩn OOB / dữ liệu tham chiếu (KYC nếu có))</t>
  </si>
  <si>
    <t>Tất cả các trường có dữ liệu trong bảng nguồn theo logic mapping và bảng đích STG_COUNTRY_MASTER giống nhau (câu lệnh MINUS trả về 0 dòng).
Các cột đích cần đối chiếu (5): V_COUNTRY_ID, FIC_MIS_DATE, V_ISO_COUNTRY_CD, V_COUNTRY_NAME, N_COUNTRY_RISK_FACTOR</t>
  </si>
  <si>
    <t>[Unverified] Đây là bảng danh mục OOB do FIS init insert, không đổ trực tiếp từ core banking MSB. Cần xác nhận danh sách giá trị chuẩn/nguồn tham chiếu — AT-08 (bảng điểm rủi ro quốc gia từ KYC). Cập nhật cột 'Test Datas' (câu lệnh MINUS) sau khi có mapping.</t>
  </si>
  <si>
    <t>Giai đoạn kiểm thử</t>
  </si>
  <si>
    <t>Test Level</t>
  </si>
  <si>
    <t>Giá trị</t>
  </si>
  <si>
    <t>Giải thích</t>
  </si>
  <si>
    <t>Value</t>
  </si>
  <si>
    <t>Description</t>
  </si>
  <si>
    <t>UT</t>
  </si>
  <si>
    <t>Kiểm thử kỹ thuật (Unit Test) (IT thực hiện)</t>
  </si>
  <si>
    <t>Kiểm thử tích hợp hệ thống (System Integration Test) (IT thực hiện)</t>
  </si>
  <si>
    <t>OAT</t>
  </si>
  <si>
    <t>Kiểm thử vận hành (Operation Acceptance Test) (IT thực hiện)</t>
  </si>
  <si>
    <t>ST</t>
  </si>
  <si>
    <t>Kiểm thử an ninh thông tin (Security Test) (IT thực hiện)</t>
  </si>
  <si>
    <t>UAT</t>
  </si>
  <si>
    <t>Kiểm thử người dùng cuối (User Acceptance Test) (ĐVNV thực hiện)</t>
  </si>
  <si>
    <t>Độ ưu tiên</t>
  </si>
  <si>
    <t>Ưu tiên cao</t>
  </si>
  <si>
    <t>Ưu tiên trung bình</t>
  </si>
  <si>
    <t>Ưu tiên thấp/không ưu tiên</t>
  </si>
  <si>
    <t>Cách thực hiện test</t>
  </si>
  <si>
    <t>Y</t>
  </si>
  <si>
    <t>Thực hiện Auto test</t>
  </si>
  <si>
    <t>Thực hiện Manual test</t>
  </si>
  <si>
    <t>Trạng thái</t>
  </si>
  <si>
    <t>Status</t>
  </si>
  <si>
    <t>Chưa thực hiện</t>
  </si>
  <si>
    <t>Đạt yêu cầu</t>
  </si>
  <si>
    <t>Không đạt yêu cầu</t>
  </si>
  <si>
    <t>Một testcase tạm dừng thực hiện do ảnh hưởng bởi testcase khác fail hoặc cần xác nhận từ các bên liên quan.</t>
  </si>
  <si>
    <t>Không thực hiện</t>
  </si>
  <si>
    <t>Total = 'Untested' + 'Passed' + 'Failed' + 'Pending' + 'Cancel</t>
  </si>
  <si>
    <t>% Executed</t>
  </si>
  <si>
    <t>% Executed = ('Total' - 'Todo' - 'Un-executed')/'Total'</t>
  </si>
  <si>
    <t>% Pass</t>
  </si>
  <si>
    <t>% Pass = 'Pass'/'Total'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</si>
</sst>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d\-mmm\-yy;@"/>
    <numFmt numFmtId="165" formatCode="[$-409]d\-mmm\-yy;@"/>
    <numFmt numFmtId="166" formatCode="[$]@"/>
    <numFmt numFmtId="167" formatCode="[$-409]0"/>
    <numFmt numFmtId="168" formatCode="0.0"/>
    <numFmt numFmtId="169" formatCode="d\-mmm\-yy;@"/>
  </numFmts>
  <fonts count="47">
    <font>
      <sz val="11"/>
      <color theme="1"/>
      <name val="Calibri"/>
      <family val="2"/>
      <charset val="1"/>
    </font>
    <font>
      <sz val="11"/>
      <color rgb="FF000000"/>
      <name val="Calibri"/>
      <family val="2"/>
      <charset val="1"/>
    </font>
    <font>
      <sz val="11"/>
      <name val="ＭＳ Ｐゴシック"/>
      <family val="3"/>
      <charset val="128"/>
    </font>
    <font>
      <sz val="10"/>
      <name val="Arial"/>
      <family val="2"/>
      <charset val="1"/>
    </font>
    <font>
      <sz val="11"/>
      <name val="明朝"/>
      <family val="1"/>
      <charset val="128"/>
    </font>
    <font>
      <sz val="11"/>
      <name val="Tahoma"/>
      <family val="2"/>
      <charset val="1"/>
    </font>
    <font>
      <sz val="10"/>
      <name val="Tahoma"/>
      <family val="2"/>
      <charset val="1"/>
    </font>
    <font>
      <b/>
      <sz val="9"/>
      <color rgb="FF333399"/>
      <name val="Tahoma"/>
      <family val="2"/>
      <charset val="1"/>
    </font>
    <font>
      <b/>
      <sz val="9"/>
      <name val="Tahoma"/>
      <family val="2"/>
      <charset val="1"/>
    </font>
    <font>
      <b/>
      <sz val="26"/>
      <color rgb="FF008000"/>
      <name val="Tahoma"/>
      <family val="2"/>
      <charset val="1"/>
    </font>
    <font>
      <b/>
      <sz val="26"/>
      <name val="Tahoma"/>
      <family val="2"/>
      <charset val="1"/>
    </font>
    <font>
      <b/>
      <sz val="36"/>
      <color rgb="FF1F497D"/>
      <name val="Arial"/>
      <family val="2"/>
      <charset val="1"/>
    </font>
    <font>
      <b/>
      <sz val="9"/>
      <color rgb="FF0000FF"/>
      <name val="Tahoma"/>
      <family val="2"/>
      <charset val="1"/>
    </font>
    <font>
      <b/>
      <sz val="10"/>
      <color rgb="FF1F497D"/>
      <name val="Arial"/>
      <family val="2"/>
      <charset val="1"/>
    </font>
    <font>
      <b/>
      <sz val="10"/>
      <color rgb="FF44546A"/>
      <name val="Arial"/>
      <family val="2"/>
      <charset val="1"/>
    </font>
    <font>
      <sz val="10"/>
      <color rgb="FF1F497D"/>
      <name val="Arial"/>
      <family val="2"/>
      <charset val="1"/>
    </font>
    <font>
      <sz val="9"/>
      <color rgb="FF0000FF"/>
      <name val="Tahoma"/>
      <family val="2"/>
      <charset val="1"/>
    </font>
    <font>
      <sz val="9"/>
      <name val="Tahoma"/>
      <family val="2"/>
      <charset val="1"/>
    </font>
    <font>
      <b/>
      <sz val="14"/>
      <color rgb="FF1F497D"/>
      <name val="Arial"/>
      <family val="2"/>
      <charset val="1"/>
    </font>
    <font>
      <b/>
      <sz val="10"/>
      <color rgb="FF0000FF"/>
      <name val="Arial"/>
      <family val="2"/>
      <charset val="1"/>
    </font>
    <font>
      <b/>
      <sz val="10"/>
      <color rgb="FFFFFFFF"/>
      <name val="Arial"/>
      <family val="2"/>
      <charset val="1"/>
    </font>
    <font>
      <u/>
      <sz val="11"/>
      <color theme="10"/>
      <name val="Calibri"/>
      <family val="2"/>
      <charset val="1"/>
    </font>
    <font>
      <sz val="10"/>
      <color rgb="FF000000"/>
      <name val="Arial"/>
      <family val="2"/>
      <charset val="1"/>
    </font>
    <font>
      <sz val="10"/>
      <name val="Arial"/>
      <family val="2"/>
    </font>
    <font>
      <b/>
      <sz val="10"/>
      <name val="Arial"/>
      <family val="2"/>
      <charset val="1"/>
    </font>
    <font>
      <b/>
      <sz val="22"/>
      <name val="Arial"/>
      <family val="2"/>
      <charset val="1"/>
    </font>
    <font>
      <b/>
      <sz val="8"/>
      <name val="Arial"/>
      <family val="2"/>
      <charset val="1"/>
    </font>
    <font>
      <sz val="9"/>
      <color rgb="FF000000"/>
      <name val="Arial"/>
      <family val="2"/>
      <charset val="1"/>
    </font>
    <font>
      <sz val="9"/>
      <name val="Arial"/>
      <family val="2"/>
      <charset val="1"/>
    </font>
    <font>
      <b/>
      <sz val="11"/>
      <color rgb="FFFF0000"/>
      <name val="Arial"/>
      <family val="2"/>
      <charset val="1"/>
    </font>
    <font>
      <b/>
      <sz val="11"/>
      <color rgb="FF000000"/>
      <name val="Calibri"/>
      <family val="2"/>
      <charset val="1"/>
    </font>
    <font>
      <b/>
      <sz val="8"/>
      <color rgb="FF000000"/>
      <name val="Arial"/>
      <family val="2"/>
      <charset val="1"/>
    </font>
    <font>
      <b/>
      <i/>
      <sz val="8"/>
      <color rgb="FF000000"/>
      <name val="Arial"/>
      <family val="2"/>
      <charset val="1"/>
    </font>
    <font>
      <i/>
      <sz val="10"/>
      <color rgb="FF000000"/>
      <name val="Arial"/>
      <family val="2"/>
      <charset val="1"/>
    </font>
    <font>
      <b/>
      <sz val="10"/>
      <color rgb="FF000000"/>
      <name val="Arial"/>
      <family val="2"/>
      <charset val="1"/>
    </font>
    <font>
      <b/>
      <sz val="12"/>
      <color rgb="FF1F497D"/>
      <name val="Times New Roman"/>
      <family val="1"/>
      <charset val="1"/>
    </font>
    <font>
      <b/>
      <sz val="11"/>
      <name val="Times New Roman"/>
      <family val="1"/>
      <charset val="1"/>
    </font>
    <font>
      <sz val="11"/>
      <name val="Times New Roman"/>
      <family val="1"/>
      <charset val="1"/>
    </font>
    <font>
      <b/>
      <sz val="12"/>
      <name val="Times New Roman"/>
      <family val="1"/>
      <charset val="1"/>
    </font>
    <font>
      <b/>
      <sz val="11"/>
      <color rgb="FFC00000"/>
      <name val="Times New Roman"/>
      <family val="1"/>
      <charset val="1"/>
    </font>
    <font>
      <b/>
      <sz val="12"/>
      <color rgb="FFFF0000"/>
      <name val="Times New Roman"/>
      <charset val="1"/>
    </font>
    <font>
      <i/>
      <sz val="12"/>
      <color rgb="FFFF0000"/>
      <name val="Times New Roman"/>
      <charset val="1"/>
    </font>
    <font>
      <sz val="12"/>
      <color rgb="FF000000"/>
      <name val="Times New Roman"/>
      <charset val="1"/>
    </font>
    <font>
      <b/>
      <sz val="11"/>
      <color rgb="FFFFFFFF"/>
      <name val="Arial"/>
      <charset val="1"/>
    </font>
    <font>
      <b/>
      <sz val="10"/>
      <color rgb="FF1F497D"/>
      <name val="Arial"/>
      <charset val="1"/>
    </font>
    <font>
      <sz val="10"/>
      <name val="Arial"/>
      <charset val="1"/>
    </font>
    <font>
      <sz val="9"/>
      <name val="Consolas"/>
      <charset val="1"/>
    </font>
  </fonts>
  <fills count="19">
    <fill>
      <patternFill patternType="none"/>
    </fill>
    <fill>
      <patternFill patternType="gray125"/>
    </fill>
    <fill>
      <patternFill patternType="solid">
        <fgColor rgb="FFFFFFFF"/>
        <bgColor rgb="FFFFF2CC"/>
      </patternFill>
    </fill>
    <fill>
      <patternFill patternType="solid">
        <fgColor rgb="FFCCFFCC"/>
        <bgColor rgb="FFCCFFFF"/>
      </patternFill>
    </fill>
    <fill>
      <patternFill patternType="solid">
        <fgColor theme="4"/>
        <bgColor rgb="FF548DD4"/>
      </patternFill>
    </fill>
    <fill>
      <patternFill patternType="solid">
        <fgColor rgb="FFF8CBAD"/>
        <bgColor rgb="FFFAC090"/>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theme="7" tint="0.59987182226020086"/>
        <bgColor rgb="FFB4C7E7"/>
      </patternFill>
    </fill>
    <fill>
      <patternFill patternType="solid">
        <fgColor rgb="FFFFF2CC"/>
        <bgColor rgb="FFFDE9D9"/>
      </patternFill>
    </fill>
    <fill>
      <patternFill patternType="solid">
        <fgColor rgb="FF2F5597"/>
        <bgColor rgb="FF1F497D"/>
      </patternFill>
    </fill>
    <fill>
      <patternFill patternType="solid">
        <fgColor rgb="FFFDE9D9"/>
        <bgColor rgb="FFFFF2CC"/>
      </patternFill>
    </fill>
    <fill>
      <patternFill patternType="solid">
        <fgColor rgb="FF00B0F0"/>
        <bgColor rgb="FF008080"/>
      </patternFill>
    </fill>
    <fill>
      <patternFill patternType="solid">
        <fgColor rgb="FF92D050"/>
        <bgColor rgb="FFA7D6E3"/>
      </patternFill>
    </fill>
    <fill>
      <patternFill patternType="solid">
        <fgColor rgb="FFFF0000"/>
        <bgColor rgb="FFC00000"/>
      </patternFill>
    </fill>
    <fill>
      <patternFill patternType="solid">
        <fgColor rgb="FFFFC000"/>
        <bgColor rgb="FFFF9900"/>
      </patternFill>
    </fill>
    <fill>
      <patternFill patternType="solid">
        <fgColor rgb="FF7F7F7F"/>
        <bgColor rgb="FF808080"/>
      </patternFill>
    </fill>
    <fill>
      <patternFill patternType="solid">
        <fgColor rgb="FF4472C4"/>
        <bgColor rgb="FF4F81BD"/>
      </patternFill>
    </fill>
  </fills>
  <borders count="43">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3" tint="0.39988402966399123"/>
      </left>
      <right style="thin">
        <color theme="3" tint="0.39988402966399123"/>
      </right>
      <top style="thin">
        <color theme="3" tint="0.39988402966399123"/>
      </top>
      <bottom style="thin">
        <color theme="3" tint="0.39988402966399123"/>
      </bottom>
      <diagonal/>
    </border>
    <border>
      <left style="thin">
        <color rgb="FF8497B0"/>
      </left>
      <right style="thin">
        <color rgb="FF8497B0"/>
      </right>
      <top style="medium">
        <color rgb="FF8497B0"/>
      </top>
      <bottom style="thin">
        <color rgb="FF8497B0"/>
      </bottom>
      <diagonal/>
    </border>
    <border>
      <left style="thin">
        <color rgb="FF8497B0"/>
      </left>
      <right style="thin">
        <color rgb="FF8497B0"/>
      </right>
      <top style="medium">
        <color rgb="FF8497B0"/>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thin">
        <color rgb="FF8497B0"/>
      </left>
      <right style="medium">
        <color rgb="FF8497B0"/>
      </right>
      <top style="thin">
        <color rgb="FF8497B0"/>
      </top>
      <bottom/>
      <diagonal/>
    </border>
    <border>
      <left style="thin">
        <color auto="1"/>
      </left>
      <right style="thin">
        <color auto="1"/>
      </right>
      <top style="thin">
        <color auto="1"/>
      </top>
      <bottom style="thin">
        <color auto="1"/>
      </bottom>
      <diagonal/>
    </border>
    <border>
      <left style="medium">
        <color rgb="FF8497B0"/>
      </left>
      <right/>
      <top style="thin">
        <color rgb="FF8497B0"/>
      </top>
      <bottom style="thin">
        <color rgb="FF8497B0"/>
      </bottom>
      <diagonal/>
    </border>
    <border>
      <left style="medium">
        <color rgb="FF8497B0"/>
      </left>
      <right/>
      <top style="thin">
        <color rgb="FF8497B0"/>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0">
    <xf numFmtId="0" fontId="0" fillId="0" borderId="0"/>
    <xf numFmtId="0" fontId="21" fillId="0" borderId="0"/>
    <xf numFmtId="164" fontId="1" fillId="0" borderId="0"/>
    <xf numFmtId="164" fontId="1" fillId="0" borderId="0"/>
    <xf numFmtId="165" fontId="2" fillId="0" borderId="0"/>
    <xf numFmtId="164" fontId="2" fillId="0" borderId="0">
      <alignment vertical="center"/>
    </xf>
    <xf numFmtId="164" fontId="2" fillId="0" borderId="0"/>
    <xf numFmtId="164" fontId="3" fillId="0" borderId="0"/>
    <xf numFmtId="164" fontId="4" fillId="0" borderId="0"/>
    <xf numFmtId="0" fontId="30" fillId="0" borderId="0"/>
  </cellStyleXfs>
  <cellXfs count="148">
    <xf numFmtId="0" fontId="0" fillId="0" borderId="0" xfId="0"/>
    <xf numFmtId="164" fontId="22" fillId="2" borderId="0" xfId="2" applyFont="1" applyFill="1"/>
    <xf numFmtId="164" fontId="20" fillId="4" borderId="8" xfId="6" applyFont="1" applyFill="1" applyBorder="1" applyAlignment="1">
      <alignment horizontal="center" vertical="center" wrapText="1"/>
    </xf>
    <xf numFmtId="164" fontId="13" fillId="3" borderId="0" xfId="5" applyFont="1" applyFill="1" applyAlignment="1">
      <alignment horizontal="left" vertical="center" wrapText="1"/>
    </xf>
    <xf numFmtId="164" fontId="5" fillId="2" borderId="0" xfId="5" applyFont="1" applyFill="1">
      <alignment vertical="center"/>
    </xf>
    <xf numFmtId="164" fontId="6" fillId="2" borderId="0" xfId="7" applyFont="1" applyFill="1"/>
    <xf numFmtId="164" fontId="8" fillId="3" borderId="3" xfId="5" applyFont="1" applyFill="1" applyBorder="1" applyAlignment="1">
      <alignment shrinkToFit="1"/>
    </xf>
    <xf numFmtId="164" fontId="8" fillId="3" borderId="0" xfId="5" applyFont="1" applyFill="1" applyAlignment="1">
      <alignment shrinkToFit="1"/>
    </xf>
    <xf numFmtId="164" fontId="8" fillId="3" borderId="4" xfId="5" applyFont="1" applyFill="1" applyBorder="1" applyAlignment="1">
      <alignment shrinkToFit="1"/>
    </xf>
    <xf numFmtId="164" fontId="10" fillId="3" borderId="3" xfId="5" applyFont="1" applyFill="1" applyBorder="1" applyAlignment="1">
      <alignment horizontal="center" vertical="center" wrapText="1"/>
    </xf>
    <xf numFmtId="164" fontId="10" fillId="3" borderId="0" xfId="5" applyFont="1" applyFill="1" applyAlignment="1">
      <alignment horizontal="center" vertical="center" wrapText="1"/>
    </xf>
    <xf numFmtId="164" fontId="10" fillId="3" borderId="4" xfId="5" applyFont="1" applyFill="1" applyBorder="1" applyAlignment="1">
      <alignment horizontal="center" vertical="center" wrapText="1"/>
    </xf>
    <xf numFmtId="164" fontId="12" fillId="3" borderId="4" xfId="5" applyFont="1" applyFill="1" applyBorder="1" applyAlignment="1">
      <alignment horizontal="center"/>
    </xf>
    <xf numFmtId="164" fontId="12" fillId="3" borderId="3" xfId="5" applyFont="1" applyFill="1" applyBorder="1" applyAlignment="1">
      <alignment horizontal="left"/>
    </xf>
    <xf numFmtId="164" fontId="14" fillId="0" borderId="0" xfId="5" applyFont="1" applyAlignment="1">
      <alignment horizontal="left" vertical="center" wrapText="1"/>
    </xf>
    <xf numFmtId="164" fontId="13" fillId="3" borderId="0" xfId="5" applyFont="1" applyFill="1" applyAlignment="1">
      <alignment horizontal="left"/>
    </xf>
    <xf numFmtId="164" fontId="12" fillId="3" borderId="0" xfId="5" applyFont="1" applyFill="1" applyAlignment="1">
      <alignment horizontal="left"/>
    </xf>
    <xf numFmtId="164" fontId="12" fillId="3" borderId="4" xfId="5" applyFont="1" applyFill="1" applyBorder="1" applyAlignment="1">
      <alignment horizontal="left"/>
    </xf>
    <xf numFmtId="164" fontId="12" fillId="3" borderId="3" xfId="5" applyFont="1" applyFill="1" applyBorder="1" applyAlignment="1">
      <alignment horizontal="left" vertical="center" wrapText="1"/>
    </xf>
    <xf numFmtId="164" fontId="15" fillId="3" borderId="0" xfId="5" applyFont="1" applyFill="1" applyAlignment="1">
      <alignment horizontal="left" vertical="center" wrapText="1"/>
    </xf>
    <xf numFmtId="164" fontId="16" fillId="3" borderId="0" xfId="5" applyFont="1" applyFill="1" applyAlignment="1">
      <alignment horizontal="left" vertical="center" wrapText="1"/>
    </xf>
    <xf numFmtId="164" fontId="16" fillId="3" borderId="4" xfId="5" applyFont="1" applyFill="1" applyBorder="1" applyAlignment="1">
      <alignment horizontal="left" vertical="center" wrapText="1"/>
    </xf>
    <xf numFmtId="166" fontId="14" fillId="0" borderId="0" xfId="5" applyNumberFormat="1" applyFont="1" applyAlignment="1">
      <alignment horizontal="left" vertical="center" wrapText="1"/>
    </xf>
    <xf numFmtId="164" fontId="17" fillId="3" borderId="3" xfId="5" applyFont="1" applyFill="1" applyBorder="1" applyAlignment="1"/>
    <xf numFmtId="164" fontId="17" fillId="3" borderId="0" xfId="5" applyFont="1" applyFill="1" applyAlignment="1"/>
    <xf numFmtId="164" fontId="17" fillId="3" borderId="0" xfId="5" applyFont="1" applyFill="1">
      <alignment vertical="center"/>
    </xf>
    <xf numFmtId="164" fontId="17" fillId="3" borderId="4" xfId="5" applyFont="1" applyFill="1" applyBorder="1">
      <alignment vertical="center"/>
    </xf>
    <xf numFmtId="164" fontId="17" fillId="3" borderId="3" xfId="5" applyFont="1" applyFill="1" applyBorder="1">
      <alignment vertical="center"/>
    </xf>
    <xf numFmtId="164" fontId="17" fillId="3" borderId="5" xfId="5" applyFont="1" applyFill="1" applyBorder="1">
      <alignment vertical="center"/>
    </xf>
    <xf numFmtId="164" fontId="17" fillId="3" borderId="6" xfId="5" applyFont="1" applyFill="1" applyBorder="1">
      <alignment vertical="center"/>
    </xf>
    <xf numFmtId="164" fontId="17" fillId="3" borderId="7" xfId="5" applyFont="1" applyFill="1" applyBorder="1">
      <alignment vertical="center"/>
    </xf>
    <xf numFmtId="164" fontId="3" fillId="2" borderId="0" xfId="2" applyFont="1" applyFill="1"/>
    <xf numFmtId="164" fontId="18" fillId="2" borderId="0" xfId="2" applyFont="1" applyFill="1" applyAlignment="1">
      <alignment vertical="center"/>
    </xf>
    <xf numFmtId="164" fontId="19" fillId="2" borderId="0" xfId="2" applyFont="1" applyFill="1"/>
    <xf numFmtId="167" fontId="3" fillId="2" borderId="8" xfId="2" applyNumberFormat="1" applyFont="1" applyFill="1" applyBorder="1" applyAlignment="1">
      <alignment horizontal="center" vertical="center" wrapText="1"/>
    </xf>
    <xf numFmtId="164" fontId="21" fillId="2" borderId="8" xfId="1" applyNumberFormat="1" applyFill="1" applyBorder="1" applyAlignment="1">
      <alignment vertical="top" wrapText="1"/>
    </xf>
    <xf numFmtId="0" fontId="21" fillId="0" borderId="8" xfId="1" applyBorder="1"/>
    <xf numFmtId="164" fontId="3" fillId="2" borderId="0" xfId="2" applyFont="1" applyFill="1" applyAlignment="1">
      <alignment vertical="center"/>
    </xf>
    <xf numFmtId="0" fontId="0" fillId="0" borderId="0" xfId="0" applyAlignment="1">
      <alignment vertical="center"/>
    </xf>
    <xf numFmtId="0" fontId="3" fillId="2" borderId="8" xfId="0" applyFont="1" applyFill="1" applyBorder="1" applyAlignment="1">
      <alignment horizontal="center" vertical="center" wrapText="1"/>
    </xf>
    <xf numFmtId="164" fontId="19" fillId="2" borderId="0" xfId="2" applyFont="1" applyFill="1" applyAlignment="1">
      <alignment horizontal="left" vertical="center" wrapText="1"/>
    </xf>
    <xf numFmtId="164" fontId="20" fillId="4" borderId="9" xfId="6" applyFont="1" applyFill="1" applyBorder="1" applyAlignment="1">
      <alignment horizontal="center" vertical="center" wrapText="1"/>
    </xf>
    <xf numFmtId="168" fontId="3" fillId="2" borderId="12" xfId="1" applyNumberFormat="1" applyFont="1" applyFill="1" applyBorder="1" applyAlignment="1">
      <alignment horizontal="center" vertical="center" wrapText="1"/>
    </xf>
    <xf numFmtId="164" fontId="3" fillId="2" borderId="11" xfId="0" applyNumberFormat="1" applyFont="1" applyFill="1" applyBorder="1" applyAlignment="1">
      <alignment horizontal="center" vertical="center" wrapText="1"/>
    </xf>
    <xf numFmtId="164" fontId="3" fillId="2" borderId="12" xfId="0" applyNumberFormat="1" applyFont="1" applyFill="1" applyBorder="1" applyAlignment="1">
      <alignment horizontal="center" vertical="center" wrapText="1"/>
    </xf>
    <xf numFmtId="164" fontId="3" fillId="2" borderId="14" xfId="0" applyNumberFormat="1" applyFont="1" applyFill="1" applyBorder="1" applyAlignment="1">
      <alignment horizontal="center" vertical="center" wrapText="1"/>
    </xf>
    <xf numFmtId="165" fontId="24" fillId="2" borderId="0" xfId="4" applyFont="1" applyFill="1" applyAlignment="1">
      <alignment vertical="center"/>
    </xf>
    <xf numFmtId="165" fontId="3" fillId="2" borderId="0" xfId="4" applyFont="1" applyFill="1" applyAlignment="1">
      <alignment vertical="center"/>
    </xf>
    <xf numFmtId="169" fontId="3" fillId="2" borderId="0" xfId="4" applyNumberFormat="1" applyFont="1" applyFill="1" applyAlignment="1">
      <alignment vertical="center"/>
    </xf>
    <xf numFmtId="0" fontId="6" fillId="2" borderId="0" xfId="0" applyFont="1" applyFill="1" applyAlignment="1">
      <alignment vertical="center"/>
    </xf>
    <xf numFmtId="0" fontId="25" fillId="2" borderId="0" xfId="0" applyFont="1" applyFill="1" applyAlignment="1">
      <alignment vertical="center"/>
    </xf>
    <xf numFmtId="164" fontId="26" fillId="5" borderId="15" xfId="6" applyFont="1" applyFill="1" applyBorder="1" applyAlignment="1">
      <alignment horizontal="left" vertical="center" wrapText="1"/>
    </xf>
    <xf numFmtId="164" fontId="26" fillId="5" borderId="16" xfId="6" applyFont="1" applyFill="1" applyBorder="1" applyAlignment="1">
      <alignment horizontal="left" vertical="center" wrapText="1"/>
    </xf>
    <xf numFmtId="164" fontId="26" fillId="5" borderId="18" xfId="6" applyFont="1" applyFill="1" applyBorder="1" applyAlignment="1">
      <alignment vertical="center" wrapText="1"/>
    </xf>
    <xf numFmtId="164" fontId="26" fillId="5" borderId="19" xfId="6" applyFont="1" applyFill="1" applyBorder="1" applyAlignment="1">
      <alignment vertical="center" wrapText="1"/>
    </xf>
    <xf numFmtId="164" fontId="28" fillId="2" borderId="21" xfId="6" applyFont="1" applyFill="1" applyBorder="1" applyAlignment="1">
      <alignment horizontal="left" vertical="center" wrapText="1"/>
    </xf>
    <xf numFmtId="164" fontId="28" fillId="2" borderId="22" xfId="6" applyFont="1" applyFill="1" applyBorder="1" applyAlignment="1">
      <alignment horizontal="left" vertical="center" wrapText="1"/>
    </xf>
    <xf numFmtId="165" fontId="27" fillId="2" borderId="23" xfId="6" applyNumberFormat="1" applyFont="1" applyFill="1" applyBorder="1" applyAlignment="1">
      <alignment horizontal="left" vertical="center" wrapText="1"/>
    </xf>
    <xf numFmtId="165" fontId="27" fillId="2" borderId="24" xfId="6" applyNumberFormat="1" applyFont="1" applyFill="1" applyBorder="1" applyAlignment="1">
      <alignment horizontal="left" vertical="center" wrapText="1"/>
    </xf>
    <xf numFmtId="165" fontId="27" fillId="2" borderId="25" xfId="6" applyNumberFormat="1" applyFont="1" applyFill="1" applyBorder="1" applyAlignment="1">
      <alignment horizontal="left" vertical="center" wrapText="1"/>
    </xf>
    <xf numFmtId="164" fontId="29" fillId="6" borderId="13" xfId="9" applyNumberFormat="1" applyFont="1" applyFill="1" applyBorder="1" applyAlignment="1">
      <alignment horizontal="center" vertical="center" wrapText="1"/>
    </xf>
    <xf numFmtId="164" fontId="29" fillId="6" borderId="28" xfId="9" applyNumberFormat="1" applyFont="1" applyFill="1" applyBorder="1" applyAlignment="1">
      <alignment horizontal="center" vertical="center" wrapText="1"/>
    </xf>
    <xf numFmtId="0" fontId="31" fillId="7" borderId="18" xfId="0" applyFont="1" applyFill="1" applyBorder="1" applyAlignment="1">
      <alignment horizontal="left" vertical="center"/>
    </xf>
    <xf numFmtId="0" fontId="27" fillId="2" borderId="29" xfId="0" applyFont="1" applyFill="1" applyBorder="1" applyAlignment="1">
      <alignment horizontal="left" vertical="center"/>
    </xf>
    <xf numFmtId="0" fontId="27" fillId="2" borderId="30" xfId="0" applyFont="1" applyFill="1" applyBorder="1" applyAlignment="1">
      <alignment horizontal="left" vertical="center"/>
    </xf>
    <xf numFmtId="0" fontId="27" fillId="2" borderId="31" xfId="0" applyFont="1" applyFill="1" applyBorder="1" applyAlignment="1">
      <alignment horizontal="left" vertical="center"/>
    </xf>
    <xf numFmtId="0" fontId="31" fillId="7" borderId="18" xfId="0" applyFont="1" applyFill="1" applyBorder="1" applyAlignment="1">
      <alignment vertical="center"/>
    </xf>
    <xf numFmtId="165" fontId="27" fillId="2" borderId="23" xfId="0" applyNumberFormat="1" applyFont="1" applyFill="1" applyBorder="1" applyAlignment="1">
      <alignment horizontal="left" vertical="center"/>
    </xf>
    <xf numFmtId="165" fontId="27" fillId="2" borderId="24" xfId="0" applyNumberFormat="1" applyFont="1" applyFill="1" applyBorder="1" applyAlignment="1">
      <alignment horizontal="left" vertical="center"/>
    </xf>
    <xf numFmtId="165" fontId="27" fillId="2" borderId="25" xfId="0" applyNumberFormat="1" applyFont="1" applyFill="1" applyBorder="1" applyAlignment="1">
      <alignment horizontal="left" vertical="center"/>
    </xf>
    <xf numFmtId="0" fontId="32" fillId="7" borderId="32" xfId="0" applyFont="1" applyFill="1" applyBorder="1" applyAlignment="1">
      <alignment horizontal="center" vertical="center" wrapText="1"/>
    </xf>
    <xf numFmtId="0" fontId="31" fillId="7" borderId="32" xfId="0" applyFont="1" applyFill="1" applyBorder="1" applyAlignment="1">
      <alignment horizontal="center" vertical="center" wrapText="1"/>
    </xf>
    <xf numFmtId="1" fontId="33" fillId="8" borderId="33" xfId="0" applyNumberFormat="1" applyFont="1" applyFill="1" applyBorder="1" applyAlignment="1">
      <alignment horizontal="center" vertical="center"/>
    </xf>
    <xf numFmtId="1" fontId="33" fillId="8" borderId="33" xfId="0" applyNumberFormat="1" applyFont="1" applyFill="1" applyBorder="1" applyAlignment="1">
      <alignment vertical="center"/>
    </xf>
    <xf numFmtId="0" fontId="22" fillId="7" borderId="34" xfId="0" applyFont="1" applyFill="1" applyBorder="1" applyAlignment="1">
      <alignment horizontal="right" vertical="center"/>
    </xf>
    <xf numFmtId="1" fontId="33" fillId="2" borderId="33" xfId="0" applyNumberFormat="1" applyFont="1" applyFill="1" applyBorder="1" applyAlignment="1">
      <alignment horizontal="center" vertical="center"/>
    </xf>
    <xf numFmtId="1" fontId="33" fillId="2" borderId="33" xfId="0" applyNumberFormat="1" applyFont="1" applyFill="1" applyBorder="1" applyAlignment="1">
      <alignment vertical="center"/>
    </xf>
    <xf numFmtId="0" fontId="22" fillId="7" borderId="35" xfId="0" applyFont="1" applyFill="1" applyBorder="1" applyAlignment="1">
      <alignment horizontal="right" vertical="center"/>
    </xf>
    <xf numFmtId="164" fontId="26" fillId="5" borderId="35" xfId="6" applyFont="1" applyFill="1" applyBorder="1" applyAlignment="1">
      <alignment horizontal="left" vertical="center" wrapText="1"/>
    </xf>
    <xf numFmtId="0" fontId="34" fillId="7" borderId="35" xfId="0" applyFont="1" applyFill="1" applyBorder="1" applyAlignment="1">
      <alignment horizontal="left" vertical="center"/>
    </xf>
    <xf numFmtId="0" fontId="33" fillId="2" borderId="33" xfId="0" applyFont="1" applyFill="1" applyBorder="1" applyAlignment="1">
      <alignment horizontal="center" vertical="center"/>
    </xf>
    <xf numFmtId="0" fontId="33" fillId="2" borderId="33" xfId="0" applyFont="1" applyFill="1" applyBorder="1" applyAlignment="1">
      <alignment horizontal="center" vertical="center" wrapText="1"/>
    </xf>
    <xf numFmtId="0" fontId="33" fillId="2" borderId="33" xfId="0" applyFont="1" applyFill="1" applyBorder="1" applyAlignment="1">
      <alignment vertical="center"/>
    </xf>
    <xf numFmtId="10" fontId="33" fillId="2" borderId="33" xfId="0" applyNumberFormat="1" applyFont="1" applyFill="1" applyBorder="1" applyAlignment="1">
      <alignment vertical="center"/>
    </xf>
    <xf numFmtId="0" fontId="34" fillId="0" borderId="33" xfId="0" applyFont="1" applyBorder="1" applyAlignment="1">
      <alignment horizontal="left" vertical="center"/>
    </xf>
    <xf numFmtId="0" fontId="0" fillId="0" borderId="0" xfId="0" applyAlignment="1">
      <alignment horizontal="center"/>
    </xf>
    <xf numFmtId="0" fontId="0" fillId="0" borderId="0" xfId="0" applyAlignment="1">
      <alignment vertical="top"/>
    </xf>
    <xf numFmtId="164" fontId="35" fillId="0" borderId="36" xfId="0" applyNumberFormat="1" applyFont="1" applyBorder="1" applyAlignment="1">
      <alignment horizontal="left" vertical="center" wrapText="1"/>
    </xf>
    <xf numFmtId="164" fontId="35" fillId="0" borderId="33" xfId="0" applyNumberFormat="1" applyFont="1" applyBorder="1" applyAlignment="1">
      <alignment horizontal="left" vertical="center" wrapText="1"/>
    </xf>
    <xf numFmtId="0" fontId="1" fillId="0" borderId="0" xfId="0" applyFont="1"/>
    <xf numFmtId="164" fontId="36" fillId="9" borderId="37" xfId="8" applyFont="1" applyFill="1" applyBorder="1" applyAlignment="1">
      <alignment horizontal="left" vertical="center" wrapText="1"/>
    </xf>
    <xf numFmtId="167" fontId="37" fillId="9" borderId="37" xfId="8" applyNumberFormat="1" applyFont="1" applyFill="1" applyBorder="1" applyAlignment="1">
      <alignment horizontal="center" vertical="center" wrapText="1"/>
    </xf>
    <xf numFmtId="0" fontId="1" fillId="9" borderId="0" xfId="0" applyFont="1" applyFill="1"/>
    <xf numFmtId="164" fontId="38" fillId="5" borderId="36" xfId="6" applyFont="1" applyFill="1" applyBorder="1" applyAlignment="1">
      <alignment horizontal="center" vertical="top" wrapText="1"/>
    </xf>
    <xf numFmtId="167" fontId="36" fillId="7" borderId="36" xfId="6" applyNumberFormat="1" applyFont="1" applyFill="1" applyBorder="1" applyAlignment="1">
      <alignment horizontal="center" vertical="center" wrapText="1"/>
    </xf>
    <xf numFmtId="0" fontId="36" fillId="7" borderId="36" xfId="0" applyFont="1" applyFill="1" applyBorder="1" applyAlignment="1">
      <alignment wrapText="1"/>
    </xf>
    <xf numFmtId="0" fontId="38" fillId="5" borderId="36" xfId="0" applyFont="1" applyFill="1" applyBorder="1" applyAlignment="1">
      <alignment horizontal="left" vertical="top" wrapText="1"/>
    </xf>
    <xf numFmtId="1" fontId="39" fillId="10" borderId="36" xfId="0" applyNumberFormat="1" applyFont="1" applyFill="1" applyBorder="1" applyAlignment="1">
      <alignment horizontal="center" vertical="center" wrapText="1"/>
    </xf>
    <xf numFmtId="164" fontId="36" fillId="5" borderId="36" xfId="8" applyFont="1" applyFill="1" applyBorder="1" applyAlignment="1">
      <alignment horizontal="left" vertical="center" wrapText="1"/>
    </xf>
    <xf numFmtId="167" fontId="37" fillId="0" borderId="36" xfId="8" applyNumberFormat="1" applyFont="1" applyBorder="1" applyAlignment="1">
      <alignment horizontal="center" vertical="center" wrapText="1"/>
    </xf>
    <xf numFmtId="0" fontId="20" fillId="11" borderId="33" xfId="0" applyFont="1" applyFill="1" applyBorder="1" applyAlignment="1">
      <alignment horizontal="center" vertical="center" wrapText="1"/>
    </xf>
    <xf numFmtId="0" fontId="0" fillId="0" borderId="0" xfId="0" applyAlignment="1">
      <alignment horizontal="center" vertical="center"/>
    </xf>
    <xf numFmtId="0" fontId="40" fillId="0" borderId="40" xfId="0" applyFont="1" applyBorder="1" applyAlignment="1">
      <alignment horizontal="center" vertical="center" wrapText="1"/>
    </xf>
    <xf numFmtId="0" fontId="41" fillId="0" borderId="41" xfId="0" applyFont="1" applyBorder="1" applyAlignment="1">
      <alignment horizontal="center" vertical="center" wrapText="1"/>
    </xf>
    <xf numFmtId="0" fontId="42" fillId="0" borderId="33" xfId="0" applyFont="1" applyBorder="1" applyAlignment="1">
      <alignment horizontal="center" vertical="center"/>
    </xf>
    <xf numFmtId="0" fontId="42" fillId="0" borderId="33" xfId="0" applyFont="1" applyBorder="1" applyAlignment="1">
      <alignment horizontal="left" vertical="center" wrapText="1"/>
    </xf>
    <xf numFmtId="0" fontId="42" fillId="0" borderId="0" xfId="0" applyFont="1" applyAlignment="1">
      <alignment horizontal="center" vertical="center"/>
    </xf>
    <xf numFmtId="0" fontId="42" fillId="0" borderId="0" xfId="0" applyFont="1"/>
    <xf numFmtId="0" fontId="42" fillId="0" borderId="40" xfId="0" applyFont="1" applyBorder="1" applyAlignment="1">
      <alignment horizontal="center" vertical="center"/>
    </xf>
    <xf numFmtId="0" fontId="42" fillId="0" borderId="40" xfId="0" applyFont="1" applyBorder="1" applyAlignment="1">
      <alignment horizontal="left" vertical="center" wrapText="1"/>
    </xf>
    <xf numFmtId="164" fontId="36" fillId="5" borderId="37" xfId="8" applyFont="1" applyFill="1" applyBorder="1" applyAlignment="1">
      <alignment horizontal="left" vertical="center" wrapText="1"/>
    </xf>
    <xf numFmtId="0" fontId="42" fillId="13" borderId="40" xfId="0" applyFont="1" applyFill="1" applyBorder="1" applyAlignment="1">
      <alignment horizontal="center" vertical="center"/>
    </xf>
    <xf numFmtId="0" fontId="42" fillId="14" borderId="40" xfId="0" applyFont="1" applyFill="1" applyBorder="1" applyAlignment="1">
      <alignment horizontal="center" vertical="center"/>
    </xf>
    <xf numFmtId="0" fontId="42" fillId="15" borderId="40" xfId="0" applyFont="1" applyFill="1" applyBorder="1" applyAlignment="1">
      <alignment horizontal="center" vertical="center"/>
    </xf>
    <xf numFmtId="0" fontId="42" fillId="0" borderId="42" xfId="0" applyFont="1" applyBorder="1" applyAlignment="1">
      <alignment horizontal="left" vertical="center" wrapText="1"/>
    </xf>
    <xf numFmtId="0" fontId="42" fillId="17" borderId="40" xfId="0" applyFont="1" applyFill="1" applyBorder="1" applyAlignment="1">
      <alignment horizontal="center" vertical="center"/>
    </xf>
    <xf numFmtId="0" fontId="45" fillId="0" borderId="33" xfId="0" applyFont="1" applyBorder="1" applyAlignment="1">
      <alignment horizontal="center" vertical="top" wrapText="1"/>
    </xf>
    <xf numFmtId="0" fontId="45" fillId="0" borderId="33" xfId="0" applyFont="1" applyBorder="1" applyAlignment="1">
      <alignment horizontal="left" vertical="top" wrapText="1"/>
    </xf>
    <xf numFmtId="0" fontId="46" fillId="0" borderId="33" xfId="0" applyFont="1" applyBorder="1" applyAlignment="1">
      <alignment horizontal="left" vertical="top" wrapText="1"/>
    </xf>
    <xf numFmtId="0" fontId="21" fillId="0" borderId="8" xfId="0" applyFont="1" applyBorder="1" applyAlignment="1">
      <alignment vertical="center"/>
    </xf>
    <xf numFmtId="0" fontId="43" fillId="18" borderId="33" xfId="0" applyFont="1" applyFill="1" applyBorder="1" applyAlignment="1">
      <alignment horizontal="left" vertical="center"/>
    </xf>
    <xf numFmtId="0" fontId="44" fillId="7" borderId="33" xfId="0" applyFont="1" applyFill="1" applyBorder="1" applyAlignment="1">
      <alignment horizontal="left" vertical="center"/>
    </xf>
    <xf numFmtId="164" fontId="7" fillId="3" borderId="1" xfId="5" applyFont="1" applyFill="1" applyBorder="1" applyAlignment="1">
      <alignment horizontal="center"/>
    </xf>
    <xf numFmtId="164" fontId="7" fillId="3" borderId="2" xfId="5" applyFont="1" applyFill="1" applyBorder="1" applyAlignment="1">
      <alignment horizontal="center"/>
    </xf>
    <xf numFmtId="164" fontId="9" fillId="3" borderId="2" xfId="5" applyFont="1" applyFill="1" applyBorder="1" applyAlignment="1">
      <alignment horizontal="center" vertical="center" wrapText="1"/>
    </xf>
    <xf numFmtId="164" fontId="11" fillId="3" borderId="0" xfId="5" applyFont="1" applyFill="1" applyAlignment="1">
      <alignment horizontal="center" vertical="center" wrapText="1"/>
    </xf>
    <xf numFmtId="164" fontId="12" fillId="3" borderId="2" xfId="5" applyFont="1" applyFill="1" applyBorder="1" applyAlignment="1">
      <alignment horizontal="center" vertical="center" wrapText="1"/>
    </xf>
    <xf numFmtId="164" fontId="13" fillId="3" borderId="0" xfId="5" applyFont="1" applyFill="1" applyAlignment="1">
      <alignment horizontal="left" vertical="center"/>
    </xf>
    <xf numFmtId="164" fontId="12" fillId="3" borderId="3" xfId="5" applyFont="1" applyFill="1" applyBorder="1" applyAlignment="1">
      <alignment horizontal="center"/>
    </xf>
    <xf numFmtId="164" fontId="13" fillId="3" borderId="0" xfId="5" applyFont="1" applyFill="1" applyAlignment="1">
      <alignment horizontal="left" vertical="center" wrapText="1"/>
    </xf>
    <xf numFmtId="164" fontId="3" fillId="0" borderId="12" xfId="0" applyNumberFormat="1" applyFont="1" applyBorder="1" applyAlignment="1">
      <alignment horizontal="left" vertical="center" wrapText="1"/>
    </xf>
    <xf numFmtId="0" fontId="3" fillId="0" borderId="8" xfId="0" applyFont="1" applyBorder="1" applyAlignment="1">
      <alignment horizontal="left" vertical="center" wrapText="1"/>
    </xf>
    <xf numFmtId="164" fontId="20" fillId="4" borderId="10" xfId="6" applyFont="1" applyFill="1" applyBorder="1" applyAlignment="1">
      <alignment horizontal="center" vertical="center" wrapText="1"/>
    </xf>
    <xf numFmtId="164" fontId="20" fillId="4" borderId="8" xfId="6" applyFont="1" applyFill="1" applyBorder="1" applyAlignment="1">
      <alignment horizontal="center" vertical="center" wrapText="1"/>
    </xf>
    <xf numFmtId="164" fontId="3" fillId="0" borderId="8" xfId="2" applyFont="1" applyBorder="1" applyAlignment="1">
      <alignment horizontal="left" vertical="center" wrapText="1"/>
    </xf>
    <xf numFmtId="164" fontId="27" fillId="2" borderId="9" xfId="6" applyFont="1" applyFill="1" applyBorder="1" applyAlignment="1">
      <alignment horizontal="left" vertical="center" wrapText="1"/>
    </xf>
    <xf numFmtId="164" fontId="27" fillId="2" borderId="17" xfId="6" applyFont="1" applyFill="1" applyBorder="1" applyAlignment="1">
      <alignment horizontal="left" vertical="center" wrapText="1"/>
    </xf>
    <xf numFmtId="164" fontId="27" fillId="2" borderId="19" xfId="6" applyFont="1" applyFill="1" applyBorder="1" applyAlignment="1">
      <alignment horizontal="left" vertical="center" wrapText="1"/>
    </xf>
    <xf numFmtId="165" fontId="27" fillId="2" borderId="20" xfId="6" applyNumberFormat="1" applyFont="1" applyFill="1" applyBorder="1" applyAlignment="1">
      <alignment horizontal="left" vertical="center" wrapText="1"/>
    </xf>
    <xf numFmtId="164" fontId="28" fillId="2" borderId="19" xfId="6" applyFont="1" applyFill="1" applyBorder="1" applyAlignment="1">
      <alignment horizontal="left" vertical="center" wrapText="1"/>
    </xf>
    <xf numFmtId="164" fontId="28" fillId="2" borderId="20" xfId="6" applyFont="1" applyFill="1" applyBorder="1" applyAlignment="1">
      <alignment horizontal="left" vertical="center" wrapText="1"/>
    </xf>
    <xf numFmtId="164" fontId="26" fillId="5" borderId="18" xfId="6" applyFont="1" applyFill="1" applyBorder="1" applyAlignment="1">
      <alignment horizontal="left" vertical="center" wrapText="1"/>
    </xf>
    <xf numFmtId="15" fontId="28" fillId="2" borderId="26" xfId="6" applyNumberFormat="1" applyFont="1" applyFill="1" applyBorder="1" applyAlignment="1">
      <alignment horizontal="left" vertical="center" wrapText="1"/>
    </xf>
    <xf numFmtId="164" fontId="29" fillId="6" borderId="27" xfId="9" applyNumberFormat="1" applyFont="1" applyFill="1" applyBorder="1" applyAlignment="1">
      <alignment horizontal="left" vertical="center" wrapText="1"/>
    </xf>
    <xf numFmtId="0" fontId="41" fillId="12" borderId="39" xfId="0" applyFont="1" applyFill="1" applyBorder="1" applyAlignment="1">
      <alignment horizontal="center" vertical="center" wrapText="1"/>
    </xf>
    <xf numFmtId="0" fontId="40" fillId="12" borderId="38" xfId="0" applyFont="1" applyFill="1" applyBorder="1" applyAlignment="1">
      <alignment horizontal="center" vertical="center" wrapText="1"/>
    </xf>
    <xf numFmtId="0" fontId="42" fillId="16" borderId="40" xfId="0" applyFont="1" applyFill="1" applyBorder="1" applyAlignment="1">
      <alignment horizontal="center" vertical="center"/>
    </xf>
    <xf numFmtId="164" fontId="22" fillId="2" borderId="0" xfId="2" applyFont="1" applyFill="1" applyAlignment="1"/>
  </cellXfs>
  <cellStyles count="10">
    <cellStyle name="Bình thường" xfId="0" builtinId="0"/>
    <cellStyle name="Excel Built-in RowLevel_0" xfId="9" xr:uid="{00000000-0005-0000-0000-00000E000000}"/>
    <cellStyle name="Normal 2" xfId="2" xr:uid="{00000000-0005-0000-0000-000006000000}"/>
    <cellStyle name="Normal 6" xfId="3" xr:uid="{00000000-0005-0000-0000-000007000000}"/>
    <cellStyle name="Normal_Functional Test Case v1.0" xfId="4" xr:uid="{00000000-0005-0000-0000-000008000000}"/>
    <cellStyle name="Normal_PBP_Application_TC v1.0" xfId="5" xr:uid="{00000000-0005-0000-0000-000009000000}"/>
    <cellStyle name="Normal_Sheet1" xfId="6" xr:uid="{00000000-0005-0000-0000-00000A000000}"/>
    <cellStyle name="Normal_Sheet1_BlueSword-3_Browser_Func_TC_v1.0 )" xfId="7" xr:uid="{00000000-0005-0000-0000-00000B000000}"/>
    <cellStyle name="Siêu kết nối" xfId="1" builtinId="8"/>
    <cellStyle name="標準_打刻ﾃﾞｰﾀ収集" xfId="8" xr:uid="{00000000-0005-0000-0000-00000C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CC1DA"/>
      <rgbColor rgb="FF808080"/>
      <rgbColor rgb="FF558ED5"/>
      <rgbColor rgb="FF7030A0"/>
      <rgbColor rgb="FFFFF2CC"/>
      <rgbColor rgb="FFCCFFFF"/>
      <rgbColor rgb="FF660066"/>
      <rgbColor rgb="FFFF8080"/>
      <rgbColor rgb="FF2F5597"/>
      <rgbColor rgb="FFBDD7EE"/>
      <rgbColor rgb="FF000080"/>
      <rgbColor rgb="FFFF00FF"/>
      <rgbColor rgb="FFFFFF00"/>
      <rgbColor rgb="FF00FFFF"/>
      <rgbColor rgb="FF800080"/>
      <rgbColor rgb="FF800000"/>
      <rgbColor rgb="FF008080"/>
      <rgbColor rgb="FF0000FF"/>
      <rgbColor rgb="FF00B0F0"/>
      <rgbColor rgb="FFCCFFFF"/>
      <rgbColor rgb="FFCCFFCC"/>
      <rgbColor rgb="FFFDE9D9"/>
      <rgbColor rgb="FFA7D6E3"/>
      <rgbColor rgb="FFFAC090"/>
      <rgbColor rgb="FFB4C7E7"/>
      <rgbColor rgb="FFF8CBAD"/>
      <rgbColor rgb="FF4472C4"/>
      <rgbColor rgb="FF548DD4"/>
      <rgbColor rgb="FF92D050"/>
      <rgbColor rgb="FFFFC000"/>
      <rgbColor rgb="FFFF9900"/>
      <rgbColor rgb="FFFF6600"/>
      <rgbColor rgb="FF7F7F7F"/>
      <rgbColor rgb="FF8497B0"/>
      <rgbColor rgb="FF1F497D"/>
      <rgbColor rgb="FF4F81BD"/>
      <rgbColor rgb="FF003300"/>
      <rgbColor rgb="FF333300"/>
      <rgbColor rgb="FF993300"/>
      <rgbColor rgb="FF993366"/>
      <rgbColor rgb="FF333399"/>
      <rgbColor rgb="FF44546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9"/>
  <sheetViews>
    <sheetView zoomScaleNormal="100" workbookViewId="0">
      <selection activeCell="L8" sqref="L8"/>
    </sheetView>
  </sheetViews>
  <sheetFormatPr defaultColWidth="9.140625" defaultRowHeight="14.25"/>
  <cols>
    <col min="1" max="1" width="9.140625" style="4"/>
    <col min="2" max="2" width="5.7109375" style="4" customWidth="1"/>
    <col min="3" max="4" width="9.140625" style="4"/>
    <col min="5" max="5" width="45.42578125" style="4" customWidth="1"/>
    <col min="6" max="6" width="9.140625" style="4"/>
    <col min="7" max="7" width="16.5703125" style="4" customWidth="1"/>
    <col min="8" max="8" width="31.7109375" style="4" customWidth="1"/>
    <col min="9" max="1024" width="9.140625" style="4"/>
  </cols>
  <sheetData>
    <row r="1" spans="1:10" ht="15" customHeight="1">
      <c r="A1" s="5"/>
      <c r="B1" s="5"/>
      <c r="C1" s="5"/>
      <c r="D1" s="5"/>
      <c r="E1" s="5"/>
      <c r="F1" s="5"/>
      <c r="G1" s="5"/>
      <c r="H1" s="5"/>
      <c r="I1" s="5"/>
      <c r="J1" s="5"/>
    </row>
    <row r="2" spans="1:10" s="4" customFormat="1" ht="13.5" customHeight="1">
      <c r="A2" s="5"/>
      <c r="B2" s="122"/>
      <c r="C2" s="122"/>
      <c r="D2" s="122"/>
      <c r="E2" s="122"/>
      <c r="F2" s="122"/>
      <c r="G2" s="122"/>
      <c r="H2" s="122"/>
      <c r="I2" s="122"/>
      <c r="J2" s="122"/>
    </row>
    <row r="3" spans="1:10" s="4" customFormat="1" ht="13.5" customHeight="1">
      <c r="A3" s="5"/>
      <c r="B3" s="123"/>
      <c r="C3" s="123"/>
      <c r="D3" s="123"/>
      <c r="E3" s="123"/>
      <c r="F3" s="123"/>
      <c r="G3" s="123"/>
      <c r="H3" s="123"/>
      <c r="I3" s="123"/>
      <c r="J3" s="123"/>
    </row>
    <row r="4" spans="1:10" s="4" customFormat="1" ht="13.5" customHeight="1">
      <c r="A4" s="5"/>
      <c r="B4" s="6"/>
      <c r="C4" s="7"/>
      <c r="D4" s="7"/>
      <c r="E4" s="7"/>
      <c r="F4" s="7"/>
      <c r="G4" s="7"/>
      <c r="H4" s="7"/>
      <c r="I4" s="7"/>
      <c r="J4" s="8"/>
    </row>
    <row r="5" spans="1:10" s="4" customFormat="1" ht="13.5" customHeight="1">
      <c r="A5" s="5"/>
      <c r="B5" s="6"/>
      <c r="C5" s="7"/>
      <c r="D5" s="7"/>
      <c r="E5" s="7"/>
      <c r="F5" s="7"/>
      <c r="G5" s="7"/>
      <c r="H5" s="7"/>
      <c r="I5" s="7"/>
      <c r="J5" s="8"/>
    </row>
    <row r="6" spans="1:10" s="4" customFormat="1" ht="13.5" customHeight="1">
      <c r="A6" s="5"/>
      <c r="B6" s="124"/>
      <c r="C6" s="124"/>
      <c r="D6" s="124"/>
      <c r="E6" s="124"/>
      <c r="F6" s="124"/>
      <c r="G6" s="124"/>
      <c r="H6" s="124"/>
      <c r="I6" s="124"/>
      <c r="J6" s="124"/>
    </row>
    <row r="7" spans="1:10" s="4" customFormat="1" ht="13.5" customHeight="1">
      <c r="A7" s="5"/>
      <c r="B7" s="124"/>
      <c r="C7" s="124"/>
      <c r="D7" s="124"/>
      <c r="E7" s="124"/>
      <c r="F7" s="124"/>
      <c r="G7" s="124"/>
      <c r="H7" s="124"/>
      <c r="I7" s="124"/>
      <c r="J7" s="124"/>
    </row>
    <row r="8" spans="1:10" s="4" customFormat="1" ht="45" customHeight="1">
      <c r="A8" s="5"/>
      <c r="B8" s="9"/>
      <c r="C8" s="10"/>
      <c r="D8" s="10"/>
      <c r="E8" s="125" t="s">
        <v>0</v>
      </c>
      <c r="F8" s="125"/>
      <c r="G8" s="125"/>
      <c r="H8" s="125"/>
      <c r="I8" s="10"/>
      <c r="J8" s="11"/>
    </row>
    <row r="9" spans="1:10" s="4" customFormat="1" ht="13.5" customHeight="1">
      <c r="A9" s="5"/>
      <c r="B9" s="126"/>
      <c r="C9" s="126"/>
      <c r="D9" s="126"/>
      <c r="E9" s="126"/>
      <c r="F9" s="126"/>
      <c r="G9" s="126"/>
      <c r="H9" s="126"/>
      <c r="I9" s="126"/>
      <c r="J9" s="126"/>
    </row>
    <row r="10" spans="1:10" s="4" customFormat="1" ht="13.5" customHeight="1">
      <c r="A10" s="5"/>
      <c r="B10" s="128"/>
      <c r="C10" s="128"/>
      <c r="D10" s="128"/>
      <c r="E10" s="128"/>
      <c r="F10" s="128"/>
      <c r="G10" s="128"/>
      <c r="H10" s="128"/>
      <c r="I10" s="128"/>
      <c r="J10" s="12"/>
    </row>
    <row r="11" spans="1:10" s="4" customFormat="1" ht="26.25" customHeight="1">
      <c r="A11" s="5"/>
      <c r="B11" s="13"/>
      <c r="C11" s="127" t="s">
        <v>1</v>
      </c>
      <c r="D11" s="127"/>
      <c r="E11" s="14" t="s">
        <v>2</v>
      </c>
      <c r="F11" s="15"/>
      <c r="G11" s="3" t="s">
        <v>3</v>
      </c>
      <c r="H11" s="14"/>
      <c r="I11" s="16"/>
      <c r="J11" s="17"/>
    </row>
    <row r="12" spans="1:10" s="4" customFormat="1" ht="13.5" customHeight="1">
      <c r="A12" s="5"/>
      <c r="B12" s="18" t="s">
        <v>4</v>
      </c>
      <c r="C12" s="129" t="s">
        <v>5</v>
      </c>
      <c r="D12" s="129"/>
      <c r="E12" s="14"/>
      <c r="F12" s="19"/>
      <c r="G12" s="3" t="s">
        <v>6</v>
      </c>
      <c r="H12" s="14"/>
      <c r="I12" s="20"/>
      <c r="J12" s="21"/>
    </row>
    <row r="13" spans="1:10" s="4" customFormat="1" ht="13.5" customHeight="1">
      <c r="A13" s="5"/>
      <c r="B13" s="13"/>
      <c r="C13" s="127" t="s">
        <v>7</v>
      </c>
      <c r="D13" s="127"/>
      <c r="E13" s="14"/>
      <c r="F13" s="15"/>
      <c r="G13" s="3" t="s">
        <v>8</v>
      </c>
      <c r="H13" s="14"/>
      <c r="I13" s="16"/>
      <c r="J13" s="17"/>
    </row>
    <row r="14" spans="1:10" s="4" customFormat="1" ht="13.5" customHeight="1">
      <c r="A14" s="5"/>
      <c r="B14" s="13"/>
      <c r="C14" s="127" t="s">
        <v>6</v>
      </c>
      <c r="D14" s="127"/>
      <c r="E14" s="14"/>
      <c r="F14" s="15"/>
      <c r="G14" s="3" t="s">
        <v>9</v>
      </c>
      <c r="H14" s="14"/>
      <c r="I14" s="16"/>
      <c r="J14" s="17"/>
    </row>
    <row r="15" spans="1:10" s="4" customFormat="1" ht="13.5" customHeight="1">
      <c r="A15" s="5"/>
      <c r="B15" s="13"/>
      <c r="C15" s="127" t="s">
        <v>10</v>
      </c>
      <c r="D15" s="127"/>
      <c r="E15" s="14">
        <v>46157</v>
      </c>
      <c r="F15" s="15"/>
      <c r="G15" s="3" t="s">
        <v>6</v>
      </c>
      <c r="H15" s="14"/>
      <c r="I15" s="16"/>
      <c r="J15" s="17"/>
    </row>
    <row r="16" spans="1:10" s="4" customFormat="1" ht="13.5" customHeight="1">
      <c r="A16" s="5"/>
      <c r="B16" s="13"/>
      <c r="C16" s="127" t="s">
        <v>11</v>
      </c>
      <c r="D16" s="127"/>
      <c r="E16" s="22" t="s">
        <v>12</v>
      </c>
      <c r="F16" s="15"/>
      <c r="G16" s="3" t="s">
        <v>13</v>
      </c>
      <c r="H16" s="14"/>
      <c r="I16" s="16"/>
      <c r="J16" s="17"/>
    </row>
    <row r="17" spans="1:10" s="4" customFormat="1" ht="13.5" customHeight="1">
      <c r="A17" s="5"/>
      <c r="B17" s="23"/>
      <c r="C17" s="24"/>
      <c r="D17" s="24"/>
      <c r="E17" s="25"/>
      <c r="F17" s="25"/>
      <c r="G17" s="25"/>
      <c r="H17" s="25"/>
      <c r="I17" s="25"/>
      <c r="J17" s="26"/>
    </row>
    <row r="18" spans="1:10" s="4" customFormat="1" ht="13.5" customHeight="1">
      <c r="B18" s="27"/>
      <c r="C18" s="25"/>
      <c r="D18" s="25"/>
      <c r="E18" s="25"/>
      <c r="F18" s="25"/>
      <c r="G18" s="25"/>
      <c r="H18" s="25"/>
      <c r="I18" s="25"/>
      <c r="J18" s="26"/>
    </row>
    <row r="19" spans="1:10" ht="15" customHeight="1">
      <c r="B19" s="28"/>
      <c r="C19" s="29"/>
      <c r="D19" s="29"/>
      <c r="E19" s="29"/>
      <c r="F19" s="29"/>
      <c r="G19" s="29"/>
      <c r="H19" s="29"/>
      <c r="I19" s="29"/>
      <c r="J19" s="30"/>
    </row>
  </sheetData>
  <mergeCells count="12">
    <mergeCell ref="C15:D15"/>
    <mergeCell ref="C16:D16"/>
    <mergeCell ref="B10:I10"/>
    <mergeCell ref="C11:D11"/>
    <mergeCell ref="C12:D12"/>
    <mergeCell ref="C13:D13"/>
    <mergeCell ref="C14:D14"/>
    <mergeCell ref="B2:J2"/>
    <mergeCell ref="B3:J3"/>
    <mergeCell ref="B6:J7"/>
    <mergeCell ref="E8:H8"/>
    <mergeCell ref="B9:J9"/>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0"/>
  <sheetViews>
    <sheetView zoomScaleNormal="100" workbookViewId="0">
      <selection activeCell="B21" sqref="B21"/>
    </sheetView>
  </sheetViews>
  <sheetFormatPr defaultColWidth="9.140625" defaultRowHeight="14.25"/>
  <cols>
    <col min="1" max="1" width="21.42578125" style="31" customWidth="1"/>
    <col min="2" max="2" width="22.5703125" style="31" customWidth="1"/>
    <col min="3" max="3" width="14.140625" style="31" customWidth="1"/>
    <col min="4" max="4" width="11.5703125" style="31" customWidth="1"/>
    <col min="5" max="5" width="10.5703125" style="31" customWidth="1"/>
    <col min="6" max="6" width="12.7109375" style="31" customWidth="1"/>
    <col min="7" max="7" width="14" style="31" customWidth="1"/>
    <col min="8" max="1024" width="9.140625" style="31"/>
  </cols>
  <sheetData>
    <row r="1" spans="1:1024" ht="17.25" customHeight="1">
      <c r="A1" s="32" t="s">
        <v>14</v>
      </c>
      <c r="B1" s="33"/>
    </row>
    <row r="2" spans="1:1024" ht="15" customHeight="1"/>
    <row r="3" spans="1:1024" ht="14.25" customHeight="1">
      <c r="A3" s="2" t="s">
        <v>15</v>
      </c>
      <c r="B3" s="2" t="s">
        <v>16</v>
      </c>
      <c r="C3" s="133" t="s">
        <v>17</v>
      </c>
      <c r="D3" s="133"/>
      <c r="E3" s="133"/>
      <c r="F3" s="133"/>
      <c r="G3" s="133"/>
    </row>
    <row r="4" spans="1:1024" ht="14.25" customHeight="1">
      <c r="A4" s="34">
        <v>1</v>
      </c>
      <c r="B4" s="35" t="s">
        <v>18</v>
      </c>
      <c r="C4" s="134" t="s">
        <v>18</v>
      </c>
      <c r="D4" s="134"/>
      <c r="E4" s="134"/>
      <c r="F4" s="134"/>
      <c r="G4" s="134"/>
    </row>
    <row r="5" spans="1:1024" ht="14.25" customHeight="1">
      <c r="A5" s="34">
        <v>2</v>
      </c>
      <c r="B5" s="36" t="s">
        <v>19</v>
      </c>
      <c r="C5" s="134" t="s">
        <v>20</v>
      </c>
      <c r="D5" s="134"/>
      <c r="E5" s="134"/>
      <c r="F5" s="134"/>
      <c r="G5" s="134"/>
    </row>
    <row r="6" spans="1:1024" ht="14.25" customHeight="1">
      <c r="A6" s="34">
        <v>3</v>
      </c>
      <c r="B6" s="36" t="s">
        <v>0</v>
      </c>
      <c r="C6" s="134" t="s">
        <v>21</v>
      </c>
      <c r="D6" s="134"/>
      <c r="E6" s="134"/>
      <c r="F6" s="134"/>
      <c r="G6" s="134"/>
    </row>
    <row r="7" spans="1:1024" s="38" customFormat="1" ht="31.9" customHeight="1">
      <c r="A7" s="39">
        <v>4</v>
      </c>
      <c r="B7" s="119" t="s">
        <v>22</v>
      </c>
      <c r="C7" s="131" t="s">
        <v>23</v>
      </c>
      <c r="D7" s="131"/>
      <c r="E7" s="131"/>
      <c r="F7" s="131"/>
      <c r="G7" s="131"/>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c r="DU7" s="37"/>
      <c r="DV7" s="37"/>
      <c r="DW7" s="37"/>
      <c r="DX7" s="37"/>
      <c r="DY7" s="37"/>
      <c r="DZ7" s="37"/>
      <c r="EA7" s="37"/>
      <c r="EB7" s="37"/>
      <c r="EC7" s="37"/>
      <c r="ED7" s="37"/>
      <c r="EE7" s="37"/>
      <c r="EF7" s="37"/>
      <c r="EG7" s="37"/>
      <c r="EH7" s="37"/>
      <c r="EI7" s="37"/>
      <c r="EJ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37"/>
      <c r="HF7" s="37"/>
      <c r="HG7" s="37"/>
      <c r="HH7" s="37"/>
      <c r="HI7" s="37"/>
      <c r="HJ7" s="37"/>
      <c r="HK7" s="37"/>
      <c r="HL7" s="37"/>
      <c r="HM7" s="37"/>
      <c r="HN7" s="37"/>
      <c r="HO7" s="37"/>
      <c r="HP7" s="37"/>
      <c r="HQ7" s="37"/>
      <c r="HR7" s="37"/>
      <c r="HS7" s="37"/>
      <c r="HT7" s="37"/>
      <c r="HU7" s="37"/>
      <c r="HV7" s="37"/>
      <c r="HW7" s="37"/>
      <c r="HX7" s="37"/>
      <c r="HY7" s="37"/>
      <c r="HZ7" s="37"/>
      <c r="IA7" s="37"/>
      <c r="IB7" s="37"/>
      <c r="IC7" s="37"/>
      <c r="ID7" s="37"/>
      <c r="IE7" s="37"/>
      <c r="IF7" s="37"/>
      <c r="IG7" s="37"/>
      <c r="IH7" s="37"/>
      <c r="II7" s="37"/>
      <c r="IJ7" s="37"/>
      <c r="IK7" s="37"/>
      <c r="IL7" s="37"/>
      <c r="IM7" s="37"/>
      <c r="IN7" s="37"/>
      <c r="IO7" s="37"/>
      <c r="IP7" s="37"/>
      <c r="IQ7" s="37"/>
      <c r="IR7" s="37"/>
      <c r="IS7" s="37"/>
      <c r="IT7" s="37"/>
      <c r="IU7" s="37"/>
      <c r="IV7" s="37"/>
      <c r="IW7" s="37"/>
      <c r="IX7" s="37"/>
      <c r="IY7" s="37"/>
      <c r="IZ7" s="37"/>
      <c r="JA7" s="37"/>
      <c r="JB7" s="37"/>
      <c r="JC7" s="37"/>
      <c r="JD7" s="37"/>
      <c r="JE7" s="37"/>
      <c r="JF7" s="37"/>
      <c r="JG7" s="37"/>
      <c r="JH7" s="37"/>
      <c r="JI7" s="37"/>
      <c r="JJ7" s="37"/>
      <c r="JK7" s="37"/>
      <c r="JL7" s="37"/>
      <c r="JM7" s="37"/>
      <c r="JN7" s="37"/>
      <c r="JO7" s="37"/>
      <c r="JP7" s="37"/>
      <c r="JQ7" s="37"/>
      <c r="JR7" s="37"/>
      <c r="JS7" s="37"/>
      <c r="JT7" s="37"/>
      <c r="JU7" s="37"/>
      <c r="JV7" s="37"/>
      <c r="JW7" s="37"/>
      <c r="JX7" s="37"/>
      <c r="JY7" s="37"/>
      <c r="JZ7" s="37"/>
      <c r="KA7" s="37"/>
      <c r="KB7" s="37"/>
      <c r="KC7" s="37"/>
      <c r="KD7" s="37"/>
      <c r="KE7" s="37"/>
      <c r="KF7" s="37"/>
      <c r="KG7" s="37"/>
      <c r="KH7" s="37"/>
      <c r="KI7" s="37"/>
      <c r="KJ7" s="37"/>
      <c r="KK7" s="37"/>
      <c r="KL7" s="37"/>
      <c r="KM7" s="37"/>
      <c r="KN7" s="37"/>
      <c r="KO7" s="37"/>
      <c r="KP7" s="37"/>
      <c r="KQ7" s="37"/>
      <c r="KR7" s="37"/>
      <c r="KS7" s="37"/>
      <c r="KT7" s="37"/>
      <c r="KU7" s="37"/>
      <c r="KV7" s="37"/>
      <c r="KW7" s="37"/>
      <c r="KX7" s="37"/>
      <c r="KY7" s="37"/>
      <c r="KZ7" s="37"/>
      <c r="LA7" s="37"/>
      <c r="LB7" s="37"/>
      <c r="LC7" s="37"/>
      <c r="LD7" s="37"/>
      <c r="LE7" s="37"/>
      <c r="LF7" s="37"/>
      <c r="LG7" s="37"/>
      <c r="LH7" s="37"/>
      <c r="LI7" s="37"/>
      <c r="LJ7" s="37"/>
      <c r="LK7" s="37"/>
      <c r="LL7" s="37"/>
      <c r="LM7" s="37"/>
      <c r="LN7" s="37"/>
      <c r="LO7" s="37"/>
      <c r="LP7" s="37"/>
      <c r="LQ7" s="37"/>
      <c r="LR7" s="37"/>
      <c r="LS7" s="37"/>
      <c r="LT7" s="37"/>
      <c r="LU7" s="37"/>
      <c r="LV7" s="37"/>
      <c r="LW7" s="37"/>
      <c r="LX7" s="37"/>
      <c r="LY7" s="37"/>
      <c r="LZ7" s="37"/>
      <c r="MA7" s="37"/>
      <c r="MB7" s="37"/>
      <c r="MC7" s="37"/>
      <c r="MD7" s="37"/>
      <c r="ME7" s="37"/>
      <c r="MF7" s="37"/>
      <c r="MG7" s="37"/>
      <c r="MH7" s="37"/>
      <c r="MI7" s="37"/>
      <c r="MJ7" s="37"/>
      <c r="MK7" s="37"/>
      <c r="ML7" s="37"/>
      <c r="MM7" s="37"/>
      <c r="MN7" s="37"/>
      <c r="MO7" s="37"/>
      <c r="MP7" s="37"/>
      <c r="MQ7" s="37"/>
      <c r="MR7" s="37"/>
      <c r="MS7" s="37"/>
      <c r="MT7" s="37"/>
      <c r="MU7" s="37"/>
      <c r="MV7" s="37"/>
      <c r="MW7" s="37"/>
      <c r="MX7" s="37"/>
      <c r="MY7" s="37"/>
      <c r="MZ7" s="37"/>
      <c r="NA7" s="37"/>
      <c r="NB7" s="37"/>
      <c r="NC7" s="37"/>
      <c r="ND7" s="37"/>
      <c r="NE7" s="37"/>
      <c r="NF7" s="37"/>
      <c r="NG7" s="37"/>
      <c r="NH7" s="37"/>
      <c r="NI7" s="37"/>
      <c r="NJ7" s="37"/>
      <c r="NK7" s="37"/>
      <c r="NL7" s="37"/>
      <c r="NM7" s="37"/>
      <c r="NN7" s="37"/>
      <c r="NO7" s="37"/>
      <c r="NP7" s="37"/>
      <c r="NQ7" s="37"/>
      <c r="NR7" s="37"/>
      <c r="NS7" s="37"/>
      <c r="NT7" s="37"/>
      <c r="NU7" s="37"/>
      <c r="NV7" s="37"/>
      <c r="NW7" s="37"/>
      <c r="NX7" s="37"/>
      <c r="NY7" s="37"/>
      <c r="NZ7" s="37"/>
      <c r="OA7" s="37"/>
      <c r="OB7" s="37"/>
      <c r="OC7" s="37"/>
      <c r="OD7" s="37"/>
      <c r="OE7" s="37"/>
      <c r="OF7" s="37"/>
      <c r="OG7" s="37"/>
      <c r="OH7" s="37"/>
      <c r="OI7" s="37"/>
      <c r="OJ7" s="37"/>
      <c r="OK7" s="37"/>
      <c r="OL7" s="37"/>
      <c r="OM7" s="37"/>
      <c r="ON7" s="37"/>
      <c r="OO7" s="37"/>
      <c r="OP7" s="37"/>
      <c r="OQ7" s="37"/>
      <c r="OR7" s="37"/>
      <c r="OS7" s="37"/>
      <c r="OT7" s="37"/>
      <c r="OU7" s="37"/>
      <c r="OV7" s="37"/>
      <c r="OW7" s="37"/>
      <c r="OX7" s="37"/>
      <c r="OY7" s="37"/>
      <c r="OZ7" s="37"/>
      <c r="PA7" s="37"/>
      <c r="PB7" s="37"/>
      <c r="PC7" s="37"/>
      <c r="PD7" s="37"/>
      <c r="PE7" s="37"/>
      <c r="PF7" s="37"/>
      <c r="PG7" s="37"/>
      <c r="PH7" s="37"/>
      <c r="PI7" s="37"/>
      <c r="PJ7" s="37"/>
      <c r="PK7" s="37"/>
      <c r="PL7" s="37"/>
      <c r="PM7" s="37"/>
      <c r="PN7" s="37"/>
      <c r="PO7" s="37"/>
      <c r="PP7" s="37"/>
      <c r="PQ7" s="37"/>
      <c r="PR7" s="37"/>
      <c r="PS7" s="37"/>
      <c r="PT7" s="37"/>
      <c r="PU7" s="37"/>
      <c r="PV7" s="37"/>
      <c r="PW7" s="37"/>
      <c r="PX7" s="37"/>
      <c r="PY7" s="37"/>
      <c r="PZ7" s="37"/>
      <c r="QA7" s="37"/>
      <c r="QB7" s="37"/>
      <c r="QC7" s="37"/>
      <c r="QD7" s="37"/>
      <c r="QE7" s="37"/>
      <c r="QF7" s="37"/>
      <c r="QG7" s="37"/>
      <c r="QH7" s="37"/>
      <c r="QI7" s="37"/>
      <c r="QJ7" s="37"/>
      <c r="QK7" s="37"/>
      <c r="QL7" s="37"/>
      <c r="QM7" s="37"/>
      <c r="QN7" s="37"/>
      <c r="QO7" s="37"/>
      <c r="QP7" s="37"/>
      <c r="QQ7" s="37"/>
      <c r="QR7" s="37"/>
      <c r="QS7" s="37"/>
      <c r="QT7" s="37"/>
      <c r="QU7" s="37"/>
      <c r="QV7" s="37"/>
      <c r="QW7" s="37"/>
      <c r="QX7" s="37"/>
      <c r="QY7" s="37"/>
      <c r="QZ7" s="37"/>
      <c r="RA7" s="37"/>
      <c r="RB7" s="37"/>
      <c r="RC7" s="37"/>
      <c r="RD7" s="37"/>
      <c r="RE7" s="37"/>
      <c r="RF7" s="37"/>
      <c r="RG7" s="37"/>
      <c r="RH7" s="37"/>
      <c r="RI7" s="37"/>
      <c r="RJ7" s="37"/>
      <c r="RK7" s="37"/>
      <c r="RL7" s="37"/>
      <c r="RM7" s="37"/>
      <c r="RN7" s="37"/>
      <c r="RO7" s="37"/>
      <c r="RP7" s="37"/>
      <c r="RQ7" s="37"/>
      <c r="RR7" s="37"/>
      <c r="RS7" s="37"/>
      <c r="RT7" s="37"/>
      <c r="RU7" s="37"/>
      <c r="RV7" s="37"/>
      <c r="RW7" s="37"/>
      <c r="RX7" s="37"/>
      <c r="RY7" s="37"/>
      <c r="RZ7" s="37"/>
      <c r="SA7" s="37"/>
      <c r="SB7" s="37"/>
      <c r="SC7" s="37"/>
      <c r="SD7" s="37"/>
      <c r="SE7" s="37"/>
      <c r="SF7" s="37"/>
      <c r="SG7" s="37"/>
      <c r="SH7" s="37"/>
      <c r="SI7" s="37"/>
      <c r="SJ7" s="37"/>
      <c r="SK7" s="37"/>
      <c r="SL7" s="37"/>
      <c r="SM7" s="37"/>
      <c r="SN7" s="37"/>
      <c r="SO7" s="37"/>
      <c r="SP7" s="37"/>
      <c r="SQ7" s="37"/>
      <c r="SR7" s="37"/>
      <c r="SS7" s="37"/>
      <c r="ST7" s="37"/>
      <c r="SU7" s="37"/>
      <c r="SV7" s="37"/>
      <c r="SW7" s="37"/>
      <c r="SX7" s="37"/>
      <c r="SY7" s="37"/>
      <c r="SZ7" s="37"/>
      <c r="TA7" s="37"/>
      <c r="TB7" s="37"/>
      <c r="TC7" s="37"/>
      <c r="TD7" s="37"/>
      <c r="TE7" s="37"/>
      <c r="TF7" s="37"/>
      <c r="TG7" s="37"/>
      <c r="TH7" s="37"/>
      <c r="TI7" s="37"/>
      <c r="TJ7" s="37"/>
      <c r="TK7" s="37"/>
      <c r="TL7" s="37"/>
      <c r="TM7" s="37"/>
      <c r="TN7" s="37"/>
      <c r="TO7" s="37"/>
      <c r="TP7" s="37"/>
      <c r="TQ7" s="37"/>
      <c r="TR7" s="37"/>
      <c r="TS7" s="37"/>
      <c r="TT7" s="37"/>
      <c r="TU7" s="37"/>
      <c r="TV7" s="37"/>
      <c r="TW7" s="37"/>
      <c r="TX7" s="37"/>
      <c r="TY7" s="37"/>
      <c r="TZ7" s="37"/>
      <c r="UA7" s="37"/>
      <c r="UB7" s="37"/>
      <c r="UC7" s="37"/>
      <c r="UD7" s="37"/>
      <c r="UE7" s="37"/>
      <c r="UF7" s="37"/>
      <c r="UG7" s="37"/>
      <c r="UH7" s="37"/>
      <c r="UI7" s="37"/>
      <c r="UJ7" s="37"/>
      <c r="UK7" s="37"/>
      <c r="UL7" s="37"/>
      <c r="UM7" s="37"/>
      <c r="UN7" s="37"/>
      <c r="UO7" s="37"/>
      <c r="UP7" s="37"/>
      <c r="UQ7" s="37"/>
      <c r="UR7" s="37"/>
      <c r="US7" s="37"/>
      <c r="UT7" s="37"/>
      <c r="UU7" s="37"/>
      <c r="UV7" s="37"/>
      <c r="UW7" s="37"/>
      <c r="UX7" s="37"/>
      <c r="UY7" s="37"/>
      <c r="UZ7" s="37"/>
      <c r="VA7" s="37"/>
      <c r="VB7" s="37"/>
      <c r="VC7" s="37"/>
      <c r="VD7" s="37"/>
      <c r="VE7" s="37"/>
      <c r="VF7" s="37"/>
      <c r="VG7" s="37"/>
      <c r="VH7" s="37"/>
      <c r="VI7" s="37"/>
      <c r="VJ7" s="37"/>
      <c r="VK7" s="37"/>
      <c r="VL7" s="37"/>
      <c r="VM7" s="37"/>
      <c r="VN7" s="37"/>
      <c r="VO7" s="37"/>
      <c r="VP7" s="37"/>
      <c r="VQ7" s="37"/>
      <c r="VR7" s="37"/>
      <c r="VS7" s="37"/>
      <c r="VT7" s="37"/>
      <c r="VU7" s="37"/>
      <c r="VV7" s="37"/>
      <c r="VW7" s="37"/>
      <c r="VX7" s="37"/>
      <c r="VY7" s="37"/>
      <c r="VZ7" s="37"/>
      <c r="WA7" s="37"/>
      <c r="WB7" s="37"/>
      <c r="WC7" s="37"/>
      <c r="WD7" s="37"/>
      <c r="WE7" s="37"/>
      <c r="WF7" s="37"/>
      <c r="WG7" s="37"/>
      <c r="WH7" s="37"/>
      <c r="WI7" s="37"/>
      <c r="WJ7" s="37"/>
      <c r="WK7" s="37"/>
      <c r="WL7" s="37"/>
      <c r="WM7" s="37"/>
      <c r="WN7" s="37"/>
      <c r="WO7" s="37"/>
      <c r="WP7" s="37"/>
      <c r="WQ7" s="37"/>
      <c r="WR7" s="37"/>
      <c r="WS7" s="37"/>
      <c r="WT7" s="37"/>
      <c r="WU7" s="37"/>
      <c r="WV7" s="37"/>
      <c r="WW7" s="37"/>
      <c r="WX7" s="37"/>
      <c r="WY7" s="37"/>
      <c r="WZ7" s="37"/>
      <c r="XA7" s="37"/>
      <c r="XB7" s="37"/>
      <c r="XC7" s="37"/>
      <c r="XD7" s="37"/>
      <c r="XE7" s="37"/>
      <c r="XF7" s="37"/>
      <c r="XG7" s="37"/>
      <c r="XH7" s="37"/>
      <c r="XI7" s="37"/>
      <c r="XJ7" s="37"/>
      <c r="XK7" s="37"/>
      <c r="XL7" s="37"/>
      <c r="XM7" s="37"/>
      <c r="XN7" s="37"/>
      <c r="XO7" s="37"/>
      <c r="XP7" s="37"/>
      <c r="XQ7" s="37"/>
      <c r="XR7" s="37"/>
      <c r="XS7" s="37"/>
      <c r="XT7" s="37"/>
      <c r="XU7" s="37"/>
      <c r="XV7" s="37"/>
      <c r="XW7" s="37"/>
      <c r="XX7" s="37"/>
      <c r="XY7" s="37"/>
      <c r="XZ7" s="37"/>
      <c r="YA7" s="37"/>
      <c r="YB7" s="37"/>
      <c r="YC7" s="37"/>
      <c r="YD7" s="37"/>
      <c r="YE7" s="37"/>
      <c r="YF7" s="37"/>
      <c r="YG7" s="37"/>
      <c r="YH7" s="37"/>
      <c r="YI7" s="37"/>
      <c r="YJ7" s="37"/>
      <c r="YK7" s="37"/>
      <c r="YL7" s="37"/>
      <c r="YM7" s="37"/>
      <c r="YN7" s="37"/>
      <c r="YO7" s="37"/>
      <c r="YP7" s="37"/>
      <c r="YQ7" s="37"/>
      <c r="YR7" s="37"/>
      <c r="YS7" s="37"/>
      <c r="YT7" s="37"/>
      <c r="YU7" s="37"/>
      <c r="YV7" s="37"/>
      <c r="YW7" s="37"/>
      <c r="YX7" s="37"/>
      <c r="YY7" s="37"/>
      <c r="YZ7" s="37"/>
      <c r="ZA7" s="37"/>
      <c r="ZB7" s="37"/>
      <c r="ZC7" s="37"/>
      <c r="ZD7" s="37"/>
      <c r="ZE7" s="37"/>
      <c r="ZF7" s="37"/>
      <c r="ZG7" s="37"/>
      <c r="ZH7" s="37"/>
      <c r="ZI7" s="37"/>
      <c r="ZJ7" s="37"/>
      <c r="ZK7" s="37"/>
      <c r="ZL7" s="37"/>
      <c r="ZM7" s="37"/>
      <c r="ZN7" s="37"/>
      <c r="ZO7" s="37"/>
      <c r="ZP7" s="37"/>
      <c r="ZQ7" s="37"/>
      <c r="ZR7" s="37"/>
      <c r="ZS7" s="37"/>
      <c r="ZT7" s="37"/>
      <c r="ZU7" s="37"/>
      <c r="ZV7" s="37"/>
      <c r="ZW7" s="37"/>
      <c r="ZX7" s="37"/>
      <c r="ZY7" s="37"/>
      <c r="ZZ7" s="37"/>
      <c r="AAA7" s="37"/>
      <c r="AAB7" s="37"/>
      <c r="AAC7" s="37"/>
      <c r="AAD7" s="37"/>
      <c r="AAE7" s="37"/>
      <c r="AAF7" s="37"/>
      <c r="AAG7" s="37"/>
      <c r="AAH7" s="37"/>
      <c r="AAI7" s="37"/>
      <c r="AAJ7" s="37"/>
      <c r="AAK7" s="37"/>
      <c r="AAL7" s="37"/>
      <c r="AAM7" s="37"/>
      <c r="AAN7" s="37"/>
      <c r="AAO7" s="37"/>
      <c r="AAP7" s="37"/>
      <c r="AAQ7" s="37"/>
      <c r="AAR7" s="37"/>
      <c r="AAS7" s="37"/>
      <c r="AAT7" s="37"/>
      <c r="AAU7" s="37"/>
      <c r="AAV7" s="37"/>
      <c r="AAW7" s="37"/>
      <c r="AAX7" s="37"/>
      <c r="AAY7" s="37"/>
      <c r="AAZ7" s="37"/>
      <c r="ABA7" s="37"/>
      <c r="ABB7" s="37"/>
      <c r="ABC7" s="37"/>
      <c r="ABD7" s="37"/>
      <c r="ABE7" s="37"/>
      <c r="ABF7" s="37"/>
      <c r="ABG7" s="37"/>
      <c r="ABH7" s="37"/>
      <c r="ABI7" s="37"/>
      <c r="ABJ7" s="37"/>
      <c r="ABK7" s="37"/>
      <c r="ABL7" s="37"/>
      <c r="ABM7" s="37"/>
      <c r="ABN7" s="37"/>
      <c r="ABO7" s="37"/>
      <c r="ABP7" s="37"/>
      <c r="ABQ7" s="37"/>
      <c r="ABR7" s="37"/>
      <c r="ABS7" s="37"/>
      <c r="ABT7" s="37"/>
      <c r="ABU7" s="37"/>
      <c r="ABV7" s="37"/>
      <c r="ABW7" s="37"/>
      <c r="ABX7" s="37"/>
      <c r="ABY7" s="37"/>
      <c r="ABZ7" s="37"/>
      <c r="ACA7" s="37"/>
      <c r="ACB7" s="37"/>
      <c r="ACC7" s="37"/>
      <c r="ACD7" s="37"/>
      <c r="ACE7" s="37"/>
      <c r="ACF7" s="37"/>
      <c r="ACG7" s="37"/>
      <c r="ACH7" s="37"/>
      <c r="ACI7" s="37"/>
      <c r="ACJ7" s="37"/>
      <c r="ACK7" s="37"/>
      <c r="ACL7" s="37"/>
      <c r="ACM7" s="37"/>
      <c r="ACN7" s="37"/>
      <c r="ACO7" s="37"/>
      <c r="ACP7" s="37"/>
      <c r="ACQ7" s="37"/>
      <c r="ACR7" s="37"/>
      <c r="ACS7" s="37"/>
      <c r="ACT7" s="37"/>
      <c r="ACU7" s="37"/>
      <c r="ACV7" s="37"/>
      <c r="ACW7" s="37"/>
      <c r="ACX7" s="37"/>
      <c r="ACY7" s="37"/>
      <c r="ACZ7" s="37"/>
      <c r="ADA7" s="37"/>
      <c r="ADB7" s="37"/>
      <c r="ADC7" s="37"/>
      <c r="ADD7" s="37"/>
      <c r="ADE7" s="37"/>
      <c r="ADF7" s="37"/>
      <c r="ADG7" s="37"/>
      <c r="ADH7" s="37"/>
      <c r="ADI7" s="37"/>
      <c r="ADJ7" s="37"/>
      <c r="ADK7" s="37"/>
      <c r="ADL7" s="37"/>
      <c r="ADM7" s="37"/>
      <c r="ADN7" s="37"/>
      <c r="ADO7" s="37"/>
      <c r="ADP7" s="37"/>
      <c r="ADQ7" s="37"/>
      <c r="ADR7" s="37"/>
      <c r="ADS7" s="37"/>
      <c r="ADT7" s="37"/>
      <c r="ADU7" s="37"/>
      <c r="ADV7" s="37"/>
      <c r="ADW7" s="37"/>
      <c r="ADX7" s="37"/>
      <c r="ADY7" s="37"/>
      <c r="ADZ7" s="37"/>
      <c r="AEA7" s="37"/>
      <c r="AEB7" s="37"/>
      <c r="AEC7" s="37"/>
      <c r="AED7" s="37"/>
      <c r="AEE7" s="37"/>
      <c r="AEF7" s="37"/>
      <c r="AEG7" s="37"/>
      <c r="AEH7" s="37"/>
      <c r="AEI7" s="37"/>
      <c r="AEJ7" s="37"/>
      <c r="AEK7" s="37"/>
      <c r="AEL7" s="37"/>
      <c r="AEM7" s="37"/>
      <c r="AEN7" s="37"/>
      <c r="AEO7" s="37"/>
      <c r="AEP7" s="37"/>
      <c r="AEQ7" s="37"/>
      <c r="AER7" s="37"/>
      <c r="AES7" s="37"/>
      <c r="AET7" s="37"/>
      <c r="AEU7" s="37"/>
      <c r="AEV7" s="37"/>
      <c r="AEW7" s="37"/>
      <c r="AEX7" s="37"/>
      <c r="AEY7" s="37"/>
      <c r="AEZ7" s="37"/>
      <c r="AFA7" s="37"/>
      <c r="AFB7" s="37"/>
      <c r="AFC7" s="37"/>
      <c r="AFD7" s="37"/>
      <c r="AFE7" s="37"/>
      <c r="AFF7" s="37"/>
      <c r="AFG7" s="37"/>
      <c r="AFH7" s="37"/>
      <c r="AFI7" s="37"/>
      <c r="AFJ7" s="37"/>
      <c r="AFK7" s="37"/>
      <c r="AFL7" s="37"/>
      <c r="AFM7" s="37"/>
      <c r="AFN7" s="37"/>
      <c r="AFO7" s="37"/>
      <c r="AFP7" s="37"/>
      <c r="AFQ7" s="37"/>
      <c r="AFR7" s="37"/>
      <c r="AFS7" s="37"/>
      <c r="AFT7" s="37"/>
      <c r="AFU7" s="37"/>
      <c r="AFV7" s="37"/>
      <c r="AFW7" s="37"/>
      <c r="AFX7" s="37"/>
      <c r="AFY7" s="37"/>
      <c r="AFZ7" s="37"/>
      <c r="AGA7" s="37"/>
      <c r="AGB7" s="37"/>
      <c r="AGC7" s="37"/>
      <c r="AGD7" s="37"/>
      <c r="AGE7" s="37"/>
      <c r="AGF7" s="37"/>
      <c r="AGG7" s="37"/>
      <c r="AGH7" s="37"/>
      <c r="AGI7" s="37"/>
      <c r="AGJ7" s="37"/>
      <c r="AGK7" s="37"/>
      <c r="AGL7" s="37"/>
      <c r="AGM7" s="37"/>
      <c r="AGN7" s="37"/>
      <c r="AGO7" s="37"/>
      <c r="AGP7" s="37"/>
      <c r="AGQ7" s="37"/>
      <c r="AGR7" s="37"/>
      <c r="AGS7" s="37"/>
      <c r="AGT7" s="37"/>
      <c r="AGU7" s="37"/>
      <c r="AGV7" s="37"/>
      <c r="AGW7" s="37"/>
      <c r="AGX7" s="37"/>
      <c r="AGY7" s="37"/>
      <c r="AGZ7" s="37"/>
      <c r="AHA7" s="37"/>
      <c r="AHB7" s="37"/>
      <c r="AHC7" s="37"/>
      <c r="AHD7" s="37"/>
      <c r="AHE7" s="37"/>
      <c r="AHF7" s="37"/>
      <c r="AHG7" s="37"/>
      <c r="AHH7" s="37"/>
      <c r="AHI7" s="37"/>
      <c r="AHJ7" s="37"/>
      <c r="AHK7" s="37"/>
      <c r="AHL7" s="37"/>
      <c r="AHM7" s="37"/>
      <c r="AHN7" s="37"/>
      <c r="AHO7" s="37"/>
      <c r="AHP7" s="37"/>
      <c r="AHQ7" s="37"/>
      <c r="AHR7" s="37"/>
      <c r="AHS7" s="37"/>
      <c r="AHT7" s="37"/>
      <c r="AHU7" s="37"/>
      <c r="AHV7" s="37"/>
      <c r="AHW7" s="37"/>
      <c r="AHX7" s="37"/>
      <c r="AHY7" s="37"/>
      <c r="AHZ7" s="37"/>
      <c r="AIA7" s="37"/>
      <c r="AIB7" s="37"/>
      <c r="AIC7" s="37"/>
      <c r="AID7" s="37"/>
      <c r="AIE7" s="37"/>
      <c r="AIF7" s="37"/>
      <c r="AIG7" s="37"/>
      <c r="AIH7" s="37"/>
      <c r="AII7" s="37"/>
      <c r="AIJ7" s="37"/>
      <c r="AIK7" s="37"/>
      <c r="AIL7" s="37"/>
      <c r="AIM7" s="37"/>
      <c r="AIN7" s="37"/>
      <c r="AIO7" s="37"/>
      <c r="AIP7" s="37"/>
      <c r="AIQ7" s="37"/>
      <c r="AIR7" s="37"/>
      <c r="AIS7" s="37"/>
      <c r="AIT7" s="37"/>
      <c r="AIU7" s="37"/>
      <c r="AIV7" s="37"/>
      <c r="AIW7" s="37"/>
      <c r="AIX7" s="37"/>
      <c r="AIY7" s="37"/>
      <c r="AIZ7" s="37"/>
      <c r="AJA7" s="37"/>
      <c r="AJB7" s="37"/>
      <c r="AJC7" s="37"/>
      <c r="AJD7" s="37"/>
      <c r="AJE7" s="37"/>
      <c r="AJF7" s="37"/>
      <c r="AJG7" s="37"/>
      <c r="AJH7" s="37"/>
      <c r="AJI7" s="37"/>
      <c r="AJJ7" s="37"/>
      <c r="AJK7" s="37"/>
      <c r="AJL7" s="37"/>
      <c r="AJM7" s="37"/>
      <c r="AJN7" s="37"/>
      <c r="AJO7" s="37"/>
      <c r="AJP7" s="37"/>
      <c r="AJQ7" s="37"/>
      <c r="AJR7" s="37"/>
      <c r="AJS7" s="37"/>
      <c r="AJT7" s="37"/>
      <c r="AJU7" s="37"/>
      <c r="AJV7" s="37"/>
      <c r="AJW7" s="37"/>
      <c r="AJX7" s="37"/>
      <c r="AJY7" s="37"/>
      <c r="AJZ7" s="37"/>
      <c r="AKA7" s="37"/>
      <c r="AKB7" s="37"/>
      <c r="AKC7" s="37"/>
      <c r="AKD7" s="37"/>
      <c r="AKE7" s="37"/>
      <c r="AKF7" s="37"/>
      <c r="AKG7" s="37"/>
      <c r="AKH7" s="37"/>
      <c r="AKI7" s="37"/>
      <c r="AKJ7" s="37"/>
      <c r="AKK7" s="37"/>
      <c r="AKL7" s="37"/>
      <c r="AKM7" s="37"/>
      <c r="AKN7" s="37"/>
      <c r="AKO7" s="37"/>
      <c r="AKP7" s="37"/>
      <c r="AKQ7" s="37"/>
      <c r="AKR7" s="37"/>
      <c r="AKS7" s="37"/>
      <c r="AKT7" s="37"/>
      <c r="AKU7" s="37"/>
      <c r="AKV7" s="37"/>
      <c r="AKW7" s="37"/>
      <c r="AKX7" s="37"/>
      <c r="AKY7" s="37"/>
      <c r="AKZ7" s="37"/>
      <c r="ALA7" s="37"/>
      <c r="ALB7" s="37"/>
      <c r="ALC7" s="37"/>
      <c r="ALD7" s="37"/>
      <c r="ALE7" s="37"/>
      <c r="ALF7" s="37"/>
      <c r="ALG7" s="37"/>
      <c r="ALH7" s="37"/>
      <c r="ALI7" s="37"/>
      <c r="ALJ7" s="37"/>
      <c r="ALK7" s="37"/>
      <c r="ALL7" s="37"/>
      <c r="ALM7" s="37"/>
      <c r="ALN7" s="37"/>
      <c r="ALO7" s="37"/>
      <c r="ALP7" s="37"/>
      <c r="ALQ7" s="37"/>
      <c r="ALR7" s="37"/>
      <c r="ALS7" s="37"/>
      <c r="ALT7" s="37"/>
      <c r="ALU7" s="37"/>
      <c r="ALV7" s="37"/>
      <c r="ALW7" s="37"/>
      <c r="ALX7" s="37"/>
      <c r="ALY7" s="37"/>
      <c r="ALZ7" s="37"/>
      <c r="AMA7" s="37"/>
      <c r="AMB7" s="37"/>
      <c r="AMC7" s="37"/>
      <c r="AMD7" s="37"/>
      <c r="AME7" s="37"/>
      <c r="AMF7" s="37"/>
      <c r="AMG7" s="37"/>
      <c r="AMH7" s="37"/>
      <c r="AMI7" s="37"/>
      <c r="AMJ7" s="37"/>
    </row>
    <row r="8" spans="1:1024">
      <c r="A8" s="40"/>
      <c r="B8" s="1"/>
      <c r="C8" s="147"/>
      <c r="D8" s="147"/>
      <c r="E8" s="147"/>
    </row>
    <row r="9" spans="1:1024" ht="14.25" customHeight="1">
      <c r="A9" s="41" t="s">
        <v>24</v>
      </c>
      <c r="B9" s="41" t="s">
        <v>25</v>
      </c>
      <c r="C9" s="132" t="s">
        <v>26</v>
      </c>
      <c r="D9" s="132"/>
      <c r="E9" s="132"/>
      <c r="F9" s="41" t="s">
        <v>27</v>
      </c>
      <c r="G9" s="41" t="s">
        <v>28</v>
      </c>
    </row>
    <row r="10" spans="1:1024">
      <c r="A10" s="43">
        <v>46273</v>
      </c>
      <c r="B10" s="44" t="s">
        <v>29</v>
      </c>
      <c r="C10" s="130" t="s">
        <v>30</v>
      </c>
      <c r="D10" s="130"/>
      <c r="E10" s="130"/>
      <c r="F10" s="42">
        <v>1</v>
      </c>
      <c r="G10" s="45"/>
    </row>
  </sheetData>
  <mergeCells count="8">
    <mergeCell ref="C10:E10"/>
    <mergeCell ref="C7:G7"/>
    <mergeCell ref="C8:E8"/>
    <mergeCell ref="C9:E9"/>
    <mergeCell ref="C3:G3"/>
    <mergeCell ref="C4:G4"/>
    <mergeCell ref="C5:G5"/>
    <mergeCell ref="C6:G6"/>
  </mergeCells>
  <hyperlinks>
    <hyperlink ref="B4" location="Cover!A1" display="Cover" xr:uid="{00000000-0004-0000-0100-000000000000}"/>
    <hyperlink ref="B5" location="Records!A1" display="Records" xr:uid="{00000000-0004-0000-0100-000001000000}"/>
    <hyperlink ref="B6" location="'Test Report'!A1" display="Test Report" xr:uid="{00000000-0004-0000-0100-000002000000}"/>
  </hyperlinks>
  <pageMargins left="0.7" right="0.7" top="0.75" bottom="0.75"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C090"/>
  </sheetPr>
  <dimension ref="A1:H31"/>
  <sheetViews>
    <sheetView zoomScaleNormal="100" workbookViewId="0">
      <selection activeCell="H24" sqref="H24"/>
    </sheetView>
  </sheetViews>
  <sheetFormatPr defaultColWidth="8.5703125" defaultRowHeight="14.25"/>
  <cols>
    <col min="1" max="1" width="24.140625" style="38" customWidth="1"/>
    <col min="2" max="2" width="15.42578125" style="38" customWidth="1"/>
    <col min="3" max="3" width="16" style="38" customWidth="1"/>
    <col min="4" max="8" width="15.42578125" style="38" customWidth="1"/>
    <col min="9" max="16384" width="8.5703125" style="38"/>
  </cols>
  <sheetData>
    <row r="1" spans="1:8">
      <c r="A1" s="46"/>
      <c r="B1" s="47"/>
      <c r="C1" s="47"/>
      <c r="D1" s="47"/>
      <c r="E1" s="47"/>
      <c r="F1" s="47"/>
      <c r="G1" s="47"/>
      <c r="H1" s="48"/>
    </row>
    <row r="2" spans="1:8" ht="27.75" customHeight="1">
      <c r="A2" s="49"/>
      <c r="B2" s="50" t="s">
        <v>31</v>
      </c>
      <c r="C2" s="49"/>
      <c r="D2" s="49"/>
      <c r="E2" s="49"/>
      <c r="F2" s="49"/>
      <c r="G2" s="49"/>
      <c r="H2" s="49"/>
    </row>
    <row r="3" spans="1:8">
      <c r="A3" s="49"/>
      <c r="B3" s="49"/>
      <c r="C3" s="49"/>
      <c r="D3" s="49"/>
      <c r="E3" s="49"/>
      <c r="F3" s="49"/>
      <c r="G3" s="49"/>
      <c r="H3" s="49"/>
    </row>
    <row r="4" spans="1:8" ht="15" customHeight="1">
      <c r="A4" s="49"/>
      <c r="B4" s="49"/>
      <c r="C4" s="49"/>
      <c r="D4" s="49"/>
      <c r="E4" s="49"/>
      <c r="F4" s="49"/>
      <c r="G4" s="49"/>
      <c r="H4" s="49"/>
    </row>
    <row r="5" spans="1:8" ht="27.75" customHeight="1">
      <c r="A5" s="51" t="s">
        <v>32</v>
      </c>
      <c r="B5" s="135" t="str">
        <f>Cover!E11</f>
        <v>DỰ ÁN TRIỂN KHAI BẢN QUYỀN PHẦN MỀM HỆ THỐNG AML MỚI</v>
      </c>
      <c r="C5" s="135"/>
      <c r="D5" s="52" t="s">
        <v>33</v>
      </c>
      <c r="E5" s="136"/>
      <c r="F5" s="136"/>
      <c r="G5" s="136"/>
      <c r="H5" s="136"/>
    </row>
    <row r="6" spans="1:8">
      <c r="A6" s="53" t="s">
        <v>34</v>
      </c>
      <c r="B6" s="137"/>
      <c r="C6" s="137"/>
      <c r="D6" s="54" t="s">
        <v>35</v>
      </c>
      <c r="E6" s="138"/>
      <c r="F6" s="138"/>
      <c r="G6" s="138"/>
      <c r="H6" s="138"/>
    </row>
    <row r="7" spans="1:8">
      <c r="A7" s="53" t="s">
        <v>36</v>
      </c>
      <c r="B7" s="139"/>
      <c r="C7" s="139"/>
      <c r="D7" s="54" t="s">
        <v>37</v>
      </c>
      <c r="E7" s="140"/>
      <c r="F7" s="140"/>
      <c r="G7" s="140"/>
      <c r="H7" s="140"/>
    </row>
    <row r="8" spans="1:8">
      <c r="A8" s="53" t="s">
        <v>38</v>
      </c>
      <c r="B8" s="139" t="str">
        <f>Cover!E16</f>
        <v>1.0</v>
      </c>
      <c r="C8" s="139"/>
      <c r="D8" s="54" t="s">
        <v>39</v>
      </c>
      <c r="E8" s="138"/>
      <c r="F8" s="138"/>
      <c r="G8" s="138"/>
      <c r="H8" s="138"/>
    </row>
    <row r="9" spans="1:8">
      <c r="A9" s="53" t="s">
        <v>40</v>
      </c>
      <c r="B9" s="55" t="s">
        <v>41</v>
      </c>
      <c r="C9" s="56"/>
      <c r="D9" s="54"/>
      <c r="E9" s="57"/>
      <c r="F9" s="58"/>
      <c r="G9" s="58"/>
      <c r="H9" s="59"/>
    </row>
    <row r="10" spans="1:8">
      <c r="A10" s="53" t="s">
        <v>42</v>
      </c>
      <c r="B10" s="142">
        <f ca="1">TODAY()</f>
        <v>46287</v>
      </c>
      <c r="C10" s="142"/>
      <c r="D10" s="54"/>
      <c r="E10" s="138"/>
      <c r="F10" s="138"/>
      <c r="G10" s="138"/>
      <c r="H10" s="138"/>
    </row>
    <row r="11" spans="1:8" ht="15" customHeight="1">
      <c r="A11" s="143" t="s">
        <v>43</v>
      </c>
      <c r="B11" s="143"/>
      <c r="C11" s="60"/>
      <c r="D11" s="60"/>
      <c r="E11" s="60"/>
      <c r="F11" s="60"/>
      <c r="G11" s="60"/>
      <c r="H11" s="61"/>
    </row>
    <row r="12" spans="1:8">
      <c r="A12" s="62" t="s">
        <v>44</v>
      </c>
      <c r="B12" s="63"/>
      <c r="C12" s="64"/>
      <c r="D12" s="64"/>
      <c r="E12" s="64"/>
      <c r="F12" s="64"/>
      <c r="G12" s="64"/>
      <c r="H12" s="65"/>
    </row>
    <row r="13" spans="1:8">
      <c r="A13" s="66" t="s">
        <v>45</v>
      </c>
      <c r="B13" s="67"/>
      <c r="C13" s="68"/>
      <c r="D13" s="68"/>
      <c r="E13" s="68"/>
      <c r="F13" s="68"/>
      <c r="G13" s="68"/>
      <c r="H13" s="69"/>
    </row>
    <row r="14" spans="1:8" ht="14.25" customHeight="1">
      <c r="A14" s="141" t="s">
        <v>46</v>
      </c>
      <c r="B14" s="70" t="s">
        <v>47</v>
      </c>
      <c r="C14" s="70" t="s">
        <v>48</v>
      </c>
      <c r="D14" s="70" t="s">
        <v>49</v>
      </c>
      <c r="E14" s="70" t="s">
        <v>50</v>
      </c>
      <c r="F14" s="70" t="s">
        <v>51</v>
      </c>
      <c r="G14" s="70" t="s">
        <v>52</v>
      </c>
      <c r="H14" s="71" t="s">
        <v>53</v>
      </c>
    </row>
    <row r="15" spans="1:8">
      <c r="A15" s="141"/>
      <c r="B15" s="72">
        <f t="shared" ref="B15:G15" si="0">B16</f>
        <v>0</v>
      </c>
      <c r="C15" s="72">
        <f t="shared" si="0"/>
        <v>0</v>
      </c>
      <c r="D15" s="72">
        <f t="shared" si="0"/>
        <v>54</v>
      </c>
      <c r="E15" s="72">
        <f t="shared" si="0"/>
        <v>0</v>
      </c>
      <c r="F15" s="72">
        <f t="shared" si="0"/>
        <v>0</v>
      </c>
      <c r="G15" s="72">
        <f t="shared" si="0"/>
        <v>0</v>
      </c>
      <c r="H15" s="73">
        <f>SUM(B15:F15)</f>
        <v>54</v>
      </c>
    </row>
    <row r="16" spans="1:8">
      <c r="A16" s="74" t="s">
        <v>54</v>
      </c>
      <c r="B16" s="75">
        <f>ETL!F6</f>
        <v>0</v>
      </c>
      <c r="C16" s="75">
        <f>ETL!F7</f>
        <v>0</v>
      </c>
      <c r="D16" s="75">
        <f>ETL!F8</f>
        <v>54</v>
      </c>
      <c r="E16" s="75">
        <f>ETL!F9</f>
        <v>0</v>
      </c>
      <c r="F16" s="75">
        <f>ETL!F10</f>
        <v>0</v>
      </c>
      <c r="G16" s="75">
        <f>ETL!F11</f>
        <v>0</v>
      </c>
      <c r="H16" s="76">
        <f>SUM(B16:G16)</f>
        <v>54</v>
      </c>
    </row>
    <row r="17" spans="1:8">
      <c r="A17" s="77"/>
      <c r="B17" s="75"/>
      <c r="C17" s="75"/>
      <c r="D17" s="75"/>
      <c r="E17" s="75"/>
      <c r="F17" s="75"/>
      <c r="G17" s="75"/>
      <c r="H17" s="76"/>
    </row>
    <row r="18" spans="1:8">
      <c r="A18" s="78" t="s">
        <v>55</v>
      </c>
      <c r="B18" s="72">
        <f t="shared" ref="B18:G18" si="1">B19</f>
        <v>0</v>
      </c>
      <c r="C18" s="72">
        <f t="shared" si="1"/>
        <v>0</v>
      </c>
      <c r="D18" s="72">
        <f t="shared" si="1"/>
        <v>54</v>
      </c>
      <c r="E18" s="72">
        <f t="shared" si="1"/>
        <v>0</v>
      </c>
      <c r="F18" s="72">
        <f t="shared" si="1"/>
        <v>0</v>
      </c>
      <c r="G18" s="72">
        <f t="shared" si="1"/>
        <v>0</v>
      </c>
      <c r="H18" s="73">
        <f>SUM(B18:F18)</f>
        <v>54</v>
      </c>
    </row>
    <row r="19" spans="1:8">
      <c r="A19" s="74" t="s">
        <v>54</v>
      </c>
      <c r="B19" s="75">
        <f>ETL!F15</f>
        <v>0</v>
      </c>
      <c r="C19" s="75">
        <f>ETL!F16</f>
        <v>0</v>
      </c>
      <c r="D19" s="75">
        <f>ETL!F17</f>
        <v>54</v>
      </c>
      <c r="E19" s="75">
        <f>ETL!F18</f>
        <v>0</v>
      </c>
      <c r="F19" s="75">
        <f>ETL!F19</f>
        <v>0</v>
      </c>
      <c r="G19" s="75">
        <f>ETL!F20</f>
        <v>0</v>
      </c>
      <c r="H19" s="76">
        <f>SUM(B19:G19)</f>
        <v>54</v>
      </c>
    </row>
    <row r="20" spans="1:8">
      <c r="A20" s="79" t="s">
        <v>56</v>
      </c>
      <c r="B20" s="80"/>
      <c r="C20" s="80"/>
      <c r="D20" s="80"/>
      <c r="E20" s="81"/>
      <c r="F20" s="81"/>
      <c r="G20" s="81"/>
      <c r="H20" s="82"/>
    </row>
    <row r="21" spans="1:8">
      <c r="A21" s="74" t="s">
        <v>56</v>
      </c>
      <c r="B21" s="80"/>
      <c r="C21" s="80"/>
      <c r="D21" s="80"/>
      <c r="E21" s="81"/>
      <c r="F21" s="81"/>
      <c r="G21" s="81"/>
      <c r="H21" s="83">
        <f>IF(H18=0, IF(H15=0,0,(H15-D15)/H15), (H18-D18)/H18)</f>
        <v>0</v>
      </c>
    </row>
    <row r="22" spans="1:8">
      <c r="A22" s="77" t="s">
        <v>57</v>
      </c>
      <c r="B22" s="80"/>
      <c r="C22" s="80"/>
      <c r="D22" s="80"/>
      <c r="E22" s="81"/>
      <c r="F22" s="81"/>
      <c r="G22" s="81"/>
      <c r="H22" s="83">
        <f>IF(H18=0, IF(H15=0,0,B15/H15), B18/H18)</f>
        <v>0</v>
      </c>
    </row>
    <row r="23" spans="1:8">
      <c r="A23" s="79" t="s">
        <v>58</v>
      </c>
      <c r="B23" s="80" t="s">
        <v>4</v>
      </c>
      <c r="C23" s="80"/>
      <c r="D23" s="80"/>
      <c r="E23" s="81"/>
      <c r="F23" s="81"/>
      <c r="G23" s="81"/>
      <c r="H23" s="80"/>
    </row>
    <row r="24" spans="1:8">
      <c r="A24" s="77" t="s">
        <v>59</v>
      </c>
      <c r="B24" s="84"/>
      <c r="C24" s="84"/>
      <c r="D24" s="84"/>
      <c r="E24" s="84"/>
      <c r="F24" s="84"/>
      <c r="G24" s="84"/>
      <c r="H24" s="84"/>
    </row>
    <row r="25" spans="1:8">
      <c r="A25" s="77" t="s">
        <v>60</v>
      </c>
      <c r="B25" s="84"/>
      <c r="C25" s="84"/>
      <c r="D25" s="84"/>
      <c r="E25" s="84"/>
      <c r="F25" s="84"/>
      <c r="G25" s="84"/>
      <c r="H25" s="84"/>
    </row>
    <row r="31" spans="1:8">
      <c r="E31" s="38" t="s">
        <v>61</v>
      </c>
    </row>
  </sheetData>
  <mergeCells count="12">
    <mergeCell ref="A14:A15"/>
    <mergeCell ref="B8:C8"/>
    <mergeCell ref="E8:H8"/>
    <mergeCell ref="B10:C10"/>
    <mergeCell ref="E10:H10"/>
    <mergeCell ref="A11:B11"/>
    <mergeCell ref="B5:C5"/>
    <mergeCell ref="E5:H5"/>
    <mergeCell ref="B6:C6"/>
    <mergeCell ref="E6:H6"/>
    <mergeCell ref="B7:C7"/>
    <mergeCell ref="E7:H7"/>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outlinePr summaryBelow="0" summaryRight="0"/>
  </sheetPr>
  <dimension ref="A1:O96"/>
  <sheetViews>
    <sheetView tabSelected="1" zoomScale="70" zoomScaleNormal="70" workbookViewId="0">
      <pane xSplit="3" ySplit="21" topLeftCell="D57" activePane="bottomRight" state="frozen"/>
      <selection pane="bottomRight" activeCell="E26" sqref="E26"/>
      <selection pane="bottomLeft" activeCell="A22" sqref="A22"/>
      <selection pane="topRight" activeCell="D1" sqref="D1"/>
    </sheetView>
  </sheetViews>
  <sheetFormatPr defaultColWidth="9" defaultRowHeight="14.25" outlineLevelRow="2"/>
  <cols>
    <col min="1" max="1" width="7.28515625" style="85" customWidth="1"/>
    <col min="2" max="2" width="26"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86" customWidth="1"/>
  </cols>
  <sheetData>
    <row r="1" spans="2:7" ht="30" hidden="1" customHeight="1">
      <c r="B1" s="87" t="s">
        <v>62</v>
      </c>
      <c r="C1" s="87" t="s">
        <v>2</v>
      </c>
      <c r="D1" s="88"/>
      <c r="E1" s="88"/>
      <c r="F1" s="89"/>
    </row>
    <row r="2" spans="2:7" ht="15" hidden="1" customHeight="1">
      <c r="B2" s="87" t="s">
        <v>63</v>
      </c>
      <c r="C2" s="87" t="s">
        <v>64</v>
      </c>
      <c r="D2" s="88"/>
      <c r="E2" s="88"/>
      <c r="F2" s="89"/>
    </row>
    <row r="3" spans="2:7" hidden="1">
      <c r="B3" s="90" t="s">
        <v>65</v>
      </c>
      <c r="C3" s="91"/>
      <c r="D3" s="91"/>
      <c r="E3" s="91"/>
      <c r="F3" s="92"/>
    </row>
    <row r="4" spans="2:7" ht="15" hidden="1" customHeight="1">
      <c r="B4" s="93"/>
      <c r="C4" s="94" t="s">
        <v>66</v>
      </c>
      <c r="D4" s="94" t="s">
        <v>67</v>
      </c>
      <c r="E4" s="94" t="s">
        <v>68</v>
      </c>
      <c r="F4" s="95" t="s">
        <v>53</v>
      </c>
      <c r="G4" s="89"/>
    </row>
    <row r="5" spans="2:7" ht="15" hidden="1" customHeight="1">
      <c r="B5" s="96"/>
      <c r="C5" s="97">
        <f>SUM(C6:C10)</f>
        <v>54</v>
      </c>
      <c r="D5" s="97">
        <f>SUM(D6:D10)</f>
        <v>0</v>
      </c>
      <c r="E5" s="97">
        <f>SUM(E6:E10)</f>
        <v>0</v>
      </c>
      <c r="F5" s="97">
        <f t="shared" ref="F5:F11" si="0">SUM(C5:E5)</f>
        <v>54</v>
      </c>
    </row>
    <row r="6" spans="2:7" hidden="1">
      <c r="B6" s="98" t="s">
        <v>47</v>
      </c>
      <c r="C6" s="99">
        <f t="shared" ref="C6:E11" si="1">COUNTIFS($K:$K, $B6,$I:$I,C$4)</f>
        <v>0</v>
      </c>
      <c r="D6" s="99">
        <f t="shared" si="1"/>
        <v>0</v>
      </c>
      <c r="E6" s="99">
        <f t="shared" si="1"/>
        <v>0</v>
      </c>
      <c r="F6" s="99">
        <f t="shared" si="0"/>
        <v>0</v>
      </c>
    </row>
    <row r="7" spans="2:7" hidden="1">
      <c r="B7" s="98" t="s">
        <v>48</v>
      </c>
      <c r="C7" s="99">
        <f t="shared" si="1"/>
        <v>0</v>
      </c>
      <c r="D7" s="99">
        <f t="shared" si="1"/>
        <v>0</v>
      </c>
      <c r="E7" s="99">
        <f t="shared" si="1"/>
        <v>0</v>
      </c>
      <c r="F7" s="99">
        <f t="shared" si="0"/>
        <v>0</v>
      </c>
    </row>
    <row r="8" spans="2:7" hidden="1">
      <c r="B8" s="98" t="s">
        <v>49</v>
      </c>
      <c r="C8" s="99">
        <f t="shared" si="1"/>
        <v>54</v>
      </c>
      <c r="D8" s="99">
        <f t="shared" si="1"/>
        <v>0</v>
      </c>
      <c r="E8" s="99">
        <f t="shared" si="1"/>
        <v>0</v>
      </c>
      <c r="F8" s="99">
        <f t="shared" si="0"/>
        <v>54</v>
      </c>
    </row>
    <row r="9" spans="2:7" hidden="1">
      <c r="B9" s="98" t="s">
        <v>50</v>
      </c>
      <c r="C9" s="99">
        <f t="shared" si="1"/>
        <v>0</v>
      </c>
      <c r="D9" s="99">
        <f t="shared" si="1"/>
        <v>0</v>
      </c>
      <c r="E9" s="99">
        <f t="shared" si="1"/>
        <v>0</v>
      </c>
      <c r="F9" s="99">
        <f t="shared" si="0"/>
        <v>0</v>
      </c>
    </row>
    <row r="10" spans="2:7" hidden="1">
      <c r="B10" s="98" t="s">
        <v>51</v>
      </c>
      <c r="C10" s="99">
        <f t="shared" si="1"/>
        <v>0</v>
      </c>
      <c r="D10" s="99">
        <f t="shared" si="1"/>
        <v>0</v>
      </c>
      <c r="E10" s="99">
        <f t="shared" si="1"/>
        <v>0</v>
      </c>
      <c r="F10" s="99">
        <f t="shared" si="0"/>
        <v>0</v>
      </c>
    </row>
    <row r="11" spans="2:7" hidden="1">
      <c r="B11" s="98" t="s">
        <v>52</v>
      </c>
      <c r="C11" s="99">
        <f t="shared" si="1"/>
        <v>0</v>
      </c>
      <c r="D11" s="99">
        <f t="shared" si="1"/>
        <v>0</v>
      </c>
      <c r="E11" s="99">
        <f t="shared" si="1"/>
        <v>0</v>
      </c>
      <c r="F11" s="99">
        <f t="shared" si="0"/>
        <v>0</v>
      </c>
    </row>
    <row r="12" spans="2:7" hidden="1">
      <c r="B12" s="90" t="s">
        <v>69</v>
      </c>
      <c r="C12" s="91"/>
      <c r="D12" s="91"/>
      <c r="E12" s="91"/>
      <c r="F12" s="92"/>
    </row>
    <row r="13" spans="2:7" ht="15" hidden="1" customHeight="1">
      <c r="B13" s="93"/>
      <c r="C13" s="94" t="s">
        <v>66</v>
      </c>
      <c r="D13" s="94" t="s">
        <v>67</v>
      </c>
      <c r="E13" s="94" t="s">
        <v>68</v>
      </c>
      <c r="F13" s="95" t="s">
        <v>53</v>
      </c>
      <c r="G13" s="89"/>
    </row>
    <row r="14" spans="2:7" ht="15" hidden="1" customHeight="1">
      <c r="B14" s="96"/>
      <c r="C14" s="97">
        <f>SUM(C15:C19)</f>
        <v>54</v>
      </c>
      <c r="D14" s="97">
        <f>SUM(D15:D19)</f>
        <v>0</v>
      </c>
      <c r="E14" s="97">
        <f>SUM(E15:E19)</f>
        <v>0</v>
      </c>
      <c r="F14" s="97">
        <f t="shared" ref="F14:F20" si="2">SUM(C14:E14)</f>
        <v>54</v>
      </c>
    </row>
    <row r="15" spans="2:7" hidden="1">
      <c r="B15" s="98" t="s">
        <v>47</v>
      </c>
      <c r="C15" s="99">
        <f t="shared" ref="C15:E20" si="3">COUNTIFS($L:$L, $B15,$I:$I,C$4)</f>
        <v>0</v>
      </c>
      <c r="D15" s="99">
        <f t="shared" si="3"/>
        <v>0</v>
      </c>
      <c r="E15" s="99">
        <f t="shared" si="3"/>
        <v>0</v>
      </c>
      <c r="F15" s="99">
        <f t="shared" si="2"/>
        <v>0</v>
      </c>
    </row>
    <row r="16" spans="2:7" hidden="1">
      <c r="B16" s="98" t="s">
        <v>48</v>
      </c>
      <c r="C16" s="99">
        <f t="shared" si="3"/>
        <v>0</v>
      </c>
      <c r="D16" s="99">
        <f t="shared" si="3"/>
        <v>0</v>
      </c>
      <c r="E16" s="99">
        <f t="shared" si="3"/>
        <v>0</v>
      </c>
      <c r="F16" s="99">
        <f t="shared" si="2"/>
        <v>0</v>
      </c>
    </row>
    <row r="17" spans="1:15" hidden="1">
      <c r="B17" s="98" t="s">
        <v>49</v>
      </c>
      <c r="C17" s="99">
        <f t="shared" si="3"/>
        <v>54</v>
      </c>
      <c r="D17" s="99">
        <f t="shared" si="3"/>
        <v>0</v>
      </c>
      <c r="E17" s="99">
        <f t="shared" si="3"/>
        <v>0</v>
      </c>
      <c r="F17" s="99">
        <f t="shared" si="2"/>
        <v>54</v>
      </c>
    </row>
    <row r="18" spans="1:15" hidden="1">
      <c r="B18" s="98" t="s">
        <v>50</v>
      </c>
      <c r="C18" s="99">
        <f t="shared" si="3"/>
        <v>0</v>
      </c>
      <c r="D18" s="99">
        <f t="shared" si="3"/>
        <v>0</v>
      </c>
      <c r="E18" s="99">
        <f t="shared" si="3"/>
        <v>0</v>
      </c>
      <c r="F18" s="99">
        <f t="shared" si="2"/>
        <v>0</v>
      </c>
    </row>
    <row r="19" spans="1:15" hidden="1">
      <c r="B19" s="98" t="s">
        <v>51</v>
      </c>
      <c r="C19" s="99">
        <f t="shared" si="3"/>
        <v>0</v>
      </c>
      <c r="D19" s="99">
        <f t="shared" si="3"/>
        <v>0</v>
      </c>
      <c r="E19" s="99">
        <f t="shared" si="3"/>
        <v>0</v>
      </c>
      <c r="F19" s="99">
        <f t="shared" si="2"/>
        <v>0</v>
      </c>
    </row>
    <row r="20" spans="1:15" hidden="1">
      <c r="B20" s="98" t="s">
        <v>52</v>
      </c>
      <c r="C20" s="99">
        <f t="shared" si="3"/>
        <v>0</v>
      </c>
      <c r="D20" s="99">
        <f t="shared" si="3"/>
        <v>0</v>
      </c>
      <c r="E20" s="99">
        <f t="shared" si="3"/>
        <v>0</v>
      </c>
      <c r="F20" s="99">
        <f t="shared" si="2"/>
        <v>0</v>
      </c>
    </row>
    <row r="21" spans="1:15" s="101" customFormat="1" ht="30" customHeight="1">
      <c r="A21" s="100" t="s">
        <v>70</v>
      </c>
      <c r="B21" s="100" t="s">
        <v>71</v>
      </c>
      <c r="C21" s="100" t="s">
        <v>72</v>
      </c>
      <c r="D21" s="100" t="s">
        <v>73</v>
      </c>
      <c r="E21" s="100" t="s">
        <v>74</v>
      </c>
      <c r="F21" s="100" t="s">
        <v>75</v>
      </c>
      <c r="G21" s="100" t="s">
        <v>76</v>
      </c>
      <c r="H21" s="100" t="s">
        <v>40</v>
      </c>
      <c r="I21" s="100" t="s">
        <v>77</v>
      </c>
      <c r="J21" s="100" t="s">
        <v>78</v>
      </c>
      <c r="K21" s="100" t="s">
        <v>79</v>
      </c>
      <c r="L21" s="100" t="s">
        <v>80</v>
      </c>
      <c r="M21" s="100" t="s">
        <v>81</v>
      </c>
      <c r="N21" s="100" t="s">
        <v>82</v>
      </c>
      <c r="O21" s="100" t="s">
        <v>83</v>
      </c>
    </row>
    <row r="22" spans="1:15" ht="19.5" customHeight="1">
      <c r="A22" s="120" t="s">
        <v>84</v>
      </c>
      <c r="B22" s="120"/>
      <c r="C22" s="120"/>
      <c r="D22" s="120"/>
      <c r="E22" s="120"/>
      <c r="F22" s="120"/>
      <c r="G22" s="120"/>
      <c r="H22" s="120"/>
      <c r="I22" s="120"/>
      <c r="J22" s="120"/>
      <c r="K22" s="120"/>
      <c r="L22" s="120"/>
      <c r="M22" s="120"/>
      <c r="N22" s="120"/>
      <c r="O22" s="120"/>
    </row>
    <row r="23" spans="1:15" ht="18" customHeight="1" outlineLevel="1">
      <c r="A23" s="121" t="s">
        <v>85</v>
      </c>
      <c r="B23" s="121"/>
      <c r="C23" s="121"/>
      <c r="D23" s="121"/>
      <c r="E23" s="121"/>
      <c r="F23" s="121"/>
      <c r="G23" s="121"/>
      <c r="H23" s="121"/>
      <c r="I23" s="121"/>
      <c r="J23" s="121"/>
      <c r="K23" s="121"/>
      <c r="L23" s="121"/>
      <c r="M23" s="121"/>
      <c r="N23" s="121"/>
      <c r="O23" s="121"/>
    </row>
    <row r="24" spans="1:15" ht="76.5" outlineLevel="2">
      <c r="A24" s="116">
        <v>1</v>
      </c>
      <c r="B24" s="117" t="s">
        <v>86</v>
      </c>
      <c r="C24" s="117" t="s">
        <v>87</v>
      </c>
      <c r="D24" s="117" t="s">
        <v>88</v>
      </c>
      <c r="E24" s="117" t="s">
        <v>89</v>
      </c>
      <c r="F24" s="118"/>
      <c r="G24" s="117" t="s">
        <v>90</v>
      </c>
      <c r="H24" s="116" t="s">
        <v>41</v>
      </c>
      <c r="I24" s="116" t="s">
        <v>66</v>
      </c>
      <c r="J24" s="116" t="s">
        <v>91</v>
      </c>
      <c r="K24" s="116" t="s">
        <v>49</v>
      </c>
      <c r="L24" s="116" t="s">
        <v>49</v>
      </c>
      <c r="M24" s="116" t="s">
        <v>49</v>
      </c>
      <c r="N24" s="116"/>
      <c r="O24" s="117" t="s">
        <v>92</v>
      </c>
    </row>
    <row r="25" spans="1:15" ht="76.5" outlineLevel="2">
      <c r="A25" s="116">
        <v>2</v>
      </c>
      <c r="B25" s="117" t="s">
        <v>93</v>
      </c>
      <c r="C25" s="117" t="s">
        <v>94</v>
      </c>
      <c r="D25" s="117" t="s">
        <v>88</v>
      </c>
      <c r="E25" s="117" t="s">
        <v>95</v>
      </c>
      <c r="F25" s="118" t="s">
        <v>96</v>
      </c>
      <c r="G25" s="117" t="s">
        <v>97</v>
      </c>
      <c r="H25" s="116" t="s">
        <v>41</v>
      </c>
      <c r="I25" s="116" t="s">
        <v>66</v>
      </c>
      <c r="J25" s="116" t="s">
        <v>91</v>
      </c>
      <c r="K25" s="116" t="s">
        <v>49</v>
      </c>
      <c r="L25" s="116" t="s">
        <v>49</v>
      </c>
      <c r="M25" s="116" t="s">
        <v>49</v>
      </c>
      <c r="N25" s="116"/>
      <c r="O25" s="117" t="s">
        <v>98</v>
      </c>
    </row>
    <row r="26" spans="1:15" ht="293.25" outlineLevel="2">
      <c r="A26" s="116">
        <v>3</v>
      </c>
      <c r="B26" s="117" t="s">
        <v>99</v>
      </c>
      <c r="C26" s="117" t="s">
        <v>100</v>
      </c>
      <c r="D26" s="117" t="s">
        <v>88</v>
      </c>
      <c r="E26" s="117" t="s">
        <v>101</v>
      </c>
      <c r="F26" s="118"/>
      <c r="G26" s="117" t="s">
        <v>102</v>
      </c>
      <c r="H26" s="116" t="s">
        <v>41</v>
      </c>
      <c r="I26" s="116" t="s">
        <v>66</v>
      </c>
      <c r="J26" s="116" t="s">
        <v>91</v>
      </c>
      <c r="K26" s="116" t="s">
        <v>49</v>
      </c>
      <c r="L26" s="116" t="s">
        <v>49</v>
      </c>
      <c r="M26" s="116" t="s">
        <v>49</v>
      </c>
      <c r="N26" s="116"/>
      <c r="O26" s="117" t="s">
        <v>103</v>
      </c>
    </row>
    <row r="27" spans="1:15" ht="18" customHeight="1" outlineLevel="1">
      <c r="A27" s="121" t="s">
        <v>104</v>
      </c>
      <c r="B27" s="121"/>
      <c r="C27" s="121"/>
      <c r="D27" s="121"/>
      <c r="E27" s="121"/>
      <c r="F27" s="121"/>
      <c r="G27" s="121"/>
      <c r="H27" s="121"/>
      <c r="I27" s="121"/>
      <c r="J27" s="121"/>
      <c r="K27" s="121"/>
      <c r="L27" s="121"/>
      <c r="M27" s="121"/>
      <c r="N27" s="121"/>
      <c r="O27" s="121"/>
    </row>
    <row r="28" spans="1:15" ht="76.5" outlineLevel="2">
      <c r="A28" s="116">
        <v>4</v>
      </c>
      <c r="B28" s="117" t="s">
        <v>105</v>
      </c>
      <c r="C28" s="117" t="s">
        <v>87</v>
      </c>
      <c r="D28" s="117" t="s">
        <v>88</v>
      </c>
      <c r="E28" s="117" t="s">
        <v>106</v>
      </c>
      <c r="F28" s="118"/>
      <c r="G28" s="117" t="s">
        <v>107</v>
      </c>
      <c r="H28" s="116" t="s">
        <v>41</v>
      </c>
      <c r="I28" s="116" t="s">
        <v>66</v>
      </c>
      <c r="J28" s="116" t="s">
        <v>91</v>
      </c>
      <c r="K28" s="116" t="s">
        <v>49</v>
      </c>
      <c r="L28" s="116" t="s">
        <v>49</v>
      </c>
      <c r="M28" s="116" t="s">
        <v>49</v>
      </c>
      <c r="N28" s="116"/>
      <c r="O28" s="117" t="s">
        <v>108</v>
      </c>
    </row>
    <row r="29" spans="1:15" ht="76.5" outlineLevel="2">
      <c r="A29" s="116">
        <v>5</v>
      </c>
      <c r="B29" s="117" t="s">
        <v>109</v>
      </c>
      <c r="C29" s="117" t="s">
        <v>94</v>
      </c>
      <c r="D29" s="117" t="s">
        <v>88</v>
      </c>
      <c r="E29" s="117" t="s">
        <v>110</v>
      </c>
      <c r="F29" s="118" t="s">
        <v>111</v>
      </c>
      <c r="G29" s="117" t="s">
        <v>97</v>
      </c>
      <c r="H29" s="116" t="s">
        <v>41</v>
      </c>
      <c r="I29" s="116" t="s">
        <v>66</v>
      </c>
      <c r="J29" s="116" t="s">
        <v>91</v>
      </c>
      <c r="K29" s="116" t="s">
        <v>49</v>
      </c>
      <c r="L29" s="116" t="s">
        <v>49</v>
      </c>
      <c r="M29" s="116" t="s">
        <v>49</v>
      </c>
      <c r="N29" s="116"/>
      <c r="O29" s="117" t="s">
        <v>98</v>
      </c>
    </row>
    <row r="30" spans="1:15" ht="153" outlineLevel="2">
      <c r="A30" s="116">
        <v>6</v>
      </c>
      <c r="B30" s="117" t="s">
        <v>112</v>
      </c>
      <c r="C30" s="117" t="s">
        <v>100</v>
      </c>
      <c r="D30" s="117" t="s">
        <v>88</v>
      </c>
      <c r="E30" s="117" t="s">
        <v>113</v>
      </c>
      <c r="F30" s="118"/>
      <c r="G30" s="117" t="s">
        <v>114</v>
      </c>
      <c r="H30" s="116" t="s">
        <v>41</v>
      </c>
      <c r="I30" s="116" t="s">
        <v>66</v>
      </c>
      <c r="J30" s="116" t="s">
        <v>91</v>
      </c>
      <c r="K30" s="116" t="s">
        <v>49</v>
      </c>
      <c r="L30" s="116" t="s">
        <v>49</v>
      </c>
      <c r="M30" s="116" t="s">
        <v>49</v>
      </c>
      <c r="N30" s="116"/>
      <c r="O30" s="117" t="s">
        <v>115</v>
      </c>
    </row>
    <row r="31" spans="1:15" ht="18" customHeight="1" outlineLevel="1">
      <c r="A31" s="121" t="s">
        <v>116</v>
      </c>
      <c r="B31" s="121"/>
      <c r="C31" s="121"/>
      <c r="D31" s="121"/>
      <c r="E31" s="121"/>
      <c r="F31" s="121"/>
      <c r="G31" s="121"/>
      <c r="H31" s="121"/>
      <c r="I31" s="121"/>
      <c r="J31" s="121"/>
      <c r="K31" s="121"/>
      <c r="L31" s="121"/>
      <c r="M31" s="121"/>
      <c r="N31" s="121"/>
      <c r="O31" s="121"/>
    </row>
    <row r="32" spans="1:15" ht="76.5" outlineLevel="2">
      <c r="A32" s="116">
        <v>7</v>
      </c>
      <c r="B32" s="117" t="s">
        <v>117</v>
      </c>
      <c r="C32" s="117" t="s">
        <v>87</v>
      </c>
      <c r="D32" s="117" t="s">
        <v>88</v>
      </c>
      <c r="E32" s="117" t="s">
        <v>118</v>
      </c>
      <c r="F32" s="118"/>
      <c r="G32" s="117" t="s">
        <v>119</v>
      </c>
      <c r="H32" s="116" t="s">
        <v>41</v>
      </c>
      <c r="I32" s="116" t="s">
        <v>66</v>
      </c>
      <c r="J32" s="116" t="s">
        <v>91</v>
      </c>
      <c r="K32" s="116" t="s">
        <v>49</v>
      </c>
      <c r="L32" s="116" t="s">
        <v>49</v>
      </c>
      <c r="M32" s="116" t="s">
        <v>49</v>
      </c>
      <c r="N32" s="116"/>
      <c r="O32" s="117" t="s">
        <v>108</v>
      </c>
    </row>
    <row r="33" spans="1:15" ht="81.400000000000006" outlineLevel="2">
      <c r="A33" s="116">
        <v>8</v>
      </c>
      <c r="B33" s="117" t="s">
        <v>120</v>
      </c>
      <c r="C33" s="117" t="s">
        <v>94</v>
      </c>
      <c r="D33" s="117" t="s">
        <v>88</v>
      </c>
      <c r="E33" s="117" t="s">
        <v>121</v>
      </c>
      <c r="F33" s="118" t="s">
        <v>122</v>
      </c>
      <c r="G33" s="117" t="s">
        <v>97</v>
      </c>
      <c r="H33" s="116" t="s">
        <v>41</v>
      </c>
      <c r="I33" s="116" t="s">
        <v>66</v>
      </c>
      <c r="J33" s="116" t="s">
        <v>91</v>
      </c>
      <c r="K33" s="116" t="s">
        <v>49</v>
      </c>
      <c r="L33" s="116" t="s">
        <v>49</v>
      </c>
      <c r="M33" s="116" t="s">
        <v>49</v>
      </c>
      <c r="N33" s="116"/>
      <c r="O33" s="117" t="s">
        <v>98</v>
      </c>
    </row>
    <row r="34" spans="1:15" ht="102" outlineLevel="2">
      <c r="A34" s="116">
        <v>9</v>
      </c>
      <c r="B34" s="117" t="s">
        <v>123</v>
      </c>
      <c r="C34" s="117" t="s">
        <v>100</v>
      </c>
      <c r="D34" s="117" t="s">
        <v>88</v>
      </c>
      <c r="E34" s="117" t="s">
        <v>124</v>
      </c>
      <c r="F34" s="118"/>
      <c r="G34" s="117" t="s">
        <v>125</v>
      </c>
      <c r="H34" s="116" t="s">
        <v>41</v>
      </c>
      <c r="I34" s="116" t="s">
        <v>66</v>
      </c>
      <c r="J34" s="116" t="s">
        <v>91</v>
      </c>
      <c r="K34" s="116" t="s">
        <v>49</v>
      </c>
      <c r="L34" s="116" t="s">
        <v>49</v>
      </c>
      <c r="M34" s="116" t="s">
        <v>49</v>
      </c>
      <c r="N34" s="116"/>
      <c r="O34" s="117" t="s">
        <v>115</v>
      </c>
    </row>
    <row r="35" spans="1:15" ht="18" customHeight="1" outlineLevel="1">
      <c r="A35" s="121" t="s">
        <v>126</v>
      </c>
      <c r="B35" s="121"/>
      <c r="C35" s="121"/>
      <c r="D35" s="121"/>
      <c r="E35" s="121"/>
      <c r="F35" s="121"/>
      <c r="G35" s="121"/>
      <c r="H35" s="121"/>
      <c r="I35" s="121"/>
      <c r="J35" s="121"/>
      <c r="K35" s="121"/>
      <c r="L35" s="121"/>
      <c r="M35" s="121"/>
      <c r="N35" s="121"/>
      <c r="O35" s="121"/>
    </row>
    <row r="36" spans="1:15" ht="76.5" outlineLevel="2">
      <c r="A36" s="116">
        <v>10</v>
      </c>
      <c r="B36" s="117" t="s">
        <v>127</v>
      </c>
      <c r="C36" s="117" t="s">
        <v>87</v>
      </c>
      <c r="D36" s="117" t="s">
        <v>88</v>
      </c>
      <c r="E36" s="117" t="s">
        <v>128</v>
      </c>
      <c r="F36" s="118"/>
      <c r="G36" s="117" t="s">
        <v>129</v>
      </c>
      <c r="H36" s="116" t="s">
        <v>41</v>
      </c>
      <c r="I36" s="116" t="s">
        <v>66</v>
      </c>
      <c r="J36" s="116" t="s">
        <v>91</v>
      </c>
      <c r="K36" s="116" t="s">
        <v>49</v>
      </c>
      <c r="L36" s="116" t="s">
        <v>49</v>
      </c>
      <c r="M36" s="116" t="s">
        <v>49</v>
      </c>
      <c r="N36" s="116"/>
      <c r="O36" s="117" t="s">
        <v>130</v>
      </c>
    </row>
    <row r="37" spans="1:15" ht="76.5" outlineLevel="2">
      <c r="A37" s="116">
        <v>11</v>
      </c>
      <c r="B37" s="117" t="s">
        <v>131</v>
      </c>
      <c r="C37" s="117" t="s">
        <v>94</v>
      </c>
      <c r="D37" s="117" t="s">
        <v>88</v>
      </c>
      <c r="E37" s="117" t="s">
        <v>132</v>
      </c>
      <c r="F37" s="118" t="s">
        <v>133</v>
      </c>
      <c r="G37" s="117" t="s">
        <v>97</v>
      </c>
      <c r="H37" s="116" t="s">
        <v>41</v>
      </c>
      <c r="I37" s="116" t="s">
        <v>66</v>
      </c>
      <c r="J37" s="116" t="s">
        <v>91</v>
      </c>
      <c r="K37" s="116" t="s">
        <v>49</v>
      </c>
      <c r="L37" s="116" t="s">
        <v>49</v>
      </c>
      <c r="M37" s="116" t="s">
        <v>49</v>
      </c>
      <c r="N37" s="116"/>
      <c r="O37" s="117" t="s">
        <v>98</v>
      </c>
    </row>
    <row r="38" spans="1:15" ht="102" outlineLevel="2">
      <c r="A38" s="116">
        <v>12</v>
      </c>
      <c r="B38" s="117" t="s">
        <v>134</v>
      </c>
      <c r="C38" s="117" t="s">
        <v>100</v>
      </c>
      <c r="D38" s="117" t="s">
        <v>88</v>
      </c>
      <c r="E38" s="117" t="s">
        <v>135</v>
      </c>
      <c r="F38" s="118"/>
      <c r="G38" s="117" t="s">
        <v>136</v>
      </c>
      <c r="H38" s="116" t="s">
        <v>41</v>
      </c>
      <c r="I38" s="116" t="s">
        <v>66</v>
      </c>
      <c r="J38" s="116" t="s">
        <v>91</v>
      </c>
      <c r="K38" s="116" t="s">
        <v>49</v>
      </c>
      <c r="L38" s="116" t="s">
        <v>49</v>
      </c>
      <c r="M38" s="116" t="s">
        <v>49</v>
      </c>
      <c r="N38" s="116"/>
      <c r="O38" s="117" t="s">
        <v>137</v>
      </c>
    </row>
    <row r="39" spans="1:15" ht="18" customHeight="1" outlineLevel="1">
      <c r="A39" s="121" t="s">
        <v>138</v>
      </c>
      <c r="B39" s="121"/>
      <c r="C39" s="121"/>
      <c r="D39" s="121"/>
      <c r="E39" s="121"/>
      <c r="F39" s="121"/>
      <c r="G39" s="121"/>
      <c r="H39" s="121"/>
      <c r="I39" s="121"/>
      <c r="J39" s="121"/>
      <c r="K39" s="121"/>
      <c r="L39" s="121"/>
      <c r="M39" s="121"/>
      <c r="N39" s="121"/>
      <c r="O39" s="121"/>
    </row>
    <row r="40" spans="1:15" ht="76.5" outlineLevel="2">
      <c r="A40" s="116">
        <v>13</v>
      </c>
      <c r="B40" s="117" t="s">
        <v>139</v>
      </c>
      <c r="C40" s="117" t="s">
        <v>87</v>
      </c>
      <c r="D40" s="117" t="s">
        <v>88</v>
      </c>
      <c r="E40" s="117" t="s">
        <v>140</v>
      </c>
      <c r="F40" s="118"/>
      <c r="G40" s="117" t="s">
        <v>141</v>
      </c>
      <c r="H40" s="116" t="s">
        <v>41</v>
      </c>
      <c r="I40" s="116" t="s">
        <v>66</v>
      </c>
      <c r="J40" s="116" t="s">
        <v>91</v>
      </c>
      <c r="K40" s="116" t="s">
        <v>49</v>
      </c>
      <c r="L40" s="116" t="s">
        <v>49</v>
      </c>
      <c r="M40" s="116" t="s">
        <v>49</v>
      </c>
      <c r="N40" s="116"/>
      <c r="O40" s="117" t="s">
        <v>130</v>
      </c>
    </row>
    <row r="41" spans="1:15" ht="76.5" outlineLevel="2">
      <c r="A41" s="116">
        <v>14</v>
      </c>
      <c r="B41" s="117" t="s">
        <v>142</v>
      </c>
      <c r="C41" s="117" t="s">
        <v>94</v>
      </c>
      <c r="D41" s="117" t="s">
        <v>88</v>
      </c>
      <c r="E41" s="117" t="s">
        <v>143</v>
      </c>
      <c r="F41" s="118" t="s">
        <v>144</v>
      </c>
      <c r="G41" s="117" t="s">
        <v>97</v>
      </c>
      <c r="H41" s="116" t="s">
        <v>41</v>
      </c>
      <c r="I41" s="116" t="s">
        <v>66</v>
      </c>
      <c r="J41" s="116" t="s">
        <v>91</v>
      </c>
      <c r="K41" s="116" t="s">
        <v>49</v>
      </c>
      <c r="L41" s="116" t="s">
        <v>49</v>
      </c>
      <c r="M41" s="116" t="s">
        <v>49</v>
      </c>
      <c r="N41" s="116"/>
      <c r="O41" s="117" t="s">
        <v>98</v>
      </c>
    </row>
    <row r="42" spans="1:15" ht="89.25" outlineLevel="2">
      <c r="A42" s="116">
        <v>15</v>
      </c>
      <c r="B42" s="117" t="s">
        <v>145</v>
      </c>
      <c r="C42" s="117" t="s">
        <v>100</v>
      </c>
      <c r="D42" s="117" t="s">
        <v>88</v>
      </c>
      <c r="E42" s="117" t="s">
        <v>146</v>
      </c>
      <c r="F42" s="118"/>
      <c r="G42" s="117" t="s">
        <v>147</v>
      </c>
      <c r="H42" s="116" t="s">
        <v>41</v>
      </c>
      <c r="I42" s="116" t="s">
        <v>66</v>
      </c>
      <c r="J42" s="116" t="s">
        <v>91</v>
      </c>
      <c r="K42" s="116" t="s">
        <v>49</v>
      </c>
      <c r="L42" s="116" t="s">
        <v>49</v>
      </c>
      <c r="M42" s="116" t="s">
        <v>49</v>
      </c>
      <c r="N42" s="116"/>
      <c r="O42" s="117" t="s">
        <v>137</v>
      </c>
    </row>
    <row r="43" spans="1:15" ht="18" customHeight="1" outlineLevel="1">
      <c r="A43" s="121" t="s">
        <v>148</v>
      </c>
      <c r="B43" s="121"/>
      <c r="C43" s="121"/>
      <c r="D43" s="121"/>
      <c r="E43" s="121"/>
      <c r="F43" s="121"/>
      <c r="G43" s="121"/>
      <c r="H43" s="121"/>
      <c r="I43" s="121"/>
      <c r="J43" s="121"/>
      <c r="K43" s="121"/>
      <c r="L43" s="121"/>
      <c r="M43" s="121"/>
      <c r="N43" s="121"/>
      <c r="O43" s="121"/>
    </row>
    <row r="44" spans="1:15" ht="76.5" outlineLevel="2">
      <c r="A44" s="116">
        <v>16</v>
      </c>
      <c r="B44" s="117" t="s">
        <v>149</v>
      </c>
      <c r="C44" s="117" t="s">
        <v>87</v>
      </c>
      <c r="D44" s="117" t="s">
        <v>88</v>
      </c>
      <c r="E44" s="117" t="s">
        <v>150</v>
      </c>
      <c r="F44" s="118"/>
      <c r="G44" s="117" t="s">
        <v>151</v>
      </c>
      <c r="H44" s="116" t="s">
        <v>41</v>
      </c>
      <c r="I44" s="116" t="s">
        <v>66</v>
      </c>
      <c r="J44" s="116" t="s">
        <v>91</v>
      </c>
      <c r="K44" s="116" t="s">
        <v>49</v>
      </c>
      <c r="L44" s="116" t="s">
        <v>49</v>
      </c>
      <c r="M44" s="116" t="s">
        <v>49</v>
      </c>
      <c r="N44" s="116"/>
      <c r="O44" s="117" t="s">
        <v>152</v>
      </c>
    </row>
    <row r="45" spans="1:15" ht="76.5" outlineLevel="2">
      <c r="A45" s="116">
        <v>17</v>
      </c>
      <c r="B45" s="117" t="s">
        <v>153</v>
      </c>
      <c r="C45" s="117" t="s">
        <v>94</v>
      </c>
      <c r="D45" s="117" t="s">
        <v>88</v>
      </c>
      <c r="E45" s="117" t="s">
        <v>154</v>
      </c>
      <c r="F45" s="118" t="s">
        <v>155</v>
      </c>
      <c r="G45" s="117" t="s">
        <v>97</v>
      </c>
      <c r="H45" s="116" t="s">
        <v>41</v>
      </c>
      <c r="I45" s="116" t="s">
        <v>66</v>
      </c>
      <c r="J45" s="116" t="s">
        <v>91</v>
      </c>
      <c r="K45" s="116" t="s">
        <v>49</v>
      </c>
      <c r="L45" s="116" t="s">
        <v>49</v>
      </c>
      <c r="M45" s="116" t="s">
        <v>49</v>
      </c>
      <c r="N45" s="116"/>
      <c r="O45" s="117" t="s">
        <v>98</v>
      </c>
    </row>
    <row r="46" spans="1:15" ht="178.5" outlineLevel="2">
      <c r="A46" s="116">
        <v>18</v>
      </c>
      <c r="B46" s="117" t="s">
        <v>156</v>
      </c>
      <c r="C46" s="117" t="s">
        <v>100</v>
      </c>
      <c r="D46" s="117" t="s">
        <v>88</v>
      </c>
      <c r="E46" s="117" t="s">
        <v>157</v>
      </c>
      <c r="F46" s="118"/>
      <c r="G46" s="117" t="s">
        <v>158</v>
      </c>
      <c r="H46" s="116" t="s">
        <v>41</v>
      </c>
      <c r="I46" s="116" t="s">
        <v>66</v>
      </c>
      <c r="J46" s="116" t="s">
        <v>91</v>
      </c>
      <c r="K46" s="116" t="s">
        <v>49</v>
      </c>
      <c r="L46" s="116" t="s">
        <v>49</v>
      </c>
      <c r="M46" s="116" t="s">
        <v>49</v>
      </c>
      <c r="N46" s="116"/>
      <c r="O46" s="117" t="s">
        <v>159</v>
      </c>
    </row>
    <row r="47" spans="1:15" ht="18" customHeight="1" outlineLevel="1">
      <c r="A47" s="121" t="s">
        <v>160</v>
      </c>
      <c r="B47" s="121"/>
      <c r="C47" s="121"/>
      <c r="D47" s="121"/>
      <c r="E47" s="121"/>
      <c r="F47" s="121"/>
      <c r="G47" s="121"/>
      <c r="H47" s="121"/>
      <c r="I47" s="121"/>
      <c r="J47" s="121"/>
      <c r="K47" s="121"/>
      <c r="L47" s="121"/>
      <c r="M47" s="121"/>
      <c r="N47" s="121"/>
      <c r="O47" s="121"/>
    </row>
    <row r="48" spans="1:15" ht="76.5" outlineLevel="2">
      <c r="A48" s="116">
        <v>19</v>
      </c>
      <c r="B48" s="117" t="s">
        <v>161</v>
      </c>
      <c r="C48" s="117" t="s">
        <v>87</v>
      </c>
      <c r="D48" s="117" t="s">
        <v>88</v>
      </c>
      <c r="E48" s="117" t="s">
        <v>162</v>
      </c>
      <c r="F48" s="118"/>
      <c r="G48" s="117" t="s">
        <v>163</v>
      </c>
      <c r="H48" s="116" t="s">
        <v>41</v>
      </c>
      <c r="I48" s="116" t="s">
        <v>66</v>
      </c>
      <c r="J48" s="116" t="s">
        <v>91</v>
      </c>
      <c r="K48" s="116" t="s">
        <v>49</v>
      </c>
      <c r="L48" s="116" t="s">
        <v>49</v>
      </c>
      <c r="M48" s="116" t="s">
        <v>49</v>
      </c>
      <c r="N48" s="116"/>
      <c r="O48" s="117" t="s">
        <v>152</v>
      </c>
    </row>
    <row r="49" spans="1:15" ht="81.400000000000006" outlineLevel="2">
      <c r="A49" s="116">
        <v>20</v>
      </c>
      <c r="B49" s="117" t="s">
        <v>164</v>
      </c>
      <c r="C49" s="117" t="s">
        <v>94</v>
      </c>
      <c r="D49" s="117" t="s">
        <v>88</v>
      </c>
      <c r="E49" s="117" t="s">
        <v>165</v>
      </c>
      <c r="F49" s="118" t="s">
        <v>166</v>
      </c>
      <c r="G49" s="117" t="s">
        <v>97</v>
      </c>
      <c r="H49" s="116" t="s">
        <v>41</v>
      </c>
      <c r="I49" s="116" t="s">
        <v>66</v>
      </c>
      <c r="J49" s="116" t="s">
        <v>91</v>
      </c>
      <c r="K49" s="116" t="s">
        <v>49</v>
      </c>
      <c r="L49" s="116" t="s">
        <v>49</v>
      </c>
      <c r="M49" s="116" t="s">
        <v>49</v>
      </c>
      <c r="N49" s="116"/>
      <c r="O49" s="117" t="s">
        <v>98</v>
      </c>
    </row>
    <row r="50" spans="1:15" ht="153" outlineLevel="2">
      <c r="A50" s="116">
        <v>21</v>
      </c>
      <c r="B50" s="117" t="s">
        <v>167</v>
      </c>
      <c r="C50" s="117" t="s">
        <v>100</v>
      </c>
      <c r="D50" s="117" t="s">
        <v>88</v>
      </c>
      <c r="E50" s="117" t="s">
        <v>168</v>
      </c>
      <c r="F50" s="118"/>
      <c r="G50" s="117" t="s">
        <v>169</v>
      </c>
      <c r="H50" s="116" t="s">
        <v>41</v>
      </c>
      <c r="I50" s="116" t="s">
        <v>66</v>
      </c>
      <c r="J50" s="116" t="s">
        <v>91</v>
      </c>
      <c r="K50" s="116" t="s">
        <v>49</v>
      </c>
      <c r="L50" s="116" t="s">
        <v>49</v>
      </c>
      <c r="M50" s="116" t="s">
        <v>49</v>
      </c>
      <c r="N50" s="116"/>
      <c r="O50" s="117" t="s">
        <v>159</v>
      </c>
    </row>
    <row r="51" spans="1:15" ht="18" customHeight="1" outlineLevel="1">
      <c r="A51" s="121" t="s">
        <v>170</v>
      </c>
      <c r="B51" s="121"/>
      <c r="C51" s="121"/>
      <c r="D51" s="121"/>
      <c r="E51" s="121"/>
      <c r="F51" s="121"/>
      <c r="G51" s="121"/>
      <c r="H51" s="121"/>
      <c r="I51" s="121"/>
      <c r="J51" s="121"/>
      <c r="K51" s="121"/>
      <c r="L51" s="121"/>
      <c r="M51" s="121"/>
      <c r="N51" s="121"/>
      <c r="O51" s="121"/>
    </row>
    <row r="52" spans="1:15" ht="76.5" outlineLevel="2">
      <c r="A52" s="116">
        <v>22</v>
      </c>
      <c r="B52" s="117" t="s">
        <v>171</v>
      </c>
      <c r="C52" s="117" t="s">
        <v>87</v>
      </c>
      <c r="D52" s="117" t="s">
        <v>88</v>
      </c>
      <c r="E52" s="117" t="s">
        <v>172</v>
      </c>
      <c r="F52" s="118"/>
      <c r="G52" s="117" t="s">
        <v>173</v>
      </c>
      <c r="H52" s="116" t="s">
        <v>41</v>
      </c>
      <c r="I52" s="116" t="s">
        <v>66</v>
      </c>
      <c r="J52" s="116" t="s">
        <v>91</v>
      </c>
      <c r="K52" s="116" t="s">
        <v>49</v>
      </c>
      <c r="L52" s="116" t="s">
        <v>49</v>
      </c>
      <c r="M52" s="116" t="s">
        <v>49</v>
      </c>
      <c r="N52" s="116"/>
      <c r="O52" s="117" t="s">
        <v>108</v>
      </c>
    </row>
    <row r="53" spans="1:15" ht="76.5" outlineLevel="2">
      <c r="A53" s="116">
        <v>23</v>
      </c>
      <c r="B53" s="117" t="s">
        <v>174</v>
      </c>
      <c r="C53" s="117" t="s">
        <v>94</v>
      </c>
      <c r="D53" s="117" t="s">
        <v>88</v>
      </c>
      <c r="E53" s="117" t="s">
        <v>175</v>
      </c>
      <c r="F53" s="118" t="s">
        <v>176</v>
      </c>
      <c r="G53" s="117" t="s">
        <v>97</v>
      </c>
      <c r="H53" s="116" t="s">
        <v>41</v>
      </c>
      <c r="I53" s="116" t="s">
        <v>66</v>
      </c>
      <c r="J53" s="116" t="s">
        <v>91</v>
      </c>
      <c r="K53" s="116" t="s">
        <v>49</v>
      </c>
      <c r="L53" s="116" t="s">
        <v>49</v>
      </c>
      <c r="M53" s="116" t="s">
        <v>49</v>
      </c>
      <c r="N53" s="116"/>
      <c r="O53" s="117" t="s">
        <v>98</v>
      </c>
    </row>
    <row r="54" spans="1:15" ht="140.25" outlineLevel="2">
      <c r="A54" s="116">
        <v>24</v>
      </c>
      <c r="B54" s="117" t="s">
        <v>177</v>
      </c>
      <c r="C54" s="117" t="s">
        <v>100</v>
      </c>
      <c r="D54" s="117" t="s">
        <v>88</v>
      </c>
      <c r="E54" s="117" t="s">
        <v>178</v>
      </c>
      <c r="F54" s="118"/>
      <c r="G54" s="117" t="s">
        <v>179</v>
      </c>
      <c r="H54" s="116" t="s">
        <v>41</v>
      </c>
      <c r="I54" s="116" t="s">
        <v>66</v>
      </c>
      <c r="J54" s="116" t="s">
        <v>91</v>
      </c>
      <c r="K54" s="116" t="s">
        <v>49</v>
      </c>
      <c r="L54" s="116" t="s">
        <v>49</v>
      </c>
      <c r="M54" s="116" t="s">
        <v>49</v>
      </c>
      <c r="N54" s="116"/>
      <c r="O54" s="117" t="s">
        <v>115</v>
      </c>
    </row>
    <row r="55" spans="1:15" ht="18" customHeight="1" outlineLevel="1">
      <c r="A55" s="121" t="s">
        <v>180</v>
      </c>
      <c r="B55" s="121"/>
      <c r="C55" s="121"/>
      <c r="D55" s="121"/>
      <c r="E55" s="121"/>
      <c r="F55" s="121"/>
      <c r="G55" s="121"/>
      <c r="H55" s="121"/>
      <c r="I55" s="121"/>
      <c r="J55" s="121"/>
      <c r="K55" s="121"/>
      <c r="L55" s="121"/>
      <c r="M55" s="121"/>
      <c r="N55" s="121"/>
      <c r="O55" s="121"/>
    </row>
    <row r="56" spans="1:15" ht="76.5" outlineLevel="2">
      <c r="A56" s="116">
        <v>25</v>
      </c>
      <c r="B56" s="117" t="s">
        <v>181</v>
      </c>
      <c r="C56" s="117" t="s">
        <v>87</v>
      </c>
      <c r="D56" s="117" t="s">
        <v>88</v>
      </c>
      <c r="E56" s="117" t="s">
        <v>182</v>
      </c>
      <c r="F56" s="118"/>
      <c r="G56" s="117" t="s">
        <v>183</v>
      </c>
      <c r="H56" s="116" t="s">
        <v>41</v>
      </c>
      <c r="I56" s="116" t="s">
        <v>66</v>
      </c>
      <c r="J56" s="116" t="s">
        <v>91</v>
      </c>
      <c r="K56" s="116" t="s">
        <v>49</v>
      </c>
      <c r="L56" s="116" t="s">
        <v>49</v>
      </c>
      <c r="M56" s="116" t="s">
        <v>49</v>
      </c>
      <c r="N56" s="116"/>
      <c r="O56" s="117" t="s">
        <v>184</v>
      </c>
    </row>
    <row r="57" spans="1:15" ht="76.5" outlineLevel="2">
      <c r="A57" s="116">
        <v>26</v>
      </c>
      <c r="B57" s="117" t="s">
        <v>185</v>
      </c>
      <c r="C57" s="117" t="s">
        <v>94</v>
      </c>
      <c r="D57" s="117" t="s">
        <v>88</v>
      </c>
      <c r="E57" s="117" t="s">
        <v>186</v>
      </c>
      <c r="F57" s="118" t="s">
        <v>187</v>
      </c>
      <c r="G57" s="117" t="s">
        <v>97</v>
      </c>
      <c r="H57" s="116" t="s">
        <v>41</v>
      </c>
      <c r="I57" s="116" t="s">
        <v>66</v>
      </c>
      <c r="J57" s="116" t="s">
        <v>91</v>
      </c>
      <c r="K57" s="116" t="s">
        <v>49</v>
      </c>
      <c r="L57" s="116" t="s">
        <v>49</v>
      </c>
      <c r="M57" s="116" t="s">
        <v>49</v>
      </c>
      <c r="N57" s="116"/>
      <c r="O57" s="117" t="s">
        <v>98</v>
      </c>
    </row>
    <row r="58" spans="1:15" ht="127.5" outlineLevel="2">
      <c r="A58" s="116">
        <v>27</v>
      </c>
      <c r="B58" s="117" t="s">
        <v>188</v>
      </c>
      <c r="C58" s="117" t="s">
        <v>100</v>
      </c>
      <c r="D58" s="117" t="s">
        <v>88</v>
      </c>
      <c r="E58" s="117" t="s">
        <v>189</v>
      </c>
      <c r="F58" s="118"/>
      <c r="G58" s="117" t="s">
        <v>190</v>
      </c>
      <c r="H58" s="116" t="s">
        <v>41</v>
      </c>
      <c r="I58" s="116" t="s">
        <v>66</v>
      </c>
      <c r="J58" s="116" t="s">
        <v>91</v>
      </c>
      <c r="K58" s="116" t="s">
        <v>49</v>
      </c>
      <c r="L58" s="116" t="s">
        <v>49</v>
      </c>
      <c r="M58" s="116" t="s">
        <v>49</v>
      </c>
      <c r="N58" s="116"/>
      <c r="O58" s="117" t="s">
        <v>191</v>
      </c>
    </row>
    <row r="59" spans="1:15" ht="18" customHeight="1" outlineLevel="1">
      <c r="A59" s="121" t="s">
        <v>192</v>
      </c>
      <c r="B59" s="121"/>
      <c r="C59" s="121"/>
      <c r="D59" s="121"/>
      <c r="E59" s="121"/>
      <c r="F59" s="121"/>
      <c r="G59" s="121"/>
      <c r="H59" s="121"/>
      <c r="I59" s="121"/>
      <c r="J59" s="121"/>
      <c r="K59" s="121"/>
      <c r="L59" s="121"/>
      <c r="M59" s="121"/>
      <c r="N59" s="121"/>
      <c r="O59" s="121"/>
    </row>
    <row r="60" spans="1:15" ht="76.5" outlineLevel="2">
      <c r="A60" s="116">
        <v>28</v>
      </c>
      <c r="B60" s="117" t="s">
        <v>193</v>
      </c>
      <c r="C60" s="117" t="s">
        <v>87</v>
      </c>
      <c r="D60" s="117" t="s">
        <v>88</v>
      </c>
      <c r="E60" s="117" t="s">
        <v>194</v>
      </c>
      <c r="F60" s="118"/>
      <c r="G60" s="117" t="s">
        <v>195</v>
      </c>
      <c r="H60" s="116" t="s">
        <v>41</v>
      </c>
      <c r="I60" s="116" t="s">
        <v>66</v>
      </c>
      <c r="J60" s="116" t="s">
        <v>91</v>
      </c>
      <c r="K60" s="116" t="s">
        <v>49</v>
      </c>
      <c r="L60" s="116" t="s">
        <v>49</v>
      </c>
      <c r="M60" s="116" t="s">
        <v>49</v>
      </c>
      <c r="N60" s="116"/>
      <c r="O60" s="117" t="s">
        <v>196</v>
      </c>
    </row>
    <row r="61" spans="1:15" ht="76.5" outlineLevel="2">
      <c r="A61" s="116">
        <v>29</v>
      </c>
      <c r="B61" s="117" t="s">
        <v>197</v>
      </c>
      <c r="C61" s="117" t="s">
        <v>94</v>
      </c>
      <c r="D61" s="117" t="s">
        <v>88</v>
      </c>
      <c r="E61" s="117" t="s">
        <v>198</v>
      </c>
      <c r="F61" s="118" t="s">
        <v>199</v>
      </c>
      <c r="G61" s="117" t="s">
        <v>97</v>
      </c>
      <c r="H61" s="116" t="s">
        <v>41</v>
      </c>
      <c r="I61" s="116" t="s">
        <v>66</v>
      </c>
      <c r="J61" s="116" t="s">
        <v>91</v>
      </c>
      <c r="K61" s="116" t="s">
        <v>49</v>
      </c>
      <c r="L61" s="116" t="s">
        <v>49</v>
      </c>
      <c r="M61" s="116" t="s">
        <v>49</v>
      </c>
      <c r="N61" s="116"/>
      <c r="O61" s="117" t="s">
        <v>200</v>
      </c>
    </row>
    <row r="62" spans="1:15" ht="140.25" outlineLevel="2">
      <c r="A62" s="116">
        <v>30</v>
      </c>
      <c r="B62" s="117" t="s">
        <v>201</v>
      </c>
      <c r="C62" s="117" t="s">
        <v>100</v>
      </c>
      <c r="D62" s="117" t="s">
        <v>88</v>
      </c>
      <c r="E62" s="117" t="s">
        <v>202</v>
      </c>
      <c r="F62" s="118"/>
      <c r="G62" s="117" t="s">
        <v>203</v>
      </c>
      <c r="H62" s="116" t="s">
        <v>41</v>
      </c>
      <c r="I62" s="116" t="s">
        <v>66</v>
      </c>
      <c r="J62" s="116" t="s">
        <v>91</v>
      </c>
      <c r="K62" s="116" t="s">
        <v>49</v>
      </c>
      <c r="L62" s="116" t="s">
        <v>49</v>
      </c>
      <c r="M62" s="116" t="s">
        <v>49</v>
      </c>
      <c r="N62" s="116"/>
      <c r="O62" s="117" t="s">
        <v>204</v>
      </c>
    </row>
    <row r="63" spans="1:15" ht="18" customHeight="1" outlineLevel="1">
      <c r="A63" s="121" t="s">
        <v>205</v>
      </c>
      <c r="B63" s="121"/>
      <c r="C63" s="121"/>
      <c r="D63" s="121"/>
      <c r="E63" s="121"/>
      <c r="F63" s="121"/>
      <c r="G63" s="121"/>
      <c r="H63" s="121"/>
      <c r="I63" s="121"/>
      <c r="J63" s="121"/>
      <c r="K63" s="121"/>
      <c r="L63" s="121"/>
      <c r="M63" s="121"/>
      <c r="N63" s="121"/>
      <c r="O63" s="121"/>
    </row>
    <row r="64" spans="1:15" ht="76.5" outlineLevel="2">
      <c r="A64" s="116">
        <v>31</v>
      </c>
      <c r="B64" s="117" t="s">
        <v>206</v>
      </c>
      <c r="C64" s="117" t="s">
        <v>87</v>
      </c>
      <c r="D64" s="117" t="s">
        <v>88</v>
      </c>
      <c r="E64" s="117" t="s">
        <v>207</v>
      </c>
      <c r="F64" s="118"/>
      <c r="G64" s="117" t="s">
        <v>208</v>
      </c>
      <c r="H64" s="116" t="s">
        <v>41</v>
      </c>
      <c r="I64" s="116" t="s">
        <v>66</v>
      </c>
      <c r="J64" s="116" t="s">
        <v>91</v>
      </c>
      <c r="K64" s="116" t="s">
        <v>49</v>
      </c>
      <c r="L64" s="116" t="s">
        <v>49</v>
      </c>
      <c r="M64" s="116" t="s">
        <v>49</v>
      </c>
      <c r="N64" s="116"/>
      <c r="O64" s="117" t="s">
        <v>209</v>
      </c>
    </row>
    <row r="65" spans="1:15" ht="76.5" outlineLevel="2">
      <c r="A65" s="116">
        <v>32</v>
      </c>
      <c r="B65" s="117" t="s">
        <v>210</v>
      </c>
      <c r="C65" s="117" t="s">
        <v>94</v>
      </c>
      <c r="D65" s="117" t="s">
        <v>88</v>
      </c>
      <c r="E65" s="117" t="s">
        <v>211</v>
      </c>
      <c r="F65" s="118" t="s">
        <v>212</v>
      </c>
      <c r="G65" s="117" t="s">
        <v>97</v>
      </c>
      <c r="H65" s="116" t="s">
        <v>41</v>
      </c>
      <c r="I65" s="116" t="s">
        <v>66</v>
      </c>
      <c r="J65" s="116" t="s">
        <v>91</v>
      </c>
      <c r="K65" s="116" t="s">
        <v>49</v>
      </c>
      <c r="L65" s="116" t="s">
        <v>49</v>
      </c>
      <c r="M65" s="116" t="s">
        <v>49</v>
      </c>
      <c r="N65" s="116"/>
      <c r="O65" s="117" t="s">
        <v>98</v>
      </c>
    </row>
    <row r="66" spans="1:15" ht="102" outlineLevel="2">
      <c r="A66" s="116">
        <v>33</v>
      </c>
      <c r="B66" s="117" t="s">
        <v>213</v>
      </c>
      <c r="C66" s="117" t="s">
        <v>100</v>
      </c>
      <c r="D66" s="117" t="s">
        <v>88</v>
      </c>
      <c r="E66" s="117" t="s">
        <v>214</v>
      </c>
      <c r="F66" s="118"/>
      <c r="G66" s="117" t="s">
        <v>215</v>
      </c>
      <c r="H66" s="116" t="s">
        <v>41</v>
      </c>
      <c r="I66" s="116" t="s">
        <v>66</v>
      </c>
      <c r="J66" s="116" t="s">
        <v>91</v>
      </c>
      <c r="K66" s="116" t="s">
        <v>49</v>
      </c>
      <c r="L66" s="116" t="s">
        <v>49</v>
      </c>
      <c r="M66" s="116" t="s">
        <v>49</v>
      </c>
      <c r="N66" s="116"/>
      <c r="O66" s="117" t="s">
        <v>216</v>
      </c>
    </row>
    <row r="67" spans="1:15" ht="19.5" customHeight="1">
      <c r="A67" s="120" t="s">
        <v>217</v>
      </c>
      <c r="B67" s="120"/>
      <c r="C67" s="120"/>
      <c r="D67" s="120"/>
      <c r="E67" s="120"/>
      <c r="F67" s="120"/>
      <c r="G67" s="120"/>
      <c r="H67" s="120"/>
      <c r="I67" s="120"/>
      <c r="J67" s="120"/>
      <c r="K67" s="120"/>
      <c r="L67" s="120"/>
      <c r="M67" s="120"/>
      <c r="N67" s="120"/>
      <c r="O67" s="120"/>
    </row>
    <row r="68" spans="1:15" ht="18" customHeight="1" outlineLevel="1">
      <c r="A68" s="121" t="s">
        <v>218</v>
      </c>
      <c r="B68" s="121"/>
      <c r="C68" s="121"/>
      <c r="D68" s="121"/>
      <c r="E68" s="121"/>
      <c r="F68" s="121"/>
      <c r="G68" s="121"/>
      <c r="H68" s="121"/>
      <c r="I68" s="121"/>
      <c r="J68" s="121"/>
      <c r="K68" s="121"/>
      <c r="L68" s="121"/>
      <c r="M68" s="121"/>
      <c r="N68" s="121"/>
      <c r="O68" s="121"/>
    </row>
    <row r="69" spans="1:15" ht="76.5" outlineLevel="2">
      <c r="A69" s="116">
        <v>34</v>
      </c>
      <c r="B69" s="117" t="s">
        <v>219</v>
      </c>
      <c r="C69" s="117" t="s">
        <v>87</v>
      </c>
      <c r="D69" s="117" t="s">
        <v>88</v>
      </c>
      <c r="E69" s="117" t="s">
        <v>220</v>
      </c>
      <c r="F69" s="118"/>
      <c r="G69" s="117" t="s">
        <v>221</v>
      </c>
      <c r="H69" s="116" t="s">
        <v>41</v>
      </c>
      <c r="I69" s="116" t="s">
        <v>66</v>
      </c>
      <c r="J69" s="116" t="s">
        <v>91</v>
      </c>
      <c r="K69" s="116" t="s">
        <v>49</v>
      </c>
      <c r="L69" s="116" t="s">
        <v>49</v>
      </c>
      <c r="M69" s="116" t="s">
        <v>49</v>
      </c>
      <c r="N69" s="116"/>
      <c r="O69" s="117" t="s">
        <v>222</v>
      </c>
    </row>
    <row r="70" spans="1:15" ht="76.5" outlineLevel="2">
      <c r="A70" s="116">
        <v>35</v>
      </c>
      <c r="B70" s="117" t="s">
        <v>223</v>
      </c>
      <c r="C70" s="117" t="s">
        <v>94</v>
      </c>
      <c r="D70" s="117" t="s">
        <v>88</v>
      </c>
      <c r="E70" s="117" t="s">
        <v>224</v>
      </c>
      <c r="F70" s="118" t="s">
        <v>225</v>
      </c>
      <c r="G70" s="117" t="s">
        <v>97</v>
      </c>
      <c r="H70" s="116" t="s">
        <v>41</v>
      </c>
      <c r="I70" s="116" t="s">
        <v>66</v>
      </c>
      <c r="J70" s="116" t="s">
        <v>91</v>
      </c>
      <c r="K70" s="116" t="s">
        <v>49</v>
      </c>
      <c r="L70" s="116" t="s">
        <v>49</v>
      </c>
      <c r="M70" s="116" t="s">
        <v>49</v>
      </c>
      <c r="N70" s="116"/>
      <c r="O70" s="117" t="s">
        <v>98</v>
      </c>
    </row>
    <row r="71" spans="1:15" ht="255" outlineLevel="2">
      <c r="A71" s="116">
        <v>36</v>
      </c>
      <c r="B71" s="117" t="s">
        <v>226</v>
      </c>
      <c r="C71" s="117" t="s">
        <v>100</v>
      </c>
      <c r="D71" s="117" t="s">
        <v>88</v>
      </c>
      <c r="E71" s="117" t="s">
        <v>227</v>
      </c>
      <c r="F71" s="118"/>
      <c r="G71" s="117" t="s">
        <v>228</v>
      </c>
      <c r="H71" s="116" t="s">
        <v>41</v>
      </c>
      <c r="I71" s="116" t="s">
        <v>66</v>
      </c>
      <c r="J71" s="116" t="s">
        <v>91</v>
      </c>
      <c r="K71" s="116" t="s">
        <v>49</v>
      </c>
      <c r="L71" s="116" t="s">
        <v>49</v>
      </c>
      <c r="M71" s="116" t="s">
        <v>49</v>
      </c>
      <c r="N71" s="116"/>
      <c r="O71" s="117" t="s">
        <v>229</v>
      </c>
    </row>
    <row r="72" spans="1:15" ht="18" customHeight="1" outlineLevel="1">
      <c r="A72" s="121" t="s">
        <v>230</v>
      </c>
      <c r="B72" s="121"/>
      <c r="C72" s="121"/>
      <c r="D72" s="121"/>
      <c r="E72" s="121"/>
      <c r="F72" s="121"/>
      <c r="G72" s="121"/>
      <c r="H72" s="121"/>
      <c r="I72" s="121"/>
      <c r="J72" s="121"/>
      <c r="K72" s="121"/>
      <c r="L72" s="121"/>
      <c r="M72" s="121"/>
      <c r="N72" s="121"/>
      <c r="O72" s="121"/>
    </row>
    <row r="73" spans="1:15" ht="76.5" outlineLevel="2">
      <c r="A73" s="116">
        <v>37</v>
      </c>
      <c r="B73" s="117" t="s">
        <v>231</v>
      </c>
      <c r="C73" s="117" t="s">
        <v>87</v>
      </c>
      <c r="D73" s="117" t="s">
        <v>88</v>
      </c>
      <c r="E73" s="117" t="s">
        <v>232</v>
      </c>
      <c r="F73" s="118"/>
      <c r="G73" s="117" t="s">
        <v>233</v>
      </c>
      <c r="H73" s="116" t="s">
        <v>41</v>
      </c>
      <c r="I73" s="116" t="s">
        <v>66</v>
      </c>
      <c r="J73" s="116" t="s">
        <v>91</v>
      </c>
      <c r="K73" s="116" t="s">
        <v>49</v>
      </c>
      <c r="L73" s="116" t="s">
        <v>49</v>
      </c>
      <c r="M73" s="116" t="s">
        <v>49</v>
      </c>
      <c r="N73" s="116"/>
      <c r="O73" s="117" t="s">
        <v>108</v>
      </c>
    </row>
    <row r="74" spans="1:15" ht="81.400000000000006" outlineLevel="2">
      <c r="A74" s="116">
        <v>38</v>
      </c>
      <c r="B74" s="117" t="s">
        <v>234</v>
      </c>
      <c r="C74" s="117" t="s">
        <v>94</v>
      </c>
      <c r="D74" s="117" t="s">
        <v>88</v>
      </c>
      <c r="E74" s="117" t="s">
        <v>235</v>
      </c>
      <c r="F74" s="118" t="s">
        <v>236</v>
      </c>
      <c r="G74" s="117" t="s">
        <v>97</v>
      </c>
      <c r="H74" s="116" t="s">
        <v>41</v>
      </c>
      <c r="I74" s="116" t="s">
        <v>66</v>
      </c>
      <c r="J74" s="116" t="s">
        <v>91</v>
      </c>
      <c r="K74" s="116" t="s">
        <v>49</v>
      </c>
      <c r="L74" s="116" t="s">
        <v>49</v>
      </c>
      <c r="M74" s="116" t="s">
        <v>49</v>
      </c>
      <c r="N74" s="116"/>
      <c r="O74" s="117" t="s">
        <v>98</v>
      </c>
    </row>
    <row r="75" spans="1:15" ht="165.75" outlineLevel="2">
      <c r="A75" s="116">
        <v>39</v>
      </c>
      <c r="B75" s="117" t="s">
        <v>237</v>
      </c>
      <c r="C75" s="117" t="s">
        <v>100</v>
      </c>
      <c r="D75" s="117" t="s">
        <v>88</v>
      </c>
      <c r="E75" s="117" t="s">
        <v>238</v>
      </c>
      <c r="F75" s="118"/>
      <c r="G75" s="117" t="s">
        <v>239</v>
      </c>
      <c r="H75" s="116" t="s">
        <v>41</v>
      </c>
      <c r="I75" s="116" t="s">
        <v>66</v>
      </c>
      <c r="J75" s="116" t="s">
        <v>91</v>
      </c>
      <c r="K75" s="116" t="s">
        <v>49</v>
      </c>
      <c r="L75" s="116" t="s">
        <v>49</v>
      </c>
      <c r="M75" s="116" t="s">
        <v>49</v>
      </c>
      <c r="N75" s="116"/>
      <c r="O75" s="117" t="s">
        <v>115</v>
      </c>
    </row>
    <row r="76" spans="1:15" ht="19.5" customHeight="1">
      <c r="A76" s="120" t="s">
        <v>240</v>
      </c>
      <c r="B76" s="120"/>
      <c r="C76" s="120"/>
      <c r="D76" s="120"/>
      <c r="E76" s="120"/>
      <c r="F76" s="120"/>
      <c r="G76" s="120"/>
      <c r="H76" s="120"/>
      <c r="I76" s="120"/>
      <c r="J76" s="120"/>
      <c r="K76" s="120"/>
      <c r="L76" s="120"/>
      <c r="M76" s="120"/>
      <c r="N76" s="120"/>
      <c r="O76" s="120"/>
    </row>
    <row r="77" spans="1:15" ht="18" customHeight="1" outlineLevel="1">
      <c r="A77" s="121" t="s">
        <v>241</v>
      </c>
      <c r="B77" s="121"/>
      <c r="C77" s="121"/>
      <c r="D77" s="121"/>
      <c r="E77" s="121"/>
      <c r="F77" s="121"/>
      <c r="G77" s="121"/>
      <c r="H77" s="121"/>
      <c r="I77" s="121"/>
      <c r="J77" s="121"/>
      <c r="K77" s="121"/>
      <c r="L77" s="121"/>
      <c r="M77" s="121"/>
      <c r="N77" s="121"/>
      <c r="O77" s="121"/>
    </row>
    <row r="78" spans="1:15" ht="76.5" outlineLevel="2">
      <c r="A78" s="116">
        <v>40</v>
      </c>
      <c r="B78" s="117" t="s">
        <v>242</v>
      </c>
      <c r="C78" s="117" t="s">
        <v>87</v>
      </c>
      <c r="D78" s="117" t="s">
        <v>88</v>
      </c>
      <c r="E78" s="117" t="s">
        <v>243</v>
      </c>
      <c r="F78" s="118"/>
      <c r="G78" s="117" t="s">
        <v>244</v>
      </c>
      <c r="H78" s="116" t="s">
        <v>41</v>
      </c>
      <c r="I78" s="116" t="s">
        <v>66</v>
      </c>
      <c r="J78" s="116" t="s">
        <v>91</v>
      </c>
      <c r="K78" s="116" t="s">
        <v>49</v>
      </c>
      <c r="L78" s="116" t="s">
        <v>49</v>
      </c>
      <c r="M78" s="116" t="s">
        <v>49</v>
      </c>
      <c r="N78" s="116"/>
      <c r="O78" s="117" t="s">
        <v>245</v>
      </c>
    </row>
    <row r="79" spans="1:15" ht="76.5" outlineLevel="2">
      <c r="A79" s="116">
        <v>41</v>
      </c>
      <c r="B79" s="117" t="s">
        <v>246</v>
      </c>
      <c r="C79" s="117" t="s">
        <v>94</v>
      </c>
      <c r="D79" s="117" t="s">
        <v>88</v>
      </c>
      <c r="E79" s="117" t="s">
        <v>247</v>
      </c>
      <c r="F79" s="118" t="s">
        <v>248</v>
      </c>
      <c r="G79" s="117" t="s">
        <v>97</v>
      </c>
      <c r="H79" s="116" t="s">
        <v>41</v>
      </c>
      <c r="I79" s="116" t="s">
        <v>66</v>
      </c>
      <c r="J79" s="116" t="s">
        <v>91</v>
      </c>
      <c r="K79" s="116" t="s">
        <v>49</v>
      </c>
      <c r="L79" s="116" t="s">
        <v>49</v>
      </c>
      <c r="M79" s="116" t="s">
        <v>49</v>
      </c>
      <c r="N79" s="116"/>
      <c r="O79" s="117" t="s">
        <v>98</v>
      </c>
    </row>
    <row r="80" spans="1:15" ht="306" outlineLevel="2">
      <c r="A80" s="116">
        <v>42</v>
      </c>
      <c r="B80" s="117" t="s">
        <v>249</v>
      </c>
      <c r="C80" s="117" t="s">
        <v>100</v>
      </c>
      <c r="D80" s="117" t="s">
        <v>88</v>
      </c>
      <c r="E80" s="117" t="s">
        <v>250</v>
      </c>
      <c r="F80" s="118"/>
      <c r="G80" s="117" t="s">
        <v>251</v>
      </c>
      <c r="H80" s="116" t="s">
        <v>41</v>
      </c>
      <c r="I80" s="116" t="s">
        <v>66</v>
      </c>
      <c r="J80" s="116" t="s">
        <v>91</v>
      </c>
      <c r="K80" s="116" t="s">
        <v>49</v>
      </c>
      <c r="L80" s="116" t="s">
        <v>49</v>
      </c>
      <c r="M80" s="116" t="s">
        <v>49</v>
      </c>
      <c r="N80" s="116"/>
      <c r="O80" s="117" t="s">
        <v>252</v>
      </c>
    </row>
    <row r="81" spans="1:15" ht="18" customHeight="1" outlineLevel="1">
      <c r="A81" s="121" t="s">
        <v>253</v>
      </c>
      <c r="B81" s="121"/>
      <c r="C81" s="121"/>
      <c r="D81" s="121"/>
      <c r="E81" s="121"/>
      <c r="F81" s="121"/>
      <c r="G81" s="121"/>
      <c r="H81" s="121"/>
      <c r="I81" s="121"/>
      <c r="J81" s="121"/>
      <c r="K81" s="121"/>
      <c r="L81" s="121"/>
      <c r="M81" s="121"/>
      <c r="N81" s="121"/>
      <c r="O81" s="121"/>
    </row>
    <row r="82" spans="1:15" ht="76.5" outlineLevel="2">
      <c r="A82" s="116">
        <v>43</v>
      </c>
      <c r="B82" s="117" t="s">
        <v>254</v>
      </c>
      <c r="C82" s="117" t="s">
        <v>87</v>
      </c>
      <c r="D82" s="117" t="s">
        <v>88</v>
      </c>
      <c r="E82" s="117" t="s">
        <v>255</v>
      </c>
      <c r="F82" s="118"/>
      <c r="G82" s="117" t="s">
        <v>256</v>
      </c>
      <c r="H82" s="116" t="s">
        <v>41</v>
      </c>
      <c r="I82" s="116" t="s">
        <v>66</v>
      </c>
      <c r="J82" s="116" t="s">
        <v>91</v>
      </c>
      <c r="K82" s="116" t="s">
        <v>49</v>
      </c>
      <c r="L82" s="116" t="s">
        <v>49</v>
      </c>
      <c r="M82" s="116" t="s">
        <v>49</v>
      </c>
      <c r="N82" s="116"/>
      <c r="O82" s="117" t="s">
        <v>108</v>
      </c>
    </row>
    <row r="83" spans="1:15" ht="76.5" outlineLevel="2">
      <c r="A83" s="116">
        <v>44</v>
      </c>
      <c r="B83" s="117" t="s">
        <v>257</v>
      </c>
      <c r="C83" s="117" t="s">
        <v>94</v>
      </c>
      <c r="D83" s="117" t="s">
        <v>88</v>
      </c>
      <c r="E83" s="117" t="s">
        <v>258</v>
      </c>
      <c r="F83" s="118" t="s">
        <v>259</v>
      </c>
      <c r="G83" s="117" t="s">
        <v>97</v>
      </c>
      <c r="H83" s="116" t="s">
        <v>41</v>
      </c>
      <c r="I83" s="116" t="s">
        <v>66</v>
      </c>
      <c r="J83" s="116" t="s">
        <v>91</v>
      </c>
      <c r="K83" s="116" t="s">
        <v>49</v>
      </c>
      <c r="L83" s="116" t="s">
        <v>49</v>
      </c>
      <c r="M83" s="116" t="s">
        <v>49</v>
      </c>
      <c r="N83" s="116"/>
      <c r="O83" s="117" t="s">
        <v>98</v>
      </c>
    </row>
    <row r="84" spans="1:15" ht="89.25" outlineLevel="2">
      <c r="A84" s="116">
        <v>45</v>
      </c>
      <c r="B84" s="117" t="s">
        <v>260</v>
      </c>
      <c r="C84" s="117" t="s">
        <v>100</v>
      </c>
      <c r="D84" s="117" t="s">
        <v>88</v>
      </c>
      <c r="E84" s="117" t="s">
        <v>261</v>
      </c>
      <c r="F84" s="118"/>
      <c r="G84" s="117" t="s">
        <v>262</v>
      </c>
      <c r="H84" s="116" t="s">
        <v>41</v>
      </c>
      <c r="I84" s="116" t="s">
        <v>66</v>
      </c>
      <c r="J84" s="116" t="s">
        <v>91</v>
      </c>
      <c r="K84" s="116" t="s">
        <v>49</v>
      </c>
      <c r="L84" s="116" t="s">
        <v>49</v>
      </c>
      <c r="M84" s="116" t="s">
        <v>49</v>
      </c>
      <c r="N84" s="116"/>
      <c r="O84" s="117" t="s">
        <v>115</v>
      </c>
    </row>
    <row r="85" spans="1:15" ht="18" customHeight="1" outlineLevel="1">
      <c r="A85" s="121" t="s">
        <v>263</v>
      </c>
      <c r="B85" s="121"/>
      <c r="C85" s="121"/>
      <c r="D85" s="121"/>
      <c r="E85" s="121"/>
      <c r="F85" s="121"/>
      <c r="G85" s="121"/>
      <c r="H85" s="121"/>
      <c r="I85" s="121"/>
      <c r="J85" s="121"/>
      <c r="K85" s="121"/>
      <c r="L85" s="121"/>
      <c r="M85" s="121"/>
      <c r="N85" s="121"/>
      <c r="O85" s="121"/>
    </row>
    <row r="86" spans="1:15" ht="76.5" outlineLevel="2">
      <c r="A86" s="116">
        <v>46</v>
      </c>
      <c r="B86" s="117" t="s">
        <v>264</v>
      </c>
      <c r="C86" s="117" t="s">
        <v>87</v>
      </c>
      <c r="D86" s="117" t="s">
        <v>88</v>
      </c>
      <c r="E86" s="117" t="s">
        <v>265</v>
      </c>
      <c r="F86" s="118"/>
      <c r="G86" s="117" t="s">
        <v>266</v>
      </c>
      <c r="H86" s="116" t="s">
        <v>41</v>
      </c>
      <c r="I86" s="116" t="s">
        <v>66</v>
      </c>
      <c r="J86" s="116" t="s">
        <v>91</v>
      </c>
      <c r="K86" s="116" t="s">
        <v>49</v>
      </c>
      <c r="L86" s="116" t="s">
        <v>49</v>
      </c>
      <c r="M86" s="116" t="s">
        <v>49</v>
      </c>
      <c r="N86" s="116"/>
      <c r="O86" s="117" t="s">
        <v>108</v>
      </c>
    </row>
    <row r="87" spans="1:15" ht="76.5" outlineLevel="2">
      <c r="A87" s="116">
        <v>47</v>
      </c>
      <c r="B87" s="117" t="s">
        <v>267</v>
      </c>
      <c r="C87" s="117" t="s">
        <v>94</v>
      </c>
      <c r="D87" s="117" t="s">
        <v>88</v>
      </c>
      <c r="E87" s="117" t="s">
        <v>268</v>
      </c>
      <c r="F87" s="118" t="s">
        <v>269</v>
      </c>
      <c r="G87" s="117" t="s">
        <v>97</v>
      </c>
      <c r="H87" s="116" t="s">
        <v>41</v>
      </c>
      <c r="I87" s="116" t="s">
        <v>66</v>
      </c>
      <c r="J87" s="116" t="s">
        <v>91</v>
      </c>
      <c r="K87" s="116" t="s">
        <v>49</v>
      </c>
      <c r="L87" s="116" t="s">
        <v>49</v>
      </c>
      <c r="M87" s="116" t="s">
        <v>49</v>
      </c>
      <c r="N87" s="116"/>
      <c r="O87" s="117" t="s">
        <v>98</v>
      </c>
    </row>
    <row r="88" spans="1:15" ht="165.75" outlineLevel="2">
      <c r="A88" s="116">
        <v>48</v>
      </c>
      <c r="B88" s="117" t="s">
        <v>270</v>
      </c>
      <c r="C88" s="117" t="s">
        <v>100</v>
      </c>
      <c r="D88" s="117" t="s">
        <v>88</v>
      </c>
      <c r="E88" s="117" t="s">
        <v>271</v>
      </c>
      <c r="F88" s="118"/>
      <c r="G88" s="117" t="s">
        <v>272</v>
      </c>
      <c r="H88" s="116" t="s">
        <v>41</v>
      </c>
      <c r="I88" s="116" t="s">
        <v>66</v>
      </c>
      <c r="J88" s="116" t="s">
        <v>91</v>
      </c>
      <c r="K88" s="116" t="s">
        <v>49</v>
      </c>
      <c r="L88" s="116" t="s">
        <v>49</v>
      </c>
      <c r="M88" s="116" t="s">
        <v>49</v>
      </c>
      <c r="N88" s="116"/>
      <c r="O88" s="117" t="s">
        <v>115</v>
      </c>
    </row>
    <row r="89" spans="1:15" ht="18" customHeight="1" outlineLevel="1">
      <c r="A89" s="121" t="s">
        <v>273</v>
      </c>
      <c r="B89" s="121"/>
      <c r="C89" s="121"/>
      <c r="D89" s="121"/>
      <c r="E89" s="121"/>
      <c r="F89" s="121"/>
      <c r="G89" s="121"/>
      <c r="H89" s="121"/>
      <c r="I89" s="121"/>
      <c r="J89" s="121"/>
      <c r="K89" s="121"/>
      <c r="L89" s="121"/>
      <c r="M89" s="121"/>
      <c r="N89" s="121"/>
      <c r="O89" s="121"/>
    </row>
    <row r="90" spans="1:15" ht="76.5" outlineLevel="2">
      <c r="A90" s="116">
        <v>49</v>
      </c>
      <c r="B90" s="117" t="s">
        <v>274</v>
      </c>
      <c r="C90" s="117" t="s">
        <v>87</v>
      </c>
      <c r="D90" s="117" t="s">
        <v>88</v>
      </c>
      <c r="E90" s="117" t="s">
        <v>275</v>
      </c>
      <c r="F90" s="118"/>
      <c r="G90" s="117" t="s">
        <v>276</v>
      </c>
      <c r="H90" s="116" t="s">
        <v>41</v>
      </c>
      <c r="I90" s="116" t="s">
        <v>66</v>
      </c>
      <c r="J90" s="116" t="s">
        <v>91</v>
      </c>
      <c r="K90" s="116" t="s">
        <v>49</v>
      </c>
      <c r="L90" s="116" t="s">
        <v>49</v>
      </c>
      <c r="M90" s="116" t="s">
        <v>49</v>
      </c>
      <c r="N90" s="116"/>
      <c r="O90" s="117" t="s">
        <v>277</v>
      </c>
    </row>
    <row r="91" spans="1:15" ht="76.5" outlineLevel="2">
      <c r="A91" s="116">
        <v>50</v>
      </c>
      <c r="B91" s="117" t="s">
        <v>278</v>
      </c>
      <c r="C91" s="117" t="s">
        <v>94</v>
      </c>
      <c r="D91" s="117" t="s">
        <v>88</v>
      </c>
      <c r="E91" s="117" t="s">
        <v>279</v>
      </c>
      <c r="F91" s="118" t="s">
        <v>280</v>
      </c>
      <c r="G91" s="117" t="s">
        <v>97</v>
      </c>
      <c r="H91" s="116" t="s">
        <v>41</v>
      </c>
      <c r="I91" s="116" t="s">
        <v>66</v>
      </c>
      <c r="J91" s="116" t="s">
        <v>91</v>
      </c>
      <c r="K91" s="116" t="s">
        <v>49</v>
      </c>
      <c r="L91" s="116" t="s">
        <v>49</v>
      </c>
      <c r="M91" s="116" t="s">
        <v>49</v>
      </c>
      <c r="N91" s="116"/>
      <c r="O91" s="117" t="s">
        <v>281</v>
      </c>
    </row>
    <row r="92" spans="1:15" ht="140.25" outlineLevel="2">
      <c r="A92" s="116">
        <v>51</v>
      </c>
      <c r="B92" s="117" t="s">
        <v>282</v>
      </c>
      <c r="C92" s="117" t="s">
        <v>100</v>
      </c>
      <c r="D92" s="117" t="s">
        <v>88</v>
      </c>
      <c r="E92" s="117" t="s">
        <v>283</v>
      </c>
      <c r="F92" s="118"/>
      <c r="G92" s="117" t="s">
        <v>284</v>
      </c>
      <c r="H92" s="116" t="s">
        <v>41</v>
      </c>
      <c r="I92" s="116" t="s">
        <v>66</v>
      </c>
      <c r="J92" s="116" t="s">
        <v>91</v>
      </c>
      <c r="K92" s="116" t="s">
        <v>49</v>
      </c>
      <c r="L92" s="116" t="s">
        <v>49</v>
      </c>
      <c r="M92" s="116" t="s">
        <v>49</v>
      </c>
      <c r="N92" s="116"/>
      <c r="O92" s="117" t="s">
        <v>285</v>
      </c>
    </row>
    <row r="93" spans="1:15" ht="18" customHeight="1" outlineLevel="1">
      <c r="A93" s="121" t="s">
        <v>286</v>
      </c>
      <c r="B93" s="121"/>
      <c r="C93" s="121"/>
      <c r="D93" s="121"/>
      <c r="E93" s="121"/>
      <c r="F93" s="121"/>
      <c r="G93" s="121"/>
      <c r="H93" s="121"/>
      <c r="I93" s="121"/>
      <c r="J93" s="121"/>
      <c r="K93" s="121"/>
      <c r="L93" s="121"/>
      <c r="M93" s="121"/>
      <c r="N93" s="121"/>
      <c r="O93" s="121"/>
    </row>
    <row r="94" spans="1:15" ht="76.5" outlineLevel="2">
      <c r="A94" s="116">
        <v>52</v>
      </c>
      <c r="B94" s="117" t="s">
        <v>287</v>
      </c>
      <c r="C94" s="117" t="s">
        <v>87</v>
      </c>
      <c r="D94" s="117" t="s">
        <v>88</v>
      </c>
      <c r="E94" s="117" t="s">
        <v>288</v>
      </c>
      <c r="F94" s="118"/>
      <c r="G94" s="117" t="s">
        <v>289</v>
      </c>
      <c r="H94" s="116" t="s">
        <v>41</v>
      </c>
      <c r="I94" s="116" t="s">
        <v>66</v>
      </c>
      <c r="J94" s="116" t="s">
        <v>91</v>
      </c>
      <c r="K94" s="116" t="s">
        <v>49</v>
      </c>
      <c r="L94" s="116" t="s">
        <v>49</v>
      </c>
      <c r="M94" s="116" t="s">
        <v>49</v>
      </c>
      <c r="N94" s="116"/>
      <c r="O94" s="117" t="s">
        <v>290</v>
      </c>
    </row>
    <row r="95" spans="1:15" ht="76.5" outlineLevel="2">
      <c r="A95" s="116">
        <v>53</v>
      </c>
      <c r="B95" s="117" t="s">
        <v>291</v>
      </c>
      <c r="C95" s="117" t="s">
        <v>94</v>
      </c>
      <c r="D95" s="117" t="s">
        <v>88</v>
      </c>
      <c r="E95" s="117" t="s">
        <v>292</v>
      </c>
      <c r="F95" s="118" t="s">
        <v>293</v>
      </c>
      <c r="G95" s="117" t="s">
        <v>97</v>
      </c>
      <c r="H95" s="116" t="s">
        <v>41</v>
      </c>
      <c r="I95" s="116" t="s">
        <v>66</v>
      </c>
      <c r="J95" s="116" t="s">
        <v>91</v>
      </c>
      <c r="K95" s="116" t="s">
        <v>49</v>
      </c>
      <c r="L95" s="116" t="s">
        <v>49</v>
      </c>
      <c r="M95" s="116" t="s">
        <v>49</v>
      </c>
      <c r="N95" s="116"/>
      <c r="O95" s="117" t="s">
        <v>98</v>
      </c>
    </row>
    <row r="96" spans="1:15" ht="89.25" outlineLevel="2">
      <c r="A96" s="116">
        <v>54</v>
      </c>
      <c r="B96" s="117" t="s">
        <v>294</v>
      </c>
      <c r="C96" s="117" t="s">
        <v>100</v>
      </c>
      <c r="D96" s="117" t="s">
        <v>88</v>
      </c>
      <c r="E96" s="117" t="s">
        <v>295</v>
      </c>
      <c r="F96" s="118"/>
      <c r="G96" s="117" t="s">
        <v>296</v>
      </c>
      <c r="H96" s="116" t="s">
        <v>41</v>
      </c>
      <c r="I96" s="116" t="s">
        <v>66</v>
      </c>
      <c r="J96" s="116" t="s">
        <v>91</v>
      </c>
      <c r="K96" s="116" t="s">
        <v>49</v>
      </c>
      <c r="L96" s="116" t="s">
        <v>49</v>
      </c>
      <c r="M96" s="116" t="s">
        <v>49</v>
      </c>
      <c r="N96" s="116"/>
      <c r="O96" s="117" t="s">
        <v>297</v>
      </c>
    </row>
  </sheetData>
  <autoFilter ref="A21:O21" xr:uid="{0E310D03-BB0A-4514-A1BE-9E78C4187B21}"/>
  <mergeCells count="21">
    <mergeCell ref="A93:O93"/>
    <mergeCell ref="A76:O76"/>
    <mergeCell ref="A77:O77"/>
    <mergeCell ref="A81:O81"/>
    <mergeCell ref="A85:O85"/>
    <mergeCell ref="A89:O89"/>
    <mergeCell ref="A59:O59"/>
    <mergeCell ref="A63:O63"/>
    <mergeCell ref="A67:O67"/>
    <mergeCell ref="A68:O68"/>
    <mergeCell ref="A72:O72"/>
    <mergeCell ref="A39:O39"/>
    <mergeCell ref="A43:O43"/>
    <mergeCell ref="A47:O47"/>
    <mergeCell ref="A51:O51"/>
    <mergeCell ref="A55:O55"/>
    <mergeCell ref="A22:O22"/>
    <mergeCell ref="A23:O23"/>
    <mergeCell ref="A27:O27"/>
    <mergeCell ref="A31:O31"/>
    <mergeCell ref="A35:O35"/>
  </mergeCells>
  <pageMargins left="0.75" right="0.75" top="1" bottom="1"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8ADB30DE-BA77-4309-8E35-B1814633897A}">
          <x14:formula1>
            <xm:f>Legend!$F$20:$F$25</xm:f>
          </x14:formula1>
          <xm:sqref>K24:M26 K28:M30 K32:M34 K36:M38 K40:M42 K44:M46 K48:M50 K52:M54 K56:M58 K60:M62 K64:M66 K69:M71 K73:M75 K78:M80 K82:M84 K86:M88 K90:M92 K94:M96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89"/>
  <sheetViews>
    <sheetView topLeftCell="A15" zoomScaleNormal="100" workbookViewId="0">
      <selection activeCell="F22" sqref="F22"/>
    </sheetView>
  </sheetViews>
  <sheetFormatPr defaultColWidth="8.7109375" defaultRowHeight="14.25"/>
  <cols>
    <col min="1" max="1" width="24.5703125" customWidth="1"/>
    <col min="2" max="2" width="75.28515625" customWidth="1"/>
  </cols>
  <sheetData>
    <row r="1" spans="1:2" ht="15" customHeight="1">
      <c r="A1" s="145" t="s">
        <v>298</v>
      </c>
      <c r="B1" s="145"/>
    </row>
    <row r="2" spans="1:2" ht="15" customHeight="1">
      <c r="A2" s="144" t="s">
        <v>299</v>
      </c>
      <c r="B2" s="144"/>
    </row>
    <row r="3" spans="1:2" ht="15" customHeight="1">
      <c r="A3" s="102" t="s">
        <v>300</v>
      </c>
      <c r="B3" s="102" t="s">
        <v>301</v>
      </c>
    </row>
    <row r="4" spans="1:2" ht="15" customHeight="1">
      <c r="A4" s="103" t="s">
        <v>302</v>
      </c>
      <c r="B4" s="103" t="s">
        <v>303</v>
      </c>
    </row>
    <row r="5" spans="1:2" ht="15" customHeight="1">
      <c r="A5" s="104" t="s">
        <v>304</v>
      </c>
      <c r="B5" s="105" t="s">
        <v>305</v>
      </c>
    </row>
    <row r="6" spans="1:2" ht="15" customHeight="1">
      <c r="A6" s="104" t="s">
        <v>41</v>
      </c>
      <c r="B6" s="105" t="s">
        <v>306</v>
      </c>
    </row>
    <row r="7" spans="1:2" ht="15" customHeight="1">
      <c r="A7" s="104" t="s">
        <v>307</v>
      </c>
      <c r="B7" s="105" t="s">
        <v>308</v>
      </c>
    </row>
    <row r="8" spans="1:2" ht="15" customHeight="1">
      <c r="A8" s="104" t="s">
        <v>309</v>
      </c>
      <c r="B8" s="105" t="s">
        <v>310</v>
      </c>
    </row>
    <row r="9" spans="1:2" ht="15" customHeight="1">
      <c r="A9" s="104" t="s">
        <v>311</v>
      </c>
      <c r="B9" s="105" t="s">
        <v>312</v>
      </c>
    </row>
    <row r="10" spans="1:2" ht="15" customHeight="1">
      <c r="A10" s="106"/>
      <c r="B10" s="106"/>
    </row>
    <row r="11" spans="1:2" ht="15" customHeight="1">
      <c r="A11" s="107"/>
      <c r="B11" s="107"/>
    </row>
    <row r="12" spans="1:2" ht="15" customHeight="1">
      <c r="A12" s="145" t="s">
        <v>313</v>
      </c>
      <c r="B12" s="145"/>
    </row>
    <row r="13" spans="1:2" ht="15" customHeight="1">
      <c r="A13" s="144" t="s">
        <v>77</v>
      </c>
      <c r="B13" s="144"/>
    </row>
    <row r="14" spans="1:2" ht="15" customHeight="1">
      <c r="A14" s="102" t="s">
        <v>300</v>
      </c>
      <c r="B14" s="102" t="s">
        <v>301</v>
      </c>
    </row>
    <row r="15" spans="1:2" ht="15" customHeight="1">
      <c r="A15" s="103" t="s">
        <v>302</v>
      </c>
      <c r="B15" s="103" t="s">
        <v>303</v>
      </c>
    </row>
    <row r="16" spans="1:2" ht="15" customHeight="1">
      <c r="A16" s="108" t="s">
        <v>66</v>
      </c>
      <c r="B16" s="109" t="s">
        <v>314</v>
      </c>
    </row>
    <row r="17" spans="1:6" ht="15" customHeight="1">
      <c r="A17" s="108" t="s">
        <v>67</v>
      </c>
      <c r="B17" s="109" t="s">
        <v>315</v>
      </c>
    </row>
    <row r="18" spans="1:6" ht="15" customHeight="1">
      <c r="A18" s="108" t="s">
        <v>68</v>
      </c>
      <c r="B18" s="109" t="s">
        <v>316</v>
      </c>
    </row>
    <row r="19" spans="1:6" ht="15" customHeight="1">
      <c r="A19" s="106"/>
      <c r="B19" s="106"/>
    </row>
    <row r="20" spans="1:6" ht="15" customHeight="1">
      <c r="A20" s="145" t="s">
        <v>317</v>
      </c>
      <c r="B20" s="145"/>
      <c r="F20" s="98" t="s">
        <v>47</v>
      </c>
    </row>
    <row r="21" spans="1:6" ht="15" customHeight="1">
      <c r="A21" s="144" t="s">
        <v>78</v>
      </c>
      <c r="B21" s="144"/>
      <c r="F21" s="98" t="s">
        <v>48</v>
      </c>
    </row>
    <row r="22" spans="1:6" ht="15" customHeight="1">
      <c r="A22" s="102" t="s">
        <v>300</v>
      </c>
      <c r="B22" s="102" t="s">
        <v>301</v>
      </c>
      <c r="F22" s="98" t="s">
        <v>49</v>
      </c>
    </row>
    <row r="23" spans="1:6" ht="15" customHeight="1">
      <c r="A23" s="103" t="s">
        <v>302</v>
      </c>
      <c r="B23" s="103" t="s">
        <v>303</v>
      </c>
      <c r="F23" s="98" t="s">
        <v>50</v>
      </c>
    </row>
    <row r="24" spans="1:6" ht="15" customHeight="1">
      <c r="A24" s="108" t="s">
        <v>318</v>
      </c>
      <c r="B24" s="109" t="s">
        <v>319</v>
      </c>
      <c r="F24" s="98" t="s">
        <v>51</v>
      </c>
    </row>
    <row r="25" spans="1:6" ht="15" customHeight="1">
      <c r="A25" s="108" t="s">
        <v>91</v>
      </c>
      <c r="B25" s="109" t="s">
        <v>320</v>
      </c>
      <c r="F25" s="110" t="s">
        <v>52</v>
      </c>
    </row>
    <row r="26" spans="1:6" ht="15" customHeight="1">
      <c r="A26" s="107"/>
      <c r="B26" s="107"/>
    </row>
    <row r="27" spans="1:6" ht="15" customHeight="1">
      <c r="A27" s="145" t="s">
        <v>321</v>
      </c>
      <c r="B27" s="145"/>
    </row>
    <row r="28" spans="1:6" ht="15" customHeight="1">
      <c r="A28" s="144" t="s">
        <v>322</v>
      </c>
      <c r="B28" s="144"/>
    </row>
    <row r="29" spans="1:6" ht="15" customHeight="1">
      <c r="A29" s="102" t="s">
        <v>300</v>
      </c>
      <c r="B29" s="102" t="s">
        <v>301</v>
      </c>
    </row>
    <row r="30" spans="1:6" ht="15" customHeight="1">
      <c r="A30" s="103" t="s">
        <v>302</v>
      </c>
      <c r="B30" s="103" t="s">
        <v>303</v>
      </c>
    </row>
    <row r="31" spans="1:6" ht="15" customHeight="1">
      <c r="A31" s="111" t="s">
        <v>49</v>
      </c>
      <c r="B31" s="109" t="s">
        <v>323</v>
      </c>
    </row>
    <row r="32" spans="1:6" ht="15" customHeight="1">
      <c r="A32" s="112" t="s">
        <v>47</v>
      </c>
      <c r="B32" s="109" t="s">
        <v>324</v>
      </c>
    </row>
    <row r="33" spans="1:2" ht="15" customHeight="1">
      <c r="A33" s="113" t="s">
        <v>48</v>
      </c>
      <c r="B33" s="109" t="s">
        <v>325</v>
      </c>
    </row>
    <row r="34" spans="1:2" ht="15" customHeight="1">
      <c r="A34" s="146" t="s">
        <v>51</v>
      </c>
      <c r="B34" s="109" t="s">
        <v>51</v>
      </c>
    </row>
    <row r="35" spans="1:2" ht="30.75" customHeight="1">
      <c r="A35" s="146"/>
      <c r="B35" s="114" t="s">
        <v>326</v>
      </c>
    </row>
    <row r="36" spans="1:2" ht="15" customHeight="1">
      <c r="A36" s="115" t="s">
        <v>52</v>
      </c>
      <c r="B36" s="109" t="s">
        <v>327</v>
      </c>
    </row>
    <row r="37" spans="1:2" ht="15" customHeight="1">
      <c r="A37" s="104" t="s">
        <v>53</v>
      </c>
      <c r="B37" s="105" t="s">
        <v>328</v>
      </c>
    </row>
    <row r="38" spans="1:2" ht="15" customHeight="1">
      <c r="A38" s="104" t="s">
        <v>329</v>
      </c>
      <c r="B38" s="105" t="s">
        <v>330</v>
      </c>
    </row>
    <row r="39" spans="1:2" ht="15" customHeight="1">
      <c r="A39" s="104" t="s">
        <v>331</v>
      </c>
      <c r="B39" s="105" t="s">
        <v>332</v>
      </c>
    </row>
    <row r="40" spans="1:2" ht="15" customHeight="1">
      <c r="A40" s="107"/>
      <c r="B40" s="107"/>
    </row>
    <row r="41" spans="1:2" ht="15" customHeight="1">
      <c r="A41" s="106"/>
      <c r="B41" s="106"/>
    </row>
    <row r="42" spans="1:2" ht="15" customHeight="1">
      <c r="A42" s="106"/>
      <c r="B42" s="106"/>
    </row>
    <row r="43" spans="1:2" ht="15" customHeight="1">
      <c r="A43" s="106"/>
      <c r="B43" s="106"/>
    </row>
    <row r="44" spans="1:2" ht="15" customHeight="1">
      <c r="A44" s="106"/>
      <c r="B44" s="106"/>
    </row>
    <row r="45" spans="1:2" ht="15" customHeight="1">
      <c r="A45" s="106"/>
      <c r="B45" s="106"/>
    </row>
    <row r="46" spans="1:2" ht="15" customHeight="1">
      <c r="A46" s="106"/>
      <c r="B46" s="106"/>
    </row>
    <row r="47" spans="1:2" ht="15" customHeight="1">
      <c r="A47" s="106"/>
      <c r="B47" s="106"/>
    </row>
    <row r="48" spans="1:2" ht="15" customHeight="1">
      <c r="A48" s="106"/>
      <c r="B48" s="106"/>
    </row>
    <row r="49" spans="1:2" ht="15" customHeight="1">
      <c r="A49" s="106"/>
      <c r="B49" s="106"/>
    </row>
    <row r="50" spans="1:2" ht="15" customHeight="1">
      <c r="A50" s="106"/>
      <c r="B50" s="106"/>
    </row>
    <row r="51" spans="1:2" ht="15" customHeight="1">
      <c r="A51" s="106"/>
      <c r="B51" s="106"/>
    </row>
    <row r="52" spans="1:2" ht="15" customHeight="1">
      <c r="A52" s="106"/>
      <c r="B52" s="106"/>
    </row>
    <row r="53" spans="1:2" ht="15" customHeight="1">
      <c r="A53" s="106"/>
      <c r="B53" s="106"/>
    </row>
    <row r="54" spans="1:2" ht="15" customHeight="1">
      <c r="A54" s="106"/>
      <c r="B54" s="106"/>
    </row>
    <row r="55" spans="1:2" ht="15" customHeight="1">
      <c r="A55" s="106"/>
      <c r="B55" s="106"/>
    </row>
    <row r="56" spans="1:2" ht="15" customHeight="1">
      <c r="A56" s="106"/>
      <c r="B56" s="106"/>
    </row>
    <row r="57" spans="1:2" ht="15" customHeight="1">
      <c r="A57" s="106"/>
      <c r="B57" s="106"/>
    </row>
    <row r="58" spans="1:2" ht="15" customHeight="1">
      <c r="A58" s="106"/>
      <c r="B58" s="106"/>
    </row>
    <row r="59" spans="1:2" ht="15" customHeight="1">
      <c r="A59" s="106"/>
      <c r="B59" s="106"/>
    </row>
    <row r="60" spans="1:2" ht="15" customHeight="1">
      <c r="A60" s="106"/>
      <c r="B60" s="106"/>
    </row>
    <row r="61" spans="1:2" ht="15" customHeight="1">
      <c r="A61" s="106"/>
      <c r="B61" s="106"/>
    </row>
    <row r="62" spans="1:2" ht="15" customHeight="1">
      <c r="A62" s="106"/>
      <c r="B62" s="106"/>
    </row>
    <row r="63" spans="1:2" ht="15" customHeight="1">
      <c r="A63" s="106"/>
      <c r="B63" s="106"/>
    </row>
    <row r="64" spans="1:2" ht="15" customHeight="1">
      <c r="A64" s="106"/>
      <c r="B64" s="106"/>
    </row>
    <row r="65" spans="1:2" ht="15" customHeight="1">
      <c r="A65" s="106"/>
      <c r="B65" s="106"/>
    </row>
    <row r="66" spans="1:2" ht="15" customHeight="1">
      <c r="A66" s="106"/>
      <c r="B66" s="106"/>
    </row>
    <row r="67" spans="1:2" ht="15" customHeight="1">
      <c r="A67" s="106"/>
      <c r="B67" s="106"/>
    </row>
    <row r="68" spans="1:2" ht="15" customHeight="1">
      <c r="A68" s="106"/>
      <c r="B68" s="106"/>
    </row>
    <row r="69" spans="1:2" ht="15" customHeight="1">
      <c r="A69" s="106"/>
      <c r="B69" s="106"/>
    </row>
    <row r="70" spans="1:2" ht="15" customHeight="1">
      <c r="A70" s="106"/>
      <c r="B70" s="106"/>
    </row>
    <row r="71" spans="1:2" ht="15" customHeight="1">
      <c r="A71" s="106"/>
      <c r="B71" s="106"/>
    </row>
    <row r="72" spans="1:2" ht="15" customHeight="1">
      <c r="A72" s="106"/>
      <c r="B72" s="106"/>
    </row>
    <row r="73" spans="1:2" ht="15" customHeight="1">
      <c r="A73" s="106"/>
      <c r="B73" s="106"/>
    </row>
    <row r="74" spans="1:2" ht="15" customHeight="1">
      <c r="A74" s="106"/>
      <c r="B74" s="106"/>
    </row>
    <row r="75" spans="1:2" ht="15" customHeight="1">
      <c r="A75" s="106"/>
      <c r="B75" s="106"/>
    </row>
    <row r="76" spans="1:2" ht="15" customHeight="1">
      <c r="A76" s="106"/>
      <c r="B76" s="106"/>
    </row>
    <row r="77" spans="1:2" ht="15" customHeight="1">
      <c r="A77" s="106"/>
      <c r="B77" s="106"/>
    </row>
    <row r="78" spans="1:2" ht="15" customHeight="1">
      <c r="A78" s="106"/>
      <c r="B78" s="106"/>
    </row>
    <row r="79" spans="1:2" ht="15" customHeight="1">
      <c r="A79" s="106"/>
      <c r="B79" s="106"/>
    </row>
    <row r="80" spans="1:2" ht="15" customHeight="1">
      <c r="A80" s="106"/>
      <c r="B80" s="106"/>
    </row>
    <row r="81" spans="1:2" ht="15" customHeight="1">
      <c r="A81" s="106"/>
      <c r="B81" s="106"/>
    </row>
    <row r="82" spans="1:2" ht="15" customHeight="1">
      <c r="A82" s="106"/>
      <c r="B82" s="106"/>
    </row>
    <row r="83" spans="1:2" ht="15" customHeight="1">
      <c r="A83" s="106"/>
      <c r="B83" s="106"/>
    </row>
    <row r="84" spans="1:2" ht="15" customHeight="1">
      <c r="A84" s="106"/>
      <c r="B84" s="106"/>
    </row>
    <row r="85" spans="1:2" ht="15" customHeight="1">
      <c r="A85" s="106"/>
      <c r="B85" s="106"/>
    </row>
    <row r="86" spans="1:2" ht="15" customHeight="1">
      <c r="A86" s="106"/>
      <c r="B86" s="106"/>
    </row>
    <row r="87" spans="1:2" ht="15" customHeight="1">
      <c r="A87" s="106"/>
      <c r="B87" s="106"/>
    </row>
    <row r="88" spans="1:2" ht="15" customHeight="1">
      <c r="A88" s="106"/>
      <c r="B88" s="106"/>
    </row>
    <row r="89" spans="1:2" ht="15" customHeight="1">
      <c r="A89" s="106"/>
      <c r="B89" s="106"/>
    </row>
    <row r="90" spans="1:2" ht="15" customHeight="1">
      <c r="A90" s="106"/>
      <c r="B90" s="106"/>
    </row>
    <row r="91" spans="1:2" ht="15" customHeight="1">
      <c r="A91" s="106"/>
      <c r="B91" s="106"/>
    </row>
    <row r="92" spans="1:2" ht="15" customHeight="1">
      <c r="A92" s="106"/>
      <c r="B92" s="106"/>
    </row>
    <row r="93" spans="1:2" ht="15" customHeight="1">
      <c r="A93" s="106"/>
      <c r="B93" s="106"/>
    </row>
    <row r="94" spans="1:2" ht="15" customHeight="1">
      <c r="A94" s="106"/>
      <c r="B94" s="106"/>
    </row>
    <row r="95" spans="1:2" ht="15" customHeight="1">
      <c r="A95" s="106"/>
      <c r="B95" s="106"/>
    </row>
    <row r="96" spans="1:2" ht="15" customHeight="1">
      <c r="A96" s="106"/>
      <c r="B96" s="106"/>
    </row>
    <row r="97" spans="1:2" ht="15" customHeight="1">
      <c r="A97" s="106"/>
      <c r="B97" s="106"/>
    </row>
    <row r="98" spans="1:2" ht="15" customHeight="1">
      <c r="A98" s="106"/>
      <c r="B98" s="106"/>
    </row>
    <row r="99" spans="1:2" ht="15" customHeight="1">
      <c r="A99" s="106"/>
      <c r="B99" s="106"/>
    </row>
    <row r="100" spans="1:2" ht="15" customHeight="1">
      <c r="A100" s="106"/>
      <c r="B100" s="106"/>
    </row>
    <row r="101" spans="1:2" ht="15" customHeight="1">
      <c r="A101" s="106"/>
      <c r="B101" s="106"/>
    </row>
    <row r="102" spans="1:2" ht="15" customHeight="1">
      <c r="A102" s="106"/>
      <c r="B102" s="106"/>
    </row>
    <row r="103" spans="1:2" ht="15" customHeight="1">
      <c r="A103" s="106"/>
      <c r="B103" s="106"/>
    </row>
    <row r="104" spans="1:2" ht="15" customHeight="1">
      <c r="A104" s="106"/>
      <c r="B104" s="106"/>
    </row>
    <row r="105" spans="1:2" ht="15" customHeight="1">
      <c r="A105" s="106"/>
      <c r="B105" s="106"/>
    </row>
    <row r="106" spans="1:2" ht="15" customHeight="1">
      <c r="A106" s="106"/>
      <c r="B106" s="106"/>
    </row>
    <row r="107" spans="1:2" ht="15" customHeight="1">
      <c r="A107" s="106"/>
      <c r="B107" s="106"/>
    </row>
    <row r="108" spans="1:2" ht="15" customHeight="1">
      <c r="A108" s="106"/>
      <c r="B108" s="106"/>
    </row>
    <row r="109" spans="1:2" ht="15" customHeight="1">
      <c r="A109" s="106"/>
      <c r="B109" s="106"/>
    </row>
    <row r="110" spans="1:2" ht="15" customHeight="1">
      <c r="A110" s="106"/>
      <c r="B110" s="106"/>
    </row>
    <row r="111" spans="1:2" ht="15" customHeight="1">
      <c r="A111" s="106"/>
      <c r="B111" s="106"/>
    </row>
    <row r="112" spans="1:2" ht="15" customHeight="1">
      <c r="A112" s="106"/>
      <c r="B112" s="106"/>
    </row>
    <row r="113" spans="1:2" ht="15" customHeight="1">
      <c r="A113" s="106"/>
      <c r="B113" s="106"/>
    </row>
    <row r="114" spans="1:2" ht="15" customHeight="1">
      <c r="A114" s="106"/>
      <c r="B114" s="106"/>
    </row>
    <row r="115" spans="1:2" ht="15" customHeight="1">
      <c r="A115" s="106"/>
      <c r="B115" s="106"/>
    </row>
    <row r="116" spans="1:2" ht="15" customHeight="1">
      <c r="A116" s="106"/>
      <c r="B116" s="106"/>
    </row>
    <row r="117" spans="1:2" ht="15" customHeight="1">
      <c r="A117" s="106"/>
      <c r="B117" s="106"/>
    </row>
    <row r="118" spans="1:2" ht="15" customHeight="1">
      <c r="A118" s="106"/>
      <c r="B118" s="106"/>
    </row>
    <row r="119" spans="1:2" ht="15" customHeight="1">
      <c r="A119" s="106"/>
      <c r="B119" s="106"/>
    </row>
    <row r="120" spans="1:2" ht="15" customHeight="1">
      <c r="A120" s="106"/>
      <c r="B120" s="106"/>
    </row>
    <row r="121" spans="1:2" ht="15" customHeight="1">
      <c r="A121" s="106"/>
      <c r="B121" s="106"/>
    </row>
    <row r="122" spans="1:2" ht="15" customHeight="1">
      <c r="A122" s="106"/>
      <c r="B122" s="106"/>
    </row>
    <row r="123" spans="1:2" ht="15" customHeight="1">
      <c r="A123" s="106"/>
      <c r="B123" s="106"/>
    </row>
    <row r="124" spans="1:2" ht="15" customHeight="1">
      <c r="A124" s="106"/>
      <c r="B124" s="106"/>
    </row>
    <row r="125" spans="1:2" ht="15" customHeight="1">
      <c r="A125" s="106"/>
      <c r="B125" s="106"/>
    </row>
    <row r="126" spans="1:2" ht="15" customHeight="1">
      <c r="A126" s="106"/>
      <c r="B126" s="106"/>
    </row>
    <row r="127" spans="1:2" ht="15" customHeight="1">
      <c r="A127" s="106"/>
      <c r="B127" s="106"/>
    </row>
    <row r="128" spans="1:2" ht="15" customHeight="1">
      <c r="A128" s="106"/>
      <c r="B128" s="106"/>
    </row>
    <row r="129" spans="1:2" ht="15" customHeight="1">
      <c r="A129" s="106"/>
      <c r="B129" s="106"/>
    </row>
    <row r="130" spans="1:2" ht="15" customHeight="1">
      <c r="A130" s="106"/>
      <c r="B130" s="106"/>
    </row>
    <row r="131" spans="1:2" ht="15" customHeight="1">
      <c r="A131" s="106"/>
      <c r="B131" s="106"/>
    </row>
    <row r="132" spans="1:2" ht="15" customHeight="1">
      <c r="A132" s="106"/>
      <c r="B132" s="106"/>
    </row>
    <row r="133" spans="1:2" ht="15" customHeight="1">
      <c r="A133" s="106"/>
      <c r="B133" s="106"/>
    </row>
    <row r="134" spans="1:2" ht="15" customHeight="1">
      <c r="A134" s="106"/>
      <c r="B134" s="106"/>
    </row>
    <row r="135" spans="1:2" ht="15" customHeight="1">
      <c r="A135" s="106"/>
      <c r="B135" s="106"/>
    </row>
    <row r="136" spans="1:2" ht="15" customHeight="1">
      <c r="A136" s="106"/>
      <c r="B136" s="106"/>
    </row>
    <row r="137" spans="1:2" ht="15" customHeight="1">
      <c r="A137" s="106"/>
      <c r="B137" s="106"/>
    </row>
    <row r="138" spans="1:2" ht="15" customHeight="1">
      <c r="A138" s="106"/>
      <c r="B138" s="106"/>
    </row>
    <row r="139" spans="1:2" ht="15" customHeight="1">
      <c r="A139" s="106"/>
      <c r="B139" s="106"/>
    </row>
    <row r="140" spans="1:2" ht="15" customHeight="1">
      <c r="A140" s="106"/>
      <c r="B140" s="106"/>
    </row>
    <row r="141" spans="1:2" ht="15" customHeight="1">
      <c r="A141" s="106"/>
      <c r="B141" s="106"/>
    </row>
    <row r="142" spans="1:2" ht="15" customHeight="1">
      <c r="A142" s="106"/>
      <c r="B142" s="106"/>
    </row>
    <row r="143" spans="1:2" ht="15" customHeight="1">
      <c r="A143" s="106"/>
      <c r="B143" s="106"/>
    </row>
    <row r="144" spans="1:2" ht="15" customHeight="1">
      <c r="A144" s="106"/>
      <c r="B144" s="106"/>
    </row>
    <row r="145" spans="1:2" ht="15" customHeight="1">
      <c r="A145" s="106"/>
      <c r="B145" s="106"/>
    </row>
    <row r="146" spans="1:2" ht="15" customHeight="1">
      <c r="A146" s="106"/>
      <c r="B146" s="106"/>
    </row>
    <row r="147" spans="1:2" ht="15" customHeight="1">
      <c r="A147" s="106"/>
      <c r="B147" s="106"/>
    </row>
    <row r="148" spans="1:2" ht="15" customHeight="1">
      <c r="A148" s="106"/>
      <c r="B148" s="106"/>
    </row>
    <row r="149" spans="1:2" ht="15" customHeight="1">
      <c r="A149" s="106"/>
      <c r="B149" s="106"/>
    </row>
    <row r="150" spans="1:2" ht="15" customHeight="1">
      <c r="A150" s="106"/>
      <c r="B150" s="106"/>
    </row>
    <row r="151" spans="1:2" ht="15" customHeight="1">
      <c r="A151" s="106"/>
      <c r="B151" s="106"/>
    </row>
    <row r="152" spans="1:2" ht="15" customHeight="1">
      <c r="A152" s="106"/>
      <c r="B152" s="106"/>
    </row>
    <row r="153" spans="1:2" ht="15" customHeight="1">
      <c r="A153" s="106"/>
      <c r="B153" s="106"/>
    </row>
    <row r="154" spans="1:2" ht="15" customHeight="1">
      <c r="A154" s="106"/>
      <c r="B154" s="106"/>
    </row>
    <row r="155" spans="1:2" ht="15" customHeight="1">
      <c r="A155" s="106"/>
      <c r="B155" s="106"/>
    </row>
    <row r="156" spans="1:2" ht="15" customHeight="1">
      <c r="A156" s="106"/>
      <c r="B156" s="106"/>
    </row>
    <row r="157" spans="1:2" ht="15" customHeight="1">
      <c r="A157" s="106"/>
      <c r="B157" s="106"/>
    </row>
    <row r="158" spans="1:2" ht="15" customHeight="1">
      <c r="A158" s="106"/>
      <c r="B158" s="106"/>
    </row>
    <row r="159" spans="1:2" ht="15" customHeight="1">
      <c r="A159" s="106"/>
      <c r="B159" s="106"/>
    </row>
    <row r="160" spans="1:2" ht="15" customHeight="1">
      <c r="A160" s="106"/>
      <c r="B160" s="106"/>
    </row>
    <row r="161" spans="1:2" ht="15" customHeight="1">
      <c r="A161" s="106"/>
      <c r="B161" s="106"/>
    </row>
    <row r="162" spans="1:2" ht="15" customHeight="1">
      <c r="A162" s="106"/>
      <c r="B162" s="106"/>
    </row>
    <row r="163" spans="1:2" ht="15" customHeight="1">
      <c r="A163" s="106"/>
      <c r="B163" s="106"/>
    </row>
    <row r="164" spans="1:2" ht="15" customHeight="1">
      <c r="A164" s="106"/>
      <c r="B164" s="106"/>
    </row>
    <row r="165" spans="1:2" ht="15" customHeight="1">
      <c r="A165" s="106"/>
      <c r="B165" s="106"/>
    </row>
    <row r="166" spans="1:2" ht="15" customHeight="1">
      <c r="A166" s="106"/>
      <c r="B166" s="106"/>
    </row>
    <row r="167" spans="1:2" ht="15" customHeight="1">
      <c r="A167" s="106"/>
      <c r="B167" s="106"/>
    </row>
    <row r="168" spans="1:2" ht="15" customHeight="1">
      <c r="A168" s="106"/>
      <c r="B168" s="106"/>
    </row>
    <row r="169" spans="1:2" ht="15" customHeight="1">
      <c r="A169" s="106"/>
      <c r="B169" s="106"/>
    </row>
    <row r="170" spans="1:2" ht="15" customHeight="1">
      <c r="A170" s="106"/>
      <c r="B170" s="106"/>
    </row>
    <row r="171" spans="1:2" ht="15" customHeight="1">
      <c r="A171" s="106"/>
      <c r="B171" s="106"/>
    </row>
    <row r="172" spans="1:2" ht="15" customHeight="1">
      <c r="A172" s="106"/>
      <c r="B172" s="106"/>
    </row>
    <row r="173" spans="1:2" ht="15" customHeight="1">
      <c r="A173" s="106"/>
      <c r="B173" s="106"/>
    </row>
    <row r="174" spans="1:2" ht="15" customHeight="1">
      <c r="A174" s="106"/>
      <c r="B174" s="106"/>
    </row>
    <row r="175" spans="1:2" ht="15" customHeight="1">
      <c r="A175" s="106"/>
      <c r="B175" s="106"/>
    </row>
    <row r="176" spans="1:2" ht="15" customHeight="1">
      <c r="A176" s="106"/>
      <c r="B176" s="106"/>
    </row>
    <row r="177" spans="1:2" ht="15" customHeight="1">
      <c r="A177" s="106"/>
      <c r="B177" s="106"/>
    </row>
    <row r="178" spans="1:2" ht="15" customHeight="1">
      <c r="A178" s="106"/>
      <c r="B178" s="106"/>
    </row>
    <row r="179" spans="1:2" ht="15" customHeight="1">
      <c r="A179" s="106"/>
      <c r="B179" s="106"/>
    </row>
    <row r="180" spans="1:2" ht="15" customHeight="1">
      <c r="A180" s="106"/>
      <c r="B180" s="106"/>
    </row>
    <row r="181" spans="1:2" ht="15" customHeight="1">
      <c r="A181" s="106"/>
      <c r="B181" s="106"/>
    </row>
    <row r="182" spans="1:2" ht="15" customHeight="1">
      <c r="A182" s="106"/>
      <c r="B182" s="106"/>
    </row>
    <row r="183" spans="1:2" ht="15" customHeight="1">
      <c r="A183" s="106"/>
      <c r="B183" s="106"/>
    </row>
    <row r="184" spans="1:2" ht="15" customHeight="1">
      <c r="A184" s="106"/>
      <c r="B184" s="106"/>
    </row>
    <row r="185" spans="1:2" ht="15" customHeight="1">
      <c r="A185" s="106"/>
      <c r="B185" s="106"/>
    </row>
    <row r="186" spans="1:2" ht="15" customHeight="1">
      <c r="A186" s="106"/>
      <c r="B186" s="106"/>
    </row>
    <row r="187" spans="1:2" ht="15" customHeight="1">
      <c r="A187" s="106"/>
      <c r="B187" s="106"/>
    </row>
    <row r="188" spans="1:2" ht="15" customHeight="1">
      <c r="A188" s="106"/>
      <c r="B188" s="106"/>
    </row>
    <row r="189" spans="1:2" ht="15" customHeight="1">
      <c r="A189" s="106"/>
      <c r="B189" s="106"/>
    </row>
    <row r="190" spans="1:2" ht="15" customHeight="1">
      <c r="A190" s="106"/>
      <c r="B190" s="106"/>
    </row>
    <row r="191" spans="1:2" ht="15" customHeight="1">
      <c r="A191" s="106"/>
      <c r="B191" s="106"/>
    </row>
    <row r="192" spans="1:2" ht="15" customHeight="1">
      <c r="A192" s="106"/>
      <c r="B192" s="106"/>
    </row>
    <row r="193" spans="1:2" ht="15" customHeight="1">
      <c r="A193" s="106"/>
      <c r="B193" s="106"/>
    </row>
    <row r="194" spans="1:2" ht="15" customHeight="1">
      <c r="A194" s="106"/>
      <c r="B194" s="106"/>
    </row>
    <row r="195" spans="1:2" ht="15" customHeight="1">
      <c r="A195" s="106"/>
      <c r="B195" s="106"/>
    </row>
    <row r="196" spans="1:2" ht="15" customHeight="1">
      <c r="A196" s="106"/>
      <c r="B196" s="106"/>
    </row>
    <row r="197" spans="1:2" ht="15" customHeight="1">
      <c r="A197" s="106"/>
      <c r="B197" s="106"/>
    </row>
    <row r="198" spans="1:2" ht="15" customHeight="1">
      <c r="A198" s="106"/>
      <c r="B198" s="106"/>
    </row>
    <row r="199" spans="1:2" ht="15" customHeight="1">
      <c r="A199" s="106"/>
      <c r="B199" s="106"/>
    </row>
    <row r="200" spans="1:2" ht="15" customHeight="1">
      <c r="A200" s="106"/>
      <c r="B200" s="106"/>
    </row>
    <row r="201" spans="1:2" ht="15" customHeight="1">
      <c r="A201" s="106"/>
      <c r="B201" s="106"/>
    </row>
    <row r="202" spans="1:2" ht="15" customHeight="1">
      <c r="A202" s="106"/>
      <c r="B202" s="106"/>
    </row>
    <row r="203" spans="1:2" ht="15" customHeight="1">
      <c r="A203" s="106"/>
      <c r="B203" s="106"/>
    </row>
    <row r="204" spans="1:2" ht="15" customHeight="1">
      <c r="A204" s="106"/>
      <c r="B204" s="106"/>
    </row>
    <row r="205" spans="1:2" ht="15" customHeight="1">
      <c r="A205" s="106"/>
      <c r="B205" s="106"/>
    </row>
    <row r="206" spans="1:2" ht="15" customHeight="1">
      <c r="A206" s="106"/>
      <c r="B206" s="106"/>
    </row>
    <row r="207" spans="1:2" ht="15" customHeight="1">
      <c r="A207" s="106"/>
      <c r="B207" s="106"/>
    </row>
    <row r="208" spans="1:2" ht="15" customHeight="1">
      <c r="A208" s="106"/>
      <c r="B208" s="106"/>
    </row>
    <row r="209" spans="1:2" ht="15" customHeight="1">
      <c r="A209" s="106"/>
      <c r="B209" s="106"/>
    </row>
    <row r="210" spans="1:2" ht="15" customHeight="1">
      <c r="A210" s="106"/>
      <c r="B210" s="106"/>
    </row>
    <row r="211" spans="1:2" ht="15" customHeight="1">
      <c r="A211" s="106"/>
      <c r="B211" s="106"/>
    </row>
    <row r="212" spans="1:2" ht="15" customHeight="1">
      <c r="A212" s="106"/>
      <c r="B212" s="106"/>
    </row>
    <row r="213" spans="1:2" ht="15" customHeight="1">
      <c r="A213" s="106"/>
      <c r="B213" s="106"/>
    </row>
    <row r="214" spans="1:2" ht="15" customHeight="1">
      <c r="A214" s="106"/>
      <c r="B214" s="106"/>
    </row>
    <row r="215" spans="1:2" ht="15" customHeight="1">
      <c r="A215" s="106"/>
      <c r="B215" s="106"/>
    </row>
    <row r="216" spans="1:2" ht="15" customHeight="1">
      <c r="A216" s="106"/>
      <c r="B216" s="106"/>
    </row>
    <row r="217" spans="1:2" ht="15" customHeight="1">
      <c r="A217" s="106"/>
      <c r="B217" s="106"/>
    </row>
    <row r="218" spans="1:2" ht="15" customHeight="1">
      <c r="A218" s="106"/>
      <c r="B218" s="106"/>
    </row>
    <row r="219" spans="1:2" ht="15" customHeight="1">
      <c r="A219" s="106"/>
      <c r="B219" s="106"/>
    </row>
    <row r="220" spans="1:2" ht="15" customHeight="1">
      <c r="A220" s="106"/>
      <c r="B220" s="106"/>
    </row>
    <row r="221" spans="1:2" ht="15" customHeight="1">
      <c r="A221" s="106"/>
      <c r="B221" s="106"/>
    </row>
    <row r="222" spans="1:2" ht="15" customHeight="1">
      <c r="A222" s="106"/>
      <c r="B222" s="106"/>
    </row>
    <row r="223" spans="1:2" ht="15" customHeight="1">
      <c r="A223" s="106"/>
      <c r="B223" s="106"/>
    </row>
    <row r="224" spans="1:2" ht="15" customHeight="1">
      <c r="A224" s="106"/>
      <c r="B224" s="106"/>
    </row>
    <row r="225" spans="1:2" ht="15" customHeight="1">
      <c r="A225" s="106"/>
      <c r="B225" s="106"/>
    </row>
    <row r="226" spans="1:2" ht="15" customHeight="1">
      <c r="A226" s="106"/>
      <c r="B226" s="106"/>
    </row>
    <row r="227" spans="1:2" ht="15" customHeight="1">
      <c r="A227" s="106"/>
      <c r="B227" s="106"/>
    </row>
    <row r="228" spans="1:2" ht="15" customHeight="1">
      <c r="A228" s="106"/>
      <c r="B228" s="106"/>
    </row>
    <row r="229" spans="1:2" ht="15" customHeight="1">
      <c r="A229" s="106"/>
      <c r="B229" s="106"/>
    </row>
    <row r="230" spans="1:2" ht="15" customHeight="1">
      <c r="A230" s="106"/>
      <c r="B230" s="106"/>
    </row>
    <row r="231" spans="1:2" ht="15" customHeight="1">
      <c r="A231" s="106"/>
      <c r="B231" s="106"/>
    </row>
    <row r="232" spans="1:2" ht="15" customHeight="1">
      <c r="A232" s="106"/>
      <c r="B232" s="106"/>
    </row>
    <row r="233" spans="1:2" ht="15" customHeight="1">
      <c r="A233" s="106"/>
      <c r="B233" s="106"/>
    </row>
    <row r="234" spans="1:2" ht="15" customHeight="1">
      <c r="A234" s="106"/>
      <c r="B234" s="106"/>
    </row>
    <row r="235" spans="1:2" ht="15" customHeight="1">
      <c r="A235" s="106"/>
      <c r="B235" s="106"/>
    </row>
    <row r="236" spans="1:2" ht="15" customHeight="1">
      <c r="A236" s="106"/>
      <c r="B236" s="106"/>
    </row>
    <row r="237" spans="1:2" ht="15" customHeight="1">
      <c r="A237" s="106"/>
      <c r="B237" s="106"/>
    </row>
    <row r="238" spans="1:2" ht="15" customHeight="1">
      <c r="A238" s="106"/>
      <c r="B238" s="106"/>
    </row>
    <row r="239" spans="1:2" ht="15" customHeight="1">
      <c r="A239" s="106"/>
      <c r="B239" s="106"/>
    </row>
    <row r="240" spans="1:2" ht="15" customHeight="1">
      <c r="A240" s="106"/>
      <c r="B240" s="106"/>
    </row>
    <row r="241" spans="1:2" ht="15" customHeight="1">
      <c r="A241" s="106"/>
      <c r="B241" s="106"/>
    </row>
    <row r="242" spans="1:2" ht="15" customHeight="1">
      <c r="A242" s="106"/>
      <c r="B242" s="106"/>
    </row>
    <row r="243" spans="1:2" ht="15" customHeight="1">
      <c r="A243" s="106"/>
      <c r="B243" s="106"/>
    </row>
    <row r="244" spans="1:2" ht="15" customHeight="1">
      <c r="A244" s="106"/>
      <c r="B244" s="106"/>
    </row>
    <row r="245" spans="1:2" ht="15" customHeight="1">
      <c r="A245" s="106"/>
      <c r="B245" s="106"/>
    </row>
    <row r="246" spans="1:2" ht="15" customHeight="1">
      <c r="A246" s="106"/>
      <c r="B246" s="106"/>
    </row>
    <row r="247" spans="1:2" ht="15" customHeight="1">
      <c r="A247" s="106"/>
      <c r="B247" s="106"/>
    </row>
    <row r="248" spans="1:2" ht="15" customHeight="1">
      <c r="A248" s="106"/>
      <c r="B248" s="106"/>
    </row>
    <row r="249" spans="1:2" ht="15" customHeight="1">
      <c r="A249" s="106"/>
      <c r="B249" s="106"/>
    </row>
    <row r="250" spans="1:2" ht="15" customHeight="1">
      <c r="A250" s="106"/>
      <c r="B250" s="106"/>
    </row>
    <row r="251" spans="1:2" ht="15" customHeight="1">
      <c r="A251" s="106"/>
      <c r="B251" s="106"/>
    </row>
    <row r="252" spans="1:2" ht="15" customHeight="1">
      <c r="A252" s="106"/>
      <c r="B252" s="106"/>
    </row>
    <row r="253" spans="1:2" ht="15" customHeight="1">
      <c r="A253" s="106"/>
      <c r="B253" s="106"/>
    </row>
    <row r="254" spans="1:2" ht="15" customHeight="1">
      <c r="A254" s="106"/>
      <c r="B254" s="106"/>
    </row>
    <row r="255" spans="1:2" ht="15" customHeight="1">
      <c r="A255" s="106"/>
      <c r="B255" s="106"/>
    </row>
    <row r="256" spans="1:2" ht="15" customHeight="1">
      <c r="A256" s="106"/>
      <c r="B256" s="106"/>
    </row>
    <row r="257" spans="1:2" ht="15" customHeight="1">
      <c r="A257" s="106"/>
      <c r="B257" s="106"/>
    </row>
    <row r="258" spans="1:2" ht="15" customHeight="1">
      <c r="A258" s="106"/>
      <c r="B258" s="106"/>
    </row>
    <row r="259" spans="1:2" ht="15" customHeight="1">
      <c r="A259" s="106"/>
      <c r="B259" s="106"/>
    </row>
    <row r="260" spans="1:2" ht="15" customHeight="1">
      <c r="A260" s="106"/>
      <c r="B260" s="106"/>
    </row>
    <row r="261" spans="1:2" ht="15" customHeight="1">
      <c r="A261" s="106"/>
      <c r="B261" s="106"/>
    </row>
    <row r="262" spans="1:2" ht="15" customHeight="1">
      <c r="A262" s="106"/>
      <c r="B262" s="106"/>
    </row>
    <row r="263" spans="1:2" ht="15" customHeight="1">
      <c r="A263" s="106"/>
      <c r="B263" s="106"/>
    </row>
    <row r="264" spans="1:2" ht="15" customHeight="1">
      <c r="A264" s="106"/>
      <c r="B264" s="106"/>
    </row>
    <row r="265" spans="1:2" ht="15" customHeight="1">
      <c r="A265" s="106"/>
      <c r="B265" s="106"/>
    </row>
    <row r="266" spans="1:2" ht="15" customHeight="1">
      <c r="A266" s="106"/>
      <c r="B266" s="106"/>
    </row>
    <row r="267" spans="1:2" ht="15" customHeight="1">
      <c r="A267" s="106"/>
      <c r="B267" s="106"/>
    </row>
    <row r="268" spans="1:2" ht="15" customHeight="1">
      <c r="A268" s="106"/>
      <c r="B268" s="106"/>
    </row>
    <row r="269" spans="1:2" ht="15" customHeight="1">
      <c r="A269" s="106"/>
      <c r="B269" s="106"/>
    </row>
    <row r="270" spans="1:2" ht="15" customHeight="1">
      <c r="A270" s="106"/>
      <c r="B270" s="106"/>
    </row>
    <row r="271" spans="1:2" ht="15" customHeight="1">
      <c r="A271" s="106"/>
      <c r="B271" s="106"/>
    </row>
    <row r="272" spans="1:2" ht="15" customHeight="1">
      <c r="A272" s="106"/>
      <c r="B272" s="106"/>
    </row>
    <row r="273" spans="1:2" ht="15" customHeight="1">
      <c r="A273" s="106"/>
      <c r="B273" s="106"/>
    </row>
    <row r="274" spans="1:2" ht="15" customHeight="1">
      <c r="A274" s="106"/>
      <c r="B274" s="106"/>
    </row>
    <row r="275" spans="1:2" ht="15" customHeight="1">
      <c r="A275" s="106"/>
      <c r="B275" s="106"/>
    </row>
    <row r="276" spans="1:2" ht="15" customHeight="1">
      <c r="A276" s="106"/>
      <c r="B276" s="106"/>
    </row>
    <row r="277" spans="1:2" ht="15" customHeight="1">
      <c r="A277" s="106"/>
      <c r="B277" s="106"/>
    </row>
    <row r="278" spans="1:2" ht="15" customHeight="1">
      <c r="A278" s="106"/>
      <c r="B278" s="106"/>
    </row>
    <row r="279" spans="1:2" ht="15" customHeight="1">
      <c r="A279" s="106"/>
      <c r="B279" s="106"/>
    </row>
    <row r="280" spans="1:2" ht="15" customHeight="1">
      <c r="A280" s="106"/>
      <c r="B280" s="106"/>
    </row>
    <row r="281" spans="1:2" ht="15" customHeight="1">
      <c r="A281" s="106"/>
      <c r="B281" s="106"/>
    </row>
    <row r="282" spans="1:2" ht="15" customHeight="1">
      <c r="A282" s="106"/>
      <c r="B282" s="106"/>
    </row>
    <row r="283" spans="1:2" ht="15" customHeight="1">
      <c r="A283" s="106"/>
      <c r="B283" s="106"/>
    </row>
    <row r="284" spans="1:2" ht="15" customHeight="1">
      <c r="A284" s="106"/>
      <c r="B284" s="106"/>
    </row>
    <row r="285" spans="1:2" ht="15" customHeight="1">
      <c r="A285" s="106"/>
      <c r="B285" s="106"/>
    </row>
    <row r="286" spans="1:2" ht="15" customHeight="1">
      <c r="A286" s="106"/>
      <c r="B286" s="106"/>
    </row>
    <row r="287" spans="1:2" ht="15" customHeight="1">
      <c r="A287" s="106"/>
      <c r="B287" s="106"/>
    </row>
    <row r="288" spans="1:2" ht="15" customHeight="1">
      <c r="A288" s="106"/>
      <c r="B288" s="106"/>
    </row>
    <row r="289" spans="1:2" ht="15" customHeight="1">
      <c r="A289" s="106"/>
      <c r="B289" s="106"/>
    </row>
    <row r="290" spans="1:2" ht="15" customHeight="1">
      <c r="A290" s="106"/>
      <c r="B290" s="106"/>
    </row>
    <row r="291" spans="1:2" ht="15" customHeight="1">
      <c r="A291" s="106"/>
      <c r="B291" s="106"/>
    </row>
    <row r="292" spans="1:2" ht="15" customHeight="1">
      <c r="A292" s="106"/>
      <c r="B292" s="106"/>
    </row>
    <row r="293" spans="1:2" ht="15" customHeight="1">
      <c r="A293" s="106"/>
      <c r="B293" s="106"/>
    </row>
    <row r="294" spans="1:2" ht="15" customHeight="1">
      <c r="A294" s="106"/>
      <c r="B294" s="106"/>
    </row>
    <row r="295" spans="1:2" ht="15" customHeight="1">
      <c r="A295" s="106"/>
      <c r="B295" s="106"/>
    </row>
    <row r="296" spans="1:2" ht="15" customHeight="1">
      <c r="A296" s="106"/>
      <c r="B296" s="106"/>
    </row>
    <row r="297" spans="1:2" ht="15" customHeight="1">
      <c r="A297" s="106"/>
      <c r="B297" s="106"/>
    </row>
    <row r="298" spans="1:2" ht="15" customHeight="1">
      <c r="A298" s="106"/>
      <c r="B298" s="106"/>
    </row>
    <row r="299" spans="1:2" ht="15" customHeight="1">
      <c r="A299" s="106"/>
      <c r="B299" s="106"/>
    </row>
    <row r="300" spans="1:2" ht="15" customHeight="1">
      <c r="A300" s="106"/>
      <c r="B300" s="106"/>
    </row>
    <row r="301" spans="1:2" ht="15" customHeight="1">
      <c r="A301" s="106"/>
      <c r="B301" s="106"/>
    </row>
    <row r="302" spans="1:2" ht="15" customHeight="1">
      <c r="A302" s="106"/>
      <c r="B302" s="106"/>
    </row>
    <row r="303" spans="1:2" ht="15" customHeight="1">
      <c r="A303" s="106"/>
      <c r="B303" s="106"/>
    </row>
    <row r="304" spans="1:2" ht="15" customHeight="1">
      <c r="A304" s="106"/>
      <c r="B304" s="106"/>
    </row>
    <row r="305" spans="1:2" ht="15" customHeight="1">
      <c r="A305" s="106"/>
      <c r="B305" s="106"/>
    </row>
    <row r="306" spans="1:2" ht="15" customHeight="1">
      <c r="A306" s="106"/>
      <c r="B306" s="106"/>
    </row>
    <row r="307" spans="1:2" ht="15" customHeight="1">
      <c r="A307" s="106"/>
      <c r="B307" s="106"/>
    </row>
    <row r="308" spans="1:2" ht="15" customHeight="1">
      <c r="A308" s="106"/>
      <c r="B308" s="106"/>
    </row>
    <row r="309" spans="1:2" ht="15" customHeight="1">
      <c r="A309" s="106"/>
      <c r="B309" s="106"/>
    </row>
    <row r="310" spans="1:2" ht="15" customHeight="1">
      <c r="A310" s="106"/>
      <c r="B310" s="106"/>
    </row>
    <row r="311" spans="1:2" ht="15" customHeight="1">
      <c r="A311" s="106"/>
      <c r="B311" s="106"/>
    </row>
    <row r="312" spans="1:2" ht="15" customHeight="1">
      <c r="A312" s="106"/>
      <c r="B312" s="106"/>
    </row>
    <row r="313" spans="1:2" ht="15" customHeight="1">
      <c r="A313" s="106"/>
      <c r="B313" s="106"/>
    </row>
    <row r="314" spans="1:2" ht="15" customHeight="1">
      <c r="A314" s="106"/>
      <c r="B314" s="106"/>
    </row>
    <row r="315" spans="1:2" ht="15" customHeight="1">
      <c r="A315" s="106"/>
      <c r="B315" s="106"/>
    </row>
    <row r="316" spans="1:2" ht="15" customHeight="1">
      <c r="A316" s="106"/>
      <c r="B316" s="106"/>
    </row>
    <row r="317" spans="1:2" ht="15" customHeight="1">
      <c r="A317" s="106"/>
      <c r="B317" s="106"/>
    </row>
    <row r="318" spans="1:2" ht="15" customHeight="1">
      <c r="A318" s="106"/>
      <c r="B318" s="106"/>
    </row>
    <row r="319" spans="1:2" ht="15" customHeight="1">
      <c r="A319" s="106"/>
      <c r="B319" s="106"/>
    </row>
    <row r="320" spans="1:2" ht="15" customHeight="1">
      <c r="A320" s="106"/>
      <c r="B320" s="106"/>
    </row>
    <row r="321" spans="1:2" ht="15" customHeight="1">
      <c r="A321" s="106"/>
      <c r="B321" s="106"/>
    </row>
    <row r="322" spans="1:2" ht="15" customHeight="1">
      <c r="A322" s="106"/>
      <c r="B322" s="106"/>
    </row>
    <row r="323" spans="1:2" ht="15" customHeight="1">
      <c r="A323" s="106"/>
      <c r="B323" s="106"/>
    </row>
    <row r="324" spans="1:2" ht="15" customHeight="1">
      <c r="A324" s="106"/>
      <c r="B324" s="106"/>
    </row>
    <row r="325" spans="1:2" ht="15" customHeight="1">
      <c r="A325" s="106"/>
      <c r="B325" s="106"/>
    </row>
    <row r="326" spans="1:2" ht="15" customHeight="1">
      <c r="A326" s="106"/>
      <c r="B326" s="106"/>
    </row>
    <row r="327" spans="1:2" ht="15" customHeight="1">
      <c r="A327" s="106"/>
      <c r="B327" s="106"/>
    </row>
    <row r="328" spans="1:2" ht="15" customHeight="1">
      <c r="A328" s="106"/>
      <c r="B328" s="106"/>
    </row>
    <row r="329" spans="1:2" ht="15" customHeight="1">
      <c r="A329" s="106"/>
      <c r="B329" s="106"/>
    </row>
    <row r="330" spans="1:2" ht="15" customHeight="1">
      <c r="A330" s="106"/>
      <c r="B330" s="106"/>
    </row>
    <row r="331" spans="1:2" ht="15" customHeight="1">
      <c r="A331" s="106"/>
      <c r="B331" s="106"/>
    </row>
    <row r="332" spans="1:2" ht="15" customHeight="1">
      <c r="A332" s="106"/>
      <c r="B332" s="106"/>
    </row>
    <row r="333" spans="1:2" ht="15" customHeight="1">
      <c r="A333" s="106"/>
      <c r="B333" s="106"/>
    </row>
    <row r="334" spans="1:2" ht="15" customHeight="1">
      <c r="A334" s="106"/>
      <c r="B334" s="106"/>
    </row>
    <row r="335" spans="1:2" ht="15" customHeight="1">
      <c r="A335" s="106"/>
      <c r="B335" s="106"/>
    </row>
    <row r="336" spans="1:2" ht="15" customHeight="1">
      <c r="A336" s="106"/>
      <c r="B336" s="106"/>
    </row>
    <row r="337" spans="1:2" ht="15" customHeight="1">
      <c r="A337" s="106"/>
      <c r="B337" s="106"/>
    </row>
    <row r="338" spans="1:2" ht="15" customHeight="1">
      <c r="A338" s="106"/>
      <c r="B338" s="106"/>
    </row>
    <row r="339" spans="1:2" ht="15" customHeight="1">
      <c r="A339" s="106"/>
      <c r="B339" s="106"/>
    </row>
    <row r="340" spans="1:2" ht="15" customHeight="1">
      <c r="A340" s="106"/>
      <c r="B340" s="106"/>
    </row>
    <row r="341" spans="1:2" ht="15" customHeight="1">
      <c r="A341" s="106"/>
      <c r="B341" s="106"/>
    </row>
    <row r="342" spans="1:2" ht="15" customHeight="1">
      <c r="A342" s="106"/>
      <c r="B342" s="106"/>
    </row>
    <row r="343" spans="1:2" ht="15" customHeight="1">
      <c r="A343" s="106"/>
      <c r="B343" s="106"/>
    </row>
    <row r="344" spans="1:2" ht="15" customHeight="1">
      <c r="A344" s="106"/>
      <c r="B344" s="106"/>
    </row>
    <row r="345" spans="1:2" ht="15" customHeight="1">
      <c r="A345" s="106"/>
      <c r="B345" s="106"/>
    </row>
    <row r="346" spans="1:2" ht="15" customHeight="1">
      <c r="A346" s="106"/>
      <c r="B346" s="106"/>
    </row>
    <row r="347" spans="1:2" ht="15" customHeight="1">
      <c r="A347" s="106"/>
      <c r="B347" s="106"/>
    </row>
    <row r="348" spans="1:2" ht="15" customHeight="1">
      <c r="A348" s="106"/>
      <c r="B348" s="106"/>
    </row>
    <row r="349" spans="1:2" ht="15" customHeight="1">
      <c r="A349" s="106"/>
      <c r="B349" s="106"/>
    </row>
    <row r="350" spans="1:2" ht="15" customHeight="1">
      <c r="A350" s="106"/>
      <c r="B350" s="106"/>
    </row>
    <row r="351" spans="1:2" ht="15" customHeight="1">
      <c r="A351" s="106"/>
      <c r="B351" s="106"/>
    </row>
    <row r="352" spans="1:2" ht="15" customHeight="1">
      <c r="A352" s="106"/>
      <c r="B352" s="106"/>
    </row>
    <row r="353" spans="1:2" ht="15" customHeight="1">
      <c r="A353" s="106"/>
      <c r="B353" s="106"/>
    </row>
    <row r="354" spans="1:2" ht="15" customHeight="1">
      <c r="A354" s="106"/>
      <c r="B354" s="106"/>
    </row>
    <row r="355" spans="1:2" ht="15" customHeight="1">
      <c r="A355" s="106"/>
      <c r="B355" s="106"/>
    </row>
    <row r="356" spans="1:2" ht="15" customHeight="1">
      <c r="A356" s="106"/>
      <c r="B356" s="106"/>
    </row>
    <row r="357" spans="1:2" ht="15" customHeight="1">
      <c r="A357" s="106"/>
      <c r="B357" s="106"/>
    </row>
    <row r="358" spans="1:2" ht="15" customHeight="1">
      <c r="A358" s="106"/>
      <c r="B358" s="106"/>
    </row>
    <row r="359" spans="1:2" ht="15" customHeight="1">
      <c r="A359" s="106"/>
      <c r="B359" s="106"/>
    </row>
    <row r="360" spans="1:2" ht="15" customHeight="1">
      <c r="A360" s="106"/>
      <c r="B360" s="106"/>
    </row>
    <row r="361" spans="1:2" ht="15" customHeight="1">
      <c r="A361" s="106"/>
      <c r="B361" s="106"/>
    </row>
    <row r="362" spans="1:2" ht="15" customHeight="1">
      <c r="A362" s="106"/>
      <c r="B362" s="106"/>
    </row>
    <row r="363" spans="1:2" ht="15" customHeight="1">
      <c r="A363" s="106"/>
      <c r="B363" s="106"/>
    </row>
    <row r="364" spans="1:2" ht="15" customHeight="1">
      <c r="A364" s="106"/>
      <c r="B364" s="106"/>
    </row>
    <row r="365" spans="1:2" ht="15" customHeight="1">
      <c r="A365" s="106"/>
      <c r="B365" s="106"/>
    </row>
    <row r="366" spans="1:2" ht="15" customHeight="1">
      <c r="A366" s="106"/>
      <c r="B366" s="106"/>
    </row>
    <row r="367" spans="1:2" ht="15" customHeight="1">
      <c r="A367" s="106"/>
      <c r="B367" s="106"/>
    </row>
    <row r="368" spans="1:2" ht="15" customHeight="1">
      <c r="A368" s="106"/>
      <c r="B368" s="106"/>
    </row>
    <row r="369" spans="1:2" ht="15" customHeight="1">
      <c r="A369" s="106"/>
      <c r="B369" s="106"/>
    </row>
    <row r="370" spans="1:2" ht="15" customHeight="1">
      <c r="A370" s="106"/>
      <c r="B370" s="106"/>
    </row>
    <row r="371" spans="1:2" ht="15" customHeight="1">
      <c r="A371" s="106"/>
      <c r="B371" s="106"/>
    </row>
    <row r="372" spans="1:2" ht="15" customHeight="1">
      <c r="A372" s="106"/>
      <c r="B372" s="106"/>
    </row>
    <row r="373" spans="1:2" ht="15" customHeight="1">
      <c r="A373" s="106"/>
      <c r="B373" s="106"/>
    </row>
    <row r="374" spans="1:2" ht="15" customHeight="1">
      <c r="A374" s="106"/>
      <c r="B374" s="106"/>
    </row>
    <row r="375" spans="1:2" ht="15" customHeight="1">
      <c r="A375" s="106"/>
      <c r="B375" s="106"/>
    </row>
    <row r="376" spans="1:2" ht="15" customHeight="1">
      <c r="A376" s="106"/>
      <c r="B376" s="106"/>
    </row>
    <row r="377" spans="1:2" ht="15" customHeight="1">
      <c r="A377" s="106"/>
      <c r="B377" s="106"/>
    </row>
    <row r="378" spans="1:2" ht="15" customHeight="1">
      <c r="A378" s="106"/>
      <c r="B378" s="106"/>
    </row>
    <row r="379" spans="1:2" ht="15" customHeight="1">
      <c r="A379" s="106"/>
      <c r="B379" s="106"/>
    </row>
    <row r="380" spans="1:2" ht="15" customHeight="1">
      <c r="A380" s="106"/>
      <c r="B380" s="106"/>
    </row>
    <row r="381" spans="1:2" ht="15" customHeight="1">
      <c r="A381" s="106"/>
      <c r="B381" s="106"/>
    </row>
    <row r="382" spans="1:2" ht="15" customHeight="1">
      <c r="A382" s="106"/>
      <c r="B382" s="106"/>
    </row>
    <row r="383" spans="1:2" ht="15" customHeight="1">
      <c r="A383" s="106"/>
      <c r="B383" s="106"/>
    </row>
    <row r="384" spans="1:2" ht="15" customHeight="1">
      <c r="A384" s="106"/>
      <c r="B384" s="106"/>
    </row>
    <row r="385" spans="1:2" ht="15" customHeight="1">
      <c r="A385" s="106"/>
      <c r="B385" s="106"/>
    </row>
    <row r="386" spans="1:2" ht="15" customHeight="1">
      <c r="A386" s="106"/>
      <c r="B386" s="106"/>
    </row>
    <row r="387" spans="1:2" ht="15" customHeight="1">
      <c r="A387" s="106"/>
      <c r="B387" s="106"/>
    </row>
    <row r="388" spans="1:2" ht="15" customHeight="1">
      <c r="A388" s="106"/>
      <c r="B388" s="106"/>
    </row>
    <row r="389" spans="1:2" ht="15" customHeight="1">
      <c r="A389" s="106"/>
      <c r="B389" s="106"/>
    </row>
    <row r="390" spans="1:2" ht="15" customHeight="1">
      <c r="A390" s="106"/>
      <c r="B390" s="106"/>
    </row>
    <row r="391" spans="1:2" ht="15" customHeight="1">
      <c r="A391" s="106"/>
      <c r="B391" s="106"/>
    </row>
    <row r="392" spans="1:2" ht="15" customHeight="1">
      <c r="A392" s="106"/>
      <c r="B392" s="106"/>
    </row>
    <row r="393" spans="1:2" ht="15" customHeight="1">
      <c r="A393" s="106"/>
      <c r="B393" s="106"/>
    </row>
    <row r="394" spans="1:2" ht="15" customHeight="1">
      <c r="A394" s="106"/>
      <c r="B394" s="106"/>
    </row>
    <row r="395" spans="1:2" ht="15" customHeight="1">
      <c r="A395" s="106"/>
      <c r="B395" s="106"/>
    </row>
    <row r="396" spans="1:2" ht="15" customHeight="1">
      <c r="A396" s="106"/>
      <c r="B396" s="106"/>
    </row>
    <row r="397" spans="1:2" ht="15" customHeight="1">
      <c r="A397" s="106"/>
      <c r="B397" s="106"/>
    </row>
    <row r="398" spans="1:2" ht="15" customHeight="1">
      <c r="A398" s="106"/>
      <c r="B398" s="106"/>
    </row>
    <row r="399" spans="1:2" ht="15" customHeight="1">
      <c r="A399" s="106"/>
      <c r="B399" s="106"/>
    </row>
    <row r="400" spans="1:2" ht="15" customHeight="1">
      <c r="A400" s="106"/>
      <c r="B400" s="106"/>
    </row>
    <row r="401" spans="1:2" ht="15" customHeight="1">
      <c r="A401" s="106"/>
      <c r="B401" s="106"/>
    </row>
    <row r="402" spans="1:2" ht="15" customHeight="1">
      <c r="A402" s="106"/>
      <c r="B402" s="106"/>
    </row>
    <row r="403" spans="1:2" ht="15" customHeight="1">
      <c r="A403" s="106"/>
      <c r="B403" s="106"/>
    </row>
    <row r="404" spans="1:2" ht="15" customHeight="1">
      <c r="A404" s="106"/>
      <c r="B404" s="106"/>
    </row>
    <row r="405" spans="1:2" ht="15" customHeight="1">
      <c r="A405" s="106"/>
      <c r="B405" s="106"/>
    </row>
    <row r="406" spans="1:2" ht="15" customHeight="1">
      <c r="A406" s="106"/>
      <c r="B406" s="106"/>
    </row>
    <row r="407" spans="1:2" ht="15" customHeight="1">
      <c r="A407" s="106"/>
      <c r="B407" s="106"/>
    </row>
    <row r="408" spans="1:2" ht="15" customHeight="1">
      <c r="A408" s="106"/>
      <c r="B408" s="106"/>
    </row>
    <row r="409" spans="1:2" ht="15" customHeight="1">
      <c r="A409" s="106"/>
      <c r="B409" s="106"/>
    </row>
    <row r="410" spans="1:2" ht="15" customHeight="1">
      <c r="A410" s="106"/>
      <c r="B410" s="106"/>
    </row>
    <row r="411" spans="1:2" ht="15" customHeight="1">
      <c r="A411" s="106"/>
      <c r="B411" s="106"/>
    </row>
    <row r="412" spans="1:2" ht="15" customHeight="1">
      <c r="A412" s="106"/>
      <c r="B412" s="106"/>
    </row>
    <row r="413" spans="1:2" ht="15" customHeight="1">
      <c r="A413" s="106"/>
      <c r="B413" s="106"/>
    </row>
    <row r="414" spans="1:2" ht="15" customHeight="1">
      <c r="A414" s="106"/>
      <c r="B414" s="106"/>
    </row>
    <row r="415" spans="1:2" ht="15" customHeight="1">
      <c r="A415" s="106"/>
      <c r="B415" s="106"/>
    </row>
    <row r="416" spans="1:2" ht="15" customHeight="1">
      <c r="A416" s="106"/>
      <c r="B416" s="106"/>
    </row>
    <row r="417" spans="1:2" ht="15" customHeight="1">
      <c r="A417" s="106"/>
      <c r="B417" s="106"/>
    </row>
    <row r="418" spans="1:2" ht="15" customHeight="1">
      <c r="A418" s="106"/>
      <c r="B418" s="106"/>
    </row>
    <row r="419" spans="1:2" ht="15" customHeight="1">
      <c r="A419" s="106"/>
      <c r="B419" s="106"/>
    </row>
    <row r="420" spans="1:2" ht="15" customHeight="1">
      <c r="A420" s="106"/>
      <c r="B420" s="106"/>
    </row>
    <row r="421" spans="1:2" ht="15" customHeight="1">
      <c r="A421" s="106"/>
      <c r="B421" s="106"/>
    </row>
    <row r="422" spans="1:2" ht="15" customHeight="1">
      <c r="A422" s="106"/>
      <c r="B422" s="106"/>
    </row>
    <row r="423" spans="1:2" ht="15" customHeight="1">
      <c r="A423" s="106"/>
      <c r="B423" s="106"/>
    </row>
    <row r="424" spans="1:2" ht="15" customHeight="1">
      <c r="A424" s="106"/>
      <c r="B424" s="106"/>
    </row>
    <row r="425" spans="1:2" ht="15" customHeight="1">
      <c r="A425" s="106"/>
      <c r="B425" s="106"/>
    </row>
    <row r="426" spans="1:2" ht="15" customHeight="1">
      <c r="A426" s="106"/>
      <c r="B426" s="106"/>
    </row>
    <row r="427" spans="1:2" ht="15" customHeight="1">
      <c r="A427" s="106"/>
      <c r="B427" s="106"/>
    </row>
    <row r="428" spans="1:2" ht="15" customHeight="1">
      <c r="A428" s="106"/>
      <c r="B428" s="106"/>
    </row>
    <row r="429" spans="1:2" ht="15" customHeight="1">
      <c r="A429" s="106"/>
      <c r="B429" s="106"/>
    </row>
    <row r="430" spans="1:2" ht="15" customHeight="1">
      <c r="A430" s="106"/>
      <c r="B430" s="106"/>
    </row>
    <row r="431" spans="1:2" ht="15" customHeight="1">
      <c r="A431" s="106"/>
      <c r="B431" s="106"/>
    </row>
    <row r="432" spans="1:2" ht="15" customHeight="1">
      <c r="A432" s="106"/>
      <c r="B432" s="106"/>
    </row>
    <row r="433" spans="1:2" ht="15" customHeight="1">
      <c r="A433" s="106"/>
      <c r="B433" s="106"/>
    </row>
    <row r="434" spans="1:2" ht="15" customHeight="1">
      <c r="A434" s="106"/>
      <c r="B434" s="106"/>
    </row>
    <row r="435" spans="1:2" ht="15" customHeight="1">
      <c r="A435" s="106"/>
      <c r="B435" s="106"/>
    </row>
    <row r="436" spans="1:2" ht="15" customHeight="1">
      <c r="A436" s="106"/>
      <c r="B436" s="106"/>
    </row>
    <row r="437" spans="1:2" ht="15" customHeight="1">
      <c r="A437" s="106"/>
      <c r="B437" s="106"/>
    </row>
    <row r="438" spans="1:2" ht="15" customHeight="1">
      <c r="A438" s="106"/>
      <c r="B438" s="106"/>
    </row>
    <row r="439" spans="1:2" ht="15" customHeight="1">
      <c r="A439" s="106"/>
      <c r="B439" s="106"/>
    </row>
    <row r="440" spans="1:2" ht="15" customHeight="1">
      <c r="A440" s="106"/>
      <c r="B440" s="106"/>
    </row>
    <row r="441" spans="1:2" ht="15" customHeight="1">
      <c r="A441" s="106"/>
      <c r="B441" s="106"/>
    </row>
    <row r="442" spans="1:2" ht="15" customHeight="1">
      <c r="A442" s="106"/>
      <c r="B442" s="106"/>
    </row>
    <row r="443" spans="1:2" ht="15" customHeight="1">
      <c r="A443" s="106"/>
      <c r="B443" s="106"/>
    </row>
    <row r="444" spans="1:2" ht="15" customHeight="1">
      <c r="A444" s="106"/>
      <c r="B444" s="106"/>
    </row>
    <row r="445" spans="1:2" ht="15" customHeight="1">
      <c r="A445" s="106"/>
      <c r="B445" s="106"/>
    </row>
    <row r="446" spans="1:2" ht="15" customHeight="1">
      <c r="A446" s="106"/>
      <c r="B446" s="106"/>
    </row>
    <row r="447" spans="1:2" ht="15" customHeight="1">
      <c r="A447" s="106"/>
      <c r="B447" s="106"/>
    </row>
    <row r="448" spans="1:2" ht="15" customHeight="1">
      <c r="A448" s="106"/>
      <c r="B448" s="106"/>
    </row>
    <row r="449" spans="1:2" ht="15" customHeight="1">
      <c r="A449" s="106"/>
      <c r="B449" s="106"/>
    </row>
    <row r="450" spans="1:2" ht="15" customHeight="1">
      <c r="A450" s="106"/>
      <c r="B450" s="106"/>
    </row>
    <row r="451" spans="1:2" ht="15" customHeight="1">
      <c r="A451" s="106"/>
      <c r="B451" s="106"/>
    </row>
    <row r="452" spans="1:2" ht="15" customHeight="1">
      <c r="A452" s="106"/>
      <c r="B452" s="106"/>
    </row>
    <row r="453" spans="1:2" ht="15" customHeight="1">
      <c r="A453" s="106"/>
      <c r="B453" s="106"/>
    </row>
    <row r="454" spans="1:2" ht="15" customHeight="1">
      <c r="A454" s="106"/>
      <c r="B454" s="106"/>
    </row>
    <row r="455" spans="1:2" ht="15" customHeight="1">
      <c r="A455" s="106"/>
      <c r="B455" s="106"/>
    </row>
    <row r="456" spans="1:2" ht="15" customHeight="1">
      <c r="A456" s="106"/>
      <c r="B456" s="106"/>
    </row>
    <row r="457" spans="1:2" ht="15" customHeight="1">
      <c r="A457" s="106"/>
      <c r="B457" s="106"/>
    </row>
    <row r="458" spans="1:2" ht="15" customHeight="1">
      <c r="A458" s="106"/>
      <c r="B458" s="106"/>
    </row>
    <row r="459" spans="1:2" ht="15" customHeight="1">
      <c r="A459" s="106"/>
      <c r="B459" s="106"/>
    </row>
    <row r="460" spans="1:2" ht="15" customHeight="1">
      <c r="A460" s="106"/>
      <c r="B460" s="106"/>
    </row>
    <row r="461" spans="1:2" ht="15" customHeight="1">
      <c r="A461" s="106"/>
      <c r="B461" s="106"/>
    </row>
    <row r="462" spans="1:2" ht="15" customHeight="1">
      <c r="A462" s="106"/>
      <c r="B462" s="106"/>
    </row>
    <row r="463" spans="1:2" ht="15" customHeight="1">
      <c r="A463" s="106"/>
      <c r="B463" s="106"/>
    </row>
    <row r="464" spans="1:2" ht="15" customHeight="1">
      <c r="A464" s="106"/>
      <c r="B464" s="106"/>
    </row>
    <row r="465" spans="1:2" ht="15" customHeight="1">
      <c r="A465" s="106"/>
      <c r="B465" s="106"/>
    </row>
    <row r="466" spans="1:2" ht="15" customHeight="1">
      <c r="A466" s="106"/>
      <c r="B466" s="106"/>
    </row>
    <row r="467" spans="1:2" ht="15" customHeight="1">
      <c r="A467" s="106"/>
      <c r="B467" s="106"/>
    </row>
    <row r="468" spans="1:2" ht="15" customHeight="1">
      <c r="A468" s="106"/>
      <c r="B468" s="106"/>
    </row>
    <row r="469" spans="1:2" ht="15" customHeight="1">
      <c r="A469" s="106"/>
      <c r="B469" s="106"/>
    </row>
    <row r="470" spans="1:2" ht="15" customHeight="1">
      <c r="A470" s="106"/>
      <c r="B470" s="106"/>
    </row>
    <row r="471" spans="1:2" ht="15" customHeight="1">
      <c r="A471" s="106"/>
      <c r="B471" s="106"/>
    </row>
    <row r="472" spans="1:2" ht="15" customHeight="1">
      <c r="A472" s="106"/>
      <c r="B472" s="106"/>
    </row>
    <row r="473" spans="1:2" ht="15" customHeight="1">
      <c r="A473" s="106"/>
      <c r="B473" s="106"/>
    </row>
    <row r="474" spans="1:2" ht="15" customHeight="1">
      <c r="A474" s="106"/>
      <c r="B474" s="106"/>
    </row>
    <row r="475" spans="1:2" ht="15" customHeight="1">
      <c r="A475" s="106"/>
      <c r="B475" s="106"/>
    </row>
    <row r="476" spans="1:2" ht="15" customHeight="1">
      <c r="A476" s="106"/>
      <c r="B476" s="106"/>
    </row>
    <row r="477" spans="1:2" ht="15" customHeight="1">
      <c r="A477" s="106"/>
      <c r="B477" s="106"/>
    </row>
    <row r="478" spans="1:2" ht="15" customHeight="1">
      <c r="A478" s="106"/>
      <c r="B478" s="106"/>
    </row>
    <row r="479" spans="1:2" ht="15" customHeight="1">
      <c r="A479" s="106"/>
      <c r="B479" s="106"/>
    </row>
    <row r="480" spans="1:2" ht="15" customHeight="1">
      <c r="A480" s="106"/>
      <c r="B480" s="106"/>
    </row>
    <row r="481" spans="1:2" ht="15" customHeight="1">
      <c r="A481" s="106"/>
      <c r="B481" s="106"/>
    </row>
    <row r="482" spans="1:2" ht="15" customHeight="1">
      <c r="A482" s="106"/>
      <c r="B482" s="106"/>
    </row>
    <row r="483" spans="1:2" ht="15" customHeight="1">
      <c r="A483" s="106"/>
      <c r="B483" s="106"/>
    </row>
    <row r="484" spans="1:2" ht="15" customHeight="1">
      <c r="A484" s="106"/>
      <c r="B484" s="106"/>
    </row>
    <row r="485" spans="1:2" ht="15" customHeight="1">
      <c r="A485" s="106"/>
      <c r="B485" s="106"/>
    </row>
    <row r="486" spans="1:2" ht="15" customHeight="1">
      <c r="A486" s="106"/>
      <c r="B486" s="106"/>
    </row>
    <row r="487" spans="1:2" ht="15" customHeight="1">
      <c r="A487" s="106"/>
      <c r="B487" s="106"/>
    </row>
    <row r="488" spans="1:2" ht="15" customHeight="1">
      <c r="A488" s="106"/>
      <c r="B488" s="106"/>
    </row>
    <row r="489" spans="1:2" ht="15" customHeight="1">
      <c r="A489" s="106"/>
      <c r="B489" s="106"/>
    </row>
    <row r="490" spans="1:2" ht="15" customHeight="1">
      <c r="A490" s="106"/>
      <c r="B490" s="106"/>
    </row>
    <row r="491" spans="1:2" ht="15" customHeight="1">
      <c r="A491" s="106"/>
      <c r="B491" s="106"/>
    </row>
    <row r="492" spans="1:2" ht="15" customHeight="1">
      <c r="A492" s="106"/>
      <c r="B492" s="106"/>
    </row>
    <row r="493" spans="1:2" ht="15" customHeight="1">
      <c r="A493" s="106"/>
      <c r="B493" s="106"/>
    </row>
    <row r="494" spans="1:2" ht="15" customHeight="1">
      <c r="A494" s="106"/>
      <c r="B494" s="106"/>
    </row>
    <row r="495" spans="1:2" ht="15" customHeight="1">
      <c r="A495" s="106"/>
      <c r="B495" s="106"/>
    </row>
    <row r="496" spans="1:2" ht="15" customHeight="1">
      <c r="A496" s="106"/>
      <c r="B496" s="106"/>
    </row>
    <row r="497" spans="1:2" ht="15" customHeight="1">
      <c r="A497" s="106"/>
      <c r="B497" s="106"/>
    </row>
    <row r="498" spans="1:2" ht="15" customHeight="1">
      <c r="A498" s="106"/>
      <c r="B498" s="106"/>
    </row>
    <row r="499" spans="1:2" ht="15" customHeight="1">
      <c r="A499" s="106"/>
      <c r="B499" s="106"/>
    </row>
    <row r="500" spans="1:2" ht="15" customHeight="1">
      <c r="A500" s="106"/>
      <c r="B500" s="106"/>
    </row>
    <row r="501" spans="1:2" ht="15" customHeight="1">
      <c r="A501" s="106"/>
      <c r="B501" s="106"/>
    </row>
    <row r="502" spans="1:2" ht="15" customHeight="1">
      <c r="A502" s="106"/>
      <c r="B502" s="106"/>
    </row>
    <row r="503" spans="1:2" ht="15" customHeight="1">
      <c r="A503" s="106"/>
      <c r="B503" s="106"/>
    </row>
    <row r="504" spans="1:2" ht="15" customHeight="1">
      <c r="A504" s="106"/>
      <c r="B504" s="106"/>
    </row>
    <row r="505" spans="1:2" ht="15" customHeight="1">
      <c r="A505" s="106"/>
      <c r="B505" s="106"/>
    </row>
    <row r="506" spans="1:2" ht="15" customHeight="1">
      <c r="A506" s="106"/>
      <c r="B506" s="106"/>
    </row>
    <row r="507" spans="1:2" ht="15" customHeight="1">
      <c r="A507" s="106"/>
      <c r="B507" s="106"/>
    </row>
    <row r="508" spans="1:2" ht="15" customHeight="1">
      <c r="A508" s="106"/>
      <c r="B508" s="106"/>
    </row>
    <row r="509" spans="1:2" ht="15" customHeight="1">
      <c r="A509" s="106"/>
      <c r="B509" s="106"/>
    </row>
    <row r="510" spans="1:2" ht="15" customHeight="1">
      <c r="A510" s="106"/>
      <c r="B510" s="106"/>
    </row>
    <row r="511" spans="1:2" ht="15" customHeight="1">
      <c r="A511" s="106"/>
      <c r="B511" s="106"/>
    </row>
    <row r="512" spans="1:2" ht="15" customHeight="1">
      <c r="A512" s="106"/>
      <c r="B512" s="106"/>
    </row>
    <row r="513" spans="1:2" ht="15" customHeight="1">
      <c r="A513" s="106"/>
      <c r="B513" s="106"/>
    </row>
    <row r="514" spans="1:2" ht="15" customHeight="1">
      <c r="A514" s="106"/>
      <c r="B514" s="106"/>
    </row>
    <row r="515" spans="1:2" ht="15" customHeight="1">
      <c r="A515" s="106"/>
      <c r="B515" s="106"/>
    </row>
    <row r="516" spans="1:2" ht="15" customHeight="1">
      <c r="A516" s="106"/>
      <c r="B516" s="106"/>
    </row>
    <row r="517" spans="1:2" ht="15" customHeight="1">
      <c r="A517" s="106"/>
      <c r="B517" s="106"/>
    </row>
    <row r="518" spans="1:2" ht="15" customHeight="1">
      <c r="A518" s="106"/>
      <c r="B518" s="106"/>
    </row>
    <row r="519" spans="1:2" ht="15" customHeight="1">
      <c r="A519" s="106"/>
      <c r="B519" s="106"/>
    </row>
    <row r="520" spans="1:2" ht="15" customHeight="1">
      <c r="A520" s="106"/>
      <c r="B520" s="106"/>
    </row>
    <row r="521" spans="1:2" ht="15" customHeight="1">
      <c r="A521" s="106"/>
      <c r="B521" s="106"/>
    </row>
    <row r="522" spans="1:2" ht="15" customHeight="1">
      <c r="A522" s="106"/>
      <c r="B522" s="106"/>
    </row>
    <row r="523" spans="1:2" ht="15" customHeight="1">
      <c r="A523" s="106"/>
      <c r="B523" s="106"/>
    </row>
    <row r="524" spans="1:2" ht="15" customHeight="1">
      <c r="A524" s="106"/>
      <c r="B524" s="106"/>
    </row>
    <row r="525" spans="1:2" ht="15" customHeight="1">
      <c r="A525" s="106"/>
      <c r="B525" s="106"/>
    </row>
    <row r="526" spans="1:2" ht="15" customHeight="1">
      <c r="A526" s="106"/>
      <c r="B526" s="106"/>
    </row>
    <row r="527" spans="1:2" ht="15" customHeight="1">
      <c r="A527" s="106"/>
      <c r="B527" s="106"/>
    </row>
    <row r="528" spans="1:2" ht="15" customHeight="1">
      <c r="A528" s="106"/>
      <c r="B528" s="106"/>
    </row>
    <row r="529" spans="1:2" ht="15" customHeight="1">
      <c r="A529" s="106"/>
      <c r="B529" s="106"/>
    </row>
    <row r="530" spans="1:2" ht="15" customHeight="1">
      <c r="A530" s="106"/>
      <c r="B530" s="106"/>
    </row>
    <row r="531" spans="1:2" ht="15" customHeight="1">
      <c r="A531" s="106"/>
      <c r="B531" s="106"/>
    </row>
    <row r="532" spans="1:2" ht="15" customHeight="1">
      <c r="A532" s="106"/>
      <c r="B532" s="106"/>
    </row>
    <row r="533" spans="1:2" ht="15" customHeight="1">
      <c r="A533" s="106"/>
      <c r="B533" s="106"/>
    </row>
    <row r="534" spans="1:2" ht="15" customHeight="1">
      <c r="A534" s="106"/>
      <c r="B534" s="106"/>
    </row>
    <row r="535" spans="1:2" ht="15" customHeight="1">
      <c r="A535" s="106"/>
      <c r="B535" s="106"/>
    </row>
    <row r="536" spans="1:2" ht="15" customHeight="1">
      <c r="A536" s="106"/>
      <c r="B536" s="106"/>
    </row>
    <row r="537" spans="1:2" ht="15" customHeight="1">
      <c r="A537" s="106"/>
      <c r="B537" s="106"/>
    </row>
    <row r="538" spans="1:2" ht="15" customHeight="1">
      <c r="A538" s="106"/>
      <c r="B538" s="106"/>
    </row>
    <row r="539" spans="1:2" ht="15" customHeight="1">
      <c r="A539" s="106"/>
      <c r="B539" s="106"/>
    </row>
    <row r="540" spans="1:2" ht="15" customHeight="1">
      <c r="A540" s="106"/>
      <c r="B540" s="106"/>
    </row>
    <row r="541" spans="1:2" ht="15" customHeight="1">
      <c r="A541" s="106"/>
      <c r="B541" s="106"/>
    </row>
    <row r="542" spans="1:2" ht="15" customHeight="1">
      <c r="A542" s="106"/>
      <c r="B542" s="106"/>
    </row>
    <row r="543" spans="1:2" ht="15" customHeight="1">
      <c r="A543" s="106"/>
      <c r="B543" s="106"/>
    </row>
    <row r="544" spans="1:2" ht="15" customHeight="1">
      <c r="A544" s="106"/>
      <c r="B544" s="106"/>
    </row>
    <row r="545" spans="1:2" ht="15" customHeight="1">
      <c r="A545" s="106"/>
      <c r="B545" s="106"/>
    </row>
    <row r="546" spans="1:2" ht="15" customHeight="1">
      <c r="A546" s="106"/>
      <c r="B546" s="106"/>
    </row>
    <row r="547" spans="1:2" ht="15" customHeight="1">
      <c r="A547" s="106"/>
      <c r="B547" s="106"/>
    </row>
    <row r="548" spans="1:2" ht="15" customHeight="1">
      <c r="A548" s="106"/>
      <c r="B548" s="106"/>
    </row>
    <row r="549" spans="1:2" ht="15" customHeight="1">
      <c r="A549" s="106"/>
      <c r="B549" s="106"/>
    </row>
    <row r="550" spans="1:2" ht="15" customHeight="1">
      <c r="A550" s="106"/>
      <c r="B550" s="106"/>
    </row>
    <row r="551" spans="1:2" ht="15" customHeight="1">
      <c r="A551" s="106"/>
      <c r="B551" s="106"/>
    </row>
    <row r="552" spans="1:2" ht="15" customHeight="1">
      <c r="A552" s="106"/>
      <c r="B552" s="106"/>
    </row>
    <row r="553" spans="1:2" ht="15" customHeight="1">
      <c r="A553" s="106"/>
      <c r="B553" s="106"/>
    </row>
    <row r="554" spans="1:2" ht="15" customHeight="1">
      <c r="A554" s="106"/>
      <c r="B554" s="106"/>
    </row>
    <row r="555" spans="1:2" ht="15" customHeight="1">
      <c r="A555" s="106"/>
      <c r="B555" s="106"/>
    </row>
    <row r="556" spans="1:2" ht="15" customHeight="1">
      <c r="A556" s="106"/>
      <c r="B556" s="106"/>
    </row>
    <row r="557" spans="1:2" ht="15" customHeight="1">
      <c r="A557" s="106"/>
      <c r="B557" s="106"/>
    </row>
    <row r="558" spans="1:2" ht="15" customHeight="1">
      <c r="A558" s="106"/>
      <c r="B558" s="106"/>
    </row>
    <row r="559" spans="1:2" ht="15" customHeight="1">
      <c r="A559" s="106"/>
      <c r="B559" s="106"/>
    </row>
    <row r="560" spans="1:2" ht="15" customHeight="1">
      <c r="A560" s="106"/>
      <c r="B560" s="106"/>
    </row>
    <row r="561" spans="1:2" ht="15" customHeight="1">
      <c r="A561" s="106"/>
      <c r="B561" s="106"/>
    </row>
    <row r="562" spans="1:2" ht="15" customHeight="1">
      <c r="A562" s="106"/>
      <c r="B562" s="106"/>
    </row>
    <row r="563" spans="1:2" ht="15" customHeight="1">
      <c r="A563" s="106"/>
      <c r="B563" s="106"/>
    </row>
    <row r="564" spans="1:2" ht="15" customHeight="1">
      <c r="A564" s="106"/>
      <c r="B564" s="106"/>
    </row>
    <row r="565" spans="1:2" ht="15" customHeight="1">
      <c r="A565" s="106"/>
      <c r="B565" s="106"/>
    </row>
    <row r="566" spans="1:2" ht="15" customHeight="1">
      <c r="A566" s="106"/>
      <c r="B566" s="106"/>
    </row>
    <row r="567" spans="1:2" ht="15" customHeight="1">
      <c r="A567" s="106"/>
      <c r="B567" s="106"/>
    </row>
    <row r="568" spans="1:2" ht="15" customHeight="1">
      <c r="A568" s="106"/>
      <c r="B568" s="106"/>
    </row>
    <row r="569" spans="1:2" ht="15" customHeight="1">
      <c r="A569" s="106"/>
      <c r="B569" s="106"/>
    </row>
    <row r="570" spans="1:2" ht="15" customHeight="1">
      <c r="A570" s="106"/>
      <c r="B570" s="106"/>
    </row>
    <row r="571" spans="1:2" ht="15" customHeight="1">
      <c r="A571" s="106"/>
      <c r="B571" s="106"/>
    </row>
    <row r="572" spans="1:2" ht="15" customHeight="1">
      <c r="A572" s="106"/>
      <c r="B572" s="106"/>
    </row>
    <row r="573" spans="1:2" ht="15" customHeight="1">
      <c r="A573" s="106"/>
      <c r="B573" s="106"/>
    </row>
    <row r="574" spans="1:2" ht="15" customHeight="1">
      <c r="A574" s="106"/>
      <c r="B574" s="106"/>
    </row>
    <row r="575" spans="1:2" ht="15" customHeight="1">
      <c r="A575" s="106"/>
      <c r="B575" s="106"/>
    </row>
    <row r="576" spans="1:2" ht="15" customHeight="1">
      <c r="A576" s="106"/>
      <c r="B576" s="106"/>
    </row>
    <row r="577" spans="1:2" ht="15" customHeight="1">
      <c r="A577" s="106"/>
      <c r="B577" s="106"/>
    </row>
    <row r="578" spans="1:2" ht="15" customHeight="1">
      <c r="A578" s="106"/>
      <c r="B578" s="106"/>
    </row>
    <row r="579" spans="1:2" ht="15" customHeight="1">
      <c r="A579" s="106"/>
      <c r="B579" s="106"/>
    </row>
    <row r="580" spans="1:2" ht="15" customHeight="1">
      <c r="A580" s="106"/>
      <c r="B580" s="106"/>
    </row>
    <row r="581" spans="1:2" ht="15" customHeight="1">
      <c r="A581" s="106"/>
      <c r="B581" s="106"/>
    </row>
    <row r="582" spans="1:2" ht="15" customHeight="1">
      <c r="A582" s="106"/>
      <c r="B582" s="106"/>
    </row>
    <row r="583" spans="1:2" ht="15" customHeight="1">
      <c r="A583" s="106"/>
      <c r="B583" s="106"/>
    </row>
    <row r="584" spans="1:2" ht="15" customHeight="1">
      <c r="A584" s="106"/>
      <c r="B584" s="106"/>
    </row>
    <row r="585" spans="1:2" ht="15" customHeight="1">
      <c r="A585" s="106"/>
      <c r="B585" s="106"/>
    </row>
    <row r="586" spans="1:2" ht="15" customHeight="1">
      <c r="A586" s="106"/>
      <c r="B586" s="106"/>
    </row>
    <row r="587" spans="1:2" ht="15" customHeight="1">
      <c r="A587" s="106"/>
      <c r="B587" s="106"/>
    </row>
    <row r="588" spans="1:2" ht="15" customHeight="1">
      <c r="A588" s="106"/>
      <c r="B588" s="106"/>
    </row>
    <row r="589" spans="1:2" ht="15" customHeight="1">
      <c r="A589" s="106"/>
      <c r="B589" s="106"/>
    </row>
    <row r="590" spans="1:2" ht="15" customHeight="1">
      <c r="A590" s="106"/>
      <c r="B590" s="106"/>
    </row>
    <row r="591" spans="1:2" ht="15" customHeight="1">
      <c r="A591" s="106"/>
      <c r="B591" s="106"/>
    </row>
    <row r="592" spans="1:2" ht="15" customHeight="1">
      <c r="A592" s="106"/>
      <c r="B592" s="106"/>
    </row>
    <row r="593" spans="1:2" ht="15" customHeight="1">
      <c r="A593" s="106"/>
      <c r="B593" s="106"/>
    </row>
    <row r="594" spans="1:2" ht="15" customHeight="1">
      <c r="A594" s="106"/>
      <c r="B594" s="106"/>
    </row>
    <row r="595" spans="1:2" ht="15" customHeight="1">
      <c r="A595" s="106"/>
      <c r="B595" s="106"/>
    </row>
    <row r="596" spans="1:2" ht="15" customHeight="1">
      <c r="A596" s="106"/>
      <c r="B596" s="106"/>
    </row>
    <row r="597" spans="1:2" ht="15" customHeight="1">
      <c r="A597" s="106"/>
      <c r="B597" s="106"/>
    </row>
    <row r="598" spans="1:2" ht="15" customHeight="1">
      <c r="A598" s="106"/>
      <c r="B598" s="106"/>
    </row>
    <row r="599" spans="1:2" ht="15" customHeight="1">
      <c r="A599" s="106"/>
      <c r="B599" s="106"/>
    </row>
    <row r="600" spans="1:2" ht="15" customHeight="1">
      <c r="A600" s="106"/>
      <c r="B600" s="106"/>
    </row>
    <row r="601" spans="1:2" ht="15" customHeight="1">
      <c r="A601" s="106"/>
      <c r="B601" s="106"/>
    </row>
    <row r="602" spans="1:2" ht="15" customHeight="1">
      <c r="A602" s="106"/>
      <c r="B602" s="106"/>
    </row>
    <row r="603" spans="1:2" ht="15" customHeight="1">
      <c r="A603" s="106"/>
      <c r="B603" s="106"/>
    </row>
    <row r="604" spans="1:2" ht="15" customHeight="1">
      <c r="A604" s="106"/>
      <c r="B604" s="106"/>
    </row>
    <row r="605" spans="1:2" ht="15" customHeight="1">
      <c r="A605" s="106"/>
      <c r="B605" s="106"/>
    </row>
    <row r="606" spans="1:2" ht="15" customHeight="1">
      <c r="A606" s="106"/>
      <c r="B606" s="106"/>
    </row>
    <row r="607" spans="1:2" ht="15" customHeight="1">
      <c r="A607" s="106"/>
      <c r="B607" s="106"/>
    </row>
    <row r="608" spans="1:2" ht="15" customHeight="1">
      <c r="A608" s="106"/>
      <c r="B608" s="106"/>
    </row>
    <row r="609" spans="1:2" ht="15" customHeight="1">
      <c r="A609" s="106"/>
      <c r="B609" s="106"/>
    </row>
    <row r="610" spans="1:2" ht="15" customHeight="1">
      <c r="A610" s="106"/>
      <c r="B610" s="106"/>
    </row>
    <row r="611" spans="1:2" ht="15" customHeight="1">
      <c r="A611" s="106"/>
      <c r="B611" s="106"/>
    </row>
    <row r="612" spans="1:2" ht="15" customHeight="1">
      <c r="A612" s="106"/>
      <c r="B612" s="106"/>
    </row>
    <row r="613" spans="1:2" ht="15" customHeight="1">
      <c r="A613" s="106"/>
      <c r="B613" s="106"/>
    </row>
    <row r="614" spans="1:2" ht="15" customHeight="1">
      <c r="A614" s="106"/>
      <c r="B614" s="106"/>
    </row>
    <row r="615" spans="1:2" ht="15" customHeight="1">
      <c r="A615" s="106"/>
      <c r="B615" s="106"/>
    </row>
    <row r="616" spans="1:2" ht="15" customHeight="1">
      <c r="A616" s="106"/>
      <c r="B616" s="106"/>
    </row>
    <row r="617" spans="1:2" ht="15" customHeight="1">
      <c r="A617" s="106"/>
      <c r="B617" s="106"/>
    </row>
    <row r="618" spans="1:2" ht="15" customHeight="1">
      <c r="A618" s="106"/>
      <c r="B618" s="106"/>
    </row>
    <row r="619" spans="1:2" ht="15" customHeight="1">
      <c r="A619" s="106"/>
      <c r="B619" s="106"/>
    </row>
    <row r="620" spans="1:2" ht="15" customHeight="1">
      <c r="A620" s="106"/>
      <c r="B620" s="106"/>
    </row>
    <row r="621" spans="1:2" ht="15" customHeight="1">
      <c r="A621" s="106"/>
      <c r="B621" s="106"/>
    </row>
    <row r="622" spans="1:2" ht="15" customHeight="1">
      <c r="A622" s="106"/>
      <c r="B622" s="106"/>
    </row>
    <row r="623" spans="1:2" ht="15" customHeight="1">
      <c r="A623" s="106"/>
      <c r="B623" s="106"/>
    </row>
    <row r="624" spans="1:2" ht="15" customHeight="1">
      <c r="A624" s="106"/>
      <c r="B624" s="106"/>
    </row>
    <row r="625" spans="1:2" ht="15" customHeight="1">
      <c r="A625" s="106"/>
      <c r="B625" s="106"/>
    </row>
    <row r="626" spans="1:2" ht="15" customHeight="1">
      <c r="A626" s="106"/>
      <c r="B626" s="106"/>
    </row>
    <row r="627" spans="1:2" ht="15" customHeight="1">
      <c r="A627" s="106"/>
      <c r="B627" s="106"/>
    </row>
    <row r="628" spans="1:2" ht="15" customHeight="1">
      <c r="A628" s="106"/>
      <c r="B628" s="106"/>
    </row>
    <row r="629" spans="1:2" ht="15" customHeight="1">
      <c r="A629" s="106"/>
      <c r="B629" s="106"/>
    </row>
    <row r="630" spans="1:2" ht="15" customHeight="1">
      <c r="A630" s="106"/>
      <c r="B630" s="106"/>
    </row>
    <row r="631" spans="1:2" ht="15" customHeight="1">
      <c r="A631" s="106"/>
      <c r="B631" s="106"/>
    </row>
    <row r="632" spans="1:2" ht="15" customHeight="1">
      <c r="A632" s="106"/>
      <c r="B632" s="106"/>
    </row>
    <row r="633" spans="1:2" ht="15" customHeight="1">
      <c r="A633" s="106"/>
      <c r="B633" s="106"/>
    </row>
    <row r="634" spans="1:2" ht="15" customHeight="1">
      <c r="A634" s="106"/>
      <c r="B634" s="106"/>
    </row>
    <row r="635" spans="1:2" ht="15" customHeight="1">
      <c r="A635" s="106"/>
      <c r="B635" s="106"/>
    </row>
    <row r="636" spans="1:2" ht="15" customHeight="1">
      <c r="A636" s="106"/>
      <c r="B636" s="106"/>
    </row>
    <row r="637" spans="1:2" ht="15" customHeight="1">
      <c r="A637" s="106"/>
      <c r="B637" s="106"/>
    </row>
    <row r="638" spans="1:2" ht="15" customHeight="1">
      <c r="A638" s="106"/>
      <c r="B638" s="106"/>
    </row>
    <row r="639" spans="1:2" ht="15" customHeight="1">
      <c r="A639" s="106"/>
      <c r="B639" s="106"/>
    </row>
    <row r="640" spans="1:2" ht="15" customHeight="1">
      <c r="A640" s="106"/>
      <c r="B640" s="106"/>
    </row>
    <row r="641" spans="1:2" ht="15" customHeight="1">
      <c r="A641" s="106"/>
      <c r="B641" s="106"/>
    </row>
    <row r="642" spans="1:2" ht="15" customHeight="1">
      <c r="A642" s="106"/>
      <c r="B642" s="106"/>
    </row>
    <row r="643" spans="1:2" ht="15" customHeight="1">
      <c r="A643" s="106"/>
      <c r="B643" s="106"/>
    </row>
    <row r="644" spans="1:2" ht="15" customHeight="1">
      <c r="A644" s="106"/>
      <c r="B644" s="106"/>
    </row>
    <row r="645" spans="1:2" ht="15" customHeight="1">
      <c r="A645" s="106"/>
      <c r="B645" s="106"/>
    </row>
    <row r="646" spans="1:2" ht="15" customHeight="1">
      <c r="A646" s="106"/>
      <c r="B646" s="106"/>
    </row>
    <row r="647" spans="1:2" ht="15" customHeight="1">
      <c r="A647" s="106"/>
      <c r="B647" s="106"/>
    </row>
    <row r="648" spans="1:2" ht="15" customHeight="1">
      <c r="A648" s="106"/>
      <c r="B648" s="106"/>
    </row>
    <row r="649" spans="1:2" ht="15" customHeight="1">
      <c r="A649" s="106"/>
      <c r="B649" s="106"/>
    </row>
    <row r="650" spans="1:2" ht="15" customHeight="1">
      <c r="A650" s="106"/>
      <c r="B650" s="106"/>
    </row>
    <row r="651" spans="1:2" ht="15" customHeight="1">
      <c r="A651" s="106"/>
      <c r="B651" s="106"/>
    </row>
    <row r="652" spans="1:2" ht="15" customHeight="1">
      <c r="A652" s="106"/>
      <c r="B652" s="106"/>
    </row>
    <row r="653" spans="1:2" ht="15" customHeight="1">
      <c r="A653" s="106"/>
      <c r="B653" s="106"/>
    </row>
    <row r="654" spans="1:2" ht="15" customHeight="1">
      <c r="A654" s="106"/>
      <c r="B654" s="106"/>
    </row>
    <row r="655" spans="1:2" ht="15" customHeight="1">
      <c r="A655" s="106"/>
      <c r="B655" s="106"/>
    </row>
    <row r="656" spans="1:2" ht="15" customHeight="1">
      <c r="A656" s="106"/>
      <c r="B656" s="106"/>
    </row>
    <row r="657" spans="1:2" ht="15" customHeight="1">
      <c r="A657" s="106"/>
      <c r="B657" s="106"/>
    </row>
    <row r="658" spans="1:2" ht="15" customHeight="1">
      <c r="A658" s="106"/>
      <c r="B658" s="106"/>
    </row>
    <row r="659" spans="1:2" ht="15" customHeight="1">
      <c r="A659" s="106"/>
      <c r="B659" s="106"/>
    </row>
    <row r="660" spans="1:2" ht="15" customHeight="1">
      <c r="A660" s="106"/>
      <c r="B660" s="106"/>
    </row>
    <row r="661" spans="1:2" ht="15" customHeight="1">
      <c r="A661" s="106"/>
      <c r="B661" s="106"/>
    </row>
    <row r="662" spans="1:2" ht="15" customHeight="1">
      <c r="A662" s="106"/>
      <c r="B662" s="106"/>
    </row>
    <row r="663" spans="1:2" ht="15" customHeight="1">
      <c r="A663" s="106"/>
      <c r="B663" s="106"/>
    </row>
    <row r="664" spans="1:2" ht="15" customHeight="1">
      <c r="A664" s="106"/>
      <c r="B664" s="106"/>
    </row>
    <row r="665" spans="1:2" ht="15" customHeight="1">
      <c r="A665" s="106"/>
      <c r="B665" s="106"/>
    </row>
    <row r="666" spans="1:2" ht="15" customHeight="1">
      <c r="A666" s="106"/>
      <c r="B666" s="106"/>
    </row>
    <row r="667" spans="1:2" ht="15" customHeight="1">
      <c r="A667" s="106"/>
      <c r="B667" s="106"/>
    </row>
    <row r="668" spans="1:2" ht="15" customHeight="1">
      <c r="A668" s="106"/>
      <c r="B668" s="106"/>
    </row>
    <row r="669" spans="1:2" ht="15" customHeight="1">
      <c r="A669" s="106"/>
      <c r="B669" s="106"/>
    </row>
    <row r="670" spans="1:2" ht="15" customHeight="1">
      <c r="A670" s="106"/>
      <c r="B670" s="106"/>
    </row>
    <row r="671" spans="1:2" ht="15" customHeight="1">
      <c r="A671" s="106"/>
      <c r="B671" s="106"/>
    </row>
    <row r="672" spans="1:2" ht="15" customHeight="1">
      <c r="A672" s="106"/>
      <c r="B672" s="106"/>
    </row>
    <row r="673" spans="1:2" ht="15" customHeight="1">
      <c r="A673" s="106"/>
      <c r="B673" s="106"/>
    </row>
    <row r="674" spans="1:2" ht="15" customHeight="1">
      <c r="A674" s="106"/>
      <c r="B674" s="106"/>
    </row>
    <row r="675" spans="1:2" ht="15" customHeight="1">
      <c r="A675" s="106"/>
      <c r="B675" s="106"/>
    </row>
    <row r="676" spans="1:2" ht="15" customHeight="1">
      <c r="A676" s="106"/>
      <c r="B676" s="106"/>
    </row>
    <row r="677" spans="1:2" ht="15" customHeight="1">
      <c r="A677" s="106"/>
      <c r="B677" s="106"/>
    </row>
    <row r="678" spans="1:2" ht="15" customHeight="1">
      <c r="A678" s="106"/>
      <c r="B678" s="106"/>
    </row>
    <row r="679" spans="1:2" ht="15" customHeight="1">
      <c r="A679" s="106"/>
      <c r="B679" s="106"/>
    </row>
    <row r="680" spans="1:2" ht="15" customHeight="1">
      <c r="A680" s="106"/>
      <c r="B680" s="106"/>
    </row>
    <row r="681" spans="1:2" ht="15" customHeight="1">
      <c r="A681" s="106"/>
      <c r="B681" s="106"/>
    </row>
    <row r="682" spans="1:2" ht="15" customHeight="1">
      <c r="A682" s="106"/>
      <c r="B682" s="106"/>
    </row>
    <row r="683" spans="1:2" ht="15" customHeight="1">
      <c r="A683" s="106"/>
      <c r="B683" s="106"/>
    </row>
    <row r="684" spans="1:2" ht="15" customHeight="1">
      <c r="A684" s="106"/>
      <c r="B684" s="106"/>
    </row>
    <row r="685" spans="1:2" ht="15" customHeight="1">
      <c r="A685" s="106"/>
      <c r="B685" s="106"/>
    </row>
    <row r="686" spans="1:2" ht="15" customHeight="1">
      <c r="A686" s="106"/>
      <c r="B686" s="106"/>
    </row>
    <row r="687" spans="1:2" ht="15" customHeight="1">
      <c r="A687" s="106"/>
      <c r="B687" s="106"/>
    </row>
    <row r="688" spans="1:2" ht="15" customHeight="1">
      <c r="A688" s="106"/>
      <c r="B688" s="106"/>
    </row>
    <row r="689" spans="1:2" ht="15" customHeight="1">
      <c r="A689" s="106"/>
      <c r="B689" s="106"/>
    </row>
    <row r="690" spans="1:2" ht="15" customHeight="1">
      <c r="A690" s="106"/>
      <c r="B690" s="106"/>
    </row>
    <row r="691" spans="1:2" ht="15" customHeight="1">
      <c r="A691" s="106"/>
      <c r="B691" s="106"/>
    </row>
    <row r="692" spans="1:2" ht="15" customHeight="1">
      <c r="A692" s="106"/>
      <c r="B692" s="106"/>
    </row>
    <row r="693" spans="1:2" ht="15" customHeight="1">
      <c r="A693" s="106"/>
      <c r="B693" s="106"/>
    </row>
    <row r="694" spans="1:2" ht="15" customHeight="1">
      <c r="A694" s="106"/>
      <c r="B694" s="106"/>
    </row>
    <row r="695" spans="1:2" ht="15" customHeight="1">
      <c r="A695" s="106"/>
      <c r="B695" s="106"/>
    </row>
    <row r="696" spans="1:2" ht="15" customHeight="1">
      <c r="A696" s="106"/>
      <c r="B696" s="106"/>
    </row>
    <row r="697" spans="1:2" ht="15" customHeight="1">
      <c r="A697" s="106"/>
      <c r="B697" s="106"/>
    </row>
    <row r="698" spans="1:2" ht="15" customHeight="1">
      <c r="A698" s="106"/>
      <c r="B698" s="106"/>
    </row>
    <row r="699" spans="1:2" ht="15" customHeight="1">
      <c r="A699" s="106"/>
      <c r="B699" s="106"/>
    </row>
    <row r="700" spans="1:2" ht="15" customHeight="1">
      <c r="A700" s="106"/>
      <c r="B700" s="106"/>
    </row>
    <row r="701" spans="1:2" ht="15" customHeight="1">
      <c r="A701" s="106"/>
      <c r="B701" s="106"/>
    </row>
    <row r="702" spans="1:2" ht="15" customHeight="1">
      <c r="A702" s="106"/>
      <c r="B702" s="106"/>
    </row>
    <row r="703" spans="1:2" ht="15" customHeight="1">
      <c r="A703" s="106"/>
      <c r="B703" s="106"/>
    </row>
    <row r="704" spans="1:2" ht="15" customHeight="1">
      <c r="A704" s="106"/>
      <c r="B704" s="106"/>
    </row>
    <row r="705" spans="1:2" ht="15" customHeight="1">
      <c r="A705" s="106"/>
      <c r="B705" s="106"/>
    </row>
    <row r="706" spans="1:2" ht="15" customHeight="1">
      <c r="A706" s="106"/>
      <c r="B706" s="106"/>
    </row>
    <row r="707" spans="1:2" ht="15" customHeight="1">
      <c r="A707" s="106"/>
      <c r="B707" s="106"/>
    </row>
    <row r="708" spans="1:2" ht="15" customHeight="1">
      <c r="A708" s="106"/>
      <c r="B708" s="106"/>
    </row>
    <row r="709" spans="1:2" ht="15" customHeight="1">
      <c r="A709" s="106"/>
      <c r="B709" s="106"/>
    </row>
    <row r="710" spans="1:2" ht="15" customHeight="1">
      <c r="A710" s="106"/>
      <c r="B710" s="106"/>
    </row>
    <row r="711" spans="1:2" ht="15" customHeight="1">
      <c r="A711" s="106"/>
      <c r="B711" s="106"/>
    </row>
    <row r="712" spans="1:2" ht="15" customHeight="1">
      <c r="A712" s="106"/>
      <c r="B712" s="106"/>
    </row>
    <row r="713" spans="1:2" ht="15" customHeight="1">
      <c r="A713" s="106"/>
      <c r="B713" s="106"/>
    </row>
    <row r="714" spans="1:2" ht="15" customHeight="1">
      <c r="A714" s="106"/>
      <c r="B714" s="106"/>
    </row>
    <row r="715" spans="1:2" ht="15" customHeight="1">
      <c r="A715" s="106"/>
      <c r="B715" s="106"/>
    </row>
    <row r="716" spans="1:2" ht="15" customHeight="1">
      <c r="A716" s="106"/>
      <c r="B716" s="106"/>
    </row>
    <row r="717" spans="1:2" ht="15" customHeight="1">
      <c r="A717" s="106"/>
      <c r="B717" s="106"/>
    </row>
    <row r="718" spans="1:2" ht="15" customHeight="1">
      <c r="A718" s="106"/>
      <c r="B718" s="106"/>
    </row>
    <row r="719" spans="1:2" ht="15" customHeight="1">
      <c r="A719" s="106"/>
      <c r="B719" s="106"/>
    </row>
    <row r="720" spans="1:2" ht="15" customHeight="1">
      <c r="A720" s="106"/>
      <c r="B720" s="106"/>
    </row>
    <row r="721" spans="1:2" ht="15" customHeight="1">
      <c r="A721" s="106"/>
      <c r="B721" s="106"/>
    </row>
    <row r="722" spans="1:2" ht="15" customHeight="1">
      <c r="A722" s="106"/>
      <c r="B722" s="106"/>
    </row>
    <row r="723" spans="1:2" ht="15" customHeight="1">
      <c r="A723" s="106"/>
      <c r="B723" s="106"/>
    </row>
    <row r="724" spans="1:2" ht="15" customHeight="1">
      <c r="A724" s="106"/>
      <c r="B724" s="106"/>
    </row>
    <row r="725" spans="1:2" ht="15" customHeight="1">
      <c r="A725" s="106"/>
      <c r="B725" s="106"/>
    </row>
    <row r="726" spans="1:2" ht="15" customHeight="1">
      <c r="A726" s="106"/>
      <c r="B726" s="106"/>
    </row>
    <row r="727" spans="1:2" ht="15" customHeight="1">
      <c r="A727" s="106"/>
      <c r="B727" s="106"/>
    </row>
    <row r="728" spans="1:2" ht="15" customHeight="1">
      <c r="A728" s="106"/>
      <c r="B728" s="106"/>
    </row>
    <row r="729" spans="1:2" ht="15" customHeight="1">
      <c r="A729" s="106"/>
      <c r="B729" s="106"/>
    </row>
    <row r="730" spans="1:2" ht="15" customHeight="1">
      <c r="A730" s="106"/>
      <c r="B730" s="106"/>
    </row>
    <row r="731" spans="1:2" ht="15" customHeight="1">
      <c r="A731" s="106"/>
      <c r="B731" s="106"/>
    </row>
    <row r="732" spans="1:2" ht="15" customHeight="1">
      <c r="A732" s="106"/>
      <c r="B732" s="106"/>
    </row>
    <row r="733" spans="1:2" ht="15" customHeight="1">
      <c r="A733" s="106"/>
      <c r="B733" s="106"/>
    </row>
    <row r="734" spans="1:2" ht="15" customHeight="1">
      <c r="A734" s="106"/>
      <c r="B734" s="106"/>
    </row>
    <row r="735" spans="1:2" ht="15" customHeight="1">
      <c r="A735" s="106"/>
      <c r="B735" s="106"/>
    </row>
    <row r="736" spans="1:2" ht="15" customHeight="1">
      <c r="A736" s="106"/>
      <c r="B736" s="106"/>
    </row>
    <row r="737" spans="1:2" ht="15" customHeight="1">
      <c r="A737" s="106"/>
      <c r="B737" s="106"/>
    </row>
    <row r="738" spans="1:2" ht="15" customHeight="1">
      <c r="A738" s="106"/>
      <c r="B738" s="106"/>
    </row>
    <row r="739" spans="1:2" ht="15" customHeight="1">
      <c r="A739" s="106"/>
      <c r="B739" s="106"/>
    </row>
    <row r="740" spans="1:2" ht="15" customHeight="1">
      <c r="A740" s="106"/>
      <c r="B740" s="106"/>
    </row>
    <row r="741" spans="1:2" ht="15" customHeight="1">
      <c r="A741" s="106"/>
      <c r="B741" s="106"/>
    </row>
    <row r="742" spans="1:2" ht="15" customHeight="1">
      <c r="A742" s="106"/>
      <c r="B742" s="106"/>
    </row>
    <row r="743" spans="1:2" ht="15" customHeight="1">
      <c r="A743" s="106"/>
      <c r="B743" s="106"/>
    </row>
    <row r="744" spans="1:2" ht="15" customHeight="1">
      <c r="A744" s="106"/>
      <c r="B744" s="106"/>
    </row>
    <row r="745" spans="1:2" ht="15" customHeight="1">
      <c r="A745" s="106"/>
      <c r="B745" s="106"/>
    </row>
    <row r="746" spans="1:2" ht="15" customHeight="1">
      <c r="A746" s="106"/>
      <c r="B746" s="106"/>
    </row>
    <row r="747" spans="1:2" ht="15" customHeight="1">
      <c r="A747" s="106"/>
      <c r="B747" s="106"/>
    </row>
    <row r="748" spans="1:2" ht="15" customHeight="1">
      <c r="A748" s="106"/>
      <c r="B748" s="106"/>
    </row>
    <row r="749" spans="1:2" ht="15" customHeight="1">
      <c r="A749" s="106"/>
      <c r="B749" s="106"/>
    </row>
    <row r="750" spans="1:2" ht="15" customHeight="1">
      <c r="A750" s="106"/>
      <c r="B750" s="106"/>
    </row>
    <row r="751" spans="1:2" ht="15" customHeight="1">
      <c r="A751" s="106"/>
      <c r="B751" s="106"/>
    </row>
    <row r="752" spans="1:2" ht="15" customHeight="1">
      <c r="A752" s="106"/>
      <c r="B752" s="106"/>
    </row>
    <row r="753" spans="1:2" ht="15" customHeight="1">
      <c r="A753" s="106"/>
      <c r="B753" s="106"/>
    </row>
    <row r="754" spans="1:2" ht="15" customHeight="1">
      <c r="A754" s="106"/>
      <c r="B754" s="106"/>
    </row>
    <row r="755" spans="1:2" ht="15" customHeight="1">
      <c r="A755" s="106"/>
      <c r="B755" s="106"/>
    </row>
    <row r="756" spans="1:2" ht="15" customHeight="1">
      <c r="A756" s="106"/>
      <c r="B756" s="106"/>
    </row>
    <row r="757" spans="1:2" ht="15" customHeight="1">
      <c r="A757" s="106"/>
      <c r="B757" s="106"/>
    </row>
    <row r="758" spans="1:2" ht="15" customHeight="1">
      <c r="A758" s="106"/>
      <c r="B758" s="106"/>
    </row>
    <row r="759" spans="1:2" ht="15" customHeight="1">
      <c r="A759" s="106"/>
      <c r="B759" s="106"/>
    </row>
    <row r="760" spans="1:2" ht="15" customHeight="1">
      <c r="A760" s="106"/>
      <c r="B760" s="106"/>
    </row>
    <row r="761" spans="1:2" ht="15" customHeight="1">
      <c r="A761" s="106"/>
      <c r="B761" s="106"/>
    </row>
    <row r="762" spans="1:2" ht="15" customHeight="1">
      <c r="A762" s="106"/>
      <c r="B762" s="106"/>
    </row>
    <row r="763" spans="1:2" ht="15" customHeight="1">
      <c r="A763" s="106"/>
      <c r="B763" s="106"/>
    </row>
    <row r="764" spans="1:2" ht="15" customHeight="1">
      <c r="A764" s="106"/>
      <c r="B764" s="106"/>
    </row>
    <row r="765" spans="1:2" ht="15" customHeight="1">
      <c r="A765" s="106"/>
      <c r="B765" s="106"/>
    </row>
    <row r="766" spans="1:2" ht="15" customHeight="1">
      <c r="A766" s="106"/>
      <c r="B766" s="106"/>
    </row>
    <row r="767" spans="1:2" ht="15" customHeight="1">
      <c r="A767" s="106"/>
      <c r="B767" s="106"/>
    </row>
    <row r="768" spans="1:2" ht="15" customHeight="1">
      <c r="A768" s="106"/>
      <c r="B768" s="106"/>
    </row>
    <row r="769" spans="1:2" ht="15" customHeight="1">
      <c r="A769" s="106"/>
      <c r="B769" s="106"/>
    </row>
    <row r="770" spans="1:2" ht="15" customHeight="1">
      <c r="A770" s="106"/>
      <c r="B770" s="106"/>
    </row>
    <row r="771" spans="1:2" ht="15" customHeight="1">
      <c r="A771" s="106"/>
      <c r="B771" s="106"/>
    </row>
    <row r="772" spans="1:2" ht="15" customHeight="1">
      <c r="A772" s="106"/>
      <c r="B772" s="106"/>
    </row>
    <row r="773" spans="1:2" ht="15" customHeight="1">
      <c r="A773" s="106"/>
      <c r="B773" s="106"/>
    </row>
    <row r="774" spans="1:2" ht="15" customHeight="1">
      <c r="A774" s="106"/>
      <c r="B774" s="106"/>
    </row>
    <row r="775" spans="1:2" ht="15" customHeight="1">
      <c r="A775" s="106"/>
      <c r="B775" s="106"/>
    </row>
    <row r="776" spans="1:2" ht="15" customHeight="1">
      <c r="A776" s="106"/>
      <c r="B776" s="106"/>
    </row>
    <row r="777" spans="1:2" ht="15" customHeight="1">
      <c r="A777" s="106"/>
      <c r="B777" s="106"/>
    </row>
    <row r="778" spans="1:2" ht="15" customHeight="1">
      <c r="A778" s="106"/>
      <c r="B778" s="106"/>
    </row>
    <row r="779" spans="1:2" ht="15" customHeight="1">
      <c r="A779" s="106"/>
      <c r="B779" s="106"/>
    </row>
    <row r="780" spans="1:2" ht="15" customHeight="1">
      <c r="A780" s="106"/>
      <c r="B780" s="106"/>
    </row>
    <row r="781" spans="1:2" ht="15" customHeight="1">
      <c r="A781" s="106"/>
      <c r="B781" s="106"/>
    </row>
    <row r="782" spans="1:2" ht="15" customHeight="1">
      <c r="A782" s="106"/>
      <c r="B782" s="106"/>
    </row>
    <row r="783" spans="1:2" ht="15" customHeight="1">
      <c r="A783" s="106"/>
      <c r="B783" s="106"/>
    </row>
    <row r="784" spans="1:2" ht="15" customHeight="1">
      <c r="A784" s="106"/>
      <c r="B784" s="106"/>
    </row>
    <row r="785" spans="1:2" ht="15" customHeight="1">
      <c r="A785" s="106"/>
      <c r="B785" s="106"/>
    </row>
    <row r="786" spans="1:2" ht="15" customHeight="1">
      <c r="A786" s="106"/>
      <c r="B786" s="106"/>
    </row>
    <row r="787" spans="1:2" ht="15" customHeight="1">
      <c r="A787" s="106"/>
      <c r="B787" s="106"/>
    </row>
    <row r="788" spans="1:2" ht="15" customHeight="1">
      <c r="A788" s="106"/>
      <c r="B788" s="106"/>
    </row>
    <row r="789" spans="1:2" ht="15" customHeight="1">
      <c r="A789" s="106"/>
      <c r="B789" s="106"/>
    </row>
    <row r="790" spans="1:2" ht="15" customHeight="1">
      <c r="A790" s="106"/>
      <c r="B790" s="106"/>
    </row>
    <row r="791" spans="1:2" ht="15" customHeight="1">
      <c r="A791" s="106"/>
      <c r="B791" s="106"/>
    </row>
    <row r="792" spans="1:2" ht="15" customHeight="1">
      <c r="A792" s="106"/>
      <c r="B792" s="106"/>
    </row>
    <row r="793" spans="1:2" ht="15" customHeight="1">
      <c r="A793" s="106"/>
      <c r="B793" s="106"/>
    </row>
    <row r="794" spans="1:2" ht="15" customHeight="1">
      <c r="A794" s="106"/>
      <c r="B794" s="106"/>
    </row>
    <row r="795" spans="1:2" ht="15" customHeight="1">
      <c r="A795" s="106"/>
      <c r="B795" s="106"/>
    </row>
    <row r="796" spans="1:2" ht="15" customHeight="1">
      <c r="A796" s="106"/>
      <c r="B796" s="106"/>
    </row>
    <row r="797" spans="1:2" ht="15" customHeight="1">
      <c r="A797" s="106"/>
      <c r="B797" s="106"/>
    </row>
    <row r="798" spans="1:2" ht="15" customHeight="1">
      <c r="A798" s="106"/>
      <c r="B798" s="106"/>
    </row>
    <row r="799" spans="1:2" ht="15" customHeight="1">
      <c r="A799" s="106"/>
      <c r="B799" s="106"/>
    </row>
    <row r="800" spans="1:2" ht="15" customHeight="1">
      <c r="A800" s="106"/>
      <c r="B800" s="106"/>
    </row>
    <row r="801" spans="1:2" ht="15" customHeight="1">
      <c r="A801" s="106"/>
      <c r="B801" s="106"/>
    </row>
    <row r="802" spans="1:2" ht="15" customHeight="1">
      <c r="A802" s="106"/>
      <c r="B802" s="106"/>
    </row>
    <row r="803" spans="1:2" ht="15" customHeight="1">
      <c r="A803" s="106"/>
      <c r="B803" s="106"/>
    </row>
    <row r="804" spans="1:2" ht="15" customHeight="1">
      <c r="A804" s="106"/>
      <c r="B804" s="106"/>
    </row>
    <row r="805" spans="1:2" ht="15" customHeight="1">
      <c r="A805" s="106"/>
      <c r="B805" s="106"/>
    </row>
    <row r="806" spans="1:2" ht="15" customHeight="1">
      <c r="A806" s="106"/>
      <c r="B806" s="106"/>
    </row>
    <row r="807" spans="1:2" ht="15" customHeight="1">
      <c r="A807" s="106"/>
      <c r="B807" s="106"/>
    </row>
    <row r="808" spans="1:2" ht="15" customHeight="1">
      <c r="A808" s="106"/>
      <c r="B808" s="106"/>
    </row>
    <row r="809" spans="1:2" ht="15" customHeight="1">
      <c r="A809" s="106"/>
      <c r="B809" s="106"/>
    </row>
    <row r="810" spans="1:2" ht="15" customHeight="1">
      <c r="A810" s="106"/>
      <c r="B810" s="106"/>
    </row>
    <row r="811" spans="1:2" ht="15" customHeight="1">
      <c r="A811" s="106"/>
      <c r="B811" s="106"/>
    </row>
    <row r="812" spans="1:2" ht="15" customHeight="1">
      <c r="A812" s="106"/>
      <c r="B812" s="106"/>
    </row>
    <row r="813" spans="1:2" ht="15" customHeight="1">
      <c r="A813" s="106"/>
      <c r="B813" s="106"/>
    </row>
    <row r="814" spans="1:2" ht="15" customHeight="1">
      <c r="A814" s="106"/>
      <c r="B814" s="106"/>
    </row>
    <row r="815" spans="1:2" ht="15" customHeight="1">
      <c r="A815" s="106"/>
      <c r="B815" s="106"/>
    </row>
    <row r="816" spans="1:2" ht="15" customHeight="1">
      <c r="A816" s="106"/>
      <c r="B816" s="106"/>
    </row>
    <row r="817" spans="1:2" ht="15" customHeight="1">
      <c r="A817" s="106"/>
      <c r="B817" s="106"/>
    </row>
    <row r="818" spans="1:2" ht="15" customHeight="1">
      <c r="A818" s="106"/>
      <c r="B818" s="106"/>
    </row>
    <row r="819" spans="1:2" ht="15" customHeight="1">
      <c r="A819" s="106"/>
      <c r="B819" s="106"/>
    </row>
    <row r="820" spans="1:2" ht="15" customHeight="1">
      <c r="A820" s="106"/>
      <c r="B820" s="106"/>
    </row>
    <row r="821" spans="1:2" ht="15" customHeight="1">
      <c r="A821" s="106"/>
      <c r="B821" s="106"/>
    </row>
    <row r="822" spans="1:2" ht="15" customHeight="1">
      <c r="A822" s="106"/>
      <c r="B822" s="106"/>
    </row>
    <row r="823" spans="1:2" ht="15" customHeight="1">
      <c r="A823" s="106"/>
      <c r="B823" s="106"/>
    </row>
    <row r="824" spans="1:2" ht="15" customHeight="1">
      <c r="A824" s="106"/>
      <c r="B824" s="106"/>
    </row>
    <row r="825" spans="1:2" ht="15" customHeight="1">
      <c r="A825" s="106"/>
      <c r="B825" s="106"/>
    </row>
    <row r="826" spans="1:2" ht="15" customHeight="1">
      <c r="A826" s="106"/>
      <c r="B826" s="106"/>
    </row>
    <row r="827" spans="1:2" ht="15" customHeight="1">
      <c r="A827" s="106"/>
      <c r="B827" s="106"/>
    </row>
    <row r="828" spans="1:2" ht="15" customHeight="1">
      <c r="A828" s="106"/>
      <c r="B828" s="106"/>
    </row>
    <row r="829" spans="1:2" ht="15" customHeight="1">
      <c r="A829" s="106"/>
      <c r="B829" s="106"/>
    </row>
    <row r="830" spans="1:2" ht="15" customHeight="1">
      <c r="A830" s="106"/>
      <c r="B830" s="106"/>
    </row>
    <row r="831" spans="1:2" ht="15" customHeight="1">
      <c r="A831" s="106"/>
      <c r="B831" s="106"/>
    </row>
    <row r="832" spans="1:2" ht="15" customHeight="1">
      <c r="A832" s="106"/>
      <c r="B832" s="106"/>
    </row>
    <row r="833" spans="1:2" ht="15" customHeight="1">
      <c r="A833" s="106"/>
      <c r="B833" s="106"/>
    </row>
    <row r="834" spans="1:2" ht="15" customHeight="1">
      <c r="A834" s="106"/>
      <c r="B834" s="106"/>
    </row>
    <row r="835" spans="1:2" ht="15" customHeight="1">
      <c r="A835" s="106"/>
      <c r="B835" s="106"/>
    </row>
    <row r="836" spans="1:2" ht="15" customHeight="1">
      <c r="A836" s="106"/>
      <c r="B836" s="106"/>
    </row>
    <row r="837" spans="1:2" ht="15" customHeight="1">
      <c r="A837" s="106"/>
      <c r="B837" s="106"/>
    </row>
    <row r="838" spans="1:2" ht="15" customHeight="1">
      <c r="A838" s="106"/>
      <c r="B838" s="106"/>
    </row>
    <row r="839" spans="1:2" ht="15" customHeight="1">
      <c r="A839" s="106"/>
      <c r="B839" s="106"/>
    </row>
    <row r="840" spans="1:2" ht="15" customHeight="1">
      <c r="A840" s="106"/>
      <c r="B840" s="106"/>
    </row>
    <row r="841" spans="1:2" ht="15" customHeight="1">
      <c r="A841" s="106"/>
      <c r="B841" s="106"/>
    </row>
    <row r="842" spans="1:2" ht="15" customHeight="1">
      <c r="A842" s="106"/>
      <c r="B842" s="106"/>
    </row>
    <row r="843" spans="1:2" ht="15" customHeight="1">
      <c r="A843" s="106"/>
      <c r="B843" s="106"/>
    </row>
    <row r="844" spans="1:2" ht="15" customHeight="1">
      <c r="A844" s="106"/>
      <c r="B844" s="106"/>
    </row>
    <row r="845" spans="1:2" ht="15" customHeight="1">
      <c r="A845" s="106"/>
      <c r="B845" s="106"/>
    </row>
    <row r="846" spans="1:2" ht="15" customHeight="1">
      <c r="A846" s="106"/>
      <c r="B846" s="106"/>
    </row>
    <row r="847" spans="1:2" ht="15" customHeight="1">
      <c r="A847" s="106"/>
      <c r="B847" s="106"/>
    </row>
    <row r="848" spans="1:2" ht="15" customHeight="1">
      <c r="A848" s="106"/>
      <c r="B848" s="106"/>
    </row>
    <row r="849" spans="1:2" ht="15" customHeight="1">
      <c r="A849" s="106"/>
      <c r="B849" s="106"/>
    </row>
    <row r="850" spans="1:2" ht="15" customHeight="1">
      <c r="A850" s="106"/>
      <c r="B850" s="106"/>
    </row>
    <row r="851" spans="1:2" ht="15" customHeight="1">
      <c r="A851" s="106"/>
      <c r="B851" s="106"/>
    </row>
    <row r="852" spans="1:2" ht="15" customHeight="1">
      <c r="A852" s="106"/>
      <c r="B852" s="106"/>
    </row>
    <row r="853" spans="1:2" ht="15" customHeight="1">
      <c r="A853" s="106"/>
      <c r="B853" s="106"/>
    </row>
    <row r="854" spans="1:2" ht="15" customHeight="1">
      <c r="A854" s="106"/>
      <c r="B854" s="106"/>
    </row>
    <row r="855" spans="1:2" ht="15" customHeight="1">
      <c r="A855" s="106"/>
      <c r="B855" s="106"/>
    </row>
    <row r="856" spans="1:2" ht="15" customHeight="1">
      <c r="A856" s="106"/>
      <c r="B856" s="106"/>
    </row>
    <row r="857" spans="1:2" ht="15" customHeight="1">
      <c r="A857" s="106"/>
      <c r="B857" s="106"/>
    </row>
    <row r="858" spans="1:2" ht="15" customHeight="1">
      <c r="A858" s="106"/>
      <c r="B858" s="106"/>
    </row>
    <row r="859" spans="1:2" ht="15" customHeight="1">
      <c r="A859" s="106"/>
      <c r="B859" s="106"/>
    </row>
    <row r="860" spans="1:2" ht="15" customHeight="1">
      <c r="A860" s="106"/>
      <c r="B860" s="106"/>
    </row>
    <row r="861" spans="1:2" ht="15" customHeight="1">
      <c r="A861" s="106"/>
      <c r="B861" s="106"/>
    </row>
    <row r="862" spans="1:2" ht="15" customHeight="1">
      <c r="A862" s="106"/>
      <c r="B862" s="106"/>
    </row>
    <row r="863" spans="1:2" ht="15" customHeight="1">
      <c r="A863" s="106"/>
      <c r="B863" s="106"/>
    </row>
    <row r="864" spans="1:2" ht="15" customHeight="1">
      <c r="A864" s="106"/>
      <c r="B864" s="106"/>
    </row>
    <row r="865" spans="1:2" ht="15" customHeight="1">
      <c r="A865" s="106"/>
      <c r="B865" s="106"/>
    </row>
    <row r="866" spans="1:2" ht="15" customHeight="1">
      <c r="A866" s="106"/>
      <c r="B866" s="106"/>
    </row>
    <row r="867" spans="1:2" ht="15" customHeight="1">
      <c r="A867" s="106"/>
      <c r="B867" s="106"/>
    </row>
    <row r="868" spans="1:2" ht="15" customHeight="1">
      <c r="A868" s="106"/>
      <c r="B868" s="106"/>
    </row>
    <row r="869" spans="1:2" ht="15" customHeight="1">
      <c r="A869" s="106"/>
      <c r="B869" s="106"/>
    </row>
    <row r="870" spans="1:2" ht="15" customHeight="1">
      <c r="A870" s="106"/>
      <c r="B870" s="106"/>
    </row>
    <row r="871" spans="1:2" ht="15" customHeight="1">
      <c r="A871" s="106"/>
      <c r="B871" s="106"/>
    </row>
    <row r="872" spans="1:2" ht="15" customHeight="1">
      <c r="A872" s="106"/>
      <c r="B872" s="106"/>
    </row>
    <row r="873" spans="1:2" ht="15" customHeight="1">
      <c r="A873" s="106"/>
      <c r="B873" s="106"/>
    </row>
    <row r="874" spans="1:2" ht="15" customHeight="1">
      <c r="A874" s="106"/>
      <c r="B874" s="106"/>
    </row>
    <row r="875" spans="1:2" ht="15" customHeight="1">
      <c r="A875" s="106"/>
      <c r="B875" s="106"/>
    </row>
    <row r="876" spans="1:2" ht="15" customHeight="1">
      <c r="A876" s="106"/>
      <c r="B876" s="106"/>
    </row>
    <row r="877" spans="1:2" ht="15" customHeight="1">
      <c r="A877" s="106"/>
      <c r="B877" s="106"/>
    </row>
    <row r="878" spans="1:2" ht="15" customHeight="1">
      <c r="A878" s="106"/>
      <c r="B878" s="106"/>
    </row>
    <row r="879" spans="1:2" ht="15" customHeight="1">
      <c r="A879" s="106"/>
      <c r="B879" s="106"/>
    </row>
    <row r="880" spans="1:2" ht="15" customHeight="1">
      <c r="A880" s="106"/>
      <c r="B880" s="106"/>
    </row>
    <row r="881" spans="1:2" ht="15" customHeight="1">
      <c r="A881" s="106"/>
      <c r="B881" s="106"/>
    </row>
    <row r="882" spans="1:2" ht="15" customHeight="1">
      <c r="A882" s="106"/>
      <c r="B882" s="106"/>
    </row>
    <row r="883" spans="1:2" ht="15" customHeight="1">
      <c r="A883" s="106"/>
      <c r="B883" s="106"/>
    </row>
    <row r="884" spans="1:2" ht="15" customHeight="1">
      <c r="A884" s="106"/>
      <c r="B884" s="106"/>
    </row>
    <row r="885" spans="1:2" ht="15" customHeight="1">
      <c r="A885" s="106"/>
      <c r="B885" s="106"/>
    </row>
    <row r="886" spans="1:2" ht="15" customHeight="1">
      <c r="A886" s="106"/>
      <c r="B886" s="106"/>
    </row>
    <row r="887" spans="1:2" ht="15" customHeight="1">
      <c r="A887" s="106"/>
      <c r="B887" s="106"/>
    </row>
    <row r="888" spans="1:2" ht="15" customHeight="1">
      <c r="A888" s="106"/>
      <c r="B888" s="106"/>
    </row>
    <row r="889" spans="1:2" ht="15" customHeight="1">
      <c r="A889" s="106"/>
      <c r="B889" s="106"/>
    </row>
    <row r="890" spans="1:2" ht="15" customHeight="1">
      <c r="A890" s="106"/>
      <c r="B890" s="106"/>
    </row>
    <row r="891" spans="1:2" ht="15" customHeight="1">
      <c r="A891" s="106"/>
      <c r="B891" s="106"/>
    </row>
    <row r="892" spans="1:2" ht="15" customHeight="1">
      <c r="A892" s="106"/>
      <c r="B892" s="106"/>
    </row>
    <row r="893" spans="1:2" ht="15" customHeight="1">
      <c r="A893" s="106"/>
      <c r="B893" s="106"/>
    </row>
    <row r="894" spans="1:2" ht="15" customHeight="1">
      <c r="A894" s="106"/>
      <c r="B894" s="106"/>
    </row>
    <row r="895" spans="1:2" ht="15" customHeight="1">
      <c r="A895" s="106"/>
      <c r="B895" s="106"/>
    </row>
    <row r="896" spans="1:2" ht="15" customHeight="1">
      <c r="A896" s="106"/>
      <c r="B896" s="106"/>
    </row>
    <row r="897" spans="1:2" ht="15" customHeight="1">
      <c r="A897" s="106"/>
      <c r="B897" s="106"/>
    </row>
    <row r="898" spans="1:2" ht="15" customHeight="1">
      <c r="A898" s="106"/>
      <c r="B898" s="106"/>
    </row>
    <row r="899" spans="1:2" ht="15" customHeight="1">
      <c r="A899" s="106"/>
      <c r="B899" s="106"/>
    </row>
    <row r="900" spans="1:2" ht="15" customHeight="1">
      <c r="A900" s="106"/>
      <c r="B900" s="106"/>
    </row>
    <row r="901" spans="1:2" ht="15" customHeight="1">
      <c r="A901" s="106"/>
      <c r="B901" s="106"/>
    </row>
    <row r="902" spans="1:2" ht="15" customHeight="1">
      <c r="A902" s="106"/>
      <c r="B902" s="106"/>
    </row>
    <row r="903" spans="1:2" ht="15" customHeight="1">
      <c r="A903" s="106"/>
      <c r="B903" s="106"/>
    </row>
    <row r="904" spans="1:2" ht="15" customHeight="1">
      <c r="A904" s="106"/>
      <c r="B904" s="106"/>
    </row>
    <row r="905" spans="1:2" ht="15" customHeight="1">
      <c r="A905" s="106"/>
      <c r="B905" s="106"/>
    </row>
    <row r="906" spans="1:2" ht="15" customHeight="1">
      <c r="A906" s="106"/>
      <c r="B906" s="106"/>
    </row>
    <row r="907" spans="1:2" ht="15" customHeight="1">
      <c r="A907" s="106"/>
      <c r="B907" s="106"/>
    </row>
    <row r="908" spans="1:2" ht="15" customHeight="1">
      <c r="A908" s="106"/>
      <c r="B908" s="106"/>
    </row>
    <row r="909" spans="1:2" ht="15" customHeight="1">
      <c r="A909" s="106"/>
      <c r="B909" s="106"/>
    </row>
    <row r="910" spans="1:2" ht="15" customHeight="1">
      <c r="A910" s="106"/>
      <c r="B910" s="106"/>
    </row>
    <row r="911" spans="1:2" ht="15" customHeight="1">
      <c r="A911" s="106"/>
      <c r="B911" s="106"/>
    </row>
    <row r="912" spans="1:2" ht="15" customHeight="1">
      <c r="A912" s="106"/>
      <c r="B912" s="106"/>
    </row>
    <row r="913" spans="1:2" ht="15" customHeight="1">
      <c r="A913" s="106"/>
      <c r="B913" s="106"/>
    </row>
    <row r="914" spans="1:2" ht="15" customHeight="1">
      <c r="A914" s="106"/>
      <c r="B914" s="106"/>
    </row>
    <row r="915" spans="1:2" ht="15" customHeight="1">
      <c r="A915" s="106"/>
      <c r="B915" s="106"/>
    </row>
    <row r="916" spans="1:2" ht="15" customHeight="1">
      <c r="A916" s="106"/>
      <c r="B916" s="106"/>
    </row>
    <row r="917" spans="1:2" ht="15" customHeight="1">
      <c r="A917" s="106"/>
      <c r="B917" s="106"/>
    </row>
    <row r="918" spans="1:2" ht="15" customHeight="1">
      <c r="A918" s="106"/>
      <c r="B918" s="106"/>
    </row>
    <row r="919" spans="1:2" ht="15" customHeight="1">
      <c r="A919" s="106"/>
      <c r="B919" s="106"/>
    </row>
    <row r="920" spans="1:2" ht="15" customHeight="1">
      <c r="A920" s="106"/>
      <c r="B920" s="106"/>
    </row>
    <row r="921" spans="1:2" ht="15" customHeight="1">
      <c r="A921" s="106"/>
      <c r="B921" s="106"/>
    </row>
    <row r="922" spans="1:2" ht="15" customHeight="1">
      <c r="A922" s="106"/>
      <c r="B922" s="106"/>
    </row>
    <row r="923" spans="1:2" ht="15" customHeight="1">
      <c r="A923" s="106"/>
      <c r="B923" s="106"/>
    </row>
    <row r="924" spans="1:2" ht="15" customHeight="1">
      <c r="A924" s="106"/>
      <c r="B924" s="106"/>
    </row>
    <row r="925" spans="1:2" ht="15" customHeight="1">
      <c r="A925" s="106"/>
      <c r="B925" s="106"/>
    </row>
    <row r="926" spans="1:2" ht="15" customHeight="1">
      <c r="A926" s="106"/>
      <c r="B926" s="106"/>
    </row>
    <row r="927" spans="1:2" ht="15" customHeight="1">
      <c r="A927" s="106"/>
      <c r="B927" s="106"/>
    </row>
    <row r="928" spans="1:2" ht="15" customHeight="1">
      <c r="A928" s="106"/>
      <c r="B928" s="106"/>
    </row>
    <row r="929" spans="1:2" ht="15" customHeight="1">
      <c r="A929" s="106"/>
      <c r="B929" s="106"/>
    </row>
    <row r="930" spans="1:2" ht="15" customHeight="1">
      <c r="A930" s="106"/>
      <c r="B930" s="106"/>
    </row>
    <row r="931" spans="1:2" ht="15" customHeight="1">
      <c r="A931" s="106"/>
      <c r="B931" s="106"/>
    </row>
    <row r="932" spans="1:2" ht="15" customHeight="1">
      <c r="A932" s="106"/>
      <c r="B932" s="106"/>
    </row>
    <row r="933" spans="1:2" ht="15" customHeight="1">
      <c r="A933" s="106"/>
      <c r="B933" s="106"/>
    </row>
    <row r="934" spans="1:2" ht="15" customHeight="1">
      <c r="A934" s="106"/>
      <c r="B934" s="106"/>
    </row>
    <row r="935" spans="1:2" ht="15" customHeight="1">
      <c r="A935" s="106"/>
      <c r="B935" s="106"/>
    </row>
    <row r="936" spans="1:2" ht="15" customHeight="1">
      <c r="A936" s="106"/>
      <c r="B936" s="106"/>
    </row>
    <row r="937" spans="1:2" ht="15" customHeight="1">
      <c r="A937" s="106"/>
      <c r="B937" s="106"/>
    </row>
    <row r="938" spans="1:2" ht="15" customHeight="1">
      <c r="A938" s="106"/>
      <c r="B938" s="106"/>
    </row>
    <row r="939" spans="1:2" ht="15" customHeight="1">
      <c r="A939" s="106"/>
      <c r="B939" s="106"/>
    </row>
    <row r="940" spans="1:2" ht="15" customHeight="1">
      <c r="A940" s="106"/>
      <c r="B940" s="106"/>
    </row>
    <row r="941" spans="1:2" ht="15" customHeight="1">
      <c r="A941" s="106"/>
      <c r="B941" s="106"/>
    </row>
    <row r="942" spans="1:2" ht="15" customHeight="1">
      <c r="A942" s="106"/>
      <c r="B942" s="106"/>
    </row>
    <row r="943" spans="1:2" ht="15" customHeight="1">
      <c r="A943" s="106"/>
      <c r="B943" s="106"/>
    </row>
    <row r="944" spans="1:2" ht="15" customHeight="1">
      <c r="A944" s="106"/>
      <c r="B944" s="106"/>
    </row>
    <row r="945" spans="1:2" ht="15" customHeight="1">
      <c r="A945" s="106"/>
      <c r="B945" s="106"/>
    </row>
    <row r="946" spans="1:2" ht="15" customHeight="1">
      <c r="A946" s="106"/>
      <c r="B946" s="106"/>
    </row>
    <row r="947" spans="1:2" ht="15" customHeight="1">
      <c r="A947" s="106"/>
      <c r="B947" s="106"/>
    </row>
    <row r="948" spans="1:2" ht="15" customHeight="1">
      <c r="A948" s="106"/>
      <c r="B948" s="106"/>
    </row>
    <row r="949" spans="1:2" ht="15" customHeight="1">
      <c r="A949" s="106"/>
      <c r="B949" s="106"/>
    </row>
    <row r="950" spans="1:2" ht="15" customHeight="1">
      <c r="A950" s="106"/>
      <c r="B950" s="106"/>
    </row>
    <row r="951" spans="1:2" ht="15" customHeight="1">
      <c r="A951" s="106"/>
      <c r="B951" s="106"/>
    </row>
    <row r="952" spans="1:2" ht="15" customHeight="1">
      <c r="A952" s="106"/>
      <c r="B952" s="106"/>
    </row>
    <row r="953" spans="1:2" ht="15" customHeight="1">
      <c r="A953" s="106"/>
      <c r="B953" s="106"/>
    </row>
    <row r="954" spans="1:2" ht="15" customHeight="1">
      <c r="A954" s="106"/>
      <c r="B954" s="106"/>
    </row>
    <row r="955" spans="1:2" ht="15" customHeight="1">
      <c r="A955" s="106"/>
      <c r="B955" s="106"/>
    </row>
    <row r="956" spans="1:2" ht="15" customHeight="1">
      <c r="A956" s="106"/>
      <c r="B956" s="106"/>
    </row>
    <row r="957" spans="1:2" ht="15" customHeight="1">
      <c r="A957" s="106"/>
      <c r="B957" s="106"/>
    </row>
    <row r="958" spans="1:2" ht="15" customHeight="1">
      <c r="A958" s="106"/>
      <c r="B958" s="106"/>
    </row>
    <row r="959" spans="1:2" ht="15" customHeight="1">
      <c r="A959" s="106"/>
      <c r="B959" s="106"/>
    </row>
    <row r="960" spans="1:2" ht="15" customHeight="1">
      <c r="A960" s="106"/>
      <c r="B960" s="106"/>
    </row>
    <row r="961" spans="1:2" ht="15" customHeight="1">
      <c r="A961" s="106"/>
      <c r="B961" s="106"/>
    </row>
    <row r="962" spans="1:2" ht="15" customHeight="1">
      <c r="A962" s="106"/>
      <c r="B962" s="106"/>
    </row>
    <row r="963" spans="1:2" ht="15" customHeight="1">
      <c r="A963" s="106"/>
      <c r="B963" s="106"/>
    </row>
    <row r="964" spans="1:2" ht="15" customHeight="1">
      <c r="A964" s="106"/>
      <c r="B964" s="106"/>
    </row>
    <row r="965" spans="1:2" ht="15" customHeight="1">
      <c r="A965" s="106"/>
      <c r="B965" s="106"/>
    </row>
    <row r="966" spans="1:2" ht="15" customHeight="1">
      <c r="A966" s="106"/>
      <c r="B966" s="106"/>
    </row>
    <row r="967" spans="1:2" ht="15" customHeight="1">
      <c r="A967" s="106"/>
      <c r="B967" s="106"/>
    </row>
    <row r="968" spans="1:2" ht="15" customHeight="1">
      <c r="A968" s="106"/>
      <c r="B968" s="106"/>
    </row>
    <row r="969" spans="1:2" ht="15" customHeight="1">
      <c r="A969" s="106"/>
      <c r="B969" s="106"/>
    </row>
    <row r="970" spans="1:2" ht="15" customHeight="1">
      <c r="A970" s="106"/>
      <c r="B970" s="106"/>
    </row>
    <row r="971" spans="1:2" ht="15" customHeight="1">
      <c r="A971" s="106"/>
      <c r="B971" s="106"/>
    </row>
    <row r="972" spans="1:2" ht="15" customHeight="1">
      <c r="A972" s="106"/>
      <c r="B972" s="106"/>
    </row>
    <row r="973" spans="1:2" ht="15" customHeight="1">
      <c r="A973" s="106"/>
      <c r="B973" s="106"/>
    </row>
    <row r="974" spans="1:2" ht="15" customHeight="1">
      <c r="A974" s="106"/>
      <c r="B974" s="106"/>
    </row>
    <row r="975" spans="1:2" ht="15" customHeight="1">
      <c r="A975" s="106"/>
      <c r="B975" s="106"/>
    </row>
    <row r="976" spans="1:2" ht="15" customHeight="1">
      <c r="A976" s="106"/>
      <c r="B976" s="106"/>
    </row>
    <row r="977" spans="1:2" ht="15" customHeight="1">
      <c r="A977" s="106"/>
      <c r="B977" s="106"/>
    </row>
    <row r="978" spans="1:2" ht="15" customHeight="1">
      <c r="A978" s="106"/>
      <c r="B978" s="106"/>
    </row>
    <row r="979" spans="1:2" ht="15" customHeight="1">
      <c r="A979" s="106"/>
      <c r="B979" s="106"/>
    </row>
    <row r="980" spans="1:2" ht="15" customHeight="1">
      <c r="A980" s="106"/>
      <c r="B980" s="106"/>
    </row>
    <row r="981" spans="1:2" ht="15" customHeight="1">
      <c r="A981" s="106"/>
      <c r="B981" s="106"/>
    </row>
    <row r="982" spans="1:2" ht="15" customHeight="1">
      <c r="A982" s="106"/>
      <c r="B982" s="106"/>
    </row>
    <row r="983" spans="1:2" ht="15" customHeight="1">
      <c r="A983" s="106"/>
      <c r="B983" s="106"/>
    </row>
    <row r="984" spans="1:2" ht="15" customHeight="1">
      <c r="A984" s="106"/>
      <c r="B984" s="106"/>
    </row>
    <row r="985" spans="1:2" ht="15" customHeight="1">
      <c r="A985" s="106"/>
      <c r="B985" s="106"/>
    </row>
    <row r="986" spans="1:2" ht="15" customHeight="1">
      <c r="A986" s="106"/>
      <c r="B986" s="106"/>
    </row>
    <row r="987" spans="1:2" ht="15" customHeight="1">
      <c r="A987" s="106"/>
      <c r="B987" s="106"/>
    </row>
    <row r="988" spans="1:2" ht="15" customHeight="1">
      <c r="A988" s="106"/>
      <c r="B988" s="106"/>
    </row>
    <row r="989" spans="1:2" ht="15" customHeight="1">
      <c r="A989" s="106"/>
      <c r="B989" s="106"/>
    </row>
  </sheetData>
  <mergeCells count="9">
    <mergeCell ref="A21:B21"/>
    <mergeCell ref="A27:B27"/>
    <mergeCell ref="A28:B28"/>
    <mergeCell ref="A34:A35"/>
    <mergeCell ref="A1:B1"/>
    <mergeCell ref="A2:B2"/>
    <mergeCell ref="A12:B12"/>
    <mergeCell ref="A13:B13"/>
    <mergeCell ref="A20:B20"/>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Lam Nguyen Duc</cp:lastModifiedBy>
  <cp:revision>0</cp:revision>
  <dcterms:created xsi:type="dcterms:W3CDTF">2026-05-12T11:22:22Z</dcterms:created>
  <dcterms:modified xsi:type="dcterms:W3CDTF">2026-09-22T08:49:14Z</dcterms:modified>
  <cp:category/>
  <cp:contentStatus/>
</cp:coreProperties>
</file>