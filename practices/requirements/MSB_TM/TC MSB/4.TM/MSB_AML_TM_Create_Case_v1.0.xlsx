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9"/>
  <workbookPr/>
  <mc:AlternateContent xmlns:mc="http://schemas.openxmlformats.org/markup-compatibility/2006">
    <mc:Choice Requires="x15">
      <x15ac:absPath xmlns:x15ac="http://schemas.microsoft.com/office/spreadsheetml/2010/11/ac" url="D:\FIS\MSB_AML\Test\TM\Testcase\"/>
    </mc:Choice>
  </mc:AlternateContent>
  <xr:revisionPtr revIDLastSave="0" documentId="8_{D304447D-D780-44F5-A788-6E5D3F36EB81}" xr6:coauthVersionLast="47" xr6:coauthVersionMax="47" xr10:uidLastSave="{00000000-0000-0000-0000-000000000000}"/>
  <bookViews>
    <workbookView xWindow="0" yWindow="0" windowWidth="21600" windowHeight="9570" tabRatio="500" firstSheet="3" activeTab="3" xr2:uid="{00000000-000D-0000-FFFF-FFFF00000000}"/>
  </bookViews>
  <sheets>
    <sheet name="Cover" sheetId="1" r:id="rId1"/>
    <sheet name="Records" sheetId="2" r:id="rId2"/>
    <sheet name="Test Report" sheetId="3" r:id="rId3"/>
    <sheet name="Create Case" sheetId="4" r:id="rId4"/>
    <sheet name="Legend" sheetId="5" r:id="rId5"/>
  </sheets>
  <definedNames>
    <definedName name="_xlnm._FilterDatabase" localSheetId="3" hidden="1">'Create Case'!$A$21:$O$53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53" i="4" l="1"/>
  <c r="A52" i="4"/>
  <c r="A51" i="4"/>
  <c r="A50" i="4"/>
  <c r="A49" i="4"/>
  <c r="A48" i="4"/>
  <c r="A47" i="4"/>
  <c r="A46" i="4"/>
  <c r="A45" i="4"/>
  <c r="A44" i="4"/>
  <c r="A43" i="4"/>
  <c r="A42" i="4"/>
  <c r="B41" i="4"/>
  <c r="A41" i="4"/>
  <c r="A40" i="4"/>
  <c r="C39" i="4"/>
  <c r="A39" i="4"/>
  <c r="C38" i="4"/>
  <c r="A38" i="4"/>
  <c r="C37" i="4"/>
  <c r="A37" i="4"/>
  <c r="C36" i="4"/>
  <c r="A36" i="4"/>
  <c r="C35" i="4"/>
  <c r="A35" i="4"/>
  <c r="C34" i="4"/>
  <c r="A34" i="4"/>
  <c r="C33" i="4"/>
  <c r="A33" i="4"/>
  <c r="C32" i="4"/>
  <c r="A32" i="4"/>
  <c r="C31" i="4"/>
  <c r="A31" i="4"/>
  <c r="C30" i="4"/>
  <c r="A30" i="4"/>
  <c r="A29" i="4"/>
  <c r="A28" i="4"/>
  <c r="A27" i="4"/>
  <c r="B26" i="4"/>
  <c r="A26" i="4"/>
  <c r="A25" i="4"/>
  <c r="B24" i="4"/>
  <c r="A24" i="4"/>
  <c r="A23" i="4"/>
  <c r="A22" i="4"/>
  <c r="E20" i="4"/>
  <c r="D20" i="4"/>
  <c r="C20" i="4"/>
  <c r="F20" i="4" s="1"/>
  <c r="E19" i="4"/>
  <c r="D19" i="4"/>
  <c r="C19" i="4"/>
  <c r="F19" i="4" s="1"/>
  <c r="E18" i="4"/>
  <c r="D18" i="4"/>
  <c r="C18" i="4"/>
  <c r="E17" i="4"/>
  <c r="D17" i="4"/>
  <c r="C17" i="4"/>
  <c r="F17" i="4" s="1"/>
  <c r="E16" i="4"/>
  <c r="D16" i="4"/>
  <c r="C16" i="4"/>
  <c r="F16" i="4" s="1"/>
  <c r="E15" i="4"/>
  <c r="E14" i="4" s="1"/>
  <c r="D15" i="4"/>
  <c r="D14" i="4" s="1"/>
  <c r="C15" i="4"/>
  <c r="C14" i="4" s="1"/>
  <c r="F14" i="4" s="1"/>
  <c r="E11" i="4"/>
  <c r="D11" i="4"/>
  <c r="C11" i="4"/>
  <c r="F11" i="4" s="1"/>
  <c r="E10" i="4"/>
  <c r="D10" i="4"/>
  <c r="C10" i="4"/>
  <c r="F10" i="4" s="1"/>
  <c r="E9" i="4"/>
  <c r="D9" i="4"/>
  <c r="C9" i="4"/>
  <c r="F9" i="4" s="1"/>
  <c r="E8" i="4"/>
  <c r="D8" i="4"/>
  <c r="C8" i="4"/>
  <c r="E7" i="4"/>
  <c r="D7" i="4"/>
  <c r="C7" i="4"/>
  <c r="F7" i="4" s="1"/>
  <c r="E6" i="4"/>
  <c r="D6" i="4"/>
  <c r="D5" i="4" s="1"/>
  <c r="C6" i="4"/>
  <c r="G19" i="3"/>
  <c r="F19" i="3"/>
  <c r="F18" i="3" s="1"/>
  <c r="E19" i="3"/>
  <c r="E18" i="3" s="1"/>
  <c r="D19" i="3"/>
  <c r="D18" i="3" s="1"/>
  <c r="C19" i="3"/>
  <c r="C18" i="3" s="1"/>
  <c r="B19" i="3"/>
  <c r="B18" i="3" s="1"/>
  <c r="H18" i="3" s="1"/>
  <c r="G16" i="3"/>
  <c r="F16" i="3"/>
  <c r="F15" i="3" s="1"/>
  <c r="E16" i="3"/>
  <c r="E15" i="3" s="1"/>
  <c r="D16" i="3"/>
  <c r="D15" i="3" s="1"/>
  <c r="C16" i="3"/>
  <c r="C15" i="3" s="1"/>
  <c r="B16" i="3"/>
  <c r="B15" i="3" s="1"/>
  <c r="C5" i="4" l="1"/>
  <c r="H15" i="3"/>
  <c r="F8" i="4"/>
  <c r="F18" i="4"/>
  <c r="B27" i="4"/>
  <c r="F15" i="4"/>
  <c r="F6" i="4"/>
  <c r="B42" i="4"/>
  <c r="E5" i="4"/>
  <c r="F5" i="4" s="1"/>
  <c r="B28" i="4" l="1"/>
  <c r="B44" i="4"/>
  <c r="B43" i="4"/>
  <c r="B45" i="4" l="1"/>
  <c r="B29" i="4"/>
  <c r="B46" i="4"/>
  <c r="B30" i="4" l="1"/>
  <c r="B47" i="4"/>
  <c r="B48" i="4" l="1"/>
  <c r="B49" i="4" s="1"/>
  <c r="B50" i="4" s="1"/>
  <c r="B51" i="4" s="1"/>
  <c r="B52" i="4" s="1"/>
  <c r="B53" i="4" s="1"/>
  <c r="B31" i="4"/>
  <c r="B32" i="4" l="1"/>
  <c r="B33" i="4" s="1"/>
  <c r="B34" i="4" s="1"/>
  <c r="B35" i="4" l="1"/>
  <c r="B36" i="4" s="1"/>
  <c r="B37" i="4" s="1"/>
  <c r="B38" i="4" s="1"/>
  <c r="B3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1" authorId="0" shapeId="0" xr:uid="{00000000-0006-0000-0100-000001000000}">
      <text>
        <r>
          <rPr>
            <sz val="10"/>
            <rFont val="Arial"/>
            <family val="2"/>
          </rPr>
          <t>PC:
A: Add
M: Modify
D: Delete</t>
        </r>
      </text>
    </comment>
  </commentList>
</comments>
</file>

<file path=xl/sharedStrings.xml><?xml version="1.0" encoding="utf-8"?>
<sst xmlns="http://schemas.openxmlformats.org/spreadsheetml/2006/main" count="435" uniqueCount="224">
  <si>
    <t>Test Report</t>
  </si>
  <si>
    <t>Project Name:</t>
  </si>
  <si>
    <t>DỰ ÁN TRIỂN KHAI BẢN QUYỀN PHẦN MỀM HỆ THỐNG AML MỚI</t>
  </si>
  <si>
    <t>Reviewer:</t>
  </si>
  <si>
    <t xml:space="preserve"> </t>
  </si>
  <si>
    <t>Document Code:</t>
  </si>
  <si>
    <t>MSB_AML_TM_Create_Case</t>
  </si>
  <si>
    <t>Position:</t>
  </si>
  <si>
    <t>Originator:</t>
  </si>
  <si>
    <t>Reviewed Date:</t>
  </si>
  <si>
    <t>Approver:</t>
  </si>
  <si>
    <t>Created Date:</t>
  </si>
  <si>
    <t>Version:</t>
  </si>
  <si>
    <t>1.2</t>
  </si>
  <si>
    <t>Approved Date:</t>
  </si>
  <si>
    <t>TABLE OF CONTENT</t>
  </si>
  <si>
    <t>No</t>
  </si>
  <si>
    <t>Items</t>
  </si>
  <si>
    <t>Content</t>
  </si>
  <si>
    <t>Cover</t>
  </si>
  <si>
    <t>Records</t>
  </si>
  <si>
    <t>Record of changes</t>
  </si>
  <si>
    <t>This test report is used to summarize the testing status of the test case set</t>
  </si>
  <si>
    <t>Create Case</t>
  </si>
  <si>
    <t>Testcase chức năng khởi tạo case thủ công (Create Case) và gán giao dịch vào case (Add Transaction) - theo BRD MSB TM v1.8, mục CM-1.2</t>
  </si>
  <si>
    <t>Legend</t>
  </si>
  <si>
    <t>Chú giải các giá trị sử dụng trong tài liệu</t>
  </si>
  <si>
    <t>Effective Date</t>
  </si>
  <si>
    <t>A, M, D</t>
  </si>
  <si>
    <t xml:space="preserve">Change Description </t>
  </si>
  <si>
    <t>New Version</t>
  </si>
  <si>
    <t>Author</t>
  </si>
  <si>
    <t>A</t>
  </si>
  <si>
    <t>Tạo mới testcase Create Case (khởi tạo case thủ công)</t>
  </si>
  <si>
    <t>1.0</t>
  </si>
  <si>
    <t>M</t>
  </si>
  <si>
    <t>Bổ sung nhóm TM_CC_5 - Add Transaction</t>
  </si>
  <si>
    <t>1.1</t>
  </si>
  <si>
    <t>Bỏ nhóm kiểm tra phân quyền &amp; gán Assignee (chuyển sang bộ testcase MTPQ - Ma trận phân quyền); đánh số lại nhóm Add Transaction thành TM_CC_3</t>
  </si>
  <si>
    <t>SYSTEM TEST REPORT</t>
  </si>
  <si>
    <t>Project</t>
  </si>
  <si>
    <t>Project manager</t>
  </si>
  <si>
    <t>Application</t>
  </si>
  <si>
    <t>AML Transaction Monitoring - Create Case</t>
  </si>
  <si>
    <t>Approved Date</t>
  </si>
  <si>
    <t>Consolidated By</t>
  </si>
  <si>
    <t>Reviewed By</t>
  </si>
  <si>
    <t>Build Versions</t>
  </si>
  <si>
    <t>Reviewed date</t>
  </si>
  <si>
    <t>Test Environment</t>
  </si>
  <si>
    <t>SIT</t>
  </si>
  <si>
    <t>Last Updated Date</t>
  </si>
  <si>
    <t>Test Execution Summary</t>
  </si>
  <si>
    <t>Reported by</t>
  </si>
  <si>
    <t>Date</t>
  </si>
  <si>
    <t>Test Results (Round1)</t>
  </si>
  <si>
    <t>Passed</t>
  </si>
  <si>
    <t>Failed</t>
  </si>
  <si>
    <t>Untested</t>
  </si>
  <si>
    <t>Accepted</t>
  </si>
  <si>
    <t>Pending</t>
  </si>
  <si>
    <t>Cancel</t>
  </si>
  <si>
    <t>Total</t>
  </si>
  <si>
    <t xml:space="preserve">Test cases </t>
  </si>
  <si>
    <t>Test Results (Round2)</t>
  </si>
  <si>
    <t>Test coverage</t>
  </si>
  <si>
    <t>Test successful coverage</t>
  </si>
  <si>
    <t>Issues</t>
  </si>
  <si>
    <t>1. Block testing issue</t>
  </si>
  <si>
    <t>2. Critical defects</t>
  </si>
  <si>
    <t xml:space="preserve">  </t>
  </si>
  <si>
    <t>Functions</t>
  </si>
  <si>
    <t>Build Version</t>
  </si>
  <si>
    <t>v1.2</t>
  </si>
  <si>
    <t>ROUND 1</t>
  </si>
  <si>
    <t>High</t>
  </si>
  <si>
    <t>Medium</t>
  </si>
  <si>
    <t>Low</t>
  </si>
  <si>
    <t>ROUND2</t>
  </si>
  <si>
    <t>STT</t>
  </si>
  <si>
    <t>Test case Id</t>
  </si>
  <si>
    <t>Test case Title</t>
  </si>
  <si>
    <t>Pre-conditions</t>
  </si>
  <si>
    <t>Test Steps</t>
  </si>
  <si>
    <t>Test Datas</t>
  </si>
  <si>
    <t>Expected result</t>
  </si>
  <si>
    <t>Priority</t>
  </si>
  <si>
    <t>Automation Status</t>
  </si>
  <si>
    <t>1st Test Results</t>
  </si>
  <si>
    <t>2nd Test Results</t>
  </si>
  <si>
    <t>3rd Test Results</t>
  </si>
  <si>
    <t>BugID</t>
  </si>
  <si>
    <t>Notes</t>
  </si>
  <si>
    <t>TM_CC</t>
  </si>
  <si>
    <t>Màn hình khởi tạo case thủ công</t>
  </si>
  <si>
    <t>TM_CC_1</t>
  </si>
  <si>
    <t>Kiểm tra giao diện hiển thị</t>
  </si>
  <si>
    <t>Kiểm tra giao diện hiển thị màn hình khởi tạo case thủ công</t>
  </si>
  <si>
    <t>User đã đăng nhập hệ thống và được phân quyền xử lý case nghiệp vụ TM</t>
  </si>
  <si>
    <t>1. Truy cập chức năng khởi tạo case thủ công (Create Case)
2. Chọn Type = AML_MN
3. Kiểm tra các trường hiển thị trên màn hình</t>
  </si>
  <si>
    <t>Màn hình hiển thị đầy đủ các trường theo đúng yêu cầu:
- Type
- Title
- Jurisdiction
- Business Domain
- Priority
- Due
- Owner
- Assignee
- Created By
- Description
Các nút chức năng:
- Reset
- Create</t>
  </si>
  <si>
    <t>N</t>
  </si>
  <si>
    <t>TM_CC_2</t>
  </si>
  <si>
    <t>Kiểm tra chức năng tạo mới case thủ công</t>
  </si>
  <si>
    <t>Tạo mới case thủ công thành công khi nhập đầy đủ thông tin bắt buộc</t>
  </si>
  <si>
    <t>1. Truy cập chức năng khởi tạo case thủ công (Create Case)
2. Chọn Type = AML_MN
3. Nhập/chọn đầy đủ các trường bắt buộc (*): Type, Jurisdiction, Business Domain, Owner, Assignee, Created By, Description
4. Nhấn nút Create</t>
  </si>
  <si>
    <t>Hệ thống tạo case thành công, tự động sinh Case ID cho case vừa tạo và hiển thị thông báo tạo case thành công</t>
  </si>
  <si>
    <t>Kiểm tra Case ID được hệ thống tự động sinh khi tạo case thủ công</t>
  </si>
  <si>
    <t>1. Truy cập chức năng khởi tạo case thủ công (Create Case)
2. Nhập/chọn đầy đủ các trường bắt buộc
3. Nhấn nút Create
4. Kiểm tra Case ID của case vừa được tạo</t>
  </si>
  <si>
    <t>Hệ thống tự động sinh Case ID cho case vừa tạo. Người dùng không tự nhập/chỉnh sửa được Case ID trên màn hình khởi tạo</t>
  </si>
  <si>
    <t>Kiểm tra chức năng Reset</t>
  </si>
  <si>
    <t>1. Truy cập chức năng khởi tạo case thủ công (Create Case)
2. Nhập/chọn giá trị bất kỳ vào các trường trên màn hình
3. Nhấn nút Reset</t>
  </si>
  <si>
    <t>Hệ thống xóa sạch dữ liệu người dùng đã nhập, các trường trở về trạng thái mặc định ban đầu, cho phép người dùng nhập lại từ đầu</t>
  </si>
  <si>
    <t>Kiểm tra tạo case thủ công không thành công khi bỏ trống trường bắt buộc</t>
  </si>
  <si>
    <t>1. Truy cập chức năng khởi tạo case thủ công (Create Case)
2. Bỏ trống 1 trong các trường bắt buộc (Type/Jurisdiction/Business Domain/Owner/Assignee/Created By/Description)
3. Nhấn nút Create</t>
  </si>
  <si>
    <t>Hệ thống hiển thị thông báo yêu cầu nhập đầy đủ các trường bắt buộc, không tạo case</t>
  </si>
  <si>
    <t>[Inference] BRD chưa mô tả nội dung message lỗi cụ thể; test case được bổ sung theo nguyên tắc validate trường bắt buộc (M) tại mục CM-1.2. Cần xác nhận nội dung thông báo khi SIT/UAT.</t>
  </si>
  <si>
    <t>1. Truy cập chức năng khởi tạo case thủ công (Create Case)
2. Kiểm tra/chỉnh sửa trường Type</t>
  </si>
  <si>
    <t>Type</t>
  </si>
  <si>
    <t>Hệ thống hiển thị giá trị drop-down list, bắt buộc chọn, gồm giá trị:
- AML_MN</t>
  </si>
  <si>
    <t>1. Truy cập chức năng khởi tạo case thủ công (Create Case)
2. Kiểm tra/chỉnh sửa trường Title</t>
  </si>
  <si>
    <t>Title</t>
  </si>
  <si>
    <t>Hệ thống cho phép nhập tự do (free text), không bắt buộc nhập</t>
  </si>
  <si>
    <t>[Unverified] BRD không quy định giới hạn ký tự cụ thể cho trường Title - cần xác nhận thêm.</t>
  </si>
  <si>
    <t>1. Truy cập chức năng khởi tạo case thủ công (Create Case)
2. Kiểm tra/chỉnh sửa trường Jurisdiction</t>
  </si>
  <si>
    <t>Jurisdiction</t>
  </si>
  <si>
    <t>Hệ thống hiển thị giá trị drop-down list, bắt buộc chọn, mặc định (default): All</t>
  </si>
  <si>
    <t>1. Truy cập chức năng khởi tạo case thủ công (Create Case)
2. Kiểm tra/chỉnh sửa trường Business Domain</t>
  </si>
  <si>
    <t>Business Domain</t>
  </si>
  <si>
    <t>1. Truy cập chức năng khởi tạo case thủ công (Create Case)
2. Kiểm tra/chỉnh sửa trường Priority</t>
  </si>
  <si>
    <t>Hệ thống hiển thị giá trị drop-down list, không bắt buộc chọn, gồm 3 giá trị:
- High
- Medium
- Low</t>
  </si>
  <si>
    <t>1. Truy cập chức năng khởi tạo case thủ công (Create Case)
2. Kiểm tra/chỉnh sửa trường Due</t>
  </si>
  <si>
    <t>Due</t>
  </si>
  <si>
    <t>Hệ thống cho phép nhập theo định dạng ngày MM/DD/YYYY, không bắt buộc nhập</t>
  </si>
  <si>
    <t>1. Truy cập chức năng khởi tạo case thủ công (Create Case)
2. Kiểm tra/chỉnh sửa trường Owner</t>
  </si>
  <si>
    <t>Owner</t>
  </si>
  <si>
    <t>Hệ thống hiển thị giá trị drop-down list là danh sách user được phân quyền xử lý case nghiệp vụ TM, bắt buộc chọn</t>
  </si>
  <si>
    <t>1. Truy cập chức năng khởi tạo case thủ công (Create Case)
2. Kiểm tra/chỉnh sửa trường Assignee</t>
  </si>
  <si>
    <t>Assignee</t>
  </si>
  <si>
    <t>1. Truy cập chức năng khởi tạo case thủ công (Create Case)
2. Kiểm tra/chỉnh sửa trường Created By</t>
  </si>
  <si>
    <t>Created By</t>
  </si>
  <si>
    <t>1. Truy cập chức năng khởi tạo case thủ công (Create Case)
2. Kiểm tra/chỉnh sửa trường Description</t>
  </si>
  <si>
    <t>Description</t>
  </si>
  <si>
    <t>Hệ thống cho phép nhập tự do (free text), bắt buộc nhập</t>
  </si>
  <si>
    <t>[Unverified] BRD không quy định giới hạn ký tự cụ thể cho trường Description - cần xác nhận thêm.</t>
  </si>
  <si>
    <t>TM_CC_3</t>
  </si>
  <si>
    <t>Kiểm tra chức năng tìm kiếm/gán thông tin giao dịch vào case thủ công (Add Transaction)</t>
  </si>
  <si>
    <t>Kiểm tra giao diện màn hình Add Transaction</t>
  </si>
  <si>
    <t>Case thủ công đã được tạo thành công (tham chiếu nhóm TM_CC_2)</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</si>
  <si>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t>
  </si>
  <si>
    <t>Màn hình hiển thị 2 lựa chọn:
- Add Transaction Manually
- Search Existing Entities</t>
  </si>
  <si>
    <t>Kiểm tra giao diện màn hình Add Transaction Manually - lựa chọn loại giao dịch</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</si>
  <si>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Add Transaction Manually</t>
  </si>
  <si>
    <t>Màn hình hiển thị Select Transaction Type gồm:
- Cash Transaction
- Funds Transfer
- Back Office Transaction
- Monetary Instrument Transaction</t>
  </si>
  <si>
    <t>[Unverified] Danh sách trường chi tiết theo loại giao dịch tham khảo theo cấu hình OFSAA trong tài liệu testcase tham khảo (BRD MSB mục CM-1.2 chỉ nêu khái quát: Transaction ID, Transaction type, Transaction base amount, Transaction date, Party ID,...). Cần đối chiếu lại với cấu hình OFSAA thực tế của MSB trước khi SIT/UAT.</t>
  </si>
  <si>
    <t>Kiểm tra giao diện màn hình Add Transaction Manually / Cash Transaction</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</si>
  <si>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Add Transaction Manually
6. Select Transaction Type chọn Cash Transaction</t>
  </si>
  <si>
    <t>Màn hình hiển thị các trường:
- Date
- Type 1
- Type 2
- Type 3
- Type 4
- Debit/Credit
- Base Amount
- Account ID
- Account Risk
- Location ID
- Location Name
- Transaction Reference ID
Các nút chức năng:
- Reset
- Save</t>
  </si>
  <si>
    <t>Kiểm tra giao diện màn hình Add Transaction Manually / Funds Transfer</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</si>
  <si>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Add Transaction Manually
6. Select Transaction Type chọn Funds Transfer</t>
  </si>
  <si>
    <t>Màn hình hiển thị các trường:
- Transaction Reference ID
- Date
- Type 1
- Type 2
- Type 3
- Type 4
- Base Amount
- 3P/PT
- Originator Name
- Originator Account ID
- Beneficiary Name
- Beneficiary Account ID
- Send FI
- Send FI ID
- Receiving FI
- Receiving FI ID
- Originator Risk
- Beneficiary Risk
Các nút chức năng:
- Reset
- Save</t>
  </si>
  <si>
    <t>Kiểm tra giao diện màn hình Add Transaction Manually / Back Office Transaction</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</si>
  <si>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Add Transaction Manually
6. Select Transaction Type chọn Back Office Transaction</t>
  </si>
  <si>
    <t>Màn hình hiển thị các trường:
- Date
- Account ID
- Offset Account ID
- Security ID
- Quantity
- Debit/Credit
- Base Amount
- Type 1
- Type 2
- Type 3
- Type 4
- Transaction Reference ID
- Description
- Account Risk
- Offset Account Risk
- Overall Risk
Các nút chức năng:
- Reset
- Save</t>
  </si>
  <si>
    <t>Kiểm tra giao diện màn hình Add Transaction Manually / Monetary Instrument Transaction</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</si>
  <si>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Add Transaction Manually
6. Select Transaction Type chọn Monetary Instrument Transaction</t>
  </si>
  <si>
    <t>Màn hình hiển thị các trường:
- Transaction Reference ID
- Issue Date
- Deposit Date
- Clearing Date
- 3P/PT
- Post Date
- Type 1
- Type 2
- Type 3
- Type 4
- Serial/Check #
- Base Amount
- Remitter Name
- Remitter Account ID
- Beneficiary Name
- Beneficiary Account ID
- Comments
- Issuing FI ID
- Instrument
- Clearing FI
- Clearing FI ID
- Depositing FI
- Depositing FI ID
- Remitter Risk
- Beneficiary Risk
Các nút chức năng:
- Reset
- Save</t>
  </si>
  <si>
    <t>Kiểm tra chức năng Reset khi Add Transaction Manually</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</si>
  <si>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Add Transaction Manually, chọn 1 loại giao dịch bất kỳ
6. Nhập giá trị vào các trường trên màn hình
7. Nhấn Reset</t>
  </si>
  <si>
    <t>Hệ thống xóa sạch dữ liệu người dùng đã nhập, cho phép người dùng nhập lại từ đầu</t>
  </si>
  <si>
    <t>Kiểm tra thêm mới giao dịch thủ công (Add Transaction Manually) thành công</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</si>
  <si>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Add Transaction Manually, chọn 1 loại giao dịch
6. Nhập đầy đủ các trường bắt buộc và các trường thông tin khác
7. Nhấn Save</t>
  </si>
  <si>
    <t>Hệ thống thêm mới giao dịch thành công, hiển thị giao dịch vừa thêm trên lưới Transaction List</t>
  </si>
  <si>
    <t>Kiểm tra thêm mới giao dịch không thành công khi bỏ trống trường bắt buộc</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</si>
  <si>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Add Transaction Manually, chọn 1 loại giao dịch
6. Bỏ trống 1 trong các trường bắt buộc
7. Nhấn Save</t>
  </si>
  <si>
    <t>Hệ thống hiển thị thông báo yêu cầu nhập đầy đủ các trường bắt buộc, không lưu giao dịch</t>
  </si>
  <si>
    <t>[Inference] BRD MSB chưa liệt kê cụ thể trường nào là bắt buộc khi Add Transaction. Test case dùng các trường đã nêu tại CM-1.2 làm ví dụ (Transaction ID, Transaction type, Transaction base amount, Transaction date). Cần xác nhận danh sách trường bắt buộc chính xác khi SIT/UAT.</t>
  </si>
  <si>
    <t>Kiểm tra giao diện màn hình Search Existing Entities (tìm kiếm giao dịch có sẵn)</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</si>
  <si>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Search Existing Entities</t>
  </si>
  <si>
    <t>Màn hình hiển thị các trường tìm kiếm:
- Transaction ID
- Transaction type
- Transaction date
- Transaction base amount
- Party ID
Các nút chức năng:
- Reset
- Search
Kết quả tìm kiếm (Transaction List) hiển thị tối thiểu:
- Transaction ID
- Transaction type
- Transaction base amount
- Transaction date
- Party ID</t>
  </si>
  <si>
    <t>[Inference] Trường tìm kiếm/hiển thị xây dựng theo field giao dịch nêu tại BRD mục CM-1.2 (Transaction ID, Transaction type, Transaction base amount, Transaction date, Party ID). Test case tương ứng trong tài liệu testcase tham khảo mô tả trường của khách hàng (Citizenship Status, Occupation, Credit Score...), không khớp đối tượng giao dịch nên không sử dụng làm căn cứ - cần xác nhận lại field thực tế khi SIT/UAT.</t>
  </si>
  <si>
    <t>Kiểm tra chức năng Reset màn hình Search Existing Entities</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</si>
  <si>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Search Existing Entities
6. Nhập thông tin vào các trường tìm kiếm
7. Nhấn Reset</t>
  </si>
  <si>
    <t>Thông tin đã nhập bị xóa, màn hình trở về trạng thái ban đầu</t>
  </si>
  <si>
    <t>Kiểm tra tìm kiếm giao dịch khi không tồn tại bản ghi nào</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</si>
  <si>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Search Existing Entities
6. Nhập điều kiện tìm kiếm không tồn tại trong hệ thống
7. Nhấn Search</t>
  </si>
  <si>
    <t>Hệ thống hiển thị thông báo "No data found for this search"</t>
  </si>
  <si>
    <t>Kiểm tra gán giao dịch tìm kiếm được vào case thủ công thành công</t>
  </si>
  <si>
    <t>1. Truy cập theo đường dẫn Enterprise Case Management/Enterprise Case Investigation/Case Search and List
2. Chọn case thủ công cần bổ sung thông tin giao dịch
3. Trên màn hình Case Summary, chọn Tab Entities/Transaction
4. Tại mục Transaction List, chọn "+" để Add Transaction
5. Chọn Search Existing Entities
6. Nhập điều kiện tìm kiếm hợp lệ, nhấn Search
7. Tại kết quả tìm kiếm (Transaction List), chọn giao dịch cần gán, nhấn "+"</t>
  </si>
  <si>
    <t>Hệ thống tìm kiếm thành công theo điều kiện đã nhập; giao dịch được chọn hiển thị đúng thông tin và được gán (thêm) thành công vào Transaction List của case</t>
  </si>
  <si>
    <t>Giai đoạn kiểm thử</t>
  </si>
  <si>
    <t>Test Level</t>
  </si>
  <si>
    <t>Giá trị</t>
  </si>
  <si>
    <t>Giải thích</t>
  </si>
  <si>
    <t>Value</t>
  </si>
  <si>
    <t>UT</t>
  </si>
  <si>
    <t>Kiểm thử kỹ thuật (Unit Test) (IT thực hiện)</t>
  </si>
  <si>
    <t>Kiểm thử tích hợp hệ thống (System Integration Test) (IT thực hiện)</t>
  </si>
  <si>
    <t>OAT</t>
  </si>
  <si>
    <t>Kiểm thử vận hành (Operation Acceptance Test) (IT thực hiện)</t>
  </si>
  <si>
    <t>ST</t>
  </si>
  <si>
    <t>Kiểm thử an ninh thông tin (Security Test) (IT thực hiện)</t>
  </si>
  <si>
    <t>UAT</t>
  </si>
  <si>
    <t>Kiểm thử người dùng cuối (User Acceptance Test) (ĐVNV thực hiện)</t>
  </si>
  <si>
    <t>Độ ưu tiên</t>
  </si>
  <si>
    <t>Ưu tiên cao</t>
  </si>
  <si>
    <t>Ưu tiên trung bình</t>
  </si>
  <si>
    <t>Ưu tiên thấp/không ưu tiên</t>
  </si>
  <si>
    <t>Cách thực hiện test</t>
  </si>
  <si>
    <t>Y</t>
  </si>
  <si>
    <t>Thực hiện Auto test</t>
  </si>
  <si>
    <t>Thực hiện Manual test</t>
  </si>
  <si>
    <t>Trạng thái</t>
  </si>
  <si>
    <t>Status</t>
  </si>
  <si>
    <t>Chưa thực hiện</t>
  </si>
  <si>
    <t>Đạt yêu cầu</t>
  </si>
  <si>
    <t>Không đạt yêu cầu</t>
  </si>
  <si>
    <t>Một testcase tạm dừng thực hiện do ảnh hưởng bởi testcase khác fail hoặc cần xác nhận từ các bên liên quan.</t>
  </si>
  <si>
    <t>Không thực hiện</t>
  </si>
  <si>
    <t>Total = 'Untested' + 'Passed' + 'Failed' + 'Pending' + 'Cancel</t>
  </si>
  <si>
    <t>% Executed</t>
  </si>
  <si>
    <t>% Executed = ('Total' - 'Todo' - 'Un-executed')/'Total'</t>
  </si>
  <si>
    <t>% Pass</t>
  </si>
  <si>
    <t>% Pass = 'Pass'/'Total'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</si>
</sst>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d\-mmm\-yy;@"/>
    <numFmt numFmtId="165" formatCode="[$-409]d\-mmm\-yy;@"/>
    <numFmt numFmtId="166" formatCode="[$]@"/>
    <numFmt numFmtId="167" formatCode="[$-409]0"/>
    <numFmt numFmtId="168" formatCode="0.0"/>
    <numFmt numFmtId="169" formatCode="yyyy\-mm\-dd\ h:mm:ss"/>
    <numFmt numFmtId="170" formatCode="d\-mmm\-yy;@"/>
  </numFmts>
  <fonts count="46">
    <font>
      <sz val="11"/>
      <color theme="1"/>
      <name val="Calibri"/>
      <family val="2"/>
      <charset val="1"/>
    </font>
    <font>
      <sz val="10"/>
      <name val="Arial"/>
      <family val="2"/>
    </font>
    <font>
      <sz val="11"/>
      <color rgb="FF000000"/>
      <name val="Calibri"/>
      <family val="2"/>
      <charset val="1"/>
    </font>
    <font>
      <sz val="10"/>
      <name val="Arial"/>
      <family val="2"/>
      <charset val="1"/>
    </font>
    <font>
      <sz val="11"/>
      <name val="明朝"/>
      <family val="1"/>
      <charset val="128"/>
    </font>
    <font>
      <sz val="11"/>
      <name val="Tahoma"/>
      <family val="2"/>
      <charset val="1"/>
    </font>
    <font>
      <sz val="10"/>
      <name val="Tahoma"/>
      <family val="2"/>
      <charset val="1"/>
    </font>
    <font>
      <b/>
      <sz val="9"/>
      <color rgb="FF333399"/>
      <name val="Tahoma"/>
      <family val="2"/>
      <charset val="1"/>
    </font>
    <font>
      <b/>
      <sz val="9"/>
      <name val="Tahoma"/>
      <family val="2"/>
      <charset val="1"/>
    </font>
    <font>
      <b/>
      <sz val="26"/>
      <color rgb="FF008000"/>
      <name val="Tahoma"/>
      <family val="2"/>
      <charset val="1"/>
    </font>
    <font>
      <b/>
      <sz val="26"/>
      <name val="Tahoma"/>
      <family val="2"/>
      <charset val="1"/>
    </font>
    <font>
      <b/>
      <sz val="36"/>
      <color rgb="FF1F497D"/>
      <name val="Arial"/>
      <family val="2"/>
      <charset val="1"/>
    </font>
    <font>
      <b/>
      <sz val="9"/>
      <color rgb="FF0000FF"/>
      <name val="Tahoma"/>
      <family val="2"/>
      <charset val="1"/>
    </font>
    <font>
      <b/>
      <sz val="10"/>
      <color rgb="FF1F497D"/>
      <name val="Arial"/>
      <family val="2"/>
      <charset val="1"/>
    </font>
    <font>
      <b/>
      <sz val="10"/>
      <color rgb="FF44546A"/>
      <name val="Arial"/>
      <family val="2"/>
      <charset val="1"/>
    </font>
    <font>
      <sz val="10"/>
      <color rgb="FF1F497D"/>
      <name val="Arial"/>
      <family val="2"/>
      <charset val="1"/>
    </font>
    <font>
      <sz val="9"/>
      <color rgb="FF0000FF"/>
      <name val="Tahoma"/>
      <family val="2"/>
      <charset val="1"/>
    </font>
    <font>
      <sz val="9"/>
      <name val="Tahoma"/>
      <family val="2"/>
      <charset val="1"/>
    </font>
    <font>
      <b/>
      <sz val="14"/>
      <color rgb="FF1F497D"/>
      <name val="Arial"/>
      <family val="2"/>
      <charset val="1"/>
    </font>
    <font>
      <b/>
      <sz val="10"/>
      <color rgb="FF0000FF"/>
      <name val="Arial"/>
      <family val="2"/>
      <charset val="1"/>
    </font>
    <font>
      <b/>
      <sz val="10"/>
      <color rgb="FFFFFFFF"/>
      <name val="Arial"/>
      <family val="2"/>
      <charset val="1"/>
    </font>
    <font>
      <u/>
      <sz val="11"/>
      <color theme="10"/>
      <name val="Calibri"/>
      <family val="2"/>
      <charset val="1"/>
    </font>
    <font>
      <sz val="10"/>
      <color rgb="FF000000"/>
      <name val="Arial"/>
      <family val="2"/>
      <charset val="1"/>
    </font>
    <font>
      <b/>
      <sz val="10"/>
      <name val="Arial"/>
      <family val="2"/>
      <charset val="1"/>
    </font>
    <font>
      <b/>
      <sz val="22"/>
      <name val="Arial"/>
      <family val="2"/>
      <charset val="1"/>
    </font>
    <font>
      <b/>
      <sz val="8"/>
      <name val="Arial"/>
      <family val="2"/>
      <charset val="1"/>
    </font>
    <font>
      <sz val="9"/>
      <color rgb="FF000000"/>
      <name val="Arial"/>
      <family val="2"/>
      <charset val="1"/>
    </font>
    <font>
      <sz val="9"/>
      <name val="Arial"/>
      <family val="2"/>
      <charset val="1"/>
    </font>
    <font>
      <b/>
      <sz val="11"/>
      <color rgb="FFFF0000"/>
      <name val="Arial"/>
      <family val="2"/>
      <charset val="1"/>
    </font>
    <font>
      <b/>
      <sz val="8"/>
      <color rgb="FF000000"/>
      <name val="Arial"/>
      <family val="2"/>
      <charset val="1"/>
    </font>
    <font>
      <b/>
      <i/>
      <sz val="8"/>
      <color rgb="FF000000"/>
      <name val="Arial"/>
      <family val="2"/>
      <charset val="1"/>
    </font>
    <font>
      <i/>
      <sz val="10"/>
      <color rgb="FF000000"/>
      <name val="Arial"/>
      <family val="2"/>
      <charset val="1"/>
    </font>
    <font>
      <b/>
      <sz val="10"/>
      <color rgb="FF000000"/>
      <name val="Arial"/>
      <family val="2"/>
      <charset val="1"/>
    </font>
    <font>
      <b/>
      <sz val="12"/>
      <color rgb="FF1F497D"/>
      <name val="Times New Roman"/>
      <family val="1"/>
      <charset val="1"/>
    </font>
    <font>
      <b/>
      <sz val="11"/>
      <name val="Times New Roman"/>
      <family val="1"/>
      <charset val="1"/>
    </font>
    <font>
      <sz val="11"/>
      <name val="Times New Roman"/>
      <family val="1"/>
      <charset val="1"/>
    </font>
    <font>
      <b/>
      <sz val="12"/>
      <name val="Times New Roman"/>
      <family val="1"/>
      <charset val="1"/>
    </font>
    <font>
      <b/>
      <sz val="11"/>
      <color rgb="FFC00000"/>
      <name val="Times New Roman"/>
      <family val="1"/>
      <charset val="1"/>
    </font>
    <font>
      <sz val="10"/>
      <color rgb="FF000000"/>
      <name val="Arial"/>
      <family val="2"/>
    </font>
    <font>
      <b/>
      <sz val="10"/>
      <color rgb="FFFFFFFF"/>
      <name val="Arial"/>
      <family val="2"/>
    </font>
    <font>
      <b/>
      <sz val="10"/>
      <color rgb="FF000000"/>
      <name val="Arial"/>
      <family val="2"/>
    </font>
    <font>
      <i/>
      <sz val="9"/>
      <color rgb="FF9C5700"/>
      <name val="Arial"/>
      <family val="2"/>
    </font>
    <font>
      <b/>
      <sz val="12"/>
      <color rgb="FFFF0000"/>
      <name val="Times New Roman"/>
      <family val="1"/>
    </font>
    <font>
      <i/>
      <sz val="12"/>
      <color rgb="FFFF0000"/>
      <name val="Times New Roman"/>
      <family val="1"/>
    </font>
    <font>
      <sz val="12"/>
      <color rgb="FF000000"/>
      <name val="Times New Roman"/>
      <family val="1"/>
    </font>
    <font>
      <sz val="10"/>
      <color rgb="FFFF0000"/>
      <name val="Arial"/>
      <family val="2"/>
    </font>
  </fonts>
  <fills count="20">
    <fill>
      <patternFill patternType="none"/>
    </fill>
    <fill>
      <patternFill patternType="gray125"/>
    </fill>
    <fill>
      <patternFill patternType="solid">
        <fgColor rgb="FFFFFFFF"/>
        <bgColor rgb="FFFFF2CC"/>
      </patternFill>
    </fill>
    <fill>
      <patternFill patternType="solid">
        <fgColor rgb="FFCCFFCC"/>
        <bgColor rgb="FFCCFFFF"/>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C6D9F1"/>
      </patternFill>
    </fill>
    <fill>
      <patternFill patternType="solid">
        <fgColor rgb="FFB4C7E7"/>
        <bgColor rgb="FFBDD7EE"/>
      </patternFill>
    </fill>
    <fill>
      <patternFill patternType="solid">
        <fgColor theme="7" tint="0.59987182226020086"/>
        <bgColor rgb="FFBFBFBF"/>
      </patternFill>
    </fill>
    <fill>
      <patternFill patternType="solid">
        <fgColor rgb="FFFFF2CC"/>
        <bgColor rgb="FFFDE9D9"/>
      </patternFill>
    </fill>
    <fill>
      <patternFill patternType="solid">
        <fgColor rgb="FF2F5597"/>
        <bgColor rgb="FF1F497D"/>
      </patternFill>
    </fill>
    <fill>
      <patternFill patternType="solid">
        <fgColor rgb="FF558ED5"/>
        <bgColor rgb="FF548DD4"/>
      </patternFill>
    </fill>
    <fill>
      <patternFill patternType="solid">
        <fgColor rgb="FFC6D9F1"/>
        <bgColor rgb="FFBDD7EE"/>
      </patternFill>
    </fill>
    <fill>
      <patternFill patternType="solid">
        <fgColor rgb="FFFDE9D9"/>
        <bgColor rgb="FFFFF2CC"/>
      </patternFill>
    </fill>
    <fill>
      <patternFill patternType="solid">
        <fgColor rgb="FF00B0F0"/>
        <bgColor rgb="FF008080"/>
      </patternFill>
    </fill>
    <fill>
      <patternFill patternType="solid">
        <fgColor rgb="FF92D050"/>
        <bgColor rgb="FFBFBFBF"/>
      </patternFill>
    </fill>
    <fill>
      <patternFill patternType="solid">
        <fgColor rgb="FFFF0000"/>
        <bgColor rgb="FFC00000"/>
      </patternFill>
    </fill>
    <fill>
      <patternFill patternType="solid">
        <fgColor rgb="FFFFC000"/>
        <bgColor rgb="FFFF9900"/>
      </patternFill>
    </fill>
    <fill>
      <patternFill patternType="solid">
        <fgColor rgb="FF7F7F7F"/>
        <bgColor rgb="FF808080"/>
      </patternFill>
    </fill>
  </fills>
  <borders count="44">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3" tint="0.39988402966399123"/>
      </left>
      <right style="thin">
        <color theme="3" tint="0.39988402966399123"/>
      </right>
      <top style="thin">
        <color theme="3" tint="0.39988402966399123"/>
      </top>
      <bottom style="thin">
        <color theme="3" tint="0.39988402966399123"/>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thin">
        <color rgb="FF8497B0"/>
      </left>
      <right style="medium">
        <color rgb="FF8497B0"/>
      </right>
      <top style="thin">
        <color rgb="FF8497B0"/>
      </top>
      <bottom/>
      <diagonal/>
    </border>
    <border>
      <left style="thin">
        <color auto="1"/>
      </left>
      <right style="thin">
        <color auto="1"/>
      </right>
      <top style="thin">
        <color auto="1"/>
      </top>
      <bottom style="thin">
        <color auto="1"/>
      </bottom>
      <diagonal/>
    </border>
    <border>
      <left style="medium">
        <color rgb="FF8497B0"/>
      </left>
      <right/>
      <top style="thin">
        <color rgb="FF8497B0"/>
      </top>
      <bottom style="thin">
        <color rgb="FF8497B0"/>
      </bottom>
      <diagonal/>
    </border>
    <border>
      <left style="medium">
        <color rgb="FF8497B0"/>
      </left>
      <right/>
      <top style="thin">
        <color rgb="FF8497B0"/>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
    <xf numFmtId="0" fontId="0" fillId="0" borderId="0"/>
    <xf numFmtId="164" fontId="2" fillId="0" borderId="0"/>
    <xf numFmtId="164" fontId="2" fillId="0" borderId="0"/>
    <xf numFmtId="164" fontId="4" fillId="0" borderId="0"/>
  </cellStyleXfs>
  <cellXfs count="148">
    <xf numFmtId="0" fontId="0" fillId="0" borderId="0" xfId="0"/>
    <xf numFmtId="164" fontId="20" fillId="4" borderId="8" xfId="0" applyNumberFormat="1" applyFont="1" applyFill="1" applyBorder="1" applyAlignment="1">
      <alignment horizontal="center" vertical="center" wrapText="1"/>
    </xf>
    <xf numFmtId="164" fontId="13" fillId="3" borderId="0" xfId="0" applyNumberFormat="1" applyFont="1" applyFill="1" applyAlignment="1">
      <alignment horizontal="left" vertical="center" wrapText="1"/>
    </xf>
    <xf numFmtId="164" fontId="5" fillId="2" borderId="0" xfId="0" applyNumberFormat="1" applyFont="1" applyFill="1" applyAlignment="1">
      <alignment vertical="center"/>
    </xf>
    <xf numFmtId="164" fontId="6" fillId="2" borderId="0" xfId="0" applyNumberFormat="1" applyFont="1" applyFill="1"/>
    <xf numFmtId="164" fontId="8" fillId="3" borderId="3" xfId="0" applyNumberFormat="1" applyFont="1" applyFill="1" applyBorder="1" applyAlignment="1">
      <alignment shrinkToFit="1"/>
    </xf>
    <xf numFmtId="164" fontId="8" fillId="3" borderId="0" xfId="0" applyNumberFormat="1" applyFont="1" applyFill="1" applyAlignment="1">
      <alignment shrinkToFit="1"/>
    </xf>
    <xf numFmtId="164" fontId="8" fillId="3" borderId="4" xfId="0" applyNumberFormat="1" applyFont="1" applyFill="1" applyBorder="1" applyAlignment="1">
      <alignment shrinkToFit="1"/>
    </xf>
    <xf numFmtId="164" fontId="10" fillId="3" borderId="3" xfId="0" applyNumberFormat="1" applyFont="1" applyFill="1" applyBorder="1" applyAlignment="1">
      <alignment horizontal="center" vertical="center" wrapText="1"/>
    </xf>
    <xf numFmtId="164" fontId="10" fillId="3" borderId="0" xfId="0" applyNumberFormat="1" applyFont="1" applyFill="1" applyAlignment="1">
      <alignment horizontal="center" vertical="center" wrapText="1"/>
    </xf>
    <xf numFmtId="164" fontId="10" fillId="3" borderId="4" xfId="0" applyNumberFormat="1" applyFont="1" applyFill="1" applyBorder="1" applyAlignment="1">
      <alignment horizontal="center" vertical="center" wrapText="1"/>
    </xf>
    <xf numFmtId="164" fontId="12" fillId="3" borderId="4" xfId="0" applyNumberFormat="1" applyFont="1" applyFill="1" applyBorder="1" applyAlignment="1">
      <alignment horizontal="center"/>
    </xf>
    <xf numFmtId="164" fontId="12" fillId="3" borderId="3" xfId="0" applyNumberFormat="1" applyFont="1" applyFill="1" applyBorder="1" applyAlignment="1">
      <alignment horizontal="left"/>
    </xf>
    <xf numFmtId="164" fontId="14" fillId="0" borderId="0" xfId="0" applyNumberFormat="1" applyFont="1" applyAlignment="1">
      <alignment horizontal="left" vertical="center" wrapText="1"/>
    </xf>
    <xf numFmtId="164" fontId="13" fillId="3" borderId="0" xfId="0" applyNumberFormat="1" applyFont="1" applyFill="1" applyAlignment="1">
      <alignment horizontal="left"/>
    </xf>
    <xf numFmtId="164" fontId="12" fillId="3" borderId="0" xfId="0" applyNumberFormat="1" applyFont="1" applyFill="1" applyAlignment="1">
      <alignment horizontal="left"/>
    </xf>
    <xf numFmtId="164" fontId="12" fillId="3" borderId="4" xfId="0" applyNumberFormat="1" applyFont="1" applyFill="1" applyBorder="1" applyAlignment="1">
      <alignment horizontal="left"/>
    </xf>
    <xf numFmtId="164" fontId="12" fillId="3" borderId="3" xfId="0" applyNumberFormat="1" applyFont="1" applyFill="1" applyBorder="1" applyAlignment="1">
      <alignment horizontal="left" vertical="center" wrapText="1"/>
    </xf>
    <xf numFmtId="164" fontId="15" fillId="3" borderId="0" xfId="0" applyNumberFormat="1" applyFont="1" applyFill="1" applyAlignment="1">
      <alignment horizontal="left" vertical="center" wrapText="1"/>
    </xf>
    <xf numFmtId="164" fontId="16" fillId="3" borderId="0" xfId="0" applyNumberFormat="1" applyFont="1" applyFill="1" applyAlignment="1">
      <alignment horizontal="left" vertical="center" wrapText="1"/>
    </xf>
    <xf numFmtId="164" fontId="16" fillId="3" borderId="4" xfId="0" applyNumberFormat="1" applyFont="1" applyFill="1" applyBorder="1" applyAlignment="1">
      <alignment horizontal="left" vertical="center" wrapText="1"/>
    </xf>
    <xf numFmtId="166" fontId="14" fillId="0" borderId="0" xfId="0" applyNumberFormat="1" applyFont="1" applyAlignment="1">
      <alignment horizontal="left" vertical="center" wrapText="1"/>
    </xf>
    <xf numFmtId="164" fontId="17" fillId="3" borderId="3" xfId="0" applyNumberFormat="1" applyFont="1" applyFill="1" applyBorder="1"/>
    <xf numFmtId="164" fontId="17" fillId="3" borderId="0" xfId="0" applyNumberFormat="1" applyFont="1" applyFill="1"/>
    <xf numFmtId="164" fontId="17" fillId="3" borderId="0" xfId="0" applyNumberFormat="1" applyFont="1" applyFill="1" applyAlignment="1">
      <alignment vertical="center"/>
    </xf>
    <xf numFmtId="164" fontId="17" fillId="3" borderId="4" xfId="0" applyNumberFormat="1" applyFont="1" applyFill="1" applyBorder="1" applyAlignment="1">
      <alignment vertical="center"/>
    </xf>
    <xf numFmtId="164" fontId="17" fillId="3" borderId="3" xfId="0" applyNumberFormat="1" applyFont="1" applyFill="1" applyBorder="1" applyAlignment="1">
      <alignment vertical="center"/>
    </xf>
    <xf numFmtId="164" fontId="17" fillId="3" borderId="5" xfId="0" applyNumberFormat="1" applyFont="1" applyFill="1" applyBorder="1" applyAlignment="1">
      <alignment vertical="center"/>
    </xf>
    <xf numFmtId="164" fontId="17" fillId="3" borderId="6" xfId="0" applyNumberFormat="1" applyFont="1" applyFill="1" applyBorder="1" applyAlignment="1">
      <alignment vertical="center"/>
    </xf>
    <xf numFmtId="164" fontId="17" fillId="3" borderId="7" xfId="0" applyNumberFormat="1" applyFont="1" applyFill="1" applyBorder="1" applyAlignment="1">
      <alignment vertical="center"/>
    </xf>
    <xf numFmtId="164" fontId="3" fillId="2" borderId="0" xfId="0" applyNumberFormat="1" applyFont="1" applyFill="1"/>
    <xf numFmtId="164" fontId="18" fillId="2" borderId="0" xfId="0" applyNumberFormat="1" applyFont="1" applyFill="1" applyAlignment="1">
      <alignment vertical="center"/>
    </xf>
    <xf numFmtId="164" fontId="19" fillId="2" borderId="0" xfId="0" applyNumberFormat="1" applyFont="1" applyFill="1"/>
    <xf numFmtId="167" fontId="3" fillId="2" borderId="8" xfId="0" applyNumberFormat="1" applyFont="1" applyFill="1" applyBorder="1" applyAlignment="1">
      <alignment horizontal="center" vertical="center" wrapText="1"/>
    </xf>
    <xf numFmtId="164" fontId="21" fillId="2" borderId="8" xfId="0" applyNumberFormat="1" applyFont="1" applyFill="1" applyBorder="1" applyAlignment="1">
      <alignment vertical="top" wrapText="1"/>
    </xf>
    <xf numFmtId="0" fontId="21" fillId="0" borderId="8" xfId="0" applyFont="1" applyBorder="1"/>
    <xf numFmtId="0" fontId="21" fillId="0" borderId="8" xfId="0" applyFont="1" applyBorder="1" applyAlignment="1">
      <alignment vertical="center"/>
    </xf>
    <xf numFmtId="164" fontId="3" fillId="2" borderId="0" xfId="0" applyNumberFormat="1" applyFont="1" applyFill="1" applyAlignment="1">
      <alignment vertical="center"/>
    </xf>
    <xf numFmtId="0" fontId="0" fillId="0" borderId="0" xfId="0" applyAlignment="1">
      <alignment vertical="center"/>
    </xf>
    <xf numFmtId="164" fontId="19" fillId="2" borderId="0" xfId="0" applyNumberFormat="1" applyFont="1" applyFill="1" applyAlignment="1">
      <alignment horizontal="left" vertical="center" wrapText="1"/>
    </xf>
    <xf numFmtId="164" fontId="22" fillId="2" borderId="0" xfId="0" applyNumberFormat="1" applyFont="1" applyFill="1"/>
    <xf numFmtId="164" fontId="20" fillId="4" borderId="9" xfId="0" applyNumberFormat="1" applyFont="1" applyFill="1" applyBorder="1" applyAlignment="1">
      <alignment horizontal="center" vertical="center" wrapText="1"/>
    </xf>
    <xf numFmtId="164" fontId="3" fillId="2" borderId="11" xfId="0" applyNumberFormat="1" applyFont="1" applyFill="1" applyBorder="1" applyAlignment="1">
      <alignment horizontal="center" vertical="center" wrapText="1"/>
    </xf>
    <xf numFmtId="164" fontId="3" fillId="2" borderId="12" xfId="0" applyNumberFormat="1" applyFont="1" applyFill="1" applyBorder="1" applyAlignment="1">
      <alignment horizontal="center" vertical="center" wrapText="1"/>
    </xf>
    <xf numFmtId="168" fontId="3" fillId="2" borderId="12" xfId="0" applyNumberFormat="1" applyFont="1" applyFill="1" applyBorder="1" applyAlignment="1">
      <alignment horizontal="center" vertical="center" wrapText="1"/>
    </xf>
    <xf numFmtId="164" fontId="3" fillId="2" borderId="13" xfId="0" applyNumberFormat="1" applyFont="1" applyFill="1" applyBorder="1" applyAlignment="1">
      <alignment horizontal="center" vertical="center" wrapText="1"/>
    </xf>
    <xf numFmtId="169" fontId="0" fillId="0" borderId="0" xfId="0" applyNumberFormat="1"/>
    <xf numFmtId="165" fontId="23" fillId="2" borderId="0" xfId="0" applyNumberFormat="1" applyFont="1" applyFill="1" applyAlignment="1">
      <alignment vertical="center"/>
    </xf>
    <xf numFmtId="165" fontId="3" fillId="2" borderId="0" xfId="0" applyNumberFormat="1" applyFont="1" applyFill="1" applyAlignment="1">
      <alignment vertical="center"/>
    </xf>
    <xf numFmtId="170" fontId="3" fillId="2" borderId="0" xfId="0" applyNumberFormat="1" applyFont="1" applyFill="1" applyAlignment="1">
      <alignment vertical="center"/>
    </xf>
    <xf numFmtId="0" fontId="6" fillId="2" borderId="0" xfId="0" applyFont="1" applyFill="1" applyAlignment="1">
      <alignment vertical="center"/>
    </xf>
    <xf numFmtId="0" fontId="24" fillId="2" borderId="0" xfId="0" applyFont="1" applyFill="1" applyAlignment="1">
      <alignment vertical="center"/>
    </xf>
    <xf numFmtId="164" fontId="25" fillId="5" borderId="14" xfId="0" applyNumberFormat="1" applyFont="1" applyFill="1" applyBorder="1" applyAlignment="1">
      <alignment horizontal="left" vertical="center" wrapText="1"/>
    </xf>
    <xf numFmtId="164" fontId="25" fillId="5" borderId="15" xfId="0" applyNumberFormat="1" applyFont="1" applyFill="1" applyBorder="1" applyAlignment="1">
      <alignment horizontal="left" vertical="center" wrapText="1"/>
    </xf>
    <xf numFmtId="164" fontId="25" fillId="5" borderId="17" xfId="0" applyNumberFormat="1" applyFont="1" applyFill="1" applyBorder="1" applyAlignment="1">
      <alignment vertical="center" wrapText="1"/>
    </xf>
    <xf numFmtId="164" fontId="25" fillId="5" borderId="18" xfId="0" applyNumberFormat="1" applyFont="1" applyFill="1" applyBorder="1" applyAlignment="1">
      <alignment vertical="center" wrapText="1"/>
    </xf>
    <xf numFmtId="164" fontId="27" fillId="2" borderId="20" xfId="0" applyNumberFormat="1" applyFont="1" applyFill="1" applyBorder="1" applyAlignment="1">
      <alignment horizontal="left" vertical="center" wrapText="1"/>
    </xf>
    <xf numFmtId="164" fontId="27" fillId="2" borderId="21" xfId="0" applyNumberFormat="1" applyFont="1" applyFill="1" applyBorder="1" applyAlignment="1">
      <alignment horizontal="left" vertical="center" wrapText="1"/>
    </xf>
    <xf numFmtId="165" fontId="26" fillId="2" borderId="22" xfId="0" applyNumberFormat="1" applyFont="1" applyFill="1" applyBorder="1" applyAlignment="1">
      <alignment horizontal="left" vertical="center" wrapText="1"/>
    </xf>
    <xf numFmtId="165" fontId="26" fillId="2" borderId="23" xfId="0" applyNumberFormat="1" applyFont="1" applyFill="1" applyBorder="1" applyAlignment="1">
      <alignment horizontal="left" vertical="center" wrapText="1"/>
    </xf>
    <xf numFmtId="165" fontId="26" fillId="2" borderId="24" xfId="0" applyNumberFormat="1" applyFont="1" applyFill="1" applyBorder="1" applyAlignment="1">
      <alignment horizontal="left" vertical="center" wrapText="1"/>
    </xf>
    <xf numFmtId="164" fontId="28" fillId="6" borderId="27" xfId="0" applyNumberFormat="1" applyFont="1" applyFill="1" applyBorder="1" applyAlignment="1">
      <alignment horizontal="center" vertical="center" wrapText="1"/>
    </xf>
    <xf numFmtId="164" fontId="28" fillId="6" borderId="28" xfId="0" applyNumberFormat="1" applyFont="1" applyFill="1" applyBorder="1" applyAlignment="1">
      <alignment horizontal="center" vertical="center" wrapText="1"/>
    </xf>
    <xf numFmtId="0" fontId="29" fillId="7" borderId="17" xfId="0" applyFont="1" applyFill="1" applyBorder="1" applyAlignment="1">
      <alignment horizontal="left" vertical="center"/>
    </xf>
    <xf numFmtId="0" fontId="26" fillId="2" borderId="29" xfId="0" applyFont="1" applyFill="1" applyBorder="1" applyAlignment="1">
      <alignment horizontal="left" vertical="center"/>
    </xf>
    <xf numFmtId="0" fontId="26" fillId="2" borderId="30" xfId="0" applyFont="1" applyFill="1" applyBorder="1" applyAlignment="1">
      <alignment horizontal="left" vertical="center"/>
    </xf>
    <xf numFmtId="0" fontId="26" fillId="2" borderId="31" xfId="0" applyFont="1" applyFill="1" applyBorder="1" applyAlignment="1">
      <alignment horizontal="left" vertical="center"/>
    </xf>
    <xf numFmtId="0" fontId="29" fillId="7" borderId="17" xfId="0" applyFont="1" applyFill="1" applyBorder="1" applyAlignment="1">
      <alignment vertical="center"/>
    </xf>
    <xf numFmtId="165" fontId="26" fillId="2" borderId="22" xfId="0" applyNumberFormat="1" applyFont="1" applyFill="1" applyBorder="1" applyAlignment="1">
      <alignment horizontal="left" vertical="center"/>
    </xf>
    <xf numFmtId="165" fontId="26" fillId="2" borderId="23" xfId="0" applyNumberFormat="1" applyFont="1" applyFill="1" applyBorder="1" applyAlignment="1">
      <alignment horizontal="left" vertical="center"/>
    </xf>
    <xf numFmtId="165" fontId="26" fillId="2" borderId="24" xfId="0" applyNumberFormat="1" applyFont="1" applyFill="1" applyBorder="1" applyAlignment="1">
      <alignment horizontal="left" vertical="center"/>
    </xf>
    <xf numFmtId="0" fontId="30" fillId="7" borderId="32" xfId="0" applyFont="1" applyFill="1" applyBorder="1" applyAlignment="1">
      <alignment horizontal="center" vertical="center" wrapText="1"/>
    </xf>
    <xf numFmtId="0" fontId="29" fillId="7" borderId="32" xfId="0" applyFont="1" applyFill="1" applyBorder="1" applyAlignment="1">
      <alignment horizontal="center" vertical="center" wrapText="1"/>
    </xf>
    <xf numFmtId="1" fontId="31" fillId="8" borderId="33" xfId="0" applyNumberFormat="1" applyFont="1" applyFill="1" applyBorder="1" applyAlignment="1">
      <alignment horizontal="center" vertical="center"/>
    </xf>
    <xf numFmtId="1" fontId="31" fillId="8" borderId="33" xfId="0" applyNumberFormat="1" applyFont="1" applyFill="1" applyBorder="1" applyAlignment="1">
      <alignment vertical="center"/>
    </xf>
    <xf numFmtId="0" fontId="22" fillId="7" borderId="34" xfId="0" applyFont="1" applyFill="1" applyBorder="1" applyAlignment="1">
      <alignment horizontal="right" vertical="center"/>
    </xf>
    <xf numFmtId="1" fontId="31" fillId="2" borderId="33" xfId="0" applyNumberFormat="1" applyFont="1" applyFill="1" applyBorder="1" applyAlignment="1">
      <alignment horizontal="center" vertical="center"/>
    </xf>
    <xf numFmtId="1" fontId="31" fillId="2" borderId="33" xfId="0" applyNumberFormat="1" applyFont="1" applyFill="1" applyBorder="1" applyAlignment="1">
      <alignment vertical="center"/>
    </xf>
    <xf numFmtId="0" fontId="22" fillId="7" borderId="35" xfId="0" applyFont="1" applyFill="1" applyBorder="1" applyAlignment="1">
      <alignment horizontal="right" vertical="center"/>
    </xf>
    <xf numFmtId="164" fontId="25" fillId="5" borderId="35" xfId="0" applyNumberFormat="1" applyFont="1" applyFill="1" applyBorder="1" applyAlignment="1">
      <alignment horizontal="left" vertical="center" wrapText="1"/>
    </xf>
    <xf numFmtId="0" fontId="32" fillId="7" borderId="35" xfId="0" applyFont="1" applyFill="1" applyBorder="1" applyAlignment="1">
      <alignment horizontal="left" vertical="center"/>
    </xf>
    <xf numFmtId="0" fontId="31" fillId="2" borderId="33" xfId="0" applyFont="1" applyFill="1" applyBorder="1" applyAlignment="1">
      <alignment horizontal="center" vertical="center"/>
    </xf>
    <xf numFmtId="0" fontId="31" fillId="2" borderId="33" xfId="0" applyFont="1" applyFill="1" applyBorder="1" applyAlignment="1">
      <alignment horizontal="center" vertical="center" wrapText="1"/>
    </xf>
    <xf numFmtId="0" fontId="31" fillId="2" borderId="33" xfId="0" applyFont="1" applyFill="1" applyBorder="1" applyAlignment="1">
      <alignment vertical="center"/>
    </xf>
    <xf numFmtId="10" fontId="31" fillId="2" borderId="33" xfId="0" applyNumberFormat="1" applyFont="1" applyFill="1" applyBorder="1" applyAlignment="1">
      <alignment vertical="center"/>
    </xf>
    <xf numFmtId="0" fontId="32" fillId="0" borderId="33" xfId="0" applyFont="1" applyBorder="1" applyAlignment="1">
      <alignment horizontal="left" vertical="center"/>
    </xf>
    <xf numFmtId="0" fontId="0" fillId="0" borderId="0" xfId="0" applyAlignment="1">
      <alignment horizontal="center"/>
    </xf>
    <xf numFmtId="0" fontId="0" fillId="0" borderId="0" xfId="0" applyAlignment="1">
      <alignment vertical="top"/>
    </xf>
    <xf numFmtId="164" fontId="33" fillId="0" borderId="36" xfId="0" applyNumberFormat="1" applyFont="1" applyBorder="1" applyAlignment="1">
      <alignment horizontal="left" vertical="center" wrapText="1"/>
    </xf>
    <xf numFmtId="164" fontId="33" fillId="0" borderId="33" xfId="0" applyNumberFormat="1" applyFont="1" applyBorder="1" applyAlignment="1">
      <alignment horizontal="left" vertical="center" wrapText="1"/>
    </xf>
    <xf numFmtId="0" fontId="2" fillId="0" borderId="0" xfId="0" applyFont="1"/>
    <xf numFmtId="164" fontId="34" fillId="9" borderId="37" xfId="0" applyNumberFormat="1" applyFont="1" applyFill="1" applyBorder="1" applyAlignment="1">
      <alignment horizontal="left" vertical="center" wrapText="1"/>
    </xf>
    <xf numFmtId="167" fontId="35" fillId="9" borderId="37" xfId="0" applyNumberFormat="1" applyFont="1" applyFill="1" applyBorder="1" applyAlignment="1">
      <alignment horizontal="center" vertical="center" wrapText="1"/>
    </xf>
    <xf numFmtId="0" fontId="2" fillId="9" borderId="0" xfId="0" applyFont="1" applyFill="1"/>
    <xf numFmtId="164" fontId="36" fillId="5" borderId="36" xfId="0" applyNumberFormat="1" applyFont="1" applyFill="1" applyBorder="1" applyAlignment="1">
      <alignment horizontal="center" vertical="top" wrapText="1"/>
    </xf>
    <xf numFmtId="167" fontId="34" fillId="7" borderId="36" xfId="0" applyNumberFormat="1" applyFont="1" applyFill="1" applyBorder="1" applyAlignment="1">
      <alignment horizontal="center" vertical="center" wrapText="1"/>
    </xf>
    <xf numFmtId="0" fontId="34" fillId="7" borderId="36" xfId="0" applyFont="1" applyFill="1" applyBorder="1" applyAlignment="1">
      <alignment wrapText="1"/>
    </xf>
    <xf numFmtId="0" fontId="36" fillId="5" borderId="36" xfId="0" applyFont="1" applyFill="1" applyBorder="1" applyAlignment="1">
      <alignment horizontal="left" vertical="top" wrapText="1"/>
    </xf>
    <xf numFmtId="1" fontId="37" fillId="10" borderId="36" xfId="0" applyNumberFormat="1" applyFont="1" applyFill="1" applyBorder="1" applyAlignment="1">
      <alignment horizontal="center" vertical="center" wrapText="1"/>
    </xf>
    <xf numFmtId="164" fontId="34" fillId="5" borderId="36" xfId="0" applyNumberFormat="1" applyFont="1" applyFill="1" applyBorder="1" applyAlignment="1">
      <alignment horizontal="left" vertical="center" wrapText="1"/>
    </xf>
    <xf numFmtId="167" fontId="35" fillId="0" borderId="36" xfId="0" applyNumberFormat="1" applyFont="1" applyBorder="1" applyAlignment="1">
      <alignment horizontal="center" vertical="center" wrapText="1"/>
    </xf>
    <xf numFmtId="0" fontId="20" fillId="11" borderId="33" xfId="0" applyFont="1" applyFill="1" applyBorder="1" applyAlignment="1">
      <alignment horizontal="center" vertical="center" wrapText="1"/>
    </xf>
    <xf numFmtId="0" fontId="0" fillId="0" borderId="0" xfId="0" applyAlignment="1">
      <alignment horizontal="center" vertical="center"/>
    </xf>
    <xf numFmtId="0" fontId="38" fillId="0" borderId="38" xfId="0" applyFont="1" applyBorder="1" applyAlignment="1">
      <alignment horizontal="center" vertical="top" wrapText="1"/>
    </xf>
    <xf numFmtId="0" fontId="39" fillId="12" borderId="38" xfId="0" applyFont="1" applyFill="1" applyBorder="1" applyAlignment="1">
      <alignment horizontal="left" vertical="center" wrapText="1"/>
    </xf>
    <xf numFmtId="0" fontId="40" fillId="13" borderId="38" xfId="0" applyFont="1" applyFill="1" applyBorder="1" applyAlignment="1">
      <alignment horizontal="left" vertical="center" wrapText="1"/>
    </xf>
    <xf numFmtId="0" fontId="38" fillId="0" borderId="38" xfId="0" applyFont="1" applyBorder="1" applyAlignment="1">
      <alignment horizontal="left" vertical="top" wrapText="1"/>
    </xf>
    <xf numFmtId="0" fontId="41" fillId="0" borderId="38" xfId="0" applyFont="1" applyBorder="1" applyAlignment="1">
      <alignment horizontal="left" vertical="top" wrapText="1"/>
    </xf>
    <xf numFmtId="0" fontId="42" fillId="0" borderId="41" xfId="0" applyFont="1" applyBorder="1" applyAlignment="1">
      <alignment horizontal="center" vertical="center" wrapText="1"/>
    </xf>
    <xf numFmtId="0" fontId="43" fillId="0" borderId="42" xfId="0" applyFont="1" applyBorder="1" applyAlignment="1">
      <alignment horizontal="center" vertical="center" wrapText="1"/>
    </xf>
    <xf numFmtId="0" fontId="44" fillId="0" borderId="33" xfId="0" applyFont="1" applyBorder="1" applyAlignment="1">
      <alignment horizontal="center" vertical="center"/>
    </xf>
    <xf numFmtId="0" fontId="44" fillId="0" borderId="33" xfId="0" applyFont="1" applyBorder="1" applyAlignment="1">
      <alignment horizontal="left" vertical="center" wrapText="1"/>
    </xf>
    <xf numFmtId="0" fontId="44" fillId="0" borderId="0" xfId="0" applyFont="1" applyAlignment="1">
      <alignment horizontal="center" vertical="center"/>
    </xf>
    <xf numFmtId="0" fontId="44" fillId="0" borderId="0" xfId="0" applyFont="1"/>
    <xf numFmtId="0" fontId="44" fillId="0" borderId="41" xfId="0" applyFont="1" applyBorder="1" applyAlignment="1">
      <alignment horizontal="center" vertical="center"/>
    </xf>
    <xf numFmtId="0" fontId="44" fillId="0" borderId="41" xfId="0" applyFont="1" applyBorder="1" applyAlignment="1">
      <alignment horizontal="left" vertical="center" wrapText="1"/>
    </xf>
    <xf numFmtId="164" fontId="34" fillId="5" borderId="37" xfId="0" applyNumberFormat="1" applyFont="1" applyFill="1" applyBorder="1" applyAlignment="1">
      <alignment horizontal="left" vertical="center" wrapText="1"/>
    </xf>
    <xf numFmtId="0" fontId="44" fillId="15" borderId="41" xfId="0" applyFont="1" applyFill="1" applyBorder="1" applyAlignment="1">
      <alignment horizontal="center" vertical="center"/>
    </xf>
    <xf numFmtId="0" fontId="44" fillId="16" borderId="41" xfId="0" applyFont="1" applyFill="1" applyBorder="1" applyAlignment="1">
      <alignment horizontal="center" vertical="center"/>
    </xf>
    <xf numFmtId="0" fontId="44" fillId="17" borderId="41" xfId="0" applyFont="1" applyFill="1" applyBorder="1" applyAlignment="1">
      <alignment horizontal="center" vertical="center"/>
    </xf>
    <xf numFmtId="0" fontId="44" fillId="0" borderId="43" xfId="0" applyFont="1" applyBorder="1" applyAlignment="1">
      <alignment horizontal="left" vertical="center" wrapText="1"/>
    </xf>
    <xf numFmtId="0" fontId="44" fillId="19" borderId="41" xfId="0" applyFont="1" applyFill="1" applyBorder="1" applyAlignment="1">
      <alignment horizontal="center" vertical="center"/>
    </xf>
    <xf numFmtId="0" fontId="45" fillId="0" borderId="38" xfId="0" applyFont="1" applyBorder="1" applyAlignment="1">
      <alignment horizontal="left" vertical="top" wrapText="1"/>
    </xf>
    <xf numFmtId="0" fontId="1" fillId="0" borderId="0" xfId="0" applyFont="1"/>
    <xf numFmtId="164" fontId="7" fillId="3" borderId="1" xfId="0" applyNumberFormat="1" applyFont="1" applyFill="1" applyBorder="1" applyAlignment="1">
      <alignment horizontal="center"/>
    </xf>
    <xf numFmtId="164" fontId="7" fillId="3" borderId="2" xfId="0" applyNumberFormat="1" applyFont="1" applyFill="1" applyBorder="1" applyAlignment="1">
      <alignment horizontal="center"/>
    </xf>
    <xf numFmtId="164" fontId="9" fillId="3" borderId="2" xfId="0" applyNumberFormat="1" applyFont="1" applyFill="1" applyBorder="1" applyAlignment="1">
      <alignment horizontal="center" vertical="center" wrapText="1"/>
    </xf>
    <xf numFmtId="164" fontId="11" fillId="3" borderId="0" xfId="0" applyNumberFormat="1" applyFont="1" applyFill="1" applyAlignment="1">
      <alignment horizontal="center" vertical="center" wrapText="1"/>
    </xf>
    <xf numFmtId="164" fontId="12" fillId="3" borderId="2" xfId="0" applyNumberFormat="1" applyFont="1" applyFill="1" applyBorder="1" applyAlignment="1">
      <alignment horizontal="center" vertical="center" wrapText="1"/>
    </xf>
    <xf numFmtId="164" fontId="13" fillId="3" borderId="0" xfId="0" applyNumberFormat="1" applyFont="1" applyFill="1" applyAlignment="1">
      <alignment horizontal="left" vertical="center"/>
    </xf>
    <xf numFmtId="164" fontId="12" fillId="3" borderId="3" xfId="0" applyNumberFormat="1" applyFont="1" applyFill="1" applyBorder="1" applyAlignment="1">
      <alignment horizontal="center"/>
    </xf>
    <xf numFmtId="164" fontId="13" fillId="3" borderId="0" xfId="0" applyNumberFormat="1" applyFont="1" applyFill="1" applyAlignment="1">
      <alignment horizontal="left" vertical="center" wrapText="1"/>
    </xf>
    <xf numFmtId="164" fontId="3" fillId="0" borderId="8" xfId="0" applyNumberFormat="1" applyFont="1" applyBorder="1" applyAlignment="1">
      <alignment horizontal="left" vertical="center" wrapText="1"/>
    </xf>
    <xf numFmtId="164" fontId="20" fillId="4" borderId="10" xfId="0" applyNumberFormat="1" applyFont="1" applyFill="1" applyBorder="1" applyAlignment="1">
      <alignment horizontal="center" vertical="center" wrapText="1"/>
    </xf>
    <xf numFmtId="164" fontId="3" fillId="0" borderId="12" xfId="0" applyNumberFormat="1" applyFont="1" applyBorder="1" applyAlignment="1">
      <alignment horizontal="left" vertical="center" wrapText="1"/>
    </xf>
    <xf numFmtId="164" fontId="20" fillId="4" borderId="8" xfId="0" applyNumberFormat="1" applyFont="1" applyFill="1" applyBorder="1" applyAlignment="1">
      <alignment horizontal="center" vertical="center" wrapText="1"/>
    </xf>
    <xf numFmtId="164" fontId="26" fillId="2" borderId="9" xfId="0" applyNumberFormat="1" applyFont="1" applyFill="1" applyBorder="1" applyAlignment="1">
      <alignment horizontal="left" vertical="center" wrapText="1"/>
    </xf>
    <xf numFmtId="164" fontId="26" fillId="2" borderId="16" xfId="0" applyNumberFormat="1" applyFont="1" applyFill="1" applyBorder="1" applyAlignment="1">
      <alignment horizontal="left" vertical="center" wrapText="1"/>
    </xf>
    <xf numFmtId="164" fontId="26" fillId="2" borderId="18" xfId="0" applyNumberFormat="1" applyFont="1" applyFill="1" applyBorder="1" applyAlignment="1">
      <alignment horizontal="left" vertical="center" wrapText="1"/>
    </xf>
    <xf numFmtId="165" fontId="26" fillId="2" borderId="19" xfId="0" applyNumberFormat="1" applyFont="1" applyFill="1" applyBorder="1" applyAlignment="1">
      <alignment horizontal="left" vertical="center" wrapText="1"/>
    </xf>
    <xf numFmtId="164" fontId="27" fillId="2" borderId="18" xfId="0" applyNumberFormat="1" applyFont="1" applyFill="1" applyBorder="1" applyAlignment="1">
      <alignment horizontal="left" vertical="center" wrapText="1"/>
    </xf>
    <xf numFmtId="164" fontId="27" fillId="2" borderId="19" xfId="0" applyNumberFormat="1" applyFont="1" applyFill="1" applyBorder="1" applyAlignment="1">
      <alignment horizontal="left" vertical="center" wrapText="1"/>
    </xf>
    <xf numFmtId="164" fontId="25" fillId="5" borderId="17" xfId="0" applyNumberFormat="1" applyFont="1" applyFill="1" applyBorder="1" applyAlignment="1">
      <alignment horizontal="left" vertical="center" wrapText="1"/>
    </xf>
    <xf numFmtId="165" fontId="27" fillId="2" borderId="25" xfId="0" applyNumberFormat="1" applyFont="1" applyFill="1" applyBorder="1" applyAlignment="1">
      <alignment horizontal="left" vertical="center" wrapText="1"/>
    </xf>
    <xf numFmtId="164" fontId="28" fillId="6" borderId="26" xfId="0" applyNumberFormat="1" applyFont="1" applyFill="1" applyBorder="1" applyAlignment="1">
      <alignment horizontal="left" vertical="center" wrapText="1"/>
    </xf>
    <xf numFmtId="0" fontId="43" fillId="14" borderId="40" xfId="0" applyFont="1" applyFill="1" applyBorder="1" applyAlignment="1">
      <alignment horizontal="center" vertical="center" wrapText="1"/>
    </xf>
    <xf numFmtId="0" fontId="42" fillId="14" borderId="39" xfId="0" applyFont="1" applyFill="1" applyBorder="1" applyAlignment="1">
      <alignment horizontal="center" vertical="center" wrapText="1"/>
    </xf>
    <xf numFmtId="0" fontId="44" fillId="18" borderId="41" xfId="0" applyFont="1" applyFill="1" applyBorder="1" applyAlignment="1">
      <alignment horizontal="center" vertical="center"/>
    </xf>
  </cellXfs>
  <cellStyles count="4">
    <cellStyle name="Bình thường" xfId="0" builtinId="0"/>
    <cellStyle name="Normal 2" xfId="1" xr:uid="{00000000-0005-0000-0000-000006000000}"/>
    <cellStyle name="Normal 6" xfId="2" xr:uid="{00000000-0005-0000-0000-000007000000}"/>
    <cellStyle name="標準_打刻ﾃﾞｰﾀ収集" xfId="3" xr:uid="{00000000-0005-0000-0000-00000C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B4C7E7"/>
      <rgbColor rgb="FF7030A0"/>
      <rgbColor rgb="FFFFF2CC"/>
      <rgbColor rgb="FFBDD7EE"/>
      <rgbColor rgb="FF660066"/>
      <rgbColor rgb="FFFF8080"/>
      <rgbColor rgb="FF2F5597"/>
      <rgbColor rgb="FFC6D9F1"/>
      <rgbColor rgb="FF000080"/>
      <rgbColor rgb="FFFF00FF"/>
      <rgbColor rgb="FFFFFF00"/>
      <rgbColor rgb="FF00FFFF"/>
      <rgbColor rgb="FF800080"/>
      <rgbColor rgb="FF800000"/>
      <rgbColor rgb="FF008080"/>
      <rgbColor rgb="FF0000FF"/>
      <rgbColor rgb="FF00B0F0"/>
      <rgbColor rgb="FFCCFFFF"/>
      <rgbColor rgb="FFCCFFCC"/>
      <rgbColor rgb="FFFDE9D9"/>
      <rgbColor rgb="FFA7D6E3"/>
      <rgbColor rgb="FFFAC090"/>
      <rgbColor rgb="FFCCC1DA"/>
      <rgbColor rgb="FFF8CBAD"/>
      <rgbColor rgb="FF4F81BD"/>
      <rgbColor rgb="FF558ED5"/>
      <rgbColor rgb="FF92D050"/>
      <rgbColor rgb="FFFFC000"/>
      <rgbColor rgb="FFFF9900"/>
      <rgbColor rgb="FFFF6600"/>
      <rgbColor rgb="FF7F7F7F"/>
      <rgbColor rgb="FF8497B0"/>
      <rgbColor rgb="FF1F497D"/>
      <rgbColor rgb="FF548DD4"/>
      <rgbColor rgb="FF003300"/>
      <rgbColor rgb="FF333300"/>
      <rgbColor rgb="FF9C5700"/>
      <rgbColor rgb="FF993366"/>
      <rgbColor rgb="FF333399"/>
      <rgbColor rgb="FF44546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zoomScaleNormal="100" workbookViewId="0">
      <selection activeCell="E15" sqref="E15"/>
    </sheetView>
  </sheetViews>
  <sheetFormatPr defaultColWidth="9.140625" defaultRowHeight="14.25"/>
  <cols>
    <col min="1" max="1" width="9.140625" style="3"/>
    <col min="2" max="2" width="5.7109375" style="3" customWidth="1"/>
    <col min="3" max="4" width="9.140625" style="3"/>
    <col min="5" max="5" width="45.42578125" style="3" customWidth="1"/>
    <col min="6" max="6" width="9.140625" style="3"/>
    <col min="7" max="7" width="16.5703125" style="3" customWidth="1"/>
    <col min="8" max="8" width="31.7109375" style="3" customWidth="1"/>
    <col min="9" max="1024" width="9.140625" style="3"/>
  </cols>
  <sheetData>
    <row r="1" spans="1:10" ht="15" customHeight="1">
      <c r="A1" s="4"/>
      <c r="B1" s="4"/>
      <c r="C1" s="4"/>
      <c r="D1" s="4"/>
      <c r="E1" s="4"/>
      <c r="F1" s="4"/>
      <c r="G1" s="4"/>
      <c r="H1" s="4"/>
      <c r="I1" s="4"/>
      <c r="J1" s="4"/>
    </row>
    <row r="2" spans="1:10" s="3" customFormat="1" ht="13.5" customHeight="1">
      <c r="A2" s="4"/>
      <c r="B2" s="124"/>
      <c r="C2" s="124"/>
      <c r="D2" s="124"/>
      <c r="E2" s="124"/>
      <c r="F2" s="124"/>
      <c r="G2" s="124"/>
      <c r="H2" s="124"/>
      <c r="I2" s="124"/>
      <c r="J2" s="124"/>
    </row>
    <row r="3" spans="1:10" s="3" customFormat="1" ht="13.5" customHeight="1">
      <c r="A3" s="4"/>
      <c r="B3" s="125"/>
      <c r="C3" s="125"/>
      <c r="D3" s="125"/>
      <c r="E3" s="125"/>
      <c r="F3" s="125"/>
      <c r="G3" s="125"/>
      <c r="H3" s="125"/>
      <c r="I3" s="125"/>
      <c r="J3" s="125"/>
    </row>
    <row r="4" spans="1:10" s="3" customFormat="1" ht="13.5" customHeight="1">
      <c r="A4" s="4"/>
      <c r="B4" s="5"/>
      <c r="C4" s="6"/>
      <c r="D4" s="6"/>
      <c r="E4" s="6"/>
      <c r="F4" s="6"/>
      <c r="G4" s="6"/>
      <c r="H4" s="6"/>
      <c r="I4" s="6"/>
      <c r="J4" s="7"/>
    </row>
    <row r="5" spans="1:10" s="3" customFormat="1" ht="13.5" customHeight="1">
      <c r="A5" s="4"/>
      <c r="B5" s="5"/>
      <c r="C5" s="6"/>
      <c r="D5" s="6"/>
      <c r="E5" s="6"/>
      <c r="F5" s="6"/>
      <c r="G5" s="6"/>
      <c r="H5" s="6"/>
      <c r="I5" s="6"/>
      <c r="J5" s="7"/>
    </row>
    <row r="6" spans="1:10" s="3" customFormat="1" ht="13.5" customHeight="1">
      <c r="A6" s="4"/>
      <c r="B6" s="126"/>
      <c r="C6" s="126"/>
      <c r="D6" s="126"/>
      <c r="E6" s="126"/>
      <c r="F6" s="126"/>
      <c r="G6" s="126"/>
      <c r="H6" s="126"/>
      <c r="I6" s="126"/>
      <c r="J6" s="126"/>
    </row>
    <row r="7" spans="1:10" s="3" customFormat="1" ht="13.5" customHeight="1">
      <c r="A7" s="4"/>
      <c r="B7" s="126"/>
      <c r="C7" s="126"/>
      <c r="D7" s="126"/>
      <c r="E7" s="126"/>
      <c r="F7" s="126"/>
      <c r="G7" s="126"/>
      <c r="H7" s="126"/>
      <c r="I7" s="126"/>
      <c r="J7" s="126"/>
    </row>
    <row r="8" spans="1:10" s="3" customFormat="1" ht="45" customHeight="1">
      <c r="A8" s="4"/>
      <c r="B8" s="8"/>
      <c r="C8" s="9"/>
      <c r="D8" s="9"/>
      <c r="E8" s="127" t="s">
        <v>0</v>
      </c>
      <c r="F8" s="127"/>
      <c r="G8" s="127"/>
      <c r="H8" s="127"/>
      <c r="I8" s="9"/>
      <c r="J8" s="10"/>
    </row>
    <row r="9" spans="1:10" s="3" customFormat="1" ht="13.5" customHeight="1">
      <c r="A9" s="4"/>
      <c r="B9" s="128"/>
      <c r="C9" s="128"/>
      <c r="D9" s="128"/>
      <c r="E9" s="128"/>
      <c r="F9" s="128"/>
      <c r="G9" s="128"/>
      <c r="H9" s="128"/>
      <c r="I9" s="128"/>
      <c r="J9" s="128"/>
    </row>
    <row r="10" spans="1:10" s="3" customFormat="1" ht="13.5" customHeight="1">
      <c r="A10" s="4"/>
      <c r="B10" s="130"/>
      <c r="C10" s="130"/>
      <c r="D10" s="130"/>
      <c r="E10" s="130"/>
      <c r="F10" s="130"/>
      <c r="G10" s="130"/>
      <c r="H10" s="130"/>
      <c r="I10" s="130"/>
      <c r="J10" s="11"/>
    </row>
    <row r="11" spans="1:10" s="3" customFormat="1" ht="26.25" customHeight="1">
      <c r="A11" s="4"/>
      <c r="B11" s="12"/>
      <c r="C11" s="129" t="s">
        <v>1</v>
      </c>
      <c r="D11" s="129"/>
      <c r="E11" s="13" t="s">
        <v>2</v>
      </c>
      <c r="F11" s="14"/>
      <c r="G11" s="2" t="s">
        <v>3</v>
      </c>
      <c r="H11" s="13"/>
      <c r="I11" s="15"/>
      <c r="J11" s="16"/>
    </row>
    <row r="12" spans="1:10" s="3" customFormat="1" ht="13.5" customHeight="1">
      <c r="A12" s="4"/>
      <c r="B12" s="17" t="s">
        <v>4</v>
      </c>
      <c r="C12" s="131" t="s">
        <v>5</v>
      </c>
      <c r="D12" s="131"/>
      <c r="E12" s="13" t="s">
        <v>6</v>
      </c>
      <c r="F12" s="18"/>
      <c r="G12" s="2" t="s">
        <v>7</v>
      </c>
      <c r="H12" s="13"/>
      <c r="I12" s="19"/>
      <c r="J12" s="20"/>
    </row>
    <row r="13" spans="1:10" s="3" customFormat="1" ht="13.5" customHeight="1">
      <c r="A13" s="4"/>
      <c r="B13" s="12"/>
      <c r="C13" s="129" t="s">
        <v>8</v>
      </c>
      <c r="D13" s="129"/>
      <c r="E13" s="13"/>
      <c r="F13" s="14"/>
      <c r="G13" s="2" t="s">
        <v>9</v>
      </c>
      <c r="H13" s="13"/>
      <c r="I13" s="15"/>
      <c r="J13" s="16"/>
    </row>
    <row r="14" spans="1:10" s="3" customFormat="1" ht="13.5" customHeight="1">
      <c r="A14" s="4"/>
      <c r="B14" s="12"/>
      <c r="C14" s="129" t="s">
        <v>7</v>
      </c>
      <c r="D14" s="129"/>
      <c r="E14" s="13"/>
      <c r="F14" s="14"/>
      <c r="G14" s="2" t="s">
        <v>10</v>
      </c>
      <c r="H14" s="13"/>
      <c r="I14" s="15"/>
      <c r="J14" s="16"/>
    </row>
    <row r="15" spans="1:10" s="3" customFormat="1" ht="13.5" customHeight="1">
      <c r="A15" s="4"/>
      <c r="B15" s="12"/>
      <c r="C15" s="129" t="s">
        <v>11</v>
      </c>
      <c r="D15" s="129"/>
      <c r="E15" s="13">
        <v>46279</v>
      </c>
      <c r="F15" s="14"/>
      <c r="G15" s="2" t="s">
        <v>7</v>
      </c>
      <c r="H15" s="13"/>
      <c r="I15" s="15"/>
      <c r="J15" s="16"/>
    </row>
    <row r="16" spans="1:10" s="3" customFormat="1" ht="13.5" customHeight="1">
      <c r="A16" s="4"/>
      <c r="B16" s="12"/>
      <c r="C16" s="129" t="s">
        <v>12</v>
      </c>
      <c r="D16" s="129"/>
      <c r="E16" s="21" t="s">
        <v>13</v>
      </c>
      <c r="F16" s="14"/>
      <c r="G16" s="2" t="s">
        <v>14</v>
      </c>
      <c r="H16" s="13"/>
      <c r="I16" s="15"/>
      <c r="J16" s="16"/>
    </row>
    <row r="17" spans="1:10" s="3" customFormat="1" ht="13.5" customHeight="1">
      <c r="A17" s="4"/>
      <c r="B17" s="22"/>
      <c r="C17" s="23"/>
      <c r="D17" s="23"/>
      <c r="E17" s="24"/>
      <c r="F17" s="24"/>
      <c r="G17" s="24"/>
      <c r="H17" s="24"/>
      <c r="I17" s="24"/>
      <c r="J17" s="25"/>
    </row>
    <row r="18" spans="1:10" s="3" customFormat="1" ht="13.5" customHeight="1">
      <c r="B18" s="26"/>
      <c r="C18" s="24"/>
      <c r="D18" s="24"/>
      <c r="E18" s="24"/>
      <c r="F18" s="24"/>
      <c r="G18" s="24"/>
      <c r="H18" s="24"/>
      <c r="I18" s="24"/>
      <c r="J18" s="25"/>
    </row>
    <row r="19" spans="1:10" ht="15" customHeight="1">
      <c r="B19" s="27"/>
      <c r="C19" s="28"/>
      <c r="D19" s="28"/>
      <c r="E19" s="28"/>
      <c r="F19" s="28"/>
      <c r="G19" s="28"/>
      <c r="H19" s="28"/>
      <c r="I19" s="28"/>
      <c r="J19" s="29"/>
    </row>
  </sheetData>
  <mergeCells count="12">
    <mergeCell ref="C15:D15"/>
    <mergeCell ref="C16:D16"/>
    <mergeCell ref="B10:I10"/>
    <mergeCell ref="C11:D11"/>
    <mergeCell ref="C12:D12"/>
    <mergeCell ref="C13:D13"/>
    <mergeCell ref="C14:D14"/>
    <mergeCell ref="B2:J2"/>
    <mergeCell ref="B3:J3"/>
    <mergeCell ref="B6:J7"/>
    <mergeCell ref="E8:H8"/>
    <mergeCell ref="B9:J9"/>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4"/>
  <sheetViews>
    <sheetView zoomScaleNormal="100" workbookViewId="0">
      <selection activeCell="F24" sqref="F24"/>
    </sheetView>
  </sheetViews>
  <sheetFormatPr defaultColWidth="9.140625" defaultRowHeight="14.25"/>
  <cols>
    <col min="1" max="1" width="21.42578125" style="30" customWidth="1"/>
    <col min="2" max="2" width="22.5703125" style="30" customWidth="1"/>
    <col min="3" max="3" width="14.140625" style="30" customWidth="1"/>
    <col min="4" max="4" width="11.5703125" style="30" customWidth="1"/>
    <col min="5" max="5" width="10.5703125" style="30" customWidth="1"/>
    <col min="6" max="6" width="12.7109375" style="30" customWidth="1"/>
    <col min="7" max="7" width="14" style="30" customWidth="1"/>
    <col min="8" max="1024" width="9.140625" style="30"/>
  </cols>
  <sheetData>
    <row r="1" spans="1:1024" ht="17.25" customHeight="1">
      <c r="A1" s="31" t="s">
        <v>15</v>
      </c>
      <c r="B1" s="32"/>
    </row>
    <row r="2" spans="1:1024" ht="15" customHeight="1"/>
    <row r="3" spans="1:1024" ht="14.25" customHeight="1">
      <c r="A3" s="1" t="s">
        <v>16</v>
      </c>
      <c r="B3" s="1" t="s">
        <v>17</v>
      </c>
      <c r="C3" s="135" t="s">
        <v>18</v>
      </c>
      <c r="D3" s="135"/>
      <c r="E3" s="135"/>
      <c r="F3" s="135"/>
      <c r="G3" s="135"/>
    </row>
    <row r="4" spans="1:1024" ht="14.25" customHeight="1">
      <c r="A4" s="33">
        <v>1</v>
      </c>
      <c r="B4" s="34" t="s">
        <v>19</v>
      </c>
      <c r="C4" s="132" t="s">
        <v>19</v>
      </c>
      <c r="D4" s="132"/>
      <c r="E4" s="132"/>
      <c r="F4" s="132"/>
      <c r="G4" s="132"/>
    </row>
    <row r="5" spans="1:1024" ht="14.25" customHeight="1">
      <c r="A5" s="33">
        <v>2</v>
      </c>
      <c r="B5" s="35" t="s">
        <v>20</v>
      </c>
      <c r="C5" s="132" t="s">
        <v>21</v>
      </c>
      <c r="D5" s="132"/>
      <c r="E5" s="132"/>
      <c r="F5" s="132"/>
      <c r="G5" s="132"/>
    </row>
    <row r="6" spans="1:1024" ht="14.25" customHeight="1">
      <c r="A6" s="33">
        <v>3</v>
      </c>
      <c r="B6" s="35" t="s">
        <v>0</v>
      </c>
      <c r="C6" s="132" t="s">
        <v>22</v>
      </c>
      <c r="D6" s="132"/>
      <c r="E6" s="132"/>
      <c r="F6" s="132"/>
      <c r="G6" s="132"/>
    </row>
    <row r="7" spans="1:1024" s="38" customFormat="1" ht="38.25" customHeight="1">
      <c r="A7" s="33">
        <v>4</v>
      </c>
      <c r="B7" s="36" t="s">
        <v>23</v>
      </c>
      <c r="C7" s="132" t="s">
        <v>24</v>
      </c>
      <c r="D7" s="132"/>
      <c r="E7" s="132"/>
      <c r="F7" s="132"/>
      <c r="G7" s="132"/>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c r="DU7" s="37"/>
      <c r="DV7" s="37"/>
      <c r="DW7" s="37"/>
      <c r="DX7" s="37"/>
      <c r="DY7" s="37"/>
      <c r="DZ7" s="37"/>
      <c r="EA7" s="37"/>
      <c r="EB7" s="37"/>
      <c r="EC7" s="37"/>
      <c r="ED7" s="37"/>
      <c r="EE7" s="37"/>
      <c r="EF7" s="37"/>
      <c r="EG7" s="37"/>
      <c r="EH7" s="37"/>
      <c r="EI7" s="37"/>
      <c r="EJ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c r="IN7" s="37"/>
      <c r="IO7" s="37"/>
      <c r="IP7" s="37"/>
      <c r="IQ7" s="37"/>
      <c r="IR7" s="37"/>
      <c r="IS7" s="37"/>
      <c r="IT7" s="37"/>
      <c r="IU7" s="37"/>
      <c r="IV7" s="37"/>
      <c r="IW7" s="37"/>
      <c r="IX7" s="37"/>
      <c r="IY7" s="37"/>
      <c r="IZ7" s="37"/>
      <c r="JA7" s="37"/>
      <c r="JB7" s="37"/>
      <c r="JC7" s="37"/>
      <c r="JD7" s="37"/>
      <c r="JE7" s="37"/>
      <c r="JF7" s="37"/>
      <c r="JG7" s="37"/>
      <c r="JH7" s="37"/>
      <c r="JI7" s="37"/>
      <c r="JJ7" s="37"/>
      <c r="JK7" s="37"/>
      <c r="JL7" s="37"/>
      <c r="JM7" s="37"/>
      <c r="JN7" s="37"/>
      <c r="JO7" s="37"/>
      <c r="JP7" s="37"/>
      <c r="JQ7" s="37"/>
      <c r="JR7" s="37"/>
      <c r="JS7" s="37"/>
      <c r="JT7" s="37"/>
      <c r="JU7" s="37"/>
      <c r="JV7" s="37"/>
      <c r="JW7" s="37"/>
      <c r="JX7" s="37"/>
      <c r="JY7" s="37"/>
      <c r="JZ7" s="37"/>
      <c r="KA7" s="37"/>
      <c r="KB7" s="37"/>
      <c r="KC7" s="37"/>
      <c r="KD7" s="37"/>
      <c r="KE7" s="37"/>
      <c r="KF7" s="37"/>
      <c r="KG7" s="37"/>
      <c r="KH7" s="37"/>
      <c r="KI7" s="37"/>
      <c r="KJ7" s="37"/>
      <c r="KK7" s="37"/>
      <c r="KL7" s="37"/>
      <c r="KM7" s="37"/>
      <c r="KN7" s="37"/>
      <c r="KO7" s="37"/>
      <c r="KP7" s="37"/>
      <c r="KQ7" s="37"/>
      <c r="KR7" s="37"/>
      <c r="KS7" s="37"/>
      <c r="KT7" s="37"/>
      <c r="KU7" s="37"/>
      <c r="KV7" s="37"/>
      <c r="KW7" s="37"/>
      <c r="KX7" s="37"/>
      <c r="KY7" s="37"/>
      <c r="KZ7" s="37"/>
      <c r="LA7" s="37"/>
      <c r="LB7" s="37"/>
      <c r="LC7" s="37"/>
      <c r="LD7" s="37"/>
      <c r="LE7" s="37"/>
      <c r="LF7" s="37"/>
      <c r="LG7" s="37"/>
      <c r="LH7" s="37"/>
      <c r="LI7" s="37"/>
      <c r="LJ7" s="37"/>
      <c r="LK7" s="37"/>
      <c r="LL7" s="37"/>
      <c r="LM7" s="37"/>
      <c r="LN7" s="37"/>
      <c r="LO7" s="37"/>
      <c r="LP7" s="37"/>
      <c r="LQ7" s="37"/>
      <c r="LR7" s="37"/>
      <c r="LS7" s="37"/>
      <c r="LT7" s="37"/>
      <c r="LU7" s="37"/>
      <c r="LV7" s="37"/>
      <c r="LW7" s="37"/>
      <c r="LX7" s="37"/>
      <c r="LY7" s="37"/>
      <c r="LZ7" s="37"/>
      <c r="MA7" s="37"/>
      <c r="MB7" s="37"/>
      <c r="MC7" s="37"/>
      <c r="MD7" s="37"/>
      <c r="ME7" s="37"/>
      <c r="MF7" s="37"/>
      <c r="MG7" s="37"/>
      <c r="MH7" s="37"/>
      <c r="MI7" s="37"/>
      <c r="MJ7" s="37"/>
      <c r="MK7" s="37"/>
      <c r="ML7" s="37"/>
      <c r="MM7" s="37"/>
      <c r="MN7" s="37"/>
      <c r="MO7" s="37"/>
      <c r="MP7" s="37"/>
      <c r="MQ7" s="37"/>
      <c r="MR7" s="37"/>
      <c r="MS7" s="37"/>
      <c r="MT7" s="37"/>
      <c r="MU7" s="37"/>
      <c r="MV7" s="37"/>
      <c r="MW7" s="37"/>
      <c r="MX7" s="37"/>
      <c r="MY7" s="37"/>
      <c r="MZ7" s="37"/>
      <c r="NA7" s="37"/>
      <c r="NB7" s="37"/>
      <c r="NC7" s="37"/>
      <c r="ND7" s="37"/>
      <c r="NE7" s="37"/>
      <c r="NF7" s="37"/>
      <c r="NG7" s="37"/>
      <c r="NH7" s="37"/>
      <c r="NI7" s="37"/>
      <c r="NJ7" s="37"/>
      <c r="NK7" s="37"/>
      <c r="NL7" s="37"/>
      <c r="NM7" s="37"/>
      <c r="NN7" s="37"/>
      <c r="NO7" s="37"/>
      <c r="NP7" s="37"/>
      <c r="NQ7" s="37"/>
      <c r="NR7" s="37"/>
      <c r="NS7" s="37"/>
      <c r="NT7" s="37"/>
      <c r="NU7" s="37"/>
      <c r="NV7" s="37"/>
      <c r="NW7" s="37"/>
      <c r="NX7" s="37"/>
      <c r="NY7" s="37"/>
      <c r="NZ7" s="37"/>
      <c r="OA7" s="37"/>
      <c r="OB7" s="37"/>
      <c r="OC7" s="37"/>
      <c r="OD7" s="37"/>
      <c r="OE7" s="37"/>
      <c r="OF7" s="37"/>
      <c r="OG7" s="37"/>
      <c r="OH7" s="37"/>
      <c r="OI7" s="37"/>
      <c r="OJ7" s="37"/>
      <c r="OK7" s="37"/>
      <c r="OL7" s="37"/>
      <c r="OM7" s="37"/>
      <c r="ON7" s="37"/>
      <c r="OO7" s="37"/>
      <c r="OP7" s="37"/>
      <c r="OQ7" s="37"/>
      <c r="OR7" s="37"/>
      <c r="OS7" s="37"/>
      <c r="OT7" s="37"/>
      <c r="OU7" s="37"/>
      <c r="OV7" s="37"/>
      <c r="OW7" s="37"/>
      <c r="OX7" s="37"/>
      <c r="OY7" s="37"/>
      <c r="OZ7" s="37"/>
      <c r="PA7" s="37"/>
      <c r="PB7" s="37"/>
      <c r="PC7" s="37"/>
      <c r="PD7" s="37"/>
      <c r="PE7" s="37"/>
      <c r="PF7" s="37"/>
      <c r="PG7" s="37"/>
      <c r="PH7" s="37"/>
      <c r="PI7" s="37"/>
      <c r="PJ7" s="37"/>
      <c r="PK7" s="37"/>
      <c r="PL7" s="37"/>
      <c r="PM7" s="37"/>
      <c r="PN7" s="37"/>
      <c r="PO7" s="37"/>
      <c r="PP7" s="37"/>
      <c r="PQ7" s="37"/>
      <c r="PR7" s="37"/>
      <c r="PS7" s="37"/>
      <c r="PT7" s="37"/>
      <c r="PU7" s="37"/>
      <c r="PV7" s="37"/>
      <c r="PW7" s="37"/>
      <c r="PX7" s="37"/>
      <c r="PY7" s="37"/>
      <c r="PZ7" s="37"/>
      <c r="QA7" s="37"/>
      <c r="QB7" s="37"/>
      <c r="QC7" s="37"/>
      <c r="QD7" s="37"/>
      <c r="QE7" s="37"/>
      <c r="QF7" s="37"/>
      <c r="QG7" s="37"/>
      <c r="QH7" s="37"/>
      <c r="QI7" s="37"/>
      <c r="QJ7" s="37"/>
      <c r="QK7" s="37"/>
      <c r="QL7" s="37"/>
      <c r="QM7" s="37"/>
      <c r="QN7" s="37"/>
      <c r="QO7" s="37"/>
      <c r="QP7" s="37"/>
      <c r="QQ7" s="37"/>
      <c r="QR7" s="37"/>
      <c r="QS7" s="37"/>
      <c r="QT7" s="37"/>
      <c r="QU7" s="37"/>
      <c r="QV7" s="37"/>
      <c r="QW7" s="37"/>
      <c r="QX7" s="37"/>
      <c r="QY7" s="37"/>
      <c r="QZ7" s="37"/>
      <c r="RA7" s="37"/>
      <c r="RB7" s="37"/>
      <c r="RC7" s="37"/>
      <c r="RD7" s="37"/>
      <c r="RE7" s="37"/>
      <c r="RF7" s="37"/>
      <c r="RG7" s="37"/>
      <c r="RH7" s="37"/>
      <c r="RI7" s="37"/>
      <c r="RJ7" s="37"/>
      <c r="RK7" s="37"/>
      <c r="RL7" s="37"/>
      <c r="RM7" s="37"/>
      <c r="RN7" s="37"/>
      <c r="RO7" s="37"/>
      <c r="RP7" s="37"/>
      <c r="RQ7" s="37"/>
      <c r="RR7" s="37"/>
      <c r="RS7" s="37"/>
      <c r="RT7" s="37"/>
      <c r="RU7" s="37"/>
      <c r="RV7" s="37"/>
      <c r="RW7" s="37"/>
      <c r="RX7" s="37"/>
      <c r="RY7" s="37"/>
      <c r="RZ7" s="37"/>
      <c r="SA7" s="37"/>
      <c r="SB7" s="37"/>
      <c r="SC7" s="37"/>
      <c r="SD7" s="37"/>
      <c r="SE7" s="37"/>
      <c r="SF7" s="37"/>
      <c r="SG7" s="37"/>
      <c r="SH7" s="37"/>
      <c r="SI7" s="37"/>
      <c r="SJ7" s="37"/>
      <c r="SK7" s="37"/>
      <c r="SL7" s="37"/>
      <c r="SM7" s="37"/>
      <c r="SN7" s="37"/>
      <c r="SO7" s="37"/>
      <c r="SP7" s="37"/>
      <c r="SQ7" s="37"/>
      <c r="SR7" s="37"/>
      <c r="SS7" s="37"/>
      <c r="ST7" s="37"/>
      <c r="SU7" s="37"/>
      <c r="SV7" s="37"/>
      <c r="SW7" s="37"/>
      <c r="SX7" s="37"/>
      <c r="SY7" s="37"/>
      <c r="SZ7" s="37"/>
      <c r="TA7" s="37"/>
      <c r="TB7" s="37"/>
      <c r="TC7" s="37"/>
      <c r="TD7" s="37"/>
      <c r="TE7" s="37"/>
      <c r="TF7" s="37"/>
      <c r="TG7" s="37"/>
      <c r="TH7" s="37"/>
      <c r="TI7" s="37"/>
      <c r="TJ7" s="37"/>
      <c r="TK7" s="37"/>
      <c r="TL7" s="37"/>
      <c r="TM7" s="37"/>
      <c r="TN7" s="37"/>
      <c r="TO7" s="37"/>
      <c r="TP7" s="37"/>
      <c r="TQ7" s="37"/>
      <c r="TR7" s="37"/>
      <c r="TS7" s="37"/>
      <c r="TT7" s="37"/>
      <c r="TU7" s="37"/>
      <c r="TV7" s="37"/>
      <c r="TW7" s="37"/>
      <c r="TX7" s="37"/>
      <c r="TY7" s="37"/>
      <c r="TZ7" s="37"/>
      <c r="UA7" s="37"/>
      <c r="UB7" s="37"/>
      <c r="UC7" s="37"/>
      <c r="UD7" s="37"/>
      <c r="UE7" s="37"/>
      <c r="UF7" s="37"/>
      <c r="UG7" s="37"/>
      <c r="UH7" s="37"/>
      <c r="UI7" s="37"/>
      <c r="UJ7" s="37"/>
      <c r="UK7" s="37"/>
      <c r="UL7" s="37"/>
      <c r="UM7" s="37"/>
      <c r="UN7" s="37"/>
      <c r="UO7" s="37"/>
      <c r="UP7" s="37"/>
      <c r="UQ7" s="37"/>
      <c r="UR7" s="37"/>
      <c r="US7" s="37"/>
      <c r="UT7" s="37"/>
      <c r="UU7" s="37"/>
      <c r="UV7" s="37"/>
      <c r="UW7" s="37"/>
      <c r="UX7" s="37"/>
      <c r="UY7" s="37"/>
      <c r="UZ7" s="37"/>
      <c r="VA7" s="37"/>
      <c r="VB7" s="37"/>
      <c r="VC7" s="37"/>
      <c r="VD7" s="37"/>
      <c r="VE7" s="37"/>
      <c r="VF7" s="37"/>
      <c r="VG7" s="37"/>
      <c r="VH7" s="37"/>
      <c r="VI7" s="37"/>
      <c r="VJ7" s="37"/>
      <c r="VK7" s="37"/>
      <c r="VL7" s="37"/>
      <c r="VM7" s="37"/>
      <c r="VN7" s="37"/>
      <c r="VO7" s="37"/>
      <c r="VP7" s="37"/>
      <c r="VQ7" s="37"/>
      <c r="VR7" s="37"/>
      <c r="VS7" s="37"/>
      <c r="VT7" s="37"/>
      <c r="VU7" s="37"/>
      <c r="VV7" s="37"/>
      <c r="VW7" s="37"/>
      <c r="VX7" s="37"/>
      <c r="VY7" s="37"/>
      <c r="VZ7" s="37"/>
      <c r="WA7" s="37"/>
      <c r="WB7" s="37"/>
      <c r="WC7" s="37"/>
      <c r="WD7" s="37"/>
      <c r="WE7" s="37"/>
      <c r="WF7" s="37"/>
      <c r="WG7" s="37"/>
      <c r="WH7" s="37"/>
      <c r="WI7" s="37"/>
      <c r="WJ7" s="37"/>
      <c r="WK7" s="37"/>
      <c r="WL7" s="37"/>
      <c r="WM7" s="37"/>
      <c r="WN7" s="37"/>
      <c r="WO7" s="37"/>
      <c r="WP7" s="37"/>
      <c r="WQ7" s="37"/>
      <c r="WR7" s="37"/>
      <c r="WS7" s="37"/>
      <c r="WT7" s="37"/>
      <c r="WU7" s="37"/>
      <c r="WV7" s="37"/>
      <c r="WW7" s="37"/>
      <c r="WX7" s="37"/>
      <c r="WY7" s="37"/>
      <c r="WZ7" s="37"/>
      <c r="XA7" s="37"/>
      <c r="XB7" s="37"/>
      <c r="XC7" s="37"/>
      <c r="XD7" s="37"/>
      <c r="XE7" s="37"/>
      <c r="XF7" s="37"/>
      <c r="XG7" s="37"/>
      <c r="XH7" s="37"/>
      <c r="XI7" s="37"/>
      <c r="XJ7" s="37"/>
      <c r="XK7" s="37"/>
      <c r="XL7" s="37"/>
      <c r="XM7" s="37"/>
      <c r="XN7" s="37"/>
      <c r="XO7" s="37"/>
      <c r="XP7" s="37"/>
      <c r="XQ7" s="37"/>
      <c r="XR7" s="37"/>
      <c r="XS7" s="37"/>
      <c r="XT7" s="37"/>
      <c r="XU7" s="37"/>
      <c r="XV7" s="37"/>
      <c r="XW7" s="37"/>
      <c r="XX7" s="37"/>
      <c r="XY7" s="37"/>
      <c r="XZ7" s="37"/>
      <c r="YA7" s="37"/>
      <c r="YB7" s="37"/>
      <c r="YC7" s="37"/>
      <c r="YD7" s="37"/>
      <c r="YE7" s="37"/>
      <c r="YF7" s="37"/>
      <c r="YG7" s="37"/>
      <c r="YH7" s="37"/>
      <c r="YI7" s="37"/>
      <c r="YJ7" s="37"/>
      <c r="YK7" s="37"/>
      <c r="YL7" s="37"/>
      <c r="YM7" s="37"/>
      <c r="YN7" s="37"/>
      <c r="YO7" s="37"/>
      <c r="YP7" s="37"/>
      <c r="YQ7" s="37"/>
      <c r="YR7" s="37"/>
      <c r="YS7" s="37"/>
      <c r="YT7" s="37"/>
      <c r="YU7" s="37"/>
      <c r="YV7" s="37"/>
      <c r="YW7" s="37"/>
      <c r="YX7" s="37"/>
      <c r="YY7" s="37"/>
      <c r="YZ7" s="37"/>
      <c r="ZA7" s="37"/>
      <c r="ZB7" s="37"/>
      <c r="ZC7" s="37"/>
      <c r="ZD7" s="37"/>
      <c r="ZE7" s="37"/>
      <c r="ZF7" s="37"/>
      <c r="ZG7" s="37"/>
      <c r="ZH7" s="37"/>
      <c r="ZI7" s="37"/>
      <c r="ZJ7" s="37"/>
      <c r="ZK7" s="37"/>
      <c r="ZL7" s="37"/>
      <c r="ZM7" s="37"/>
      <c r="ZN7" s="37"/>
      <c r="ZO7" s="37"/>
      <c r="ZP7" s="37"/>
      <c r="ZQ7" s="37"/>
      <c r="ZR7" s="37"/>
      <c r="ZS7" s="37"/>
      <c r="ZT7" s="37"/>
      <c r="ZU7" s="37"/>
      <c r="ZV7" s="37"/>
      <c r="ZW7" s="37"/>
      <c r="ZX7" s="37"/>
      <c r="ZY7" s="37"/>
      <c r="ZZ7" s="37"/>
      <c r="AAA7" s="37"/>
      <c r="AAB7" s="37"/>
      <c r="AAC7" s="37"/>
      <c r="AAD7" s="37"/>
      <c r="AAE7" s="37"/>
      <c r="AAF7" s="37"/>
      <c r="AAG7" s="37"/>
      <c r="AAH7" s="37"/>
      <c r="AAI7" s="37"/>
      <c r="AAJ7" s="37"/>
      <c r="AAK7" s="37"/>
      <c r="AAL7" s="37"/>
      <c r="AAM7" s="37"/>
      <c r="AAN7" s="37"/>
      <c r="AAO7" s="37"/>
      <c r="AAP7" s="37"/>
      <c r="AAQ7" s="37"/>
      <c r="AAR7" s="37"/>
      <c r="AAS7" s="37"/>
      <c r="AAT7" s="37"/>
      <c r="AAU7" s="37"/>
      <c r="AAV7" s="37"/>
      <c r="AAW7" s="37"/>
      <c r="AAX7" s="37"/>
      <c r="AAY7" s="37"/>
      <c r="AAZ7" s="37"/>
      <c r="ABA7" s="37"/>
      <c r="ABB7" s="37"/>
      <c r="ABC7" s="37"/>
      <c r="ABD7" s="37"/>
      <c r="ABE7" s="37"/>
      <c r="ABF7" s="37"/>
      <c r="ABG7" s="37"/>
      <c r="ABH7" s="37"/>
      <c r="ABI7" s="37"/>
      <c r="ABJ7" s="37"/>
      <c r="ABK7" s="37"/>
      <c r="ABL7" s="37"/>
      <c r="ABM7" s="37"/>
      <c r="ABN7" s="37"/>
      <c r="ABO7" s="37"/>
      <c r="ABP7" s="37"/>
      <c r="ABQ7" s="37"/>
      <c r="ABR7" s="37"/>
      <c r="ABS7" s="37"/>
      <c r="ABT7" s="37"/>
      <c r="ABU7" s="37"/>
      <c r="ABV7" s="37"/>
      <c r="ABW7" s="37"/>
      <c r="ABX7" s="37"/>
      <c r="ABY7" s="37"/>
      <c r="ABZ7" s="37"/>
      <c r="ACA7" s="37"/>
      <c r="ACB7" s="37"/>
      <c r="ACC7" s="37"/>
      <c r="ACD7" s="37"/>
      <c r="ACE7" s="37"/>
      <c r="ACF7" s="37"/>
      <c r="ACG7" s="37"/>
      <c r="ACH7" s="37"/>
      <c r="ACI7" s="37"/>
      <c r="ACJ7" s="37"/>
      <c r="ACK7" s="37"/>
      <c r="ACL7" s="37"/>
      <c r="ACM7" s="37"/>
      <c r="ACN7" s="37"/>
      <c r="ACO7" s="37"/>
      <c r="ACP7" s="37"/>
      <c r="ACQ7" s="37"/>
      <c r="ACR7" s="37"/>
      <c r="ACS7" s="37"/>
      <c r="ACT7" s="37"/>
      <c r="ACU7" s="37"/>
      <c r="ACV7" s="37"/>
      <c r="ACW7" s="37"/>
      <c r="ACX7" s="37"/>
      <c r="ACY7" s="37"/>
      <c r="ACZ7" s="37"/>
      <c r="ADA7" s="37"/>
      <c r="ADB7" s="37"/>
      <c r="ADC7" s="37"/>
      <c r="ADD7" s="37"/>
      <c r="ADE7" s="37"/>
      <c r="ADF7" s="37"/>
      <c r="ADG7" s="37"/>
      <c r="ADH7" s="37"/>
      <c r="ADI7" s="37"/>
      <c r="ADJ7" s="37"/>
      <c r="ADK7" s="37"/>
      <c r="ADL7" s="37"/>
      <c r="ADM7" s="37"/>
      <c r="ADN7" s="37"/>
      <c r="ADO7" s="37"/>
      <c r="ADP7" s="37"/>
      <c r="ADQ7" s="37"/>
      <c r="ADR7" s="37"/>
      <c r="ADS7" s="37"/>
      <c r="ADT7" s="37"/>
      <c r="ADU7" s="37"/>
      <c r="ADV7" s="37"/>
      <c r="ADW7" s="37"/>
      <c r="ADX7" s="37"/>
      <c r="ADY7" s="37"/>
      <c r="ADZ7" s="37"/>
      <c r="AEA7" s="37"/>
      <c r="AEB7" s="37"/>
      <c r="AEC7" s="37"/>
      <c r="AED7" s="37"/>
      <c r="AEE7" s="37"/>
      <c r="AEF7" s="37"/>
      <c r="AEG7" s="37"/>
      <c r="AEH7" s="37"/>
      <c r="AEI7" s="37"/>
      <c r="AEJ7" s="37"/>
      <c r="AEK7" s="37"/>
      <c r="AEL7" s="37"/>
      <c r="AEM7" s="37"/>
      <c r="AEN7" s="37"/>
      <c r="AEO7" s="37"/>
      <c r="AEP7" s="37"/>
      <c r="AEQ7" s="37"/>
      <c r="AER7" s="37"/>
      <c r="AES7" s="37"/>
      <c r="AET7" s="37"/>
      <c r="AEU7" s="37"/>
      <c r="AEV7" s="37"/>
      <c r="AEW7" s="37"/>
      <c r="AEX7" s="37"/>
      <c r="AEY7" s="37"/>
      <c r="AEZ7" s="37"/>
      <c r="AFA7" s="37"/>
      <c r="AFB7" s="37"/>
      <c r="AFC7" s="37"/>
      <c r="AFD7" s="37"/>
      <c r="AFE7" s="37"/>
      <c r="AFF7" s="37"/>
      <c r="AFG7" s="37"/>
      <c r="AFH7" s="37"/>
      <c r="AFI7" s="37"/>
      <c r="AFJ7" s="37"/>
      <c r="AFK7" s="37"/>
      <c r="AFL7" s="37"/>
      <c r="AFM7" s="37"/>
      <c r="AFN7" s="37"/>
      <c r="AFO7" s="37"/>
      <c r="AFP7" s="37"/>
      <c r="AFQ7" s="37"/>
      <c r="AFR7" s="37"/>
      <c r="AFS7" s="37"/>
      <c r="AFT7" s="37"/>
      <c r="AFU7" s="37"/>
      <c r="AFV7" s="37"/>
      <c r="AFW7" s="37"/>
      <c r="AFX7" s="37"/>
      <c r="AFY7" s="37"/>
      <c r="AFZ7" s="37"/>
      <c r="AGA7" s="37"/>
      <c r="AGB7" s="37"/>
      <c r="AGC7" s="37"/>
      <c r="AGD7" s="37"/>
      <c r="AGE7" s="37"/>
      <c r="AGF7" s="37"/>
      <c r="AGG7" s="37"/>
      <c r="AGH7" s="37"/>
      <c r="AGI7" s="37"/>
      <c r="AGJ7" s="37"/>
      <c r="AGK7" s="37"/>
      <c r="AGL7" s="37"/>
      <c r="AGM7" s="37"/>
      <c r="AGN7" s="37"/>
      <c r="AGO7" s="37"/>
      <c r="AGP7" s="37"/>
      <c r="AGQ7" s="37"/>
      <c r="AGR7" s="37"/>
      <c r="AGS7" s="37"/>
      <c r="AGT7" s="37"/>
      <c r="AGU7" s="37"/>
      <c r="AGV7" s="37"/>
      <c r="AGW7" s="37"/>
      <c r="AGX7" s="37"/>
      <c r="AGY7" s="37"/>
      <c r="AGZ7" s="37"/>
      <c r="AHA7" s="37"/>
      <c r="AHB7" s="37"/>
      <c r="AHC7" s="37"/>
      <c r="AHD7" s="37"/>
      <c r="AHE7" s="37"/>
      <c r="AHF7" s="37"/>
      <c r="AHG7" s="37"/>
      <c r="AHH7" s="37"/>
      <c r="AHI7" s="37"/>
      <c r="AHJ7" s="37"/>
      <c r="AHK7" s="37"/>
      <c r="AHL7" s="37"/>
      <c r="AHM7" s="37"/>
      <c r="AHN7" s="37"/>
      <c r="AHO7" s="37"/>
      <c r="AHP7" s="37"/>
      <c r="AHQ7" s="37"/>
      <c r="AHR7" s="37"/>
      <c r="AHS7" s="37"/>
      <c r="AHT7" s="37"/>
      <c r="AHU7" s="37"/>
      <c r="AHV7" s="37"/>
      <c r="AHW7" s="37"/>
      <c r="AHX7" s="37"/>
      <c r="AHY7" s="37"/>
      <c r="AHZ7" s="37"/>
      <c r="AIA7" s="37"/>
      <c r="AIB7" s="37"/>
      <c r="AIC7" s="37"/>
      <c r="AID7" s="37"/>
      <c r="AIE7" s="37"/>
      <c r="AIF7" s="37"/>
      <c r="AIG7" s="37"/>
      <c r="AIH7" s="37"/>
      <c r="AII7" s="37"/>
      <c r="AIJ7" s="37"/>
      <c r="AIK7" s="37"/>
      <c r="AIL7" s="37"/>
      <c r="AIM7" s="37"/>
      <c r="AIN7" s="37"/>
      <c r="AIO7" s="37"/>
      <c r="AIP7" s="37"/>
      <c r="AIQ7" s="37"/>
      <c r="AIR7" s="37"/>
      <c r="AIS7" s="37"/>
      <c r="AIT7" s="37"/>
      <c r="AIU7" s="37"/>
      <c r="AIV7" s="37"/>
      <c r="AIW7" s="37"/>
      <c r="AIX7" s="37"/>
      <c r="AIY7" s="37"/>
      <c r="AIZ7" s="37"/>
      <c r="AJA7" s="37"/>
      <c r="AJB7" s="37"/>
      <c r="AJC7" s="37"/>
      <c r="AJD7" s="37"/>
      <c r="AJE7" s="37"/>
      <c r="AJF7" s="37"/>
      <c r="AJG7" s="37"/>
      <c r="AJH7" s="37"/>
      <c r="AJI7" s="37"/>
      <c r="AJJ7" s="37"/>
      <c r="AJK7" s="37"/>
      <c r="AJL7" s="37"/>
      <c r="AJM7" s="37"/>
      <c r="AJN7" s="37"/>
      <c r="AJO7" s="37"/>
      <c r="AJP7" s="37"/>
      <c r="AJQ7" s="37"/>
      <c r="AJR7" s="37"/>
      <c r="AJS7" s="37"/>
      <c r="AJT7" s="37"/>
      <c r="AJU7" s="37"/>
      <c r="AJV7" s="37"/>
      <c r="AJW7" s="37"/>
      <c r="AJX7" s="37"/>
      <c r="AJY7" s="37"/>
      <c r="AJZ7" s="37"/>
      <c r="AKA7" s="37"/>
      <c r="AKB7" s="37"/>
      <c r="AKC7" s="37"/>
      <c r="AKD7" s="37"/>
      <c r="AKE7" s="37"/>
      <c r="AKF7" s="37"/>
      <c r="AKG7" s="37"/>
      <c r="AKH7" s="37"/>
      <c r="AKI7" s="37"/>
      <c r="AKJ7" s="37"/>
      <c r="AKK7" s="37"/>
      <c r="AKL7" s="37"/>
      <c r="AKM7" s="37"/>
      <c r="AKN7" s="37"/>
      <c r="AKO7" s="37"/>
      <c r="AKP7" s="37"/>
      <c r="AKQ7" s="37"/>
      <c r="AKR7" s="37"/>
      <c r="AKS7" s="37"/>
      <c r="AKT7" s="37"/>
      <c r="AKU7" s="37"/>
      <c r="AKV7" s="37"/>
      <c r="AKW7" s="37"/>
      <c r="AKX7" s="37"/>
      <c r="AKY7" s="37"/>
      <c r="AKZ7" s="37"/>
      <c r="ALA7" s="37"/>
      <c r="ALB7" s="37"/>
      <c r="ALC7" s="37"/>
      <c r="ALD7" s="37"/>
      <c r="ALE7" s="37"/>
      <c r="ALF7" s="37"/>
      <c r="ALG7" s="37"/>
      <c r="ALH7" s="37"/>
      <c r="ALI7" s="37"/>
      <c r="ALJ7" s="37"/>
      <c r="ALK7" s="37"/>
      <c r="ALL7" s="37"/>
      <c r="ALM7" s="37"/>
      <c r="ALN7" s="37"/>
      <c r="ALO7" s="37"/>
      <c r="ALP7" s="37"/>
      <c r="ALQ7" s="37"/>
      <c r="ALR7" s="37"/>
      <c r="ALS7" s="37"/>
      <c r="ALT7" s="37"/>
      <c r="ALU7" s="37"/>
      <c r="ALV7" s="37"/>
      <c r="ALW7" s="37"/>
      <c r="ALX7" s="37"/>
      <c r="ALY7" s="37"/>
      <c r="ALZ7" s="37"/>
      <c r="AMA7" s="37"/>
      <c r="AMB7" s="37"/>
      <c r="AMC7" s="37"/>
      <c r="AMD7" s="37"/>
      <c r="AME7" s="37"/>
      <c r="AMF7" s="37"/>
      <c r="AMG7" s="37"/>
      <c r="AMH7" s="37"/>
      <c r="AMI7" s="37"/>
      <c r="AMJ7" s="37"/>
    </row>
    <row r="8" spans="1:1024" ht="14.25" customHeight="1">
      <c r="A8" s="33">
        <v>5</v>
      </c>
      <c r="B8" s="35" t="s">
        <v>25</v>
      </c>
      <c r="C8" s="132" t="s">
        <v>26</v>
      </c>
      <c r="D8" s="132"/>
      <c r="E8" s="132"/>
      <c r="F8" s="132"/>
      <c r="G8" s="132"/>
    </row>
    <row r="9" spans="1:1024" ht="14.25" customHeight="1">
      <c r="A9" s="33"/>
      <c r="B9" s="35"/>
      <c r="C9" s="132"/>
      <c r="D9" s="132"/>
      <c r="E9" s="132"/>
      <c r="F9" s="132"/>
      <c r="G9" s="132"/>
    </row>
    <row r="10" spans="1:1024" ht="15" customHeight="1">
      <c r="A10" s="39"/>
      <c r="B10" s="40"/>
      <c r="C10" s="40"/>
      <c r="D10" s="40"/>
      <c r="E10" s="40"/>
    </row>
    <row r="11" spans="1:1024" ht="14.25" customHeight="1">
      <c r="A11" s="41" t="s">
        <v>27</v>
      </c>
      <c r="B11" s="41" t="s">
        <v>28</v>
      </c>
      <c r="C11" s="133" t="s">
        <v>29</v>
      </c>
      <c r="D11" s="133"/>
      <c r="E11" s="133"/>
      <c r="F11" s="41" t="s">
        <v>30</v>
      </c>
      <c r="G11" s="41" t="s">
        <v>31</v>
      </c>
    </row>
    <row r="12" spans="1:1024" ht="23.25" customHeight="1">
      <c r="A12" s="42">
        <v>46279</v>
      </c>
      <c r="B12" s="43" t="s">
        <v>32</v>
      </c>
      <c r="C12" s="134" t="s">
        <v>33</v>
      </c>
      <c r="D12" s="134"/>
      <c r="E12" s="134"/>
      <c r="F12" s="44" t="s">
        <v>34</v>
      </c>
      <c r="G12" s="45"/>
    </row>
    <row r="13" spans="1:1024" ht="14.25" customHeight="1">
      <c r="A13" s="46">
        <v>46279</v>
      </c>
      <c r="B13" s="30" t="s">
        <v>35</v>
      </c>
      <c r="C13" s="30" t="s">
        <v>36</v>
      </c>
      <c r="F13" s="30" t="s">
        <v>37</v>
      </c>
    </row>
    <row r="14" spans="1:1024" ht="14.25" customHeight="1">
      <c r="A14" s="46">
        <v>46279</v>
      </c>
      <c r="B14" s="30" t="s">
        <v>35</v>
      </c>
      <c r="C14" s="30" t="s">
        <v>38</v>
      </c>
      <c r="F14" s="30" t="s">
        <v>13</v>
      </c>
    </row>
  </sheetData>
  <mergeCells count="9">
    <mergeCell ref="C8:G8"/>
    <mergeCell ref="C9:G9"/>
    <mergeCell ref="C11:E11"/>
    <mergeCell ref="C12:E12"/>
    <mergeCell ref="C3:G3"/>
    <mergeCell ref="C4:G4"/>
    <mergeCell ref="C5:G5"/>
    <mergeCell ref="C6:G6"/>
    <mergeCell ref="C7:G7"/>
  </mergeCells>
  <hyperlinks>
    <hyperlink ref="B4" location="Cover!A1" display="Cover" xr:uid="{00000000-0004-0000-0100-000000000000}"/>
    <hyperlink ref="B5" location="Records!A1" display="Records" xr:uid="{00000000-0004-0000-0100-000001000000}"/>
    <hyperlink ref="B6" location="'Test Report'!A1" display="Test Report" xr:uid="{00000000-0004-0000-0100-000002000000}"/>
    <hyperlink ref="B7" location="'Create Case'!A1" display="Create Case" xr:uid="{00000000-0004-0000-0100-000003000000}"/>
    <hyperlink ref="B8" location="Legend!A1" display="Legend" xr:uid="{00000000-0004-0000-0100-000004000000}"/>
  </hyperlink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C090"/>
  </sheetPr>
  <dimension ref="A1:H31"/>
  <sheetViews>
    <sheetView zoomScaleNormal="100" workbookViewId="0">
      <selection activeCell="K20" sqref="K20"/>
    </sheetView>
  </sheetViews>
  <sheetFormatPr defaultColWidth="8.5703125" defaultRowHeight="14.25"/>
  <cols>
    <col min="1" max="1" width="24.140625" style="38" customWidth="1"/>
    <col min="2" max="2" width="15.42578125" style="38" customWidth="1"/>
    <col min="3" max="3" width="16" style="38" customWidth="1"/>
    <col min="4" max="8" width="15.42578125" style="38" customWidth="1"/>
    <col min="9" max="16384" width="8.5703125" style="38"/>
  </cols>
  <sheetData>
    <row r="1" spans="1:8" ht="14.25" customHeight="1">
      <c r="A1" s="47"/>
      <c r="B1" s="48"/>
      <c r="C1" s="48"/>
      <c r="D1" s="48"/>
      <c r="E1" s="48"/>
      <c r="F1" s="48"/>
      <c r="G1" s="48"/>
      <c r="H1" s="49"/>
    </row>
    <row r="2" spans="1:8" ht="27.75" customHeight="1">
      <c r="A2" s="50"/>
      <c r="B2" s="51" t="s">
        <v>39</v>
      </c>
      <c r="C2" s="50"/>
      <c r="D2" s="50"/>
      <c r="E2" s="50"/>
      <c r="F2" s="50"/>
      <c r="G2" s="50"/>
      <c r="H2" s="50"/>
    </row>
    <row r="3" spans="1:8" ht="14.25" customHeight="1">
      <c r="A3" s="50"/>
      <c r="B3" s="50"/>
      <c r="C3" s="50"/>
      <c r="D3" s="50"/>
      <c r="E3" s="50"/>
      <c r="F3" s="50"/>
      <c r="G3" s="50"/>
      <c r="H3" s="50"/>
    </row>
    <row r="4" spans="1:8" ht="15" customHeight="1">
      <c r="A4" s="50"/>
      <c r="B4" s="50"/>
      <c r="C4" s="50"/>
      <c r="D4" s="50"/>
      <c r="E4" s="50"/>
      <c r="F4" s="50"/>
      <c r="G4" s="50"/>
      <c r="H4" s="50"/>
    </row>
    <row r="5" spans="1:8" ht="27.75" customHeight="1">
      <c r="A5" s="52" t="s">
        <v>40</v>
      </c>
      <c r="B5" s="136" t="s">
        <v>2</v>
      </c>
      <c r="C5" s="136"/>
      <c r="D5" s="53" t="s">
        <v>41</v>
      </c>
      <c r="E5" s="137"/>
      <c r="F5" s="137"/>
      <c r="G5" s="137"/>
      <c r="H5" s="137"/>
    </row>
    <row r="6" spans="1:8" ht="21.75" customHeight="1">
      <c r="A6" s="54" t="s">
        <v>42</v>
      </c>
      <c r="B6" s="138" t="s">
        <v>43</v>
      </c>
      <c r="C6" s="138"/>
      <c r="D6" s="55" t="s">
        <v>44</v>
      </c>
      <c r="E6" s="139"/>
      <c r="F6" s="139"/>
      <c r="G6" s="139"/>
      <c r="H6" s="139"/>
    </row>
    <row r="7" spans="1:8" ht="14.25" customHeight="1">
      <c r="A7" s="54" t="s">
        <v>45</v>
      </c>
      <c r="B7" s="140"/>
      <c r="C7" s="140"/>
      <c r="D7" s="55" t="s">
        <v>46</v>
      </c>
      <c r="E7" s="141"/>
      <c r="F7" s="141"/>
      <c r="G7" s="141"/>
      <c r="H7" s="141"/>
    </row>
    <row r="8" spans="1:8" ht="14.25" customHeight="1">
      <c r="A8" s="54" t="s">
        <v>47</v>
      </c>
      <c r="B8" s="140"/>
      <c r="C8" s="140"/>
      <c r="D8" s="55" t="s">
        <v>48</v>
      </c>
      <c r="E8" s="139"/>
      <c r="F8" s="139"/>
      <c r="G8" s="139"/>
      <c r="H8" s="139"/>
    </row>
    <row r="9" spans="1:8" ht="14.25" customHeight="1">
      <c r="A9" s="54" t="s">
        <v>49</v>
      </c>
      <c r="B9" s="56" t="s">
        <v>50</v>
      </c>
      <c r="C9" s="57"/>
      <c r="D9" s="55"/>
      <c r="E9" s="58"/>
      <c r="F9" s="59"/>
      <c r="G9" s="59"/>
      <c r="H9" s="60"/>
    </row>
    <row r="10" spans="1:8" ht="14.25" customHeight="1">
      <c r="A10" s="54" t="s">
        <v>51</v>
      </c>
      <c r="B10" s="143"/>
      <c r="C10" s="143"/>
      <c r="D10" s="55"/>
      <c r="E10" s="139"/>
      <c r="F10" s="139"/>
      <c r="G10" s="139"/>
      <c r="H10" s="139"/>
    </row>
    <row r="11" spans="1:8" ht="15" customHeight="1">
      <c r="A11" s="144" t="s">
        <v>52</v>
      </c>
      <c r="B11" s="144"/>
      <c r="C11" s="61"/>
      <c r="D11" s="61"/>
      <c r="E11" s="61"/>
      <c r="F11" s="61"/>
      <c r="G11" s="61"/>
      <c r="H11" s="62"/>
    </row>
    <row r="12" spans="1:8" ht="14.25" customHeight="1">
      <c r="A12" s="63" t="s">
        <v>53</v>
      </c>
      <c r="B12" s="64"/>
      <c r="C12" s="65"/>
      <c r="D12" s="65"/>
      <c r="E12" s="65"/>
      <c r="F12" s="65"/>
      <c r="G12" s="65"/>
      <c r="H12" s="66"/>
    </row>
    <row r="13" spans="1:8" ht="14.25" customHeight="1">
      <c r="A13" s="67" t="s">
        <v>54</v>
      </c>
      <c r="B13" s="68"/>
      <c r="C13" s="69"/>
      <c r="D13" s="69"/>
      <c r="E13" s="69"/>
      <c r="F13" s="69"/>
      <c r="G13" s="69"/>
      <c r="H13" s="70"/>
    </row>
    <row r="14" spans="1:8" ht="14.25" customHeight="1">
      <c r="A14" s="142" t="s">
        <v>55</v>
      </c>
      <c r="B14" s="71" t="s">
        <v>56</v>
      </c>
      <c r="C14" s="71" t="s">
        <v>57</v>
      </c>
      <c r="D14" s="71" t="s">
        <v>58</v>
      </c>
      <c r="E14" s="71" t="s">
        <v>59</v>
      </c>
      <c r="F14" s="71" t="s">
        <v>60</v>
      </c>
      <c r="G14" s="71" t="s">
        <v>61</v>
      </c>
      <c r="H14" s="72" t="s">
        <v>62</v>
      </c>
    </row>
    <row r="15" spans="1:8" ht="14.25" customHeight="1">
      <c r="A15" s="142"/>
      <c r="B15" s="73">
        <f>B16</f>
        <v>0</v>
      </c>
      <c r="C15" s="73">
        <f>C16</f>
        <v>0</v>
      </c>
      <c r="D15" s="73">
        <f>D16</f>
        <v>28</v>
      </c>
      <c r="E15" s="73">
        <f>E16</f>
        <v>0</v>
      </c>
      <c r="F15" s="73">
        <f>F16</f>
        <v>0</v>
      </c>
      <c r="G15" s="73"/>
      <c r="H15" s="74">
        <f>SUM(B15:F15)</f>
        <v>28</v>
      </c>
    </row>
    <row r="16" spans="1:8" ht="14.25" customHeight="1">
      <c r="A16" s="75" t="s">
        <v>63</v>
      </c>
      <c r="B16" s="76">
        <f>COUNTIF('Create Case'!K:K,"Passed")</f>
        <v>0</v>
      </c>
      <c r="C16" s="76">
        <f>COUNTIF('Create Case'!K:K,"Failed")</f>
        <v>0</v>
      </c>
      <c r="D16" s="76">
        <f>COUNTIF('Create Case'!K:K,"Untested")</f>
        <v>28</v>
      </c>
      <c r="E16" s="76">
        <f>COUNTIF('Create Case'!K:K,"Accepted")</f>
        <v>0</v>
      </c>
      <c r="F16" s="76">
        <f>COUNTIF('Create Case'!K:K,"Pending")</f>
        <v>0</v>
      </c>
      <c r="G16" s="76">
        <f>COUNTIF('Create Case'!K:K,"Cancel")</f>
        <v>0</v>
      </c>
      <c r="H16" s="77"/>
    </row>
    <row r="17" spans="1:8" ht="14.25" customHeight="1">
      <c r="A17" s="78"/>
      <c r="B17" s="76"/>
      <c r="C17" s="76"/>
      <c r="D17" s="76"/>
      <c r="E17" s="76"/>
      <c r="F17" s="76"/>
      <c r="G17" s="76"/>
      <c r="H17" s="77"/>
    </row>
    <row r="18" spans="1:8" ht="14.25" customHeight="1">
      <c r="A18" s="79" t="s">
        <v>64</v>
      </c>
      <c r="B18" s="73">
        <f>B19</f>
        <v>0</v>
      </c>
      <c r="C18" s="73">
        <f>C19</f>
        <v>0</v>
      </c>
      <c r="D18" s="73">
        <f>D19</f>
        <v>28</v>
      </c>
      <c r="E18" s="73">
        <f>E19</f>
        <v>0</v>
      </c>
      <c r="F18" s="73">
        <f>F19</f>
        <v>0</v>
      </c>
      <c r="G18" s="73"/>
      <c r="H18" s="74">
        <f>SUM(B18:F18)</f>
        <v>28</v>
      </c>
    </row>
    <row r="19" spans="1:8" ht="14.25" customHeight="1">
      <c r="A19" s="75" t="s">
        <v>63</v>
      </c>
      <c r="B19" s="76">
        <f>COUNTIF('Create Case'!L:L,"Passed")</f>
        <v>0</v>
      </c>
      <c r="C19" s="76">
        <f>COUNTIF('Create Case'!L:L,"Failed")</f>
        <v>0</v>
      </c>
      <c r="D19" s="76">
        <f>COUNTIF('Create Case'!L:L,"Untested")</f>
        <v>28</v>
      </c>
      <c r="E19" s="76">
        <f>COUNTIF('Create Case'!L:L,"Accepted")</f>
        <v>0</v>
      </c>
      <c r="F19" s="76">
        <f>COUNTIF('Create Case'!L:L,"Pending")</f>
        <v>0</v>
      </c>
      <c r="G19" s="76">
        <f>COUNTIF('Create Case'!L:L,"Cancel")</f>
        <v>0</v>
      </c>
      <c r="H19" s="77"/>
    </row>
    <row r="20" spans="1:8" ht="14.25" customHeight="1">
      <c r="A20" s="80" t="s">
        <v>65</v>
      </c>
      <c r="B20" s="81"/>
      <c r="C20" s="81"/>
      <c r="D20" s="81"/>
      <c r="E20" s="82"/>
      <c r="F20" s="82"/>
      <c r="G20" s="82"/>
      <c r="H20" s="83"/>
    </row>
    <row r="21" spans="1:8" ht="14.25" customHeight="1">
      <c r="A21" s="75" t="s">
        <v>65</v>
      </c>
      <c r="B21" s="81"/>
      <c r="C21" s="81"/>
      <c r="D21" s="81"/>
      <c r="E21" s="82"/>
      <c r="F21" s="82"/>
      <c r="G21" s="82"/>
      <c r="H21" s="84"/>
    </row>
    <row r="22" spans="1:8" ht="14.25" customHeight="1">
      <c r="A22" s="78" t="s">
        <v>66</v>
      </c>
      <c r="B22" s="81"/>
      <c r="C22" s="81"/>
      <c r="D22" s="81"/>
      <c r="E22" s="82"/>
      <c r="F22" s="82"/>
      <c r="G22" s="82"/>
      <c r="H22" s="84"/>
    </row>
    <row r="23" spans="1:8" ht="14.25" customHeight="1">
      <c r="A23" s="80" t="s">
        <v>67</v>
      </c>
      <c r="B23" s="81" t="s">
        <v>4</v>
      </c>
      <c r="C23" s="81"/>
      <c r="D23" s="81"/>
      <c r="E23" s="82"/>
      <c r="F23" s="82"/>
      <c r="G23" s="82"/>
      <c r="H23" s="81"/>
    </row>
    <row r="24" spans="1:8" ht="14.25" customHeight="1">
      <c r="A24" s="78" t="s">
        <v>68</v>
      </c>
      <c r="B24" s="85"/>
      <c r="C24" s="85"/>
      <c r="D24" s="85"/>
      <c r="E24" s="85"/>
      <c r="F24" s="85"/>
      <c r="G24" s="85"/>
      <c r="H24" s="85"/>
    </row>
    <row r="25" spans="1:8" ht="14.25" customHeight="1">
      <c r="A25" s="78" t="s">
        <v>69</v>
      </c>
      <c r="B25" s="85"/>
      <c r="C25" s="85"/>
      <c r="D25" s="85"/>
      <c r="E25" s="85"/>
      <c r="F25" s="85"/>
      <c r="G25" s="85"/>
      <c r="H25" s="85"/>
    </row>
    <row r="31" spans="1:8" ht="14.25" customHeight="1">
      <c r="E31" s="38" t="s">
        <v>70</v>
      </c>
    </row>
  </sheetData>
  <mergeCells count="12">
    <mergeCell ref="A14:A15"/>
    <mergeCell ref="B8:C8"/>
    <mergeCell ref="E8:H8"/>
    <mergeCell ref="B10:C10"/>
    <mergeCell ref="E10:H10"/>
    <mergeCell ref="A11:B11"/>
    <mergeCell ref="B5:C5"/>
    <mergeCell ref="E5:H5"/>
    <mergeCell ref="B6:C6"/>
    <mergeCell ref="E6:H6"/>
    <mergeCell ref="B7:C7"/>
    <mergeCell ref="E7:H7"/>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O57"/>
  <sheetViews>
    <sheetView tabSelected="1" zoomScale="70" zoomScaleNormal="70" workbookViewId="0">
      <pane xSplit="3" ySplit="21" topLeftCell="D46" activePane="bottomRight" state="frozen"/>
      <selection pane="bottomRight" activeCell="C53" sqref="C53"/>
      <selection pane="bottomLeft" activeCell="A22" sqref="A22"/>
      <selection pane="topRight" activeCell="D1" sqref="D1"/>
    </sheetView>
  </sheetViews>
  <sheetFormatPr defaultColWidth="9" defaultRowHeight="14.25"/>
  <cols>
    <col min="1" max="1" width="7.28515625" style="86"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87" customWidth="1"/>
  </cols>
  <sheetData>
    <row r="1" spans="2:7" ht="30" hidden="1" customHeight="1">
      <c r="B1" s="88" t="s">
        <v>71</v>
      </c>
      <c r="C1" s="88" t="s">
        <v>2</v>
      </c>
      <c r="D1" s="89"/>
      <c r="E1" s="89"/>
      <c r="F1" s="90"/>
    </row>
    <row r="2" spans="2:7" ht="15" hidden="1" customHeight="1">
      <c r="B2" s="88" t="s">
        <v>72</v>
      </c>
      <c r="C2" s="88" t="s">
        <v>73</v>
      </c>
      <c r="D2" s="89"/>
      <c r="E2" s="89"/>
      <c r="F2" s="90"/>
    </row>
    <row r="3" spans="2:7" ht="14.25" hidden="1" customHeight="1">
      <c r="B3" s="91" t="s">
        <v>74</v>
      </c>
      <c r="C3" s="92"/>
      <c r="D3" s="92"/>
      <c r="E3" s="92"/>
      <c r="F3" s="93"/>
    </row>
    <row r="4" spans="2:7" ht="15" hidden="1" customHeight="1">
      <c r="B4" s="94"/>
      <c r="C4" s="95" t="s">
        <v>75</v>
      </c>
      <c r="D4" s="95" t="s">
        <v>76</v>
      </c>
      <c r="E4" s="95" t="s">
        <v>77</v>
      </c>
      <c r="F4" s="96" t="s">
        <v>62</v>
      </c>
      <c r="G4" s="90"/>
    </row>
    <row r="5" spans="2:7" ht="15" hidden="1" customHeight="1">
      <c r="B5" s="97"/>
      <c r="C5" s="98">
        <f>SUM(C6:C10)</f>
        <v>17</v>
      </c>
      <c r="D5" s="98">
        <f>SUM(D6:D10)</f>
        <v>11</v>
      </c>
      <c r="E5" s="98">
        <f>SUM(E6:E10)</f>
        <v>0</v>
      </c>
      <c r="F5" s="98">
        <f t="shared" ref="F5:F11" si="0">SUM(C5:E5)</f>
        <v>28</v>
      </c>
    </row>
    <row r="6" spans="2:7" ht="14.25" hidden="1" customHeight="1">
      <c r="B6" s="99" t="s">
        <v>56</v>
      </c>
      <c r="C6" s="100">
        <f t="shared" ref="C6:E11" si="1">COUNTIFS($K:$K, $B6,$I:$I,C$4)</f>
        <v>0</v>
      </c>
      <c r="D6" s="100">
        <f t="shared" si="1"/>
        <v>0</v>
      </c>
      <c r="E6" s="100">
        <f t="shared" si="1"/>
        <v>0</v>
      </c>
      <c r="F6" s="100">
        <f t="shared" si="0"/>
        <v>0</v>
      </c>
    </row>
    <row r="7" spans="2:7" ht="14.25" hidden="1" customHeight="1">
      <c r="B7" s="99" t="s">
        <v>57</v>
      </c>
      <c r="C7" s="100">
        <f t="shared" si="1"/>
        <v>0</v>
      </c>
      <c r="D7" s="100">
        <f t="shared" si="1"/>
        <v>0</v>
      </c>
      <c r="E7" s="100">
        <f t="shared" si="1"/>
        <v>0</v>
      </c>
      <c r="F7" s="100">
        <f t="shared" si="0"/>
        <v>0</v>
      </c>
    </row>
    <row r="8" spans="2:7" ht="14.25" hidden="1" customHeight="1">
      <c r="B8" s="99" t="s">
        <v>58</v>
      </c>
      <c r="C8" s="100">
        <f t="shared" si="1"/>
        <v>17</v>
      </c>
      <c r="D8" s="100">
        <f t="shared" si="1"/>
        <v>11</v>
      </c>
      <c r="E8" s="100">
        <f t="shared" si="1"/>
        <v>0</v>
      </c>
      <c r="F8" s="100">
        <f t="shared" si="0"/>
        <v>28</v>
      </c>
    </row>
    <row r="9" spans="2:7" ht="14.25" hidden="1" customHeight="1">
      <c r="B9" s="99" t="s">
        <v>59</v>
      </c>
      <c r="C9" s="100">
        <f t="shared" si="1"/>
        <v>0</v>
      </c>
      <c r="D9" s="100">
        <f t="shared" si="1"/>
        <v>0</v>
      </c>
      <c r="E9" s="100">
        <f t="shared" si="1"/>
        <v>0</v>
      </c>
      <c r="F9" s="100">
        <f t="shared" si="0"/>
        <v>0</v>
      </c>
    </row>
    <row r="10" spans="2:7" ht="14.25" hidden="1" customHeight="1">
      <c r="B10" s="99" t="s">
        <v>60</v>
      </c>
      <c r="C10" s="100">
        <f t="shared" si="1"/>
        <v>0</v>
      </c>
      <c r="D10" s="100">
        <f t="shared" si="1"/>
        <v>0</v>
      </c>
      <c r="E10" s="100">
        <f t="shared" si="1"/>
        <v>0</v>
      </c>
      <c r="F10" s="100">
        <f t="shared" si="0"/>
        <v>0</v>
      </c>
    </row>
    <row r="11" spans="2:7" ht="14.25" hidden="1" customHeight="1">
      <c r="B11" s="99" t="s">
        <v>61</v>
      </c>
      <c r="C11" s="100">
        <f t="shared" si="1"/>
        <v>0</v>
      </c>
      <c r="D11" s="100">
        <f t="shared" si="1"/>
        <v>0</v>
      </c>
      <c r="E11" s="100">
        <f t="shared" si="1"/>
        <v>0</v>
      </c>
      <c r="F11" s="100">
        <f t="shared" si="0"/>
        <v>0</v>
      </c>
    </row>
    <row r="12" spans="2:7" ht="14.25" hidden="1" customHeight="1">
      <c r="B12" s="91" t="s">
        <v>78</v>
      </c>
      <c r="C12" s="92"/>
      <c r="D12" s="92"/>
      <c r="E12" s="92"/>
      <c r="F12" s="93"/>
    </row>
    <row r="13" spans="2:7" ht="15" hidden="1" customHeight="1">
      <c r="B13" s="94"/>
      <c r="C13" s="95" t="s">
        <v>75</v>
      </c>
      <c r="D13" s="95" t="s">
        <v>76</v>
      </c>
      <c r="E13" s="95" t="s">
        <v>77</v>
      </c>
      <c r="F13" s="96" t="s">
        <v>62</v>
      </c>
      <c r="G13" s="90"/>
    </row>
    <row r="14" spans="2:7" ht="15" hidden="1" customHeight="1">
      <c r="B14" s="97"/>
      <c r="C14" s="98">
        <f>SUM(C15:C19)</f>
        <v>17</v>
      </c>
      <c r="D14" s="98">
        <f>SUM(D15:D19)</f>
        <v>11</v>
      </c>
      <c r="E14" s="98">
        <f>SUM(E15:E19)</f>
        <v>0</v>
      </c>
      <c r="F14" s="98">
        <f t="shared" ref="F14:F20" si="2">SUM(C14:E14)</f>
        <v>28</v>
      </c>
    </row>
    <row r="15" spans="2:7" ht="14.25" hidden="1" customHeight="1">
      <c r="B15" s="99" t="s">
        <v>56</v>
      </c>
      <c r="C15" s="100">
        <f t="shared" ref="C15:E20" si="3">COUNTIFS($L:$L, $B15,$I:$I,C$4)</f>
        <v>0</v>
      </c>
      <c r="D15" s="100">
        <f t="shared" si="3"/>
        <v>0</v>
      </c>
      <c r="E15" s="100">
        <f t="shared" si="3"/>
        <v>0</v>
      </c>
      <c r="F15" s="100">
        <f t="shared" si="2"/>
        <v>0</v>
      </c>
    </row>
    <row r="16" spans="2:7" ht="14.25" hidden="1" customHeight="1">
      <c r="B16" s="99" t="s">
        <v>57</v>
      </c>
      <c r="C16" s="100">
        <f t="shared" si="3"/>
        <v>0</v>
      </c>
      <c r="D16" s="100">
        <f t="shared" si="3"/>
        <v>0</v>
      </c>
      <c r="E16" s="100">
        <f t="shared" si="3"/>
        <v>0</v>
      </c>
      <c r="F16" s="100">
        <f t="shared" si="2"/>
        <v>0</v>
      </c>
    </row>
    <row r="17" spans="1:15" ht="14.25" hidden="1" customHeight="1">
      <c r="B17" s="99" t="s">
        <v>58</v>
      </c>
      <c r="C17" s="100">
        <f t="shared" si="3"/>
        <v>17</v>
      </c>
      <c r="D17" s="100">
        <f t="shared" si="3"/>
        <v>11</v>
      </c>
      <c r="E17" s="100">
        <f t="shared" si="3"/>
        <v>0</v>
      </c>
      <c r="F17" s="100">
        <f t="shared" si="2"/>
        <v>28</v>
      </c>
    </row>
    <row r="18" spans="1:15" ht="14.25" hidden="1" customHeight="1">
      <c r="B18" s="99" t="s">
        <v>59</v>
      </c>
      <c r="C18" s="100">
        <f t="shared" si="3"/>
        <v>0</v>
      </c>
      <c r="D18" s="100">
        <f t="shared" si="3"/>
        <v>0</v>
      </c>
      <c r="E18" s="100">
        <f t="shared" si="3"/>
        <v>0</v>
      </c>
      <c r="F18" s="100">
        <f t="shared" si="2"/>
        <v>0</v>
      </c>
    </row>
    <row r="19" spans="1:15" ht="14.25" hidden="1" customHeight="1">
      <c r="B19" s="99" t="s">
        <v>60</v>
      </c>
      <c r="C19" s="100">
        <f t="shared" si="3"/>
        <v>0</v>
      </c>
      <c r="D19" s="100">
        <f t="shared" si="3"/>
        <v>0</v>
      </c>
      <c r="E19" s="100">
        <f t="shared" si="3"/>
        <v>0</v>
      </c>
      <c r="F19" s="100">
        <f t="shared" si="2"/>
        <v>0</v>
      </c>
    </row>
    <row r="20" spans="1:15" ht="14.25" hidden="1" customHeight="1">
      <c r="B20" s="99" t="s">
        <v>61</v>
      </c>
      <c r="C20" s="100">
        <f t="shared" si="3"/>
        <v>0</v>
      </c>
      <c r="D20" s="100">
        <f t="shared" si="3"/>
        <v>0</v>
      </c>
      <c r="E20" s="100">
        <f t="shared" si="3"/>
        <v>0</v>
      </c>
      <c r="F20" s="100">
        <f t="shared" si="2"/>
        <v>0</v>
      </c>
    </row>
    <row r="21" spans="1:15" s="102" customFormat="1" ht="30" customHeight="1">
      <c r="A21" s="101" t="s">
        <v>79</v>
      </c>
      <c r="B21" s="101" t="s">
        <v>80</v>
      </c>
      <c r="C21" s="101" t="s">
        <v>81</v>
      </c>
      <c r="D21" s="101" t="s">
        <v>82</v>
      </c>
      <c r="E21" s="101" t="s">
        <v>83</v>
      </c>
      <c r="F21" s="101" t="s">
        <v>84</v>
      </c>
      <c r="G21" s="101" t="s">
        <v>85</v>
      </c>
      <c r="H21" s="101" t="s">
        <v>49</v>
      </c>
      <c r="I21" s="101" t="s">
        <v>86</v>
      </c>
      <c r="J21" s="101" t="s">
        <v>87</v>
      </c>
      <c r="K21" s="101" t="s">
        <v>88</v>
      </c>
      <c r="L21" s="101" t="s">
        <v>89</v>
      </c>
      <c r="M21" s="101" t="s">
        <v>90</v>
      </c>
      <c r="N21" s="101" t="s">
        <v>91</v>
      </c>
      <c r="O21" s="101" t="s">
        <v>92</v>
      </c>
    </row>
    <row r="22" spans="1:15" ht="18" customHeight="1">
      <c r="A22" s="103">
        <f t="shared" ref="A22:A53" si="4">ROW()-21</f>
        <v>1</v>
      </c>
      <c r="B22" s="104" t="s">
        <v>93</v>
      </c>
      <c r="C22" s="104" t="s">
        <v>94</v>
      </c>
      <c r="D22" s="104"/>
      <c r="E22" s="104"/>
      <c r="F22" s="104"/>
      <c r="G22" s="104"/>
      <c r="H22" s="104"/>
      <c r="I22" s="104"/>
      <c r="J22" s="104"/>
      <c r="K22" s="104"/>
      <c r="L22" s="104"/>
      <c r="M22" s="104"/>
      <c r="N22" s="104"/>
      <c r="O22" s="104"/>
    </row>
    <row r="23" spans="1:15" ht="18" customHeight="1">
      <c r="A23" s="103">
        <f t="shared" si="4"/>
        <v>2</v>
      </c>
      <c r="B23" s="105" t="s">
        <v>95</v>
      </c>
      <c r="C23" s="105" t="s">
        <v>96</v>
      </c>
      <c r="D23" s="105"/>
      <c r="E23" s="105"/>
      <c r="F23" s="105"/>
      <c r="G23" s="105"/>
      <c r="H23" s="105"/>
      <c r="I23" s="105"/>
      <c r="J23" s="105"/>
      <c r="K23" s="105"/>
      <c r="L23" s="105"/>
      <c r="M23" s="105"/>
      <c r="N23" s="105"/>
      <c r="O23" s="105"/>
    </row>
    <row r="24" spans="1:15" ht="100.5" customHeight="1">
      <c r="A24" s="103">
        <f t="shared" si="4"/>
        <v>3</v>
      </c>
      <c r="B24" s="106" t="str">
        <f>$B$23&amp;"."&amp;COUNTA($B$23:B23)</f>
        <v>TM_CC_1.1</v>
      </c>
      <c r="C24" s="106" t="s">
        <v>97</v>
      </c>
      <c r="D24" s="106" t="s">
        <v>98</v>
      </c>
      <c r="E24" s="106" t="s">
        <v>99</v>
      </c>
      <c r="F24" s="106"/>
      <c r="G24" s="106" t="s">
        <v>100</v>
      </c>
      <c r="H24" s="103" t="s">
        <v>50</v>
      </c>
      <c r="I24" s="103" t="s">
        <v>75</v>
      </c>
      <c r="J24" s="103" t="s">
        <v>101</v>
      </c>
      <c r="K24" s="103" t="s">
        <v>58</v>
      </c>
      <c r="L24" s="103" t="s">
        <v>58</v>
      </c>
      <c r="M24" s="103"/>
      <c r="N24" s="106"/>
      <c r="O24" s="106"/>
    </row>
    <row r="25" spans="1:15" ht="18" customHeight="1">
      <c r="A25" s="103">
        <f t="shared" si="4"/>
        <v>4</v>
      </c>
      <c r="B25" s="105" t="s">
        <v>102</v>
      </c>
      <c r="C25" s="105" t="s">
        <v>103</v>
      </c>
      <c r="D25" s="105"/>
      <c r="E25" s="105"/>
      <c r="F25" s="105"/>
      <c r="G25" s="105"/>
      <c r="H25" s="105"/>
      <c r="I25" s="105"/>
      <c r="J25" s="105"/>
      <c r="K25" s="105"/>
      <c r="L25" s="105"/>
      <c r="M25" s="105"/>
      <c r="N25" s="105"/>
      <c r="O25" s="105"/>
    </row>
    <row r="26" spans="1:15" ht="43.5" customHeight="1">
      <c r="A26" s="103">
        <f t="shared" si="4"/>
        <v>5</v>
      </c>
      <c r="B26" s="106" t="str">
        <f>$B$25&amp;"."&amp;COUNTA($B$25:B25)</f>
        <v>TM_CC_2.1</v>
      </c>
      <c r="C26" s="106" t="s">
        <v>104</v>
      </c>
      <c r="D26" s="106" t="s">
        <v>98</v>
      </c>
      <c r="E26" s="106" t="s">
        <v>105</v>
      </c>
      <c r="F26" s="106"/>
      <c r="G26" s="106" t="s">
        <v>106</v>
      </c>
      <c r="H26" s="103" t="s">
        <v>50</v>
      </c>
      <c r="I26" s="103" t="s">
        <v>75</v>
      </c>
      <c r="J26" s="103" t="s">
        <v>101</v>
      </c>
      <c r="K26" s="103" t="s">
        <v>58</v>
      </c>
      <c r="L26" s="103" t="s">
        <v>58</v>
      </c>
      <c r="M26" s="103"/>
      <c r="N26" s="106"/>
      <c r="O26" s="106"/>
    </row>
    <row r="27" spans="1:15" ht="43.5" customHeight="1">
      <c r="A27" s="103">
        <f t="shared" si="4"/>
        <v>6</v>
      </c>
      <c r="B27" s="106" t="str">
        <f>$B$25&amp;"."&amp;COUNTA($B$25:B26)</f>
        <v>TM_CC_2.2</v>
      </c>
      <c r="C27" s="106" t="s">
        <v>107</v>
      </c>
      <c r="D27" s="106" t="s">
        <v>98</v>
      </c>
      <c r="E27" s="106" t="s">
        <v>108</v>
      </c>
      <c r="F27" s="106"/>
      <c r="G27" s="106" t="s">
        <v>109</v>
      </c>
      <c r="H27" s="103" t="s">
        <v>50</v>
      </c>
      <c r="I27" s="103" t="s">
        <v>75</v>
      </c>
      <c r="J27" s="103" t="s">
        <v>101</v>
      </c>
      <c r="K27" s="103" t="s">
        <v>58</v>
      </c>
      <c r="L27" s="103" t="s">
        <v>58</v>
      </c>
      <c r="M27" s="103"/>
      <c r="N27" s="106"/>
      <c r="O27" s="106"/>
    </row>
    <row r="28" spans="1:15" ht="43.5" customHeight="1">
      <c r="A28" s="103">
        <f t="shared" si="4"/>
        <v>7</v>
      </c>
      <c r="B28" s="106" t="str">
        <f>$B$25&amp;"."&amp;COUNTA($B$25:B27)</f>
        <v>TM_CC_2.3</v>
      </c>
      <c r="C28" s="106" t="s">
        <v>110</v>
      </c>
      <c r="D28" s="106"/>
      <c r="E28" s="106" t="s">
        <v>111</v>
      </c>
      <c r="F28" s="106"/>
      <c r="G28" s="106" t="s">
        <v>112</v>
      </c>
      <c r="H28" s="103" t="s">
        <v>50</v>
      </c>
      <c r="I28" s="103" t="s">
        <v>76</v>
      </c>
      <c r="J28" s="103" t="s">
        <v>101</v>
      </c>
      <c r="K28" s="103" t="s">
        <v>58</v>
      </c>
      <c r="L28" s="103" t="s">
        <v>58</v>
      </c>
      <c r="M28" s="103"/>
      <c r="N28" s="106"/>
      <c r="O28" s="106"/>
    </row>
    <row r="29" spans="1:15" ht="33.75" customHeight="1">
      <c r="A29" s="103">
        <f t="shared" si="4"/>
        <v>8</v>
      </c>
      <c r="B29" s="106" t="str">
        <f>$B$25&amp;"."&amp;COUNTA($B$25:B28)</f>
        <v>TM_CC_2.4</v>
      </c>
      <c r="C29" s="106" t="s">
        <v>113</v>
      </c>
      <c r="D29" s="106"/>
      <c r="E29" s="106" t="s">
        <v>114</v>
      </c>
      <c r="F29" s="106"/>
      <c r="G29" s="106" t="s">
        <v>115</v>
      </c>
      <c r="H29" s="103" t="s">
        <v>50</v>
      </c>
      <c r="I29" s="103" t="s">
        <v>75</v>
      </c>
      <c r="J29" s="103" t="s">
        <v>101</v>
      </c>
      <c r="K29" s="103" t="s">
        <v>58</v>
      </c>
      <c r="L29" s="103" t="s">
        <v>58</v>
      </c>
      <c r="M29" s="103"/>
      <c r="N29" s="106"/>
      <c r="O29" s="107" t="s">
        <v>116</v>
      </c>
    </row>
    <row r="30" spans="1:15" ht="33.75" customHeight="1">
      <c r="A30" s="103">
        <f t="shared" si="4"/>
        <v>9</v>
      </c>
      <c r="B30" s="106" t="str">
        <f>$B$25&amp;"."&amp;COUNTA($B$25:B29)</f>
        <v>TM_CC_2.5</v>
      </c>
      <c r="C30" s="106" t="str">
        <f t="shared" ref="C30:C39" si="5">"Kiểm tra trường "&amp;F30</f>
        <v>Kiểm tra trường Type</v>
      </c>
      <c r="D30" s="106"/>
      <c r="E30" s="106" t="s">
        <v>117</v>
      </c>
      <c r="F30" s="106" t="s">
        <v>118</v>
      </c>
      <c r="G30" s="106" t="s">
        <v>119</v>
      </c>
      <c r="H30" s="103" t="s">
        <v>50</v>
      </c>
      <c r="I30" s="103" t="s">
        <v>75</v>
      </c>
      <c r="J30" s="103" t="s">
        <v>101</v>
      </c>
      <c r="K30" s="103" t="s">
        <v>58</v>
      </c>
      <c r="L30" s="103" t="s">
        <v>58</v>
      </c>
      <c r="M30" s="103"/>
      <c r="N30" s="106"/>
      <c r="O30" s="106"/>
    </row>
    <row r="31" spans="1:15" ht="33.75" customHeight="1">
      <c r="A31" s="103">
        <f t="shared" si="4"/>
        <v>10</v>
      </c>
      <c r="B31" s="106" t="str">
        <f>$B$25&amp;"."&amp;COUNTA($B$25:B30)</f>
        <v>TM_CC_2.6</v>
      </c>
      <c r="C31" s="106" t="str">
        <f t="shared" si="5"/>
        <v>Kiểm tra trường Title</v>
      </c>
      <c r="D31" s="106"/>
      <c r="E31" s="106" t="s">
        <v>120</v>
      </c>
      <c r="F31" s="106" t="s">
        <v>121</v>
      </c>
      <c r="G31" s="106" t="s">
        <v>122</v>
      </c>
      <c r="H31" s="103" t="s">
        <v>50</v>
      </c>
      <c r="I31" s="103" t="s">
        <v>76</v>
      </c>
      <c r="J31" s="103" t="s">
        <v>101</v>
      </c>
      <c r="K31" s="103" t="s">
        <v>58</v>
      </c>
      <c r="L31" s="103" t="s">
        <v>58</v>
      </c>
      <c r="M31" s="103"/>
      <c r="N31" s="106"/>
      <c r="O31" s="107" t="s">
        <v>123</v>
      </c>
    </row>
    <row r="32" spans="1:15" ht="33.75" customHeight="1">
      <c r="A32" s="103">
        <f t="shared" si="4"/>
        <v>11</v>
      </c>
      <c r="B32" s="106" t="str">
        <f>$B$25&amp;"."&amp;COUNTA($B$25:B31)</f>
        <v>TM_CC_2.7</v>
      </c>
      <c r="C32" s="106" t="str">
        <f t="shared" si="5"/>
        <v>Kiểm tra trường Jurisdiction</v>
      </c>
      <c r="D32" s="106"/>
      <c r="E32" s="106" t="s">
        <v>124</v>
      </c>
      <c r="F32" s="106" t="s">
        <v>125</v>
      </c>
      <c r="G32" s="106" t="s">
        <v>126</v>
      </c>
      <c r="H32" s="103" t="s">
        <v>50</v>
      </c>
      <c r="I32" s="103" t="s">
        <v>75</v>
      </c>
      <c r="J32" s="103" t="s">
        <v>101</v>
      </c>
      <c r="K32" s="103" t="s">
        <v>58</v>
      </c>
      <c r="L32" s="103" t="s">
        <v>58</v>
      </c>
      <c r="M32" s="103"/>
      <c r="N32" s="106"/>
      <c r="O32" s="106"/>
    </row>
    <row r="33" spans="1:15" ht="33.75" customHeight="1">
      <c r="A33" s="103">
        <f t="shared" si="4"/>
        <v>12</v>
      </c>
      <c r="B33" s="106" t="str">
        <f>$B$25&amp;"."&amp;COUNTA($B$25:B32)</f>
        <v>TM_CC_2.8</v>
      </c>
      <c r="C33" s="106" t="str">
        <f t="shared" si="5"/>
        <v>Kiểm tra trường Business Domain</v>
      </c>
      <c r="D33" s="106"/>
      <c r="E33" s="106" t="s">
        <v>127</v>
      </c>
      <c r="F33" s="106" t="s">
        <v>128</v>
      </c>
      <c r="G33" s="106" t="s">
        <v>126</v>
      </c>
      <c r="H33" s="103" t="s">
        <v>50</v>
      </c>
      <c r="I33" s="103" t="s">
        <v>75</v>
      </c>
      <c r="J33" s="103" t="s">
        <v>101</v>
      </c>
      <c r="K33" s="103" t="s">
        <v>58</v>
      </c>
      <c r="L33" s="103" t="s">
        <v>58</v>
      </c>
      <c r="M33" s="103"/>
      <c r="N33" s="106"/>
      <c r="O33" s="106"/>
    </row>
    <row r="34" spans="1:15" ht="36" customHeight="1">
      <c r="A34" s="103">
        <f t="shared" si="4"/>
        <v>13</v>
      </c>
      <c r="B34" s="106" t="str">
        <f>$B$25&amp;"."&amp;COUNTA($B$25:B33)</f>
        <v>TM_CC_2.9</v>
      </c>
      <c r="C34" s="106" t="str">
        <f t="shared" si="5"/>
        <v>Kiểm tra trường Priority</v>
      </c>
      <c r="D34" s="106"/>
      <c r="E34" s="106" t="s">
        <v>129</v>
      </c>
      <c r="F34" s="106" t="s">
        <v>86</v>
      </c>
      <c r="G34" s="106" t="s">
        <v>130</v>
      </c>
      <c r="H34" s="103" t="s">
        <v>50</v>
      </c>
      <c r="I34" s="103" t="s">
        <v>76</v>
      </c>
      <c r="J34" s="103" t="s">
        <v>101</v>
      </c>
      <c r="K34" s="103" t="s">
        <v>58</v>
      </c>
      <c r="L34" s="103" t="s">
        <v>58</v>
      </c>
      <c r="M34" s="103"/>
      <c r="N34" s="106"/>
      <c r="O34" s="106"/>
    </row>
    <row r="35" spans="1:15" ht="36" customHeight="1">
      <c r="A35" s="103">
        <f t="shared" si="4"/>
        <v>14</v>
      </c>
      <c r="B35" s="106" t="str">
        <f>$B$25&amp;"."&amp;COUNTA($B$25:B34)</f>
        <v>TM_CC_2.10</v>
      </c>
      <c r="C35" s="106" t="str">
        <f t="shared" si="5"/>
        <v>Kiểm tra trường Due</v>
      </c>
      <c r="D35" s="106"/>
      <c r="E35" s="106" t="s">
        <v>131</v>
      </c>
      <c r="F35" s="106" t="s">
        <v>132</v>
      </c>
      <c r="G35" s="106" t="s">
        <v>133</v>
      </c>
      <c r="H35" s="103" t="s">
        <v>50</v>
      </c>
      <c r="I35" s="103" t="s">
        <v>76</v>
      </c>
      <c r="J35" s="103" t="s">
        <v>101</v>
      </c>
      <c r="K35" s="103" t="s">
        <v>58</v>
      </c>
      <c r="L35" s="103" t="s">
        <v>58</v>
      </c>
      <c r="M35" s="103"/>
      <c r="N35" s="106"/>
      <c r="O35" s="106"/>
    </row>
    <row r="36" spans="1:15" ht="36" customHeight="1">
      <c r="A36" s="103">
        <f t="shared" si="4"/>
        <v>15</v>
      </c>
      <c r="B36" s="106" t="str">
        <f>$B$25&amp;"."&amp;COUNTA($B$25:B35)</f>
        <v>TM_CC_2.11</v>
      </c>
      <c r="C36" s="106" t="str">
        <f t="shared" si="5"/>
        <v>Kiểm tra trường Owner</v>
      </c>
      <c r="D36" s="106"/>
      <c r="E36" s="106" t="s">
        <v>134</v>
      </c>
      <c r="F36" s="106" t="s">
        <v>135</v>
      </c>
      <c r="G36" s="106" t="s">
        <v>136</v>
      </c>
      <c r="H36" s="103" t="s">
        <v>50</v>
      </c>
      <c r="I36" s="103" t="s">
        <v>75</v>
      </c>
      <c r="J36" s="103" t="s">
        <v>101</v>
      </c>
      <c r="K36" s="103" t="s">
        <v>58</v>
      </c>
      <c r="L36" s="103" t="s">
        <v>58</v>
      </c>
      <c r="M36" s="103"/>
      <c r="N36" s="106"/>
      <c r="O36" s="106"/>
    </row>
    <row r="37" spans="1:15" ht="32.25" customHeight="1">
      <c r="A37" s="103">
        <f t="shared" si="4"/>
        <v>16</v>
      </c>
      <c r="B37" s="106" t="str">
        <f>$B$25&amp;"."&amp;COUNTA($B$25:B36)</f>
        <v>TM_CC_2.12</v>
      </c>
      <c r="C37" s="106" t="str">
        <f t="shared" si="5"/>
        <v>Kiểm tra trường Assignee</v>
      </c>
      <c r="D37" s="106"/>
      <c r="E37" s="106" t="s">
        <v>137</v>
      </c>
      <c r="F37" s="106" t="s">
        <v>138</v>
      </c>
      <c r="G37" s="106" t="s">
        <v>136</v>
      </c>
      <c r="H37" s="103" t="s">
        <v>50</v>
      </c>
      <c r="I37" s="103" t="s">
        <v>75</v>
      </c>
      <c r="J37" s="103" t="s">
        <v>101</v>
      </c>
      <c r="K37" s="103" t="s">
        <v>58</v>
      </c>
      <c r="L37" s="103" t="s">
        <v>58</v>
      </c>
      <c r="M37" s="103"/>
      <c r="N37" s="106"/>
      <c r="O37" s="106"/>
    </row>
    <row r="38" spans="1:15" ht="32.25" customHeight="1">
      <c r="A38" s="103">
        <f t="shared" si="4"/>
        <v>17</v>
      </c>
      <c r="B38" s="106" t="str">
        <f>$B$25&amp;"."&amp;COUNTA($B$25:B37)</f>
        <v>TM_CC_2.13</v>
      </c>
      <c r="C38" s="106" t="str">
        <f t="shared" si="5"/>
        <v>Kiểm tra trường Created By</v>
      </c>
      <c r="D38" s="106"/>
      <c r="E38" s="106" t="s">
        <v>139</v>
      </c>
      <c r="F38" s="106" t="s">
        <v>140</v>
      </c>
      <c r="G38" s="106" t="s">
        <v>136</v>
      </c>
      <c r="H38" s="103" t="s">
        <v>50</v>
      </c>
      <c r="I38" s="103" t="s">
        <v>75</v>
      </c>
      <c r="J38" s="103" t="s">
        <v>101</v>
      </c>
      <c r="K38" s="103" t="s">
        <v>58</v>
      </c>
      <c r="L38" s="103" t="s">
        <v>58</v>
      </c>
      <c r="M38" s="103"/>
      <c r="N38" s="106"/>
      <c r="O38" s="106"/>
    </row>
    <row r="39" spans="1:15" ht="32.25" customHeight="1">
      <c r="A39" s="103">
        <f t="shared" si="4"/>
        <v>18</v>
      </c>
      <c r="B39" s="106" t="str">
        <f>$B$25&amp;"."&amp;COUNTA($B$25:B38)</f>
        <v>TM_CC_2.14</v>
      </c>
      <c r="C39" s="106" t="str">
        <f t="shared" si="5"/>
        <v>Kiểm tra trường Description</v>
      </c>
      <c r="D39" s="106"/>
      <c r="E39" s="106" t="s">
        <v>141</v>
      </c>
      <c r="F39" s="106" t="s">
        <v>142</v>
      </c>
      <c r="G39" s="106" t="s">
        <v>143</v>
      </c>
      <c r="H39" s="103" t="s">
        <v>50</v>
      </c>
      <c r="I39" s="103" t="s">
        <v>75</v>
      </c>
      <c r="J39" s="103" t="s">
        <v>101</v>
      </c>
      <c r="K39" s="103" t="s">
        <v>58</v>
      </c>
      <c r="L39" s="103" t="s">
        <v>58</v>
      </c>
      <c r="M39" s="103"/>
      <c r="N39" s="106"/>
      <c r="O39" s="107" t="s">
        <v>144</v>
      </c>
    </row>
    <row r="40" spans="1:15" ht="42" customHeight="1">
      <c r="A40" s="103">
        <f t="shared" si="4"/>
        <v>19</v>
      </c>
      <c r="B40" s="105" t="s">
        <v>145</v>
      </c>
      <c r="C40" s="105" t="s">
        <v>146</v>
      </c>
      <c r="D40" s="105"/>
      <c r="E40" s="105"/>
      <c r="F40" s="105"/>
      <c r="G40" s="105"/>
      <c r="H40" s="105"/>
      <c r="I40" s="105"/>
      <c r="J40" s="105"/>
      <c r="K40" s="105"/>
      <c r="L40" s="105"/>
      <c r="M40" s="105"/>
      <c r="N40" s="105"/>
      <c r="O40" s="105"/>
    </row>
    <row r="41" spans="1:15" ht="72.75" customHeight="1">
      <c r="A41" s="103">
        <f t="shared" si="4"/>
        <v>20</v>
      </c>
      <c r="B41" s="106" t="str">
        <f>$B$40&amp;"."&amp;COUNTA($B$40:B40)</f>
        <v>TM_CC_3.1</v>
      </c>
      <c r="C41" s="106" t="s">
        <v>147</v>
      </c>
      <c r="D41" s="106" t="s">
        <v>148</v>
      </c>
      <c r="E41" s="106" t="s">
        <v>149</v>
      </c>
      <c r="F41" s="106"/>
      <c r="G41" s="106" t="s">
        <v>150</v>
      </c>
      <c r="H41" s="103" t="s">
        <v>50</v>
      </c>
      <c r="I41" s="103" t="s">
        <v>75</v>
      </c>
      <c r="J41" s="103" t="s">
        <v>101</v>
      </c>
      <c r="K41" s="103" t="s">
        <v>58</v>
      </c>
      <c r="L41" s="103" t="s">
        <v>58</v>
      </c>
      <c r="M41" s="103"/>
      <c r="N41" s="106"/>
      <c r="O41" s="106"/>
    </row>
    <row r="42" spans="1:15" ht="92.25" customHeight="1">
      <c r="A42" s="103">
        <f t="shared" si="4"/>
        <v>21</v>
      </c>
      <c r="B42" s="106" t="str">
        <f>$B$40&amp;"."&amp;COUNTA($B$40:B41)</f>
        <v>TM_CC_3.2</v>
      </c>
      <c r="C42" s="106" t="s">
        <v>151</v>
      </c>
      <c r="D42" s="106"/>
      <c r="E42" s="106" t="s">
        <v>152</v>
      </c>
      <c r="F42" s="106"/>
      <c r="G42" s="106" t="s">
        <v>153</v>
      </c>
      <c r="H42" s="103" t="s">
        <v>50</v>
      </c>
      <c r="I42" s="103" t="s">
        <v>75</v>
      </c>
      <c r="J42" s="103" t="s">
        <v>101</v>
      </c>
      <c r="K42" s="103" t="s">
        <v>58</v>
      </c>
      <c r="L42" s="103" t="s">
        <v>58</v>
      </c>
      <c r="M42" s="103"/>
      <c r="N42" s="106"/>
      <c r="O42" s="107" t="s">
        <v>154</v>
      </c>
    </row>
    <row r="43" spans="1:15" ht="92.25" customHeight="1">
      <c r="A43" s="103">
        <f t="shared" si="4"/>
        <v>22</v>
      </c>
      <c r="B43" s="106" t="str">
        <f>$B$40&amp;"."&amp;COUNTA($B$40:B42)</f>
        <v>TM_CC_3.3</v>
      </c>
      <c r="C43" s="106" t="s">
        <v>155</v>
      </c>
      <c r="D43" s="106"/>
      <c r="E43" s="106" t="s">
        <v>156</v>
      </c>
      <c r="F43" s="106"/>
      <c r="G43" s="122" t="s">
        <v>157</v>
      </c>
      <c r="H43" s="103" t="s">
        <v>50</v>
      </c>
      <c r="I43" s="103" t="s">
        <v>76</v>
      </c>
      <c r="J43" s="103" t="s">
        <v>101</v>
      </c>
      <c r="K43" s="103" t="s">
        <v>58</v>
      </c>
      <c r="L43" s="103" t="s">
        <v>58</v>
      </c>
      <c r="M43" s="103"/>
      <c r="N43" s="106"/>
      <c r="O43" s="107" t="s">
        <v>154</v>
      </c>
    </row>
    <row r="44" spans="1:15" ht="92.25" customHeight="1">
      <c r="A44" s="103">
        <f t="shared" si="4"/>
        <v>23</v>
      </c>
      <c r="B44" s="106" t="str">
        <f>$B$40&amp;"."&amp;COUNTA($B$40:B43)</f>
        <v>TM_CC_3.4</v>
      </c>
      <c r="C44" s="106" t="s">
        <v>158</v>
      </c>
      <c r="D44" s="106"/>
      <c r="E44" s="106" t="s">
        <v>159</v>
      </c>
      <c r="F44" s="106"/>
      <c r="G44" s="122" t="s">
        <v>160</v>
      </c>
      <c r="H44" s="103" t="s">
        <v>50</v>
      </c>
      <c r="I44" s="103" t="s">
        <v>76</v>
      </c>
      <c r="J44" s="103" t="s">
        <v>101</v>
      </c>
      <c r="K44" s="103" t="s">
        <v>58</v>
      </c>
      <c r="L44" s="103" t="s">
        <v>58</v>
      </c>
      <c r="M44" s="103"/>
      <c r="N44" s="106"/>
      <c r="O44" s="107" t="s">
        <v>154</v>
      </c>
    </row>
    <row r="45" spans="1:15" ht="92.25" customHeight="1">
      <c r="A45" s="103">
        <f t="shared" si="4"/>
        <v>24</v>
      </c>
      <c r="B45" s="106" t="str">
        <f>$B$40&amp;"."&amp;COUNTA($B$40:B44)</f>
        <v>TM_CC_3.5</v>
      </c>
      <c r="C45" s="106" t="s">
        <v>161</v>
      </c>
      <c r="D45" s="106"/>
      <c r="E45" s="106" t="s">
        <v>162</v>
      </c>
      <c r="F45" s="106"/>
      <c r="G45" s="122" t="s">
        <v>163</v>
      </c>
      <c r="H45" s="103" t="s">
        <v>50</v>
      </c>
      <c r="I45" s="103" t="s">
        <v>76</v>
      </c>
      <c r="J45" s="103" t="s">
        <v>101</v>
      </c>
      <c r="K45" s="103" t="s">
        <v>58</v>
      </c>
      <c r="L45" s="103" t="s">
        <v>58</v>
      </c>
      <c r="M45" s="103"/>
      <c r="N45" s="106"/>
      <c r="O45" s="107" t="s">
        <v>154</v>
      </c>
    </row>
    <row r="46" spans="1:15" ht="92.25" customHeight="1">
      <c r="A46" s="103">
        <f t="shared" si="4"/>
        <v>25</v>
      </c>
      <c r="B46" s="106" t="str">
        <f>$B$40&amp;"."&amp;COUNTA($B$40:B45)</f>
        <v>TM_CC_3.6</v>
      </c>
      <c r="C46" s="106" t="s">
        <v>164</v>
      </c>
      <c r="D46" s="106"/>
      <c r="E46" s="106" t="s">
        <v>165</v>
      </c>
      <c r="F46" s="106"/>
      <c r="G46" s="122" t="s">
        <v>166</v>
      </c>
      <c r="H46" s="103" t="s">
        <v>50</v>
      </c>
      <c r="I46" s="103" t="s">
        <v>76</v>
      </c>
      <c r="J46" s="103" t="s">
        <v>101</v>
      </c>
      <c r="K46" s="103" t="s">
        <v>58</v>
      </c>
      <c r="L46" s="103" t="s">
        <v>58</v>
      </c>
      <c r="M46" s="103"/>
      <c r="N46" s="106"/>
      <c r="O46" s="107" t="s">
        <v>154</v>
      </c>
    </row>
    <row r="47" spans="1:15" ht="92.25" customHeight="1">
      <c r="A47" s="103">
        <f t="shared" si="4"/>
        <v>26</v>
      </c>
      <c r="B47" s="106" t="str">
        <f>$B$40&amp;"."&amp;COUNTA($B$40:B46)</f>
        <v>TM_CC_3.7</v>
      </c>
      <c r="C47" s="106" t="s">
        <v>167</v>
      </c>
      <c r="D47" s="106"/>
      <c r="E47" s="106" t="s">
        <v>168</v>
      </c>
      <c r="F47" s="106"/>
      <c r="G47" s="106" t="s">
        <v>169</v>
      </c>
      <c r="H47" s="103" t="s">
        <v>50</v>
      </c>
      <c r="I47" s="103" t="s">
        <v>76</v>
      </c>
      <c r="J47" s="103" t="s">
        <v>101</v>
      </c>
      <c r="K47" s="103" t="s">
        <v>58</v>
      </c>
      <c r="L47" s="103" t="s">
        <v>58</v>
      </c>
      <c r="M47" s="103"/>
      <c r="N47" s="106"/>
      <c r="O47" s="106"/>
    </row>
    <row r="48" spans="1:15" ht="104.25" customHeight="1">
      <c r="A48" s="103">
        <f t="shared" si="4"/>
        <v>27</v>
      </c>
      <c r="B48" s="106" t="str">
        <f>$B$40&amp;"."&amp;COUNTA($B$40:B47)</f>
        <v>TM_CC_3.8</v>
      </c>
      <c r="C48" s="106" t="s">
        <v>170</v>
      </c>
      <c r="D48" s="106"/>
      <c r="E48" s="106" t="s">
        <v>171</v>
      </c>
      <c r="F48" s="106"/>
      <c r="G48" s="106" t="s">
        <v>172</v>
      </c>
      <c r="H48" s="103" t="s">
        <v>50</v>
      </c>
      <c r="I48" s="103" t="s">
        <v>75</v>
      </c>
      <c r="J48" s="103" t="s">
        <v>101</v>
      </c>
      <c r="K48" s="103" t="s">
        <v>58</v>
      </c>
      <c r="L48" s="103" t="s">
        <v>58</v>
      </c>
      <c r="M48" s="103"/>
      <c r="N48" s="106"/>
      <c r="O48" s="106"/>
    </row>
    <row r="49" spans="1:15" ht="102" customHeight="1">
      <c r="A49" s="103">
        <f t="shared" si="4"/>
        <v>28</v>
      </c>
      <c r="B49" s="106" t="str">
        <f>$B$40&amp;"."&amp;COUNTA($B$40:B48)</f>
        <v>TM_CC_3.9</v>
      </c>
      <c r="C49" s="106" t="s">
        <v>173</v>
      </c>
      <c r="D49" s="106"/>
      <c r="E49" s="106" t="s">
        <v>174</v>
      </c>
      <c r="F49" s="106"/>
      <c r="G49" s="106" t="s">
        <v>175</v>
      </c>
      <c r="H49" s="103" t="s">
        <v>50</v>
      </c>
      <c r="I49" s="103" t="s">
        <v>75</v>
      </c>
      <c r="J49" s="103" t="s">
        <v>101</v>
      </c>
      <c r="K49" s="103" t="s">
        <v>58</v>
      </c>
      <c r="L49" s="103" t="s">
        <v>58</v>
      </c>
      <c r="M49" s="103"/>
      <c r="N49" s="106"/>
      <c r="O49" s="107" t="s">
        <v>176</v>
      </c>
    </row>
    <row r="50" spans="1:15" ht="87" customHeight="1">
      <c r="A50" s="103">
        <f t="shared" si="4"/>
        <v>29</v>
      </c>
      <c r="B50" s="106" t="str">
        <f>$B$40&amp;"."&amp;COUNTA($B$40:B49)</f>
        <v>TM_CC_3.10</v>
      </c>
      <c r="C50" s="106" t="s">
        <v>177</v>
      </c>
      <c r="D50" s="106"/>
      <c r="E50" s="106" t="s">
        <v>178</v>
      </c>
      <c r="F50" s="106"/>
      <c r="G50" s="106" t="s">
        <v>179</v>
      </c>
      <c r="H50" s="103" t="s">
        <v>50</v>
      </c>
      <c r="I50" s="103" t="s">
        <v>75</v>
      </c>
      <c r="J50" s="103" t="s">
        <v>101</v>
      </c>
      <c r="K50" s="103" t="s">
        <v>58</v>
      </c>
      <c r="L50" s="103" t="s">
        <v>58</v>
      </c>
      <c r="M50" s="103"/>
      <c r="N50" s="106"/>
      <c r="O50" s="107" t="s">
        <v>180</v>
      </c>
    </row>
    <row r="51" spans="1:15" ht="104.25" customHeight="1">
      <c r="A51" s="103">
        <f t="shared" si="4"/>
        <v>30</v>
      </c>
      <c r="B51" s="106" t="str">
        <f>$B$40&amp;"."&amp;COUNTA($B$40:B50)</f>
        <v>TM_CC_3.11</v>
      </c>
      <c r="C51" s="106" t="s">
        <v>181</v>
      </c>
      <c r="D51" s="106"/>
      <c r="E51" s="106" t="s">
        <v>182</v>
      </c>
      <c r="F51" s="106"/>
      <c r="G51" s="106" t="s">
        <v>183</v>
      </c>
      <c r="H51" s="103" t="s">
        <v>50</v>
      </c>
      <c r="I51" s="103" t="s">
        <v>76</v>
      </c>
      <c r="J51" s="103" t="s">
        <v>101</v>
      </c>
      <c r="K51" s="103" t="s">
        <v>58</v>
      </c>
      <c r="L51" s="103" t="s">
        <v>58</v>
      </c>
      <c r="M51" s="103"/>
      <c r="N51" s="106"/>
      <c r="O51" s="106"/>
    </row>
    <row r="52" spans="1:15" ht="105" customHeight="1">
      <c r="A52" s="103">
        <f t="shared" si="4"/>
        <v>31</v>
      </c>
      <c r="B52" s="106" t="str">
        <f>$B$40&amp;"."&amp;COUNTA($B$40:B51)</f>
        <v>TM_CC_3.12</v>
      </c>
      <c r="C52" s="106" t="s">
        <v>184</v>
      </c>
      <c r="D52" s="106"/>
      <c r="E52" s="106" t="s">
        <v>185</v>
      </c>
      <c r="F52" s="106"/>
      <c r="G52" s="106" t="s">
        <v>186</v>
      </c>
      <c r="H52" s="103" t="s">
        <v>50</v>
      </c>
      <c r="I52" s="103" t="s">
        <v>76</v>
      </c>
      <c r="J52" s="103" t="s">
        <v>101</v>
      </c>
      <c r="K52" s="103" t="s">
        <v>58</v>
      </c>
      <c r="L52" s="103" t="s">
        <v>58</v>
      </c>
      <c r="M52" s="103"/>
      <c r="N52" s="106"/>
      <c r="O52" s="106"/>
    </row>
    <row r="53" spans="1:15" ht="117" customHeight="1">
      <c r="A53" s="103">
        <f t="shared" si="4"/>
        <v>32</v>
      </c>
      <c r="B53" s="106" t="str">
        <f>$B$40&amp;"."&amp;COUNTA($B$40:B52)</f>
        <v>TM_CC_3.13</v>
      </c>
      <c r="C53" s="106" t="s">
        <v>187</v>
      </c>
      <c r="D53" s="106"/>
      <c r="E53" s="106" t="s">
        <v>188</v>
      </c>
      <c r="F53" s="106"/>
      <c r="G53" s="106" t="s">
        <v>189</v>
      </c>
      <c r="H53" s="103" t="s">
        <v>50</v>
      </c>
      <c r="I53" s="103" t="s">
        <v>75</v>
      </c>
      <c r="J53" s="103" t="s">
        <v>101</v>
      </c>
      <c r="K53" s="103" t="s">
        <v>58</v>
      </c>
      <c r="L53" s="103" t="s">
        <v>58</v>
      </c>
      <c r="M53" s="103"/>
      <c r="N53" s="106"/>
      <c r="O53" s="106"/>
    </row>
    <row r="54" spans="1:15" ht="14.25" customHeight="1">
      <c r="A54" s="123"/>
      <c r="B54" s="123"/>
      <c r="C54" s="123"/>
      <c r="D54" s="123"/>
      <c r="E54" s="123"/>
      <c r="F54" s="123"/>
      <c r="G54" s="123"/>
      <c r="H54" s="123"/>
      <c r="I54" s="123"/>
      <c r="J54" s="123"/>
      <c r="K54" s="123"/>
      <c r="L54" s="123"/>
      <c r="M54" s="123"/>
      <c r="N54" s="123"/>
      <c r="O54" s="123"/>
    </row>
    <row r="55" spans="1:15" ht="14.25" customHeight="1">
      <c r="A55" s="123"/>
      <c r="B55" s="123"/>
      <c r="C55" s="123"/>
      <c r="D55" s="123"/>
      <c r="E55" s="123"/>
      <c r="F55" s="123"/>
      <c r="G55" s="123"/>
      <c r="H55" s="123"/>
      <c r="I55" s="123"/>
      <c r="J55" s="123"/>
      <c r="K55" s="123"/>
      <c r="L55" s="123"/>
      <c r="M55" s="123"/>
      <c r="N55" s="123"/>
      <c r="O55" s="123"/>
    </row>
    <row r="56" spans="1:15" ht="14.25" customHeight="1">
      <c r="A56" s="123"/>
      <c r="B56" s="123"/>
      <c r="C56" s="123"/>
      <c r="D56" s="123"/>
      <c r="E56" s="123"/>
      <c r="F56" s="123"/>
      <c r="G56" s="123"/>
      <c r="H56" s="123"/>
      <c r="I56" s="123"/>
      <c r="J56" s="123"/>
      <c r="K56" s="123"/>
      <c r="L56" s="123"/>
      <c r="M56" s="123"/>
      <c r="N56" s="123"/>
      <c r="O56" s="123"/>
    </row>
    <row r="57" spans="1:15" ht="14.25" customHeight="1">
      <c r="A57" s="123"/>
      <c r="B57" s="123"/>
      <c r="C57" s="123"/>
      <c r="D57" s="123"/>
      <c r="E57" s="123"/>
      <c r="F57" s="123"/>
      <c r="G57" s="123"/>
      <c r="H57" s="123"/>
      <c r="I57" s="123"/>
      <c r="J57" s="123"/>
      <c r="K57" s="123"/>
      <c r="L57" s="123"/>
      <c r="M57" s="123"/>
      <c r="N57" s="123"/>
      <c r="O57" s="123"/>
    </row>
  </sheetData>
  <autoFilter ref="A21:O53" xr:uid="{00000000-0009-0000-0000-000003000000}"/>
  <dataValidations count="4">
    <dataValidation type="list" allowBlank="1" sqref="I22:I53" xr:uid="{00000000-0002-0000-0300-000000000000}">
      <formula1>"High,Medium,Low"</formula1>
      <formula2>0</formula2>
    </dataValidation>
    <dataValidation type="list" allowBlank="1" sqref="J22:J53" xr:uid="{00000000-0002-0000-0300-000001000000}">
      <formula1>"Y,N"</formula1>
      <formula2>0</formula2>
    </dataValidation>
    <dataValidation type="list" allowBlank="1" sqref="H22:H53" xr:uid="{00000000-0002-0000-0300-000002000000}">
      <formula1>"UT,SIT,OAT,ST,UAT"</formula1>
      <formula2>0</formula2>
    </dataValidation>
    <dataValidation type="list" allowBlank="1" sqref="K22:M53" xr:uid="{00000000-0002-0000-0300-000003000000}">
      <formula1>"Untested,Passed,Failed,Pending,Accepted,Cancel"</formula1>
      <formula2>0</formula2>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89"/>
  <sheetViews>
    <sheetView topLeftCell="A15" zoomScaleNormal="100" workbookViewId="0">
      <selection activeCell="F20" sqref="F20"/>
    </sheetView>
  </sheetViews>
  <sheetFormatPr defaultColWidth="8.7109375" defaultRowHeight="14.25"/>
  <cols>
    <col min="1" max="1" width="24.5703125" customWidth="1"/>
    <col min="2" max="2" width="75.28515625" customWidth="1"/>
  </cols>
  <sheetData>
    <row r="1" spans="1:2" ht="15" customHeight="1">
      <c r="A1" s="146" t="s">
        <v>190</v>
      </c>
      <c r="B1" s="146"/>
    </row>
    <row r="2" spans="1:2" ht="15" customHeight="1">
      <c r="A2" s="145" t="s">
        <v>191</v>
      </c>
      <c r="B2" s="145"/>
    </row>
    <row r="3" spans="1:2" ht="15" customHeight="1">
      <c r="A3" s="108" t="s">
        <v>192</v>
      </c>
      <c r="B3" s="108" t="s">
        <v>193</v>
      </c>
    </row>
    <row r="4" spans="1:2" ht="15" customHeight="1">
      <c r="A4" s="109" t="s">
        <v>194</v>
      </c>
      <c r="B4" s="109" t="s">
        <v>142</v>
      </c>
    </row>
    <row r="5" spans="1:2" ht="15" customHeight="1">
      <c r="A5" s="110" t="s">
        <v>195</v>
      </c>
      <c r="B5" s="111" t="s">
        <v>196</v>
      </c>
    </row>
    <row r="6" spans="1:2" ht="15" customHeight="1">
      <c r="A6" s="110" t="s">
        <v>50</v>
      </c>
      <c r="B6" s="111" t="s">
        <v>197</v>
      </c>
    </row>
    <row r="7" spans="1:2" ht="15" customHeight="1">
      <c r="A7" s="110" t="s">
        <v>198</v>
      </c>
      <c r="B7" s="111" t="s">
        <v>199</v>
      </c>
    </row>
    <row r="8" spans="1:2" ht="15" customHeight="1">
      <c r="A8" s="110" t="s">
        <v>200</v>
      </c>
      <c r="B8" s="111" t="s">
        <v>201</v>
      </c>
    </row>
    <row r="9" spans="1:2" ht="15" customHeight="1">
      <c r="A9" s="110" t="s">
        <v>202</v>
      </c>
      <c r="B9" s="111" t="s">
        <v>203</v>
      </c>
    </row>
    <row r="10" spans="1:2" ht="15" customHeight="1">
      <c r="A10" s="112"/>
      <c r="B10" s="112"/>
    </row>
    <row r="11" spans="1:2" ht="15" customHeight="1">
      <c r="A11" s="113"/>
      <c r="B11" s="113"/>
    </row>
    <row r="12" spans="1:2" ht="15" customHeight="1">
      <c r="A12" s="146" t="s">
        <v>204</v>
      </c>
      <c r="B12" s="146"/>
    </row>
    <row r="13" spans="1:2" ht="15" customHeight="1">
      <c r="A13" s="145" t="s">
        <v>86</v>
      </c>
      <c r="B13" s="145"/>
    </row>
    <row r="14" spans="1:2" ht="15" customHeight="1">
      <c r="A14" s="108" t="s">
        <v>192</v>
      </c>
      <c r="B14" s="108" t="s">
        <v>193</v>
      </c>
    </row>
    <row r="15" spans="1:2" ht="15" customHeight="1">
      <c r="A15" s="109" t="s">
        <v>194</v>
      </c>
      <c r="B15" s="109" t="s">
        <v>142</v>
      </c>
    </row>
    <row r="16" spans="1:2" ht="15" customHeight="1">
      <c r="A16" s="114" t="s">
        <v>75</v>
      </c>
      <c r="B16" s="115" t="s">
        <v>205</v>
      </c>
    </row>
    <row r="17" spans="1:6" ht="15" customHeight="1">
      <c r="A17" s="114" t="s">
        <v>76</v>
      </c>
      <c r="B17" s="115" t="s">
        <v>206</v>
      </c>
    </row>
    <row r="18" spans="1:6" ht="15" customHeight="1">
      <c r="A18" s="114" t="s">
        <v>77</v>
      </c>
      <c r="B18" s="115" t="s">
        <v>207</v>
      </c>
    </row>
    <row r="19" spans="1:6" ht="15" customHeight="1">
      <c r="A19" s="112"/>
      <c r="B19" s="112"/>
    </row>
    <row r="20" spans="1:6" ht="15" customHeight="1">
      <c r="A20" s="146" t="s">
        <v>208</v>
      </c>
      <c r="B20" s="146"/>
      <c r="F20" s="99" t="s">
        <v>56</v>
      </c>
    </row>
    <row r="21" spans="1:6" ht="15" customHeight="1">
      <c r="A21" s="145" t="s">
        <v>87</v>
      </c>
      <c r="B21" s="145"/>
      <c r="F21" s="99" t="s">
        <v>57</v>
      </c>
    </row>
    <row r="22" spans="1:6" ht="15" customHeight="1">
      <c r="A22" s="108" t="s">
        <v>192</v>
      </c>
      <c r="B22" s="108" t="s">
        <v>193</v>
      </c>
      <c r="F22" s="99" t="s">
        <v>58</v>
      </c>
    </row>
    <row r="23" spans="1:6" ht="15" customHeight="1">
      <c r="A23" s="109" t="s">
        <v>194</v>
      </c>
      <c r="B23" s="109" t="s">
        <v>142</v>
      </c>
      <c r="F23" s="99" t="s">
        <v>59</v>
      </c>
    </row>
    <row r="24" spans="1:6" ht="15" customHeight="1">
      <c r="A24" s="114" t="s">
        <v>209</v>
      </c>
      <c r="B24" s="115" t="s">
        <v>210</v>
      </c>
      <c r="F24" s="99" t="s">
        <v>60</v>
      </c>
    </row>
    <row r="25" spans="1:6" ht="15" customHeight="1">
      <c r="A25" s="114" t="s">
        <v>101</v>
      </c>
      <c r="B25" s="115" t="s">
        <v>211</v>
      </c>
      <c r="F25" s="116" t="s">
        <v>61</v>
      </c>
    </row>
    <row r="26" spans="1:6" ht="15" customHeight="1">
      <c r="A26" s="113"/>
      <c r="B26" s="113"/>
    </row>
    <row r="27" spans="1:6" ht="15" customHeight="1">
      <c r="A27" s="146" t="s">
        <v>212</v>
      </c>
      <c r="B27" s="146"/>
    </row>
    <row r="28" spans="1:6" ht="15" customHeight="1">
      <c r="A28" s="145" t="s">
        <v>213</v>
      </c>
      <c r="B28" s="145"/>
    </row>
    <row r="29" spans="1:6" ht="15" customHeight="1">
      <c r="A29" s="108" t="s">
        <v>192</v>
      </c>
      <c r="B29" s="108" t="s">
        <v>193</v>
      </c>
    </row>
    <row r="30" spans="1:6" ht="15" customHeight="1">
      <c r="A30" s="109" t="s">
        <v>194</v>
      </c>
      <c r="B30" s="109" t="s">
        <v>142</v>
      </c>
    </row>
    <row r="31" spans="1:6" ht="15" customHeight="1">
      <c r="A31" s="117" t="s">
        <v>58</v>
      </c>
      <c r="B31" s="115" t="s">
        <v>214</v>
      </c>
    </row>
    <row r="32" spans="1:6" ht="15" customHeight="1">
      <c r="A32" s="118" t="s">
        <v>56</v>
      </c>
      <c r="B32" s="115" t="s">
        <v>215</v>
      </c>
    </row>
    <row r="33" spans="1:2" ht="15" customHeight="1">
      <c r="A33" s="119" t="s">
        <v>57</v>
      </c>
      <c r="B33" s="115" t="s">
        <v>216</v>
      </c>
    </row>
    <row r="34" spans="1:2" ht="15" customHeight="1">
      <c r="A34" s="147" t="s">
        <v>60</v>
      </c>
      <c r="B34" s="115" t="s">
        <v>60</v>
      </c>
    </row>
    <row r="35" spans="1:2" ht="30.75" customHeight="1">
      <c r="A35" s="147"/>
      <c r="B35" s="120" t="s">
        <v>217</v>
      </c>
    </row>
    <row r="36" spans="1:2" ht="15" customHeight="1">
      <c r="A36" s="121" t="s">
        <v>61</v>
      </c>
      <c r="B36" s="115" t="s">
        <v>218</v>
      </c>
    </row>
    <row r="37" spans="1:2" ht="15" customHeight="1">
      <c r="A37" s="110" t="s">
        <v>62</v>
      </c>
      <c r="B37" s="111" t="s">
        <v>219</v>
      </c>
    </row>
    <row r="38" spans="1:2" ht="15" customHeight="1">
      <c r="A38" s="110" t="s">
        <v>220</v>
      </c>
      <c r="B38" s="111" t="s">
        <v>221</v>
      </c>
    </row>
    <row r="39" spans="1:2" ht="15" customHeight="1">
      <c r="A39" s="110" t="s">
        <v>222</v>
      </c>
      <c r="B39" s="111" t="s">
        <v>223</v>
      </c>
    </row>
    <row r="40" spans="1:2" ht="15" customHeight="1">
      <c r="A40" s="113"/>
      <c r="B40" s="113"/>
    </row>
    <row r="41" spans="1:2" ht="15" customHeight="1">
      <c r="A41" s="112"/>
      <c r="B41" s="112"/>
    </row>
    <row r="42" spans="1:2" ht="15" customHeight="1">
      <c r="A42" s="112"/>
      <c r="B42" s="112"/>
    </row>
    <row r="43" spans="1:2" ht="15" customHeight="1">
      <c r="A43" s="112"/>
      <c r="B43" s="112"/>
    </row>
    <row r="44" spans="1:2" ht="15" customHeight="1">
      <c r="A44" s="112"/>
      <c r="B44" s="112"/>
    </row>
    <row r="45" spans="1:2" ht="15" customHeight="1">
      <c r="A45" s="112"/>
      <c r="B45" s="112"/>
    </row>
    <row r="46" spans="1:2" ht="15" customHeight="1">
      <c r="A46" s="112"/>
      <c r="B46" s="112"/>
    </row>
    <row r="47" spans="1:2" ht="15" customHeight="1">
      <c r="A47" s="112"/>
      <c r="B47" s="112"/>
    </row>
    <row r="48" spans="1:2" ht="15" customHeight="1">
      <c r="A48" s="112"/>
      <c r="B48" s="112"/>
    </row>
    <row r="49" spans="1:2" ht="15" customHeight="1">
      <c r="A49" s="112"/>
      <c r="B49" s="112"/>
    </row>
    <row r="50" spans="1:2" ht="15" customHeight="1">
      <c r="A50" s="112"/>
      <c r="B50" s="112"/>
    </row>
    <row r="51" spans="1:2" ht="15" customHeight="1">
      <c r="A51" s="112"/>
      <c r="B51" s="112"/>
    </row>
    <row r="52" spans="1:2" ht="15" customHeight="1">
      <c r="A52" s="112"/>
      <c r="B52" s="112"/>
    </row>
    <row r="53" spans="1:2" ht="15" customHeight="1">
      <c r="A53" s="112"/>
      <c r="B53" s="112"/>
    </row>
    <row r="54" spans="1:2" ht="15" customHeight="1">
      <c r="A54" s="112"/>
      <c r="B54" s="112"/>
    </row>
    <row r="55" spans="1:2" ht="15" customHeight="1">
      <c r="A55" s="112"/>
      <c r="B55" s="112"/>
    </row>
    <row r="56" spans="1:2" ht="15" customHeight="1">
      <c r="A56" s="112"/>
      <c r="B56" s="112"/>
    </row>
    <row r="57" spans="1:2" ht="15" customHeight="1">
      <c r="A57" s="112"/>
      <c r="B57" s="112"/>
    </row>
    <row r="58" spans="1:2" ht="15" customHeight="1">
      <c r="A58" s="112"/>
      <c r="B58" s="112"/>
    </row>
    <row r="59" spans="1:2" ht="15" customHeight="1">
      <c r="A59" s="112"/>
      <c r="B59" s="112"/>
    </row>
    <row r="60" spans="1:2" ht="15" customHeight="1">
      <c r="A60" s="112"/>
      <c r="B60" s="112"/>
    </row>
    <row r="61" spans="1:2" ht="15" customHeight="1">
      <c r="A61" s="112"/>
      <c r="B61" s="112"/>
    </row>
    <row r="62" spans="1:2" ht="15" customHeight="1">
      <c r="A62" s="112"/>
      <c r="B62" s="112"/>
    </row>
    <row r="63" spans="1:2" ht="15" customHeight="1">
      <c r="A63" s="112"/>
      <c r="B63" s="112"/>
    </row>
    <row r="64" spans="1:2" ht="15" customHeight="1">
      <c r="A64" s="112"/>
      <c r="B64" s="112"/>
    </row>
    <row r="65" spans="1:2" ht="15" customHeight="1">
      <c r="A65" s="112"/>
      <c r="B65" s="112"/>
    </row>
    <row r="66" spans="1:2" ht="15" customHeight="1">
      <c r="A66" s="112"/>
      <c r="B66" s="112"/>
    </row>
    <row r="67" spans="1:2" ht="15" customHeight="1">
      <c r="A67" s="112"/>
      <c r="B67" s="112"/>
    </row>
    <row r="68" spans="1:2" ht="15" customHeight="1">
      <c r="A68" s="112"/>
      <c r="B68" s="112"/>
    </row>
    <row r="69" spans="1:2" ht="15" customHeight="1">
      <c r="A69" s="112"/>
      <c r="B69" s="112"/>
    </row>
    <row r="70" spans="1:2" ht="15" customHeight="1">
      <c r="A70" s="112"/>
      <c r="B70" s="112"/>
    </row>
    <row r="71" spans="1:2" ht="15" customHeight="1">
      <c r="A71" s="112"/>
      <c r="B71" s="112"/>
    </row>
    <row r="72" spans="1:2" ht="15" customHeight="1">
      <c r="A72" s="112"/>
      <c r="B72" s="112"/>
    </row>
    <row r="73" spans="1:2" ht="15" customHeight="1">
      <c r="A73" s="112"/>
      <c r="B73" s="112"/>
    </row>
    <row r="74" spans="1:2" ht="15" customHeight="1">
      <c r="A74" s="112"/>
      <c r="B74" s="112"/>
    </row>
    <row r="75" spans="1:2" ht="15" customHeight="1">
      <c r="A75" s="112"/>
      <c r="B75" s="112"/>
    </row>
    <row r="76" spans="1:2" ht="15" customHeight="1">
      <c r="A76" s="112"/>
      <c r="B76" s="112"/>
    </row>
    <row r="77" spans="1:2" ht="15" customHeight="1">
      <c r="A77" s="112"/>
      <c r="B77" s="112"/>
    </row>
    <row r="78" spans="1:2" ht="15" customHeight="1">
      <c r="A78" s="112"/>
      <c r="B78" s="112"/>
    </row>
    <row r="79" spans="1:2" ht="15" customHeight="1">
      <c r="A79" s="112"/>
      <c r="B79" s="112"/>
    </row>
    <row r="80" spans="1:2" ht="15" customHeight="1">
      <c r="A80" s="112"/>
      <c r="B80" s="112"/>
    </row>
    <row r="81" spans="1:2" ht="15" customHeight="1">
      <c r="A81" s="112"/>
      <c r="B81" s="112"/>
    </row>
    <row r="82" spans="1:2" ht="15" customHeight="1">
      <c r="A82" s="112"/>
      <c r="B82" s="112"/>
    </row>
    <row r="83" spans="1:2" ht="15" customHeight="1">
      <c r="A83" s="112"/>
      <c r="B83" s="112"/>
    </row>
    <row r="84" spans="1:2" ht="15" customHeight="1">
      <c r="A84" s="112"/>
      <c r="B84" s="112"/>
    </row>
    <row r="85" spans="1:2" ht="15" customHeight="1">
      <c r="A85" s="112"/>
      <c r="B85" s="112"/>
    </row>
    <row r="86" spans="1:2" ht="15" customHeight="1">
      <c r="A86" s="112"/>
      <c r="B86" s="112"/>
    </row>
    <row r="87" spans="1:2" ht="15" customHeight="1">
      <c r="A87" s="112"/>
      <c r="B87" s="112"/>
    </row>
    <row r="88" spans="1:2" ht="15" customHeight="1">
      <c r="A88" s="112"/>
      <c r="B88" s="112"/>
    </row>
    <row r="89" spans="1:2" ht="15" customHeight="1">
      <c r="A89" s="112"/>
      <c r="B89" s="112"/>
    </row>
    <row r="90" spans="1:2" ht="15" customHeight="1">
      <c r="A90" s="112"/>
      <c r="B90" s="112"/>
    </row>
    <row r="91" spans="1:2" ht="15" customHeight="1">
      <c r="A91" s="112"/>
      <c r="B91" s="112"/>
    </row>
    <row r="92" spans="1:2" ht="15" customHeight="1">
      <c r="A92" s="112"/>
      <c r="B92" s="112"/>
    </row>
    <row r="93" spans="1:2" ht="15" customHeight="1">
      <c r="A93" s="112"/>
      <c r="B93" s="112"/>
    </row>
    <row r="94" spans="1:2" ht="15" customHeight="1">
      <c r="A94" s="112"/>
      <c r="B94" s="112"/>
    </row>
    <row r="95" spans="1:2" ht="15" customHeight="1">
      <c r="A95" s="112"/>
      <c r="B95" s="112"/>
    </row>
    <row r="96" spans="1:2" ht="15" customHeight="1">
      <c r="A96" s="112"/>
      <c r="B96" s="112"/>
    </row>
    <row r="97" spans="1:2" ht="15" customHeight="1">
      <c r="A97" s="112"/>
      <c r="B97" s="112"/>
    </row>
    <row r="98" spans="1:2" ht="15" customHeight="1">
      <c r="A98" s="112"/>
      <c r="B98" s="112"/>
    </row>
    <row r="99" spans="1:2" ht="15" customHeight="1">
      <c r="A99" s="112"/>
      <c r="B99" s="112"/>
    </row>
    <row r="100" spans="1:2" ht="15" customHeight="1">
      <c r="A100" s="112"/>
      <c r="B100" s="112"/>
    </row>
    <row r="101" spans="1:2" ht="15" customHeight="1">
      <c r="A101" s="112"/>
      <c r="B101" s="112"/>
    </row>
    <row r="102" spans="1:2" ht="15" customHeight="1">
      <c r="A102" s="112"/>
      <c r="B102" s="112"/>
    </row>
    <row r="103" spans="1:2" ht="15" customHeight="1">
      <c r="A103" s="112"/>
      <c r="B103" s="112"/>
    </row>
    <row r="104" spans="1:2" ht="15" customHeight="1">
      <c r="A104" s="112"/>
      <c r="B104" s="112"/>
    </row>
    <row r="105" spans="1:2" ht="15" customHeight="1">
      <c r="A105" s="112"/>
      <c r="B105" s="112"/>
    </row>
    <row r="106" spans="1:2" ht="15" customHeight="1">
      <c r="A106" s="112"/>
      <c r="B106" s="112"/>
    </row>
    <row r="107" spans="1:2" ht="15" customHeight="1">
      <c r="A107" s="112"/>
      <c r="B107" s="112"/>
    </row>
    <row r="108" spans="1:2" ht="15" customHeight="1">
      <c r="A108" s="112"/>
      <c r="B108" s="112"/>
    </row>
    <row r="109" spans="1:2" ht="15" customHeight="1">
      <c r="A109" s="112"/>
      <c r="B109" s="112"/>
    </row>
    <row r="110" spans="1:2" ht="15" customHeight="1">
      <c r="A110" s="112"/>
      <c r="B110" s="112"/>
    </row>
    <row r="111" spans="1:2" ht="15" customHeight="1">
      <c r="A111" s="112"/>
      <c r="B111" s="112"/>
    </row>
    <row r="112" spans="1:2" ht="15" customHeight="1">
      <c r="A112" s="112"/>
      <c r="B112" s="112"/>
    </row>
    <row r="113" spans="1:2" ht="15" customHeight="1">
      <c r="A113" s="112"/>
      <c r="B113" s="112"/>
    </row>
    <row r="114" spans="1:2" ht="15" customHeight="1">
      <c r="A114" s="112"/>
      <c r="B114" s="112"/>
    </row>
    <row r="115" spans="1:2" ht="15" customHeight="1">
      <c r="A115" s="112"/>
      <c r="B115" s="112"/>
    </row>
    <row r="116" spans="1:2" ht="15" customHeight="1">
      <c r="A116" s="112"/>
      <c r="B116" s="112"/>
    </row>
    <row r="117" spans="1:2" ht="15" customHeight="1">
      <c r="A117" s="112"/>
      <c r="B117" s="112"/>
    </row>
    <row r="118" spans="1:2" ht="15" customHeight="1">
      <c r="A118" s="112"/>
      <c r="B118" s="112"/>
    </row>
    <row r="119" spans="1:2" ht="15" customHeight="1">
      <c r="A119" s="112"/>
      <c r="B119" s="112"/>
    </row>
    <row r="120" spans="1:2" ht="15" customHeight="1">
      <c r="A120" s="112"/>
      <c r="B120" s="112"/>
    </row>
    <row r="121" spans="1:2" ht="15" customHeight="1">
      <c r="A121" s="112"/>
      <c r="B121" s="112"/>
    </row>
    <row r="122" spans="1:2" ht="15" customHeight="1">
      <c r="A122" s="112"/>
      <c r="B122" s="112"/>
    </row>
    <row r="123" spans="1:2" ht="15" customHeight="1">
      <c r="A123" s="112"/>
      <c r="B123" s="112"/>
    </row>
    <row r="124" spans="1:2" ht="15" customHeight="1">
      <c r="A124" s="112"/>
      <c r="B124" s="112"/>
    </row>
    <row r="125" spans="1:2" ht="15" customHeight="1">
      <c r="A125" s="112"/>
      <c r="B125" s="112"/>
    </row>
    <row r="126" spans="1:2" ht="15" customHeight="1">
      <c r="A126" s="112"/>
      <c r="B126" s="112"/>
    </row>
    <row r="127" spans="1:2" ht="15" customHeight="1">
      <c r="A127" s="112"/>
      <c r="B127" s="112"/>
    </row>
    <row r="128" spans="1:2" ht="15" customHeight="1">
      <c r="A128" s="112"/>
      <c r="B128" s="112"/>
    </row>
    <row r="129" spans="1:2" ht="15" customHeight="1">
      <c r="A129" s="112"/>
      <c r="B129" s="112"/>
    </row>
    <row r="130" spans="1:2" ht="15" customHeight="1">
      <c r="A130" s="112"/>
      <c r="B130" s="112"/>
    </row>
    <row r="131" spans="1:2" ht="15" customHeight="1">
      <c r="A131" s="112"/>
      <c r="B131" s="112"/>
    </row>
    <row r="132" spans="1:2" ht="15" customHeight="1">
      <c r="A132" s="112"/>
      <c r="B132" s="112"/>
    </row>
    <row r="133" spans="1:2" ht="15" customHeight="1">
      <c r="A133" s="112"/>
      <c r="B133" s="112"/>
    </row>
    <row r="134" spans="1:2" ht="15" customHeight="1">
      <c r="A134" s="112"/>
      <c r="B134" s="112"/>
    </row>
    <row r="135" spans="1:2" ht="15" customHeight="1">
      <c r="A135" s="112"/>
      <c r="B135" s="112"/>
    </row>
    <row r="136" spans="1:2" ht="15" customHeight="1">
      <c r="A136" s="112"/>
      <c r="B136" s="112"/>
    </row>
    <row r="137" spans="1:2" ht="15" customHeight="1">
      <c r="A137" s="112"/>
      <c r="B137" s="112"/>
    </row>
    <row r="138" spans="1:2" ht="15" customHeight="1">
      <c r="A138" s="112"/>
      <c r="B138" s="112"/>
    </row>
    <row r="139" spans="1:2" ht="15" customHeight="1">
      <c r="A139" s="112"/>
      <c r="B139" s="112"/>
    </row>
    <row r="140" spans="1:2" ht="15" customHeight="1">
      <c r="A140" s="112"/>
      <c r="B140" s="112"/>
    </row>
    <row r="141" spans="1:2" ht="15" customHeight="1">
      <c r="A141" s="112"/>
      <c r="B141" s="112"/>
    </row>
    <row r="142" spans="1:2" ht="15" customHeight="1">
      <c r="A142" s="112"/>
      <c r="B142" s="112"/>
    </row>
    <row r="143" spans="1:2" ht="15" customHeight="1">
      <c r="A143" s="112"/>
      <c r="B143" s="112"/>
    </row>
    <row r="144" spans="1:2" ht="15" customHeight="1">
      <c r="A144" s="112"/>
      <c r="B144" s="112"/>
    </row>
    <row r="145" spans="1:2" ht="15" customHeight="1">
      <c r="A145" s="112"/>
      <c r="B145" s="112"/>
    </row>
    <row r="146" spans="1:2" ht="15" customHeight="1">
      <c r="A146" s="112"/>
      <c r="B146" s="112"/>
    </row>
    <row r="147" spans="1:2" ht="15" customHeight="1">
      <c r="A147" s="112"/>
      <c r="B147" s="112"/>
    </row>
    <row r="148" spans="1:2" ht="15" customHeight="1">
      <c r="A148" s="112"/>
      <c r="B148" s="112"/>
    </row>
    <row r="149" spans="1:2" ht="15" customHeight="1">
      <c r="A149" s="112"/>
      <c r="B149" s="112"/>
    </row>
    <row r="150" spans="1:2" ht="15" customHeight="1">
      <c r="A150" s="112"/>
      <c r="B150" s="112"/>
    </row>
    <row r="151" spans="1:2" ht="15" customHeight="1">
      <c r="A151" s="112"/>
      <c r="B151" s="112"/>
    </row>
    <row r="152" spans="1:2" ht="15" customHeight="1">
      <c r="A152" s="112"/>
      <c r="B152" s="112"/>
    </row>
    <row r="153" spans="1:2" ht="15" customHeight="1">
      <c r="A153" s="112"/>
      <c r="B153" s="112"/>
    </row>
    <row r="154" spans="1:2" ht="15" customHeight="1">
      <c r="A154" s="112"/>
      <c r="B154" s="112"/>
    </row>
    <row r="155" spans="1:2" ht="15" customHeight="1">
      <c r="A155" s="112"/>
      <c r="B155" s="112"/>
    </row>
    <row r="156" spans="1:2" ht="15" customHeight="1">
      <c r="A156" s="112"/>
      <c r="B156" s="112"/>
    </row>
    <row r="157" spans="1:2" ht="15" customHeight="1">
      <c r="A157" s="112"/>
      <c r="B157" s="112"/>
    </row>
    <row r="158" spans="1:2" ht="15" customHeight="1">
      <c r="A158" s="112"/>
      <c r="B158" s="112"/>
    </row>
    <row r="159" spans="1:2" ht="15" customHeight="1">
      <c r="A159" s="112"/>
      <c r="B159" s="112"/>
    </row>
    <row r="160" spans="1:2" ht="15" customHeight="1">
      <c r="A160" s="112"/>
      <c r="B160" s="112"/>
    </row>
    <row r="161" spans="1:2" ht="15" customHeight="1">
      <c r="A161" s="112"/>
      <c r="B161" s="112"/>
    </row>
    <row r="162" spans="1:2" ht="15" customHeight="1">
      <c r="A162" s="112"/>
      <c r="B162" s="112"/>
    </row>
    <row r="163" spans="1:2" ht="15" customHeight="1">
      <c r="A163" s="112"/>
      <c r="B163" s="112"/>
    </row>
    <row r="164" spans="1:2" ht="15" customHeight="1">
      <c r="A164" s="112"/>
      <c r="B164" s="112"/>
    </row>
    <row r="165" spans="1:2" ht="15" customHeight="1">
      <c r="A165" s="112"/>
      <c r="B165" s="112"/>
    </row>
    <row r="166" spans="1:2" ht="15" customHeight="1">
      <c r="A166" s="112"/>
      <c r="B166" s="112"/>
    </row>
    <row r="167" spans="1:2" ht="15" customHeight="1">
      <c r="A167" s="112"/>
      <c r="B167" s="112"/>
    </row>
    <row r="168" spans="1:2" ht="15" customHeight="1">
      <c r="A168" s="112"/>
      <c r="B168" s="112"/>
    </row>
    <row r="169" spans="1:2" ht="15" customHeight="1">
      <c r="A169" s="112"/>
      <c r="B169" s="112"/>
    </row>
    <row r="170" spans="1:2" ht="15" customHeight="1">
      <c r="A170" s="112"/>
      <c r="B170" s="112"/>
    </row>
    <row r="171" spans="1:2" ht="15" customHeight="1">
      <c r="A171" s="112"/>
      <c r="B171" s="112"/>
    </row>
    <row r="172" spans="1:2" ht="15" customHeight="1">
      <c r="A172" s="112"/>
      <c r="B172" s="112"/>
    </row>
    <row r="173" spans="1:2" ht="15" customHeight="1">
      <c r="A173" s="112"/>
      <c r="B173" s="112"/>
    </row>
    <row r="174" spans="1:2" ht="15" customHeight="1">
      <c r="A174" s="112"/>
      <c r="B174" s="112"/>
    </row>
    <row r="175" spans="1:2" ht="15" customHeight="1">
      <c r="A175" s="112"/>
      <c r="B175" s="112"/>
    </row>
    <row r="176" spans="1:2" ht="15" customHeight="1">
      <c r="A176" s="112"/>
      <c r="B176" s="112"/>
    </row>
    <row r="177" spans="1:2" ht="15" customHeight="1">
      <c r="A177" s="112"/>
      <c r="B177" s="112"/>
    </row>
    <row r="178" spans="1:2" ht="15" customHeight="1">
      <c r="A178" s="112"/>
      <c r="B178" s="112"/>
    </row>
    <row r="179" spans="1:2" ht="15" customHeight="1">
      <c r="A179" s="112"/>
      <c r="B179" s="112"/>
    </row>
    <row r="180" spans="1:2" ht="15" customHeight="1">
      <c r="A180" s="112"/>
      <c r="B180" s="112"/>
    </row>
    <row r="181" spans="1:2" ht="15" customHeight="1">
      <c r="A181" s="112"/>
      <c r="B181" s="112"/>
    </row>
    <row r="182" spans="1:2" ht="15" customHeight="1">
      <c r="A182" s="112"/>
      <c r="B182" s="112"/>
    </row>
    <row r="183" spans="1:2" ht="15" customHeight="1">
      <c r="A183" s="112"/>
      <c r="B183" s="112"/>
    </row>
    <row r="184" spans="1:2" ht="15" customHeight="1">
      <c r="A184" s="112"/>
      <c r="B184" s="112"/>
    </row>
    <row r="185" spans="1:2" ht="15" customHeight="1">
      <c r="A185" s="112"/>
      <c r="B185" s="112"/>
    </row>
    <row r="186" spans="1:2" ht="15" customHeight="1">
      <c r="A186" s="112"/>
      <c r="B186" s="112"/>
    </row>
    <row r="187" spans="1:2" ht="15" customHeight="1">
      <c r="A187" s="112"/>
      <c r="B187" s="112"/>
    </row>
    <row r="188" spans="1:2" ht="15" customHeight="1">
      <c r="A188" s="112"/>
      <c r="B188" s="112"/>
    </row>
    <row r="189" spans="1:2" ht="15" customHeight="1">
      <c r="A189" s="112"/>
      <c r="B189" s="112"/>
    </row>
    <row r="190" spans="1:2" ht="15" customHeight="1">
      <c r="A190" s="112"/>
      <c r="B190" s="112"/>
    </row>
    <row r="191" spans="1:2" ht="15" customHeight="1">
      <c r="A191" s="112"/>
      <c r="B191" s="112"/>
    </row>
    <row r="192" spans="1:2" ht="15" customHeight="1">
      <c r="A192" s="112"/>
      <c r="B192" s="112"/>
    </row>
    <row r="193" spans="1:2" ht="15" customHeight="1">
      <c r="A193" s="112"/>
      <c r="B193" s="112"/>
    </row>
    <row r="194" spans="1:2" ht="15" customHeight="1">
      <c r="A194" s="112"/>
      <c r="B194" s="112"/>
    </row>
    <row r="195" spans="1:2" ht="15" customHeight="1">
      <c r="A195" s="112"/>
      <c r="B195" s="112"/>
    </row>
    <row r="196" spans="1:2" ht="15" customHeight="1">
      <c r="A196" s="112"/>
      <c r="B196" s="112"/>
    </row>
    <row r="197" spans="1:2" ht="15" customHeight="1">
      <c r="A197" s="112"/>
      <c r="B197" s="112"/>
    </row>
    <row r="198" spans="1:2" ht="15" customHeight="1">
      <c r="A198" s="112"/>
      <c r="B198" s="112"/>
    </row>
    <row r="199" spans="1:2" ht="15" customHeight="1">
      <c r="A199" s="112"/>
      <c r="B199" s="112"/>
    </row>
    <row r="200" spans="1:2" ht="15" customHeight="1">
      <c r="A200" s="112"/>
      <c r="B200" s="112"/>
    </row>
    <row r="201" spans="1:2" ht="15" customHeight="1">
      <c r="A201" s="112"/>
      <c r="B201" s="112"/>
    </row>
    <row r="202" spans="1:2" ht="15" customHeight="1">
      <c r="A202" s="112"/>
      <c r="B202" s="112"/>
    </row>
    <row r="203" spans="1:2" ht="15" customHeight="1">
      <c r="A203" s="112"/>
      <c r="B203" s="112"/>
    </row>
    <row r="204" spans="1:2" ht="15" customHeight="1">
      <c r="A204" s="112"/>
      <c r="B204" s="112"/>
    </row>
    <row r="205" spans="1:2" ht="15" customHeight="1">
      <c r="A205" s="112"/>
      <c r="B205" s="112"/>
    </row>
    <row r="206" spans="1:2" ht="15" customHeight="1">
      <c r="A206" s="112"/>
      <c r="B206" s="112"/>
    </row>
    <row r="207" spans="1:2" ht="15" customHeight="1">
      <c r="A207" s="112"/>
      <c r="B207" s="112"/>
    </row>
    <row r="208" spans="1:2" ht="15" customHeight="1">
      <c r="A208" s="112"/>
      <c r="B208" s="112"/>
    </row>
    <row r="209" spans="1:2" ht="15" customHeight="1">
      <c r="A209" s="112"/>
      <c r="B209" s="112"/>
    </row>
    <row r="210" spans="1:2" ht="15" customHeight="1">
      <c r="A210" s="112"/>
      <c r="B210" s="112"/>
    </row>
    <row r="211" spans="1:2" ht="15" customHeight="1">
      <c r="A211" s="112"/>
      <c r="B211" s="112"/>
    </row>
    <row r="212" spans="1:2" ht="15" customHeight="1">
      <c r="A212" s="112"/>
      <c r="B212" s="112"/>
    </row>
    <row r="213" spans="1:2" ht="15" customHeight="1">
      <c r="A213" s="112"/>
      <c r="B213" s="112"/>
    </row>
    <row r="214" spans="1:2" ht="15" customHeight="1">
      <c r="A214" s="112"/>
      <c r="B214" s="112"/>
    </row>
    <row r="215" spans="1:2" ht="15" customHeight="1">
      <c r="A215" s="112"/>
      <c r="B215" s="112"/>
    </row>
    <row r="216" spans="1:2" ht="15" customHeight="1">
      <c r="A216" s="112"/>
      <c r="B216" s="112"/>
    </row>
    <row r="217" spans="1:2" ht="15" customHeight="1">
      <c r="A217" s="112"/>
      <c r="B217" s="112"/>
    </row>
    <row r="218" spans="1:2" ht="15" customHeight="1">
      <c r="A218" s="112"/>
      <c r="B218" s="112"/>
    </row>
    <row r="219" spans="1:2" ht="15" customHeight="1">
      <c r="A219" s="112"/>
      <c r="B219" s="112"/>
    </row>
    <row r="220" spans="1:2" ht="15" customHeight="1">
      <c r="A220" s="112"/>
      <c r="B220" s="112"/>
    </row>
    <row r="221" spans="1:2" ht="15" customHeight="1">
      <c r="A221" s="112"/>
      <c r="B221" s="112"/>
    </row>
    <row r="222" spans="1:2" ht="15" customHeight="1">
      <c r="A222" s="112"/>
      <c r="B222" s="112"/>
    </row>
    <row r="223" spans="1:2" ht="15" customHeight="1">
      <c r="A223" s="112"/>
      <c r="B223" s="112"/>
    </row>
    <row r="224" spans="1:2" ht="15" customHeight="1">
      <c r="A224" s="112"/>
      <c r="B224" s="112"/>
    </row>
    <row r="225" spans="1:2" ht="15" customHeight="1">
      <c r="A225" s="112"/>
      <c r="B225" s="112"/>
    </row>
    <row r="226" spans="1:2" ht="15" customHeight="1">
      <c r="A226" s="112"/>
      <c r="B226" s="112"/>
    </row>
    <row r="227" spans="1:2" ht="15" customHeight="1">
      <c r="A227" s="112"/>
      <c r="B227" s="112"/>
    </row>
    <row r="228" spans="1:2" ht="15" customHeight="1">
      <c r="A228" s="112"/>
      <c r="B228" s="112"/>
    </row>
    <row r="229" spans="1:2" ht="15" customHeight="1">
      <c r="A229" s="112"/>
      <c r="B229" s="112"/>
    </row>
    <row r="230" spans="1:2" ht="15" customHeight="1">
      <c r="A230" s="112"/>
      <c r="B230" s="112"/>
    </row>
    <row r="231" spans="1:2" ht="15" customHeight="1">
      <c r="A231" s="112"/>
      <c r="B231" s="112"/>
    </row>
    <row r="232" spans="1:2" ht="15" customHeight="1">
      <c r="A232" s="112"/>
      <c r="B232" s="112"/>
    </row>
    <row r="233" spans="1:2" ht="15" customHeight="1">
      <c r="A233" s="112"/>
      <c r="B233" s="112"/>
    </row>
    <row r="234" spans="1:2" ht="15" customHeight="1">
      <c r="A234" s="112"/>
      <c r="B234" s="112"/>
    </row>
    <row r="235" spans="1:2" ht="15" customHeight="1">
      <c r="A235" s="112"/>
      <c r="B235" s="112"/>
    </row>
    <row r="236" spans="1:2" ht="15" customHeight="1">
      <c r="A236" s="112"/>
      <c r="B236" s="112"/>
    </row>
    <row r="237" spans="1:2" ht="15" customHeight="1">
      <c r="A237" s="112"/>
      <c r="B237" s="112"/>
    </row>
    <row r="238" spans="1:2" ht="15" customHeight="1">
      <c r="A238" s="112"/>
      <c r="B238" s="112"/>
    </row>
    <row r="239" spans="1:2" ht="15" customHeight="1">
      <c r="A239" s="112"/>
      <c r="B239" s="112"/>
    </row>
    <row r="240" spans="1:2" ht="15" customHeight="1">
      <c r="A240" s="112"/>
      <c r="B240" s="112"/>
    </row>
    <row r="241" spans="1:2" ht="15" customHeight="1">
      <c r="A241" s="112"/>
      <c r="B241" s="112"/>
    </row>
    <row r="242" spans="1:2" ht="15" customHeight="1">
      <c r="A242" s="112"/>
      <c r="B242" s="112"/>
    </row>
    <row r="243" spans="1:2" ht="15" customHeight="1">
      <c r="A243" s="112"/>
      <c r="B243" s="112"/>
    </row>
    <row r="244" spans="1:2" ht="15" customHeight="1">
      <c r="A244" s="112"/>
      <c r="B244" s="112"/>
    </row>
    <row r="245" spans="1:2" ht="15" customHeight="1">
      <c r="A245" s="112"/>
      <c r="B245" s="112"/>
    </row>
    <row r="246" spans="1:2" ht="15" customHeight="1">
      <c r="A246" s="112"/>
      <c r="B246" s="112"/>
    </row>
    <row r="247" spans="1:2" ht="15" customHeight="1">
      <c r="A247" s="112"/>
      <c r="B247" s="112"/>
    </row>
    <row r="248" spans="1:2" ht="15" customHeight="1">
      <c r="A248" s="112"/>
      <c r="B248" s="112"/>
    </row>
    <row r="249" spans="1:2" ht="15" customHeight="1">
      <c r="A249" s="112"/>
      <c r="B249" s="112"/>
    </row>
    <row r="250" spans="1:2" ht="15" customHeight="1">
      <c r="A250" s="112"/>
      <c r="B250" s="112"/>
    </row>
    <row r="251" spans="1:2" ht="15" customHeight="1">
      <c r="A251" s="112"/>
      <c r="B251" s="112"/>
    </row>
    <row r="252" spans="1:2" ht="15" customHeight="1">
      <c r="A252" s="112"/>
      <c r="B252" s="112"/>
    </row>
    <row r="253" spans="1:2" ht="15" customHeight="1">
      <c r="A253" s="112"/>
      <c r="B253" s="112"/>
    </row>
    <row r="254" spans="1:2" ht="15" customHeight="1">
      <c r="A254" s="112"/>
      <c r="B254" s="112"/>
    </row>
    <row r="255" spans="1:2" ht="15" customHeight="1">
      <c r="A255" s="112"/>
      <c r="B255" s="112"/>
    </row>
    <row r="256" spans="1:2" ht="15" customHeight="1">
      <c r="A256" s="112"/>
      <c r="B256" s="112"/>
    </row>
    <row r="257" spans="1:2" ht="15" customHeight="1">
      <c r="A257" s="112"/>
      <c r="B257" s="112"/>
    </row>
    <row r="258" spans="1:2" ht="15" customHeight="1">
      <c r="A258" s="112"/>
      <c r="B258" s="112"/>
    </row>
    <row r="259" spans="1:2" ht="15" customHeight="1">
      <c r="A259" s="112"/>
      <c r="B259" s="112"/>
    </row>
    <row r="260" spans="1:2" ht="15" customHeight="1">
      <c r="A260" s="112"/>
      <c r="B260" s="112"/>
    </row>
    <row r="261" spans="1:2" ht="15" customHeight="1">
      <c r="A261" s="112"/>
      <c r="B261" s="112"/>
    </row>
    <row r="262" spans="1:2" ht="15" customHeight="1">
      <c r="A262" s="112"/>
      <c r="B262" s="112"/>
    </row>
    <row r="263" spans="1:2" ht="15" customHeight="1">
      <c r="A263" s="112"/>
      <c r="B263" s="112"/>
    </row>
    <row r="264" spans="1:2" ht="15" customHeight="1">
      <c r="A264" s="112"/>
      <c r="B264" s="112"/>
    </row>
    <row r="265" spans="1:2" ht="15" customHeight="1">
      <c r="A265" s="112"/>
      <c r="B265" s="112"/>
    </row>
    <row r="266" spans="1:2" ht="15" customHeight="1">
      <c r="A266" s="112"/>
      <c r="B266" s="112"/>
    </row>
    <row r="267" spans="1:2" ht="15" customHeight="1">
      <c r="A267" s="112"/>
      <c r="B267" s="112"/>
    </row>
    <row r="268" spans="1:2" ht="15" customHeight="1">
      <c r="A268" s="112"/>
      <c r="B268" s="112"/>
    </row>
    <row r="269" spans="1:2" ht="15" customHeight="1">
      <c r="A269" s="112"/>
      <c r="B269" s="112"/>
    </row>
    <row r="270" spans="1:2" ht="15" customHeight="1">
      <c r="A270" s="112"/>
      <c r="B270" s="112"/>
    </row>
    <row r="271" spans="1:2" ht="15" customHeight="1">
      <c r="A271" s="112"/>
      <c r="B271" s="112"/>
    </row>
    <row r="272" spans="1:2" ht="15" customHeight="1">
      <c r="A272" s="112"/>
      <c r="B272" s="112"/>
    </row>
    <row r="273" spans="1:2" ht="15" customHeight="1">
      <c r="A273" s="112"/>
      <c r="B273" s="112"/>
    </row>
    <row r="274" spans="1:2" ht="15" customHeight="1">
      <c r="A274" s="112"/>
      <c r="B274" s="112"/>
    </row>
    <row r="275" spans="1:2" ht="15" customHeight="1">
      <c r="A275" s="112"/>
      <c r="B275" s="112"/>
    </row>
    <row r="276" spans="1:2" ht="15" customHeight="1">
      <c r="A276" s="112"/>
      <c r="B276" s="112"/>
    </row>
    <row r="277" spans="1:2" ht="15" customHeight="1">
      <c r="A277" s="112"/>
      <c r="B277" s="112"/>
    </row>
    <row r="278" spans="1:2" ht="15" customHeight="1">
      <c r="A278" s="112"/>
      <c r="B278" s="112"/>
    </row>
    <row r="279" spans="1:2" ht="15" customHeight="1">
      <c r="A279" s="112"/>
      <c r="B279" s="112"/>
    </row>
    <row r="280" spans="1:2" ht="15" customHeight="1">
      <c r="A280" s="112"/>
      <c r="B280" s="112"/>
    </row>
    <row r="281" spans="1:2" ht="15" customHeight="1">
      <c r="A281" s="112"/>
      <c r="B281" s="112"/>
    </row>
    <row r="282" spans="1:2" ht="15" customHeight="1">
      <c r="A282" s="112"/>
      <c r="B282" s="112"/>
    </row>
    <row r="283" spans="1:2" ht="15" customHeight="1">
      <c r="A283" s="112"/>
      <c r="B283" s="112"/>
    </row>
    <row r="284" spans="1:2" ht="15" customHeight="1">
      <c r="A284" s="112"/>
      <c r="B284" s="112"/>
    </row>
    <row r="285" spans="1:2" ht="15" customHeight="1">
      <c r="A285" s="112"/>
      <c r="B285" s="112"/>
    </row>
    <row r="286" spans="1:2" ht="15" customHeight="1">
      <c r="A286" s="112"/>
      <c r="B286" s="112"/>
    </row>
    <row r="287" spans="1:2" ht="15" customHeight="1">
      <c r="A287" s="112"/>
      <c r="B287" s="112"/>
    </row>
    <row r="288" spans="1:2" ht="15" customHeight="1">
      <c r="A288" s="112"/>
      <c r="B288" s="112"/>
    </row>
    <row r="289" spans="1:2" ht="15" customHeight="1">
      <c r="A289" s="112"/>
      <c r="B289" s="112"/>
    </row>
    <row r="290" spans="1:2" ht="15" customHeight="1">
      <c r="A290" s="112"/>
      <c r="B290" s="112"/>
    </row>
    <row r="291" spans="1:2" ht="15" customHeight="1">
      <c r="A291" s="112"/>
      <c r="B291" s="112"/>
    </row>
    <row r="292" spans="1:2" ht="15" customHeight="1">
      <c r="A292" s="112"/>
      <c r="B292" s="112"/>
    </row>
    <row r="293" spans="1:2" ht="15" customHeight="1">
      <c r="A293" s="112"/>
      <c r="B293" s="112"/>
    </row>
    <row r="294" spans="1:2" ht="15" customHeight="1">
      <c r="A294" s="112"/>
      <c r="B294" s="112"/>
    </row>
    <row r="295" spans="1:2" ht="15" customHeight="1">
      <c r="A295" s="112"/>
      <c r="B295" s="112"/>
    </row>
    <row r="296" spans="1:2" ht="15" customHeight="1">
      <c r="A296" s="112"/>
      <c r="B296" s="112"/>
    </row>
    <row r="297" spans="1:2" ht="15" customHeight="1">
      <c r="A297" s="112"/>
      <c r="B297" s="112"/>
    </row>
    <row r="298" spans="1:2" ht="15" customHeight="1">
      <c r="A298" s="112"/>
      <c r="B298" s="112"/>
    </row>
    <row r="299" spans="1:2" ht="15" customHeight="1">
      <c r="A299" s="112"/>
      <c r="B299" s="112"/>
    </row>
    <row r="300" spans="1:2" ht="15" customHeight="1">
      <c r="A300" s="112"/>
      <c r="B300" s="112"/>
    </row>
    <row r="301" spans="1:2" ht="15" customHeight="1">
      <c r="A301" s="112"/>
      <c r="B301" s="112"/>
    </row>
    <row r="302" spans="1:2" ht="15" customHeight="1">
      <c r="A302" s="112"/>
      <c r="B302" s="112"/>
    </row>
    <row r="303" spans="1:2" ht="15" customHeight="1">
      <c r="A303" s="112"/>
      <c r="B303" s="112"/>
    </row>
    <row r="304" spans="1:2" ht="15" customHeight="1">
      <c r="A304" s="112"/>
      <c r="B304" s="112"/>
    </row>
    <row r="305" spans="1:2" ht="15" customHeight="1">
      <c r="A305" s="112"/>
      <c r="B305" s="112"/>
    </row>
    <row r="306" spans="1:2" ht="15" customHeight="1">
      <c r="A306" s="112"/>
      <c r="B306" s="112"/>
    </row>
    <row r="307" spans="1:2" ht="15" customHeight="1">
      <c r="A307" s="112"/>
      <c r="B307" s="112"/>
    </row>
    <row r="308" spans="1:2" ht="15" customHeight="1">
      <c r="A308" s="112"/>
      <c r="B308" s="112"/>
    </row>
    <row r="309" spans="1:2" ht="15" customHeight="1">
      <c r="A309" s="112"/>
      <c r="B309" s="112"/>
    </row>
    <row r="310" spans="1:2" ht="15" customHeight="1">
      <c r="A310" s="112"/>
      <c r="B310" s="112"/>
    </row>
    <row r="311" spans="1:2" ht="15" customHeight="1">
      <c r="A311" s="112"/>
      <c r="B311" s="112"/>
    </row>
    <row r="312" spans="1:2" ht="15" customHeight="1">
      <c r="A312" s="112"/>
      <c r="B312" s="112"/>
    </row>
    <row r="313" spans="1:2" ht="15" customHeight="1">
      <c r="A313" s="112"/>
      <c r="B313" s="112"/>
    </row>
    <row r="314" spans="1:2" ht="15" customHeight="1">
      <c r="A314" s="112"/>
      <c r="B314" s="112"/>
    </row>
    <row r="315" spans="1:2" ht="15" customHeight="1">
      <c r="A315" s="112"/>
      <c r="B315" s="112"/>
    </row>
    <row r="316" spans="1:2" ht="15" customHeight="1">
      <c r="A316" s="112"/>
      <c r="B316" s="112"/>
    </row>
    <row r="317" spans="1:2" ht="15" customHeight="1">
      <c r="A317" s="112"/>
      <c r="B317" s="112"/>
    </row>
    <row r="318" spans="1:2" ht="15" customHeight="1">
      <c r="A318" s="112"/>
      <c r="B318" s="112"/>
    </row>
    <row r="319" spans="1:2" ht="15" customHeight="1">
      <c r="A319" s="112"/>
      <c r="B319" s="112"/>
    </row>
    <row r="320" spans="1:2" ht="15" customHeight="1">
      <c r="A320" s="112"/>
      <c r="B320" s="112"/>
    </row>
    <row r="321" spans="1:2" ht="15" customHeight="1">
      <c r="A321" s="112"/>
      <c r="B321" s="112"/>
    </row>
    <row r="322" spans="1:2" ht="15" customHeight="1">
      <c r="A322" s="112"/>
      <c r="B322" s="112"/>
    </row>
    <row r="323" spans="1:2" ht="15" customHeight="1">
      <c r="A323" s="112"/>
      <c r="B323" s="112"/>
    </row>
    <row r="324" spans="1:2" ht="15" customHeight="1">
      <c r="A324" s="112"/>
      <c r="B324" s="112"/>
    </row>
    <row r="325" spans="1:2" ht="15" customHeight="1">
      <c r="A325" s="112"/>
      <c r="B325" s="112"/>
    </row>
    <row r="326" spans="1:2" ht="15" customHeight="1">
      <c r="A326" s="112"/>
      <c r="B326" s="112"/>
    </row>
    <row r="327" spans="1:2" ht="15" customHeight="1">
      <c r="A327" s="112"/>
      <c r="B327" s="112"/>
    </row>
    <row r="328" spans="1:2" ht="15" customHeight="1">
      <c r="A328" s="112"/>
      <c r="B328" s="112"/>
    </row>
    <row r="329" spans="1:2" ht="15" customHeight="1">
      <c r="A329" s="112"/>
      <c r="B329" s="112"/>
    </row>
    <row r="330" spans="1:2" ht="15" customHeight="1">
      <c r="A330" s="112"/>
      <c r="B330" s="112"/>
    </row>
    <row r="331" spans="1:2" ht="15" customHeight="1">
      <c r="A331" s="112"/>
      <c r="B331" s="112"/>
    </row>
    <row r="332" spans="1:2" ht="15" customHeight="1">
      <c r="A332" s="112"/>
      <c r="B332" s="112"/>
    </row>
    <row r="333" spans="1:2" ht="15" customHeight="1">
      <c r="A333" s="112"/>
      <c r="B333" s="112"/>
    </row>
    <row r="334" spans="1:2" ht="15" customHeight="1">
      <c r="A334" s="112"/>
      <c r="B334" s="112"/>
    </row>
    <row r="335" spans="1:2" ht="15" customHeight="1">
      <c r="A335" s="112"/>
      <c r="B335" s="112"/>
    </row>
    <row r="336" spans="1:2" ht="15" customHeight="1">
      <c r="A336" s="112"/>
      <c r="B336" s="112"/>
    </row>
    <row r="337" spans="1:2" ht="15" customHeight="1">
      <c r="A337" s="112"/>
      <c r="B337" s="112"/>
    </row>
    <row r="338" spans="1:2" ht="15" customHeight="1">
      <c r="A338" s="112"/>
      <c r="B338" s="112"/>
    </row>
    <row r="339" spans="1:2" ht="15" customHeight="1">
      <c r="A339" s="112"/>
      <c r="B339" s="112"/>
    </row>
    <row r="340" spans="1:2" ht="15" customHeight="1">
      <c r="A340" s="112"/>
      <c r="B340" s="112"/>
    </row>
    <row r="341" spans="1:2" ht="15" customHeight="1">
      <c r="A341" s="112"/>
      <c r="B341" s="112"/>
    </row>
    <row r="342" spans="1:2" ht="15" customHeight="1">
      <c r="A342" s="112"/>
      <c r="B342" s="112"/>
    </row>
    <row r="343" spans="1:2" ht="15" customHeight="1">
      <c r="A343" s="112"/>
      <c r="B343" s="112"/>
    </row>
    <row r="344" spans="1:2" ht="15" customHeight="1">
      <c r="A344" s="112"/>
      <c r="B344" s="112"/>
    </row>
    <row r="345" spans="1:2" ht="15" customHeight="1">
      <c r="A345" s="112"/>
      <c r="B345" s="112"/>
    </row>
    <row r="346" spans="1:2" ht="15" customHeight="1">
      <c r="A346" s="112"/>
      <c r="B346" s="112"/>
    </row>
    <row r="347" spans="1:2" ht="15" customHeight="1">
      <c r="A347" s="112"/>
      <c r="B347" s="112"/>
    </row>
    <row r="348" spans="1:2" ht="15" customHeight="1">
      <c r="A348" s="112"/>
      <c r="B348" s="112"/>
    </row>
    <row r="349" spans="1:2" ht="15" customHeight="1">
      <c r="A349" s="112"/>
      <c r="B349" s="112"/>
    </row>
    <row r="350" spans="1:2" ht="15" customHeight="1">
      <c r="A350" s="112"/>
      <c r="B350" s="112"/>
    </row>
    <row r="351" spans="1:2" ht="15" customHeight="1">
      <c r="A351" s="112"/>
      <c r="B351" s="112"/>
    </row>
    <row r="352" spans="1:2" ht="15" customHeight="1">
      <c r="A352" s="112"/>
      <c r="B352" s="112"/>
    </row>
    <row r="353" spans="1:2" ht="15" customHeight="1">
      <c r="A353" s="112"/>
      <c r="B353" s="112"/>
    </row>
    <row r="354" spans="1:2" ht="15" customHeight="1">
      <c r="A354" s="112"/>
      <c r="B354" s="112"/>
    </row>
    <row r="355" spans="1:2" ht="15" customHeight="1">
      <c r="A355" s="112"/>
      <c r="B355" s="112"/>
    </row>
    <row r="356" spans="1:2" ht="15" customHeight="1">
      <c r="A356" s="112"/>
      <c r="B356" s="112"/>
    </row>
    <row r="357" spans="1:2" ht="15" customHeight="1">
      <c r="A357" s="112"/>
      <c r="B357" s="112"/>
    </row>
    <row r="358" spans="1:2" ht="15" customHeight="1">
      <c r="A358" s="112"/>
      <c r="B358" s="112"/>
    </row>
    <row r="359" spans="1:2" ht="15" customHeight="1">
      <c r="A359" s="112"/>
      <c r="B359" s="112"/>
    </row>
    <row r="360" spans="1:2" ht="15" customHeight="1">
      <c r="A360" s="112"/>
      <c r="B360" s="112"/>
    </row>
    <row r="361" spans="1:2" ht="15" customHeight="1">
      <c r="A361" s="112"/>
      <c r="B361" s="112"/>
    </row>
    <row r="362" spans="1:2" ht="15" customHeight="1">
      <c r="A362" s="112"/>
      <c r="B362" s="112"/>
    </row>
    <row r="363" spans="1:2" ht="15" customHeight="1">
      <c r="A363" s="112"/>
      <c r="B363" s="112"/>
    </row>
    <row r="364" spans="1:2" ht="15" customHeight="1">
      <c r="A364" s="112"/>
      <c r="B364" s="112"/>
    </row>
    <row r="365" spans="1:2" ht="15" customHeight="1">
      <c r="A365" s="112"/>
      <c r="B365" s="112"/>
    </row>
    <row r="366" spans="1:2" ht="15" customHeight="1">
      <c r="A366" s="112"/>
      <c r="B366" s="112"/>
    </row>
    <row r="367" spans="1:2" ht="15" customHeight="1">
      <c r="A367" s="112"/>
      <c r="B367" s="112"/>
    </row>
    <row r="368" spans="1:2" ht="15" customHeight="1">
      <c r="A368" s="112"/>
      <c r="B368" s="112"/>
    </row>
    <row r="369" spans="1:2" ht="15" customHeight="1">
      <c r="A369" s="112"/>
      <c r="B369" s="112"/>
    </row>
    <row r="370" spans="1:2" ht="15" customHeight="1">
      <c r="A370" s="112"/>
      <c r="B370" s="112"/>
    </row>
    <row r="371" spans="1:2" ht="15" customHeight="1">
      <c r="A371" s="112"/>
      <c r="B371" s="112"/>
    </row>
    <row r="372" spans="1:2" ht="15" customHeight="1">
      <c r="A372" s="112"/>
      <c r="B372" s="112"/>
    </row>
    <row r="373" spans="1:2" ht="15" customHeight="1">
      <c r="A373" s="112"/>
      <c r="B373" s="112"/>
    </row>
    <row r="374" spans="1:2" ht="15" customHeight="1">
      <c r="A374" s="112"/>
      <c r="B374" s="112"/>
    </row>
    <row r="375" spans="1:2" ht="15" customHeight="1">
      <c r="A375" s="112"/>
      <c r="B375" s="112"/>
    </row>
    <row r="376" spans="1:2" ht="15" customHeight="1">
      <c r="A376" s="112"/>
      <c r="B376" s="112"/>
    </row>
    <row r="377" spans="1:2" ht="15" customHeight="1">
      <c r="A377" s="112"/>
      <c r="B377" s="112"/>
    </row>
    <row r="378" spans="1:2" ht="15" customHeight="1">
      <c r="A378" s="112"/>
      <c r="B378" s="112"/>
    </row>
    <row r="379" spans="1:2" ht="15" customHeight="1">
      <c r="A379" s="112"/>
      <c r="B379" s="112"/>
    </row>
    <row r="380" spans="1:2" ht="15" customHeight="1">
      <c r="A380" s="112"/>
      <c r="B380" s="112"/>
    </row>
    <row r="381" spans="1:2" ht="15" customHeight="1">
      <c r="A381" s="112"/>
      <c r="B381" s="112"/>
    </row>
    <row r="382" spans="1:2" ht="15" customHeight="1">
      <c r="A382" s="112"/>
      <c r="B382" s="112"/>
    </row>
    <row r="383" spans="1:2" ht="15" customHeight="1">
      <c r="A383" s="112"/>
      <c r="B383" s="112"/>
    </row>
    <row r="384" spans="1:2" ht="15" customHeight="1">
      <c r="A384" s="112"/>
      <c r="B384" s="112"/>
    </row>
    <row r="385" spans="1:2" ht="15" customHeight="1">
      <c r="A385" s="112"/>
      <c r="B385" s="112"/>
    </row>
    <row r="386" spans="1:2" ht="15" customHeight="1">
      <c r="A386" s="112"/>
      <c r="B386" s="112"/>
    </row>
    <row r="387" spans="1:2" ht="15" customHeight="1">
      <c r="A387" s="112"/>
      <c r="B387" s="112"/>
    </row>
    <row r="388" spans="1:2" ht="15" customHeight="1">
      <c r="A388" s="112"/>
      <c r="B388" s="112"/>
    </row>
    <row r="389" spans="1:2" ht="15" customHeight="1">
      <c r="A389" s="112"/>
      <c r="B389" s="112"/>
    </row>
    <row r="390" spans="1:2" ht="15" customHeight="1">
      <c r="A390" s="112"/>
      <c r="B390" s="112"/>
    </row>
    <row r="391" spans="1:2" ht="15" customHeight="1">
      <c r="A391" s="112"/>
      <c r="B391" s="112"/>
    </row>
    <row r="392" spans="1:2" ht="15" customHeight="1">
      <c r="A392" s="112"/>
      <c r="B392" s="112"/>
    </row>
    <row r="393" spans="1:2" ht="15" customHeight="1">
      <c r="A393" s="112"/>
      <c r="B393" s="112"/>
    </row>
    <row r="394" spans="1:2" ht="15" customHeight="1">
      <c r="A394" s="112"/>
      <c r="B394" s="112"/>
    </row>
    <row r="395" spans="1:2" ht="15" customHeight="1">
      <c r="A395" s="112"/>
      <c r="B395" s="112"/>
    </row>
    <row r="396" spans="1:2" ht="15" customHeight="1">
      <c r="A396" s="112"/>
      <c r="B396" s="112"/>
    </row>
    <row r="397" spans="1:2" ht="15" customHeight="1">
      <c r="A397" s="112"/>
      <c r="B397" s="112"/>
    </row>
    <row r="398" spans="1:2" ht="15" customHeight="1">
      <c r="A398" s="112"/>
      <c r="B398" s="112"/>
    </row>
    <row r="399" spans="1:2" ht="15" customHeight="1">
      <c r="A399" s="112"/>
      <c r="B399" s="112"/>
    </row>
    <row r="400" spans="1:2" ht="15" customHeight="1">
      <c r="A400" s="112"/>
      <c r="B400" s="112"/>
    </row>
    <row r="401" spans="1:2" ht="15" customHeight="1">
      <c r="A401" s="112"/>
      <c r="B401" s="112"/>
    </row>
    <row r="402" spans="1:2" ht="15" customHeight="1">
      <c r="A402" s="112"/>
      <c r="B402" s="112"/>
    </row>
    <row r="403" spans="1:2" ht="15" customHeight="1">
      <c r="A403" s="112"/>
      <c r="B403" s="112"/>
    </row>
    <row r="404" spans="1:2" ht="15" customHeight="1">
      <c r="A404" s="112"/>
      <c r="B404" s="112"/>
    </row>
    <row r="405" spans="1:2" ht="15" customHeight="1">
      <c r="A405" s="112"/>
      <c r="B405" s="112"/>
    </row>
    <row r="406" spans="1:2" ht="15" customHeight="1">
      <c r="A406" s="112"/>
      <c r="B406" s="112"/>
    </row>
    <row r="407" spans="1:2" ht="15" customHeight="1">
      <c r="A407" s="112"/>
      <c r="B407" s="112"/>
    </row>
    <row r="408" spans="1:2" ht="15" customHeight="1">
      <c r="A408" s="112"/>
      <c r="B408" s="112"/>
    </row>
    <row r="409" spans="1:2" ht="15" customHeight="1">
      <c r="A409" s="112"/>
      <c r="B409" s="112"/>
    </row>
    <row r="410" spans="1:2" ht="15" customHeight="1">
      <c r="A410" s="112"/>
      <c r="B410" s="112"/>
    </row>
    <row r="411" spans="1:2" ht="15" customHeight="1">
      <c r="A411" s="112"/>
      <c r="B411" s="112"/>
    </row>
    <row r="412" spans="1:2" ht="15" customHeight="1">
      <c r="A412" s="112"/>
      <c r="B412" s="112"/>
    </row>
    <row r="413" spans="1:2" ht="15" customHeight="1">
      <c r="A413" s="112"/>
      <c r="B413" s="112"/>
    </row>
    <row r="414" spans="1:2" ht="15" customHeight="1">
      <c r="A414" s="112"/>
      <c r="B414" s="112"/>
    </row>
    <row r="415" spans="1:2" ht="15" customHeight="1">
      <c r="A415" s="112"/>
      <c r="B415" s="112"/>
    </row>
    <row r="416" spans="1:2" ht="15" customHeight="1">
      <c r="A416" s="112"/>
      <c r="B416" s="112"/>
    </row>
    <row r="417" spans="1:2" ht="15" customHeight="1">
      <c r="A417" s="112"/>
      <c r="B417" s="112"/>
    </row>
    <row r="418" spans="1:2" ht="15" customHeight="1">
      <c r="A418" s="112"/>
      <c r="B418" s="112"/>
    </row>
    <row r="419" spans="1:2" ht="15" customHeight="1">
      <c r="A419" s="112"/>
      <c r="B419" s="112"/>
    </row>
    <row r="420" spans="1:2" ht="15" customHeight="1">
      <c r="A420" s="112"/>
      <c r="B420" s="112"/>
    </row>
    <row r="421" spans="1:2" ht="15" customHeight="1">
      <c r="A421" s="112"/>
      <c r="B421" s="112"/>
    </row>
    <row r="422" spans="1:2" ht="15" customHeight="1">
      <c r="A422" s="112"/>
      <c r="B422" s="112"/>
    </row>
    <row r="423" spans="1:2" ht="15" customHeight="1">
      <c r="A423" s="112"/>
      <c r="B423" s="112"/>
    </row>
    <row r="424" spans="1:2" ht="15" customHeight="1">
      <c r="A424" s="112"/>
      <c r="B424" s="112"/>
    </row>
    <row r="425" spans="1:2" ht="15" customHeight="1">
      <c r="A425" s="112"/>
      <c r="B425" s="112"/>
    </row>
    <row r="426" spans="1:2" ht="15" customHeight="1">
      <c r="A426" s="112"/>
      <c r="B426" s="112"/>
    </row>
    <row r="427" spans="1:2" ht="15" customHeight="1">
      <c r="A427" s="112"/>
      <c r="B427" s="112"/>
    </row>
    <row r="428" spans="1:2" ht="15" customHeight="1">
      <c r="A428" s="112"/>
      <c r="B428" s="112"/>
    </row>
    <row r="429" spans="1:2" ht="15" customHeight="1">
      <c r="A429" s="112"/>
      <c r="B429" s="112"/>
    </row>
    <row r="430" spans="1:2" ht="15" customHeight="1">
      <c r="A430" s="112"/>
      <c r="B430" s="112"/>
    </row>
    <row r="431" spans="1:2" ht="15" customHeight="1">
      <c r="A431" s="112"/>
      <c r="B431" s="112"/>
    </row>
    <row r="432" spans="1:2" ht="15" customHeight="1">
      <c r="A432" s="112"/>
      <c r="B432" s="112"/>
    </row>
    <row r="433" spans="1:2" ht="15" customHeight="1">
      <c r="A433" s="112"/>
      <c r="B433" s="112"/>
    </row>
    <row r="434" spans="1:2" ht="15" customHeight="1">
      <c r="A434" s="112"/>
      <c r="B434" s="112"/>
    </row>
    <row r="435" spans="1:2" ht="15" customHeight="1">
      <c r="A435" s="112"/>
      <c r="B435" s="112"/>
    </row>
    <row r="436" spans="1:2" ht="15" customHeight="1">
      <c r="A436" s="112"/>
      <c r="B436" s="112"/>
    </row>
    <row r="437" spans="1:2" ht="15" customHeight="1">
      <c r="A437" s="112"/>
      <c r="B437" s="112"/>
    </row>
    <row r="438" spans="1:2" ht="15" customHeight="1">
      <c r="A438" s="112"/>
      <c r="B438" s="112"/>
    </row>
    <row r="439" spans="1:2" ht="15" customHeight="1">
      <c r="A439" s="112"/>
      <c r="B439" s="112"/>
    </row>
    <row r="440" spans="1:2" ht="15" customHeight="1">
      <c r="A440" s="112"/>
      <c r="B440" s="112"/>
    </row>
    <row r="441" spans="1:2" ht="15" customHeight="1">
      <c r="A441" s="112"/>
      <c r="B441" s="112"/>
    </row>
    <row r="442" spans="1:2" ht="15" customHeight="1">
      <c r="A442" s="112"/>
      <c r="B442" s="112"/>
    </row>
    <row r="443" spans="1:2" ht="15" customHeight="1">
      <c r="A443" s="112"/>
      <c r="B443" s="112"/>
    </row>
    <row r="444" spans="1:2" ht="15" customHeight="1">
      <c r="A444" s="112"/>
      <c r="B444" s="112"/>
    </row>
    <row r="445" spans="1:2" ht="15" customHeight="1">
      <c r="A445" s="112"/>
      <c r="B445" s="112"/>
    </row>
    <row r="446" spans="1:2" ht="15" customHeight="1">
      <c r="A446" s="112"/>
      <c r="B446" s="112"/>
    </row>
    <row r="447" spans="1:2" ht="15" customHeight="1">
      <c r="A447" s="112"/>
      <c r="B447" s="112"/>
    </row>
    <row r="448" spans="1:2" ht="15" customHeight="1">
      <c r="A448" s="112"/>
      <c r="B448" s="112"/>
    </row>
    <row r="449" spans="1:2" ht="15" customHeight="1">
      <c r="A449" s="112"/>
      <c r="B449" s="112"/>
    </row>
    <row r="450" spans="1:2" ht="15" customHeight="1">
      <c r="A450" s="112"/>
      <c r="B450" s="112"/>
    </row>
    <row r="451" spans="1:2" ht="15" customHeight="1">
      <c r="A451" s="112"/>
      <c r="B451" s="112"/>
    </row>
    <row r="452" spans="1:2" ht="15" customHeight="1">
      <c r="A452" s="112"/>
      <c r="B452" s="112"/>
    </row>
    <row r="453" spans="1:2" ht="15" customHeight="1">
      <c r="A453" s="112"/>
      <c r="B453" s="112"/>
    </row>
    <row r="454" spans="1:2" ht="15" customHeight="1">
      <c r="A454" s="112"/>
      <c r="B454" s="112"/>
    </row>
    <row r="455" spans="1:2" ht="15" customHeight="1">
      <c r="A455" s="112"/>
      <c r="B455" s="112"/>
    </row>
    <row r="456" spans="1:2" ht="15" customHeight="1">
      <c r="A456" s="112"/>
      <c r="B456" s="112"/>
    </row>
    <row r="457" spans="1:2" ht="15" customHeight="1">
      <c r="A457" s="112"/>
      <c r="B457" s="112"/>
    </row>
    <row r="458" spans="1:2" ht="15" customHeight="1">
      <c r="A458" s="112"/>
      <c r="B458" s="112"/>
    </row>
    <row r="459" spans="1:2" ht="15" customHeight="1">
      <c r="A459" s="112"/>
      <c r="B459" s="112"/>
    </row>
    <row r="460" spans="1:2" ht="15" customHeight="1">
      <c r="A460" s="112"/>
      <c r="B460" s="112"/>
    </row>
    <row r="461" spans="1:2" ht="15" customHeight="1">
      <c r="A461" s="112"/>
      <c r="B461" s="112"/>
    </row>
    <row r="462" spans="1:2" ht="15" customHeight="1">
      <c r="A462" s="112"/>
      <c r="B462" s="112"/>
    </row>
    <row r="463" spans="1:2" ht="15" customHeight="1">
      <c r="A463" s="112"/>
      <c r="B463" s="112"/>
    </row>
    <row r="464" spans="1:2" ht="15" customHeight="1">
      <c r="A464" s="112"/>
      <c r="B464" s="112"/>
    </row>
    <row r="465" spans="1:2" ht="15" customHeight="1">
      <c r="A465" s="112"/>
      <c r="B465" s="112"/>
    </row>
    <row r="466" spans="1:2" ht="15" customHeight="1">
      <c r="A466" s="112"/>
      <c r="B466" s="112"/>
    </row>
    <row r="467" spans="1:2" ht="15" customHeight="1">
      <c r="A467" s="112"/>
      <c r="B467" s="112"/>
    </row>
    <row r="468" spans="1:2" ht="15" customHeight="1">
      <c r="A468" s="112"/>
      <c r="B468" s="112"/>
    </row>
    <row r="469" spans="1:2" ht="15" customHeight="1">
      <c r="A469" s="112"/>
      <c r="B469" s="112"/>
    </row>
    <row r="470" spans="1:2" ht="15" customHeight="1">
      <c r="A470" s="112"/>
      <c r="B470" s="112"/>
    </row>
    <row r="471" spans="1:2" ht="15" customHeight="1">
      <c r="A471" s="112"/>
      <c r="B471" s="112"/>
    </row>
    <row r="472" spans="1:2" ht="15" customHeight="1">
      <c r="A472" s="112"/>
      <c r="B472" s="112"/>
    </row>
    <row r="473" spans="1:2" ht="15" customHeight="1">
      <c r="A473" s="112"/>
      <c r="B473" s="112"/>
    </row>
    <row r="474" spans="1:2" ht="15" customHeight="1">
      <c r="A474" s="112"/>
      <c r="B474" s="112"/>
    </row>
    <row r="475" spans="1:2" ht="15" customHeight="1">
      <c r="A475" s="112"/>
      <c r="B475" s="112"/>
    </row>
    <row r="476" spans="1:2" ht="15" customHeight="1">
      <c r="A476" s="112"/>
      <c r="B476" s="112"/>
    </row>
    <row r="477" spans="1:2" ht="15" customHeight="1">
      <c r="A477" s="112"/>
      <c r="B477" s="112"/>
    </row>
    <row r="478" spans="1:2" ht="15" customHeight="1">
      <c r="A478" s="112"/>
      <c r="B478" s="112"/>
    </row>
    <row r="479" spans="1:2" ht="15" customHeight="1">
      <c r="A479" s="112"/>
      <c r="B479" s="112"/>
    </row>
    <row r="480" spans="1:2" ht="15" customHeight="1">
      <c r="A480" s="112"/>
      <c r="B480" s="112"/>
    </row>
    <row r="481" spans="1:2" ht="15" customHeight="1">
      <c r="A481" s="112"/>
      <c r="B481" s="112"/>
    </row>
    <row r="482" spans="1:2" ht="15" customHeight="1">
      <c r="A482" s="112"/>
      <c r="B482" s="112"/>
    </row>
    <row r="483" spans="1:2" ht="15" customHeight="1">
      <c r="A483" s="112"/>
      <c r="B483" s="112"/>
    </row>
    <row r="484" spans="1:2" ht="15" customHeight="1">
      <c r="A484" s="112"/>
      <c r="B484" s="112"/>
    </row>
    <row r="485" spans="1:2" ht="15" customHeight="1">
      <c r="A485" s="112"/>
      <c r="B485" s="112"/>
    </row>
    <row r="486" spans="1:2" ht="15" customHeight="1">
      <c r="A486" s="112"/>
      <c r="B486" s="112"/>
    </row>
    <row r="487" spans="1:2" ht="15" customHeight="1">
      <c r="A487" s="112"/>
      <c r="B487" s="112"/>
    </row>
    <row r="488" spans="1:2" ht="15" customHeight="1">
      <c r="A488" s="112"/>
      <c r="B488" s="112"/>
    </row>
    <row r="489" spans="1:2" ht="15" customHeight="1">
      <c r="A489" s="112"/>
      <c r="B489" s="112"/>
    </row>
    <row r="490" spans="1:2" ht="15" customHeight="1">
      <c r="A490" s="112"/>
      <c r="B490" s="112"/>
    </row>
    <row r="491" spans="1:2" ht="15" customHeight="1">
      <c r="A491" s="112"/>
      <c r="B491" s="112"/>
    </row>
    <row r="492" spans="1:2" ht="15" customHeight="1">
      <c r="A492" s="112"/>
      <c r="B492" s="112"/>
    </row>
    <row r="493" spans="1:2" ht="15" customHeight="1">
      <c r="A493" s="112"/>
      <c r="B493" s="112"/>
    </row>
    <row r="494" spans="1:2" ht="15" customHeight="1">
      <c r="A494" s="112"/>
      <c r="B494" s="112"/>
    </row>
    <row r="495" spans="1:2" ht="15" customHeight="1">
      <c r="A495" s="112"/>
      <c r="B495" s="112"/>
    </row>
    <row r="496" spans="1:2" ht="15" customHeight="1">
      <c r="A496" s="112"/>
      <c r="B496" s="112"/>
    </row>
    <row r="497" spans="1:2" ht="15" customHeight="1">
      <c r="A497" s="112"/>
      <c r="B497" s="112"/>
    </row>
    <row r="498" spans="1:2" ht="15" customHeight="1">
      <c r="A498" s="112"/>
      <c r="B498" s="112"/>
    </row>
    <row r="499" spans="1:2" ht="15" customHeight="1">
      <c r="A499" s="112"/>
      <c r="B499" s="112"/>
    </row>
    <row r="500" spans="1:2" ht="15" customHeight="1">
      <c r="A500" s="112"/>
      <c r="B500" s="112"/>
    </row>
    <row r="501" spans="1:2" ht="15" customHeight="1">
      <c r="A501" s="112"/>
      <c r="B501" s="112"/>
    </row>
    <row r="502" spans="1:2" ht="15" customHeight="1">
      <c r="A502" s="112"/>
      <c r="B502" s="112"/>
    </row>
    <row r="503" spans="1:2" ht="15" customHeight="1">
      <c r="A503" s="112"/>
      <c r="B503" s="112"/>
    </row>
    <row r="504" spans="1:2" ht="15" customHeight="1">
      <c r="A504" s="112"/>
      <c r="B504" s="112"/>
    </row>
    <row r="505" spans="1:2" ht="15" customHeight="1">
      <c r="A505" s="112"/>
      <c r="B505" s="112"/>
    </row>
    <row r="506" spans="1:2" ht="15" customHeight="1">
      <c r="A506" s="112"/>
      <c r="B506" s="112"/>
    </row>
    <row r="507" spans="1:2" ht="15" customHeight="1">
      <c r="A507" s="112"/>
      <c r="B507" s="112"/>
    </row>
    <row r="508" spans="1:2" ht="15" customHeight="1">
      <c r="A508" s="112"/>
      <c r="B508" s="112"/>
    </row>
    <row r="509" spans="1:2" ht="15" customHeight="1">
      <c r="A509" s="112"/>
      <c r="B509" s="112"/>
    </row>
    <row r="510" spans="1:2" ht="15" customHeight="1">
      <c r="A510" s="112"/>
      <c r="B510" s="112"/>
    </row>
    <row r="511" spans="1:2" ht="15" customHeight="1">
      <c r="A511" s="112"/>
      <c r="B511" s="112"/>
    </row>
    <row r="512" spans="1:2" ht="15" customHeight="1">
      <c r="A512" s="112"/>
      <c r="B512" s="112"/>
    </row>
    <row r="513" spans="1:2" ht="15" customHeight="1">
      <c r="A513" s="112"/>
      <c r="B513" s="112"/>
    </row>
    <row r="514" spans="1:2" ht="15" customHeight="1">
      <c r="A514" s="112"/>
      <c r="B514" s="112"/>
    </row>
    <row r="515" spans="1:2" ht="15" customHeight="1">
      <c r="A515" s="112"/>
      <c r="B515" s="112"/>
    </row>
    <row r="516" spans="1:2" ht="15" customHeight="1">
      <c r="A516" s="112"/>
      <c r="B516" s="112"/>
    </row>
    <row r="517" spans="1:2" ht="15" customHeight="1">
      <c r="A517" s="112"/>
      <c r="B517" s="112"/>
    </row>
    <row r="518" spans="1:2" ht="15" customHeight="1">
      <c r="A518" s="112"/>
      <c r="B518" s="112"/>
    </row>
    <row r="519" spans="1:2" ht="15" customHeight="1">
      <c r="A519" s="112"/>
      <c r="B519" s="112"/>
    </row>
    <row r="520" spans="1:2" ht="15" customHeight="1">
      <c r="A520" s="112"/>
      <c r="B520" s="112"/>
    </row>
    <row r="521" spans="1:2" ht="15" customHeight="1">
      <c r="A521" s="112"/>
      <c r="B521" s="112"/>
    </row>
    <row r="522" spans="1:2" ht="15" customHeight="1">
      <c r="A522" s="112"/>
      <c r="B522" s="112"/>
    </row>
    <row r="523" spans="1:2" ht="15" customHeight="1">
      <c r="A523" s="112"/>
      <c r="B523" s="112"/>
    </row>
    <row r="524" spans="1:2" ht="15" customHeight="1">
      <c r="A524" s="112"/>
      <c r="B524" s="112"/>
    </row>
    <row r="525" spans="1:2" ht="15" customHeight="1">
      <c r="A525" s="112"/>
      <c r="B525" s="112"/>
    </row>
    <row r="526" spans="1:2" ht="15" customHeight="1">
      <c r="A526" s="112"/>
      <c r="B526" s="112"/>
    </row>
    <row r="527" spans="1:2" ht="15" customHeight="1">
      <c r="A527" s="112"/>
      <c r="B527" s="112"/>
    </row>
    <row r="528" spans="1:2" ht="15" customHeight="1">
      <c r="A528" s="112"/>
      <c r="B528" s="112"/>
    </row>
    <row r="529" spans="1:2" ht="15" customHeight="1">
      <c r="A529" s="112"/>
      <c r="B529" s="112"/>
    </row>
    <row r="530" spans="1:2" ht="15" customHeight="1">
      <c r="A530" s="112"/>
      <c r="B530" s="112"/>
    </row>
    <row r="531" spans="1:2" ht="15" customHeight="1">
      <c r="A531" s="112"/>
      <c r="B531" s="112"/>
    </row>
    <row r="532" spans="1:2" ht="15" customHeight="1">
      <c r="A532" s="112"/>
      <c r="B532" s="112"/>
    </row>
    <row r="533" spans="1:2" ht="15" customHeight="1">
      <c r="A533" s="112"/>
      <c r="B533" s="112"/>
    </row>
    <row r="534" spans="1:2" ht="15" customHeight="1">
      <c r="A534" s="112"/>
      <c r="B534" s="112"/>
    </row>
    <row r="535" spans="1:2" ht="15" customHeight="1">
      <c r="A535" s="112"/>
      <c r="B535" s="112"/>
    </row>
    <row r="536" spans="1:2" ht="15" customHeight="1">
      <c r="A536" s="112"/>
      <c r="B536" s="112"/>
    </row>
    <row r="537" spans="1:2" ht="15" customHeight="1">
      <c r="A537" s="112"/>
      <c r="B537" s="112"/>
    </row>
    <row r="538" spans="1:2" ht="15" customHeight="1">
      <c r="A538" s="112"/>
      <c r="B538" s="112"/>
    </row>
    <row r="539" spans="1:2" ht="15" customHeight="1">
      <c r="A539" s="112"/>
      <c r="B539" s="112"/>
    </row>
    <row r="540" spans="1:2" ht="15" customHeight="1">
      <c r="A540" s="112"/>
      <c r="B540" s="112"/>
    </row>
    <row r="541" spans="1:2" ht="15" customHeight="1">
      <c r="A541" s="112"/>
      <c r="B541" s="112"/>
    </row>
    <row r="542" spans="1:2" ht="15" customHeight="1">
      <c r="A542" s="112"/>
      <c r="B542" s="112"/>
    </row>
    <row r="543" spans="1:2" ht="15" customHeight="1">
      <c r="A543" s="112"/>
      <c r="B543" s="112"/>
    </row>
    <row r="544" spans="1:2" ht="15" customHeight="1">
      <c r="A544" s="112"/>
      <c r="B544" s="112"/>
    </row>
    <row r="545" spans="1:2" ht="15" customHeight="1">
      <c r="A545" s="112"/>
      <c r="B545" s="112"/>
    </row>
    <row r="546" spans="1:2" ht="15" customHeight="1">
      <c r="A546" s="112"/>
      <c r="B546" s="112"/>
    </row>
    <row r="547" spans="1:2" ht="15" customHeight="1">
      <c r="A547" s="112"/>
      <c r="B547" s="112"/>
    </row>
    <row r="548" spans="1:2" ht="15" customHeight="1">
      <c r="A548" s="112"/>
      <c r="B548" s="112"/>
    </row>
    <row r="549" spans="1:2" ht="15" customHeight="1">
      <c r="A549" s="112"/>
      <c r="B549" s="112"/>
    </row>
    <row r="550" spans="1:2" ht="15" customHeight="1">
      <c r="A550" s="112"/>
      <c r="B550" s="112"/>
    </row>
    <row r="551" spans="1:2" ht="15" customHeight="1">
      <c r="A551" s="112"/>
      <c r="B551" s="112"/>
    </row>
    <row r="552" spans="1:2" ht="15" customHeight="1">
      <c r="A552" s="112"/>
      <c r="B552" s="112"/>
    </row>
    <row r="553" spans="1:2" ht="15" customHeight="1">
      <c r="A553" s="112"/>
      <c r="B553" s="112"/>
    </row>
    <row r="554" spans="1:2" ht="15" customHeight="1">
      <c r="A554" s="112"/>
      <c r="B554" s="112"/>
    </row>
    <row r="555" spans="1:2" ht="15" customHeight="1">
      <c r="A555" s="112"/>
      <c r="B555" s="112"/>
    </row>
    <row r="556" spans="1:2" ht="15" customHeight="1">
      <c r="A556" s="112"/>
      <c r="B556" s="112"/>
    </row>
    <row r="557" spans="1:2" ht="15" customHeight="1">
      <c r="A557" s="112"/>
      <c r="B557" s="112"/>
    </row>
    <row r="558" spans="1:2" ht="15" customHeight="1">
      <c r="A558" s="112"/>
      <c r="B558" s="112"/>
    </row>
    <row r="559" spans="1:2" ht="15" customHeight="1">
      <c r="A559" s="112"/>
      <c r="B559" s="112"/>
    </row>
    <row r="560" spans="1:2" ht="15" customHeight="1">
      <c r="A560" s="112"/>
      <c r="B560" s="112"/>
    </row>
    <row r="561" spans="1:2" ht="15" customHeight="1">
      <c r="A561" s="112"/>
      <c r="B561" s="112"/>
    </row>
    <row r="562" spans="1:2" ht="15" customHeight="1">
      <c r="A562" s="112"/>
      <c r="B562" s="112"/>
    </row>
    <row r="563" spans="1:2" ht="15" customHeight="1">
      <c r="A563" s="112"/>
      <c r="B563" s="112"/>
    </row>
    <row r="564" spans="1:2" ht="15" customHeight="1">
      <c r="A564" s="112"/>
      <c r="B564" s="112"/>
    </row>
    <row r="565" spans="1:2" ht="15" customHeight="1">
      <c r="A565" s="112"/>
      <c r="B565" s="112"/>
    </row>
    <row r="566" spans="1:2" ht="15" customHeight="1">
      <c r="A566" s="112"/>
      <c r="B566" s="112"/>
    </row>
    <row r="567" spans="1:2" ht="15" customHeight="1">
      <c r="A567" s="112"/>
      <c r="B567" s="112"/>
    </row>
    <row r="568" spans="1:2" ht="15" customHeight="1">
      <c r="A568" s="112"/>
      <c r="B568" s="112"/>
    </row>
    <row r="569" spans="1:2" ht="15" customHeight="1">
      <c r="A569" s="112"/>
      <c r="B569" s="112"/>
    </row>
    <row r="570" spans="1:2" ht="15" customHeight="1">
      <c r="A570" s="112"/>
      <c r="B570" s="112"/>
    </row>
    <row r="571" spans="1:2" ht="15" customHeight="1">
      <c r="A571" s="112"/>
      <c r="B571" s="112"/>
    </row>
    <row r="572" spans="1:2" ht="15" customHeight="1">
      <c r="A572" s="112"/>
      <c r="B572" s="112"/>
    </row>
    <row r="573" spans="1:2" ht="15" customHeight="1">
      <c r="A573" s="112"/>
      <c r="B573" s="112"/>
    </row>
    <row r="574" spans="1:2" ht="15" customHeight="1">
      <c r="A574" s="112"/>
      <c r="B574" s="112"/>
    </row>
    <row r="575" spans="1:2" ht="15" customHeight="1">
      <c r="A575" s="112"/>
      <c r="B575" s="112"/>
    </row>
    <row r="576" spans="1:2" ht="15" customHeight="1">
      <c r="A576" s="112"/>
      <c r="B576" s="112"/>
    </row>
    <row r="577" spans="1:2" ht="15" customHeight="1">
      <c r="A577" s="112"/>
      <c r="B577" s="112"/>
    </row>
    <row r="578" spans="1:2" ht="15" customHeight="1">
      <c r="A578" s="112"/>
      <c r="B578" s="112"/>
    </row>
    <row r="579" spans="1:2" ht="15" customHeight="1">
      <c r="A579" s="112"/>
      <c r="B579" s="112"/>
    </row>
    <row r="580" spans="1:2" ht="15" customHeight="1">
      <c r="A580" s="112"/>
      <c r="B580" s="112"/>
    </row>
    <row r="581" spans="1:2" ht="15" customHeight="1">
      <c r="A581" s="112"/>
      <c r="B581" s="112"/>
    </row>
    <row r="582" spans="1:2" ht="15" customHeight="1">
      <c r="A582" s="112"/>
      <c r="B582" s="112"/>
    </row>
    <row r="583" spans="1:2" ht="15" customHeight="1">
      <c r="A583" s="112"/>
      <c r="B583" s="112"/>
    </row>
    <row r="584" spans="1:2" ht="15" customHeight="1">
      <c r="A584" s="112"/>
      <c r="B584" s="112"/>
    </row>
    <row r="585" spans="1:2" ht="15" customHeight="1">
      <c r="A585" s="112"/>
      <c r="B585" s="112"/>
    </row>
    <row r="586" spans="1:2" ht="15" customHeight="1">
      <c r="A586" s="112"/>
      <c r="B586" s="112"/>
    </row>
    <row r="587" spans="1:2" ht="15" customHeight="1">
      <c r="A587" s="112"/>
      <c r="B587" s="112"/>
    </row>
    <row r="588" spans="1:2" ht="15" customHeight="1">
      <c r="A588" s="112"/>
      <c r="B588" s="112"/>
    </row>
    <row r="589" spans="1:2" ht="15" customHeight="1">
      <c r="A589" s="112"/>
      <c r="B589" s="112"/>
    </row>
    <row r="590" spans="1:2" ht="15" customHeight="1">
      <c r="A590" s="112"/>
      <c r="B590" s="112"/>
    </row>
    <row r="591" spans="1:2" ht="15" customHeight="1">
      <c r="A591" s="112"/>
      <c r="B591" s="112"/>
    </row>
    <row r="592" spans="1:2" ht="15" customHeight="1">
      <c r="A592" s="112"/>
      <c r="B592" s="112"/>
    </row>
    <row r="593" spans="1:2" ht="15" customHeight="1">
      <c r="A593" s="112"/>
      <c r="B593" s="112"/>
    </row>
    <row r="594" spans="1:2" ht="15" customHeight="1">
      <c r="A594" s="112"/>
      <c r="B594" s="112"/>
    </row>
    <row r="595" spans="1:2" ht="15" customHeight="1">
      <c r="A595" s="112"/>
      <c r="B595" s="112"/>
    </row>
    <row r="596" spans="1:2" ht="15" customHeight="1">
      <c r="A596" s="112"/>
      <c r="B596" s="112"/>
    </row>
    <row r="597" spans="1:2" ht="15" customHeight="1">
      <c r="A597" s="112"/>
      <c r="B597" s="112"/>
    </row>
    <row r="598" spans="1:2" ht="15" customHeight="1">
      <c r="A598" s="112"/>
      <c r="B598" s="112"/>
    </row>
    <row r="599" spans="1:2" ht="15" customHeight="1">
      <c r="A599" s="112"/>
      <c r="B599" s="112"/>
    </row>
    <row r="600" spans="1:2" ht="15" customHeight="1">
      <c r="A600" s="112"/>
      <c r="B600" s="112"/>
    </row>
    <row r="601" spans="1:2" ht="15" customHeight="1">
      <c r="A601" s="112"/>
      <c r="B601" s="112"/>
    </row>
    <row r="602" spans="1:2" ht="15" customHeight="1">
      <c r="A602" s="112"/>
      <c r="B602" s="112"/>
    </row>
    <row r="603" spans="1:2" ht="15" customHeight="1">
      <c r="A603" s="112"/>
      <c r="B603" s="112"/>
    </row>
    <row r="604" spans="1:2" ht="15" customHeight="1">
      <c r="A604" s="112"/>
      <c r="B604" s="112"/>
    </row>
    <row r="605" spans="1:2" ht="15" customHeight="1">
      <c r="A605" s="112"/>
      <c r="B605" s="112"/>
    </row>
    <row r="606" spans="1:2" ht="15" customHeight="1">
      <c r="A606" s="112"/>
      <c r="B606" s="112"/>
    </row>
    <row r="607" spans="1:2" ht="15" customHeight="1">
      <c r="A607" s="112"/>
      <c r="B607" s="112"/>
    </row>
    <row r="608" spans="1:2" ht="15" customHeight="1">
      <c r="A608" s="112"/>
      <c r="B608" s="112"/>
    </row>
    <row r="609" spans="1:2" ht="15" customHeight="1">
      <c r="A609" s="112"/>
      <c r="B609" s="112"/>
    </row>
    <row r="610" spans="1:2" ht="15" customHeight="1">
      <c r="A610" s="112"/>
      <c r="B610" s="112"/>
    </row>
    <row r="611" spans="1:2" ht="15" customHeight="1">
      <c r="A611" s="112"/>
      <c r="B611" s="112"/>
    </row>
    <row r="612" spans="1:2" ht="15" customHeight="1">
      <c r="A612" s="112"/>
      <c r="B612" s="112"/>
    </row>
    <row r="613" spans="1:2" ht="15" customHeight="1">
      <c r="A613" s="112"/>
      <c r="B613" s="112"/>
    </row>
    <row r="614" spans="1:2" ht="15" customHeight="1">
      <c r="A614" s="112"/>
      <c r="B614" s="112"/>
    </row>
    <row r="615" spans="1:2" ht="15" customHeight="1">
      <c r="A615" s="112"/>
      <c r="B615" s="112"/>
    </row>
    <row r="616" spans="1:2" ht="15" customHeight="1">
      <c r="A616" s="112"/>
      <c r="B616" s="112"/>
    </row>
    <row r="617" spans="1:2" ht="15" customHeight="1">
      <c r="A617" s="112"/>
      <c r="B617" s="112"/>
    </row>
    <row r="618" spans="1:2" ht="15" customHeight="1">
      <c r="A618" s="112"/>
      <c r="B618" s="112"/>
    </row>
    <row r="619" spans="1:2" ht="15" customHeight="1">
      <c r="A619" s="112"/>
      <c r="B619" s="112"/>
    </row>
    <row r="620" spans="1:2" ht="15" customHeight="1">
      <c r="A620" s="112"/>
      <c r="B620" s="112"/>
    </row>
    <row r="621" spans="1:2" ht="15" customHeight="1">
      <c r="A621" s="112"/>
      <c r="B621" s="112"/>
    </row>
    <row r="622" spans="1:2" ht="15" customHeight="1">
      <c r="A622" s="112"/>
      <c r="B622" s="112"/>
    </row>
    <row r="623" spans="1:2" ht="15" customHeight="1">
      <c r="A623" s="112"/>
      <c r="B623" s="112"/>
    </row>
    <row r="624" spans="1:2" ht="15" customHeight="1">
      <c r="A624" s="112"/>
      <c r="B624" s="112"/>
    </row>
    <row r="625" spans="1:2" ht="15" customHeight="1">
      <c r="A625" s="112"/>
      <c r="B625" s="112"/>
    </row>
    <row r="626" spans="1:2" ht="15" customHeight="1">
      <c r="A626" s="112"/>
      <c r="B626" s="112"/>
    </row>
    <row r="627" spans="1:2" ht="15" customHeight="1">
      <c r="A627" s="112"/>
      <c r="B627" s="112"/>
    </row>
    <row r="628" spans="1:2" ht="15" customHeight="1">
      <c r="A628" s="112"/>
      <c r="B628" s="112"/>
    </row>
    <row r="629" spans="1:2" ht="15" customHeight="1">
      <c r="A629" s="112"/>
      <c r="B629" s="112"/>
    </row>
    <row r="630" spans="1:2" ht="15" customHeight="1">
      <c r="A630" s="112"/>
      <c r="B630" s="112"/>
    </row>
    <row r="631" spans="1:2" ht="15" customHeight="1">
      <c r="A631" s="112"/>
      <c r="B631" s="112"/>
    </row>
    <row r="632" spans="1:2" ht="15" customHeight="1">
      <c r="A632" s="112"/>
      <c r="B632" s="112"/>
    </row>
    <row r="633" spans="1:2" ht="15" customHeight="1">
      <c r="A633" s="112"/>
      <c r="B633" s="112"/>
    </row>
    <row r="634" spans="1:2" ht="15" customHeight="1">
      <c r="A634" s="112"/>
      <c r="B634" s="112"/>
    </row>
    <row r="635" spans="1:2" ht="15" customHeight="1">
      <c r="A635" s="112"/>
      <c r="B635" s="112"/>
    </row>
    <row r="636" spans="1:2" ht="15" customHeight="1">
      <c r="A636" s="112"/>
      <c r="B636" s="112"/>
    </row>
    <row r="637" spans="1:2" ht="15" customHeight="1">
      <c r="A637" s="112"/>
      <c r="B637" s="112"/>
    </row>
    <row r="638" spans="1:2" ht="15" customHeight="1">
      <c r="A638" s="112"/>
      <c r="B638" s="112"/>
    </row>
    <row r="639" spans="1:2" ht="15" customHeight="1">
      <c r="A639" s="112"/>
      <c r="B639" s="112"/>
    </row>
    <row r="640" spans="1:2" ht="15" customHeight="1">
      <c r="A640" s="112"/>
      <c r="B640" s="112"/>
    </row>
    <row r="641" spans="1:2" ht="15" customHeight="1">
      <c r="A641" s="112"/>
      <c r="B641" s="112"/>
    </row>
    <row r="642" spans="1:2" ht="15" customHeight="1">
      <c r="A642" s="112"/>
      <c r="B642" s="112"/>
    </row>
    <row r="643" spans="1:2" ht="15" customHeight="1">
      <c r="A643" s="112"/>
      <c r="B643" s="112"/>
    </row>
    <row r="644" spans="1:2" ht="15" customHeight="1">
      <c r="A644" s="112"/>
      <c r="B644" s="112"/>
    </row>
    <row r="645" spans="1:2" ht="15" customHeight="1">
      <c r="A645" s="112"/>
      <c r="B645" s="112"/>
    </row>
    <row r="646" spans="1:2" ht="15" customHeight="1">
      <c r="A646" s="112"/>
      <c r="B646" s="112"/>
    </row>
    <row r="647" spans="1:2" ht="15" customHeight="1">
      <c r="A647" s="112"/>
      <c r="B647" s="112"/>
    </row>
    <row r="648" spans="1:2" ht="15" customHeight="1">
      <c r="A648" s="112"/>
      <c r="B648" s="112"/>
    </row>
    <row r="649" spans="1:2" ht="15" customHeight="1">
      <c r="A649" s="112"/>
      <c r="B649" s="112"/>
    </row>
    <row r="650" spans="1:2" ht="15" customHeight="1">
      <c r="A650" s="112"/>
      <c r="B650" s="112"/>
    </row>
    <row r="651" spans="1:2" ht="15" customHeight="1">
      <c r="A651" s="112"/>
      <c r="B651" s="112"/>
    </row>
    <row r="652" spans="1:2" ht="15" customHeight="1">
      <c r="A652" s="112"/>
      <c r="B652" s="112"/>
    </row>
    <row r="653" spans="1:2" ht="15" customHeight="1">
      <c r="A653" s="112"/>
      <c r="B653" s="112"/>
    </row>
    <row r="654" spans="1:2" ht="15" customHeight="1">
      <c r="A654" s="112"/>
      <c r="B654" s="112"/>
    </row>
    <row r="655" spans="1:2" ht="15" customHeight="1">
      <c r="A655" s="112"/>
      <c r="B655" s="112"/>
    </row>
    <row r="656" spans="1:2" ht="15" customHeight="1">
      <c r="A656" s="112"/>
      <c r="B656" s="112"/>
    </row>
    <row r="657" spans="1:2" ht="15" customHeight="1">
      <c r="A657" s="112"/>
      <c r="B657" s="112"/>
    </row>
    <row r="658" spans="1:2" ht="15" customHeight="1">
      <c r="A658" s="112"/>
      <c r="B658" s="112"/>
    </row>
    <row r="659" spans="1:2" ht="15" customHeight="1">
      <c r="A659" s="112"/>
      <c r="B659" s="112"/>
    </row>
    <row r="660" spans="1:2" ht="15" customHeight="1">
      <c r="A660" s="112"/>
      <c r="B660" s="112"/>
    </row>
    <row r="661" spans="1:2" ht="15" customHeight="1">
      <c r="A661" s="112"/>
      <c r="B661" s="112"/>
    </row>
    <row r="662" spans="1:2" ht="15" customHeight="1">
      <c r="A662" s="112"/>
      <c r="B662" s="112"/>
    </row>
    <row r="663" spans="1:2" ht="15" customHeight="1">
      <c r="A663" s="112"/>
      <c r="B663" s="112"/>
    </row>
    <row r="664" spans="1:2" ht="15" customHeight="1">
      <c r="A664" s="112"/>
      <c r="B664" s="112"/>
    </row>
    <row r="665" spans="1:2" ht="15" customHeight="1">
      <c r="A665" s="112"/>
      <c r="B665" s="112"/>
    </row>
    <row r="666" spans="1:2" ht="15" customHeight="1">
      <c r="A666" s="112"/>
      <c r="B666" s="112"/>
    </row>
    <row r="667" spans="1:2" ht="15" customHeight="1">
      <c r="A667" s="112"/>
      <c r="B667" s="112"/>
    </row>
    <row r="668" spans="1:2" ht="15" customHeight="1">
      <c r="A668" s="112"/>
      <c r="B668" s="112"/>
    </row>
    <row r="669" spans="1:2" ht="15" customHeight="1">
      <c r="A669" s="112"/>
      <c r="B669" s="112"/>
    </row>
    <row r="670" spans="1:2" ht="15" customHeight="1">
      <c r="A670" s="112"/>
      <c r="B670" s="112"/>
    </row>
    <row r="671" spans="1:2" ht="15" customHeight="1">
      <c r="A671" s="112"/>
      <c r="B671" s="112"/>
    </row>
    <row r="672" spans="1:2" ht="15" customHeight="1">
      <c r="A672" s="112"/>
      <c r="B672" s="112"/>
    </row>
    <row r="673" spans="1:2" ht="15" customHeight="1">
      <c r="A673" s="112"/>
      <c r="B673" s="112"/>
    </row>
    <row r="674" spans="1:2" ht="15" customHeight="1">
      <c r="A674" s="112"/>
      <c r="B674" s="112"/>
    </row>
    <row r="675" spans="1:2" ht="15" customHeight="1">
      <c r="A675" s="112"/>
      <c r="B675" s="112"/>
    </row>
    <row r="676" spans="1:2" ht="15" customHeight="1">
      <c r="A676" s="112"/>
      <c r="B676" s="112"/>
    </row>
    <row r="677" spans="1:2" ht="15" customHeight="1">
      <c r="A677" s="112"/>
      <c r="B677" s="112"/>
    </row>
    <row r="678" spans="1:2" ht="15" customHeight="1">
      <c r="A678" s="112"/>
      <c r="B678" s="112"/>
    </row>
    <row r="679" spans="1:2" ht="15" customHeight="1">
      <c r="A679" s="112"/>
      <c r="B679" s="112"/>
    </row>
    <row r="680" spans="1:2" ht="15" customHeight="1">
      <c r="A680" s="112"/>
      <c r="B680" s="112"/>
    </row>
    <row r="681" spans="1:2" ht="15" customHeight="1">
      <c r="A681" s="112"/>
      <c r="B681" s="112"/>
    </row>
    <row r="682" spans="1:2" ht="15" customHeight="1">
      <c r="A682" s="112"/>
      <c r="B682" s="112"/>
    </row>
    <row r="683" spans="1:2" ht="15" customHeight="1">
      <c r="A683" s="112"/>
      <c r="B683" s="112"/>
    </row>
    <row r="684" spans="1:2" ht="15" customHeight="1">
      <c r="A684" s="112"/>
      <c r="B684" s="112"/>
    </row>
    <row r="685" spans="1:2" ht="15" customHeight="1">
      <c r="A685" s="112"/>
      <c r="B685" s="112"/>
    </row>
    <row r="686" spans="1:2" ht="15" customHeight="1">
      <c r="A686" s="112"/>
      <c r="B686" s="112"/>
    </row>
    <row r="687" spans="1:2" ht="15" customHeight="1">
      <c r="A687" s="112"/>
      <c r="B687" s="112"/>
    </row>
    <row r="688" spans="1:2" ht="15" customHeight="1">
      <c r="A688" s="112"/>
      <c r="B688" s="112"/>
    </row>
    <row r="689" spans="1:2" ht="15" customHeight="1">
      <c r="A689" s="112"/>
      <c r="B689" s="112"/>
    </row>
    <row r="690" spans="1:2" ht="15" customHeight="1">
      <c r="A690" s="112"/>
      <c r="B690" s="112"/>
    </row>
    <row r="691" spans="1:2" ht="15" customHeight="1">
      <c r="A691" s="112"/>
      <c r="B691" s="112"/>
    </row>
    <row r="692" spans="1:2" ht="15" customHeight="1">
      <c r="A692" s="112"/>
      <c r="B692" s="112"/>
    </row>
    <row r="693" spans="1:2" ht="15" customHeight="1">
      <c r="A693" s="112"/>
      <c r="B693" s="112"/>
    </row>
    <row r="694" spans="1:2" ht="15" customHeight="1">
      <c r="A694" s="112"/>
      <c r="B694" s="112"/>
    </row>
    <row r="695" spans="1:2" ht="15" customHeight="1">
      <c r="A695" s="112"/>
      <c r="B695" s="112"/>
    </row>
    <row r="696" spans="1:2" ht="15" customHeight="1">
      <c r="A696" s="112"/>
      <c r="B696" s="112"/>
    </row>
    <row r="697" spans="1:2" ht="15" customHeight="1">
      <c r="A697" s="112"/>
      <c r="B697" s="112"/>
    </row>
    <row r="698" spans="1:2" ht="15" customHeight="1">
      <c r="A698" s="112"/>
      <c r="B698" s="112"/>
    </row>
    <row r="699" spans="1:2" ht="15" customHeight="1">
      <c r="A699" s="112"/>
      <c r="B699" s="112"/>
    </row>
    <row r="700" spans="1:2" ht="15" customHeight="1">
      <c r="A700" s="112"/>
      <c r="B700" s="112"/>
    </row>
    <row r="701" spans="1:2" ht="15" customHeight="1">
      <c r="A701" s="112"/>
      <c r="B701" s="112"/>
    </row>
    <row r="702" spans="1:2" ht="15" customHeight="1">
      <c r="A702" s="112"/>
      <c r="B702" s="112"/>
    </row>
    <row r="703" spans="1:2" ht="15" customHeight="1">
      <c r="A703" s="112"/>
      <c r="B703" s="112"/>
    </row>
    <row r="704" spans="1:2" ht="15" customHeight="1">
      <c r="A704" s="112"/>
      <c r="B704" s="112"/>
    </row>
    <row r="705" spans="1:2" ht="15" customHeight="1">
      <c r="A705" s="112"/>
      <c r="B705" s="112"/>
    </row>
    <row r="706" spans="1:2" ht="15" customHeight="1">
      <c r="A706" s="112"/>
      <c r="B706" s="112"/>
    </row>
    <row r="707" spans="1:2" ht="15" customHeight="1">
      <c r="A707" s="112"/>
      <c r="B707" s="112"/>
    </row>
    <row r="708" spans="1:2" ht="15" customHeight="1">
      <c r="A708" s="112"/>
      <c r="B708" s="112"/>
    </row>
    <row r="709" spans="1:2" ht="15" customHeight="1">
      <c r="A709" s="112"/>
      <c r="B709" s="112"/>
    </row>
    <row r="710" spans="1:2" ht="15" customHeight="1">
      <c r="A710" s="112"/>
      <c r="B710" s="112"/>
    </row>
    <row r="711" spans="1:2" ht="15" customHeight="1">
      <c r="A711" s="112"/>
      <c r="B711" s="112"/>
    </row>
    <row r="712" spans="1:2" ht="15" customHeight="1">
      <c r="A712" s="112"/>
      <c r="B712" s="112"/>
    </row>
    <row r="713" spans="1:2" ht="15" customHeight="1">
      <c r="A713" s="112"/>
      <c r="B713" s="112"/>
    </row>
    <row r="714" spans="1:2" ht="15" customHeight="1">
      <c r="A714" s="112"/>
      <c r="B714" s="112"/>
    </row>
    <row r="715" spans="1:2" ht="15" customHeight="1">
      <c r="A715" s="112"/>
      <c r="B715" s="112"/>
    </row>
    <row r="716" spans="1:2" ht="15" customHeight="1">
      <c r="A716" s="112"/>
      <c r="B716" s="112"/>
    </row>
    <row r="717" spans="1:2" ht="15" customHeight="1">
      <c r="A717" s="112"/>
      <c r="B717" s="112"/>
    </row>
    <row r="718" spans="1:2" ht="15" customHeight="1">
      <c r="A718" s="112"/>
      <c r="B718" s="112"/>
    </row>
    <row r="719" spans="1:2" ht="15" customHeight="1">
      <c r="A719" s="112"/>
      <c r="B719" s="112"/>
    </row>
    <row r="720" spans="1:2" ht="15" customHeight="1">
      <c r="A720" s="112"/>
      <c r="B720" s="112"/>
    </row>
    <row r="721" spans="1:2" ht="15" customHeight="1">
      <c r="A721" s="112"/>
      <c r="B721" s="112"/>
    </row>
    <row r="722" spans="1:2" ht="15" customHeight="1">
      <c r="A722" s="112"/>
      <c r="B722" s="112"/>
    </row>
    <row r="723" spans="1:2" ht="15" customHeight="1">
      <c r="A723" s="112"/>
      <c r="B723" s="112"/>
    </row>
    <row r="724" spans="1:2" ht="15" customHeight="1">
      <c r="A724" s="112"/>
      <c r="B724" s="112"/>
    </row>
    <row r="725" spans="1:2" ht="15" customHeight="1">
      <c r="A725" s="112"/>
      <c r="B725" s="112"/>
    </row>
    <row r="726" spans="1:2" ht="15" customHeight="1">
      <c r="A726" s="112"/>
      <c r="B726" s="112"/>
    </row>
    <row r="727" spans="1:2" ht="15" customHeight="1">
      <c r="A727" s="112"/>
      <c r="B727" s="112"/>
    </row>
    <row r="728" spans="1:2" ht="15" customHeight="1">
      <c r="A728" s="112"/>
      <c r="B728" s="112"/>
    </row>
    <row r="729" spans="1:2" ht="15" customHeight="1">
      <c r="A729" s="112"/>
      <c r="B729" s="112"/>
    </row>
    <row r="730" spans="1:2" ht="15" customHeight="1">
      <c r="A730" s="112"/>
      <c r="B730" s="112"/>
    </row>
    <row r="731" spans="1:2" ht="15" customHeight="1">
      <c r="A731" s="112"/>
      <c r="B731" s="112"/>
    </row>
    <row r="732" spans="1:2" ht="15" customHeight="1">
      <c r="A732" s="112"/>
      <c r="B732" s="112"/>
    </row>
    <row r="733" spans="1:2" ht="15" customHeight="1">
      <c r="A733" s="112"/>
      <c r="B733" s="112"/>
    </row>
    <row r="734" spans="1:2" ht="15" customHeight="1">
      <c r="A734" s="112"/>
      <c r="B734" s="112"/>
    </row>
    <row r="735" spans="1:2" ht="15" customHeight="1">
      <c r="A735" s="112"/>
      <c r="B735" s="112"/>
    </row>
    <row r="736" spans="1:2" ht="15" customHeight="1">
      <c r="A736" s="112"/>
      <c r="B736" s="112"/>
    </row>
    <row r="737" spans="1:2" ht="15" customHeight="1">
      <c r="A737" s="112"/>
      <c r="B737" s="112"/>
    </row>
    <row r="738" spans="1:2" ht="15" customHeight="1">
      <c r="A738" s="112"/>
      <c r="B738" s="112"/>
    </row>
    <row r="739" spans="1:2" ht="15" customHeight="1">
      <c r="A739" s="112"/>
      <c r="B739" s="112"/>
    </row>
    <row r="740" spans="1:2" ht="15" customHeight="1">
      <c r="A740" s="112"/>
      <c r="B740" s="112"/>
    </row>
    <row r="741" spans="1:2" ht="15" customHeight="1">
      <c r="A741" s="112"/>
      <c r="B741" s="112"/>
    </row>
    <row r="742" spans="1:2" ht="15" customHeight="1">
      <c r="A742" s="112"/>
      <c r="B742" s="112"/>
    </row>
    <row r="743" spans="1:2" ht="15" customHeight="1">
      <c r="A743" s="112"/>
      <c r="B743" s="112"/>
    </row>
    <row r="744" spans="1:2" ht="15" customHeight="1">
      <c r="A744" s="112"/>
      <c r="B744" s="112"/>
    </row>
    <row r="745" spans="1:2" ht="15" customHeight="1">
      <c r="A745" s="112"/>
      <c r="B745" s="112"/>
    </row>
    <row r="746" spans="1:2" ht="15" customHeight="1">
      <c r="A746" s="112"/>
      <c r="B746" s="112"/>
    </row>
    <row r="747" spans="1:2" ht="15" customHeight="1">
      <c r="A747" s="112"/>
      <c r="B747" s="112"/>
    </row>
    <row r="748" spans="1:2" ht="15" customHeight="1">
      <c r="A748" s="112"/>
      <c r="B748" s="112"/>
    </row>
    <row r="749" spans="1:2" ht="15" customHeight="1">
      <c r="A749" s="112"/>
      <c r="B749" s="112"/>
    </row>
    <row r="750" spans="1:2" ht="15" customHeight="1">
      <c r="A750" s="112"/>
      <c r="B750" s="112"/>
    </row>
    <row r="751" spans="1:2" ht="15" customHeight="1">
      <c r="A751" s="112"/>
      <c r="B751" s="112"/>
    </row>
    <row r="752" spans="1:2" ht="15" customHeight="1">
      <c r="A752" s="112"/>
      <c r="B752" s="112"/>
    </row>
    <row r="753" spans="1:2" ht="15" customHeight="1">
      <c r="A753" s="112"/>
      <c r="B753" s="112"/>
    </row>
    <row r="754" spans="1:2" ht="15" customHeight="1">
      <c r="A754" s="112"/>
      <c r="B754" s="112"/>
    </row>
    <row r="755" spans="1:2" ht="15" customHeight="1">
      <c r="A755" s="112"/>
      <c r="B755" s="112"/>
    </row>
    <row r="756" spans="1:2" ht="15" customHeight="1">
      <c r="A756" s="112"/>
      <c r="B756" s="112"/>
    </row>
    <row r="757" spans="1:2" ht="15" customHeight="1">
      <c r="A757" s="112"/>
      <c r="B757" s="112"/>
    </row>
    <row r="758" spans="1:2" ht="15" customHeight="1">
      <c r="A758" s="112"/>
      <c r="B758" s="112"/>
    </row>
    <row r="759" spans="1:2" ht="15" customHeight="1">
      <c r="A759" s="112"/>
      <c r="B759" s="112"/>
    </row>
    <row r="760" spans="1:2" ht="15" customHeight="1">
      <c r="A760" s="112"/>
      <c r="B760" s="112"/>
    </row>
    <row r="761" spans="1:2" ht="15" customHeight="1">
      <c r="A761" s="112"/>
      <c r="B761" s="112"/>
    </row>
    <row r="762" spans="1:2" ht="15" customHeight="1">
      <c r="A762" s="112"/>
      <c r="B762" s="112"/>
    </row>
    <row r="763" spans="1:2" ht="15" customHeight="1">
      <c r="A763" s="112"/>
      <c r="B763" s="112"/>
    </row>
    <row r="764" spans="1:2" ht="15" customHeight="1">
      <c r="A764" s="112"/>
      <c r="B764" s="112"/>
    </row>
    <row r="765" spans="1:2" ht="15" customHeight="1">
      <c r="A765" s="112"/>
      <c r="B765" s="112"/>
    </row>
    <row r="766" spans="1:2" ht="15" customHeight="1">
      <c r="A766" s="112"/>
      <c r="B766" s="112"/>
    </row>
    <row r="767" spans="1:2" ht="15" customHeight="1">
      <c r="A767" s="112"/>
      <c r="B767" s="112"/>
    </row>
    <row r="768" spans="1:2" ht="15" customHeight="1">
      <c r="A768" s="112"/>
      <c r="B768" s="112"/>
    </row>
    <row r="769" spans="1:2" ht="15" customHeight="1">
      <c r="A769" s="112"/>
      <c r="B769" s="112"/>
    </row>
    <row r="770" spans="1:2" ht="15" customHeight="1">
      <c r="A770" s="112"/>
      <c r="B770" s="112"/>
    </row>
    <row r="771" spans="1:2" ht="15" customHeight="1">
      <c r="A771" s="112"/>
      <c r="B771" s="112"/>
    </row>
    <row r="772" spans="1:2" ht="15" customHeight="1">
      <c r="A772" s="112"/>
      <c r="B772" s="112"/>
    </row>
    <row r="773" spans="1:2" ht="15" customHeight="1">
      <c r="A773" s="112"/>
      <c r="B773" s="112"/>
    </row>
    <row r="774" spans="1:2" ht="15" customHeight="1">
      <c r="A774" s="112"/>
      <c r="B774" s="112"/>
    </row>
    <row r="775" spans="1:2" ht="15" customHeight="1">
      <c r="A775" s="112"/>
      <c r="B775" s="112"/>
    </row>
    <row r="776" spans="1:2" ht="15" customHeight="1">
      <c r="A776" s="112"/>
      <c r="B776" s="112"/>
    </row>
    <row r="777" spans="1:2" ht="15" customHeight="1">
      <c r="A777" s="112"/>
      <c r="B777" s="112"/>
    </row>
    <row r="778" spans="1:2" ht="15" customHeight="1">
      <c r="A778" s="112"/>
      <c r="B778" s="112"/>
    </row>
    <row r="779" spans="1:2" ht="15" customHeight="1">
      <c r="A779" s="112"/>
      <c r="B779" s="112"/>
    </row>
    <row r="780" spans="1:2" ht="15" customHeight="1">
      <c r="A780" s="112"/>
      <c r="B780" s="112"/>
    </row>
    <row r="781" spans="1:2" ht="15" customHeight="1">
      <c r="A781" s="112"/>
      <c r="B781" s="112"/>
    </row>
    <row r="782" spans="1:2" ht="15" customHeight="1">
      <c r="A782" s="112"/>
      <c r="B782" s="112"/>
    </row>
    <row r="783" spans="1:2" ht="15" customHeight="1">
      <c r="A783" s="112"/>
      <c r="B783" s="112"/>
    </row>
    <row r="784" spans="1:2" ht="15" customHeight="1">
      <c r="A784" s="112"/>
      <c r="B784" s="112"/>
    </row>
    <row r="785" spans="1:2" ht="15" customHeight="1">
      <c r="A785" s="112"/>
      <c r="B785" s="112"/>
    </row>
    <row r="786" spans="1:2" ht="15" customHeight="1">
      <c r="A786" s="112"/>
      <c r="B786" s="112"/>
    </row>
    <row r="787" spans="1:2" ht="15" customHeight="1">
      <c r="A787" s="112"/>
      <c r="B787" s="112"/>
    </row>
    <row r="788" spans="1:2" ht="15" customHeight="1">
      <c r="A788" s="112"/>
      <c r="B788" s="112"/>
    </row>
    <row r="789" spans="1:2" ht="15" customHeight="1">
      <c r="A789" s="112"/>
      <c r="B789" s="112"/>
    </row>
    <row r="790" spans="1:2" ht="15" customHeight="1">
      <c r="A790" s="112"/>
      <c r="B790" s="112"/>
    </row>
    <row r="791" spans="1:2" ht="15" customHeight="1">
      <c r="A791" s="112"/>
      <c r="B791" s="112"/>
    </row>
    <row r="792" spans="1:2" ht="15" customHeight="1">
      <c r="A792" s="112"/>
      <c r="B792" s="112"/>
    </row>
    <row r="793" spans="1:2" ht="15" customHeight="1">
      <c r="A793" s="112"/>
      <c r="B793" s="112"/>
    </row>
    <row r="794" spans="1:2" ht="15" customHeight="1">
      <c r="A794" s="112"/>
      <c r="B794" s="112"/>
    </row>
    <row r="795" spans="1:2" ht="15" customHeight="1">
      <c r="A795" s="112"/>
      <c r="B795" s="112"/>
    </row>
    <row r="796" spans="1:2" ht="15" customHeight="1">
      <c r="A796" s="112"/>
      <c r="B796" s="112"/>
    </row>
    <row r="797" spans="1:2" ht="15" customHeight="1">
      <c r="A797" s="112"/>
      <c r="B797" s="112"/>
    </row>
    <row r="798" spans="1:2" ht="15" customHeight="1">
      <c r="A798" s="112"/>
      <c r="B798" s="112"/>
    </row>
    <row r="799" spans="1:2" ht="15" customHeight="1">
      <c r="A799" s="112"/>
      <c r="B799" s="112"/>
    </row>
    <row r="800" spans="1:2" ht="15" customHeight="1">
      <c r="A800" s="112"/>
      <c r="B800" s="112"/>
    </row>
    <row r="801" spans="1:2" ht="15" customHeight="1">
      <c r="A801" s="112"/>
      <c r="B801" s="112"/>
    </row>
    <row r="802" spans="1:2" ht="15" customHeight="1">
      <c r="A802" s="112"/>
      <c r="B802" s="112"/>
    </row>
    <row r="803" spans="1:2" ht="15" customHeight="1">
      <c r="A803" s="112"/>
      <c r="B803" s="112"/>
    </row>
    <row r="804" spans="1:2" ht="15" customHeight="1">
      <c r="A804" s="112"/>
      <c r="B804" s="112"/>
    </row>
    <row r="805" spans="1:2" ht="15" customHeight="1">
      <c r="A805" s="112"/>
      <c r="B805" s="112"/>
    </row>
    <row r="806" spans="1:2" ht="15" customHeight="1">
      <c r="A806" s="112"/>
      <c r="B806" s="112"/>
    </row>
    <row r="807" spans="1:2" ht="15" customHeight="1">
      <c r="A807" s="112"/>
      <c r="B807" s="112"/>
    </row>
    <row r="808" spans="1:2" ht="15" customHeight="1">
      <c r="A808" s="112"/>
      <c r="B808" s="112"/>
    </row>
    <row r="809" spans="1:2" ht="15" customHeight="1">
      <c r="A809" s="112"/>
      <c r="B809" s="112"/>
    </row>
    <row r="810" spans="1:2" ht="15" customHeight="1">
      <c r="A810" s="112"/>
      <c r="B810" s="112"/>
    </row>
    <row r="811" spans="1:2" ht="15" customHeight="1">
      <c r="A811" s="112"/>
      <c r="B811" s="112"/>
    </row>
    <row r="812" spans="1:2" ht="15" customHeight="1">
      <c r="A812" s="112"/>
      <c r="B812" s="112"/>
    </row>
    <row r="813" spans="1:2" ht="15" customHeight="1">
      <c r="A813" s="112"/>
      <c r="B813" s="112"/>
    </row>
    <row r="814" spans="1:2" ht="15" customHeight="1">
      <c r="A814" s="112"/>
      <c r="B814" s="112"/>
    </row>
    <row r="815" spans="1:2" ht="15" customHeight="1">
      <c r="A815" s="112"/>
      <c r="B815" s="112"/>
    </row>
    <row r="816" spans="1:2" ht="15" customHeight="1">
      <c r="A816" s="112"/>
      <c r="B816" s="112"/>
    </row>
    <row r="817" spans="1:2" ht="15" customHeight="1">
      <c r="A817" s="112"/>
      <c r="B817" s="112"/>
    </row>
    <row r="818" spans="1:2" ht="15" customHeight="1">
      <c r="A818" s="112"/>
      <c r="B818" s="112"/>
    </row>
    <row r="819" spans="1:2" ht="15" customHeight="1">
      <c r="A819" s="112"/>
      <c r="B819" s="112"/>
    </row>
    <row r="820" spans="1:2" ht="15" customHeight="1">
      <c r="A820" s="112"/>
      <c r="B820" s="112"/>
    </row>
    <row r="821" spans="1:2" ht="15" customHeight="1">
      <c r="A821" s="112"/>
      <c r="B821" s="112"/>
    </row>
    <row r="822" spans="1:2" ht="15" customHeight="1">
      <c r="A822" s="112"/>
      <c r="B822" s="112"/>
    </row>
    <row r="823" spans="1:2" ht="15" customHeight="1">
      <c r="A823" s="112"/>
      <c r="B823" s="112"/>
    </row>
    <row r="824" spans="1:2" ht="15" customHeight="1">
      <c r="A824" s="112"/>
      <c r="B824" s="112"/>
    </row>
    <row r="825" spans="1:2" ht="15" customHeight="1">
      <c r="A825" s="112"/>
      <c r="B825" s="112"/>
    </row>
    <row r="826" spans="1:2" ht="15" customHeight="1">
      <c r="A826" s="112"/>
      <c r="B826" s="112"/>
    </row>
    <row r="827" spans="1:2" ht="15" customHeight="1">
      <c r="A827" s="112"/>
      <c r="B827" s="112"/>
    </row>
    <row r="828" spans="1:2" ht="15" customHeight="1">
      <c r="A828" s="112"/>
      <c r="B828" s="112"/>
    </row>
    <row r="829" spans="1:2" ht="15" customHeight="1">
      <c r="A829" s="112"/>
      <c r="B829" s="112"/>
    </row>
    <row r="830" spans="1:2" ht="15" customHeight="1">
      <c r="A830" s="112"/>
      <c r="B830" s="112"/>
    </row>
    <row r="831" spans="1:2" ht="15" customHeight="1">
      <c r="A831" s="112"/>
      <c r="B831" s="112"/>
    </row>
    <row r="832" spans="1:2" ht="15" customHeight="1">
      <c r="A832" s="112"/>
      <c r="B832" s="112"/>
    </row>
    <row r="833" spans="1:2" ht="15" customHeight="1">
      <c r="A833" s="112"/>
      <c r="B833" s="112"/>
    </row>
    <row r="834" spans="1:2" ht="15" customHeight="1">
      <c r="A834" s="112"/>
      <c r="B834" s="112"/>
    </row>
    <row r="835" spans="1:2" ht="15" customHeight="1">
      <c r="A835" s="112"/>
      <c r="B835" s="112"/>
    </row>
    <row r="836" spans="1:2" ht="15" customHeight="1">
      <c r="A836" s="112"/>
      <c r="B836" s="112"/>
    </row>
    <row r="837" spans="1:2" ht="15" customHeight="1">
      <c r="A837" s="112"/>
      <c r="B837" s="112"/>
    </row>
    <row r="838" spans="1:2" ht="15" customHeight="1">
      <c r="A838" s="112"/>
      <c r="B838" s="112"/>
    </row>
    <row r="839" spans="1:2" ht="15" customHeight="1">
      <c r="A839" s="112"/>
      <c r="B839" s="112"/>
    </row>
    <row r="840" spans="1:2" ht="15" customHeight="1">
      <c r="A840" s="112"/>
      <c r="B840" s="112"/>
    </row>
    <row r="841" spans="1:2" ht="15" customHeight="1">
      <c r="A841" s="112"/>
      <c r="B841" s="112"/>
    </row>
    <row r="842" spans="1:2" ht="15" customHeight="1">
      <c r="A842" s="112"/>
      <c r="B842" s="112"/>
    </row>
    <row r="843" spans="1:2" ht="15" customHeight="1">
      <c r="A843" s="112"/>
      <c r="B843" s="112"/>
    </row>
    <row r="844" spans="1:2" ht="15" customHeight="1">
      <c r="A844" s="112"/>
      <c r="B844" s="112"/>
    </row>
    <row r="845" spans="1:2" ht="15" customHeight="1">
      <c r="A845" s="112"/>
      <c r="B845" s="112"/>
    </row>
    <row r="846" spans="1:2" ht="15" customHeight="1">
      <c r="A846" s="112"/>
      <c r="B846" s="112"/>
    </row>
    <row r="847" spans="1:2" ht="15" customHeight="1">
      <c r="A847" s="112"/>
      <c r="B847" s="112"/>
    </row>
    <row r="848" spans="1:2" ht="15" customHeight="1">
      <c r="A848" s="112"/>
      <c r="B848" s="112"/>
    </row>
    <row r="849" spans="1:2" ht="15" customHeight="1">
      <c r="A849" s="112"/>
      <c r="B849" s="112"/>
    </row>
    <row r="850" spans="1:2" ht="15" customHeight="1">
      <c r="A850" s="112"/>
      <c r="B850" s="112"/>
    </row>
    <row r="851" spans="1:2" ht="15" customHeight="1">
      <c r="A851" s="112"/>
      <c r="B851" s="112"/>
    </row>
    <row r="852" spans="1:2" ht="15" customHeight="1">
      <c r="A852" s="112"/>
      <c r="B852" s="112"/>
    </row>
    <row r="853" spans="1:2" ht="15" customHeight="1">
      <c r="A853" s="112"/>
      <c r="B853" s="112"/>
    </row>
    <row r="854" spans="1:2" ht="15" customHeight="1">
      <c r="A854" s="112"/>
      <c r="B854" s="112"/>
    </row>
    <row r="855" spans="1:2" ht="15" customHeight="1">
      <c r="A855" s="112"/>
      <c r="B855" s="112"/>
    </row>
    <row r="856" spans="1:2" ht="15" customHeight="1">
      <c r="A856" s="112"/>
      <c r="B856" s="112"/>
    </row>
    <row r="857" spans="1:2" ht="15" customHeight="1">
      <c r="A857" s="112"/>
      <c r="B857" s="112"/>
    </row>
    <row r="858" spans="1:2" ht="15" customHeight="1">
      <c r="A858" s="112"/>
      <c r="B858" s="112"/>
    </row>
    <row r="859" spans="1:2" ht="15" customHeight="1">
      <c r="A859" s="112"/>
      <c r="B859" s="112"/>
    </row>
    <row r="860" spans="1:2" ht="15" customHeight="1">
      <c r="A860" s="112"/>
      <c r="B860" s="112"/>
    </row>
    <row r="861" spans="1:2" ht="15" customHeight="1">
      <c r="A861" s="112"/>
      <c r="B861" s="112"/>
    </row>
    <row r="862" spans="1:2" ht="15" customHeight="1">
      <c r="A862" s="112"/>
      <c r="B862" s="112"/>
    </row>
    <row r="863" spans="1:2" ht="15" customHeight="1">
      <c r="A863" s="112"/>
      <c r="B863" s="112"/>
    </row>
    <row r="864" spans="1:2" ht="15" customHeight="1">
      <c r="A864" s="112"/>
      <c r="B864" s="112"/>
    </row>
    <row r="865" spans="1:2" ht="15" customHeight="1">
      <c r="A865" s="112"/>
      <c r="B865" s="112"/>
    </row>
    <row r="866" spans="1:2" ht="15" customHeight="1">
      <c r="A866" s="112"/>
      <c r="B866" s="112"/>
    </row>
    <row r="867" spans="1:2" ht="15" customHeight="1">
      <c r="A867" s="112"/>
      <c r="B867" s="112"/>
    </row>
    <row r="868" spans="1:2" ht="15" customHeight="1">
      <c r="A868" s="112"/>
      <c r="B868" s="112"/>
    </row>
    <row r="869" spans="1:2" ht="15" customHeight="1">
      <c r="A869" s="112"/>
      <c r="B869" s="112"/>
    </row>
    <row r="870" spans="1:2" ht="15" customHeight="1">
      <c r="A870" s="112"/>
      <c r="B870" s="112"/>
    </row>
    <row r="871" spans="1:2" ht="15" customHeight="1">
      <c r="A871" s="112"/>
      <c r="B871" s="112"/>
    </row>
    <row r="872" spans="1:2" ht="15" customHeight="1">
      <c r="A872" s="112"/>
      <c r="B872" s="112"/>
    </row>
    <row r="873" spans="1:2" ht="15" customHeight="1">
      <c r="A873" s="112"/>
      <c r="B873" s="112"/>
    </row>
    <row r="874" spans="1:2" ht="15" customHeight="1">
      <c r="A874" s="112"/>
      <c r="B874" s="112"/>
    </row>
    <row r="875" spans="1:2" ht="15" customHeight="1">
      <c r="A875" s="112"/>
      <c r="B875" s="112"/>
    </row>
    <row r="876" spans="1:2" ht="15" customHeight="1">
      <c r="A876" s="112"/>
      <c r="B876" s="112"/>
    </row>
    <row r="877" spans="1:2" ht="15" customHeight="1">
      <c r="A877" s="112"/>
      <c r="B877" s="112"/>
    </row>
    <row r="878" spans="1:2" ht="15" customHeight="1">
      <c r="A878" s="112"/>
      <c r="B878" s="112"/>
    </row>
    <row r="879" spans="1:2" ht="15" customHeight="1">
      <c r="A879" s="112"/>
      <c r="B879" s="112"/>
    </row>
    <row r="880" spans="1:2" ht="15" customHeight="1">
      <c r="A880" s="112"/>
      <c r="B880" s="112"/>
    </row>
    <row r="881" spans="1:2" ht="15" customHeight="1">
      <c r="A881" s="112"/>
      <c r="B881" s="112"/>
    </row>
    <row r="882" spans="1:2" ht="15" customHeight="1">
      <c r="A882" s="112"/>
      <c r="B882" s="112"/>
    </row>
    <row r="883" spans="1:2" ht="15" customHeight="1">
      <c r="A883" s="112"/>
      <c r="B883" s="112"/>
    </row>
    <row r="884" spans="1:2" ht="15" customHeight="1">
      <c r="A884" s="112"/>
      <c r="B884" s="112"/>
    </row>
    <row r="885" spans="1:2" ht="15" customHeight="1">
      <c r="A885" s="112"/>
      <c r="B885" s="112"/>
    </row>
    <row r="886" spans="1:2" ht="15" customHeight="1">
      <c r="A886" s="112"/>
      <c r="B886" s="112"/>
    </row>
    <row r="887" spans="1:2" ht="15" customHeight="1">
      <c r="A887" s="112"/>
      <c r="B887" s="112"/>
    </row>
    <row r="888" spans="1:2" ht="15" customHeight="1">
      <c r="A888" s="112"/>
      <c r="B888" s="112"/>
    </row>
    <row r="889" spans="1:2" ht="15" customHeight="1">
      <c r="A889" s="112"/>
      <c r="B889" s="112"/>
    </row>
    <row r="890" spans="1:2" ht="15" customHeight="1">
      <c r="A890" s="112"/>
      <c r="B890" s="112"/>
    </row>
    <row r="891" spans="1:2" ht="15" customHeight="1">
      <c r="A891" s="112"/>
      <c r="B891" s="112"/>
    </row>
    <row r="892" spans="1:2" ht="15" customHeight="1">
      <c r="A892" s="112"/>
      <c r="B892" s="112"/>
    </row>
    <row r="893" spans="1:2" ht="15" customHeight="1">
      <c r="A893" s="112"/>
      <c r="B893" s="112"/>
    </row>
    <row r="894" spans="1:2" ht="15" customHeight="1">
      <c r="A894" s="112"/>
      <c r="B894" s="112"/>
    </row>
    <row r="895" spans="1:2" ht="15" customHeight="1">
      <c r="A895" s="112"/>
      <c r="B895" s="112"/>
    </row>
    <row r="896" spans="1:2" ht="15" customHeight="1">
      <c r="A896" s="112"/>
      <c r="B896" s="112"/>
    </row>
    <row r="897" spans="1:2" ht="15" customHeight="1">
      <c r="A897" s="112"/>
      <c r="B897" s="112"/>
    </row>
    <row r="898" spans="1:2" ht="15" customHeight="1">
      <c r="A898" s="112"/>
      <c r="B898" s="112"/>
    </row>
    <row r="899" spans="1:2" ht="15" customHeight="1">
      <c r="A899" s="112"/>
      <c r="B899" s="112"/>
    </row>
    <row r="900" spans="1:2" ht="15" customHeight="1">
      <c r="A900" s="112"/>
      <c r="B900" s="112"/>
    </row>
    <row r="901" spans="1:2" ht="15" customHeight="1">
      <c r="A901" s="112"/>
      <c r="B901" s="112"/>
    </row>
    <row r="902" spans="1:2" ht="15" customHeight="1">
      <c r="A902" s="112"/>
      <c r="B902" s="112"/>
    </row>
    <row r="903" spans="1:2" ht="15" customHeight="1">
      <c r="A903" s="112"/>
      <c r="B903" s="112"/>
    </row>
    <row r="904" spans="1:2" ht="15" customHeight="1">
      <c r="A904" s="112"/>
      <c r="B904" s="112"/>
    </row>
    <row r="905" spans="1:2" ht="15" customHeight="1">
      <c r="A905" s="112"/>
      <c r="B905" s="112"/>
    </row>
    <row r="906" spans="1:2" ht="15" customHeight="1">
      <c r="A906" s="112"/>
      <c r="B906" s="112"/>
    </row>
    <row r="907" spans="1:2" ht="15" customHeight="1">
      <c r="A907" s="112"/>
      <c r="B907" s="112"/>
    </row>
    <row r="908" spans="1:2" ht="15" customHeight="1">
      <c r="A908" s="112"/>
      <c r="B908" s="112"/>
    </row>
    <row r="909" spans="1:2" ht="15" customHeight="1">
      <c r="A909" s="112"/>
      <c r="B909" s="112"/>
    </row>
    <row r="910" spans="1:2" ht="15" customHeight="1">
      <c r="A910" s="112"/>
      <c r="B910" s="112"/>
    </row>
    <row r="911" spans="1:2" ht="15" customHeight="1">
      <c r="A911" s="112"/>
      <c r="B911" s="112"/>
    </row>
    <row r="912" spans="1:2" ht="15" customHeight="1">
      <c r="A912" s="112"/>
      <c r="B912" s="112"/>
    </row>
    <row r="913" spans="1:2" ht="15" customHeight="1">
      <c r="A913" s="112"/>
      <c r="B913" s="112"/>
    </row>
    <row r="914" spans="1:2" ht="15" customHeight="1">
      <c r="A914" s="112"/>
      <c r="B914" s="112"/>
    </row>
    <row r="915" spans="1:2" ht="15" customHeight="1">
      <c r="A915" s="112"/>
      <c r="B915" s="112"/>
    </row>
    <row r="916" spans="1:2" ht="15" customHeight="1">
      <c r="A916" s="112"/>
      <c r="B916" s="112"/>
    </row>
    <row r="917" spans="1:2" ht="15" customHeight="1">
      <c r="A917" s="112"/>
      <c r="B917" s="112"/>
    </row>
    <row r="918" spans="1:2" ht="15" customHeight="1">
      <c r="A918" s="112"/>
      <c r="B918" s="112"/>
    </row>
    <row r="919" spans="1:2" ht="15" customHeight="1">
      <c r="A919" s="112"/>
      <c r="B919" s="112"/>
    </row>
    <row r="920" spans="1:2" ht="15" customHeight="1">
      <c r="A920" s="112"/>
      <c r="B920" s="112"/>
    </row>
    <row r="921" spans="1:2" ht="15" customHeight="1">
      <c r="A921" s="112"/>
      <c r="B921" s="112"/>
    </row>
    <row r="922" spans="1:2" ht="15" customHeight="1">
      <c r="A922" s="112"/>
      <c r="B922" s="112"/>
    </row>
    <row r="923" spans="1:2" ht="15" customHeight="1">
      <c r="A923" s="112"/>
      <c r="B923" s="112"/>
    </row>
    <row r="924" spans="1:2" ht="15" customHeight="1">
      <c r="A924" s="112"/>
      <c r="B924" s="112"/>
    </row>
    <row r="925" spans="1:2" ht="15" customHeight="1">
      <c r="A925" s="112"/>
      <c r="B925" s="112"/>
    </row>
    <row r="926" spans="1:2" ht="15" customHeight="1">
      <c r="A926" s="112"/>
      <c r="B926" s="112"/>
    </row>
    <row r="927" spans="1:2" ht="15" customHeight="1">
      <c r="A927" s="112"/>
      <c r="B927" s="112"/>
    </row>
    <row r="928" spans="1:2" ht="15" customHeight="1">
      <c r="A928" s="112"/>
      <c r="B928" s="112"/>
    </row>
    <row r="929" spans="1:2" ht="15" customHeight="1">
      <c r="A929" s="112"/>
      <c r="B929" s="112"/>
    </row>
    <row r="930" spans="1:2" ht="15" customHeight="1">
      <c r="A930" s="112"/>
      <c r="B930" s="112"/>
    </row>
    <row r="931" spans="1:2" ht="15" customHeight="1">
      <c r="A931" s="112"/>
      <c r="B931" s="112"/>
    </row>
    <row r="932" spans="1:2" ht="15" customHeight="1">
      <c r="A932" s="112"/>
      <c r="B932" s="112"/>
    </row>
    <row r="933" spans="1:2" ht="15" customHeight="1">
      <c r="A933" s="112"/>
      <c r="B933" s="112"/>
    </row>
    <row r="934" spans="1:2" ht="15" customHeight="1">
      <c r="A934" s="112"/>
      <c r="B934" s="112"/>
    </row>
    <row r="935" spans="1:2" ht="15" customHeight="1">
      <c r="A935" s="112"/>
      <c r="B935" s="112"/>
    </row>
    <row r="936" spans="1:2" ht="15" customHeight="1">
      <c r="A936" s="112"/>
      <c r="B936" s="112"/>
    </row>
    <row r="937" spans="1:2" ht="15" customHeight="1">
      <c r="A937" s="112"/>
      <c r="B937" s="112"/>
    </row>
    <row r="938" spans="1:2" ht="15" customHeight="1">
      <c r="A938" s="112"/>
      <c r="B938" s="112"/>
    </row>
    <row r="939" spans="1:2" ht="15" customHeight="1">
      <c r="A939" s="112"/>
      <c r="B939" s="112"/>
    </row>
    <row r="940" spans="1:2" ht="15" customHeight="1">
      <c r="A940" s="112"/>
      <c r="B940" s="112"/>
    </row>
    <row r="941" spans="1:2" ht="15" customHeight="1">
      <c r="A941" s="112"/>
      <c r="B941" s="112"/>
    </row>
    <row r="942" spans="1:2" ht="15" customHeight="1">
      <c r="A942" s="112"/>
      <c r="B942" s="112"/>
    </row>
    <row r="943" spans="1:2" ht="15" customHeight="1">
      <c r="A943" s="112"/>
      <c r="B943" s="112"/>
    </row>
    <row r="944" spans="1:2" ht="15" customHeight="1">
      <c r="A944" s="112"/>
      <c r="B944" s="112"/>
    </row>
    <row r="945" spans="1:2" ht="15" customHeight="1">
      <c r="A945" s="112"/>
      <c r="B945" s="112"/>
    </row>
    <row r="946" spans="1:2" ht="15" customHeight="1">
      <c r="A946" s="112"/>
      <c r="B946" s="112"/>
    </row>
    <row r="947" spans="1:2" ht="15" customHeight="1">
      <c r="A947" s="112"/>
      <c r="B947" s="112"/>
    </row>
    <row r="948" spans="1:2" ht="15" customHeight="1">
      <c r="A948" s="112"/>
      <c r="B948" s="112"/>
    </row>
    <row r="949" spans="1:2" ht="15" customHeight="1">
      <c r="A949" s="112"/>
      <c r="B949" s="112"/>
    </row>
    <row r="950" spans="1:2" ht="15" customHeight="1">
      <c r="A950" s="112"/>
      <c r="B950" s="112"/>
    </row>
    <row r="951" spans="1:2" ht="15" customHeight="1">
      <c r="A951" s="112"/>
      <c r="B951" s="112"/>
    </row>
    <row r="952" spans="1:2" ht="15" customHeight="1">
      <c r="A952" s="112"/>
      <c r="B952" s="112"/>
    </row>
    <row r="953" spans="1:2" ht="15" customHeight="1">
      <c r="A953" s="112"/>
      <c r="B953" s="112"/>
    </row>
    <row r="954" spans="1:2" ht="15" customHeight="1">
      <c r="A954" s="112"/>
      <c r="B954" s="112"/>
    </row>
    <row r="955" spans="1:2" ht="15" customHeight="1">
      <c r="A955" s="112"/>
      <c r="B955" s="112"/>
    </row>
    <row r="956" spans="1:2" ht="15" customHeight="1">
      <c r="A956" s="112"/>
      <c r="B956" s="112"/>
    </row>
    <row r="957" spans="1:2" ht="15" customHeight="1">
      <c r="A957" s="112"/>
      <c r="B957" s="112"/>
    </row>
    <row r="958" spans="1:2" ht="15" customHeight="1">
      <c r="A958" s="112"/>
      <c r="B958" s="112"/>
    </row>
    <row r="959" spans="1:2" ht="15" customHeight="1">
      <c r="A959" s="112"/>
      <c r="B959" s="112"/>
    </row>
    <row r="960" spans="1:2" ht="15" customHeight="1">
      <c r="A960" s="112"/>
      <c r="B960" s="112"/>
    </row>
    <row r="961" spans="1:2" ht="15" customHeight="1">
      <c r="A961" s="112"/>
      <c r="B961" s="112"/>
    </row>
    <row r="962" spans="1:2" ht="15" customHeight="1">
      <c r="A962" s="112"/>
      <c r="B962" s="112"/>
    </row>
    <row r="963" spans="1:2" ht="15" customHeight="1">
      <c r="A963" s="112"/>
      <c r="B963" s="112"/>
    </row>
    <row r="964" spans="1:2" ht="15" customHeight="1">
      <c r="A964" s="112"/>
      <c r="B964" s="112"/>
    </row>
    <row r="965" spans="1:2" ht="15" customHeight="1">
      <c r="A965" s="112"/>
      <c r="B965" s="112"/>
    </row>
    <row r="966" spans="1:2" ht="15" customHeight="1">
      <c r="A966" s="112"/>
      <c r="B966" s="112"/>
    </row>
    <row r="967" spans="1:2" ht="15" customHeight="1">
      <c r="A967" s="112"/>
      <c r="B967" s="112"/>
    </row>
    <row r="968" spans="1:2" ht="15" customHeight="1">
      <c r="A968" s="112"/>
      <c r="B968" s="112"/>
    </row>
    <row r="969" spans="1:2" ht="15" customHeight="1">
      <c r="A969" s="112"/>
      <c r="B969" s="112"/>
    </row>
    <row r="970" spans="1:2" ht="15" customHeight="1">
      <c r="A970" s="112"/>
      <c r="B970" s="112"/>
    </row>
    <row r="971" spans="1:2" ht="15" customHeight="1">
      <c r="A971" s="112"/>
      <c r="B971" s="112"/>
    </row>
    <row r="972" spans="1:2" ht="15" customHeight="1">
      <c r="A972" s="112"/>
      <c r="B972" s="112"/>
    </row>
    <row r="973" spans="1:2" ht="15" customHeight="1">
      <c r="A973" s="112"/>
      <c r="B973" s="112"/>
    </row>
    <row r="974" spans="1:2" ht="15" customHeight="1">
      <c r="A974" s="112"/>
      <c r="B974" s="112"/>
    </row>
    <row r="975" spans="1:2" ht="15" customHeight="1">
      <c r="A975" s="112"/>
      <c r="B975" s="112"/>
    </row>
    <row r="976" spans="1:2" ht="15" customHeight="1">
      <c r="A976" s="112"/>
      <c r="B976" s="112"/>
    </row>
    <row r="977" spans="1:2" ht="15" customHeight="1">
      <c r="A977" s="112"/>
      <c r="B977" s="112"/>
    </row>
    <row r="978" spans="1:2" ht="15" customHeight="1">
      <c r="A978" s="112"/>
      <c r="B978" s="112"/>
    </row>
    <row r="979" spans="1:2" ht="15" customHeight="1">
      <c r="A979" s="112"/>
      <c r="B979" s="112"/>
    </row>
    <row r="980" spans="1:2" ht="15" customHeight="1">
      <c r="A980" s="112"/>
      <c r="B980" s="112"/>
    </row>
    <row r="981" spans="1:2" ht="15" customHeight="1">
      <c r="A981" s="112"/>
      <c r="B981" s="112"/>
    </row>
    <row r="982" spans="1:2" ht="15" customHeight="1">
      <c r="A982" s="112"/>
      <c r="B982" s="112"/>
    </row>
    <row r="983" spans="1:2" ht="15" customHeight="1">
      <c r="A983" s="112"/>
      <c r="B983" s="112"/>
    </row>
    <row r="984" spans="1:2" ht="15" customHeight="1">
      <c r="A984" s="112"/>
      <c r="B984" s="112"/>
    </row>
    <row r="985" spans="1:2" ht="15" customHeight="1">
      <c r="A985" s="112"/>
      <c r="B985" s="112"/>
    </row>
    <row r="986" spans="1:2" ht="15" customHeight="1">
      <c r="A986" s="112"/>
      <c r="B986" s="112"/>
    </row>
    <row r="987" spans="1:2" ht="15" customHeight="1">
      <c r="A987" s="112"/>
      <c r="B987" s="112"/>
    </row>
    <row r="988" spans="1:2" ht="15" customHeight="1">
      <c r="A988" s="112"/>
      <c r="B988" s="112"/>
    </row>
    <row r="989" spans="1:2" ht="15" customHeight="1">
      <c r="A989" s="112"/>
      <c r="B989" s="112"/>
    </row>
  </sheetData>
  <mergeCells count="9">
    <mergeCell ref="A21:B21"/>
    <mergeCell ref="A27:B27"/>
    <mergeCell ref="A28:B28"/>
    <mergeCell ref="A34:A35"/>
    <mergeCell ref="A1:B1"/>
    <mergeCell ref="A2:B2"/>
    <mergeCell ref="A12:B12"/>
    <mergeCell ref="A13:B13"/>
    <mergeCell ref="A20:B20"/>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MSB AML TM Project</dc:creator>
  <cp:keywords/>
  <dc:description/>
  <cp:lastModifiedBy/>
  <cp:revision>0</cp:revision>
  <dcterms:created xsi:type="dcterms:W3CDTF">2026-05-12T11:22:22Z</dcterms:created>
  <dcterms:modified xsi:type="dcterms:W3CDTF">2026-10-02T10:02:41Z</dcterms:modified>
  <cp:category/>
  <cp:contentStatus/>
</cp:coreProperties>
</file>