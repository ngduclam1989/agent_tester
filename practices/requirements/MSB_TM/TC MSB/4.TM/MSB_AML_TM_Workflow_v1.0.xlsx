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D:\FIS\MSB_AML\Test\TM\Testcase\"/>
    </mc:Choice>
  </mc:AlternateContent>
  <xr:revisionPtr revIDLastSave="1" documentId="13_ncr:1_{84AF1896-ED75-4DAC-91D6-5A9DFC8B1526}" xr6:coauthVersionLast="47" xr6:coauthVersionMax="47" xr10:uidLastSave="{9B3AB53F-6503-4CF2-96D9-55EB910EAB1E}"/>
  <bookViews>
    <workbookView xWindow="0" yWindow="0" windowWidth="21600" windowHeight="9570" tabRatio="779" firstSheet="3" activeTab="3" xr2:uid="{00000000-000D-0000-FFFF-FFFF00000000}"/>
  </bookViews>
  <sheets>
    <sheet name="Cover" sheetId="1" r:id="rId1"/>
    <sheet name="Records" sheetId="2" r:id="rId2"/>
    <sheet name="Test Report" sheetId="3" r:id="rId3"/>
    <sheet name="SCN_WF_TM_AUTO" sheetId="4" r:id="rId4"/>
    <sheet name="SCN_WF_TM_DVKH" sheetId="5" r:id="rId5"/>
    <sheet name="SCN_WF_TM_AML" sheetId="6" r:id="rId6"/>
    <sheet name="SCN_WF_TM_REOPEN" sheetId="7" r:id="rId7"/>
    <sheet name="Legend" sheetId="8" r:id="rId8"/>
  </sheets>
  <definedNames>
    <definedName name="_xlnm._FilterDatabase" localSheetId="3" hidden="1">SCN_WF_TM_AUTO!$A$13:$O$51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7" l="1"/>
  <c r="D11" i="7"/>
  <c r="C11" i="7"/>
  <c r="F11" i="7" s="1"/>
  <c r="E10" i="7"/>
  <c r="D10" i="7"/>
  <c r="C10" i="7"/>
  <c r="F10" i="7" s="1"/>
  <c r="E9" i="7"/>
  <c r="D9" i="7"/>
  <c r="C9" i="7"/>
  <c r="F9" i="7" s="1"/>
  <c r="E8" i="7"/>
  <c r="D8" i="7"/>
  <c r="C8" i="7"/>
  <c r="F8" i="7" s="1"/>
  <c r="E7" i="7"/>
  <c r="D7" i="7"/>
  <c r="C7" i="7"/>
  <c r="F7" i="7" s="1"/>
  <c r="E6" i="7"/>
  <c r="D6" i="7"/>
  <c r="C6" i="7"/>
  <c r="F6" i="7" s="1"/>
  <c r="C5" i="7"/>
  <c r="E11" i="6"/>
  <c r="D11" i="6"/>
  <c r="C11" i="6"/>
  <c r="F11" i="6" s="1"/>
  <c r="E10" i="6"/>
  <c r="D10" i="6"/>
  <c r="C10" i="6"/>
  <c r="F10" i="6" s="1"/>
  <c r="E9" i="6"/>
  <c r="D9" i="6"/>
  <c r="C9" i="6"/>
  <c r="F9" i="6" s="1"/>
  <c r="E8" i="6"/>
  <c r="D8" i="6"/>
  <c r="C8" i="6"/>
  <c r="F8" i="6" s="1"/>
  <c r="E7" i="6"/>
  <c r="D7" i="6"/>
  <c r="C7" i="6"/>
  <c r="F7" i="6" s="1"/>
  <c r="E6" i="6"/>
  <c r="E5" i="6" s="1"/>
  <c r="D6" i="6"/>
  <c r="C6" i="6"/>
  <c r="F6" i="6" s="1"/>
  <c r="E11" i="5"/>
  <c r="D11" i="5"/>
  <c r="C11" i="5"/>
  <c r="F11" i="5" s="1"/>
  <c r="E10" i="5"/>
  <c r="D10" i="5"/>
  <c r="C10" i="5"/>
  <c r="F10" i="5" s="1"/>
  <c r="E9" i="5"/>
  <c r="D9" i="5"/>
  <c r="C9" i="5"/>
  <c r="F9" i="5" s="1"/>
  <c r="E8" i="5"/>
  <c r="D8" i="5"/>
  <c r="C8" i="5"/>
  <c r="F8" i="5" s="1"/>
  <c r="E7" i="5"/>
  <c r="D7" i="5"/>
  <c r="C7" i="5"/>
  <c r="F7" i="5" s="1"/>
  <c r="E6" i="5"/>
  <c r="E5" i="5" s="1"/>
  <c r="D6" i="5"/>
  <c r="D5" i="5" s="1"/>
  <c r="C6" i="5"/>
  <c r="C5" i="5" s="1"/>
  <c r="F5" i="5" s="1"/>
  <c r="E11" i="4"/>
  <c r="D11" i="4"/>
  <c r="C11" i="4"/>
  <c r="F11" i="4" s="1"/>
  <c r="E10" i="4"/>
  <c r="D10" i="4"/>
  <c r="C10" i="4"/>
  <c r="E9" i="4"/>
  <c r="D9" i="4"/>
  <c r="C9" i="4"/>
  <c r="E8" i="4"/>
  <c r="D8" i="4"/>
  <c r="C8" i="4"/>
  <c r="E7" i="4"/>
  <c r="D7" i="4"/>
  <c r="C7" i="4"/>
  <c r="F7" i="4" s="1"/>
  <c r="E6" i="4"/>
  <c r="D6" i="4"/>
  <c r="C6" i="4"/>
  <c r="F6" i="4" s="1"/>
  <c r="F15" i="3"/>
  <c r="E15" i="3"/>
  <c r="D15" i="3"/>
  <c r="C15" i="3"/>
  <c r="D5" i="6" l="1"/>
  <c r="D5" i="7"/>
  <c r="E5" i="7"/>
  <c r="F10" i="4"/>
  <c r="F9" i="4"/>
  <c r="D5" i="4"/>
  <c r="E5" i="4"/>
  <c r="F8" i="4"/>
  <c r="F5" i="7"/>
  <c r="C5" i="4"/>
  <c r="F6" i="5"/>
  <c r="C5" i="6"/>
  <c r="F5" i="6" s="1"/>
  <c r="F5" i="4" l="1"/>
  <c r="B16" i="3" s="1"/>
  <c r="B15" i="3" s="1"/>
  <c r="G1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1" authorId="0" shapeId="0" xr:uid="{00000000-0006-0000-0100-000001000000}">
      <text>
        <r>
          <rPr>
            <sz val="10"/>
            <rFont val="Arial"/>
            <family val="2"/>
          </rPr>
          <t>PC:
A: Add
M: Modify
D: Delete</t>
        </r>
      </text>
    </comment>
  </commentList>
</comments>
</file>

<file path=xl/sharedStrings.xml><?xml version="1.0" encoding="utf-8"?>
<sst xmlns="http://schemas.openxmlformats.org/spreadsheetml/2006/main" count="1128" uniqueCount="530">
  <si>
    <t>Test Case - TM Workflow</t>
  </si>
  <si>
    <t>Project Name:</t>
  </si>
  <si>
    <t>DỰ ÁN TRIỂN KHAI BẢN QUYỀN PHẦN MỀM HỆ THỐNG AML MỚI</t>
  </si>
  <si>
    <t>Reviewer:</t>
  </si>
  <si>
    <t xml:space="preserve"> </t>
  </si>
  <si>
    <t>Document Code:</t>
  </si>
  <si>
    <t>Position:</t>
  </si>
  <si>
    <t>Originator:</t>
  </si>
  <si>
    <t>Reviewed Date:</t>
  </si>
  <si>
    <t>Approver:</t>
  </si>
  <si>
    <t>Created Date:</t>
  </si>
  <si>
    <t>Version:</t>
  </si>
  <si>
    <t>1.0</t>
  </si>
  <si>
    <t>Approved Date:</t>
  </si>
  <si>
    <t>TABLE OF CONTENT</t>
  </si>
  <si>
    <t>No</t>
  </si>
  <si>
    <t>Items</t>
  </si>
  <si>
    <t>Content</t>
  </si>
  <si>
    <t>Cover</t>
  </si>
  <si>
    <t>Records</t>
  </si>
  <si>
    <t>Record of changes</t>
  </si>
  <si>
    <t>Test Report</t>
  </si>
  <si>
    <t>This test report is used to summarize the testing status of the project</t>
  </si>
  <si>
    <t>SCN_WF_TM_AUTO</t>
  </si>
  <si>
    <t>Test case - Luồng giám sát giao dịch đáng ngờ tự động (OFSAA)</t>
  </si>
  <si>
    <t>SCN_WF_TM_DVKH</t>
  </si>
  <si>
    <t>Test case - Luồng giao dịch đáng ngờ do DVKH tạo thủ công</t>
  </si>
  <si>
    <t>SCN_WF_TM_AML</t>
  </si>
  <si>
    <t>Test case - Luồng giao dịch đáng ngờ do Bộ phận AML tạo thủ công</t>
  </si>
  <si>
    <t>SCN_WF_TM_REOPEN</t>
  </si>
  <si>
    <t>Test case - Luồng Re-open case (mở lại sự vụ đã đóng)</t>
  </si>
  <si>
    <t>Legend</t>
  </si>
  <si>
    <t>Danh mục giá trị hợp lệ (Test Environment, Priority, Automation Status, Test Results...)</t>
  </si>
  <si>
    <t>Effective Date</t>
  </si>
  <si>
    <t>A, M, D</t>
  </si>
  <si>
    <t xml:space="preserve">Change Description </t>
  </si>
  <si>
    <t>New Version</t>
  </si>
  <si>
    <t>Author</t>
  </si>
  <si>
    <t>A</t>
  </si>
  <si>
    <t>Tạo mới bộ test case cho 4 luồng nghiệp vụ TM (WF_TM_AUTO, WF_TM_DVKH, WF_TM_AML, WF_TM_REOPEN) theo Nguyen_tac_viet_testcase_TM_MSB.docx + MSB_BRD_TM_v1_8_WF_VIET_TSC.docx</t>
  </si>
  <si>
    <t>&lt;Điền tên người soạn&gt;</t>
  </si>
  <si>
    <t>SYSTEM TEST REPORT</t>
  </si>
  <si>
    <t>Project</t>
  </si>
  <si>
    <t>Project manager</t>
  </si>
  <si>
    <t>Application</t>
  </si>
  <si>
    <t>AML - Transaction Monitoring (TM)</t>
  </si>
  <si>
    <t>Approved Date</t>
  </si>
  <si>
    <t>Consolidated By</t>
  </si>
  <si>
    <t>&lt;Điền theo build/release thực tế&gt;</t>
  </si>
  <si>
    <t>Reviewed By</t>
  </si>
  <si>
    <t>Build Versions</t>
  </si>
  <si>
    <t>&lt;Điền tên người tổng hợp&gt;</t>
  </si>
  <si>
    <t>Reviewed date</t>
  </si>
  <si>
    <t>Test Environment</t>
  </si>
  <si>
    <t>SIT</t>
  </si>
  <si>
    <t>Last Updated Date</t>
  </si>
  <si>
    <t>Test Execution Summary</t>
  </si>
  <si>
    <t>Reported by</t>
  </si>
  <si>
    <t>Date</t>
  </si>
  <si>
    <t>Test Results</t>
  </si>
  <si>
    <t>Passed</t>
  </si>
  <si>
    <t>Failed</t>
  </si>
  <si>
    <t>Accepted</t>
  </si>
  <si>
    <t>N/A</t>
  </si>
  <si>
    <t>Untested</t>
  </si>
  <si>
    <t>Total</t>
  </si>
  <si>
    <t>Test cases</t>
  </si>
  <si>
    <t>Test coverage</t>
  </si>
  <si>
    <t>Test successful coverage</t>
  </si>
  <si>
    <t>Issues</t>
  </si>
  <si>
    <t>1. Block testing issue</t>
  </si>
  <si>
    <t>2. Critical defects</t>
  </si>
  <si>
    <t xml:space="preserve">  </t>
  </si>
  <si>
    <t>Functions</t>
  </si>
  <si>
    <t>DỰ ÁN TRIỂN KHAI BẢN QUYỀN PHẦN MỀM HỆ THỐNG AML MỚI - Luồng giám sát giao dịch đáng ngờ tự động (OFSAA)</t>
  </si>
  <si>
    <t>Build Version</t>
  </si>
  <si>
    <t>v1.0</t>
  </si>
  <si>
    <t>High</t>
  </si>
  <si>
    <t>Medium</t>
  </si>
  <si>
    <t>Low</t>
  </si>
  <si>
    <t>Pending</t>
  </si>
  <si>
    <t>Cancel</t>
  </si>
  <si>
    <t>STT</t>
  </si>
  <si>
    <t>Test case Id</t>
  </si>
  <si>
    <t>Test case Title</t>
  </si>
  <si>
    <t>Pre-conditions</t>
  </si>
  <si>
    <t>Test Steps</t>
  </si>
  <si>
    <t>Test Datas</t>
  </si>
  <si>
    <t>Expected result</t>
  </si>
  <si>
    <t>Priority</t>
  </si>
  <si>
    <t>Automation Status</t>
  </si>
  <si>
    <t>1st Test Results</t>
  </si>
  <si>
    <t>2nd Test Results</t>
  </si>
  <si>
    <t>3rd Test Results</t>
  </si>
  <si>
    <t>BugID</t>
  </si>
  <si>
    <t>Notes</t>
  </si>
  <si>
    <t>WF_TM_AUTO.01</t>
  </si>
  <si>
    <t>Hệ thống OFSAA phát sinh cảnh báo và tạo sự vụ tự động</t>
  </si>
  <si>
    <t>WF_TM_AUTO.01.01</t>
  </si>
  <si>
    <t>Hệ thống OFSAA tự động sinh cảnh báo, tạo sự vụ mới (trạng thái "New") và gửi email EM-1 tới DVKH Maker</t>
  </si>
  <si>
    <t>- Hệ thống đã được cấu hình kịch bản/ngưỡng phát hiện giao dịch đáng ngờ và đang active.
- Có khách hàng/giao dịch thỏa điều kiện sinh cảnh báo theo kịch bản của OFSAA.</t>
  </si>
  <si>
    <t>1. Hệ thống OFSAA chạy batch/kịch bản phát hiện giao dịch đáng ngờ theo lịch đã cấu hình.
2. Hệ thống tự động tạo sự vụ (case) mới trên màn hình ECM tương ứng với cảnh báo phát sinh.
3. Hệ thống tự động gửi email theo mẫu EM-1 tới group email của DVKH Maker phụ trách khách hàng liên quan.</t>
  </si>
  <si>
    <t>- Kịch bản cảnh báo OFSAA: &lt;mã kịch bản cụ thể&gt;
- Khách hàng: &lt;khách hàng thử nghiệm thỏa điều kiện sinh cảnh báo&gt;</t>
  </si>
  <si>
    <t>1. Hệ thống ghi nhận cảnh báo và tạo 1 sự vụ (case) mới trên màn hình ECM, trạng thái case là "New".
2. Case mới hiển thị đầy đủ thông tin cảnh báo/khách hàng liên quan.
3. Group email DVKH Maker phụ trách nhận được email đúng mẫu EM-1, có tham chiếu case vừa tạo. Case ở trạng thái "New", chờ DVKH Maker xử lý (chuyển tiếp bước 2).</t>
  </si>
  <si>
    <t>N</t>
  </si>
  <si>
    <t>WF_TM_AUTO.02</t>
  </si>
  <si>
    <t>DVKH Maker điền bộ câu hỏi EDD và đề xuất xử lý cảnh báo</t>
  </si>
  <si>
    <t>WF_TM_AUTO.02.01</t>
  </si>
  <si>
    <t>DVKH Maker đề xuất xử lý cảnh báo là "Recommend to Not suspicious" đối với case sinh tự động</t>
  </si>
  <si>
    <t>Case sinh tự động từ OFSAA, đang ở trạng thái "New", chưa được DVKH Maker xử lý.</t>
  </si>
  <si>
    <t>1. Đăng nhập hệ thống AML bằng user role DVKH Maker, vào màn hình ECM, tìm và mở case đang ở trạng thái "New".
2. Điền bộ câu hỏi EDD (tham chiếu Phụ lục 3 - Bộ câu hỏi EDD) và chọn Take Action = "Recommend to Not suspicious".
3. Chọn nút Save.</t>
  </si>
  <si>
    <t>- Case ID: &lt;case tự động ở trạng thái "New"&gt;
- User role: DVKH Maker
- Action chọn: Recommend to Not suspicious
- Bộ câu hỏi EDD: điền đầy đủ theo Phụ lục 3</t>
  </si>
  <si>
    <t>1. Màn hình ECM hiển thị case vừa tìm ở trạng thái "New"; hệ thống chỉ hiển thị màn hình điền EDD/Action đề xuất xử lý cho user role DVKH Maker.
2. Hệ thống ghi nhận đề xuất "Recommend to Not suspicious" cùng nội dung bộ câu hỏi EDD đã điền.
3. Trạng thái case chuyển thành "Pending Checker Review"; hệ thống tự động gửi email theo mẫu EM-2 đến DVKH Checker (chuyển tiếp bước 3).</t>
  </si>
  <si>
    <t>WF_TM_AUTO.02.02</t>
  </si>
  <si>
    <t>DVKH Maker đề xuất xử lý cảnh báo là "Recommend to suspicious" đối với case sinh tự động</t>
  </si>
  <si>
    <t>1. Đăng nhập hệ thống AML bằng user role DVKH Maker, vào màn hình ECM, tìm và mở case đang ở trạng thái "New".
2. Điền bộ câu hỏi EDD (tham chiếu Phụ lục 3) và chọn Take Action = "Recommend to suspicious".
3. Chọn nút Save.</t>
  </si>
  <si>
    <t>- Case ID: &lt;case tự động ở trạng thái "New"&gt;
- User role: DVKH Maker
- Action chọn: Recommend to suspicious
- Bộ câu hỏi EDD: điền đầy đủ theo Phụ lục 3</t>
  </si>
  <si>
    <t>1. Màn hình ECM hiển thị case vừa tìm ở trạng thái "New"; hệ thống chỉ hiển thị màn hình điền EDD/Action đề xuất xử lý cho user role DVKH Maker.
2. Hệ thống ghi nhận đề xuất "Recommend to suspicious" cùng nội dung bộ câu hỏi EDD đã điền.
3. Trạng thái case chuyển thành "Pending Checker Review"; hệ thống tự động gửi email theo mẫu EM-2 đến DVKH Checker (chuyển tiếp bước 3).</t>
  </si>
  <si>
    <t>WF_TM_AUTO.02.03</t>
  </si>
  <si>
    <t>DVKH Maker đề xuất xử lý cảnh báo là "Recommend to Under monitoring" đối với case sinh tự động</t>
  </si>
  <si>
    <t>1. Đăng nhập hệ thống AML bằng user role DVKH Maker, vào màn hình ECM, tìm và mở case đang ở trạng thái "New".
2. Điền bộ câu hỏi EDD (tham chiếu Phụ lục 3) và chọn Take Action = "Recommend to Under monitoring".
3. Chọn nút Save.</t>
  </si>
  <si>
    <t>- Case ID: &lt;case tự động ở trạng thái "New"&gt;
- User role: DVKH Maker
- Action chọn: Recommend to Under monitoring
- Bộ câu hỏi EDD: điền đầy đủ theo Phụ lục 3</t>
  </si>
  <si>
    <t>1. Màn hình ECM hiển thị case vừa tìm ở trạng thái "New"; hệ thống chỉ hiển thị màn hình điền EDD/Action đề xuất xử lý cho user role DVKH Maker.
2. Hệ thống ghi nhận đề xuất "Recommend to Under monitoring" cùng nội dung bộ câu hỏi EDD đã điền.
3. Trạng thái case chuyển thành "Pending Checker Review"; hệ thống tự động gửi email theo mẫu EM-2 đến DVKH Checker (chuyển tiếp bước 3).</t>
  </si>
  <si>
    <t>WF_TM_AUTO.02.04</t>
  </si>
  <si>
    <t>DVKH Maker bổ sung thông tin ("Maker Add Information") sau khi bị DVKH Checker "Return to Maker" ở bước 3</t>
  </si>
  <si>
    <t>Case đang ở trạng thái "Pending Maker" do DVKH Checker thực hiện "Return to Maker" tại bước 3 (rà soát đề xuất xử lý cảnh báo/EDD), yêu cầu DVKH Maker bổ sung thông tin.</t>
  </si>
  <si>
    <t>1. Đăng nhập hệ thống AML bằng user role DVKH Maker, vào màn hình ECM, tìm và mở case đang ở trạng thái "Pending Maker".
2. Bổ sung thông tin/tài liệu theo yêu cầu của DVKH Checker, chọn Take Action = "Maker Add Information".
3. Chọn nút Save.</t>
  </si>
  <si>
    <t>- Case ID: &lt;case ở "Pending Maker" do Return to Maker từ bước 3&gt;
- User role: DVKH Maker
- Action chọn: Maker Add Information</t>
  </si>
  <si>
    <t>1. Màn hình ECM hiển thị case ở trạng thái "Pending Maker"; hệ thống chỉ hiển thị Action "Maker Add Information" cho user role DVKH Maker.
2. Hệ thống ghi nhận thông tin bổ sung.
3. Trạng thái case chuyển lại thành "Pending Checker Review", chuyển tiếp cho DVKH Checker rà soát lại (quay lại bước 3).</t>
  </si>
  <si>
    <t>[Cần xác nhận] BRD không nêu rõ có email tự động gửi kèm khi Maker bổ sung thông tin lại ở bước này hay không.</t>
  </si>
  <si>
    <t>WF_TM_AUTO.02.05</t>
  </si>
  <si>
    <t>Vai trò khác (không phải DVKH Maker) không thấy Action xử lý khi case ở trạng thái "New"</t>
  </si>
  <si>
    <t>Case sinh tự động từ OFSAA, đang ở trạng thái "New", chờ DVKH Maker xử lý.</t>
  </si>
  <si>
    <t>1. Đăng nhập hệ thống AML bằng user role DVKH Checker, vào màn hình ECM, tìm và mở case đang ở trạng thái "New".</t>
  </si>
  <si>
    <t>- Case ID: &lt;case tự động ở trạng thái "New"&gt;
- User role: DVKH Checker (vai trò không có quyền ở bước này)</t>
  </si>
  <si>
    <t>1. Hệ thống hiển thị thông tin case nhưng KHÔNG hiển thị màn hình điền EDD/các Action đề xuất xử lý (Recommend to Not suspicious / suspicious / Under monitoring, Maker Add Information) cho user role DVKH Checker, vì các action này chỉ thuộc quyền DVKH Maker. Case vẫn giữ trạng thái "New", chờ đúng DVKH Maker xử lý.</t>
  </si>
  <si>
    <t>WF_TM_AUTO.03</t>
  </si>
  <si>
    <t>DVKH Checker rà soát và phê duyệt kết quả xử lý cảnh báo</t>
  </si>
  <si>
    <t>WF_TM_AUTO.03.01</t>
  </si>
  <si>
    <t>DVKH Checker phê duyệt đánh giá sự vụ là "Not suspicious" đối với case sinh tự động</t>
  </si>
  <si>
    <t>Case sinh tự động từ OFSAA, đã được DVKH Maker đề xuất "Recommend to Not suspicious". Case đang ở trạng thái "Pending Checker Review", chờ DVKH Checker xử lý.</t>
  </si>
  <si>
    <t>1. Đăng nhập hệ thống AML bằng user role DVKH Checker, vào màn hình ECM, tìm và mở case.
2. Chọn Take Action, đánh giá case là "Not suspicious".
3. Chọn nút Save.</t>
  </si>
  <si>
    <t>- Case ID: &lt;case ở "Pending Checker Review"&gt;
- User role: DVKH Checker
- Action chọn: Not suspicious</t>
  </si>
  <si>
    <t>1. Màn hình ECM hiển thị case, trạng thái "Pending Checker Review"; hiển thị các Action: Not suspicious / Suspicious / Under monitoring / Return to Maker cho DVKH Checker.
2. Hệ thống ghi nhận lựa chọn "Not suspicious".
3. Trạng thái case đổi thành "Closed - No Further Action"; hệ thống tự động gửi email theo mẫu EM-4.1 đến DVKH Maker. Case đóng - Kết thúc luồng.</t>
  </si>
  <si>
    <t>WF_TM_AUTO.03.02</t>
  </si>
  <si>
    <t>DVKH Checker phê duyệt đánh giá sự vụ là "Suspicious" đối với case sinh tự động</t>
  </si>
  <si>
    <t>Case sinh tự động từ OFSAA, đã được DVKH Maker đề xuất "Recommend to suspicious". Case đang ở trạng thái "Pending Checker Review", chờ DVKH Checker xử lý.</t>
  </si>
  <si>
    <t>1. Đăng nhập hệ thống AML bằng user role DVKH Checker, vào màn hình ECM, tìm và mở case.
2. Chọn Take Action, đánh giá case là "Suspicious".
3. Chọn nút Save.</t>
  </si>
  <si>
    <t>- Case ID: &lt;case ở "Pending Checker Review"&gt;
- User role: DVKH Checker
- Action chọn: Suspicious</t>
  </si>
  <si>
    <t>1. Màn hình ECM hiển thị case, trạng thái "Pending Checker Review"; hiển thị các Action: Not suspicious / Suspicious / Under monitoring / Return to Maker cho DVKH Checker.
2. Hệ thống ghi nhận lựa chọn "Suspicious".
3. Trạng thái case đổi thành "Pending Generate STR"; hệ thống tự động gửi email theo mẫu EM-3 đến DVKH Maker (chuyển tiếp bước 4 - Maker tạo STR).</t>
  </si>
  <si>
    <t>Ví dụ mẫu tham chiếu mục 7 - Nguyen_tac_viet_testcase_TM_MSB.docx.</t>
  </si>
  <si>
    <t>WF_TM_AUTO.03.03</t>
  </si>
  <si>
    <t>DVKH Checker phê duyệt đánh giá sự vụ là "Under monitoring" đối với case sinh tự động</t>
  </si>
  <si>
    <t>Case sinh tự động từ OFSAA, đã được DVKH Maker đề xuất "Recommend to Under monitoring". Case đang ở trạng thái "Pending Checker Review", chờ DVKH Checker xử lý.</t>
  </si>
  <si>
    <t>1. Đăng nhập hệ thống AML bằng user role DVKH Checker, vào màn hình ECM, tìm và mở case.
2. Chọn Take Action, đánh giá case là "Under monitoring".
3. Chọn nút Save.</t>
  </si>
  <si>
    <t>- Case ID: &lt;case ở "Pending Checker Review"&gt;
- User role: DVKH Checker
- Action chọn: Under monitoring</t>
  </si>
  <si>
    <t>1. Màn hình ECM hiển thị case, trạng thái "Pending Checker Review"; hiển thị các Action: Not suspicious / Suspicious / Under monitoring / Return to Maker cho DVKH Checker.
2. Hệ thống ghi nhận lựa chọn "Under monitoring".
3. Trạng thái case đổi thành "Closed - Under Monitoring"; hệ thống tự động gửi email theo mẫu EM-4.2 đến DVKH Maker. Case đóng - Kết thúc luồng.</t>
  </si>
  <si>
    <t>WF_TM_AUTO.03.04</t>
  </si>
  <si>
    <t>DVKH Checker yêu cầu bổ sung thông tin ("Return to Maker") đối với case sinh tự động</t>
  </si>
  <si>
    <t>Case sinh tự động từ OFSAA, đang ở trạng thái "Pending Checker Review", chờ DVKH Checker xử lý.</t>
  </si>
  <si>
    <t>1. Đăng nhập hệ thống AML bằng user role DVKH Checker, vào màn hình ECM, tìm và mở case.
2. Chọn Take Action = "Return to Maker".
3. Chọn nút Save.</t>
  </si>
  <si>
    <t>- Case ID: &lt;case ở "Pending Checker Review"&gt;
- User role: DVKH Checker
- Action chọn: Return to Maker</t>
  </si>
  <si>
    <t>1. Màn hình ECM hiển thị case, trạng thái "Pending Checker Review"; hiển thị các Action: Not suspicious / Suspicious / Under monitoring / Return to Maker cho DVKH Checker.
2. Hệ thống ghi nhận lựa chọn "Return to Maker".
3. Trạng thái case đổi thành "Pending Maker"; hệ thống tự động gửi email theo mẫu EM-5 đến DVKH Maker (quay lại bước 2 để Maker bổ sung thông tin - xem WF_TM_AUTO.02.04).</t>
  </si>
  <si>
    <t>WF_TM_AUTO.03.05</t>
  </si>
  <si>
    <t>Vai trò khác (không phải DVKH Checker) không thấy Action rà soát khi case ở trạng thái "Pending Checker Review"</t>
  </si>
  <si>
    <t>1. Đăng nhập hệ thống AML bằng user role DVKH Maker (chính người đã đề xuất case này), vào màn hình ECM, tìm và mở case.</t>
  </si>
  <si>
    <t>- Case ID: &lt;case ở "Pending Checker Review"&gt;
- User role: DVKH Maker (không có quyền phê duyệt ở bước này)</t>
  </si>
  <si>
    <t>1. Hệ thống hiển thị thông tin case nhưng KHÔNG hiển thị các Action rà soát/phê duyệt (Not suspicious / Suspicious / Under monitoring / Return to Maker) cho user role DVKH Maker, đảm bảo nguyên tắc phân tách nhiệm vụ Maker-Checker (segregation of duties). Case vẫn giữ trạng thái "Pending Checker Review".</t>
  </si>
  <si>
    <t>WF_TM_AUTO.04</t>
  </si>
  <si>
    <t>DVKH Maker tạo STR và trình duyệt (đề xuất xử lý)</t>
  </si>
  <si>
    <t>WF_TM_AUTO.04.01</t>
  </si>
  <si>
    <t>DVKH Maker tạo STR và trình duyệt lên DVKH Checker (từ case đã được đánh giá "Suspicious")</t>
  </si>
  <si>
    <t>Case đã được DVKH Checker phê duyệt đánh giá "Suspicious" ở bước 3. Case đang ở trạng thái "Pending Generate STR", chờ DVKH Maker tạo STR.</t>
  </si>
  <si>
    <t>1. Đăng nhập hệ thống AML bằng user role DVKH Maker, vào màn hình ECM, tìm và mở case đang ở trạng thái "Pending Generate STR".
2. Nhập thông tin màn hình STR (tham chiếu Phụ lục 6.1 - Màn hình STR) và chọn Take Action = "Create STR and Submit to Checker".
3. Chọn nút Save.</t>
  </si>
  <si>
    <t>- Case ID: &lt;case ở "Pending Generate STR"&gt;
- User role: DVKH Maker
- Action chọn: Create STR and Submit to Checker
- Nội dung STR: nhập đầy đủ theo Phụ lục 6.1</t>
  </si>
  <si>
    <t>1. Màn hình ECM hiển thị case, trạng thái "Pending Generate STR"; hệ thống chỉ hiển thị màn hình tạo STR/Action cho user role DVKH Maker.
2. Hệ thống ghi nhận nội dung STR vừa tạo.
3. Trạng thái case chuyển thành "Pending Checker Review STR" (chuyển tiếp bước 5 - DVKH Checker rà soát STR).</t>
  </si>
  <si>
    <t>WF_TM_AUTO.04.02</t>
  </si>
  <si>
    <t>DVKH Maker bổ sung thông tin ("Maker Add Information") sau khi bị Return to Maker ở bước 5 (rà soát STR/EDD)</t>
  </si>
  <si>
    <t>Case đang ở trạng thái "Pending Maker" do DVKH Checker thực hiện "Return to Maker" tại bước 5 (rà soát STR và EDD), yêu cầu DVKH Maker bổ sung thông tin. (Áp dụng tương tự nếu "Return to Maker" xuất phát từ bước 6 - Checker N+1, bước 7 - AML Maker, hoặc bước 8 - AML Checker: hành động và trạng thái kế tiếp của Maker là như nhau.)</t>
  </si>
  <si>
    <t>1. Đăng nhập hệ thống AML bằng user role DVKH Maker, vào màn hình ECM, tìm và mở case đang ở trạng thái "Pending Maker".
2. Bổ sung thông tin/tài liệu theo yêu cầu, chọn Take Action = "Maker Add Information".
3. Chọn nút Save.</t>
  </si>
  <si>
    <t>- Case ID: &lt;case ở "Pending Maker" do Return to Maker từ bước 5/6/7/8&gt;
- User role: DVKH Maker
- Action chọn: Maker Add Information</t>
  </si>
  <si>
    <t>1. Màn hình ECM hiển thị case ở trạng thái "Pending Maker"; hệ thống chỉ hiển thị Action "Maker Add Information" cho user role DVKH Maker.
2. Hệ thống ghi nhận thông tin bổ sung vào hồ sơ STR.
3. Trạng thái case chuyển lại thành "Pending Checker Review STR", chuyển tiếp cho DVKH Checker rà soát lại (quay lại bước 5).</t>
  </si>
  <si>
    <t>WF_TM_AUTO.04.03</t>
  </si>
  <si>
    <t>Vai trò khác (không phải DVKH Maker) không thấy Action tạo STR khi case ở trạng thái "Pending Generate STR"</t>
  </si>
  <si>
    <t>Case đang ở trạng thái "Pending Generate STR", chờ DVKH Maker tạo STR.</t>
  </si>
  <si>
    <t>1. Đăng nhập hệ thống AML bằng user role AML Maker, vào màn hình ECM, tìm và mở case đang ở trạng thái "Pending Generate STR".</t>
  </si>
  <si>
    <t>- Case ID: &lt;case ở "Pending Generate STR"&gt;
- User role: AML Maker (vai trò không có quyền ở bước này)</t>
  </si>
  <si>
    <t>1. Hệ thống hiển thị thông tin case nhưng KHÔNG hiển thị màn hình tạo STR/Action "Create STR and Submit to Checker" cho user role AML Maker. Case vẫn giữ trạng thái "Pending Generate STR", chờ đúng DVKH Maker xử lý.</t>
  </si>
  <si>
    <t>WF_TM_AUTO.05</t>
  </si>
  <si>
    <t>DVKH Checker rà soát thông tin và phê duyệt STR, EDD</t>
  </si>
  <si>
    <t>WF_TM_AUTO.05.01</t>
  </si>
  <si>
    <t>DVKH Checker phê duyệt STR và EDD ("Checker Approve STR and EDD")</t>
  </si>
  <si>
    <t>Case đã được DVKH Maker tạo STR ở bước 4. Case đang ở trạng thái "Pending Checker Review STR", chờ DVKH Checker phê duyệt.</t>
  </si>
  <si>
    <t>1. Đăng nhập hệ thống AML bằng user role DVKH Checker, vào màn hình ECM, tìm và mở case.
2. Rà soát nội dung STR/EDD, chọn Take Action = "Checker Approve STR and EDD".
3. Chọn nút Save.</t>
  </si>
  <si>
    <t>- Case ID: &lt;case ở "Pending Checker Review STR"&gt;
- User role: DVKH Checker
- Action chọn: Checker Approve STR and EDD</t>
  </si>
  <si>
    <t>1. Màn hình ECM hiển thị case, trạng thái "Pending Checker Review STR"; hiển thị các Action: Checker Approve STR and EDD / Close and Reject STR / Return to Maker cho DVKH Checker.
2. Hệ thống ghi nhận phê duyệt của DVKH Checker.
3. Trạng thái case đổi thành "Pending Supervisor Review"; hệ thống tự động gửi email theo mẫu EM-6 đến Checker N+1 (chuyển tiếp bước 6).</t>
  </si>
  <si>
    <t>WF_TM_AUTO.05.02</t>
  </si>
  <si>
    <t>DVKH Checker từ chối phê duyệt STR ("Close and Reject STR")</t>
  </si>
  <si>
    <t>1. Đăng nhập hệ thống AML bằng user role DVKH Checker, vào màn hình ECM, tìm và mở case.
2. Chọn Take Action = "Close and Reject STR".
3. Chọn nút Save.</t>
  </si>
  <si>
    <t>- Case ID: &lt;case ở "Pending Checker Review STR"&gt;
- User role: DVKH Checker
- Action chọn: Close and Reject STR</t>
  </si>
  <si>
    <t>1. Màn hình ECM hiển thị case, trạng thái "Pending Checker Review STR"; hiển thị các Action: Checker Approve STR and EDD / Close and Reject STR / Return to Maker cho DVKH Checker.
2. Hệ thống ghi nhận từ chối phê duyệt STR.
3. Trạng thái case đổi thành "Rejected sending STR". Case đóng - Kết thúc luồng.</t>
  </si>
  <si>
    <t>WF_TM_AUTO.05.03</t>
  </si>
  <si>
    <t>DVKH Checker yêu cầu bổ sung thông tin ("Return to Maker") khi rà soát STR/EDD</t>
  </si>
  <si>
    <t>Case đang ở trạng thái "Pending Checker Review STR", chờ DVKH Checker phê duyệt.</t>
  </si>
  <si>
    <t>- Case ID: &lt;case ở "Pending Checker Review STR"&gt;
- User role: DVKH Checker
- Action chọn: Return to Maker</t>
  </si>
  <si>
    <t>1. Màn hình ECM hiển thị case, trạng thái "Pending Checker Review STR"; hiển thị các Action: Checker Approve STR and EDD / Close and Reject STR / Return to Maker cho DVKH Checker.
2. Hệ thống ghi nhận lựa chọn "Return to Maker".
3. Trạng thái case đổi thành "Pending Maker" (quay lại bước 4 để Maker bổ sung thông tin - xem WF_TM_AUTO.04.02).
4. Hệ thống không gửi email tự động ở bước này (BRD không mô tả email cho hành động Return to Maker tại bước 5).</t>
  </si>
  <si>
    <t>BRD không mô tả email cho bước Return to Maker này (khác bước 3 có EM-5, bước 7 có EM-8) =&gt; không có email tự động, không phải thiếu thông tin.</t>
  </si>
  <si>
    <t>WF_TM_AUTO.05.04</t>
  </si>
  <si>
    <t>Vai trò khác (không phải DVKH Checker) không thấy Action phê duyệt khi case ở trạng thái "Pending Checker Review STR"</t>
  </si>
  <si>
    <t>1. Đăng nhập hệ thống AML bằng user role Checker N+1, vào màn hình ECM, tìm và mở case đang ở trạng thái "Pending Checker Review STR".</t>
  </si>
  <si>
    <t>- Case ID: &lt;case ở "Pending Checker Review STR"&gt;
- User role: Checker N+1 (vai trò không có quyền ở bước này)</t>
  </si>
  <si>
    <t>1. Hệ thống hiển thị thông tin case nhưng KHÔNG hiển thị các Action "Checker Approve STR and EDD" / "Close and Reject STR" / "Return to Maker" cho user role Checker N+1. Case vẫn giữ trạng thái "Pending Checker Review STR", chờ đúng DVKH Checker xử lý trước.</t>
  </si>
  <si>
    <t>WF_TM_AUTO.06</t>
  </si>
  <si>
    <t>Checker N+1 (Supervisor) rà soát thông tin và phê duyệt STR</t>
  </si>
  <si>
    <t>WF_TM_AUTO.06.01</t>
  </si>
  <si>
    <t>Checker N+1 phê duyệt STR và EDD ("Supervisor Approve STR and EDD")</t>
  </si>
  <si>
    <t>Case đã được DVKH Checker phê duyệt STR/EDD ở bước 5. Case đang ở trạng thái "Pending Supervisor Review", chờ Checker N+1.</t>
  </si>
  <si>
    <t>1. Đăng nhập hệ thống AML bằng user role Checker N+1, vào màn hình ECM, tìm và mở case.
2. Rà soát STR/EDD, chọn Take Action = "Supervisor Approve STR and EDD".
3. Chọn nút Save.</t>
  </si>
  <si>
    <t>- Case ID: &lt;case ở "Pending Supervisor Review"&gt;
- User role: Checker N+1
- Action chọn: Supervisor Approve STR and EDD</t>
  </si>
  <si>
    <t>1. Màn hình ECM hiển thị case, trạng thái "Pending Supervisor Review"; hiển thị các Action: Supervisor Approve STR and EDD / Close and Reject STR / Return to Maker cho Checker N+1.
2. Hệ thống ghi nhận phê duyệt của Checker N+1.
3. Trạng thái case đổi thành "Pending AML Maker"; hệ thống tự động gửi email theo mẫu EM-7 đến AML Maker (chuyển tiếp bước 7).</t>
  </si>
  <si>
    <t>WF_TM_AUTO.06.02</t>
  </si>
  <si>
    <t>Checker N+1 từ chối phê duyệt STR ("Close and Reject STR")</t>
  </si>
  <si>
    <t>Case đang ở trạng thái "Pending Supervisor Review", chờ Checker N+1 phê duyệt.</t>
  </si>
  <si>
    <t>1. Đăng nhập hệ thống AML bằng user role Checker N+1, vào màn hình ECM, tìm và mở case.
2. Chọn Take Action = "Close and Reject STR".
3. Chọn nút Save.</t>
  </si>
  <si>
    <t>- Case ID: &lt;case ở "Pending Supervisor Review"&gt;
- User role: Checker N+1
- Action chọn: Close and Reject STR</t>
  </si>
  <si>
    <t>1. Màn hình ECM hiển thị case, trạng thái "Pending Supervisor Review"; hiển thị các Action: Supervisor Approve STR and EDD / Close and Reject STR / Return to Maker cho Checker N+1.
2. Hệ thống ghi nhận từ chối phê duyệt STR.
3. Trạng thái case đổi thành "Rejected sending STR". Case đóng - Kết thúc luồng.</t>
  </si>
  <si>
    <t>WF_TM_AUTO.06.03</t>
  </si>
  <si>
    <t>Checker N+1 yêu cầu bổ sung thông tin ("Return to Maker")</t>
  </si>
  <si>
    <t>1. Đăng nhập hệ thống AML bằng user role Checker N+1, vào màn hình ECM, tìm và mở case.
2. Chọn Take Action = "Return to Maker".
3. Chọn nút Save.</t>
  </si>
  <si>
    <t>- Case ID: &lt;case ở "Pending Supervisor Review"&gt;
- User role: Checker N+1
- Action chọn: Return to Maker</t>
  </si>
  <si>
    <t>1. Màn hình ECM hiển thị case, trạng thái "Pending Supervisor Review"; hiển thị các Action: Supervisor Approve STR and EDD / Close and Reject STR / Return to Maker cho Checker N+1.
2. Hệ thống ghi nhận lựa chọn "Return to Maker".
3. Trạng thái case đổi thành "Pending Maker" (quay lại bước 4 - xem WF_TM_AUTO.04.02).
4. Hệ thống không gửi email tự động ở bước này (BRD không mô tả email cho hành động Return to Maker tại bước 6).</t>
  </si>
  <si>
    <t>BRD không mô tả email cho bước Return to Maker này =&gt; không có email tự động, không phải thiếu thông tin.</t>
  </si>
  <si>
    <t>WF_TM_AUTO.06.04</t>
  </si>
  <si>
    <t>Vai trò khác (không phải Checker N+1) không thấy Action phê duyệt khi case ở trạng thái "Pending Supervisor Review"</t>
  </si>
  <si>
    <t>1. Đăng nhập hệ thống AML bằng user role DVKH Checker (người đã phê duyệt ở bước 5), vào màn hình ECM, tìm và mở case.</t>
  </si>
  <si>
    <t>- Case ID: &lt;case ở "Pending Supervisor Review"&gt;
- User role: DVKH Checker (vai trò không có quyền ở bước này)</t>
  </si>
  <si>
    <t>1. Hệ thống hiển thị thông tin case nhưng KHÔNG hiển thị các Action "Supervisor Approve STR and EDD" / "Close and Reject STR" / "Return to Maker" cho user role DVKH Checker, đảm bảo phân cấp phê duyệt N+1. Case vẫn giữ trạng thái "Pending Supervisor Review".</t>
  </si>
  <si>
    <t>WF_TM_AUTO.07</t>
  </si>
  <si>
    <t>AML Maker đánh giá và đề xuất duyệt gửi STR</t>
  </si>
  <si>
    <t>WF_TM_AUTO.07.01</t>
  </si>
  <si>
    <t>AML Maker đề xuất "Recommend Close and Not Send STR"</t>
  </si>
  <si>
    <t>Case đã được Checker N+1 phê duyệt STR/EDD ở bước 6. Case đang ở trạng thái "Pending AML Maker", chờ AML Maker phân tích.</t>
  </si>
  <si>
    <t>1. Đăng nhập hệ thống AML bằng user role AML Maker, vào màn hình ECM, tìm và mở case.
2. Phân tích hồ sơ STR, chọn Take Action = "Recommend Close and Not Send STR".
3. Chọn nút Save.</t>
  </si>
  <si>
    <t>- Case ID: &lt;case ở "Pending AML Maker"&gt;
- User role: AML Maker
- Action chọn: Recommend Close and Not Send STR</t>
  </si>
  <si>
    <t>1. Màn hình ECM hiển thị case, trạng thái "Pending AML Maker"; hiển thị các Action: Recommend Close and Not Send STR / Recommend Close and send STR / Return to Maker cho AML Maker.
2. Hệ thống ghi nhận đề xuất của AML Maker.
3. Trạng thái case đổi thành "Pending AML Checker review" (chuyển tiếp bước 8).</t>
  </si>
  <si>
    <t>WF_TM_AUTO.07.02</t>
  </si>
  <si>
    <t>AML Maker đề xuất "Recommend Close and send STR"</t>
  </si>
  <si>
    <t>1. Đăng nhập hệ thống AML bằng user role AML Maker, vào màn hình ECM, tìm và mở case.
2. Phân tích hồ sơ STR, chọn Take Action = "Recommend Close and send STR".
3. Chọn nút Save.</t>
  </si>
  <si>
    <t>- Case ID: &lt;case ở "Pending AML Maker"&gt;
- User role: AML Maker
- Action chọn: Recommend Close and send STR</t>
  </si>
  <si>
    <t>WF_TM_AUTO.07.03</t>
  </si>
  <si>
    <t>AML Maker yêu cầu bổ sung thông tin ("Return to Maker")</t>
  </si>
  <si>
    <t>Case đang ở trạng thái "Pending AML Maker", chờ AML Maker phân tích.</t>
  </si>
  <si>
    <t>1. Đăng nhập hệ thống AML bằng user role AML Maker, vào màn hình ECM, tìm và mở case.
2. Chọn Take Action = "Return to Maker".
3. Chọn nút Save.</t>
  </si>
  <si>
    <t>- Case ID: &lt;case ở "Pending AML Maker"&gt;
- User role: AML Maker
- Action chọn: Return to Maker</t>
  </si>
  <si>
    <t>1. Màn hình ECM hiển thị case, trạng thái "Pending AML Maker"; hiển thị các Action: Recommend Close and Not Send STR / Recommend Close and send STR / Return to Maker cho AML Maker.
2. Hệ thống ghi nhận lựa chọn "Return to Maker".
3. Trạng thái case đổi thành "Pending Maker"; hệ thống tự động gửi email theo mẫu EM-8 đến DVKH Maker (quay lại bước 4 - xem WF_TM_AUTO.04.02).</t>
  </si>
  <si>
    <t>WF_TM_AUTO.07.04</t>
  </si>
  <si>
    <t>Vai trò khác (không phải AML Maker) không thấy Action đánh giá khi case ở trạng thái "Pending AML Maker"</t>
  </si>
  <si>
    <t>1. Đăng nhập hệ thống AML bằng user role Checker N+1, vào màn hình ECM, tìm và mở case đang ở trạng thái "Pending AML Maker".</t>
  </si>
  <si>
    <t>- Case ID: &lt;case ở "Pending AML Maker"&gt;
- User role: Checker N+1 (vai trò không có quyền ở bước này)</t>
  </si>
  <si>
    <t>1. Hệ thống hiển thị thông tin case nhưng KHÔNG hiển thị các Action "Recommend Close and Not Send STR" / "Recommend Close and send STR" / "Return to Maker" cho user role Checker N+1. Case vẫn giữ trạng thái "Pending AML Maker", chờ đúng AML Maker xử lý.</t>
  </si>
  <si>
    <t>WF_TM_AUTO.08</t>
  </si>
  <si>
    <t>AML Checker rà soát và phê duyệt gửi STR (chốt luồng)</t>
  </si>
  <si>
    <t>WF_TM_AUTO.08.01</t>
  </si>
  <si>
    <t>AML Checker từ chối gửi STR ("Closed and Not Send STR")</t>
  </si>
  <si>
    <t>Case đã được AML Maker đề xuất (Not Send STR hoặc send STR) ở bước 7. Case đang ở trạng thái "Pending AML Checker review", chờ AML Checker phê duyệt.</t>
  </si>
  <si>
    <t>1. Đăng nhập hệ thống AML bằng user role AML Checker, vào màn hình ECM, tìm và mở case.
2. Rà soát hồ sơ, chọn Take Action = "Closed and Not Send STR".
3. Chọn nút Save.</t>
  </si>
  <si>
    <t>- Case ID: &lt;case ở "Pending AML Checker review"&gt;
- User role: AML Checker
- Action chọn: Closed and Not Send STR</t>
  </si>
  <si>
    <t>1. Màn hình ECM hiển thị case, trạng thái "Pending AML Checker review"; hiển thị các Action: Closed and Not Send STR / Approve sending STR / Return to Maker cho AML Checker.
2. Hệ thống ghi nhận quyết định của AML Checker.
3. Trạng thái case đổi thành "Closed - Not Send STR". Case đóng - Kết thúc luồng.</t>
  </si>
  <si>
    <t>WF_TM_AUTO.08.02</t>
  </si>
  <si>
    <t>AML Checker phê duyệt gửi STR ("Approve sending STR")</t>
  </si>
  <si>
    <t>1. Đăng nhập hệ thống AML bằng user role AML Checker, vào màn hình ECM, tìm và mở case.
2. Rà soát hồ sơ, chọn Take Action = "Approve sending STR".
3. Chọn nút Save.</t>
  </si>
  <si>
    <t>- Case ID: &lt;case ở "Pending AML Checker review"&gt;
- User role: AML Checker
- Action chọn: Approve sending STR</t>
  </si>
  <si>
    <t>1. Màn hình ECM hiển thị case, trạng thái "Pending AML Checker review"; hiển thị các Action: Closed and Not Send STR / Approve sending STR / Return to Maker cho AML Checker.
2. Hệ thống ghi nhận quyết định của AML Checker.
3. Trạng thái case đổi thành "Approved STR". Case đóng - Kết thúc luồng.</t>
  </si>
  <si>
    <t>WF_TM_AUTO.08.03</t>
  </si>
  <si>
    <t>AML Checker yêu cầu bổ sung thông tin ("Return to Maker")</t>
  </si>
  <si>
    <t>Case đang ở trạng thái "Pending AML Checker review", chờ AML Checker phê duyệt.</t>
  </si>
  <si>
    <t>1. Đăng nhập hệ thống AML bằng user role AML Checker, vào màn hình ECM, tìm và mở case.
2. Chọn Take Action = "Return to Maker".
3. Chọn nút Save.</t>
  </si>
  <si>
    <t>- Case ID: &lt;case ở "Pending AML Checker review"&gt;
- User role: AML Checker
- Action chọn: Return to Maker</t>
  </si>
  <si>
    <t>1. Màn hình ECM hiển thị case, trạng thái "Pending AML Checker review"; hiển thị các Action: Closed and Not Send STR / Approve sending STR / Return to Maker cho AML Checker.
2. Hệ thống ghi nhận lựa chọn "Return to Maker".
3. Trạng thái case đổi thành "Pending Maker" (quay lại bước 4 - xem WF_TM_AUTO.04.02).
4. Hệ thống không gửi email tự động ở bước này (BRD không mô tả email cho hành động Return to Maker tại bước 8).</t>
  </si>
  <si>
    <t>WF_TM_AUTO.08.04</t>
  </si>
  <si>
    <t>Vai trò khác (không phải AML Checker) không thấy Action phê duyệt khi case ở trạng thái "Pending AML Checker review"</t>
  </si>
  <si>
    <t>1. Đăng nhập hệ thống AML bằng user role AML Maker (người đã đề xuất ở bước 7), vào màn hình ECM, tìm và mở case.</t>
  </si>
  <si>
    <t>- Case ID: &lt;case ở "Pending AML Checker review"&gt;
- User role: AML Maker (vai trò không có quyền phê duyệt ở bước này)</t>
  </si>
  <si>
    <t>1. Hệ thống hiển thị thông tin case nhưng KHÔNG hiển thị các Action "Closed and Not Send STR" / "Approve sending STR" / "Return to Maker" cho user role AML Maker, đảm bảo phân tách nhiệm vụ Maker-Checker. Case vẫn giữ trạng thái "Pending AML Checker review".</t>
  </si>
  <si>
    <t>DỰ ÁN TRIỂN KHAI BẢN QUYỀN PHẦN MỀM HỆ THỐNG AML MỚI - Luồng giao dịch đáng ngờ do DVKH tạo thủ công</t>
  </si>
  <si>
    <t>WF_TM_DVKH.01</t>
  </si>
  <si>
    <t>DVKH Maker tạo sự vụ thủ công, điền EDD và đề xuất xử lý cảnh báo</t>
  </si>
  <si>
    <t>WF_TM_DVKH.01.01</t>
  </si>
  <si>
    <t>DVKH Maker tạo sự vụ thủ công ("Create Case") do tự nhận diện giao dịch đáng ngờ</t>
  </si>
  <si>
    <t>DVKH Maker tự nhận diện được giao dịch/khách hàng có dấu hiệu đáng ngờ, chưa có case nào trong hệ thống ứng với giao dịch/khách hàng này.</t>
  </si>
  <si>
    <t>1. Đăng nhập hệ thống AML bằng user role DVKH Maker, vào màn hình ECM, chọn tạo case thủ công mới.
2. Nhập thông tin case, điền bộ câu hỏi EDD (tham chiếu Phụ lục 3 - Bộ câu hỏi EDD), chọn Take Action = "Create Case".
3. Chọn nút Save.</t>
  </si>
  <si>
    <t>- User role: DVKH Maker
- Khách hàng: &lt;khách hàng do DVKH Maker tự nhận diện&gt;
- Action chọn: Create Case
- Bộ câu hỏi EDD: điền đầy đủ theo Phụ lục 3</t>
  </si>
  <si>
    <t>1. Màn hình ECM cho phép DVKH Maker tạo case thủ công mới và điền EDD.
2. Hệ thống ghi nhận thông tin case và nội dung EDD vừa tạo.
3. Case mới được tạo với trạng thái "Pending Checker Review"; hệ thống tự động gửi email theo mẫu EM-2 đến DVKH Checker (chuyển tiếp bước 2).</t>
  </si>
  <si>
    <t>WF_TM_DVKH.01.02</t>
  </si>
  <si>
    <t>DVKH Maker bổ sung thông tin ("Maker Add Information") sau khi bị Return to Maker ở bước 2</t>
  </si>
  <si>
    <t>Case thủ công do DVKH Maker tạo, đang ở trạng thái "Pending Maker" do DVKH Checker thực hiện "Return to Maker" tại bước 2 (rà soát cảnh báo/EDD).</t>
  </si>
  <si>
    <t>- Case ID: &lt;case ở "Pending Maker" do Return to Maker từ bước 2&gt;
- User role: DVKH Maker
- Action chọn: Maker Add Information</t>
  </si>
  <si>
    <t>1. Màn hình ECM hiển thị case ở trạng thái "Pending Maker"; hệ thống chỉ hiển thị Action "Maker Add Information" cho DVKH Maker.
2. Hệ thống ghi nhận thông tin bổ sung.
3. Trạng thái case chuyển lại thành "Pending Checker Review", chuyển tiếp cho DVKH Checker rà soát lại (quay lại bước 2).</t>
  </si>
  <si>
    <t>[Cần xác nhận] BRD không nêu rõ có email tự động cho bước Maker bổ sung thông tin lại này.</t>
  </si>
  <si>
    <t>WF_TM_DVKH.01.03</t>
  </si>
  <si>
    <t>Vai trò khác (không phải DVKH Maker) không thấy Action tạo case/bổ sung khi case ở trạng thái "Pending Maker"</t>
  </si>
  <si>
    <t>Case thủ công do DVKH Maker tạo, đang ở trạng thái "Pending Maker" (đã bị Checker yêu cầu bổ sung thông tin).</t>
  </si>
  <si>
    <t>1. Đăng nhập hệ thống AML bằng user role DVKH Checker, vào màn hình ECM, tìm và mở case đang ở trạng thái "Pending Maker".</t>
  </si>
  <si>
    <t>- Case ID: &lt;case ở "Pending Maker"&gt;
- User role: DVKH Checker (vai trò không có quyền ở bước này)</t>
  </si>
  <si>
    <t>1. Hệ thống hiển thị thông tin case nhưng KHÔNG hiển thị Action "Maker Add Information" cho user role DVKH Checker. Case vẫn giữ trạng thái "Pending Maker", chờ đúng DVKH Maker bổ sung.</t>
  </si>
  <si>
    <t>WF_TM_DVKH.02</t>
  </si>
  <si>
    <t>WF_TM_DVKH.02.01</t>
  </si>
  <si>
    <t>DVKH Checker phê duyệt đánh giá sự vụ là "Not suspicious" đối với case thủ công DVKH</t>
  </si>
  <si>
    <t>Case thủ công do DVKH Maker tạo, đã đề xuất xử lý cảnh báo ở bước 1. Case đang ở trạng thái "Pending Checker Review", chờ DVKH Checker xử lý.</t>
  </si>
  <si>
    <t>WF_TM_DVKH.02.02</t>
  </si>
  <si>
    <t>DVKH Checker phê duyệt đánh giá sự vụ là "Suspicious" đối với case thủ công DVKH</t>
  </si>
  <si>
    <t>1. Màn hình ECM hiển thị case, trạng thái "Pending Checker Review"; hiển thị các Action: Not suspicious / Suspicious / Under monitoring / Return to Maker cho DVKH Checker.
2. Hệ thống ghi nhận lựa chọn "Suspicious".
3. Trạng thái case đổi thành "Pending Generate STR"; hệ thống tự động gửi email theo mẫu EM-3 đến DVKH Maker (chuyển tiếp bước 3 - Maker tạo STR).</t>
  </si>
  <si>
    <t>Ví dụ tương tự case tham chiếu tại mục 7 (Nguyen_tac_viet_testcase_TM_MSB.docx), áp dụng cho luồng DVKH thủ công.</t>
  </si>
  <si>
    <t>WF_TM_DVKH.02.03</t>
  </si>
  <si>
    <t>DVKH Checker phê duyệt đánh giá sự vụ là "Under monitoring" đối với case thủ công DVKH</t>
  </si>
  <si>
    <t>WF_TM_DVKH.02.04</t>
  </si>
  <si>
    <t>DVKH Checker yêu cầu bổ sung thông tin ("Return to Maker") đối với case thủ công DVKH</t>
  </si>
  <si>
    <t>Case thủ công do DVKH Maker tạo, đang ở trạng thái "Pending Checker Review", chờ DVKH Checker xử lý.</t>
  </si>
  <si>
    <t>1. Màn hình ECM hiển thị case, trạng thái "Pending Checker Review"; hiển thị các Action: Not suspicious / Suspicious / Under monitoring / Return to Maker cho DVKH Checker.
2. Hệ thống ghi nhận lựa chọn "Return to Maker".
3. Trạng thái case đổi thành "Pending Maker"; hệ thống tự động gửi email theo mẫu EM-5 đến DVKH Maker (quay lại bước 1 để Maker bổ sung thông tin - xem WF_TM_DVKH.01.02).</t>
  </si>
  <si>
    <t>WF_TM_DVKH.02.05</t>
  </si>
  <si>
    <t>1. Đăng nhập hệ thống AML bằng user role DVKH Maker (chính người đã tạo case này), vào màn hình ECM, tìm và mở case.</t>
  </si>
  <si>
    <t>1. Hệ thống hiển thị thông tin case nhưng KHÔNG hiển thị các Action rà soát/phê duyệt (Not suspicious / Suspicious / Under monitoring / Return to Maker) cho user role DVKH Maker, đảm bảo phân tách nhiệm vụ Maker-Checker. Case vẫn giữ trạng thái "Pending Checker Review".</t>
  </si>
  <si>
    <t>WF_TM_DVKH.03</t>
  </si>
  <si>
    <t>WF_TM_DVKH.03.01</t>
  </si>
  <si>
    <t>DVKH Maker tạo STR và trình duyệt lên DVKH Checker (case thủ công DVKH)</t>
  </si>
  <si>
    <t>Case thủ công DVKH đã được DVKH Checker phê duyệt đánh giá "Suspicious" ở bước 2. Case đang ở trạng thái "Pending Generate STR", chờ DVKH Maker tạo STR.</t>
  </si>
  <si>
    <t>1. Màn hình ECM hiển thị case, trạng thái "Pending Generate STR"; hệ thống chỉ hiển thị màn hình tạo STR/Action cho DVKH Maker.
2. Hệ thống ghi nhận nội dung STR vừa tạo.
3. Trạng thái case chuyển thành "Pending Checker Review STR" (chuyển tiếp bước 4 - DVKH Checker rà soát STR).</t>
  </si>
  <si>
    <t>WF_TM_DVKH.03.02</t>
  </si>
  <si>
    <t>DVKH Maker bổ sung thông tin ("Maker Add Information") sau khi bị Return to Maker ở bước 4 (rà soát STR/EDD)</t>
  </si>
  <si>
    <t>Case đang ở trạng thái "Pending Maker" do DVKH Checker thực hiện "Return to Maker" tại bước 4 (rà soát STR/EDD). (Áp dụng tương tự nếu "Return to Maker" xuất phát từ bước 5 - Checker N+1, bước 6 - AML Maker, hoặc bước 7 - AML Checker: hành động và trạng thái kế tiếp của Maker là như nhau.)</t>
  </si>
  <si>
    <t>- Case ID: &lt;case ở "Pending Maker" do Return to Maker từ bước 4/5/6/7&gt;
- User role: DVKH Maker
- Action chọn: Maker Add Information</t>
  </si>
  <si>
    <t>1. Màn hình ECM hiển thị case ở trạng thái "Pending Maker"; hệ thống chỉ hiển thị Action "Maker Add Information" cho DVKH Maker.
2. Hệ thống ghi nhận thông tin bổ sung vào hồ sơ STR.
3. Trạng thái case chuyển lại thành "Pending Checker Review STR", chuyển tiếp DVKH Checker rà soát lại (quay lại bước 4).</t>
  </si>
  <si>
    <t>WF_TM_DVKH.03.03</t>
  </si>
  <si>
    <t>1. Hệ thống hiển thị thông tin case nhưng KHÔNG hiển thị màn hình tạo STR/Action "Create STR and Submit to Checker" cho user role AML Maker. Case vẫn giữ trạng thái "Pending Generate STR".</t>
  </si>
  <si>
    <t>WF_TM_DVKH.04</t>
  </si>
  <si>
    <t>DVKH Checker rà soát thông tin và phê duyệt tạo STR</t>
  </si>
  <si>
    <t>WF_TM_DVKH.04.01</t>
  </si>
  <si>
    <t>DVKH Checker phê duyệt tạo STR ("Checker Approve STR and EDD") - case thủ công DVKH</t>
  </si>
  <si>
    <t>Case đã được DVKH Maker tạo STR ở bước 3. Case đang ở trạng thái "Pending Checker Review STR", chờ DVKH Checker phê duyệt.</t>
  </si>
  <si>
    <t>1. Màn hình ECM hiển thị case, trạng thái "Pending Checker Review STR"; hiển thị các Action: Checker Approve STR and EDD / Close and Reject STR / Return to Maker cho DVKH Checker.
2. Hệ thống ghi nhận phê duyệt của DVKH Checker.
3. Trạng thái case đổi thành "Pending Supervisor Review"; hệ thống tự động gửi email theo mẫu EM-6 đến Checker N+1 (chuyển tiếp bước 5).</t>
  </si>
  <si>
    <t>WF_TM_DVKH.04.02</t>
  </si>
  <si>
    <t>DVKH Checker từ chối phê duyệt STR ("Close and Reject STR") - case thủ công DVKH</t>
  </si>
  <si>
    <t>WF_TM_DVKH.04.03</t>
  </si>
  <si>
    <t>DVKH Checker yêu cầu bổ sung thông tin ("Return to Maker") khi rà soát STR/EDD - case thủ công DVKH</t>
  </si>
  <si>
    <t>1. Màn hình ECM hiển thị case, trạng thái "Pending Checker Review STR"; hiển thị các Action: Checker Approve STR and EDD / Close and Reject STR / Return to Maker cho DVKH Checker.
2. Hệ thống ghi nhận lựa chọn "Return to Maker".
3. Trạng thái case đổi thành "Pending Maker" (quay lại bước 3 - xem WF_TM_DVKH.03.02).
4. Hệ thống không gửi email tự động ở bước này (BRD không mô tả email cho hành động Return to Maker tại bước 4).</t>
  </si>
  <si>
    <t>WF_TM_DVKH.04.04</t>
  </si>
  <si>
    <t>WF_TM_DVKH.05</t>
  </si>
  <si>
    <t>Checker N+1 (Supervisor) rà soát và phê duyệt STR</t>
  </si>
  <si>
    <t>WF_TM_DVKH.05.01</t>
  </si>
  <si>
    <t>Checker N+1 phê duyệt STR và EDD ("Supervisor Approve STR and EDD") - case thủ công DVKH</t>
  </si>
  <si>
    <t>Case đã được DVKH Checker phê duyệt STR/EDD ở bước 4. Case đang ở trạng thái "Pending Supervisor Review", chờ Checker N+1.</t>
  </si>
  <si>
    <t>1. Màn hình ECM hiển thị case, trạng thái "Pending Supervisor Review"; hiển thị các Action: Supervisor Approve STR and EDD / Close and Reject STR / Return to Maker cho Checker N+1.
2. Hệ thống ghi nhận phê duyệt của Checker N+1.
3. Trạng thái case đổi thành "Pending AML Maker"; hệ thống tự động gửi email theo mẫu EM-7 đến AML Maker (chuyển tiếp bước 6).</t>
  </si>
  <si>
    <t>WF_TM_DVKH.05.02</t>
  </si>
  <si>
    <t>Checker N+1 từ chối phê duyệt STR ("Close and Reject STR") - case thủ công DVKH</t>
  </si>
  <si>
    <t>WF_TM_DVKH.05.03</t>
  </si>
  <si>
    <t>Checker N+1 yêu cầu bổ sung thông tin ("Return to Maker") - case thủ công DVKH</t>
  </si>
  <si>
    <t>1. Màn hình ECM hiển thị case, trạng thái "Pending Supervisor Review"; hiển thị các Action: Supervisor Approve STR and EDD / Close and Reject STR / Return to Maker cho Checker N+1.
2. Hệ thống ghi nhận lựa chọn "Return to Maker".
3. Trạng thái case đổi thành "Pending Maker" (quay lại bước 3 - xem WF_TM_DVKH.03.02).
4. Hệ thống không gửi email tự động ở bước này (BRD không mô tả email cho hành động Return to Maker tại bước 5).</t>
  </si>
  <si>
    <t>WF_TM_DVKH.05.04</t>
  </si>
  <si>
    <t>1. Đăng nhập hệ thống AML bằng user role DVKH Checker (người đã phê duyệt ở bước 4), vào màn hình ECM, tìm và mở case.</t>
  </si>
  <si>
    <t>1. Hệ thống hiển thị thông tin case nhưng KHÔNG hiển thị các Action "Supervisor Approve STR and EDD" / "Close and Reject STR" / "Return to Maker" cho user role DVKH Checker. Case vẫn giữ trạng thái "Pending Supervisor Review".</t>
  </si>
  <si>
    <t>WF_TM_DVKH.06</t>
  </si>
  <si>
    <t>AML Maker phân tích và đề xuất duyệt gửi STR</t>
  </si>
  <si>
    <t>WF_TM_DVKH.06.01</t>
  </si>
  <si>
    <t>AML Maker đề xuất "Recommend Close and Not Send STR" - case thủ công DVKH</t>
  </si>
  <si>
    <t>Case đã được Checker N+1 phê duyệt STR/EDD ở bước 5. Case đang ở trạng thái "Pending AML Maker", chờ AML Maker phân tích.</t>
  </si>
  <si>
    <t>1. Màn hình ECM hiển thị case, trạng thái "Pending AML Maker"; hiển thị các Action: Recommend Close and Not Send STR / Recommend Close and send STR / Return to Maker cho AML Maker.
2. Hệ thống ghi nhận đề xuất của AML Maker.
3. Trạng thái case đổi thành "Pending AML Checker review" (chuyển tiếp bước 7).</t>
  </si>
  <si>
    <t>WF_TM_DVKH.06.02</t>
  </si>
  <si>
    <t>AML Maker đề xuất "Recommend Close and send STR" - case thủ công DVKH</t>
  </si>
  <si>
    <t>WF_TM_DVKH.06.03</t>
  </si>
  <si>
    <t>AML Maker yêu cầu bổ sung thông tin ("Return to Maker") - case thủ công DVKH</t>
  </si>
  <si>
    <t>1. Màn hình ECM hiển thị case, trạng thái "Pending AML Maker"; hiển thị các Action: Recommend Close and Not Send STR / Recommend Close and send STR / Return to Maker cho AML Maker.
2. Hệ thống ghi nhận lựa chọn "Return to Maker".
3. Trạng thái case đổi thành "Pending Maker"; hệ thống tự động gửi email theo mẫu EM-8 đến DVKH Maker (quay lại bước 3 - xem WF_TM_DVKH.03.02).</t>
  </si>
  <si>
    <t>WF_TM_DVKH.06.04</t>
  </si>
  <si>
    <t>1. Hệ thống hiển thị thông tin case nhưng KHÔNG hiển thị các Action "Recommend Close and Not Send STR" / "Recommend Close and send STR" / "Return to Maker" cho user role Checker N+1. Case vẫn giữ trạng thái "Pending AML Maker".</t>
  </si>
  <si>
    <t>WF_TM_DVKH.07</t>
  </si>
  <si>
    <t>WF_TM_DVKH.07.01</t>
  </si>
  <si>
    <t>AML Checker từ chối gửi STR ("Closed and Not Send STR") - case thủ công DVKH</t>
  </si>
  <si>
    <t>Case đã được AML Maker đề xuất ở bước 6. Case đang ở trạng thái "Pending AML Checker review", chờ AML Checker phê duyệt.</t>
  </si>
  <si>
    <t>WF_TM_DVKH.07.02</t>
  </si>
  <si>
    <t>AML Checker phê duyệt gửi STR ("Approve sending STR") - case thủ công DVKH</t>
  </si>
  <si>
    <t>WF_TM_DVKH.07.03</t>
  </si>
  <si>
    <t>AML Checker yêu cầu bổ sung thông tin ("Return to Maker") - case thủ công DVKH</t>
  </si>
  <si>
    <t>1. Màn hình ECM hiển thị case, trạng thái "Pending AML Checker review"; hiển thị các Action: Closed and Not Send STR / Approve sending STR / Return to Maker cho AML Checker.
2. Hệ thống ghi nhận lựa chọn "Return to Maker".
3. Trạng thái case đổi thành "Pending Maker" (quay lại bước 3 - xem WF_TM_DVKH.03.02).
4. Hệ thống không gửi email tự động ở bước này (BRD không mô tả email cho hành động Return to Maker tại bước 7).</t>
  </si>
  <si>
    <t>WF_TM_DVKH.07.04</t>
  </si>
  <si>
    <t>1. Đăng nhập hệ thống AML bằng user role AML Maker (người đã đề xuất ở bước 6), vào màn hình ECM, tìm và mở case.</t>
  </si>
  <si>
    <t>1. Hệ thống hiển thị thông tin case nhưng KHÔNG hiển thị các Action "Closed and Not Send STR" / "Approve sending STR" / "Return to Maker" cho user role AML Maker. Case vẫn giữ trạng thái "Pending AML Checker review".</t>
  </si>
  <si>
    <t>DỰ ÁN TRIỂN KHAI BẢN QUYỀN PHẦN MỀM HỆ THỐNG AML MỚI - Luồng giao dịch đáng ngờ do Bộ phận AML tạo thủ công</t>
  </si>
  <si>
    <t>WF_TM_AML.01</t>
  </si>
  <si>
    <t>AML Maker tạo sự vụ thủ công và tạo STR</t>
  </si>
  <si>
    <t>WF_TM_AML.01.01</t>
  </si>
  <si>
    <t>AML Maker tạo sự vụ thủ công ("Create Case") do tự nhận diện (bước 1a)</t>
  </si>
  <si>
    <t>AML Maker (Bộ phận AML) tự nhận diện được giao dịch/khách hàng có dấu hiệu đáng ngờ, chưa có case trong hệ thống.</t>
  </si>
  <si>
    <t>1. Đăng nhập hệ thống AML bằng user role AML Maker, vào màn hình ECM, chọn tạo case thủ công mới.
2. Nhập thông tin case, chọn Take Action = "Create Case".
3. Chọn nút Save.</t>
  </si>
  <si>
    <t>- User role: AML Maker
- Khách hàng: &lt;khách hàng do Bộ phận AML tự nhận diện&gt;
- Action chọn: Create Case</t>
  </si>
  <si>
    <t>1. Màn hình ECM cho phép AML Maker tạo case thủ công mới.
2. Hệ thống ghi nhận thông tin case vừa tạo.
3. Case mới được tạo với trạng thái "Pending Generate STR" (chuyển tiếp bước 1b - tạo STR). (Lưu ý: BRD không nêu email tự động ở bước tạo case thủ công của AML - khác với luồng DVKH luôn có EM-2.)</t>
  </si>
  <si>
    <t>WF_TM_AML.01.02</t>
  </si>
  <si>
    <t>AML Maker tạo STR và trình duyệt lên AML Checker (bước 1b)</t>
  </si>
  <si>
    <t>Case thủ công do AML Maker tạo ở bước 1a. Case đang ở trạng thái "Pending Generate STR".</t>
  </si>
  <si>
    <t>1. Đăng nhập hệ thống AML bằng user role AML Maker, vào màn hình ECM, tìm và mở case đang ở trạng thái "Pending Generate STR".
2. Nhập thông tin màn hình STR (tham chiếu Phụ lục 6.1 - Màn hình STR), chọn Take Action = "Create STR and Submit to Checker".
3. Chọn nút Save.</t>
  </si>
  <si>
    <t>- Case ID: &lt;case ở "Pending Generate STR"&gt;
- User role: AML Maker
- Action chọn: Create STR and Submit to Checker
- Nội dung STR: nhập đầy đủ theo Phụ lục 6.1</t>
  </si>
  <si>
    <t>1. Màn hình ECM hiển thị case, trạng thái "Pending Generate STR"; hệ thống chỉ hiển thị màn hình tạo STR/Action cho AML Maker.
2. Hệ thống ghi nhận nội dung STR vừa tạo.
3. Trạng thái case chuyển thành "Pending AML Checker review" (chuyển tiếp bước 2 - AML Checker rà soát).</t>
  </si>
  <si>
    <t>WF_TM_AML.01.03</t>
  </si>
  <si>
    <t>AML Maker bổ sung thông tin ("Maker Add Information") sau khi bị AML Checker "Return to Maker" ở bước 2</t>
  </si>
  <si>
    <t>Case đang ở trạng thái "Pending AML Maker" do AML Checker thực hiện "Return to Maker" tại bước 2 (rà soát STR).</t>
  </si>
  <si>
    <t>1. Đăng nhập hệ thống AML bằng user role AML Maker, vào màn hình ECM, tìm và mở case đang ở trạng thái "Pending AML Maker".
2. Bổ sung thông tin/tài liệu vào hồ sơ STR theo yêu cầu, chọn Take Action = "Maker Add Information".
3. Chọn nút Save.</t>
  </si>
  <si>
    <t>- Case ID: &lt;case ở "Pending AML Maker" do Return to Maker từ bước 2&gt;
- User role: AML Maker
- Action chọn: Maker Add Information</t>
  </si>
  <si>
    <t>1. Màn hình ECM hiển thị case ở trạng thái "Pending AML Maker"; hệ thống chỉ hiển thị Action "Maker Add Information" cho AML Maker.
2. Hệ thống ghi nhận thông tin bổ sung vào hồ sơ STR.
3. Trạng thái case chuyển lại thành "Pending AML Checker review", chuyển tiếp AML Checker rà soát lại (quay lại bước 2).</t>
  </si>
  <si>
    <t>Action dùng là "Maker Add Information" - nhất quán với tên action Checker-trả-lại-Maker dùng xuyên suốt BRD (vd WF_TM_AUTO.02.04, WF_TM_DVKH.01.02...), áp dụng theo cùng pattern cho luồng AML thủ công.</t>
  </si>
  <si>
    <t>WF_TM_AML.01.04</t>
  </si>
  <si>
    <t>Vai trò khác (không phải AML Maker) không thấy Action tạo case/STR trong luồng AML thủ công</t>
  </si>
  <si>
    <t>Case thủ công do AML Maker tạo, đang ở trạng thái "Pending Generate STR" hoặc "Pending AML Maker".</t>
  </si>
  <si>
    <t>1. Đăng nhập hệ thống AML bằng user role DVKH Maker, vào màn hình ECM, tìm và mở case đang ở trạng thái "Pending Generate STR".</t>
  </si>
  <si>
    <t>- Case ID: &lt;case ở "Pending Generate STR" (nguồn AML thủ công)&gt;
- User role: DVKH Maker (vai trò không có quyền ở luồng này)</t>
  </si>
  <si>
    <t>1. Hệ thống hiển thị thông tin case nhưng KHÔNG hiển thị Action tạo/nộp STR cho user role DVKH Maker, vì case này thuộc luồng thủ công do Bộ phận AML quản lý. Case vẫn giữ trạng thái hiện tại, chờ đúng AML Maker xử lý.</t>
  </si>
  <si>
    <t>WF_TM_AML.02</t>
  </si>
  <si>
    <t>WF_TM_AML.02.01</t>
  </si>
  <si>
    <t>AML Checker từ chối gửi STR ("Closed and Not Send STR") - case thủ công AML</t>
  </si>
  <si>
    <t>Case thủ công AML đã được AML Maker tạo STR ở bước 1b. Case đang ở trạng thái "Pending AML Checker review".</t>
  </si>
  <si>
    <t>1. Đăng nhập hệ thống AML bằng user role AML Checker, vào màn hình ECM, tìm và mở case.
2. Rà soát hồ sơ STR, chọn Take Action = "Closed and Not Send STR".
3. Chọn nút Save.</t>
  </si>
  <si>
    <t>WF_TM_AML.02.02</t>
  </si>
  <si>
    <t>AML Checker phê duyệt gửi STR ("Approve sending STR") - case thủ công AML</t>
  </si>
  <si>
    <t>1. Đăng nhập hệ thống AML bằng user role AML Checker, vào màn hình ECM, tìm và mở case.
2. Rà soát hồ sơ STR, chọn Take Action = "Approve sending STR".
3. Chọn nút Save.</t>
  </si>
  <si>
    <t>Đây là case gốc AML thủ công đúng chuẩn mẫu tại mục 4 (Nguyen_tac_viet_testcase_TM_MSB.docx): "AML Checker 'Approve sending STR'".</t>
  </si>
  <si>
    <t>WF_TM_AML.02.03</t>
  </si>
  <si>
    <t>AML Checker yêu cầu bổ sung thông tin ("Return to Maker") - case thủ công AML</t>
  </si>
  <si>
    <t>Case thủ công AML đang ở trạng thái "Pending AML Checker review", chờ AML Checker phê duyệt.</t>
  </si>
  <si>
    <t>1. Màn hình ECM hiển thị case, trạng thái "Pending AML Checker review"; hiển thị các Action: Closed and Not Send STR / Approve sending STR / Return to Maker cho AML Checker.
2. Hệ thống ghi nhận lựa chọn "Return to Maker".
3. Trạng thái case đổi thành "Pending AML Maker" (quay lại bước 1 - xem WF_TM_AML.01.03). BRD không nêu email tự động cho luồng AML thủ công.</t>
  </si>
  <si>
    <t>WF_TM_AML.02.04</t>
  </si>
  <si>
    <t>1. Đăng nhập hệ thống AML bằng user role AML Maker (người đã tạo STR), vào màn hình ECM, tìm và mở case.</t>
  </si>
  <si>
    <t>DỰ ÁN TRIỂN KHAI BẢN QUYỀN PHẦN MỀM HỆ THỐNG AML MỚI - Luồng thực hiện Re-open case</t>
  </si>
  <si>
    <t>WF_TM_REOPEN.01</t>
  </si>
  <si>
    <t>Thực hiện Re-open case đã đóng</t>
  </si>
  <si>
    <t>WF_TM_REOPEN.01.01</t>
  </si>
  <si>
    <t>Re-open case gốc hệ thống/DVKH thủ công đang ở "Closed - No Further Action"</t>
  </si>
  <si>
    <t>Case có nguồn gốc từ hệ thống OFSAA hoặc do DVKH Maker tạo thủ công, hiện đang ở trạng thái đóng "Closed - No Further Action".</t>
  </si>
  <si>
    <t>1. Đăng nhập hệ thống AML bằng user role Maker hoặc Checker liên quan, vào màn hình ECM, tìm và mở case đang ở trạng thái "Closed - No Further Action".
2. Chọn Take Action = "Re-open".
3. Chọn nút Save.</t>
  </si>
  <si>
    <t>- Case ID: &lt;case gốc hệ thống/DVKH thủ công ở "Closed - No Further Action"&gt;
- User role: Maker/Checker
- Action chọn: Re-open</t>
  </si>
  <si>
    <t>1. Màn hình ECM hiển thị case đã đóng và Action "Re-open" cho user role Maker/Checker liên quan.
2. Hệ thống ghi nhận yêu cầu mở lại case.
3. Trạng thái case chuyển thành "Pending Maker"; hệ thống tự động gửi email theo mẫu EM-9 tới DVKH Maker ban đầu xử lý case và group email của DVKH Checker (chuyển tiếp bước 2 - xem WF_TM_REOPEN.02.01).</t>
  </si>
  <si>
    <t>WF_TM_REOPEN.01.02</t>
  </si>
  <si>
    <t>Re-open case gốc hệ thống/DVKH thủ công đang ở "Closed - Under Monitoring"</t>
  </si>
  <si>
    <t>Case có nguồn gốc từ hệ thống OFSAA hoặc do DVKH Maker tạo thủ công, hiện đang ở trạng thái đóng "Closed - Under Monitoring".</t>
  </si>
  <si>
    <t>1. Đăng nhập hệ thống AML bằng user role Maker hoặc Checker liên quan, vào màn hình ECM, tìm và mở case đang ở trạng thái "Closed - Under Monitoring".
2. Chọn Take Action = "Re-open".
3. Chọn nút Save.</t>
  </si>
  <si>
    <t>- Case ID: &lt;case gốc hệ thống/DVKH thủ công ở "Closed - Under Monitoring"&gt;
- User role: Maker/Checker
- Action chọn: Re-open</t>
  </si>
  <si>
    <t>WF_TM_REOPEN.01.03</t>
  </si>
  <si>
    <t>Re-open case gốc hệ thống/DVKH thủ công đang ở "Rejected sending STR"</t>
  </si>
  <si>
    <t>Case có nguồn gốc từ hệ thống OFSAA hoặc do DVKH Maker tạo thủ công, hiện đang ở trạng thái đóng "Rejected sending STR" (bị DVKH Checker hoặc Checker N+1 từ chối phê duyệt STR).</t>
  </si>
  <si>
    <t>1. Đăng nhập hệ thống AML bằng user role Maker hoặc Checker liên quan, vào màn hình ECM, tìm và mở case đang ở trạng thái "Rejected sending STR".
2. Chọn Take Action = "Re-open".
3. Chọn nút Save.</t>
  </si>
  <si>
    <t>- Case ID: &lt;case gốc hệ thống/DVKH thủ công ở "Rejected sending STR"&gt;
- User role: Maker/Checker
- Action chọn: Re-open</t>
  </si>
  <si>
    <t>WF_TM_REOPEN.01.04</t>
  </si>
  <si>
    <t>Re-open case gốc hệ thống/DVKH thủ công đang ở "Closed - Not Send STR"</t>
  </si>
  <si>
    <t>Case có nguồn gốc từ hệ thống OFSAA hoặc do DVKH Maker tạo thủ công, đã đi qua đủ pipeline tới AML Checker và hiện đang ở trạng thái đóng "Closed - Not Send STR".</t>
  </si>
  <si>
    <t>1. Đăng nhập hệ thống AML bằng user role Maker hoặc Checker liên quan, vào màn hình ECM, tìm và mở case đang ở trạng thái "Closed - Not Send STR".
2. Chọn Take Action = "Re-open".
3. Chọn nút Save.</t>
  </si>
  <si>
    <t>- Case ID: &lt;case gốc hệ thống/DVKH thủ công ở "Closed - Not Send STR"&gt;
- User role: Maker/Checker
- Action chọn: Re-open</t>
  </si>
  <si>
    <t>WF_TM_REOPEN.01.05</t>
  </si>
  <si>
    <t>Re-open case gốc hệ thống/DVKH thủ công đang ở "Approved STR"</t>
  </si>
  <si>
    <t>Case có nguồn gốc từ hệ thống OFSAA hoặc do DVKH Maker tạo thủ công, đã đi qua đủ pipeline và hiện đang ở trạng thái đóng "Approved STR" (đã phê duyệt gửi STR).</t>
  </si>
  <si>
    <t>1. Đăng nhập hệ thống AML bằng user role Maker hoặc Checker liên quan, vào màn hình ECM, tìm và mở case đang ở trạng thái "Approved STR".
2. Chọn Take Action = "Re-open".
3. Chọn nút Save.</t>
  </si>
  <si>
    <t>- Case ID: &lt;case gốc hệ thống/DVKH thủ công ở "Approved STR"&gt;
- User role: Maker/Checker
- Action chọn: Re-open</t>
  </si>
  <si>
    <t>Đã xác nhận với nghiệp vụ: hệ thống không gửi trực tiếp STR cho cơ quan chức năng - "Approved STR" chỉ là trạng thái phê duyệt nội bộ cuối cùng, không phải một lần gửi ra ngoài không thể đảo ngược. Nghiệp vụ yêu cầu re-open vẫn cho phép tạo/chỉnh sửa lại EDD và STR bất kể case đang đóng ở trạng thái nào (xem tiếp WF_TM_REOPEN.02.01). Vì vậy không phát sinh ràng buộc/kiểm soát bổ sung nào khác ngoài luồng re-open đã mô tả.</t>
  </si>
  <si>
    <t>WF_TM_REOPEN.01.06</t>
  </si>
  <si>
    <t>Re-open case gốc AML thủ công đang ở "Closed - Not Send STR"</t>
  </si>
  <si>
    <t>Case do Bộ phận AML (AML Maker) tạo thủ công (không qua bước đánh giá EDD của DVKH), hiện đang ở trạng thái đóng "Closed - Not Send STR".</t>
  </si>
  <si>
    <t>1. Đăng nhập hệ thống AML bằng user role AML Maker/AML Checker liên quan, vào màn hình ECM, tìm và mở case đang ở trạng thái "Closed - Not Send STR".
2. Chọn Take Action = "Re-open".
3. Chọn nút Save.</t>
  </si>
  <si>
    <t>- Case ID: &lt;case gốc AML thủ công ở "Closed - Not Send STR"&gt;
- User role: AML Maker/AML Checker
- Action chọn: Re-open</t>
  </si>
  <si>
    <t>1. Màn hình ECM hiển thị case đã đóng và Action "Re-open" cho user role AML Maker/AML Checker liên quan.
2. Hệ thống ghi nhận yêu cầu mở lại case.
3. Trạng thái case chuyển thành "Pending AML Maker" (chuyển tiếp bước 2 - xem WF_TM_REOPEN.02.02). BRD không nêu mã email tự động cho nhánh re-open case gốc AML thủ công (khác với nhánh DVKH có EM-9).</t>
  </si>
  <si>
    <t>WF_TM_REOPEN.01.07</t>
  </si>
  <si>
    <t>Re-open case gốc AML thủ công đang ở "Approved STR"</t>
  </si>
  <si>
    <t>Case do Bộ phận AML (AML Maker) tạo thủ công, hiện đang ở trạng thái đóng "Approved STR".</t>
  </si>
  <si>
    <t>1. Đăng nhập hệ thống AML bằng user role AML Maker/AML Checker liên quan, vào màn hình ECM, tìm và mở case đang ở trạng thái "Approved STR".
2. Chọn Take Action = "Re-open".
3. Chọn nút Save.</t>
  </si>
  <si>
    <t>- Case ID: &lt;case gốc AML thủ công ở "Approved STR"&gt;
- User role: AML Maker/AML Checker
- Action chọn: Re-open</t>
  </si>
  <si>
    <t>1. Màn hình ECM hiển thị case đã đóng và Action "Re-open" cho user role AML Maker/AML Checker liên quan.
2. Hệ thống ghi nhận yêu cầu mở lại case.
3. Trạng thái case chuyển thành "Pending AML Maker" (chuyển tiếp bước 2 - xem WF_TM_REOPEN.02.02).</t>
  </si>
  <si>
    <t>Đã xác nhận với nghiệp vụ (tương tự WF_TM_REOPEN.01.05): hệ thống không gửi trực tiếp STR cho cơ quan chức năng, và nghiệp vụ yêu cầu vẫn cho tạo/chỉnh sửa lại EDD và STR sau khi re-open (xem tiếp WF_TM_REOPEN.02.02). Không có ràng buộc bổ sung nào khác.</t>
  </si>
  <si>
    <t>WF_TM_REOPEN.01.08</t>
  </si>
  <si>
    <t>Vai trò không có quyền không thấy Action "Re-open" trên case đã đóng</t>
  </si>
  <si>
    <t>Case đang ở một trong các trạng thái đóng (ví dụ "Closed - No Further Action").</t>
  </si>
  <si>
    <t>1. Đăng nhập hệ thống AML bằng user role không liên quan đến case (ví dụ AML Maker đối với case gốc DVKH thủ công thuần), vào màn hình ECM, tìm và mở case đã đóng.</t>
  </si>
  <si>
    <t>- Case ID: &lt;case đã đóng&gt;
- User role: vai trò không liên quan/không có quyền re-open</t>
  </si>
  <si>
    <t>1. Hệ thống hiển thị thông tin case đã đóng nhưng KHÔNG hiển thị Action "Re-open" cho user role không có quyền. Case vẫn giữ trạng thái đóng hiện tại.</t>
  </si>
  <si>
    <t>WF_TM_REOPEN.02</t>
  </si>
  <si>
    <t>Xử lý lại cảnh báo/STR sau khi Re-open</t>
  </si>
  <si>
    <t>WF_TM_REOPEN.02.01</t>
  </si>
  <si>
    <t>DVKH Maker điền lại EDD và đề xuất xử lý cảnh báo sau khi case được Re-open (bước 2a)</t>
  </si>
  <si>
    <t>Case gốc hệ thống/DVKH thủ công đã được Re-open ở bước 1, đang ở trạng thái "Pending Maker", chờ DVKH Maker xử lý lại.</t>
  </si>
  <si>
    <t>1. Đăng nhập hệ thống AML bằng user role DVKH Maker, vào màn hình ECM, tìm và mở case đang ở trạng thái "Pending Maker".
2. Điền lại bộ câu hỏi EDD và/hoặc bổ sung thêm thông tin/tài liệu, chọn Take Action tương ứng ("Recommend to Not suspicious" / "Recommend to suspicious" / "Recommend to Under monitoring").
3. Chọn nút Save.</t>
  </si>
  <si>
    <t>- Case ID: &lt;case vừa được re-open ở "Pending Maker"&gt;
- User role: DVKH Maker
- Action chọn: Recommend to Not suspicious / suspicious / Under monitoring (chọn 1 giá trị)
- Bộ câu hỏi EDD: điền lại theo Phụ lục 3</t>
  </si>
  <si>
    <t>1. Màn hình ECM hiển thị case ở trạng thái "Pending Maker"; hệ thống chỉ hiển thị màn hình điền lại EDD/Action cho DVKH Maker.
2. Hệ thống ghi nhận đề xuất xử lý cảnh báo mới cùng thông tin/tài liệu bổ sung.
3. Trạng thái case chuyển thành "Pending Checker Review"; hệ thống tự động gửi email theo mẫu EM-2 đến DVKH Checker (chuyển tiếp bước 3, thực hiện lại tương tự WF_TM_AUTO bước 3-8 hoặc WF_TM_DVKH bước 2-7 tùy nguồn gốc case - xem các test case tương ứng, không lặp lại tại đây).</t>
  </si>
  <si>
    <t>WF_TM_REOPEN.02.02</t>
  </si>
  <si>
    <t>AML Maker bổ sung thông tin ("Maker Add Information") và tạo lại STR sau khi case được Re-open (bước 2b)</t>
  </si>
  <si>
    <t>Case gốc AML thủ công đã được Re-open ở bước 1, đang ở trạng thái "Pending AML Maker", chờ AML Maker xử lý lại.</t>
  </si>
  <si>
    <t>1. Đăng nhập hệ thống AML bằng user role AML Maker, vào màn hình ECM, tìm và mở case đang ở trạng thái "Pending AML Maker".
2. Bổ sung thêm thông tin/tài liệu và cập nhật hồ sơ STR, chọn Take Action = "Maker Add Information".
3. Chọn nút Save.</t>
  </si>
  <si>
    <t>- Case ID: &lt;case vừa được re-open ở "Pending AML Maker"&gt;
- User role: AML Maker
- Action chọn: Maker Add Information</t>
  </si>
  <si>
    <t>1. Màn hình ECM hiển thị case ở trạng thái "Pending AML Maker"; hệ thống chỉ hiển thị Action "Maker Add Information" cho AML Maker.
2. Hệ thống ghi nhận thông tin bổ sung và nội dung STR cập nhật.
3. Trạng thái case chuyển thành "Pending AML Checker review" (chuyển tiếp bước 3, thực hiện lại tương tự WF_TM_AML bước 2 - xem test case tương ứng, không lặp lại tại đây).</t>
  </si>
  <si>
    <t>Action dùng là "Maker Add Information", nhất quán với WF_TM_AML.01.03 và pattern chung của BRD cho hành động Checker-trả-lại-Maker.</t>
  </si>
  <si>
    <t>WF_TM_REOPEN.03</t>
  </si>
  <si>
    <t>Tiếp tục luồng sau Re-open: tái sử dụng test case của WF_TM_AUTO / WF_TM_DVKH / WF_TM_AML (không tạo test case-lá riêng, xem Notes)</t>
  </si>
  <si>
    <t>Theo BRD (mục "Luồng thực hiện re-open case", bước 3): "Các bước tiếp theo thực hiện tương tự luồng giám sát giao dịch ở mục II.1.1 và II.1.2" - cụ thể: (1) Case gốc hệ thống: lặp lại các bước 3→8 của WF_TM_AUTO (test case WF_TM_AUTO.03.xx - WF_TM_AUTO.08.xx); (2) Case gốc DVKH thủ công: lặp lại các bước 3→7 của WF_TM_DVKH (WF_TM_DVKH.03.xx - WF_TM_DVKH.07.xx); (3) Case gốc AML thủ công: lặp lại bước 2 của WF_TM_AML (WF_TM_AML.02.xx). Quyết định thiết kế: KHÔNG nhân bản lại các test case này trong sheet Re-open để tránh trùng lặp/khó bảo trì; tham chiếu trực tiếp ID test case tương ứng khi lập kế hoạch test/Test Report.</t>
  </si>
  <si>
    <t>Giai đoạn kiểm thử</t>
  </si>
  <si>
    <t>Test Level</t>
  </si>
  <si>
    <t>Giá trị</t>
  </si>
  <si>
    <t>Giải thích</t>
  </si>
  <si>
    <t>Value</t>
  </si>
  <si>
    <t>Description</t>
  </si>
  <si>
    <t>UT</t>
  </si>
  <si>
    <t>Kiểm thử kỹ thuật (Unit Test) (IT thực hiện)</t>
  </si>
  <si>
    <t>Kiểm thử tích hợp hệ thống (System Integration Test) (IT thực hiện)</t>
  </si>
  <si>
    <t>OAT</t>
  </si>
  <si>
    <t>Kiểm thử vận hành (Operation Acceptance Test) (IT thực hiện)</t>
  </si>
  <si>
    <t>ST</t>
  </si>
  <si>
    <t>Kiểm thử an ninh thông tin (Security Test) (IT thực hiện)</t>
  </si>
  <si>
    <t>UAT</t>
  </si>
  <si>
    <t>Kiểm thử người dùng cuối (User Acceptance Test) (ĐVNV thực hiện)</t>
  </si>
  <si>
    <t>Độ ưu tiên</t>
  </si>
  <si>
    <t>Ưu tiên cao</t>
  </si>
  <si>
    <t>Ưu tiên trung bình</t>
  </si>
  <si>
    <t>Ưu tiên thấp/không ưu tiên</t>
  </si>
  <si>
    <t>Cách thực hiện test</t>
  </si>
  <si>
    <t>Y</t>
  </si>
  <si>
    <t>Thực hiện Auto test</t>
  </si>
  <si>
    <t>Thực hiện Manual test</t>
  </si>
  <si>
    <t>Trạng thái</t>
  </si>
  <si>
    <t>Status</t>
  </si>
  <si>
    <t>Chưa thực hiện</t>
  </si>
  <si>
    <t>Đạt yêu cầu</t>
  </si>
  <si>
    <t>Không đạt yêu cầu</t>
  </si>
  <si>
    <t>Một testcase tạm dừng thực hiện do ảnh hưởng bởi testcase khác fail hoặc cần xác nhận từ các bên liên quan.</t>
  </si>
  <si>
    <t>Không thực hiện</t>
  </si>
  <si>
    <t>Total = 'Untested' + 'Passed' + 'Failed' + 'Pending' + 'Cancel</t>
  </si>
  <si>
    <t>% Executed</t>
  </si>
  <si>
    <t>% Executed = ('Total' - 'Todo' - 'Un-executed')/'Total'</t>
  </si>
  <si>
    <t>% Pass</t>
  </si>
  <si>
    <t>% Pass = 'Pass'/'Total'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</si>
</sst>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d\-mmm\-yy;@"/>
    <numFmt numFmtId="165" formatCode="[$-409]d\-mmm\-yy;@"/>
    <numFmt numFmtId="166" formatCode="[$]@"/>
    <numFmt numFmtId="167" formatCode="[$-409]0"/>
    <numFmt numFmtId="168" formatCode="0.0"/>
    <numFmt numFmtId="169" formatCode="d\-mmm\-yy;@"/>
  </numFmts>
  <fonts count="42">
    <font>
      <sz val="11"/>
      <color theme="1"/>
      <name val="Calibri"/>
      <family val="2"/>
      <charset val="1"/>
    </font>
    <font>
      <sz val="11"/>
      <color rgb="FF000000"/>
      <name val="Calibri"/>
      <family val="2"/>
      <charset val="1"/>
    </font>
    <font>
      <sz val="10"/>
      <name val="Arial"/>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b/>
      <sz val="14"/>
      <color rgb="FF1F497D"/>
      <name val="Arial"/>
      <family val="2"/>
      <charset val="1"/>
    </font>
    <font>
      <b/>
      <sz val="10"/>
      <color rgb="FF0000FF"/>
      <name val="Arial"/>
      <family val="2"/>
      <charset val="1"/>
    </font>
    <font>
      <b/>
      <sz val="10"/>
      <color rgb="FFFFFFFF"/>
      <name val="Arial"/>
      <family val="2"/>
      <charset val="1"/>
    </font>
    <font>
      <u/>
      <sz val="11"/>
      <color theme="10"/>
      <name val="Calibri"/>
      <family val="2"/>
      <charset val="1"/>
    </font>
    <font>
      <sz val="10"/>
      <name val="Arial"/>
      <family val="2"/>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8"/>
      <color rgb="FF000000"/>
      <name val="Arial"/>
      <family val="2"/>
      <charset val="1"/>
    </font>
    <font>
      <i/>
      <sz val="10"/>
      <color rgb="FF000000"/>
      <name val="Arial"/>
      <family val="2"/>
      <charset val="1"/>
    </font>
    <font>
      <sz val="10"/>
      <color rgb="FF000000"/>
      <name val="Arial"/>
      <family val="2"/>
      <charset val="1"/>
    </font>
    <font>
      <b/>
      <sz val="10"/>
      <color rgb="FF000000"/>
      <name val="Arial"/>
      <family val="2"/>
      <charset val="1"/>
    </font>
    <font>
      <b/>
      <sz val="12"/>
      <color rgb="FF1F497D"/>
      <name val="Times New Roman"/>
      <family val="1"/>
      <charset val="1"/>
    </font>
    <font>
      <b/>
      <sz val="12"/>
      <name val="Times New Roman"/>
      <family val="1"/>
      <charset val="1"/>
    </font>
    <font>
      <b/>
      <sz val="11"/>
      <name val="Times New Roman"/>
      <family val="1"/>
      <charset val="1"/>
    </font>
    <font>
      <b/>
      <sz val="11"/>
      <color rgb="FFC00000"/>
      <name val="Times New Roman"/>
      <family val="1"/>
      <charset val="1"/>
    </font>
    <font>
      <sz val="11"/>
      <name val="Times New Roman"/>
      <family val="1"/>
      <charset val="1"/>
    </font>
    <font>
      <b/>
      <sz val="10"/>
      <name val="Arial"/>
      <charset val="1"/>
    </font>
    <font>
      <sz val="10"/>
      <name val="Arial"/>
      <charset val="1"/>
    </font>
    <font>
      <b/>
      <sz val="12"/>
      <color rgb="FFFF0000"/>
      <name val="Times New Roman"/>
      <charset val="1"/>
    </font>
    <font>
      <i/>
      <sz val="12"/>
      <color rgb="FFFF0000"/>
      <name val="Times New Roman"/>
      <charset val="1"/>
    </font>
    <font>
      <sz val="12"/>
      <color rgb="FF000000"/>
      <name val="Times New Roman"/>
      <charset val="1"/>
    </font>
  </fonts>
  <fills count="18">
    <fill>
      <patternFill patternType="none"/>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FFF2CC"/>
        <bgColor rgb="FFFDE9D9"/>
      </patternFill>
    </fill>
    <fill>
      <patternFill patternType="solid">
        <fgColor rgb="FF2F5597"/>
        <bgColor rgb="FF1F497D"/>
      </patternFill>
    </fill>
    <fill>
      <patternFill patternType="solid">
        <fgColor rgb="FFD9E1F2"/>
        <bgColor rgb="FFBDD7EE"/>
      </patternFill>
    </fill>
    <fill>
      <patternFill patternType="solid">
        <fgColor rgb="FFFDE9D9"/>
        <bgColor rgb="FFFFF2CC"/>
      </patternFill>
    </fill>
    <fill>
      <patternFill patternType="solid">
        <fgColor rgb="FF00B0F0"/>
        <bgColor rgb="FF008080"/>
      </patternFill>
    </fill>
    <fill>
      <patternFill patternType="solid">
        <fgColor rgb="FF92D050"/>
        <bgColor rgb="FFA7D6E3"/>
      </patternFill>
    </fill>
    <fill>
      <patternFill patternType="solid">
        <fgColor rgb="FFFF0000"/>
        <bgColor rgb="FFC00000"/>
      </patternFill>
    </fill>
    <fill>
      <patternFill patternType="solid">
        <fgColor rgb="FFFFC000"/>
        <bgColor rgb="FFFAC090"/>
      </patternFill>
    </fill>
    <fill>
      <patternFill patternType="solid">
        <fgColor rgb="FF7F7F7F"/>
        <bgColor rgb="FF808080"/>
      </patternFill>
    </fill>
  </fills>
  <borders count="4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3"/>
      </left>
      <right style="thin">
        <color theme="3" tint="0.39988402966399123"/>
      </right>
      <top style="thin">
        <color theme="3" tint="0.39988402966399123"/>
      </top>
      <bottom style="thin">
        <color theme="3" tint="0.39988402966399123"/>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808080"/>
      </left>
      <right style="thin">
        <color rgb="FF808080"/>
      </right>
      <top/>
      <bottom/>
      <diagonal/>
    </border>
    <border>
      <left style="thin">
        <color auto="1"/>
      </left>
      <right style="thin">
        <color auto="1"/>
      </right>
      <top/>
      <bottom/>
      <diagonal/>
    </border>
  </borders>
  <cellStyleXfs count="4">
    <xf numFmtId="0" fontId="0" fillId="0" borderId="0"/>
    <xf numFmtId="164" fontId="1" fillId="0" borderId="0"/>
    <xf numFmtId="164" fontId="1" fillId="0" borderId="0"/>
    <xf numFmtId="164" fontId="3" fillId="0" borderId="0"/>
  </cellStyleXfs>
  <cellXfs count="154">
    <xf numFmtId="0" fontId="0" fillId="0" borderId="0" xfId="0"/>
    <xf numFmtId="164" fontId="4" fillId="2" borderId="0" xfId="0" applyNumberFormat="1" applyFont="1" applyFill="1" applyAlignment="1">
      <alignment vertical="center"/>
    </xf>
    <xf numFmtId="164" fontId="5" fillId="2" borderId="0" xfId="0" applyNumberFormat="1" applyFont="1" applyFill="1"/>
    <xf numFmtId="164" fontId="7" fillId="3" borderId="3" xfId="0" applyNumberFormat="1" applyFont="1" applyFill="1" applyBorder="1" applyAlignment="1">
      <alignment shrinkToFit="1"/>
    </xf>
    <xf numFmtId="164" fontId="7" fillId="3" borderId="0" xfId="0" applyNumberFormat="1" applyFont="1" applyFill="1" applyAlignment="1">
      <alignment shrinkToFit="1"/>
    </xf>
    <xf numFmtId="164" fontId="7" fillId="3" borderId="4" xfId="0" applyNumberFormat="1" applyFont="1" applyFill="1" applyBorder="1" applyAlignment="1">
      <alignment shrinkToFit="1"/>
    </xf>
    <xf numFmtId="164" fontId="9" fillId="3" borderId="3" xfId="0" applyNumberFormat="1" applyFont="1" applyFill="1" applyBorder="1" applyAlignment="1">
      <alignment horizontal="center" vertical="center" wrapText="1"/>
    </xf>
    <xf numFmtId="164" fontId="9" fillId="3" borderId="0" xfId="0" applyNumberFormat="1" applyFont="1" applyFill="1" applyAlignment="1">
      <alignment horizontal="center" vertical="center" wrapText="1"/>
    </xf>
    <xf numFmtId="164" fontId="9" fillId="3" borderId="4" xfId="0" applyNumberFormat="1" applyFont="1" applyFill="1" applyBorder="1" applyAlignment="1">
      <alignment horizontal="center" vertical="center" wrapText="1"/>
    </xf>
    <xf numFmtId="164" fontId="11" fillId="3" borderId="4" xfId="0" applyNumberFormat="1" applyFont="1" applyFill="1" applyBorder="1" applyAlignment="1">
      <alignment horizontal="center"/>
    </xf>
    <xf numFmtId="164" fontId="11" fillId="3" borderId="3" xfId="0" applyNumberFormat="1" applyFont="1" applyFill="1" applyBorder="1" applyAlignment="1">
      <alignment horizontal="left"/>
    </xf>
    <xf numFmtId="164" fontId="13" fillId="0" borderId="0" xfId="0" applyNumberFormat="1" applyFont="1" applyAlignment="1">
      <alignment horizontal="left" vertical="center" wrapText="1"/>
    </xf>
    <xf numFmtId="164" fontId="12" fillId="3" borderId="0" xfId="0" applyNumberFormat="1" applyFont="1" applyFill="1" applyAlignment="1">
      <alignment horizontal="left"/>
    </xf>
    <xf numFmtId="164" fontId="12" fillId="3" borderId="0" xfId="0" applyNumberFormat="1" applyFont="1" applyFill="1" applyAlignment="1">
      <alignment horizontal="left" vertical="center" wrapText="1"/>
    </xf>
    <xf numFmtId="164" fontId="11" fillId="3" borderId="0" xfId="0" applyNumberFormat="1" applyFont="1" applyFill="1" applyAlignment="1">
      <alignment horizontal="left"/>
    </xf>
    <xf numFmtId="164" fontId="11" fillId="3" borderId="4" xfId="0" applyNumberFormat="1" applyFont="1" applyFill="1" applyBorder="1" applyAlignment="1">
      <alignment horizontal="left"/>
    </xf>
    <xf numFmtId="164" fontId="11" fillId="3" borderId="3" xfId="0" applyNumberFormat="1" applyFont="1" applyFill="1" applyBorder="1" applyAlignment="1">
      <alignment horizontal="left" vertical="center" wrapText="1"/>
    </xf>
    <xf numFmtId="164" fontId="14"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164" fontId="15" fillId="3" borderId="4" xfId="0" applyNumberFormat="1" applyFont="1" applyFill="1" applyBorder="1" applyAlignment="1">
      <alignment horizontal="left" vertical="center" wrapText="1"/>
    </xf>
    <xf numFmtId="166" fontId="13" fillId="0" borderId="0" xfId="0" applyNumberFormat="1" applyFont="1" applyAlignment="1">
      <alignment horizontal="left" vertical="center" wrapText="1"/>
    </xf>
    <xf numFmtId="164" fontId="16" fillId="3" borderId="3" xfId="0" applyNumberFormat="1" applyFont="1" applyFill="1" applyBorder="1"/>
    <xf numFmtId="164" fontId="16" fillId="3" borderId="0" xfId="0" applyNumberFormat="1" applyFont="1" applyFill="1"/>
    <xf numFmtId="164" fontId="16" fillId="3" borderId="0" xfId="0" applyNumberFormat="1" applyFont="1" applyFill="1" applyAlignment="1">
      <alignment vertical="center"/>
    </xf>
    <xf numFmtId="164" fontId="16" fillId="3" borderId="4" xfId="0" applyNumberFormat="1" applyFont="1" applyFill="1" applyBorder="1" applyAlignment="1">
      <alignment vertical="center"/>
    </xf>
    <xf numFmtId="164" fontId="16" fillId="3" borderId="3" xfId="0" applyNumberFormat="1" applyFont="1" applyFill="1" applyBorder="1" applyAlignment="1">
      <alignment vertical="center"/>
    </xf>
    <xf numFmtId="164" fontId="16" fillId="3" borderId="5" xfId="0" applyNumberFormat="1" applyFont="1" applyFill="1" applyBorder="1" applyAlignment="1">
      <alignment vertical="center"/>
    </xf>
    <xf numFmtId="164" fontId="16" fillId="3" borderId="6" xfId="0" applyNumberFormat="1" applyFont="1" applyFill="1" applyBorder="1" applyAlignment="1">
      <alignment vertical="center"/>
    </xf>
    <xf numFmtId="164" fontId="16" fillId="3" borderId="7" xfId="0" applyNumberFormat="1" applyFont="1" applyFill="1" applyBorder="1" applyAlignment="1">
      <alignment vertical="center"/>
    </xf>
    <xf numFmtId="164" fontId="2" fillId="2" borderId="0" xfId="0" applyNumberFormat="1" applyFont="1" applyFill="1"/>
    <xf numFmtId="164" fontId="17" fillId="2" borderId="0" xfId="0" applyNumberFormat="1" applyFont="1" applyFill="1" applyAlignment="1">
      <alignment vertical="center"/>
    </xf>
    <xf numFmtId="164" fontId="18" fillId="2" borderId="0" xfId="0" applyNumberFormat="1" applyFont="1" applyFill="1"/>
    <xf numFmtId="164" fontId="19" fillId="4" borderId="8" xfId="0" applyNumberFormat="1" applyFont="1" applyFill="1" applyBorder="1" applyAlignment="1">
      <alignment horizontal="center" vertical="center" wrapText="1"/>
    </xf>
    <xf numFmtId="167" fontId="2" fillId="2" borderId="8" xfId="0" applyNumberFormat="1" applyFont="1" applyFill="1" applyBorder="1" applyAlignment="1">
      <alignment horizontal="center" vertical="center" wrapText="1"/>
    </xf>
    <xf numFmtId="164" fontId="20" fillId="2" borderId="8" xfId="0" applyNumberFormat="1" applyFont="1" applyFill="1" applyBorder="1" applyAlignment="1">
      <alignment vertical="center"/>
    </xf>
    <xf numFmtId="0" fontId="20" fillId="0" borderId="8" xfId="0" applyFont="1" applyBorder="1" applyAlignment="1">
      <alignment vertical="center"/>
    </xf>
    <xf numFmtId="164" fontId="2" fillId="2" borderId="0" xfId="0" applyNumberFormat="1" applyFont="1" applyFill="1" applyAlignment="1">
      <alignment vertical="center"/>
    </xf>
    <xf numFmtId="0" fontId="0" fillId="0" borderId="0" xfId="0" applyAlignment="1">
      <alignment vertical="center"/>
    </xf>
    <xf numFmtId="164" fontId="19" fillId="4" borderId="9" xfId="0" applyNumberFormat="1" applyFont="1" applyFill="1" applyBorder="1" applyAlignment="1">
      <alignment horizontal="center" vertical="center" wrapText="1"/>
    </xf>
    <xf numFmtId="164" fontId="2" fillId="2" borderId="11" xfId="0" applyNumberFormat="1" applyFont="1" applyFill="1" applyBorder="1" applyAlignment="1">
      <alignment horizontal="center" vertical="center" wrapText="1"/>
    </xf>
    <xf numFmtId="164" fontId="2" fillId="2" borderId="12" xfId="0" applyNumberFormat="1" applyFont="1" applyFill="1" applyBorder="1" applyAlignment="1">
      <alignment horizontal="center" vertical="center" wrapText="1"/>
    </xf>
    <xf numFmtId="168" fontId="2" fillId="2" borderId="12" xfId="0" applyNumberFormat="1" applyFont="1" applyFill="1" applyBorder="1" applyAlignment="1">
      <alignment horizontal="center" vertical="center" wrapText="1"/>
    </xf>
    <xf numFmtId="164" fontId="2" fillId="2" borderId="13" xfId="0" applyNumberFormat="1" applyFont="1" applyFill="1" applyBorder="1" applyAlignment="1">
      <alignment horizontal="center" vertical="center" wrapText="1"/>
    </xf>
    <xf numFmtId="165" fontId="22" fillId="2" borderId="0" xfId="0" applyNumberFormat="1" applyFont="1" applyFill="1" applyAlignment="1">
      <alignment vertical="center"/>
    </xf>
    <xf numFmtId="165" fontId="2" fillId="2" borderId="0" xfId="0" applyNumberFormat="1" applyFont="1" applyFill="1" applyAlignment="1">
      <alignment vertical="center"/>
    </xf>
    <xf numFmtId="169" fontId="2" fillId="2" borderId="0" xfId="0" applyNumberFormat="1" applyFont="1" applyFill="1" applyAlignment="1">
      <alignment vertical="center"/>
    </xf>
    <xf numFmtId="0" fontId="5" fillId="2" borderId="0" xfId="0" applyFont="1" applyFill="1" applyAlignment="1">
      <alignment vertical="center"/>
    </xf>
    <xf numFmtId="0" fontId="23" fillId="2" borderId="0" xfId="0" applyFont="1" applyFill="1" applyAlignment="1">
      <alignment vertical="center"/>
    </xf>
    <xf numFmtId="164" fontId="24" fillId="5" borderId="14" xfId="0" applyNumberFormat="1" applyFont="1" applyFill="1" applyBorder="1" applyAlignment="1">
      <alignment horizontal="left" vertical="center" wrapText="1"/>
    </xf>
    <xf numFmtId="164" fontId="24" fillId="5" borderId="15" xfId="0" applyNumberFormat="1" applyFont="1" applyFill="1" applyBorder="1" applyAlignment="1">
      <alignment horizontal="left" vertical="center" wrapText="1"/>
    </xf>
    <xf numFmtId="164" fontId="24" fillId="5" borderId="17" xfId="0" applyNumberFormat="1" applyFont="1" applyFill="1" applyBorder="1" applyAlignment="1">
      <alignment vertical="center" wrapText="1"/>
    </xf>
    <xf numFmtId="164" fontId="24" fillId="5" borderId="18" xfId="0" applyNumberFormat="1" applyFont="1" applyFill="1" applyBorder="1" applyAlignment="1">
      <alignment vertical="center" wrapText="1"/>
    </xf>
    <xf numFmtId="164" fontId="26" fillId="2" borderId="20" xfId="0" applyNumberFormat="1" applyFont="1" applyFill="1" applyBorder="1" applyAlignment="1">
      <alignment horizontal="left" vertical="center" wrapText="1"/>
    </xf>
    <xf numFmtId="164" fontId="26" fillId="2" borderId="21" xfId="0" applyNumberFormat="1" applyFont="1" applyFill="1" applyBorder="1" applyAlignment="1">
      <alignment horizontal="left" vertical="center" wrapText="1"/>
    </xf>
    <xf numFmtId="165" fontId="25" fillId="2" borderId="22" xfId="0" applyNumberFormat="1" applyFont="1" applyFill="1" applyBorder="1" applyAlignment="1">
      <alignment horizontal="left" vertical="center" wrapText="1"/>
    </xf>
    <xf numFmtId="165" fontId="25" fillId="2" borderId="23" xfId="0" applyNumberFormat="1" applyFont="1" applyFill="1" applyBorder="1" applyAlignment="1">
      <alignment horizontal="left" vertical="center" wrapText="1"/>
    </xf>
    <xf numFmtId="165" fontId="25" fillId="2" borderId="24" xfId="0" applyNumberFormat="1" applyFont="1" applyFill="1" applyBorder="1" applyAlignment="1">
      <alignment horizontal="left" vertical="center" wrapText="1"/>
    </xf>
    <xf numFmtId="164" fontId="27" fillId="6" borderId="27" xfId="0" applyNumberFormat="1" applyFont="1" applyFill="1" applyBorder="1" applyAlignment="1">
      <alignment horizontal="center" vertical="center" wrapText="1"/>
    </xf>
    <xf numFmtId="164" fontId="27" fillId="6" borderId="28" xfId="0" applyNumberFormat="1" applyFont="1" applyFill="1" applyBorder="1" applyAlignment="1">
      <alignment horizontal="center" vertical="center" wrapText="1"/>
    </xf>
    <xf numFmtId="0" fontId="28" fillId="7" borderId="17" xfId="0" applyFont="1" applyFill="1" applyBorder="1" applyAlignment="1">
      <alignment horizontal="left" vertical="center"/>
    </xf>
    <xf numFmtId="0" fontId="25" fillId="2" borderId="29" xfId="0" applyFont="1" applyFill="1" applyBorder="1" applyAlignment="1">
      <alignment horizontal="left" vertical="center"/>
    </xf>
    <xf numFmtId="0" fontId="25" fillId="2" borderId="30" xfId="0" applyFont="1" applyFill="1" applyBorder="1" applyAlignment="1">
      <alignment horizontal="left" vertical="center"/>
    </xf>
    <xf numFmtId="0" fontId="25" fillId="2" borderId="31" xfId="0" applyFont="1" applyFill="1" applyBorder="1" applyAlignment="1">
      <alignment horizontal="left" vertical="center"/>
    </xf>
    <xf numFmtId="0" fontId="28" fillId="7" borderId="17" xfId="0" applyFont="1" applyFill="1" applyBorder="1" applyAlignment="1">
      <alignment vertical="center"/>
    </xf>
    <xf numFmtId="165" fontId="25" fillId="2" borderId="22" xfId="0" applyNumberFormat="1" applyFont="1" applyFill="1" applyBorder="1" applyAlignment="1">
      <alignment horizontal="left" vertical="center"/>
    </xf>
    <xf numFmtId="165" fontId="25" fillId="2" borderId="23" xfId="0" applyNumberFormat="1" applyFont="1" applyFill="1" applyBorder="1" applyAlignment="1">
      <alignment horizontal="left" vertical="center"/>
    </xf>
    <xf numFmtId="165" fontId="25" fillId="2" borderId="24" xfId="0" applyNumberFormat="1" applyFont="1" applyFill="1" applyBorder="1" applyAlignment="1">
      <alignment horizontal="left" vertical="center"/>
    </xf>
    <xf numFmtId="164" fontId="24" fillId="5" borderId="32" xfId="0" applyNumberFormat="1" applyFont="1" applyFill="1" applyBorder="1" applyAlignment="1">
      <alignment horizontal="left" vertical="center" wrapText="1"/>
    </xf>
    <xf numFmtId="0" fontId="28" fillId="7" borderId="18" xfId="0" applyFont="1" applyFill="1" applyBorder="1" applyAlignment="1">
      <alignment horizontal="center" vertical="center"/>
    </xf>
    <xf numFmtId="0" fontId="28" fillId="7" borderId="18" xfId="0" applyFont="1" applyFill="1" applyBorder="1" applyAlignment="1">
      <alignment horizontal="center" vertical="center" wrapText="1"/>
    </xf>
    <xf numFmtId="0" fontId="28" fillId="7" borderId="22" xfId="0" applyFont="1" applyFill="1" applyBorder="1" applyAlignment="1">
      <alignment horizontal="center" vertical="center" wrapText="1"/>
    </xf>
    <xf numFmtId="0" fontId="28" fillId="7" borderId="19" xfId="0" applyFont="1" applyFill="1" applyBorder="1" applyAlignment="1">
      <alignment horizontal="center" vertical="center" wrapText="1"/>
    </xf>
    <xf numFmtId="164" fontId="24" fillId="5" borderId="33" xfId="0" applyNumberFormat="1" applyFont="1" applyFill="1" applyBorder="1" applyAlignment="1">
      <alignment horizontal="left" vertical="center" wrapText="1"/>
    </xf>
    <xf numFmtId="1" fontId="29" fillId="8" borderId="34" xfId="0" applyNumberFormat="1" applyFont="1" applyFill="1" applyBorder="1" applyAlignment="1">
      <alignment horizontal="center" vertical="center"/>
    </xf>
    <xf numFmtId="1" fontId="29" fillId="8" borderId="19" xfId="0" applyNumberFormat="1" applyFont="1" applyFill="1" applyBorder="1" applyAlignment="1">
      <alignment vertical="center"/>
    </xf>
    <xf numFmtId="0" fontId="30" fillId="7" borderId="17" xfId="0" applyFont="1" applyFill="1" applyBorder="1" applyAlignment="1">
      <alignment horizontal="right" vertical="center"/>
    </xf>
    <xf numFmtId="1" fontId="29" fillId="2" borderId="18" xfId="0" applyNumberFormat="1" applyFont="1" applyFill="1" applyBorder="1" applyAlignment="1">
      <alignment horizontal="center" vertical="center"/>
    </xf>
    <xf numFmtId="1" fontId="29" fillId="2" borderId="19" xfId="0" applyNumberFormat="1" applyFont="1" applyFill="1" applyBorder="1" applyAlignment="1">
      <alignment vertical="center"/>
    </xf>
    <xf numFmtId="0" fontId="31" fillId="7" borderId="35" xfId="0" applyFont="1" applyFill="1" applyBorder="1" applyAlignment="1">
      <alignment horizontal="left" vertical="center"/>
    </xf>
    <xf numFmtId="0" fontId="29" fillId="2" borderId="22" xfId="0" applyFont="1" applyFill="1" applyBorder="1" applyAlignment="1">
      <alignment horizontal="center" vertical="center"/>
    </xf>
    <xf numFmtId="0" fontId="29" fillId="2" borderId="23" xfId="0" applyFont="1" applyFill="1" applyBorder="1" applyAlignment="1">
      <alignment horizontal="center" vertical="center"/>
    </xf>
    <xf numFmtId="0" fontId="29" fillId="2" borderId="23" xfId="0" applyFont="1" applyFill="1" applyBorder="1" applyAlignment="1">
      <alignment horizontal="center" vertical="center" wrapText="1"/>
    </xf>
    <xf numFmtId="0" fontId="29" fillId="2" borderId="24" xfId="0" applyFont="1" applyFill="1" applyBorder="1" applyAlignment="1">
      <alignment vertical="center"/>
    </xf>
    <xf numFmtId="0" fontId="29" fillId="2" borderId="18" xfId="0" applyFont="1" applyFill="1" applyBorder="1" applyAlignment="1">
      <alignment horizontal="center" vertical="center"/>
    </xf>
    <xf numFmtId="0" fontId="29" fillId="2" borderId="18" xfId="0" applyFont="1" applyFill="1" applyBorder="1" applyAlignment="1">
      <alignment horizontal="center" vertical="center" wrapText="1"/>
    </xf>
    <xf numFmtId="0" fontId="29" fillId="2" borderId="20" xfId="0" applyFont="1" applyFill="1" applyBorder="1" applyAlignment="1">
      <alignment horizontal="center" vertical="center" wrapText="1"/>
    </xf>
    <xf numFmtId="10" fontId="29" fillId="2" borderId="19" xfId="0" applyNumberFormat="1" applyFont="1" applyFill="1" applyBorder="1" applyAlignment="1">
      <alignment vertical="center"/>
    </xf>
    <xf numFmtId="0" fontId="30" fillId="7" borderId="32" xfId="0" applyFont="1" applyFill="1" applyBorder="1" applyAlignment="1">
      <alignment horizontal="right" vertical="center"/>
    </xf>
    <xf numFmtId="0" fontId="29" fillId="2" borderId="34" xfId="0" applyFont="1" applyFill="1" applyBorder="1" applyAlignment="1">
      <alignment horizontal="center" vertical="center"/>
    </xf>
    <xf numFmtId="0" fontId="29" fillId="2" borderId="34" xfId="0" applyFont="1" applyFill="1" applyBorder="1" applyAlignment="1">
      <alignment horizontal="center" vertical="center" wrapText="1"/>
    </xf>
    <xf numFmtId="0" fontId="29" fillId="2" borderId="24" xfId="0" applyFont="1" applyFill="1" applyBorder="1" applyAlignment="1">
      <alignment horizontal="center" vertical="center"/>
    </xf>
    <xf numFmtId="0" fontId="31" fillId="0" borderId="22" xfId="0" applyFont="1" applyBorder="1" applyAlignment="1">
      <alignment horizontal="left" vertical="center"/>
    </xf>
    <xf numFmtId="0" fontId="31" fillId="0" borderId="23" xfId="0" applyFont="1" applyBorder="1" applyAlignment="1">
      <alignment horizontal="left" vertical="center"/>
    </xf>
    <xf numFmtId="0" fontId="31" fillId="0" borderId="24" xfId="0" applyFont="1" applyBorder="1" applyAlignment="1">
      <alignment horizontal="left" vertical="center"/>
    </xf>
    <xf numFmtId="0" fontId="0" fillId="0" borderId="0" xfId="0" applyAlignment="1">
      <alignment horizontal="center"/>
    </xf>
    <xf numFmtId="0" fontId="0" fillId="0" borderId="0" xfId="0" applyAlignment="1">
      <alignment vertical="top"/>
    </xf>
    <xf numFmtId="164" fontId="32" fillId="0" borderId="36" xfId="0" applyNumberFormat="1" applyFont="1" applyBorder="1" applyAlignment="1">
      <alignment horizontal="left" vertical="center" wrapText="1"/>
    </xf>
    <xf numFmtId="164" fontId="32" fillId="0" borderId="37" xfId="0" applyNumberFormat="1" applyFont="1" applyBorder="1" applyAlignment="1">
      <alignment horizontal="left" vertical="center" wrapText="1"/>
    </xf>
    <xf numFmtId="0" fontId="1" fillId="0" borderId="0" xfId="0" applyFont="1"/>
    <xf numFmtId="0" fontId="33" fillId="0" borderId="37" xfId="0" applyFont="1" applyBorder="1" applyAlignment="1">
      <alignment horizontal="left" vertical="center" wrapText="1"/>
    </xf>
    <xf numFmtId="164" fontId="33" fillId="0" borderId="37" xfId="0" applyNumberFormat="1" applyFont="1" applyBorder="1" applyAlignment="1">
      <alignment horizontal="left" vertical="center" wrapText="1"/>
    </xf>
    <xf numFmtId="164" fontId="33" fillId="5" borderId="36" xfId="0" applyNumberFormat="1" applyFont="1" applyFill="1" applyBorder="1" applyAlignment="1">
      <alignment horizontal="center" vertical="top" wrapText="1"/>
    </xf>
    <xf numFmtId="167" fontId="34" fillId="7" borderId="36" xfId="0" applyNumberFormat="1" applyFont="1" applyFill="1" applyBorder="1" applyAlignment="1">
      <alignment horizontal="center" vertical="center" wrapText="1"/>
    </xf>
    <xf numFmtId="0" fontId="34" fillId="7" borderId="36" xfId="0" applyFont="1" applyFill="1" applyBorder="1" applyAlignment="1">
      <alignment wrapText="1"/>
    </xf>
    <xf numFmtId="0" fontId="33" fillId="5" borderId="36" xfId="0" applyFont="1" applyFill="1" applyBorder="1" applyAlignment="1">
      <alignment horizontal="left" vertical="top" wrapText="1"/>
    </xf>
    <xf numFmtId="1" fontId="35" fillId="9" borderId="36" xfId="0" applyNumberFormat="1" applyFont="1" applyFill="1" applyBorder="1" applyAlignment="1">
      <alignment horizontal="center" vertical="center" wrapText="1"/>
    </xf>
    <xf numFmtId="164" fontId="34" fillId="5" borderId="36" xfId="0" applyNumberFormat="1" applyFont="1" applyFill="1" applyBorder="1" applyAlignment="1">
      <alignment horizontal="left" vertical="center" wrapText="1"/>
    </xf>
    <xf numFmtId="167" fontId="36" fillId="0" borderId="36" xfId="0" applyNumberFormat="1" applyFont="1" applyBorder="1" applyAlignment="1">
      <alignment horizontal="center" vertical="center" wrapText="1"/>
    </xf>
    <xf numFmtId="0" fontId="19" fillId="10" borderId="37" xfId="0" applyFont="1" applyFill="1" applyBorder="1" applyAlignment="1">
      <alignment horizontal="center" vertical="center" wrapText="1"/>
    </xf>
    <xf numFmtId="0" fontId="0" fillId="0" borderId="0" xfId="0" applyAlignment="1">
      <alignment horizontal="center" vertical="center"/>
    </xf>
    <xf numFmtId="0" fontId="37" fillId="11" borderId="37" xfId="0" applyFont="1" applyFill="1" applyBorder="1" applyAlignment="1">
      <alignment horizontal="center" vertical="center" wrapText="1"/>
    </xf>
    <xf numFmtId="0" fontId="37" fillId="11" borderId="37" xfId="0" applyFont="1" applyFill="1" applyBorder="1" applyAlignment="1">
      <alignment horizontal="left" vertical="top" wrapText="1"/>
    </xf>
    <xf numFmtId="0" fontId="38" fillId="0" borderId="37" xfId="0" applyFont="1" applyBorder="1" applyAlignment="1">
      <alignment horizontal="center" vertical="center" wrapText="1"/>
    </xf>
    <xf numFmtId="0" fontId="38" fillId="0" borderId="37" xfId="0" applyFont="1" applyBorder="1" applyAlignment="1">
      <alignment horizontal="left" vertical="top" wrapText="1"/>
    </xf>
    <xf numFmtId="0" fontId="39" fillId="0" borderId="40" xfId="0" applyFont="1" applyBorder="1" applyAlignment="1">
      <alignment horizontal="center" vertical="center" wrapText="1"/>
    </xf>
    <xf numFmtId="0" fontId="40" fillId="0" borderId="41" xfId="0" applyFont="1" applyBorder="1" applyAlignment="1">
      <alignment horizontal="center" vertical="center" wrapText="1"/>
    </xf>
    <xf numFmtId="0" fontId="41" fillId="0" borderId="37" xfId="0" applyFont="1" applyBorder="1" applyAlignment="1">
      <alignment horizontal="center" vertical="center"/>
    </xf>
    <xf numFmtId="0" fontId="41" fillId="0" borderId="37" xfId="0" applyFont="1" applyBorder="1" applyAlignment="1">
      <alignment horizontal="left" vertical="center" wrapText="1"/>
    </xf>
    <xf numFmtId="0" fontId="41" fillId="0" borderId="0" xfId="0" applyFont="1" applyAlignment="1">
      <alignment horizontal="center" vertical="center"/>
    </xf>
    <xf numFmtId="0" fontId="41" fillId="0" borderId="0" xfId="0" applyFont="1"/>
    <xf numFmtId="0" fontId="41" fillId="0" borderId="40" xfId="0" applyFont="1" applyBorder="1" applyAlignment="1">
      <alignment horizontal="center" vertical="center"/>
    </xf>
    <xf numFmtId="0" fontId="41" fillId="0" borderId="40" xfId="0" applyFont="1" applyBorder="1" applyAlignment="1">
      <alignment horizontal="left" vertical="center" wrapText="1"/>
    </xf>
    <xf numFmtId="164" fontId="34" fillId="5" borderId="42" xfId="0" applyNumberFormat="1" applyFont="1" applyFill="1" applyBorder="1" applyAlignment="1">
      <alignment horizontal="left" vertical="center" wrapText="1"/>
    </xf>
    <xf numFmtId="0" fontId="41" fillId="13" borderId="40" xfId="0" applyFont="1" applyFill="1" applyBorder="1" applyAlignment="1">
      <alignment horizontal="center" vertical="center"/>
    </xf>
    <xf numFmtId="0" fontId="41" fillId="14" borderId="40" xfId="0" applyFont="1" applyFill="1" applyBorder="1" applyAlignment="1">
      <alignment horizontal="center" vertical="center"/>
    </xf>
    <xf numFmtId="0" fontId="41" fillId="15" borderId="40" xfId="0" applyFont="1" applyFill="1" applyBorder="1" applyAlignment="1">
      <alignment horizontal="center" vertical="center"/>
    </xf>
    <xf numFmtId="0" fontId="41" fillId="0" borderId="43" xfId="0" applyFont="1" applyBorder="1" applyAlignment="1">
      <alignment horizontal="left" vertical="center" wrapText="1"/>
    </xf>
    <xf numFmtId="0" fontId="41" fillId="17" borderId="40" xfId="0" applyFont="1" applyFill="1" applyBorder="1" applyAlignment="1">
      <alignment horizontal="center" vertical="center"/>
    </xf>
    <xf numFmtId="0" fontId="38" fillId="0" borderId="37" xfId="0" quotePrefix="1" applyFont="1" applyBorder="1" applyAlignment="1">
      <alignment horizontal="left" vertical="top" wrapText="1"/>
    </xf>
    <xf numFmtId="164" fontId="32" fillId="0" borderId="36" xfId="0" applyNumberFormat="1" applyFont="1" applyBorder="1" applyAlignment="1">
      <alignment horizontal="left" vertical="center"/>
    </xf>
    <xf numFmtId="164" fontId="12" fillId="3" borderId="0" xfId="0" applyNumberFormat="1" applyFont="1" applyFill="1" applyAlignment="1">
      <alignment horizontal="left" vertical="center"/>
    </xf>
    <xf numFmtId="164" fontId="11" fillId="3" borderId="3" xfId="0" applyNumberFormat="1" applyFont="1" applyFill="1" applyBorder="1" applyAlignment="1">
      <alignment horizontal="center"/>
    </xf>
    <xf numFmtId="164" fontId="12" fillId="3" borderId="0" xfId="0" applyNumberFormat="1" applyFont="1" applyFill="1" applyAlignment="1">
      <alignment horizontal="left" vertical="center" wrapText="1"/>
    </xf>
    <xf numFmtId="164" fontId="6" fillId="3" borderId="1" xfId="0" applyNumberFormat="1" applyFont="1" applyFill="1" applyBorder="1" applyAlignment="1">
      <alignment horizontal="center"/>
    </xf>
    <xf numFmtId="164" fontId="6" fillId="3" borderId="2" xfId="0" applyNumberFormat="1" applyFont="1" applyFill="1" applyBorder="1" applyAlignment="1">
      <alignment horizontal="center"/>
    </xf>
    <xf numFmtId="164" fontId="8" fillId="3" borderId="2" xfId="0" applyNumberFormat="1" applyFont="1" applyFill="1" applyBorder="1" applyAlignment="1">
      <alignment horizontal="center" vertical="center" wrapText="1"/>
    </xf>
    <xf numFmtId="164" fontId="10" fillId="3" borderId="0" xfId="0" applyNumberFormat="1" applyFont="1" applyFill="1" applyAlignment="1">
      <alignment horizontal="center" vertical="center" wrapText="1"/>
    </xf>
    <xf numFmtId="164" fontId="11" fillId="3" borderId="2" xfId="0" applyNumberFormat="1" applyFont="1" applyFill="1" applyBorder="1" applyAlignment="1">
      <alignment horizontal="center" vertical="center" wrapText="1"/>
    </xf>
    <xf numFmtId="164" fontId="2" fillId="0" borderId="12" xfId="0" applyNumberFormat="1" applyFont="1" applyBorder="1" applyAlignment="1">
      <alignment horizontal="left" vertical="center" wrapText="1"/>
    </xf>
    <xf numFmtId="164" fontId="2" fillId="0" borderId="8" xfId="0" applyNumberFormat="1" applyFont="1" applyBorder="1" applyAlignment="1">
      <alignment horizontal="left" vertical="center" wrapText="1"/>
    </xf>
    <xf numFmtId="164" fontId="2" fillId="2" borderId="8" xfId="0" applyNumberFormat="1" applyFont="1" applyFill="1" applyBorder="1" applyAlignment="1">
      <alignment horizontal="left" vertical="center" wrapText="1"/>
    </xf>
    <xf numFmtId="164" fontId="19" fillId="4" borderId="10" xfId="0" applyNumberFormat="1" applyFont="1" applyFill="1" applyBorder="1" applyAlignment="1">
      <alignment horizontal="center" vertical="center" wrapText="1"/>
    </xf>
    <xf numFmtId="164" fontId="19" fillId="4" borderId="8" xfId="0" applyNumberFormat="1" applyFont="1" applyFill="1" applyBorder="1" applyAlignment="1">
      <alignment horizontal="center" vertical="center" wrapText="1"/>
    </xf>
    <xf numFmtId="164" fontId="26" fillId="2" borderId="18" xfId="0" applyNumberFormat="1" applyFont="1" applyFill="1" applyBorder="1" applyAlignment="1">
      <alignment horizontal="left" vertical="center" wrapText="1"/>
    </xf>
    <xf numFmtId="165" fontId="25" fillId="2" borderId="19" xfId="0" applyNumberFormat="1" applyFont="1" applyFill="1" applyBorder="1" applyAlignment="1">
      <alignment horizontal="left" vertical="center" wrapText="1"/>
    </xf>
    <xf numFmtId="165" fontId="26" fillId="2" borderId="25" xfId="0" applyNumberFormat="1" applyFont="1" applyFill="1" applyBorder="1" applyAlignment="1">
      <alignment horizontal="left" vertical="center" wrapText="1"/>
    </xf>
    <xf numFmtId="164" fontId="27" fillId="6" borderId="26" xfId="0" applyNumberFormat="1" applyFont="1" applyFill="1" applyBorder="1" applyAlignment="1">
      <alignment horizontal="left" vertical="center" wrapText="1"/>
    </xf>
    <xf numFmtId="164" fontId="25" fillId="2" borderId="9" xfId="0" applyNumberFormat="1" applyFont="1" applyFill="1" applyBorder="1" applyAlignment="1">
      <alignment horizontal="left" vertical="center" wrapText="1"/>
    </xf>
    <xf numFmtId="164" fontId="25" fillId="2" borderId="16" xfId="0" applyNumberFormat="1" applyFont="1" applyFill="1" applyBorder="1" applyAlignment="1">
      <alignment horizontal="left" vertical="center" wrapText="1"/>
    </xf>
    <xf numFmtId="164" fontId="25" fillId="2" borderId="18" xfId="0" applyNumberFormat="1" applyFont="1" applyFill="1" applyBorder="1" applyAlignment="1">
      <alignment horizontal="left" vertical="center" wrapText="1"/>
    </xf>
    <xf numFmtId="164" fontId="26" fillId="2" borderId="19" xfId="0" applyNumberFormat="1" applyFont="1" applyFill="1" applyBorder="1" applyAlignment="1">
      <alignment horizontal="left" vertical="center" wrapText="1"/>
    </xf>
    <xf numFmtId="0" fontId="40" fillId="12" borderId="39" xfId="0" applyFont="1" applyFill="1" applyBorder="1" applyAlignment="1">
      <alignment horizontal="center" vertical="center" wrapText="1"/>
    </xf>
    <xf numFmtId="0" fontId="39" fillId="12" borderId="38" xfId="0" applyFont="1" applyFill="1" applyBorder="1" applyAlignment="1">
      <alignment horizontal="center" vertical="center" wrapText="1"/>
    </xf>
    <xf numFmtId="0" fontId="41" fillId="16" borderId="40" xfId="0" applyFont="1" applyFill="1" applyBorder="1" applyAlignment="1">
      <alignment horizontal="center" vertical="center"/>
    </xf>
  </cellXfs>
  <cellStyles count="4">
    <cellStyle name="Bình thường" xfId="0" builtinId="0"/>
    <cellStyle name="Normal 2" xfId="1" xr:uid="{00000000-0005-0000-0000-000006000000}"/>
    <cellStyle name="Normal 6" xfId="2" xr:uid="{00000000-0005-0000-0000-000007000000}"/>
    <cellStyle name="標準_打刻ﾃﾞｰﾀ収集" xfId="3"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B4C7E7"/>
      <rgbColor rgb="FF808080"/>
      <rgbColor rgb="FF558ED5"/>
      <rgbColor rgb="FF7030A0"/>
      <rgbColor rgb="FFFFF2CC"/>
      <rgbColor rgb="FFD9E1F2"/>
      <rgbColor rgb="FF660066"/>
      <rgbColor rgb="FFFF8080"/>
      <rgbColor rgb="FF2F5597"/>
      <rgbColor rgb="FFBDD7EE"/>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CC99FF"/>
      <rgbColor rgb="FFF8CBAD"/>
      <rgbColor rgb="FF2E75B6"/>
      <rgbColor rgb="FF548DD4"/>
      <rgbColor rgb="FF92D050"/>
      <rgbColor rgb="FFFFC000"/>
      <rgbColor rgb="FFBF8F00"/>
      <rgbColor rgb="FFFF6600"/>
      <rgbColor rgb="FF7F7F7F"/>
      <rgbColor rgb="FF8497B0"/>
      <rgbColor rgb="FF1F497D"/>
      <rgbColor rgb="FF4F81BD"/>
      <rgbColor rgb="FF003300"/>
      <rgbColor rgb="FF333300"/>
      <rgbColor rgb="FF993300"/>
      <rgbColor rgb="FF993366"/>
      <rgbColor rgb="FF333399"/>
      <rgbColor rgb="FF44546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E14" sqref="E14"/>
    </sheetView>
  </sheetViews>
  <sheetFormatPr defaultColWidth="9.140625" defaultRowHeight="14.25"/>
  <cols>
    <col min="1" max="1" width="9.140625" style="1"/>
    <col min="2" max="2" width="5.7109375" style="1" customWidth="1"/>
    <col min="3" max="4" width="9.140625" style="1"/>
    <col min="5" max="5" width="45.42578125" style="1" customWidth="1"/>
    <col min="6" max="6" width="9.140625" style="1"/>
    <col min="7" max="7" width="16.5703125" style="1" customWidth="1"/>
    <col min="8" max="8" width="31.7109375" style="1" customWidth="1"/>
    <col min="9" max="1024" width="9.140625" style="1"/>
  </cols>
  <sheetData>
    <row r="1" spans="1:10" ht="15" customHeight="1">
      <c r="A1" s="2"/>
      <c r="B1" s="2"/>
      <c r="C1" s="2"/>
      <c r="D1" s="2"/>
      <c r="E1" s="2"/>
      <c r="F1" s="2"/>
      <c r="G1" s="2"/>
      <c r="H1" s="2"/>
      <c r="I1" s="2"/>
      <c r="J1" s="2"/>
    </row>
    <row r="2" spans="1:10" s="1" customFormat="1" ht="13.5" customHeight="1">
      <c r="A2" s="2"/>
      <c r="B2" s="133"/>
      <c r="C2" s="133"/>
      <c r="D2" s="133"/>
      <c r="E2" s="133"/>
      <c r="F2" s="133"/>
      <c r="G2" s="133"/>
      <c r="H2" s="133"/>
      <c r="I2" s="133"/>
      <c r="J2" s="133"/>
    </row>
    <row r="3" spans="1:10" s="1" customFormat="1" ht="13.5" customHeight="1">
      <c r="A3" s="2"/>
      <c r="B3" s="134"/>
      <c r="C3" s="134"/>
      <c r="D3" s="134"/>
      <c r="E3" s="134"/>
      <c r="F3" s="134"/>
      <c r="G3" s="134"/>
      <c r="H3" s="134"/>
      <c r="I3" s="134"/>
      <c r="J3" s="134"/>
    </row>
    <row r="4" spans="1:10" s="1" customFormat="1" ht="13.5" customHeight="1">
      <c r="A4" s="2"/>
      <c r="B4" s="3"/>
      <c r="C4" s="4"/>
      <c r="D4" s="4"/>
      <c r="E4" s="4"/>
      <c r="F4" s="4"/>
      <c r="G4" s="4"/>
      <c r="H4" s="4"/>
      <c r="I4" s="4"/>
      <c r="J4" s="5"/>
    </row>
    <row r="5" spans="1:10" s="1" customFormat="1" ht="13.5" customHeight="1">
      <c r="A5" s="2"/>
      <c r="B5" s="3"/>
      <c r="C5" s="4"/>
      <c r="D5" s="4"/>
      <c r="E5" s="4"/>
      <c r="F5" s="4"/>
      <c r="G5" s="4"/>
      <c r="H5" s="4"/>
      <c r="I5" s="4"/>
      <c r="J5" s="5"/>
    </row>
    <row r="6" spans="1:10" s="1" customFormat="1" ht="13.5" customHeight="1">
      <c r="A6" s="2"/>
      <c r="B6" s="135"/>
      <c r="C6" s="135"/>
      <c r="D6" s="135"/>
      <c r="E6" s="135"/>
      <c r="F6" s="135"/>
      <c r="G6" s="135"/>
      <c r="H6" s="135"/>
      <c r="I6" s="135"/>
      <c r="J6" s="135"/>
    </row>
    <row r="7" spans="1:10" s="1" customFormat="1" ht="13.5" customHeight="1">
      <c r="A7" s="2"/>
      <c r="B7" s="135"/>
      <c r="C7" s="135"/>
      <c r="D7" s="135"/>
      <c r="E7" s="135"/>
      <c r="F7" s="135"/>
      <c r="G7" s="135"/>
      <c r="H7" s="135"/>
      <c r="I7" s="135"/>
      <c r="J7" s="135"/>
    </row>
    <row r="8" spans="1:10" s="1" customFormat="1" ht="60" customHeight="1">
      <c r="A8" s="2"/>
      <c r="B8" s="6"/>
      <c r="C8" s="7"/>
      <c r="D8" s="7"/>
      <c r="E8" s="136" t="s">
        <v>0</v>
      </c>
      <c r="F8" s="136"/>
      <c r="G8" s="136"/>
      <c r="H8" s="136"/>
      <c r="I8" s="7"/>
      <c r="J8" s="8"/>
    </row>
    <row r="9" spans="1:10" s="1" customFormat="1" ht="13.5" customHeight="1">
      <c r="A9" s="2"/>
      <c r="B9" s="137"/>
      <c r="C9" s="137"/>
      <c r="D9" s="137"/>
      <c r="E9" s="137"/>
      <c r="F9" s="137"/>
      <c r="G9" s="137"/>
      <c r="H9" s="137"/>
      <c r="I9" s="137"/>
      <c r="J9" s="137"/>
    </row>
    <row r="10" spans="1:10" s="1" customFormat="1" ht="13.5" customHeight="1">
      <c r="A10" s="2"/>
      <c r="B10" s="131"/>
      <c r="C10" s="131"/>
      <c r="D10" s="131"/>
      <c r="E10" s="131"/>
      <c r="F10" s="131"/>
      <c r="G10" s="131"/>
      <c r="H10" s="131"/>
      <c r="I10" s="131"/>
      <c r="J10" s="9"/>
    </row>
    <row r="11" spans="1:10" s="1" customFormat="1" ht="26.25" customHeight="1">
      <c r="A11" s="2"/>
      <c r="B11" s="10"/>
      <c r="C11" s="130" t="s">
        <v>1</v>
      </c>
      <c r="D11" s="130"/>
      <c r="E11" s="11" t="s">
        <v>2</v>
      </c>
      <c r="F11" s="12"/>
      <c r="G11" s="13" t="s">
        <v>3</v>
      </c>
      <c r="H11" s="11"/>
      <c r="I11" s="14"/>
      <c r="J11" s="15"/>
    </row>
    <row r="12" spans="1:10" s="1" customFormat="1" ht="13.5" customHeight="1">
      <c r="A12" s="2"/>
      <c r="B12" s="16" t="s">
        <v>4</v>
      </c>
      <c r="C12" s="132" t="s">
        <v>5</v>
      </c>
      <c r="D12" s="132"/>
      <c r="E12" s="11"/>
      <c r="F12" s="17"/>
      <c r="G12" s="13" t="s">
        <v>6</v>
      </c>
      <c r="H12" s="11"/>
      <c r="I12" s="18"/>
      <c r="J12" s="19"/>
    </row>
    <row r="13" spans="1:10" s="1" customFormat="1" ht="13.5" customHeight="1">
      <c r="A13" s="2"/>
      <c r="B13" s="10"/>
      <c r="C13" s="130" t="s">
        <v>7</v>
      </c>
      <c r="D13" s="130"/>
      <c r="E13" s="11"/>
      <c r="F13" s="12"/>
      <c r="G13" s="13" t="s">
        <v>8</v>
      </c>
      <c r="H13" s="11"/>
      <c r="I13" s="14"/>
      <c r="J13" s="15"/>
    </row>
    <row r="14" spans="1:10" s="1" customFormat="1" ht="13.5" customHeight="1">
      <c r="A14" s="2"/>
      <c r="B14" s="10"/>
      <c r="C14" s="130" t="s">
        <v>6</v>
      </c>
      <c r="D14" s="130"/>
      <c r="E14" s="11"/>
      <c r="F14" s="12"/>
      <c r="G14" s="13" t="s">
        <v>9</v>
      </c>
      <c r="H14" s="11"/>
      <c r="I14" s="14"/>
      <c r="J14" s="15"/>
    </row>
    <row r="15" spans="1:10" s="1" customFormat="1" ht="13.5" customHeight="1">
      <c r="A15" s="2"/>
      <c r="B15" s="10"/>
      <c r="C15" s="130" t="s">
        <v>10</v>
      </c>
      <c r="D15" s="130"/>
      <c r="E15" s="11">
        <v>46253</v>
      </c>
      <c r="F15" s="12"/>
      <c r="G15" s="13" t="s">
        <v>6</v>
      </c>
      <c r="H15" s="11"/>
      <c r="I15" s="14"/>
      <c r="J15" s="15"/>
    </row>
    <row r="16" spans="1:10" s="1" customFormat="1" ht="13.5" customHeight="1">
      <c r="A16" s="2"/>
      <c r="B16" s="10"/>
      <c r="C16" s="130" t="s">
        <v>11</v>
      </c>
      <c r="D16" s="130"/>
      <c r="E16" s="20" t="s">
        <v>12</v>
      </c>
      <c r="F16" s="12"/>
      <c r="G16" s="13" t="s">
        <v>13</v>
      </c>
      <c r="H16" s="11"/>
      <c r="I16" s="14"/>
      <c r="J16" s="15"/>
    </row>
    <row r="17" spans="1:10" s="1" customFormat="1" ht="13.5" customHeight="1">
      <c r="A17" s="2"/>
      <c r="B17" s="21"/>
      <c r="C17" s="22"/>
      <c r="D17" s="22"/>
      <c r="E17" s="23"/>
      <c r="F17" s="23"/>
      <c r="G17" s="23"/>
      <c r="H17" s="23"/>
      <c r="I17" s="23"/>
      <c r="J17" s="24"/>
    </row>
    <row r="18" spans="1:10" s="1" customFormat="1" ht="13.5" customHeight="1">
      <c r="B18" s="25"/>
      <c r="C18" s="23"/>
      <c r="D18" s="23"/>
      <c r="E18" s="23"/>
      <c r="F18" s="23"/>
      <c r="G18" s="23"/>
      <c r="H18" s="23"/>
      <c r="I18" s="23"/>
      <c r="J18" s="24"/>
    </row>
    <row r="19" spans="1:10" ht="15" customHeight="1">
      <c r="B19" s="26"/>
      <c r="C19" s="27"/>
      <c r="D19" s="27"/>
      <c r="E19" s="27"/>
      <c r="F19" s="27"/>
      <c r="G19" s="27"/>
      <c r="H19" s="27"/>
      <c r="I19" s="27"/>
      <c r="J19" s="28"/>
    </row>
  </sheetData>
  <mergeCells count="12">
    <mergeCell ref="B2:J2"/>
    <mergeCell ref="B3:J3"/>
    <mergeCell ref="B6:J7"/>
    <mergeCell ref="E8:H8"/>
    <mergeCell ref="B9:J9"/>
    <mergeCell ref="C15:D15"/>
    <mergeCell ref="C16:D16"/>
    <mergeCell ref="B10:I10"/>
    <mergeCell ref="C11:D11"/>
    <mergeCell ref="C12:D12"/>
    <mergeCell ref="C13:D13"/>
    <mergeCell ref="C14:D1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zoomScaleNormal="100" workbookViewId="0">
      <selection activeCell="B28" sqref="B28"/>
    </sheetView>
  </sheetViews>
  <sheetFormatPr defaultColWidth="9.140625" defaultRowHeight="14.25"/>
  <cols>
    <col min="1" max="1" width="21.42578125" style="29" customWidth="1"/>
    <col min="2" max="2" width="22.5703125" style="29" customWidth="1"/>
    <col min="3" max="3" width="14.140625" style="29" customWidth="1"/>
    <col min="4" max="4" width="11.5703125" style="29" customWidth="1"/>
    <col min="5" max="5" width="10.5703125" style="29" customWidth="1"/>
    <col min="6" max="6" width="12.7109375" style="29" customWidth="1"/>
    <col min="7" max="7" width="14" style="29" customWidth="1"/>
    <col min="8" max="1024" width="9.140625" style="29"/>
  </cols>
  <sheetData>
    <row r="1" spans="1:1024" ht="17.25" customHeight="1">
      <c r="A1" s="30" t="s">
        <v>14</v>
      </c>
      <c r="B1" s="31"/>
    </row>
    <row r="2" spans="1:1024" ht="15" customHeight="1"/>
    <row r="3" spans="1:1024" ht="14.25" customHeight="1">
      <c r="A3" s="32" t="s">
        <v>15</v>
      </c>
      <c r="B3" s="32" t="s">
        <v>16</v>
      </c>
      <c r="C3" s="142" t="s">
        <v>17</v>
      </c>
      <c r="D3" s="142"/>
      <c r="E3" s="142"/>
      <c r="F3" s="142"/>
      <c r="G3" s="142"/>
    </row>
    <row r="4" spans="1:1024" ht="14.25" customHeight="1">
      <c r="A4" s="33">
        <v>1</v>
      </c>
      <c r="B4" s="34" t="s">
        <v>18</v>
      </c>
      <c r="C4" s="139" t="s">
        <v>18</v>
      </c>
      <c r="D4" s="139"/>
      <c r="E4" s="139"/>
      <c r="F4" s="139"/>
      <c r="G4" s="139"/>
    </row>
    <row r="5" spans="1:1024" ht="14.25" customHeight="1">
      <c r="A5" s="33">
        <v>2</v>
      </c>
      <c r="B5" s="35" t="s">
        <v>19</v>
      </c>
      <c r="C5" s="139" t="s">
        <v>20</v>
      </c>
      <c r="D5" s="139"/>
      <c r="E5" s="139"/>
      <c r="F5" s="139"/>
      <c r="G5" s="139"/>
    </row>
    <row r="6" spans="1:1024" ht="14.25" customHeight="1">
      <c r="A6" s="33">
        <v>3</v>
      </c>
      <c r="B6" s="35" t="s">
        <v>21</v>
      </c>
      <c r="C6" s="139" t="s">
        <v>22</v>
      </c>
      <c r="D6" s="139"/>
      <c r="E6" s="139"/>
      <c r="F6" s="139"/>
      <c r="G6" s="139"/>
    </row>
    <row r="7" spans="1:1024" s="37" customFormat="1" ht="14.25" customHeight="1">
      <c r="A7" s="33">
        <v>4</v>
      </c>
      <c r="B7" s="35" t="s">
        <v>23</v>
      </c>
      <c r="C7" s="139" t="s">
        <v>24</v>
      </c>
      <c r="D7" s="139"/>
      <c r="E7" s="139"/>
      <c r="F7" s="139"/>
      <c r="G7" s="139"/>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c r="KW7" s="36"/>
      <c r="KX7" s="36"/>
      <c r="KY7" s="36"/>
      <c r="KZ7" s="36"/>
      <c r="LA7" s="36"/>
      <c r="LB7" s="36"/>
      <c r="LC7" s="36"/>
      <c r="LD7" s="36"/>
      <c r="LE7" s="36"/>
      <c r="LF7" s="36"/>
      <c r="LG7" s="36"/>
      <c r="LH7" s="36"/>
      <c r="LI7" s="36"/>
      <c r="LJ7" s="36"/>
      <c r="LK7" s="36"/>
      <c r="LL7" s="36"/>
      <c r="LM7" s="36"/>
      <c r="LN7" s="36"/>
      <c r="LO7" s="36"/>
      <c r="LP7" s="36"/>
      <c r="LQ7" s="36"/>
      <c r="LR7" s="36"/>
      <c r="LS7" s="36"/>
      <c r="LT7" s="36"/>
      <c r="LU7" s="36"/>
      <c r="LV7" s="36"/>
      <c r="LW7" s="36"/>
      <c r="LX7" s="36"/>
      <c r="LY7" s="36"/>
      <c r="LZ7" s="36"/>
      <c r="MA7" s="36"/>
      <c r="MB7" s="36"/>
      <c r="MC7" s="36"/>
      <c r="MD7" s="36"/>
      <c r="ME7" s="36"/>
      <c r="MF7" s="36"/>
      <c r="MG7" s="36"/>
      <c r="MH7" s="36"/>
      <c r="MI7" s="36"/>
      <c r="MJ7" s="36"/>
      <c r="MK7" s="36"/>
      <c r="ML7" s="36"/>
      <c r="MM7" s="36"/>
      <c r="MN7" s="36"/>
      <c r="MO7" s="36"/>
      <c r="MP7" s="36"/>
      <c r="MQ7" s="36"/>
      <c r="MR7" s="36"/>
      <c r="MS7" s="36"/>
      <c r="MT7" s="36"/>
      <c r="MU7" s="36"/>
      <c r="MV7" s="36"/>
      <c r="MW7" s="36"/>
      <c r="MX7" s="36"/>
      <c r="MY7" s="36"/>
      <c r="MZ7" s="36"/>
      <c r="NA7" s="36"/>
      <c r="NB7" s="36"/>
      <c r="NC7" s="36"/>
      <c r="ND7" s="36"/>
      <c r="NE7" s="36"/>
      <c r="NF7" s="36"/>
      <c r="NG7" s="36"/>
      <c r="NH7" s="36"/>
      <c r="NI7" s="36"/>
      <c r="NJ7" s="36"/>
      <c r="NK7" s="36"/>
      <c r="NL7" s="36"/>
      <c r="NM7" s="36"/>
      <c r="NN7" s="36"/>
      <c r="NO7" s="36"/>
      <c r="NP7" s="36"/>
      <c r="NQ7" s="36"/>
      <c r="NR7" s="36"/>
      <c r="NS7" s="36"/>
      <c r="NT7" s="36"/>
      <c r="NU7" s="36"/>
      <c r="NV7" s="36"/>
      <c r="NW7" s="36"/>
      <c r="NX7" s="36"/>
      <c r="NY7" s="36"/>
      <c r="NZ7" s="36"/>
      <c r="OA7" s="36"/>
      <c r="OB7" s="36"/>
      <c r="OC7" s="36"/>
      <c r="OD7" s="36"/>
      <c r="OE7" s="36"/>
      <c r="OF7" s="36"/>
      <c r="OG7" s="36"/>
      <c r="OH7" s="36"/>
      <c r="OI7" s="36"/>
      <c r="OJ7" s="36"/>
      <c r="OK7" s="36"/>
      <c r="OL7" s="36"/>
      <c r="OM7" s="36"/>
      <c r="ON7" s="36"/>
      <c r="OO7" s="36"/>
      <c r="OP7" s="36"/>
      <c r="OQ7" s="36"/>
      <c r="OR7" s="36"/>
      <c r="OS7" s="36"/>
      <c r="OT7" s="36"/>
      <c r="OU7" s="36"/>
      <c r="OV7" s="36"/>
      <c r="OW7" s="36"/>
      <c r="OX7" s="36"/>
      <c r="OY7" s="36"/>
      <c r="OZ7" s="36"/>
      <c r="PA7" s="36"/>
      <c r="PB7" s="36"/>
      <c r="PC7" s="36"/>
      <c r="PD7" s="36"/>
      <c r="PE7" s="36"/>
      <c r="PF7" s="36"/>
      <c r="PG7" s="36"/>
      <c r="PH7" s="36"/>
      <c r="PI7" s="36"/>
      <c r="PJ7" s="36"/>
      <c r="PK7" s="36"/>
      <c r="PL7" s="36"/>
      <c r="PM7" s="36"/>
      <c r="PN7" s="36"/>
      <c r="PO7" s="36"/>
      <c r="PP7" s="36"/>
      <c r="PQ7" s="36"/>
      <c r="PR7" s="36"/>
      <c r="PS7" s="36"/>
      <c r="PT7" s="36"/>
      <c r="PU7" s="36"/>
      <c r="PV7" s="36"/>
      <c r="PW7" s="36"/>
      <c r="PX7" s="36"/>
      <c r="PY7" s="36"/>
      <c r="PZ7" s="36"/>
      <c r="QA7" s="36"/>
      <c r="QB7" s="36"/>
      <c r="QC7" s="36"/>
      <c r="QD7" s="36"/>
      <c r="QE7" s="36"/>
      <c r="QF7" s="36"/>
      <c r="QG7" s="36"/>
      <c r="QH7" s="36"/>
      <c r="QI7" s="36"/>
      <c r="QJ7" s="36"/>
      <c r="QK7" s="36"/>
      <c r="QL7" s="36"/>
      <c r="QM7" s="36"/>
      <c r="QN7" s="36"/>
      <c r="QO7" s="36"/>
      <c r="QP7" s="36"/>
      <c r="QQ7" s="36"/>
      <c r="QR7" s="36"/>
      <c r="QS7" s="36"/>
      <c r="QT7" s="36"/>
      <c r="QU7" s="36"/>
      <c r="QV7" s="36"/>
      <c r="QW7" s="36"/>
      <c r="QX7" s="36"/>
      <c r="QY7" s="36"/>
      <c r="QZ7" s="36"/>
      <c r="RA7" s="36"/>
      <c r="RB7" s="36"/>
      <c r="RC7" s="36"/>
      <c r="RD7" s="36"/>
      <c r="RE7" s="36"/>
      <c r="RF7" s="36"/>
      <c r="RG7" s="36"/>
      <c r="RH7" s="36"/>
      <c r="RI7" s="36"/>
      <c r="RJ7" s="36"/>
      <c r="RK7" s="36"/>
      <c r="RL7" s="36"/>
      <c r="RM7" s="36"/>
      <c r="RN7" s="36"/>
      <c r="RO7" s="36"/>
      <c r="RP7" s="36"/>
      <c r="RQ7" s="36"/>
      <c r="RR7" s="36"/>
      <c r="RS7" s="36"/>
      <c r="RT7" s="36"/>
      <c r="RU7" s="36"/>
      <c r="RV7" s="36"/>
      <c r="RW7" s="36"/>
      <c r="RX7" s="36"/>
      <c r="RY7" s="36"/>
      <c r="RZ7" s="36"/>
      <c r="SA7" s="36"/>
      <c r="SB7" s="36"/>
      <c r="SC7" s="36"/>
      <c r="SD7" s="36"/>
      <c r="SE7" s="36"/>
      <c r="SF7" s="36"/>
      <c r="SG7" s="36"/>
      <c r="SH7" s="36"/>
      <c r="SI7" s="36"/>
      <c r="SJ7" s="36"/>
      <c r="SK7" s="36"/>
      <c r="SL7" s="36"/>
      <c r="SM7" s="36"/>
      <c r="SN7" s="36"/>
      <c r="SO7" s="36"/>
      <c r="SP7" s="36"/>
      <c r="SQ7" s="36"/>
      <c r="SR7" s="36"/>
      <c r="SS7" s="36"/>
      <c r="ST7" s="36"/>
      <c r="SU7" s="36"/>
      <c r="SV7" s="36"/>
      <c r="SW7" s="36"/>
      <c r="SX7" s="36"/>
      <c r="SY7" s="36"/>
      <c r="SZ7" s="36"/>
      <c r="TA7" s="36"/>
      <c r="TB7" s="36"/>
      <c r="TC7" s="36"/>
      <c r="TD7" s="36"/>
      <c r="TE7" s="36"/>
      <c r="TF7" s="36"/>
      <c r="TG7" s="36"/>
      <c r="TH7" s="36"/>
      <c r="TI7" s="36"/>
      <c r="TJ7" s="36"/>
      <c r="TK7" s="36"/>
      <c r="TL7" s="36"/>
      <c r="TM7" s="36"/>
      <c r="TN7" s="36"/>
      <c r="TO7" s="36"/>
      <c r="TP7" s="36"/>
      <c r="TQ7" s="36"/>
      <c r="TR7" s="36"/>
      <c r="TS7" s="36"/>
      <c r="TT7" s="36"/>
      <c r="TU7" s="36"/>
      <c r="TV7" s="36"/>
      <c r="TW7" s="36"/>
      <c r="TX7" s="36"/>
      <c r="TY7" s="36"/>
      <c r="TZ7" s="36"/>
      <c r="UA7" s="36"/>
      <c r="UB7" s="36"/>
      <c r="UC7" s="36"/>
      <c r="UD7" s="36"/>
      <c r="UE7" s="36"/>
      <c r="UF7" s="36"/>
      <c r="UG7" s="36"/>
      <c r="UH7" s="36"/>
      <c r="UI7" s="36"/>
      <c r="UJ7" s="36"/>
      <c r="UK7" s="36"/>
      <c r="UL7" s="36"/>
      <c r="UM7" s="36"/>
      <c r="UN7" s="36"/>
      <c r="UO7" s="36"/>
      <c r="UP7" s="36"/>
      <c r="UQ7" s="36"/>
      <c r="UR7" s="36"/>
      <c r="US7" s="36"/>
      <c r="UT7" s="36"/>
      <c r="UU7" s="36"/>
      <c r="UV7" s="36"/>
      <c r="UW7" s="36"/>
      <c r="UX7" s="36"/>
      <c r="UY7" s="36"/>
      <c r="UZ7" s="36"/>
      <c r="VA7" s="36"/>
      <c r="VB7" s="36"/>
      <c r="VC7" s="36"/>
      <c r="VD7" s="36"/>
      <c r="VE7" s="36"/>
      <c r="VF7" s="36"/>
      <c r="VG7" s="36"/>
      <c r="VH7" s="36"/>
      <c r="VI7" s="36"/>
      <c r="VJ7" s="36"/>
      <c r="VK7" s="36"/>
      <c r="VL7" s="36"/>
      <c r="VM7" s="36"/>
      <c r="VN7" s="36"/>
      <c r="VO7" s="36"/>
      <c r="VP7" s="36"/>
      <c r="VQ7" s="36"/>
      <c r="VR7" s="36"/>
      <c r="VS7" s="36"/>
      <c r="VT7" s="36"/>
      <c r="VU7" s="36"/>
      <c r="VV7" s="36"/>
      <c r="VW7" s="36"/>
      <c r="VX7" s="36"/>
      <c r="VY7" s="36"/>
      <c r="VZ7" s="36"/>
      <c r="WA7" s="36"/>
      <c r="WB7" s="36"/>
      <c r="WC7" s="36"/>
      <c r="WD7" s="36"/>
      <c r="WE7" s="36"/>
      <c r="WF7" s="36"/>
      <c r="WG7" s="36"/>
      <c r="WH7" s="36"/>
      <c r="WI7" s="36"/>
      <c r="WJ7" s="36"/>
      <c r="WK7" s="36"/>
      <c r="WL7" s="36"/>
      <c r="WM7" s="36"/>
      <c r="WN7" s="36"/>
      <c r="WO7" s="36"/>
      <c r="WP7" s="36"/>
      <c r="WQ7" s="36"/>
      <c r="WR7" s="36"/>
      <c r="WS7" s="36"/>
      <c r="WT7" s="36"/>
      <c r="WU7" s="36"/>
      <c r="WV7" s="36"/>
      <c r="WW7" s="36"/>
      <c r="WX7" s="36"/>
      <c r="WY7" s="36"/>
      <c r="WZ7" s="36"/>
      <c r="XA7" s="36"/>
      <c r="XB7" s="36"/>
      <c r="XC7" s="36"/>
      <c r="XD7" s="36"/>
      <c r="XE7" s="36"/>
      <c r="XF7" s="36"/>
      <c r="XG7" s="36"/>
      <c r="XH7" s="36"/>
      <c r="XI7" s="36"/>
      <c r="XJ7" s="36"/>
      <c r="XK7" s="36"/>
      <c r="XL7" s="36"/>
      <c r="XM7" s="36"/>
      <c r="XN7" s="36"/>
      <c r="XO7" s="36"/>
      <c r="XP7" s="36"/>
      <c r="XQ7" s="36"/>
      <c r="XR7" s="36"/>
      <c r="XS7" s="36"/>
      <c r="XT7" s="36"/>
      <c r="XU7" s="36"/>
      <c r="XV7" s="36"/>
      <c r="XW7" s="36"/>
      <c r="XX7" s="36"/>
      <c r="XY7" s="36"/>
      <c r="XZ7" s="36"/>
      <c r="YA7" s="36"/>
      <c r="YB7" s="36"/>
      <c r="YC7" s="36"/>
      <c r="YD7" s="36"/>
      <c r="YE7" s="36"/>
      <c r="YF7" s="36"/>
      <c r="YG7" s="36"/>
      <c r="YH7" s="36"/>
      <c r="YI7" s="36"/>
      <c r="YJ7" s="36"/>
      <c r="YK7" s="36"/>
      <c r="YL7" s="36"/>
      <c r="YM7" s="36"/>
      <c r="YN7" s="36"/>
      <c r="YO7" s="36"/>
      <c r="YP7" s="36"/>
      <c r="YQ7" s="36"/>
      <c r="YR7" s="36"/>
      <c r="YS7" s="36"/>
      <c r="YT7" s="36"/>
      <c r="YU7" s="36"/>
      <c r="YV7" s="36"/>
      <c r="YW7" s="36"/>
      <c r="YX7" s="36"/>
      <c r="YY7" s="36"/>
      <c r="YZ7" s="36"/>
      <c r="ZA7" s="36"/>
      <c r="ZB7" s="36"/>
      <c r="ZC7" s="36"/>
      <c r="ZD7" s="36"/>
      <c r="ZE7" s="36"/>
      <c r="ZF7" s="36"/>
      <c r="ZG7" s="36"/>
      <c r="ZH7" s="36"/>
      <c r="ZI7" s="36"/>
      <c r="ZJ7" s="36"/>
      <c r="ZK7" s="36"/>
      <c r="ZL7" s="36"/>
      <c r="ZM7" s="36"/>
      <c r="ZN7" s="36"/>
      <c r="ZO7" s="36"/>
      <c r="ZP7" s="36"/>
      <c r="ZQ7" s="36"/>
      <c r="ZR7" s="36"/>
      <c r="ZS7" s="36"/>
      <c r="ZT7" s="36"/>
      <c r="ZU7" s="36"/>
      <c r="ZV7" s="36"/>
      <c r="ZW7" s="36"/>
      <c r="ZX7" s="36"/>
      <c r="ZY7" s="36"/>
      <c r="ZZ7" s="36"/>
      <c r="AAA7" s="36"/>
      <c r="AAB7" s="36"/>
      <c r="AAC7" s="36"/>
      <c r="AAD7" s="36"/>
      <c r="AAE7" s="36"/>
      <c r="AAF7" s="36"/>
      <c r="AAG7" s="36"/>
      <c r="AAH7" s="36"/>
      <c r="AAI7" s="36"/>
      <c r="AAJ7" s="36"/>
      <c r="AAK7" s="36"/>
      <c r="AAL7" s="36"/>
      <c r="AAM7" s="36"/>
      <c r="AAN7" s="36"/>
      <c r="AAO7" s="36"/>
      <c r="AAP7" s="36"/>
      <c r="AAQ7" s="36"/>
      <c r="AAR7" s="36"/>
      <c r="AAS7" s="36"/>
      <c r="AAT7" s="36"/>
      <c r="AAU7" s="36"/>
      <c r="AAV7" s="36"/>
      <c r="AAW7" s="36"/>
      <c r="AAX7" s="36"/>
      <c r="AAY7" s="36"/>
      <c r="AAZ7" s="36"/>
      <c r="ABA7" s="36"/>
      <c r="ABB7" s="36"/>
      <c r="ABC7" s="36"/>
      <c r="ABD7" s="36"/>
      <c r="ABE7" s="36"/>
      <c r="ABF7" s="36"/>
      <c r="ABG7" s="36"/>
      <c r="ABH7" s="36"/>
      <c r="ABI7" s="36"/>
      <c r="ABJ7" s="36"/>
      <c r="ABK7" s="36"/>
      <c r="ABL7" s="36"/>
      <c r="ABM7" s="36"/>
      <c r="ABN7" s="36"/>
      <c r="ABO7" s="36"/>
      <c r="ABP7" s="36"/>
      <c r="ABQ7" s="36"/>
      <c r="ABR7" s="36"/>
      <c r="ABS7" s="36"/>
      <c r="ABT7" s="36"/>
      <c r="ABU7" s="36"/>
      <c r="ABV7" s="36"/>
      <c r="ABW7" s="36"/>
      <c r="ABX7" s="36"/>
      <c r="ABY7" s="36"/>
      <c r="ABZ7" s="36"/>
      <c r="ACA7" s="36"/>
      <c r="ACB7" s="36"/>
      <c r="ACC7" s="36"/>
      <c r="ACD7" s="36"/>
      <c r="ACE7" s="36"/>
      <c r="ACF7" s="36"/>
      <c r="ACG7" s="36"/>
      <c r="ACH7" s="36"/>
      <c r="ACI7" s="36"/>
      <c r="ACJ7" s="36"/>
      <c r="ACK7" s="36"/>
      <c r="ACL7" s="36"/>
      <c r="ACM7" s="36"/>
      <c r="ACN7" s="36"/>
      <c r="ACO7" s="36"/>
      <c r="ACP7" s="36"/>
      <c r="ACQ7" s="36"/>
      <c r="ACR7" s="36"/>
      <c r="ACS7" s="36"/>
      <c r="ACT7" s="36"/>
      <c r="ACU7" s="36"/>
      <c r="ACV7" s="36"/>
      <c r="ACW7" s="36"/>
      <c r="ACX7" s="36"/>
      <c r="ACY7" s="36"/>
      <c r="ACZ7" s="36"/>
      <c r="ADA7" s="36"/>
      <c r="ADB7" s="36"/>
      <c r="ADC7" s="36"/>
      <c r="ADD7" s="36"/>
      <c r="ADE7" s="36"/>
      <c r="ADF7" s="36"/>
      <c r="ADG7" s="36"/>
      <c r="ADH7" s="36"/>
      <c r="ADI7" s="36"/>
      <c r="ADJ7" s="36"/>
      <c r="ADK7" s="36"/>
      <c r="ADL7" s="36"/>
      <c r="ADM7" s="36"/>
      <c r="ADN7" s="36"/>
      <c r="ADO7" s="36"/>
      <c r="ADP7" s="36"/>
      <c r="ADQ7" s="36"/>
      <c r="ADR7" s="36"/>
      <c r="ADS7" s="36"/>
      <c r="ADT7" s="36"/>
      <c r="ADU7" s="36"/>
      <c r="ADV7" s="36"/>
      <c r="ADW7" s="36"/>
      <c r="ADX7" s="36"/>
      <c r="ADY7" s="36"/>
      <c r="ADZ7" s="36"/>
      <c r="AEA7" s="36"/>
      <c r="AEB7" s="36"/>
      <c r="AEC7" s="36"/>
      <c r="AED7" s="36"/>
      <c r="AEE7" s="36"/>
      <c r="AEF7" s="36"/>
      <c r="AEG7" s="36"/>
      <c r="AEH7" s="36"/>
      <c r="AEI7" s="36"/>
      <c r="AEJ7" s="36"/>
      <c r="AEK7" s="36"/>
      <c r="AEL7" s="36"/>
      <c r="AEM7" s="36"/>
      <c r="AEN7" s="36"/>
      <c r="AEO7" s="36"/>
      <c r="AEP7" s="36"/>
      <c r="AEQ7" s="36"/>
      <c r="AER7" s="36"/>
      <c r="AES7" s="36"/>
      <c r="AET7" s="36"/>
      <c r="AEU7" s="36"/>
      <c r="AEV7" s="36"/>
      <c r="AEW7" s="36"/>
      <c r="AEX7" s="36"/>
      <c r="AEY7" s="36"/>
      <c r="AEZ7" s="36"/>
      <c r="AFA7" s="36"/>
      <c r="AFB7" s="36"/>
      <c r="AFC7" s="36"/>
      <c r="AFD7" s="36"/>
      <c r="AFE7" s="36"/>
      <c r="AFF7" s="36"/>
      <c r="AFG7" s="36"/>
      <c r="AFH7" s="36"/>
      <c r="AFI7" s="36"/>
      <c r="AFJ7" s="36"/>
      <c r="AFK7" s="36"/>
      <c r="AFL7" s="36"/>
      <c r="AFM7" s="36"/>
      <c r="AFN7" s="36"/>
      <c r="AFO7" s="36"/>
      <c r="AFP7" s="36"/>
      <c r="AFQ7" s="36"/>
      <c r="AFR7" s="36"/>
      <c r="AFS7" s="36"/>
      <c r="AFT7" s="36"/>
      <c r="AFU7" s="36"/>
      <c r="AFV7" s="36"/>
      <c r="AFW7" s="36"/>
      <c r="AFX7" s="36"/>
      <c r="AFY7" s="36"/>
      <c r="AFZ7" s="36"/>
      <c r="AGA7" s="36"/>
      <c r="AGB7" s="36"/>
      <c r="AGC7" s="36"/>
      <c r="AGD7" s="36"/>
      <c r="AGE7" s="36"/>
      <c r="AGF7" s="36"/>
      <c r="AGG7" s="36"/>
      <c r="AGH7" s="36"/>
      <c r="AGI7" s="36"/>
      <c r="AGJ7" s="36"/>
      <c r="AGK7" s="36"/>
      <c r="AGL7" s="36"/>
      <c r="AGM7" s="36"/>
      <c r="AGN7" s="36"/>
      <c r="AGO7" s="36"/>
      <c r="AGP7" s="36"/>
      <c r="AGQ7" s="36"/>
      <c r="AGR7" s="36"/>
      <c r="AGS7" s="36"/>
      <c r="AGT7" s="36"/>
      <c r="AGU7" s="36"/>
      <c r="AGV7" s="36"/>
      <c r="AGW7" s="36"/>
      <c r="AGX7" s="36"/>
      <c r="AGY7" s="36"/>
      <c r="AGZ7" s="36"/>
      <c r="AHA7" s="36"/>
      <c r="AHB7" s="36"/>
      <c r="AHC7" s="36"/>
      <c r="AHD7" s="36"/>
      <c r="AHE7" s="36"/>
      <c r="AHF7" s="36"/>
      <c r="AHG7" s="36"/>
      <c r="AHH7" s="36"/>
      <c r="AHI7" s="36"/>
      <c r="AHJ7" s="36"/>
      <c r="AHK7" s="36"/>
      <c r="AHL7" s="36"/>
      <c r="AHM7" s="36"/>
      <c r="AHN7" s="36"/>
      <c r="AHO7" s="36"/>
      <c r="AHP7" s="36"/>
      <c r="AHQ7" s="36"/>
      <c r="AHR7" s="36"/>
      <c r="AHS7" s="36"/>
      <c r="AHT7" s="36"/>
      <c r="AHU7" s="36"/>
      <c r="AHV7" s="36"/>
      <c r="AHW7" s="36"/>
      <c r="AHX7" s="36"/>
      <c r="AHY7" s="36"/>
      <c r="AHZ7" s="36"/>
      <c r="AIA7" s="36"/>
      <c r="AIB7" s="36"/>
      <c r="AIC7" s="36"/>
      <c r="AID7" s="36"/>
      <c r="AIE7" s="36"/>
      <c r="AIF7" s="36"/>
      <c r="AIG7" s="36"/>
      <c r="AIH7" s="36"/>
      <c r="AII7" s="36"/>
      <c r="AIJ7" s="36"/>
      <c r="AIK7" s="36"/>
      <c r="AIL7" s="36"/>
      <c r="AIM7" s="36"/>
      <c r="AIN7" s="36"/>
      <c r="AIO7" s="36"/>
      <c r="AIP7" s="36"/>
      <c r="AIQ7" s="36"/>
      <c r="AIR7" s="36"/>
      <c r="AIS7" s="36"/>
      <c r="AIT7" s="36"/>
      <c r="AIU7" s="36"/>
      <c r="AIV7" s="36"/>
      <c r="AIW7" s="36"/>
      <c r="AIX7" s="36"/>
      <c r="AIY7" s="36"/>
      <c r="AIZ7" s="36"/>
      <c r="AJA7" s="36"/>
      <c r="AJB7" s="36"/>
      <c r="AJC7" s="36"/>
      <c r="AJD7" s="36"/>
      <c r="AJE7" s="36"/>
      <c r="AJF7" s="36"/>
      <c r="AJG7" s="36"/>
      <c r="AJH7" s="36"/>
      <c r="AJI7" s="36"/>
      <c r="AJJ7" s="36"/>
      <c r="AJK7" s="36"/>
      <c r="AJL7" s="36"/>
      <c r="AJM7" s="36"/>
      <c r="AJN7" s="36"/>
      <c r="AJO7" s="36"/>
      <c r="AJP7" s="36"/>
      <c r="AJQ7" s="36"/>
      <c r="AJR7" s="36"/>
      <c r="AJS7" s="36"/>
      <c r="AJT7" s="36"/>
      <c r="AJU7" s="36"/>
      <c r="AJV7" s="36"/>
      <c r="AJW7" s="36"/>
      <c r="AJX7" s="36"/>
      <c r="AJY7" s="36"/>
      <c r="AJZ7" s="36"/>
      <c r="AKA7" s="36"/>
      <c r="AKB7" s="36"/>
      <c r="AKC7" s="36"/>
      <c r="AKD7" s="36"/>
      <c r="AKE7" s="36"/>
      <c r="AKF7" s="36"/>
      <c r="AKG7" s="36"/>
      <c r="AKH7" s="36"/>
      <c r="AKI7" s="36"/>
      <c r="AKJ7" s="36"/>
      <c r="AKK7" s="36"/>
      <c r="AKL7" s="36"/>
      <c r="AKM7" s="36"/>
      <c r="AKN7" s="36"/>
      <c r="AKO7" s="36"/>
      <c r="AKP7" s="36"/>
      <c r="AKQ7" s="36"/>
      <c r="AKR7" s="36"/>
      <c r="AKS7" s="36"/>
      <c r="AKT7" s="36"/>
      <c r="AKU7" s="36"/>
      <c r="AKV7" s="36"/>
      <c r="AKW7" s="36"/>
      <c r="AKX7" s="36"/>
      <c r="AKY7" s="36"/>
      <c r="AKZ7" s="36"/>
      <c r="ALA7" s="36"/>
      <c r="ALB7" s="36"/>
      <c r="ALC7" s="36"/>
      <c r="ALD7" s="36"/>
      <c r="ALE7" s="36"/>
      <c r="ALF7" s="36"/>
      <c r="ALG7" s="36"/>
      <c r="ALH7" s="36"/>
      <c r="ALI7" s="36"/>
      <c r="ALJ7" s="36"/>
      <c r="ALK7" s="36"/>
      <c r="ALL7" s="36"/>
      <c r="ALM7" s="36"/>
      <c r="ALN7" s="36"/>
      <c r="ALO7" s="36"/>
      <c r="ALP7" s="36"/>
      <c r="ALQ7" s="36"/>
      <c r="ALR7" s="36"/>
      <c r="ALS7" s="36"/>
      <c r="ALT7" s="36"/>
      <c r="ALU7" s="36"/>
      <c r="ALV7" s="36"/>
      <c r="ALW7" s="36"/>
      <c r="ALX7" s="36"/>
      <c r="ALY7" s="36"/>
      <c r="ALZ7" s="36"/>
      <c r="AMA7" s="36"/>
      <c r="AMB7" s="36"/>
      <c r="AMC7" s="36"/>
      <c r="AMD7" s="36"/>
      <c r="AME7" s="36"/>
      <c r="AMF7" s="36"/>
      <c r="AMG7" s="36"/>
      <c r="AMH7" s="36"/>
      <c r="AMI7" s="36"/>
      <c r="AMJ7" s="36"/>
    </row>
    <row r="8" spans="1:1024" ht="14.25" customHeight="1">
      <c r="A8" s="33">
        <v>5</v>
      </c>
      <c r="B8" s="35" t="s">
        <v>25</v>
      </c>
      <c r="C8" s="139" t="s">
        <v>26</v>
      </c>
      <c r="D8" s="139"/>
      <c r="E8" s="139"/>
      <c r="F8" s="139"/>
      <c r="G8" s="139"/>
    </row>
    <row r="9" spans="1:1024" ht="14.25" customHeight="1">
      <c r="A9" s="33">
        <v>6</v>
      </c>
      <c r="B9" s="35" t="s">
        <v>27</v>
      </c>
      <c r="C9" s="139" t="s">
        <v>28</v>
      </c>
      <c r="D9" s="139"/>
      <c r="E9" s="139"/>
      <c r="F9" s="139"/>
      <c r="G9" s="139"/>
    </row>
    <row r="10" spans="1:1024" ht="14.25" customHeight="1">
      <c r="A10" s="33">
        <v>7</v>
      </c>
      <c r="B10" s="34" t="s">
        <v>29</v>
      </c>
      <c r="C10" s="140" t="s">
        <v>30</v>
      </c>
      <c r="D10" s="140"/>
      <c r="E10" s="140"/>
      <c r="F10" s="140"/>
      <c r="G10" s="140"/>
    </row>
    <row r="11" spans="1:1024" ht="26.25" customHeight="1">
      <c r="A11" s="33">
        <v>8</v>
      </c>
      <c r="B11" s="34" t="s">
        <v>31</v>
      </c>
      <c r="C11" s="140" t="s">
        <v>32</v>
      </c>
      <c r="D11" s="140"/>
      <c r="E11" s="140"/>
      <c r="F11" s="140"/>
      <c r="G11" s="140"/>
    </row>
    <row r="12" spans="1:1024" ht="14.25" customHeight="1">
      <c r="A12" s="38" t="s">
        <v>33</v>
      </c>
      <c r="B12" s="38" t="s">
        <v>34</v>
      </c>
      <c r="C12" s="141" t="s">
        <v>35</v>
      </c>
      <c r="D12" s="141"/>
      <c r="E12" s="141"/>
      <c r="F12" s="38" t="s">
        <v>36</v>
      </c>
      <c r="G12" s="38" t="s">
        <v>37</v>
      </c>
    </row>
    <row r="13" spans="1:1024" ht="57" customHeight="1">
      <c r="A13" s="39">
        <v>46253</v>
      </c>
      <c r="B13" s="40" t="s">
        <v>38</v>
      </c>
      <c r="C13" s="138" t="s">
        <v>39</v>
      </c>
      <c r="D13" s="138"/>
      <c r="E13" s="138"/>
      <c r="F13" s="41">
        <v>1</v>
      </c>
      <c r="G13" s="42" t="s">
        <v>40</v>
      </c>
    </row>
  </sheetData>
  <mergeCells count="11">
    <mergeCell ref="C3:G3"/>
    <mergeCell ref="C4:G4"/>
    <mergeCell ref="C5:G5"/>
    <mergeCell ref="C6:G6"/>
    <mergeCell ref="C7:G7"/>
    <mergeCell ref="C13:E13"/>
    <mergeCell ref="C8:G8"/>
    <mergeCell ref="C9:G9"/>
    <mergeCell ref="C10:G10"/>
    <mergeCell ref="C11:G11"/>
    <mergeCell ref="C12:E12"/>
  </mergeCells>
  <hyperlinks>
    <hyperlink ref="B4" location="Cover!A1" display="Cover" xr:uid="{00000000-0004-0000-0100-000000000000}"/>
    <hyperlink ref="B5" location="Records!A1" display="Records" xr:uid="{00000000-0004-0000-0100-000001000000}"/>
    <hyperlink ref="B6" location="'Test Report'!A1" display="Test Report" xr:uid="{00000000-0004-0000-0100-000002000000}"/>
    <hyperlink ref="B7" location="SCN_WF_TM_AUTO!A1" display="SCN_WF_TM_AUTO" xr:uid="{00000000-0004-0000-0100-000003000000}"/>
    <hyperlink ref="B8" location="SCN_WF_TM_DVKH!A1" display="SCN_WF_TM_DVKH" xr:uid="{00000000-0004-0000-0100-000004000000}"/>
    <hyperlink ref="B9" location="SCN_WF_TM_AML!A1" display="SCN_WF_TM_AML" xr:uid="{00000000-0004-0000-0100-000005000000}"/>
    <hyperlink ref="B10" location="SCN_WF_TM_REOPEN!A1" display="SCN_WF_TM_REOPEN" xr:uid="{00000000-0004-0000-0100-000006000000}"/>
    <hyperlink ref="B11" location="Legend!A1" display="Legend" xr:uid="{00000000-0004-0000-0100-000007000000}"/>
  </hyperlink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C090"/>
  </sheetPr>
  <dimension ref="A1:G28"/>
  <sheetViews>
    <sheetView zoomScaleNormal="100" workbookViewId="0">
      <selection activeCell="B16" sqref="B16"/>
    </sheetView>
  </sheetViews>
  <sheetFormatPr defaultColWidth="8.5703125" defaultRowHeight="14.25"/>
  <cols>
    <col min="1" max="1" width="24.140625" style="37" customWidth="1"/>
    <col min="2" max="2" width="15.42578125" style="37" customWidth="1"/>
    <col min="3" max="3" width="16" style="37" customWidth="1"/>
    <col min="4" max="7" width="15.42578125" style="37" customWidth="1"/>
    <col min="8" max="16384" width="8.5703125" style="37"/>
  </cols>
  <sheetData>
    <row r="1" spans="1:7" ht="14.25" customHeight="1">
      <c r="A1" s="43"/>
      <c r="B1" s="44"/>
      <c r="C1" s="44"/>
      <c r="D1" s="44"/>
      <c r="E1" s="44"/>
      <c r="F1" s="44"/>
      <c r="G1" s="45"/>
    </row>
    <row r="2" spans="1:7" ht="27.75" customHeight="1">
      <c r="A2" s="46"/>
      <c r="B2" s="47" t="s">
        <v>41</v>
      </c>
      <c r="C2" s="46"/>
      <c r="D2" s="46"/>
      <c r="E2" s="46"/>
      <c r="F2" s="46"/>
      <c r="G2" s="46"/>
    </row>
    <row r="3" spans="1:7" ht="14.25" customHeight="1">
      <c r="A3" s="46"/>
      <c r="B3" s="46"/>
      <c r="C3" s="46"/>
      <c r="D3" s="46"/>
      <c r="E3" s="46"/>
      <c r="F3" s="46"/>
      <c r="G3" s="46"/>
    </row>
    <row r="4" spans="1:7" ht="15" customHeight="1">
      <c r="A4" s="46"/>
      <c r="B4" s="46"/>
      <c r="C4" s="46"/>
      <c r="D4" s="46"/>
      <c r="E4" s="46"/>
      <c r="F4" s="46"/>
      <c r="G4" s="46"/>
    </row>
    <row r="5" spans="1:7" ht="27.75" customHeight="1">
      <c r="A5" s="48" t="s">
        <v>42</v>
      </c>
      <c r="B5" s="147" t="s">
        <v>2</v>
      </c>
      <c r="C5" s="147"/>
      <c r="D5" s="49" t="s">
        <v>43</v>
      </c>
      <c r="E5" s="148"/>
      <c r="F5" s="148"/>
      <c r="G5" s="148"/>
    </row>
    <row r="6" spans="1:7" ht="14.25" customHeight="1">
      <c r="A6" s="50" t="s">
        <v>44</v>
      </c>
      <c r="B6" s="149" t="s">
        <v>45</v>
      </c>
      <c r="C6" s="149"/>
      <c r="D6" s="51" t="s">
        <v>46</v>
      </c>
      <c r="E6" s="144"/>
      <c r="F6" s="144"/>
      <c r="G6" s="144"/>
    </row>
    <row r="7" spans="1:7" ht="14.25" customHeight="1">
      <c r="A7" s="50" t="s">
        <v>47</v>
      </c>
      <c r="B7" s="143" t="s">
        <v>48</v>
      </c>
      <c r="C7" s="143"/>
      <c r="D7" s="51" t="s">
        <v>49</v>
      </c>
      <c r="E7" s="150"/>
      <c r="F7" s="150"/>
      <c r="G7" s="150"/>
    </row>
    <row r="8" spans="1:7" ht="14.25" customHeight="1">
      <c r="A8" s="50" t="s">
        <v>50</v>
      </c>
      <c r="B8" s="143" t="s">
        <v>51</v>
      </c>
      <c r="C8" s="143"/>
      <c r="D8" s="51" t="s">
        <v>52</v>
      </c>
      <c r="E8" s="144"/>
      <c r="F8" s="144"/>
      <c r="G8" s="144"/>
    </row>
    <row r="9" spans="1:7" ht="14.25" customHeight="1">
      <c r="A9" s="50" t="s">
        <v>53</v>
      </c>
      <c r="B9" s="52" t="s">
        <v>54</v>
      </c>
      <c r="C9" s="53"/>
      <c r="D9" s="51"/>
      <c r="E9" s="54"/>
      <c r="F9" s="55"/>
      <c r="G9" s="56"/>
    </row>
    <row r="10" spans="1:7" ht="14.25" customHeight="1">
      <c r="A10" s="50" t="s">
        <v>55</v>
      </c>
      <c r="B10" s="145">
        <v>46253</v>
      </c>
      <c r="C10" s="145"/>
      <c r="D10" s="51"/>
      <c r="E10" s="144"/>
      <c r="F10" s="144"/>
      <c r="G10" s="144"/>
    </row>
    <row r="11" spans="1:7" ht="15" customHeight="1">
      <c r="A11" s="146" t="s">
        <v>56</v>
      </c>
      <c r="B11" s="146"/>
      <c r="C11" s="57"/>
      <c r="D11" s="57"/>
      <c r="E11" s="57"/>
      <c r="F11" s="57"/>
      <c r="G11" s="58"/>
    </row>
    <row r="12" spans="1:7" ht="14.25" customHeight="1">
      <c r="A12" s="59" t="s">
        <v>57</v>
      </c>
      <c r="B12" s="60"/>
      <c r="C12" s="61"/>
      <c r="D12" s="61"/>
      <c r="E12" s="61"/>
      <c r="F12" s="61"/>
      <c r="G12" s="62"/>
    </row>
    <row r="13" spans="1:7" ht="14.25" customHeight="1">
      <c r="A13" s="63" t="s">
        <v>58</v>
      </c>
      <c r="B13" s="64"/>
      <c r="C13" s="65"/>
      <c r="D13" s="65"/>
      <c r="E13" s="65"/>
      <c r="F13" s="65"/>
      <c r="G13" s="66"/>
    </row>
    <row r="14" spans="1:7" ht="14.25" customHeight="1">
      <c r="A14" s="67" t="s">
        <v>59</v>
      </c>
      <c r="B14" s="68" t="s">
        <v>60</v>
      </c>
      <c r="C14" s="69" t="s">
        <v>61</v>
      </c>
      <c r="D14" s="69" t="s">
        <v>62</v>
      </c>
      <c r="E14" s="69" t="s">
        <v>63</v>
      </c>
      <c r="F14" s="70" t="s">
        <v>64</v>
      </c>
      <c r="G14" s="71" t="s">
        <v>65</v>
      </c>
    </row>
    <row r="15" spans="1:7" ht="14.25" customHeight="1">
      <c r="A15" s="72"/>
      <c r="B15" s="73">
        <f>B16</f>
        <v>75</v>
      </c>
      <c r="C15" s="73">
        <f>C16</f>
        <v>0</v>
      </c>
      <c r="D15" s="73">
        <f>D16</f>
        <v>0</v>
      </c>
      <c r="E15" s="73">
        <f>E16</f>
        <v>0</v>
      </c>
      <c r="F15" s="73">
        <f>F16</f>
        <v>0</v>
      </c>
      <c r="G15" s="74">
        <f>SUM(B15:F15)</f>
        <v>75</v>
      </c>
    </row>
    <row r="16" spans="1:7" ht="14.25" customHeight="1">
      <c r="A16" s="75" t="s">
        <v>66</v>
      </c>
      <c r="B16" s="76">
        <f>SCN_WF_TM_AUTO!F5+SCN_WF_TM_DVKH!F5+SCN_WF_TM_AML!F5+SCN_WF_TM_REOPEN!F5</f>
        <v>75</v>
      </c>
      <c r="C16" s="76"/>
      <c r="D16" s="76"/>
      <c r="E16" s="76"/>
      <c r="F16" s="76"/>
      <c r="G16" s="77"/>
    </row>
    <row r="17" spans="1:7" ht="14.25" customHeight="1">
      <c r="A17" s="78" t="s">
        <v>67</v>
      </c>
      <c r="B17" s="79"/>
      <c r="C17" s="80"/>
      <c r="D17" s="80"/>
      <c r="E17" s="81"/>
      <c r="F17" s="81"/>
      <c r="G17" s="82"/>
    </row>
    <row r="18" spans="1:7" ht="14.25" customHeight="1">
      <c r="A18" s="75" t="s">
        <v>67</v>
      </c>
      <c r="B18" s="83"/>
      <c r="C18" s="83"/>
      <c r="D18" s="83"/>
      <c r="E18" s="84"/>
      <c r="F18" s="85"/>
      <c r="G18" s="86"/>
    </row>
    <row r="19" spans="1:7" ht="14.25" customHeight="1">
      <c r="A19" s="87" t="s">
        <v>68</v>
      </c>
      <c r="B19" s="88"/>
      <c r="C19" s="88"/>
      <c r="D19" s="88"/>
      <c r="E19" s="89"/>
      <c r="F19" s="85"/>
      <c r="G19" s="86"/>
    </row>
    <row r="20" spans="1:7" ht="14.25" customHeight="1">
      <c r="A20" s="78" t="s">
        <v>69</v>
      </c>
      <c r="B20" s="79" t="s">
        <v>4</v>
      </c>
      <c r="C20" s="80"/>
      <c r="D20" s="80"/>
      <c r="E20" s="81"/>
      <c r="F20" s="81"/>
      <c r="G20" s="90"/>
    </row>
    <row r="21" spans="1:7" ht="14.25" customHeight="1">
      <c r="A21" s="87" t="s">
        <v>70</v>
      </c>
      <c r="B21" s="91"/>
      <c r="C21" s="92"/>
      <c r="D21" s="92"/>
      <c r="E21" s="92"/>
      <c r="F21" s="92"/>
      <c r="G21" s="93"/>
    </row>
    <row r="22" spans="1:7" ht="14.25" customHeight="1">
      <c r="A22" s="87" t="s">
        <v>71</v>
      </c>
      <c r="B22" s="91"/>
      <c r="C22" s="92"/>
      <c r="D22" s="92"/>
      <c r="E22" s="92"/>
      <c r="F22" s="92"/>
      <c r="G22" s="93"/>
    </row>
    <row r="28" spans="1:7" ht="14.25" customHeight="1">
      <c r="E28" s="37" t="s">
        <v>72</v>
      </c>
    </row>
  </sheetData>
  <mergeCells count="11">
    <mergeCell ref="B5:C5"/>
    <mergeCell ref="E5:G5"/>
    <mergeCell ref="B6:C6"/>
    <mergeCell ref="E6:G6"/>
    <mergeCell ref="B7:C7"/>
    <mergeCell ref="E7:G7"/>
    <mergeCell ref="B8:C8"/>
    <mergeCell ref="E8:G8"/>
    <mergeCell ref="B10:C10"/>
    <mergeCell ref="E10:G10"/>
    <mergeCell ref="A11:B1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O51"/>
  <sheetViews>
    <sheetView tabSelected="1" zoomScale="85" zoomScaleNormal="85" workbookViewId="0">
      <pane xSplit="3" ySplit="13" topLeftCell="D30" activePane="bottomRight" state="frozen"/>
      <selection pane="bottomRight" activeCell="F15" sqref="F15"/>
      <selection pane="bottomLeft" activeCell="A14" sqref="A14"/>
      <selection pane="topRight" activeCell="D1" sqref="D1"/>
    </sheetView>
  </sheetViews>
  <sheetFormatPr defaultColWidth="9" defaultRowHeight="14.25"/>
  <cols>
    <col min="1" max="1" width="7.28515625" style="94"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95" customWidth="1"/>
  </cols>
  <sheetData>
    <row r="1" spans="1:15" ht="30" customHeight="1">
      <c r="B1" s="96" t="s">
        <v>73</v>
      </c>
      <c r="C1" s="129" t="s">
        <v>74</v>
      </c>
      <c r="D1" s="97"/>
      <c r="E1" s="97"/>
      <c r="F1" s="98"/>
    </row>
    <row r="2" spans="1:15" ht="15" customHeight="1">
      <c r="B2" s="96" t="s">
        <v>75</v>
      </c>
      <c r="C2" s="96" t="s">
        <v>76</v>
      </c>
      <c r="D2" s="97"/>
      <c r="E2" s="97"/>
      <c r="F2" s="98"/>
    </row>
    <row r="3" spans="1:15" ht="15" customHeight="1">
      <c r="B3" s="99"/>
      <c r="C3" s="100"/>
      <c r="D3" s="100"/>
      <c r="E3" s="100"/>
      <c r="F3" s="98"/>
    </row>
    <row r="4" spans="1:15" ht="15" customHeight="1">
      <c r="B4" s="101"/>
      <c r="C4" s="102" t="s">
        <v>77</v>
      </c>
      <c r="D4" s="102" t="s">
        <v>78</v>
      </c>
      <c r="E4" s="102" t="s">
        <v>79</v>
      </c>
      <c r="F4" s="103" t="s">
        <v>65</v>
      </c>
      <c r="G4" s="98"/>
    </row>
    <row r="5" spans="1:15" ht="15" customHeight="1">
      <c r="B5" s="104"/>
      <c r="C5" s="105">
        <f>SUM(C6:C10)</f>
        <v>13</v>
      </c>
      <c r="D5" s="105">
        <f>SUM(D6:D10)</f>
        <v>17</v>
      </c>
      <c r="E5" s="105">
        <f>SUM(E6:E10)</f>
        <v>0</v>
      </c>
      <c r="F5" s="105">
        <f t="shared" ref="F5:F11" si="0">SUM(C5:E5)</f>
        <v>30</v>
      </c>
    </row>
    <row r="6" spans="1:15" ht="14.25" customHeight="1">
      <c r="B6" s="106" t="s">
        <v>60</v>
      </c>
      <c r="C6" s="107">
        <f t="shared" ref="C6:E11" si="1">COUNTIFS($K:$K, $B6,$I:$I,C$4)</f>
        <v>0</v>
      </c>
      <c r="D6" s="107">
        <f t="shared" si="1"/>
        <v>0</v>
      </c>
      <c r="E6" s="107">
        <f t="shared" si="1"/>
        <v>0</v>
      </c>
      <c r="F6" s="107">
        <f t="shared" si="0"/>
        <v>0</v>
      </c>
    </row>
    <row r="7" spans="1:15" ht="14.25" customHeight="1">
      <c r="B7" s="106" t="s">
        <v>61</v>
      </c>
      <c r="C7" s="107">
        <f t="shared" si="1"/>
        <v>0</v>
      </c>
      <c r="D7" s="107">
        <f t="shared" si="1"/>
        <v>0</v>
      </c>
      <c r="E7" s="107">
        <f t="shared" si="1"/>
        <v>0</v>
      </c>
      <c r="F7" s="107">
        <f t="shared" si="0"/>
        <v>0</v>
      </c>
    </row>
    <row r="8" spans="1:15" ht="14.25" customHeight="1">
      <c r="B8" s="106" t="s">
        <v>64</v>
      </c>
      <c r="C8" s="107">
        <f t="shared" si="1"/>
        <v>13</v>
      </c>
      <c r="D8" s="107">
        <f t="shared" si="1"/>
        <v>17</v>
      </c>
      <c r="E8" s="107">
        <f t="shared" si="1"/>
        <v>0</v>
      </c>
      <c r="F8" s="107">
        <f t="shared" si="0"/>
        <v>30</v>
      </c>
    </row>
    <row r="9" spans="1:15" ht="14.25" customHeight="1">
      <c r="B9" s="106" t="s">
        <v>62</v>
      </c>
      <c r="C9" s="107">
        <f t="shared" si="1"/>
        <v>0</v>
      </c>
      <c r="D9" s="107">
        <f t="shared" si="1"/>
        <v>0</v>
      </c>
      <c r="E9" s="107">
        <f t="shared" si="1"/>
        <v>0</v>
      </c>
      <c r="F9" s="107">
        <f t="shared" si="0"/>
        <v>0</v>
      </c>
    </row>
    <row r="10" spans="1:15" ht="14.25" customHeight="1">
      <c r="B10" s="106" t="s">
        <v>80</v>
      </c>
      <c r="C10" s="107">
        <f t="shared" si="1"/>
        <v>0</v>
      </c>
      <c r="D10" s="107">
        <f t="shared" si="1"/>
        <v>0</v>
      </c>
      <c r="E10" s="107">
        <f t="shared" si="1"/>
        <v>0</v>
      </c>
      <c r="F10" s="107">
        <f t="shared" si="0"/>
        <v>0</v>
      </c>
    </row>
    <row r="11" spans="1:15" ht="14.25" customHeight="1">
      <c r="B11" s="106" t="s">
        <v>81</v>
      </c>
      <c r="C11" s="107">
        <f t="shared" si="1"/>
        <v>0</v>
      </c>
      <c r="D11" s="107">
        <f t="shared" si="1"/>
        <v>0</v>
      </c>
      <c r="E11" s="107">
        <f t="shared" si="1"/>
        <v>0</v>
      </c>
      <c r="F11" s="107">
        <f t="shared" si="0"/>
        <v>0</v>
      </c>
    </row>
    <row r="12" spans="1:15" ht="14.25" customHeight="1">
      <c r="F12" s="98"/>
    </row>
    <row r="13" spans="1:15" s="109" customFormat="1" ht="30" customHeight="1">
      <c r="A13" s="108" t="s">
        <v>82</v>
      </c>
      <c r="B13" s="108" t="s">
        <v>83</v>
      </c>
      <c r="C13" s="108" t="s">
        <v>84</v>
      </c>
      <c r="D13" s="108" t="s">
        <v>85</v>
      </c>
      <c r="E13" s="108" t="s">
        <v>86</v>
      </c>
      <c r="F13" s="108" t="s">
        <v>87</v>
      </c>
      <c r="G13" s="108" t="s">
        <v>88</v>
      </c>
      <c r="H13" s="108" t="s">
        <v>53</v>
      </c>
      <c r="I13" s="108" t="s">
        <v>89</v>
      </c>
      <c r="J13" s="108" t="s">
        <v>90</v>
      </c>
      <c r="K13" s="108" t="s">
        <v>91</v>
      </c>
      <c r="L13" s="108" t="s">
        <v>92</v>
      </c>
      <c r="M13" s="108" t="s">
        <v>93</v>
      </c>
      <c r="N13" s="108" t="s">
        <v>94</v>
      </c>
      <c r="O13" s="108" t="s">
        <v>95</v>
      </c>
    </row>
    <row r="14" spans="1:15" ht="19.5" customHeight="1">
      <c r="A14" s="110">
        <v>1</v>
      </c>
      <c r="B14" s="111" t="s">
        <v>96</v>
      </c>
      <c r="C14" s="111" t="s">
        <v>97</v>
      </c>
      <c r="D14" s="111"/>
      <c r="E14" s="111"/>
      <c r="F14" s="111"/>
      <c r="G14" s="111"/>
      <c r="H14" s="110"/>
      <c r="I14" s="110"/>
      <c r="J14" s="110"/>
      <c r="K14" s="110"/>
      <c r="L14" s="110"/>
      <c r="M14" s="110"/>
      <c r="N14" s="110"/>
      <c r="O14" s="111"/>
    </row>
    <row r="15" spans="1:15" ht="168" customHeight="1">
      <c r="A15" s="112">
        <v>2</v>
      </c>
      <c r="B15" s="113" t="s">
        <v>98</v>
      </c>
      <c r="C15" s="113" t="s">
        <v>99</v>
      </c>
      <c r="D15" s="128" t="s">
        <v>100</v>
      </c>
      <c r="E15" s="113" t="s">
        <v>101</v>
      </c>
      <c r="F15" s="113" t="s">
        <v>102</v>
      </c>
      <c r="G15" s="113" t="s">
        <v>103</v>
      </c>
      <c r="H15" s="112" t="s">
        <v>54</v>
      </c>
      <c r="I15" s="112" t="s">
        <v>77</v>
      </c>
      <c r="J15" s="112" t="s">
        <v>104</v>
      </c>
      <c r="K15" s="112" t="s">
        <v>64</v>
      </c>
      <c r="L15" s="112" t="s">
        <v>64</v>
      </c>
      <c r="M15" s="112" t="s">
        <v>64</v>
      </c>
      <c r="N15" s="112"/>
      <c r="O15" s="113"/>
    </row>
    <row r="16" spans="1:15" ht="33" customHeight="1">
      <c r="A16" s="110">
        <v>3</v>
      </c>
      <c r="B16" s="111" t="s">
        <v>105</v>
      </c>
      <c r="C16" s="111" t="s">
        <v>106</v>
      </c>
      <c r="D16" s="111"/>
      <c r="E16" s="111"/>
      <c r="F16" s="111"/>
      <c r="G16" s="111"/>
      <c r="H16" s="110"/>
      <c r="I16" s="110"/>
      <c r="J16" s="110"/>
      <c r="K16" s="110"/>
      <c r="L16" s="110"/>
      <c r="M16" s="110"/>
      <c r="N16" s="110"/>
      <c r="O16" s="111"/>
    </row>
    <row r="17" spans="1:15" ht="154.5" customHeight="1">
      <c r="A17" s="112">
        <v>4</v>
      </c>
      <c r="B17" s="113" t="s">
        <v>107</v>
      </c>
      <c r="C17" s="113" t="s">
        <v>108</v>
      </c>
      <c r="D17" s="113" t="s">
        <v>109</v>
      </c>
      <c r="E17" s="113" t="s">
        <v>110</v>
      </c>
      <c r="F17" s="113" t="s">
        <v>111</v>
      </c>
      <c r="G17" s="113" t="s">
        <v>112</v>
      </c>
      <c r="H17" s="112" t="s">
        <v>54</v>
      </c>
      <c r="I17" s="112" t="s">
        <v>78</v>
      </c>
      <c r="J17" s="112" t="s">
        <v>104</v>
      </c>
      <c r="K17" s="112" t="s">
        <v>64</v>
      </c>
      <c r="L17" s="112" t="s">
        <v>64</v>
      </c>
      <c r="M17" s="112" t="s">
        <v>64</v>
      </c>
      <c r="N17" s="112"/>
      <c r="O17" s="113"/>
    </row>
    <row r="18" spans="1:15" ht="154.5" customHeight="1">
      <c r="A18" s="112">
        <v>5</v>
      </c>
      <c r="B18" s="113" t="s">
        <v>113</v>
      </c>
      <c r="C18" s="113" t="s">
        <v>114</v>
      </c>
      <c r="D18" s="113" t="s">
        <v>109</v>
      </c>
      <c r="E18" s="113" t="s">
        <v>115</v>
      </c>
      <c r="F18" s="113" t="s">
        <v>116</v>
      </c>
      <c r="G18" s="113" t="s">
        <v>117</v>
      </c>
      <c r="H18" s="112" t="s">
        <v>54</v>
      </c>
      <c r="I18" s="112" t="s">
        <v>77</v>
      </c>
      <c r="J18" s="112" t="s">
        <v>104</v>
      </c>
      <c r="K18" s="112" t="s">
        <v>64</v>
      </c>
      <c r="L18" s="112" t="s">
        <v>64</v>
      </c>
      <c r="M18" s="112" t="s">
        <v>64</v>
      </c>
      <c r="N18" s="112"/>
      <c r="O18" s="113"/>
    </row>
    <row r="19" spans="1:15" ht="154.5" customHeight="1">
      <c r="A19" s="112">
        <v>6</v>
      </c>
      <c r="B19" s="113" t="s">
        <v>118</v>
      </c>
      <c r="C19" s="113" t="s">
        <v>119</v>
      </c>
      <c r="D19" s="113" t="s">
        <v>109</v>
      </c>
      <c r="E19" s="113" t="s">
        <v>120</v>
      </c>
      <c r="F19" s="113" t="s">
        <v>121</v>
      </c>
      <c r="G19" s="113" t="s">
        <v>122</v>
      </c>
      <c r="H19" s="112" t="s">
        <v>54</v>
      </c>
      <c r="I19" s="112" t="s">
        <v>78</v>
      </c>
      <c r="J19" s="112" t="s">
        <v>104</v>
      </c>
      <c r="K19" s="112" t="s">
        <v>64</v>
      </c>
      <c r="L19" s="112" t="s">
        <v>64</v>
      </c>
      <c r="M19" s="112" t="s">
        <v>64</v>
      </c>
      <c r="N19" s="112"/>
      <c r="O19" s="113"/>
    </row>
    <row r="20" spans="1:15" ht="168" customHeight="1">
      <c r="A20" s="112">
        <v>7</v>
      </c>
      <c r="B20" s="113" t="s">
        <v>123</v>
      </c>
      <c r="C20" s="113" t="s">
        <v>124</v>
      </c>
      <c r="D20" s="113" t="s">
        <v>125</v>
      </c>
      <c r="E20" s="113" t="s">
        <v>126</v>
      </c>
      <c r="F20" s="113" t="s">
        <v>127</v>
      </c>
      <c r="G20" s="113" t="s">
        <v>128</v>
      </c>
      <c r="H20" s="112" t="s">
        <v>54</v>
      </c>
      <c r="I20" s="112" t="s">
        <v>78</v>
      </c>
      <c r="J20" s="112" t="s">
        <v>104</v>
      </c>
      <c r="K20" s="112" t="s">
        <v>64</v>
      </c>
      <c r="L20" s="112" t="s">
        <v>64</v>
      </c>
      <c r="M20" s="112" t="s">
        <v>64</v>
      </c>
      <c r="N20" s="112"/>
      <c r="O20" s="113" t="s">
        <v>129</v>
      </c>
    </row>
    <row r="21" spans="1:15" ht="114" customHeight="1">
      <c r="A21" s="112">
        <v>8</v>
      </c>
      <c r="B21" s="113" t="s">
        <v>130</v>
      </c>
      <c r="C21" s="113" t="s">
        <v>131</v>
      </c>
      <c r="D21" s="113" t="s">
        <v>132</v>
      </c>
      <c r="E21" s="113" t="s">
        <v>133</v>
      </c>
      <c r="F21" s="113" t="s">
        <v>134</v>
      </c>
      <c r="G21" s="113" t="s">
        <v>135</v>
      </c>
      <c r="H21" s="112" t="s">
        <v>54</v>
      </c>
      <c r="I21" s="112" t="s">
        <v>78</v>
      </c>
      <c r="J21" s="112" t="s">
        <v>104</v>
      </c>
      <c r="K21" s="112" t="s">
        <v>64</v>
      </c>
      <c r="L21" s="112" t="s">
        <v>64</v>
      </c>
      <c r="M21" s="112" t="s">
        <v>64</v>
      </c>
      <c r="N21" s="112"/>
      <c r="O21" s="113"/>
    </row>
    <row r="22" spans="1:15" ht="33" customHeight="1">
      <c r="A22" s="110">
        <v>9</v>
      </c>
      <c r="B22" s="111" t="s">
        <v>136</v>
      </c>
      <c r="C22" s="111" t="s">
        <v>137</v>
      </c>
      <c r="D22" s="111"/>
      <c r="E22" s="111"/>
      <c r="F22" s="111"/>
      <c r="G22" s="111"/>
      <c r="H22" s="110"/>
      <c r="I22" s="110"/>
      <c r="J22" s="110"/>
      <c r="K22" s="110"/>
      <c r="L22" s="110"/>
      <c r="M22" s="110"/>
      <c r="N22" s="110"/>
      <c r="O22" s="111"/>
    </row>
    <row r="23" spans="1:15" ht="154.5" customHeight="1">
      <c r="A23" s="112">
        <v>10</v>
      </c>
      <c r="B23" s="113" t="s">
        <v>138</v>
      </c>
      <c r="C23" s="113" t="s">
        <v>139</v>
      </c>
      <c r="D23" s="113" t="s">
        <v>140</v>
      </c>
      <c r="E23" s="113" t="s">
        <v>141</v>
      </c>
      <c r="F23" s="113" t="s">
        <v>142</v>
      </c>
      <c r="G23" s="113" t="s">
        <v>143</v>
      </c>
      <c r="H23" s="112" t="s">
        <v>54</v>
      </c>
      <c r="I23" s="112" t="s">
        <v>77</v>
      </c>
      <c r="J23" s="112" t="s">
        <v>104</v>
      </c>
      <c r="K23" s="112" t="s">
        <v>64</v>
      </c>
      <c r="L23" s="112" t="s">
        <v>64</v>
      </c>
      <c r="M23" s="112" t="s">
        <v>64</v>
      </c>
      <c r="N23" s="112"/>
      <c r="O23" s="113"/>
    </row>
    <row r="24" spans="1:15" ht="154.5" customHeight="1">
      <c r="A24" s="112">
        <v>11</v>
      </c>
      <c r="B24" s="113" t="s">
        <v>144</v>
      </c>
      <c r="C24" s="113" t="s">
        <v>145</v>
      </c>
      <c r="D24" s="113" t="s">
        <v>146</v>
      </c>
      <c r="E24" s="113" t="s">
        <v>147</v>
      </c>
      <c r="F24" s="113" t="s">
        <v>148</v>
      </c>
      <c r="G24" s="113" t="s">
        <v>149</v>
      </c>
      <c r="H24" s="112" t="s">
        <v>54</v>
      </c>
      <c r="I24" s="112" t="s">
        <v>77</v>
      </c>
      <c r="J24" s="112" t="s">
        <v>104</v>
      </c>
      <c r="K24" s="112" t="s">
        <v>64</v>
      </c>
      <c r="L24" s="112" t="s">
        <v>64</v>
      </c>
      <c r="M24" s="112" t="s">
        <v>64</v>
      </c>
      <c r="N24" s="112"/>
      <c r="O24" s="113" t="s">
        <v>150</v>
      </c>
    </row>
    <row r="25" spans="1:15" ht="154.5" customHeight="1">
      <c r="A25" s="112">
        <v>12</v>
      </c>
      <c r="B25" s="113" t="s">
        <v>151</v>
      </c>
      <c r="C25" s="113" t="s">
        <v>152</v>
      </c>
      <c r="D25" s="113" t="s">
        <v>153</v>
      </c>
      <c r="E25" s="113" t="s">
        <v>154</v>
      </c>
      <c r="F25" s="113" t="s">
        <v>155</v>
      </c>
      <c r="G25" s="113" t="s">
        <v>156</v>
      </c>
      <c r="H25" s="112" t="s">
        <v>54</v>
      </c>
      <c r="I25" s="112" t="s">
        <v>78</v>
      </c>
      <c r="J25" s="112" t="s">
        <v>104</v>
      </c>
      <c r="K25" s="112" t="s">
        <v>64</v>
      </c>
      <c r="L25" s="112" t="s">
        <v>64</v>
      </c>
      <c r="M25" s="112" t="s">
        <v>64</v>
      </c>
      <c r="N25" s="112"/>
      <c r="O25" s="113"/>
    </row>
    <row r="26" spans="1:15" ht="141" customHeight="1">
      <c r="A26" s="112">
        <v>13</v>
      </c>
      <c r="B26" s="113" t="s">
        <v>157</v>
      </c>
      <c r="C26" s="113" t="s">
        <v>158</v>
      </c>
      <c r="D26" s="113" t="s">
        <v>159</v>
      </c>
      <c r="E26" s="113" t="s">
        <v>160</v>
      </c>
      <c r="F26" s="113" t="s">
        <v>161</v>
      </c>
      <c r="G26" s="113" t="s">
        <v>162</v>
      </c>
      <c r="H26" s="112" t="s">
        <v>54</v>
      </c>
      <c r="I26" s="112" t="s">
        <v>78</v>
      </c>
      <c r="J26" s="112" t="s">
        <v>104</v>
      </c>
      <c r="K26" s="112" t="s">
        <v>64</v>
      </c>
      <c r="L26" s="112" t="s">
        <v>64</v>
      </c>
      <c r="M26" s="112" t="s">
        <v>64</v>
      </c>
      <c r="N26" s="112"/>
      <c r="O26" s="113"/>
    </row>
    <row r="27" spans="1:15" ht="100.5" customHeight="1">
      <c r="A27" s="112">
        <v>14</v>
      </c>
      <c r="B27" s="113" t="s">
        <v>163</v>
      </c>
      <c r="C27" s="113" t="s">
        <v>164</v>
      </c>
      <c r="D27" s="113" t="s">
        <v>159</v>
      </c>
      <c r="E27" s="113" t="s">
        <v>165</v>
      </c>
      <c r="F27" s="113" t="s">
        <v>166</v>
      </c>
      <c r="G27" s="113" t="s">
        <v>167</v>
      </c>
      <c r="H27" s="112" t="s">
        <v>54</v>
      </c>
      <c r="I27" s="112" t="s">
        <v>78</v>
      </c>
      <c r="J27" s="112" t="s">
        <v>104</v>
      </c>
      <c r="K27" s="112" t="s">
        <v>64</v>
      </c>
      <c r="L27" s="112" t="s">
        <v>64</v>
      </c>
      <c r="M27" s="112" t="s">
        <v>64</v>
      </c>
      <c r="N27" s="112"/>
      <c r="O27" s="113"/>
    </row>
    <row r="28" spans="1:15" ht="19.5" customHeight="1">
      <c r="A28" s="110">
        <v>15</v>
      </c>
      <c r="B28" s="111" t="s">
        <v>168</v>
      </c>
      <c r="C28" s="111" t="s">
        <v>169</v>
      </c>
      <c r="D28" s="111"/>
      <c r="E28" s="111"/>
      <c r="F28" s="111"/>
      <c r="G28" s="111"/>
      <c r="H28" s="110"/>
      <c r="I28" s="110"/>
      <c r="J28" s="110"/>
      <c r="K28" s="110"/>
      <c r="L28" s="110"/>
      <c r="M28" s="110"/>
      <c r="N28" s="110"/>
      <c r="O28" s="111"/>
    </row>
    <row r="29" spans="1:15" ht="141" customHeight="1">
      <c r="A29" s="112">
        <v>16</v>
      </c>
      <c r="B29" s="113" t="s">
        <v>170</v>
      </c>
      <c r="C29" s="113" t="s">
        <v>171</v>
      </c>
      <c r="D29" s="113" t="s">
        <v>172</v>
      </c>
      <c r="E29" s="113" t="s">
        <v>173</v>
      </c>
      <c r="F29" s="113" t="s">
        <v>174</v>
      </c>
      <c r="G29" s="113" t="s">
        <v>175</v>
      </c>
      <c r="H29" s="112" t="s">
        <v>54</v>
      </c>
      <c r="I29" s="112" t="s">
        <v>77</v>
      </c>
      <c r="J29" s="112" t="s">
        <v>104</v>
      </c>
      <c r="K29" s="112" t="s">
        <v>64</v>
      </c>
      <c r="L29" s="112" t="s">
        <v>64</v>
      </c>
      <c r="M29" s="112" t="s">
        <v>64</v>
      </c>
      <c r="N29" s="112"/>
      <c r="O29" s="113"/>
    </row>
    <row r="30" spans="1:15" ht="171" customHeight="1">
      <c r="A30" s="112">
        <v>17</v>
      </c>
      <c r="B30" s="113" t="s">
        <v>176</v>
      </c>
      <c r="C30" s="113" t="s">
        <v>177</v>
      </c>
      <c r="D30" s="113" t="s">
        <v>178</v>
      </c>
      <c r="E30" s="113" t="s">
        <v>179</v>
      </c>
      <c r="F30" s="113" t="s">
        <v>180</v>
      </c>
      <c r="G30" s="113" t="s">
        <v>181</v>
      </c>
      <c r="H30" s="112" t="s">
        <v>54</v>
      </c>
      <c r="I30" s="112" t="s">
        <v>78</v>
      </c>
      <c r="J30" s="112" t="s">
        <v>104</v>
      </c>
      <c r="K30" s="112" t="s">
        <v>64</v>
      </c>
      <c r="L30" s="112" t="s">
        <v>64</v>
      </c>
      <c r="M30" s="112" t="s">
        <v>64</v>
      </c>
      <c r="N30" s="112"/>
      <c r="O30" s="113"/>
    </row>
    <row r="31" spans="1:15" ht="73.5" customHeight="1">
      <c r="A31" s="112">
        <v>18</v>
      </c>
      <c r="B31" s="113" t="s">
        <v>182</v>
      </c>
      <c r="C31" s="113" t="s">
        <v>183</v>
      </c>
      <c r="D31" s="113" t="s">
        <v>184</v>
      </c>
      <c r="E31" s="113" t="s">
        <v>185</v>
      </c>
      <c r="F31" s="113" t="s">
        <v>186</v>
      </c>
      <c r="G31" s="113" t="s">
        <v>187</v>
      </c>
      <c r="H31" s="112" t="s">
        <v>54</v>
      </c>
      <c r="I31" s="112" t="s">
        <v>78</v>
      </c>
      <c r="J31" s="112" t="s">
        <v>104</v>
      </c>
      <c r="K31" s="112" t="s">
        <v>64</v>
      </c>
      <c r="L31" s="112" t="s">
        <v>64</v>
      </c>
      <c r="M31" s="112" t="s">
        <v>64</v>
      </c>
      <c r="N31" s="112"/>
      <c r="O31" s="113"/>
    </row>
    <row r="32" spans="1:15" ht="19.5" customHeight="1">
      <c r="A32" s="110">
        <v>19</v>
      </c>
      <c r="B32" s="111" t="s">
        <v>188</v>
      </c>
      <c r="C32" s="111" t="s">
        <v>189</v>
      </c>
      <c r="D32" s="111"/>
      <c r="E32" s="111"/>
      <c r="F32" s="111"/>
      <c r="G32" s="111"/>
      <c r="H32" s="110"/>
      <c r="I32" s="110"/>
      <c r="J32" s="110"/>
      <c r="K32" s="110"/>
      <c r="L32" s="110"/>
      <c r="M32" s="110"/>
      <c r="N32" s="110"/>
      <c r="O32" s="111"/>
    </row>
    <row r="33" spans="1:15" ht="141" customHeight="1">
      <c r="A33" s="112">
        <v>20</v>
      </c>
      <c r="B33" s="113" t="s">
        <v>190</v>
      </c>
      <c r="C33" s="113" t="s">
        <v>191</v>
      </c>
      <c r="D33" s="113" t="s">
        <v>192</v>
      </c>
      <c r="E33" s="113" t="s">
        <v>193</v>
      </c>
      <c r="F33" s="113" t="s">
        <v>194</v>
      </c>
      <c r="G33" s="113" t="s">
        <v>195</v>
      </c>
      <c r="H33" s="112" t="s">
        <v>54</v>
      </c>
      <c r="I33" s="112" t="s">
        <v>77</v>
      </c>
      <c r="J33" s="112" t="s">
        <v>104</v>
      </c>
      <c r="K33" s="112" t="s">
        <v>64</v>
      </c>
      <c r="L33" s="112" t="s">
        <v>64</v>
      </c>
      <c r="M33" s="112" t="s">
        <v>64</v>
      </c>
      <c r="N33" s="112"/>
      <c r="O33" s="113"/>
    </row>
    <row r="34" spans="1:15" ht="127.5" customHeight="1">
      <c r="A34" s="112">
        <v>21</v>
      </c>
      <c r="B34" s="113" t="s">
        <v>196</v>
      </c>
      <c r="C34" s="113" t="s">
        <v>197</v>
      </c>
      <c r="D34" s="113" t="s">
        <v>192</v>
      </c>
      <c r="E34" s="113" t="s">
        <v>198</v>
      </c>
      <c r="F34" s="113" t="s">
        <v>199</v>
      </c>
      <c r="G34" s="113" t="s">
        <v>200</v>
      </c>
      <c r="H34" s="112" t="s">
        <v>54</v>
      </c>
      <c r="I34" s="112" t="s">
        <v>77</v>
      </c>
      <c r="J34" s="112" t="s">
        <v>104</v>
      </c>
      <c r="K34" s="112" t="s">
        <v>64</v>
      </c>
      <c r="L34" s="112" t="s">
        <v>64</v>
      </c>
      <c r="M34" s="112" t="s">
        <v>64</v>
      </c>
      <c r="N34" s="112"/>
      <c r="O34" s="113"/>
    </row>
    <row r="35" spans="1:15" ht="168" customHeight="1">
      <c r="A35" s="112">
        <v>22</v>
      </c>
      <c r="B35" s="113" t="s">
        <v>201</v>
      </c>
      <c r="C35" s="113" t="s">
        <v>202</v>
      </c>
      <c r="D35" s="113" t="s">
        <v>203</v>
      </c>
      <c r="E35" s="113" t="s">
        <v>160</v>
      </c>
      <c r="F35" s="113" t="s">
        <v>204</v>
      </c>
      <c r="G35" s="113" t="s">
        <v>205</v>
      </c>
      <c r="H35" s="112" t="s">
        <v>54</v>
      </c>
      <c r="I35" s="112" t="s">
        <v>78</v>
      </c>
      <c r="J35" s="112" t="s">
        <v>104</v>
      </c>
      <c r="K35" s="112" t="s">
        <v>64</v>
      </c>
      <c r="L35" s="112" t="s">
        <v>64</v>
      </c>
      <c r="M35" s="112" t="s">
        <v>64</v>
      </c>
      <c r="N35" s="112"/>
      <c r="O35" s="113" t="s">
        <v>206</v>
      </c>
    </row>
    <row r="36" spans="1:15" ht="87" customHeight="1">
      <c r="A36" s="112">
        <v>23</v>
      </c>
      <c r="B36" s="113" t="s">
        <v>207</v>
      </c>
      <c r="C36" s="113" t="s">
        <v>208</v>
      </c>
      <c r="D36" s="113" t="s">
        <v>203</v>
      </c>
      <c r="E36" s="113" t="s">
        <v>209</v>
      </c>
      <c r="F36" s="113" t="s">
        <v>210</v>
      </c>
      <c r="G36" s="113" t="s">
        <v>211</v>
      </c>
      <c r="H36" s="112" t="s">
        <v>54</v>
      </c>
      <c r="I36" s="112" t="s">
        <v>78</v>
      </c>
      <c r="J36" s="112" t="s">
        <v>104</v>
      </c>
      <c r="K36" s="112" t="s">
        <v>64</v>
      </c>
      <c r="L36" s="112" t="s">
        <v>64</v>
      </c>
      <c r="M36" s="112" t="s">
        <v>64</v>
      </c>
      <c r="N36" s="112"/>
      <c r="O36" s="113"/>
    </row>
    <row r="37" spans="1:15" ht="33" customHeight="1">
      <c r="A37" s="110">
        <v>24</v>
      </c>
      <c r="B37" s="111" t="s">
        <v>212</v>
      </c>
      <c r="C37" s="111" t="s">
        <v>213</v>
      </c>
      <c r="D37" s="111"/>
      <c r="E37" s="111"/>
      <c r="F37" s="111"/>
      <c r="G37" s="111"/>
      <c r="H37" s="110"/>
      <c r="I37" s="110"/>
      <c r="J37" s="110"/>
      <c r="K37" s="110"/>
      <c r="L37" s="110"/>
      <c r="M37" s="110"/>
      <c r="N37" s="110"/>
      <c r="O37" s="111"/>
    </row>
    <row r="38" spans="1:15" ht="127.5" customHeight="1">
      <c r="A38" s="112">
        <v>25</v>
      </c>
      <c r="B38" s="113" t="s">
        <v>214</v>
      </c>
      <c r="C38" s="113" t="s">
        <v>215</v>
      </c>
      <c r="D38" s="113" t="s">
        <v>216</v>
      </c>
      <c r="E38" s="113" t="s">
        <v>217</v>
      </c>
      <c r="F38" s="113" t="s">
        <v>218</v>
      </c>
      <c r="G38" s="113" t="s">
        <v>219</v>
      </c>
      <c r="H38" s="112" t="s">
        <v>54</v>
      </c>
      <c r="I38" s="112" t="s">
        <v>77</v>
      </c>
      <c r="J38" s="112" t="s">
        <v>104</v>
      </c>
      <c r="K38" s="112" t="s">
        <v>64</v>
      </c>
      <c r="L38" s="112" t="s">
        <v>64</v>
      </c>
      <c r="M38" s="112" t="s">
        <v>64</v>
      </c>
      <c r="N38" s="112"/>
      <c r="O38" s="113"/>
    </row>
    <row r="39" spans="1:15" ht="100.5" customHeight="1">
      <c r="A39" s="112">
        <v>26</v>
      </c>
      <c r="B39" s="113" t="s">
        <v>220</v>
      </c>
      <c r="C39" s="113" t="s">
        <v>221</v>
      </c>
      <c r="D39" s="113" t="s">
        <v>222</v>
      </c>
      <c r="E39" s="113" t="s">
        <v>223</v>
      </c>
      <c r="F39" s="113" t="s">
        <v>224</v>
      </c>
      <c r="G39" s="113" t="s">
        <v>225</v>
      </c>
      <c r="H39" s="112" t="s">
        <v>54</v>
      </c>
      <c r="I39" s="112" t="s">
        <v>77</v>
      </c>
      <c r="J39" s="112" t="s">
        <v>104</v>
      </c>
      <c r="K39" s="112" t="s">
        <v>64</v>
      </c>
      <c r="L39" s="112" t="s">
        <v>64</v>
      </c>
      <c r="M39" s="112" t="s">
        <v>64</v>
      </c>
      <c r="N39" s="112"/>
      <c r="O39" s="113"/>
    </row>
    <row r="40" spans="1:15" ht="154.5" customHeight="1">
      <c r="A40" s="112">
        <v>27</v>
      </c>
      <c r="B40" s="113" t="s">
        <v>226</v>
      </c>
      <c r="C40" s="113" t="s">
        <v>227</v>
      </c>
      <c r="D40" s="113" t="s">
        <v>222</v>
      </c>
      <c r="E40" s="113" t="s">
        <v>228</v>
      </c>
      <c r="F40" s="113" t="s">
        <v>229</v>
      </c>
      <c r="G40" s="113" t="s">
        <v>230</v>
      </c>
      <c r="H40" s="112" t="s">
        <v>54</v>
      </c>
      <c r="I40" s="112" t="s">
        <v>78</v>
      </c>
      <c r="J40" s="112" t="s">
        <v>104</v>
      </c>
      <c r="K40" s="112" t="s">
        <v>64</v>
      </c>
      <c r="L40" s="112" t="s">
        <v>64</v>
      </c>
      <c r="M40" s="112" t="s">
        <v>64</v>
      </c>
      <c r="N40" s="112"/>
      <c r="O40" s="113" t="s">
        <v>231</v>
      </c>
    </row>
    <row r="41" spans="1:15" ht="87" customHeight="1">
      <c r="A41" s="112">
        <v>28</v>
      </c>
      <c r="B41" s="113" t="s">
        <v>232</v>
      </c>
      <c r="C41" s="113" t="s">
        <v>233</v>
      </c>
      <c r="D41" s="113" t="s">
        <v>222</v>
      </c>
      <c r="E41" s="113" t="s">
        <v>234</v>
      </c>
      <c r="F41" s="113" t="s">
        <v>235</v>
      </c>
      <c r="G41" s="113" t="s">
        <v>236</v>
      </c>
      <c r="H41" s="112" t="s">
        <v>54</v>
      </c>
      <c r="I41" s="112" t="s">
        <v>78</v>
      </c>
      <c r="J41" s="112" t="s">
        <v>104</v>
      </c>
      <c r="K41" s="112" t="s">
        <v>64</v>
      </c>
      <c r="L41" s="112" t="s">
        <v>64</v>
      </c>
      <c r="M41" s="112" t="s">
        <v>64</v>
      </c>
      <c r="N41" s="112"/>
      <c r="O41" s="113"/>
    </row>
    <row r="42" spans="1:15" ht="19.5" customHeight="1">
      <c r="A42" s="110">
        <v>29</v>
      </c>
      <c r="B42" s="111" t="s">
        <v>237</v>
      </c>
      <c r="C42" s="111" t="s">
        <v>238</v>
      </c>
      <c r="D42" s="111"/>
      <c r="E42" s="111"/>
      <c r="F42" s="111"/>
      <c r="G42" s="111"/>
      <c r="H42" s="110"/>
      <c r="I42" s="110"/>
      <c r="J42" s="110"/>
      <c r="K42" s="110"/>
      <c r="L42" s="110"/>
      <c r="M42" s="110"/>
      <c r="N42" s="110"/>
      <c r="O42" s="111"/>
    </row>
    <row r="43" spans="1:15" ht="127.5" customHeight="1">
      <c r="A43" s="112">
        <v>30</v>
      </c>
      <c r="B43" s="113" t="s">
        <v>239</v>
      </c>
      <c r="C43" s="113" t="s">
        <v>240</v>
      </c>
      <c r="D43" s="113" t="s">
        <v>241</v>
      </c>
      <c r="E43" s="113" t="s">
        <v>242</v>
      </c>
      <c r="F43" s="113" t="s">
        <v>243</v>
      </c>
      <c r="G43" s="113" t="s">
        <v>244</v>
      </c>
      <c r="H43" s="112" t="s">
        <v>54</v>
      </c>
      <c r="I43" s="112" t="s">
        <v>77</v>
      </c>
      <c r="J43" s="112" t="s">
        <v>104</v>
      </c>
      <c r="K43" s="112" t="s">
        <v>64</v>
      </c>
      <c r="L43" s="112" t="s">
        <v>64</v>
      </c>
      <c r="M43" s="112" t="s">
        <v>64</v>
      </c>
      <c r="N43" s="112"/>
      <c r="O43" s="113"/>
    </row>
    <row r="44" spans="1:15" ht="127.5" customHeight="1">
      <c r="A44" s="112">
        <v>31</v>
      </c>
      <c r="B44" s="113" t="s">
        <v>245</v>
      </c>
      <c r="C44" s="113" t="s">
        <v>246</v>
      </c>
      <c r="D44" s="113" t="s">
        <v>241</v>
      </c>
      <c r="E44" s="113" t="s">
        <v>247</v>
      </c>
      <c r="F44" s="113" t="s">
        <v>248</v>
      </c>
      <c r="G44" s="113" t="s">
        <v>244</v>
      </c>
      <c r="H44" s="112" t="s">
        <v>54</v>
      </c>
      <c r="I44" s="112" t="s">
        <v>77</v>
      </c>
      <c r="J44" s="112" t="s">
        <v>104</v>
      </c>
      <c r="K44" s="112" t="s">
        <v>64</v>
      </c>
      <c r="L44" s="112" t="s">
        <v>64</v>
      </c>
      <c r="M44" s="112" t="s">
        <v>64</v>
      </c>
      <c r="N44" s="112"/>
      <c r="O44" s="113"/>
    </row>
    <row r="45" spans="1:15" ht="141" customHeight="1">
      <c r="A45" s="112">
        <v>32</v>
      </c>
      <c r="B45" s="113" t="s">
        <v>249</v>
      </c>
      <c r="C45" s="113" t="s">
        <v>250</v>
      </c>
      <c r="D45" s="113" t="s">
        <v>251</v>
      </c>
      <c r="E45" s="113" t="s">
        <v>252</v>
      </c>
      <c r="F45" s="113" t="s">
        <v>253</v>
      </c>
      <c r="G45" s="113" t="s">
        <v>254</v>
      </c>
      <c r="H45" s="112" t="s">
        <v>54</v>
      </c>
      <c r="I45" s="112" t="s">
        <v>78</v>
      </c>
      <c r="J45" s="112" t="s">
        <v>104</v>
      </c>
      <c r="K45" s="112" t="s">
        <v>64</v>
      </c>
      <c r="L45" s="112" t="s">
        <v>64</v>
      </c>
      <c r="M45" s="112" t="s">
        <v>64</v>
      </c>
      <c r="N45" s="112"/>
      <c r="O45" s="113"/>
    </row>
    <row r="46" spans="1:15" ht="87" customHeight="1">
      <c r="A46" s="112">
        <v>33</v>
      </c>
      <c r="B46" s="113" t="s">
        <v>255</v>
      </c>
      <c r="C46" s="113" t="s">
        <v>256</v>
      </c>
      <c r="D46" s="113" t="s">
        <v>251</v>
      </c>
      <c r="E46" s="113" t="s">
        <v>257</v>
      </c>
      <c r="F46" s="113" t="s">
        <v>258</v>
      </c>
      <c r="G46" s="113" t="s">
        <v>259</v>
      </c>
      <c r="H46" s="112" t="s">
        <v>54</v>
      </c>
      <c r="I46" s="112" t="s">
        <v>78</v>
      </c>
      <c r="J46" s="112" t="s">
        <v>104</v>
      </c>
      <c r="K46" s="112" t="s">
        <v>64</v>
      </c>
      <c r="L46" s="112" t="s">
        <v>64</v>
      </c>
      <c r="M46" s="112" t="s">
        <v>64</v>
      </c>
      <c r="N46" s="112"/>
      <c r="O46" s="113"/>
    </row>
    <row r="47" spans="1:15" ht="19.5" customHeight="1">
      <c r="A47" s="110">
        <v>34</v>
      </c>
      <c r="B47" s="111" t="s">
        <v>260</v>
      </c>
      <c r="C47" s="111" t="s">
        <v>261</v>
      </c>
      <c r="D47" s="111"/>
      <c r="E47" s="111"/>
      <c r="F47" s="111"/>
      <c r="G47" s="111"/>
      <c r="H47" s="110"/>
      <c r="I47" s="110"/>
      <c r="J47" s="110"/>
      <c r="K47" s="110"/>
      <c r="L47" s="110"/>
      <c r="M47" s="110"/>
      <c r="N47" s="110"/>
      <c r="O47" s="111"/>
    </row>
    <row r="48" spans="1:15" ht="141" customHeight="1">
      <c r="A48" s="112">
        <v>35</v>
      </c>
      <c r="B48" s="113" t="s">
        <v>262</v>
      </c>
      <c r="C48" s="113" t="s">
        <v>263</v>
      </c>
      <c r="D48" s="113" t="s">
        <v>264</v>
      </c>
      <c r="E48" s="113" t="s">
        <v>265</v>
      </c>
      <c r="F48" s="113" t="s">
        <v>266</v>
      </c>
      <c r="G48" s="113" t="s">
        <v>267</v>
      </c>
      <c r="H48" s="112" t="s">
        <v>54</v>
      </c>
      <c r="I48" s="112" t="s">
        <v>77</v>
      </c>
      <c r="J48" s="112" t="s">
        <v>104</v>
      </c>
      <c r="K48" s="112" t="s">
        <v>64</v>
      </c>
      <c r="L48" s="112" t="s">
        <v>64</v>
      </c>
      <c r="M48" s="112" t="s">
        <v>64</v>
      </c>
      <c r="N48" s="112"/>
      <c r="O48" s="113"/>
    </row>
    <row r="49" spans="1:15" ht="141" customHeight="1">
      <c r="A49" s="112">
        <v>36</v>
      </c>
      <c r="B49" s="113" t="s">
        <v>268</v>
      </c>
      <c r="C49" s="113" t="s">
        <v>269</v>
      </c>
      <c r="D49" s="113" t="s">
        <v>264</v>
      </c>
      <c r="E49" s="113" t="s">
        <v>270</v>
      </c>
      <c r="F49" s="113" t="s">
        <v>271</v>
      </c>
      <c r="G49" s="113" t="s">
        <v>272</v>
      </c>
      <c r="H49" s="112" t="s">
        <v>54</v>
      </c>
      <c r="I49" s="112" t="s">
        <v>77</v>
      </c>
      <c r="J49" s="112" t="s">
        <v>104</v>
      </c>
      <c r="K49" s="112" t="s">
        <v>64</v>
      </c>
      <c r="L49" s="112" t="s">
        <v>64</v>
      </c>
      <c r="M49" s="112" t="s">
        <v>64</v>
      </c>
      <c r="N49" s="112"/>
      <c r="O49" s="113"/>
    </row>
    <row r="50" spans="1:15" ht="154.5" customHeight="1">
      <c r="A50" s="112">
        <v>37</v>
      </c>
      <c r="B50" s="113" t="s">
        <v>273</v>
      </c>
      <c r="C50" s="113" t="s">
        <v>274</v>
      </c>
      <c r="D50" s="113" t="s">
        <v>275</v>
      </c>
      <c r="E50" s="113" t="s">
        <v>276</v>
      </c>
      <c r="F50" s="113" t="s">
        <v>277</v>
      </c>
      <c r="G50" s="113" t="s">
        <v>278</v>
      </c>
      <c r="H50" s="112" t="s">
        <v>54</v>
      </c>
      <c r="I50" s="112" t="s">
        <v>78</v>
      </c>
      <c r="J50" s="112" t="s">
        <v>104</v>
      </c>
      <c r="K50" s="112" t="s">
        <v>64</v>
      </c>
      <c r="L50" s="112" t="s">
        <v>64</v>
      </c>
      <c r="M50" s="112" t="s">
        <v>64</v>
      </c>
      <c r="N50" s="112"/>
      <c r="O50" s="113" t="s">
        <v>231</v>
      </c>
    </row>
    <row r="51" spans="1:15" ht="87" customHeight="1">
      <c r="A51" s="112">
        <v>38</v>
      </c>
      <c r="B51" s="113" t="s">
        <v>279</v>
      </c>
      <c r="C51" s="113" t="s">
        <v>280</v>
      </c>
      <c r="D51" s="113" t="s">
        <v>275</v>
      </c>
      <c r="E51" s="113" t="s">
        <v>281</v>
      </c>
      <c r="F51" s="113" t="s">
        <v>282</v>
      </c>
      <c r="G51" s="113" t="s">
        <v>283</v>
      </c>
      <c r="H51" s="112" t="s">
        <v>54</v>
      </c>
      <c r="I51" s="112" t="s">
        <v>78</v>
      </c>
      <c r="J51" s="112" t="s">
        <v>104</v>
      </c>
      <c r="K51" s="112" t="s">
        <v>64</v>
      </c>
      <c r="L51" s="112" t="s">
        <v>64</v>
      </c>
      <c r="M51" s="112" t="s">
        <v>64</v>
      </c>
      <c r="N51" s="112"/>
      <c r="O51" s="113"/>
    </row>
  </sheetData>
  <autoFilter ref="A13:O51" xr:uid="{ABA89C78-60F8-4FA9-9D7E-887BF2F64310}"/>
  <pageMargins left="0.75" right="0.75" top="1" bottom="1"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BA65F2E7-83FF-4F61-8169-661B8E854689}">
          <x14:formula1>
            <xm:f>Legend!$F$20:$F$25</xm:f>
          </x14:formula1>
          <xm:sqref>K15:M15 K17:M21 K23:M27 K29:M31 K33:M36 K38:M41 K43:M46 K48:M51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O47"/>
  <sheetViews>
    <sheetView zoomScaleNormal="100" workbookViewId="0">
      <pane xSplit="3" ySplit="13" topLeftCell="D14" activePane="bottomRight" state="frozen"/>
      <selection pane="bottomRight" activeCell="E7" sqref="E7"/>
      <selection pane="bottomLeft" activeCell="E7" sqref="E7"/>
      <selection pane="topRight" activeCell="E7" sqref="E7"/>
    </sheetView>
  </sheetViews>
  <sheetFormatPr defaultColWidth="9" defaultRowHeight="14.25"/>
  <cols>
    <col min="1" max="1" width="7.28515625" style="94"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95" customWidth="1"/>
  </cols>
  <sheetData>
    <row r="1" spans="1:15" ht="30" customHeight="1">
      <c r="B1" s="96" t="s">
        <v>73</v>
      </c>
      <c r="C1" s="129" t="s">
        <v>284</v>
      </c>
      <c r="D1" s="97"/>
      <c r="E1" s="97"/>
      <c r="F1" s="98"/>
    </row>
    <row r="2" spans="1:15" ht="15" customHeight="1">
      <c r="B2" s="96" t="s">
        <v>75</v>
      </c>
      <c r="C2" s="96" t="s">
        <v>76</v>
      </c>
      <c r="D2" s="97"/>
      <c r="E2" s="97"/>
      <c r="F2" s="98"/>
    </row>
    <row r="3" spans="1:15" ht="15" customHeight="1">
      <c r="B3" s="99"/>
      <c r="C3" s="100"/>
      <c r="D3" s="100"/>
      <c r="E3" s="100"/>
      <c r="F3" s="98"/>
    </row>
    <row r="4" spans="1:15" ht="15" customHeight="1">
      <c r="B4" s="101"/>
      <c r="C4" s="102" t="s">
        <v>77</v>
      </c>
      <c r="D4" s="102" t="s">
        <v>78</v>
      </c>
      <c r="E4" s="102" t="s">
        <v>79</v>
      </c>
      <c r="F4" s="103" t="s">
        <v>65</v>
      </c>
      <c r="G4" s="98"/>
    </row>
    <row r="5" spans="1:15" ht="15" customHeight="1">
      <c r="B5" s="104"/>
      <c r="C5" s="105">
        <f>SUM(C6:C10)</f>
        <v>12</v>
      </c>
      <c r="D5" s="105">
        <f>SUM(D6:D10)</f>
        <v>15</v>
      </c>
      <c r="E5" s="105">
        <f>SUM(E6:E10)</f>
        <v>0</v>
      </c>
      <c r="F5" s="105">
        <f t="shared" ref="F5:F11" si="0">SUM(C5:E5)</f>
        <v>27</v>
      </c>
    </row>
    <row r="6" spans="1:15" ht="14.25" customHeight="1">
      <c r="B6" s="106" t="s">
        <v>60</v>
      </c>
      <c r="C6" s="107">
        <f t="shared" ref="C6:E11" si="1">COUNTIFS($K:$K, $B6,$I:$I,C$4)</f>
        <v>0</v>
      </c>
      <c r="D6" s="107">
        <f t="shared" si="1"/>
        <v>0</v>
      </c>
      <c r="E6" s="107">
        <f t="shared" si="1"/>
        <v>0</v>
      </c>
      <c r="F6" s="107">
        <f t="shared" si="0"/>
        <v>0</v>
      </c>
    </row>
    <row r="7" spans="1:15" ht="14.25" customHeight="1">
      <c r="B7" s="106" t="s">
        <v>61</v>
      </c>
      <c r="C7" s="107">
        <f t="shared" si="1"/>
        <v>0</v>
      </c>
      <c r="D7" s="107">
        <f t="shared" si="1"/>
        <v>0</v>
      </c>
      <c r="E7" s="107">
        <f t="shared" si="1"/>
        <v>0</v>
      </c>
      <c r="F7" s="107">
        <f t="shared" si="0"/>
        <v>0</v>
      </c>
    </row>
    <row r="8" spans="1:15" ht="14.25" customHeight="1">
      <c r="B8" s="106" t="s">
        <v>64</v>
      </c>
      <c r="C8" s="107">
        <f t="shared" si="1"/>
        <v>12</v>
      </c>
      <c r="D8" s="107">
        <f t="shared" si="1"/>
        <v>15</v>
      </c>
      <c r="E8" s="107">
        <f t="shared" si="1"/>
        <v>0</v>
      </c>
      <c r="F8" s="107">
        <f t="shared" si="0"/>
        <v>27</v>
      </c>
    </row>
    <row r="9" spans="1:15" ht="14.25" customHeight="1">
      <c r="B9" s="106" t="s">
        <v>62</v>
      </c>
      <c r="C9" s="107">
        <f t="shared" si="1"/>
        <v>0</v>
      </c>
      <c r="D9" s="107">
        <f t="shared" si="1"/>
        <v>0</v>
      </c>
      <c r="E9" s="107">
        <f t="shared" si="1"/>
        <v>0</v>
      </c>
      <c r="F9" s="107">
        <f t="shared" si="0"/>
        <v>0</v>
      </c>
    </row>
    <row r="10" spans="1:15" ht="14.25" customHeight="1">
      <c r="B10" s="106" t="s">
        <v>80</v>
      </c>
      <c r="C10" s="107">
        <f t="shared" si="1"/>
        <v>0</v>
      </c>
      <c r="D10" s="107">
        <f t="shared" si="1"/>
        <v>0</v>
      </c>
      <c r="E10" s="107">
        <f t="shared" si="1"/>
        <v>0</v>
      </c>
      <c r="F10" s="107">
        <f t="shared" si="0"/>
        <v>0</v>
      </c>
    </row>
    <row r="11" spans="1:15" ht="14.25" customHeight="1">
      <c r="B11" s="106" t="s">
        <v>81</v>
      </c>
      <c r="C11" s="107">
        <f t="shared" si="1"/>
        <v>0</v>
      </c>
      <c r="D11" s="107">
        <f t="shared" si="1"/>
        <v>0</v>
      </c>
      <c r="E11" s="107">
        <f t="shared" si="1"/>
        <v>0</v>
      </c>
      <c r="F11" s="107">
        <f t="shared" si="0"/>
        <v>0</v>
      </c>
    </row>
    <row r="12" spans="1:15" ht="14.25" customHeight="1">
      <c r="F12" s="98"/>
    </row>
    <row r="13" spans="1:15" s="109" customFormat="1" ht="30" customHeight="1">
      <c r="A13" s="108" t="s">
        <v>82</v>
      </c>
      <c r="B13" s="108" t="s">
        <v>83</v>
      </c>
      <c r="C13" s="108" t="s">
        <v>84</v>
      </c>
      <c r="D13" s="108" t="s">
        <v>85</v>
      </c>
      <c r="E13" s="108" t="s">
        <v>86</v>
      </c>
      <c r="F13" s="108" t="s">
        <v>87</v>
      </c>
      <c r="G13" s="108" t="s">
        <v>88</v>
      </c>
      <c r="H13" s="108" t="s">
        <v>53</v>
      </c>
      <c r="I13" s="108" t="s">
        <v>89</v>
      </c>
      <c r="J13" s="108" t="s">
        <v>90</v>
      </c>
      <c r="K13" s="108" t="s">
        <v>91</v>
      </c>
      <c r="L13" s="108" t="s">
        <v>92</v>
      </c>
      <c r="M13" s="108" t="s">
        <v>93</v>
      </c>
      <c r="N13" s="108" t="s">
        <v>94</v>
      </c>
      <c r="O13" s="108" t="s">
        <v>95</v>
      </c>
    </row>
    <row r="14" spans="1:15" ht="33" customHeight="1">
      <c r="A14" s="110">
        <v>1</v>
      </c>
      <c r="B14" s="111" t="s">
        <v>285</v>
      </c>
      <c r="C14" s="111" t="s">
        <v>286</v>
      </c>
      <c r="D14" s="111"/>
      <c r="E14" s="111"/>
      <c r="F14" s="111"/>
      <c r="G14" s="111"/>
      <c r="H14" s="110"/>
      <c r="I14" s="110"/>
      <c r="J14" s="110"/>
      <c r="K14" s="110"/>
      <c r="L14" s="110"/>
      <c r="M14" s="110"/>
      <c r="N14" s="110"/>
      <c r="O14" s="111"/>
    </row>
    <row r="15" spans="1:15" ht="141" customHeight="1">
      <c r="A15" s="112">
        <v>2</v>
      </c>
      <c r="B15" s="113" t="s">
        <v>287</v>
      </c>
      <c r="C15" s="113" t="s">
        <v>288</v>
      </c>
      <c r="D15" s="113" t="s">
        <v>289</v>
      </c>
      <c r="E15" s="113" t="s">
        <v>290</v>
      </c>
      <c r="F15" s="113" t="s">
        <v>291</v>
      </c>
      <c r="G15" s="113" t="s">
        <v>292</v>
      </c>
      <c r="H15" s="112" t="s">
        <v>54</v>
      </c>
      <c r="I15" s="112" t="s">
        <v>77</v>
      </c>
      <c r="J15" s="112" t="s">
        <v>104</v>
      </c>
      <c r="K15" s="112" t="s">
        <v>64</v>
      </c>
      <c r="L15" s="112"/>
      <c r="M15" s="112"/>
      <c r="N15" s="112"/>
      <c r="O15" s="113"/>
    </row>
    <row r="16" spans="1:15" ht="141" customHeight="1">
      <c r="A16" s="112">
        <v>3</v>
      </c>
      <c r="B16" s="113" t="s">
        <v>293</v>
      </c>
      <c r="C16" s="113" t="s">
        <v>294</v>
      </c>
      <c r="D16" s="113" t="s">
        <v>295</v>
      </c>
      <c r="E16" s="113" t="s">
        <v>179</v>
      </c>
      <c r="F16" s="113" t="s">
        <v>296</v>
      </c>
      <c r="G16" s="113" t="s">
        <v>297</v>
      </c>
      <c r="H16" s="112" t="s">
        <v>54</v>
      </c>
      <c r="I16" s="112" t="s">
        <v>78</v>
      </c>
      <c r="J16" s="112" t="s">
        <v>104</v>
      </c>
      <c r="K16" s="112" t="s">
        <v>64</v>
      </c>
      <c r="L16" s="112"/>
      <c r="M16" s="112"/>
      <c r="N16" s="112"/>
      <c r="O16" s="113" t="s">
        <v>298</v>
      </c>
    </row>
    <row r="17" spans="1:15" ht="114" customHeight="1">
      <c r="A17" s="112">
        <v>4</v>
      </c>
      <c r="B17" s="113" t="s">
        <v>299</v>
      </c>
      <c r="C17" s="113" t="s">
        <v>300</v>
      </c>
      <c r="D17" s="113" t="s">
        <v>301</v>
      </c>
      <c r="E17" s="113" t="s">
        <v>302</v>
      </c>
      <c r="F17" s="113" t="s">
        <v>303</v>
      </c>
      <c r="G17" s="113" t="s">
        <v>304</v>
      </c>
      <c r="H17" s="112" t="s">
        <v>54</v>
      </c>
      <c r="I17" s="112" t="s">
        <v>78</v>
      </c>
      <c r="J17" s="112" t="s">
        <v>104</v>
      </c>
      <c r="K17" s="112" t="s">
        <v>64</v>
      </c>
      <c r="L17" s="112"/>
      <c r="M17" s="112"/>
      <c r="N17" s="112"/>
      <c r="O17" s="113"/>
    </row>
    <row r="18" spans="1:15" ht="33" customHeight="1">
      <c r="A18" s="110">
        <v>5</v>
      </c>
      <c r="B18" s="111" t="s">
        <v>305</v>
      </c>
      <c r="C18" s="111" t="s">
        <v>137</v>
      </c>
      <c r="D18" s="111"/>
      <c r="E18" s="111"/>
      <c r="F18" s="111"/>
      <c r="G18" s="111"/>
      <c r="H18" s="110"/>
      <c r="I18" s="110"/>
      <c r="J18" s="110"/>
      <c r="K18" s="110"/>
      <c r="L18" s="110"/>
      <c r="M18" s="110"/>
      <c r="N18" s="110"/>
      <c r="O18" s="111"/>
    </row>
    <row r="19" spans="1:15" ht="141" customHeight="1">
      <c r="A19" s="112">
        <v>6</v>
      </c>
      <c r="B19" s="113" t="s">
        <v>306</v>
      </c>
      <c r="C19" s="113" t="s">
        <v>307</v>
      </c>
      <c r="D19" s="113" t="s">
        <v>308</v>
      </c>
      <c r="E19" s="113" t="s">
        <v>141</v>
      </c>
      <c r="F19" s="113" t="s">
        <v>142</v>
      </c>
      <c r="G19" s="113" t="s">
        <v>143</v>
      </c>
      <c r="H19" s="112" t="s">
        <v>54</v>
      </c>
      <c r="I19" s="112" t="s">
        <v>77</v>
      </c>
      <c r="J19" s="112" t="s">
        <v>104</v>
      </c>
      <c r="K19" s="112" t="s">
        <v>64</v>
      </c>
      <c r="L19" s="112"/>
      <c r="M19" s="112"/>
      <c r="N19" s="112"/>
      <c r="O19" s="113"/>
    </row>
    <row r="20" spans="1:15" ht="141" customHeight="1">
      <c r="A20" s="112">
        <v>7</v>
      </c>
      <c r="B20" s="113" t="s">
        <v>309</v>
      </c>
      <c r="C20" s="113" t="s">
        <v>310</v>
      </c>
      <c r="D20" s="113" t="s">
        <v>308</v>
      </c>
      <c r="E20" s="113" t="s">
        <v>147</v>
      </c>
      <c r="F20" s="113" t="s">
        <v>148</v>
      </c>
      <c r="G20" s="113" t="s">
        <v>311</v>
      </c>
      <c r="H20" s="112" t="s">
        <v>54</v>
      </c>
      <c r="I20" s="112" t="s">
        <v>77</v>
      </c>
      <c r="J20" s="112" t="s">
        <v>104</v>
      </c>
      <c r="K20" s="112" t="s">
        <v>64</v>
      </c>
      <c r="L20" s="112"/>
      <c r="M20" s="112"/>
      <c r="N20" s="112"/>
      <c r="O20" s="113" t="s">
        <v>312</v>
      </c>
    </row>
    <row r="21" spans="1:15" ht="141" customHeight="1">
      <c r="A21" s="112">
        <v>8</v>
      </c>
      <c r="B21" s="113" t="s">
        <v>313</v>
      </c>
      <c r="C21" s="113" t="s">
        <v>314</v>
      </c>
      <c r="D21" s="113" t="s">
        <v>308</v>
      </c>
      <c r="E21" s="113" t="s">
        <v>154</v>
      </c>
      <c r="F21" s="113" t="s">
        <v>155</v>
      </c>
      <c r="G21" s="113" t="s">
        <v>156</v>
      </c>
      <c r="H21" s="112" t="s">
        <v>54</v>
      </c>
      <c r="I21" s="112" t="s">
        <v>78</v>
      </c>
      <c r="J21" s="112" t="s">
        <v>104</v>
      </c>
      <c r="K21" s="112" t="s">
        <v>64</v>
      </c>
      <c r="L21" s="112"/>
      <c r="M21" s="112"/>
      <c r="N21" s="112"/>
      <c r="O21" s="113"/>
    </row>
    <row r="22" spans="1:15" ht="141" customHeight="1">
      <c r="A22" s="112">
        <v>9</v>
      </c>
      <c r="B22" s="113" t="s">
        <v>315</v>
      </c>
      <c r="C22" s="113" t="s">
        <v>316</v>
      </c>
      <c r="D22" s="113" t="s">
        <v>317</v>
      </c>
      <c r="E22" s="113" t="s">
        <v>160</v>
      </c>
      <c r="F22" s="113" t="s">
        <v>161</v>
      </c>
      <c r="G22" s="113" t="s">
        <v>318</v>
      </c>
      <c r="H22" s="112" t="s">
        <v>54</v>
      </c>
      <c r="I22" s="112" t="s">
        <v>78</v>
      </c>
      <c r="J22" s="112" t="s">
        <v>104</v>
      </c>
      <c r="K22" s="112" t="s">
        <v>64</v>
      </c>
      <c r="L22" s="112"/>
      <c r="M22" s="112"/>
      <c r="N22" s="112"/>
      <c r="O22" s="113"/>
    </row>
    <row r="23" spans="1:15" ht="100.5" customHeight="1">
      <c r="A23" s="112">
        <v>10</v>
      </c>
      <c r="B23" s="113" t="s">
        <v>319</v>
      </c>
      <c r="C23" s="113" t="s">
        <v>164</v>
      </c>
      <c r="D23" s="113" t="s">
        <v>317</v>
      </c>
      <c r="E23" s="113" t="s">
        <v>320</v>
      </c>
      <c r="F23" s="113" t="s">
        <v>166</v>
      </c>
      <c r="G23" s="113" t="s">
        <v>321</v>
      </c>
      <c r="H23" s="112" t="s">
        <v>54</v>
      </c>
      <c r="I23" s="112" t="s">
        <v>78</v>
      </c>
      <c r="J23" s="112" t="s">
        <v>104</v>
      </c>
      <c r="K23" s="112" t="s">
        <v>64</v>
      </c>
      <c r="L23" s="112"/>
      <c r="M23" s="112"/>
      <c r="N23" s="112"/>
      <c r="O23" s="113"/>
    </row>
    <row r="24" spans="1:15" ht="19.5" customHeight="1">
      <c r="A24" s="110">
        <v>11</v>
      </c>
      <c r="B24" s="111" t="s">
        <v>322</v>
      </c>
      <c r="C24" s="111" t="s">
        <v>169</v>
      </c>
      <c r="D24" s="111"/>
      <c r="E24" s="111"/>
      <c r="F24" s="111"/>
      <c r="G24" s="111"/>
      <c r="H24" s="110"/>
      <c r="I24" s="110"/>
      <c r="J24" s="110"/>
      <c r="K24" s="110"/>
      <c r="L24" s="110"/>
      <c r="M24" s="110"/>
      <c r="N24" s="110"/>
      <c r="O24" s="111"/>
    </row>
    <row r="25" spans="1:15" ht="154.5" customHeight="1">
      <c r="A25" s="112">
        <v>12</v>
      </c>
      <c r="B25" s="113" t="s">
        <v>323</v>
      </c>
      <c r="C25" s="113" t="s">
        <v>324</v>
      </c>
      <c r="D25" s="113" t="s">
        <v>325</v>
      </c>
      <c r="E25" s="113" t="s">
        <v>173</v>
      </c>
      <c r="F25" s="113" t="s">
        <v>174</v>
      </c>
      <c r="G25" s="113" t="s">
        <v>326</v>
      </c>
      <c r="H25" s="112" t="s">
        <v>54</v>
      </c>
      <c r="I25" s="112" t="s">
        <v>77</v>
      </c>
      <c r="J25" s="112" t="s">
        <v>104</v>
      </c>
      <c r="K25" s="112" t="s">
        <v>64</v>
      </c>
      <c r="L25" s="112"/>
      <c r="M25" s="112"/>
      <c r="N25" s="112"/>
      <c r="O25" s="113"/>
    </row>
    <row r="26" spans="1:15" ht="276" customHeight="1">
      <c r="A26" s="112">
        <v>13</v>
      </c>
      <c r="B26" s="113" t="s">
        <v>327</v>
      </c>
      <c r="C26" s="113" t="s">
        <v>328</v>
      </c>
      <c r="D26" s="113" t="s">
        <v>329</v>
      </c>
      <c r="E26" s="113" t="s">
        <v>179</v>
      </c>
      <c r="F26" s="113" t="s">
        <v>330</v>
      </c>
      <c r="G26" s="113" t="s">
        <v>331</v>
      </c>
      <c r="H26" s="112" t="s">
        <v>54</v>
      </c>
      <c r="I26" s="112" t="s">
        <v>78</v>
      </c>
      <c r="J26" s="112" t="s">
        <v>104</v>
      </c>
      <c r="K26" s="112" t="s">
        <v>64</v>
      </c>
      <c r="L26" s="112"/>
      <c r="M26" s="112"/>
      <c r="N26" s="112"/>
      <c r="O26" s="113"/>
    </row>
    <row r="27" spans="1:15" ht="73.5" customHeight="1">
      <c r="A27" s="112">
        <v>14</v>
      </c>
      <c r="B27" s="113" t="s">
        <v>332</v>
      </c>
      <c r="C27" s="113" t="s">
        <v>183</v>
      </c>
      <c r="D27" s="113" t="s">
        <v>184</v>
      </c>
      <c r="E27" s="113" t="s">
        <v>185</v>
      </c>
      <c r="F27" s="113" t="s">
        <v>186</v>
      </c>
      <c r="G27" s="113" t="s">
        <v>333</v>
      </c>
      <c r="H27" s="112" t="s">
        <v>54</v>
      </c>
      <c r="I27" s="112" t="s">
        <v>78</v>
      </c>
      <c r="J27" s="112" t="s">
        <v>104</v>
      </c>
      <c r="K27" s="112" t="s">
        <v>64</v>
      </c>
      <c r="L27" s="112"/>
      <c r="M27" s="112"/>
      <c r="N27" s="112"/>
      <c r="O27" s="113"/>
    </row>
    <row r="28" spans="1:15" ht="19.5" customHeight="1">
      <c r="A28" s="110">
        <v>15</v>
      </c>
      <c r="B28" s="111" t="s">
        <v>334</v>
      </c>
      <c r="C28" s="111" t="s">
        <v>335</v>
      </c>
      <c r="D28" s="111"/>
      <c r="E28" s="111"/>
      <c r="F28" s="111"/>
      <c r="G28" s="111"/>
      <c r="H28" s="110"/>
      <c r="I28" s="110"/>
      <c r="J28" s="110"/>
      <c r="K28" s="110"/>
      <c r="L28" s="110"/>
      <c r="M28" s="110"/>
      <c r="N28" s="110"/>
      <c r="O28" s="111"/>
    </row>
    <row r="29" spans="1:15" ht="141" customHeight="1">
      <c r="A29" s="112">
        <v>16</v>
      </c>
      <c r="B29" s="113" t="s">
        <v>336</v>
      </c>
      <c r="C29" s="113" t="s">
        <v>337</v>
      </c>
      <c r="D29" s="113" t="s">
        <v>338</v>
      </c>
      <c r="E29" s="113" t="s">
        <v>193</v>
      </c>
      <c r="F29" s="113" t="s">
        <v>194</v>
      </c>
      <c r="G29" s="113" t="s">
        <v>339</v>
      </c>
      <c r="H29" s="112" t="s">
        <v>54</v>
      </c>
      <c r="I29" s="112" t="s">
        <v>77</v>
      </c>
      <c r="J29" s="112" t="s">
        <v>104</v>
      </c>
      <c r="K29" s="112" t="s">
        <v>64</v>
      </c>
      <c r="L29" s="112"/>
      <c r="M29" s="112"/>
      <c r="N29" s="112"/>
      <c r="O29" s="113"/>
    </row>
    <row r="30" spans="1:15" ht="100.5" customHeight="1">
      <c r="A30" s="112">
        <v>17</v>
      </c>
      <c r="B30" s="113" t="s">
        <v>340</v>
      </c>
      <c r="C30" s="113" t="s">
        <v>341</v>
      </c>
      <c r="D30" s="113" t="s">
        <v>203</v>
      </c>
      <c r="E30" s="113" t="s">
        <v>198</v>
      </c>
      <c r="F30" s="113" t="s">
        <v>199</v>
      </c>
      <c r="G30" s="113" t="s">
        <v>200</v>
      </c>
      <c r="H30" s="112" t="s">
        <v>54</v>
      </c>
      <c r="I30" s="112" t="s">
        <v>77</v>
      </c>
      <c r="J30" s="112" t="s">
        <v>104</v>
      </c>
      <c r="K30" s="112" t="s">
        <v>64</v>
      </c>
      <c r="L30" s="112"/>
      <c r="M30" s="112"/>
      <c r="N30" s="112"/>
      <c r="O30" s="113"/>
    </row>
    <row r="31" spans="1:15" ht="154.5" customHeight="1">
      <c r="A31" s="112">
        <v>18</v>
      </c>
      <c r="B31" s="113" t="s">
        <v>342</v>
      </c>
      <c r="C31" s="113" t="s">
        <v>343</v>
      </c>
      <c r="D31" s="113" t="s">
        <v>203</v>
      </c>
      <c r="E31" s="113" t="s">
        <v>160</v>
      </c>
      <c r="F31" s="113" t="s">
        <v>204</v>
      </c>
      <c r="G31" s="113" t="s">
        <v>344</v>
      </c>
      <c r="H31" s="112" t="s">
        <v>54</v>
      </c>
      <c r="I31" s="112" t="s">
        <v>78</v>
      </c>
      <c r="J31" s="112" t="s">
        <v>104</v>
      </c>
      <c r="K31" s="112" t="s">
        <v>64</v>
      </c>
      <c r="L31" s="112"/>
      <c r="M31" s="112"/>
      <c r="N31" s="112"/>
      <c r="O31" s="113" t="s">
        <v>231</v>
      </c>
    </row>
    <row r="32" spans="1:15" ht="87" customHeight="1">
      <c r="A32" s="112">
        <v>19</v>
      </c>
      <c r="B32" s="113" t="s">
        <v>345</v>
      </c>
      <c r="C32" s="113" t="s">
        <v>208</v>
      </c>
      <c r="D32" s="113" t="s">
        <v>203</v>
      </c>
      <c r="E32" s="113" t="s">
        <v>209</v>
      </c>
      <c r="F32" s="113" t="s">
        <v>210</v>
      </c>
      <c r="G32" s="113" t="s">
        <v>211</v>
      </c>
      <c r="H32" s="112" t="s">
        <v>54</v>
      </c>
      <c r="I32" s="112" t="s">
        <v>78</v>
      </c>
      <c r="J32" s="112" t="s">
        <v>104</v>
      </c>
      <c r="K32" s="112" t="s">
        <v>64</v>
      </c>
      <c r="L32" s="112"/>
      <c r="M32" s="112"/>
      <c r="N32" s="112"/>
      <c r="O32" s="113"/>
    </row>
    <row r="33" spans="1:15" ht="19.5" customHeight="1">
      <c r="A33" s="110">
        <v>20</v>
      </c>
      <c r="B33" s="111" t="s">
        <v>346</v>
      </c>
      <c r="C33" s="111" t="s">
        <v>347</v>
      </c>
      <c r="D33" s="111"/>
      <c r="E33" s="111"/>
      <c r="F33" s="111"/>
      <c r="G33" s="111"/>
      <c r="H33" s="110"/>
      <c r="I33" s="110"/>
      <c r="J33" s="110"/>
      <c r="K33" s="110"/>
      <c r="L33" s="110"/>
      <c r="M33" s="110"/>
      <c r="N33" s="110"/>
      <c r="O33" s="111"/>
    </row>
    <row r="34" spans="1:15" ht="127.5" customHeight="1">
      <c r="A34" s="112">
        <v>21</v>
      </c>
      <c r="B34" s="113" t="s">
        <v>348</v>
      </c>
      <c r="C34" s="113" t="s">
        <v>349</v>
      </c>
      <c r="D34" s="113" t="s">
        <v>350</v>
      </c>
      <c r="E34" s="113" t="s">
        <v>217</v>
      </c>
      <c r="F34" s="113" t="s">
        <v>218</v>
      </c>
      <c r="G34" s="113" t="s">
        <v>351</v>
      </c>
      <c r="H34" s="112" t="s">
        <v>54</v>
      </c>
      <c r="I34" s="112" t="s">
        <v>77</v>
      </c>
      <c r="J34" s="112" t="s">
        <v>104</v>
      </c>
      <c r="K34" s="112" t="s">
        <v>64</v>
      </c>
      <c r="L34" s="112"/>
      <c r="M34" s="112"/>
      <c r="N34" s="112"/>
      <c r="O34" s="113"/>
    </row>
    <row r="35" spans="1:15" ht="100.5" customHeight="1">
      <c r="A35" s="112">
        <v>22</v>
      </c>
      <c r="B35" s="113" t="s">
        <v>352</v>
      </c>
      <c r="C35" s="113" t="s">
        <v>353</v>
      </c>
      <c r="D35" s="113" t="s">
        <v>222</v>
      </c>
      <c r="E35" s="113" t="s">
        <v>223</v>
      </c>
      <c r="F35" s="113" t="s">
        <v>224</v>
      </c>
      <c r="G35" s="113" t="s">
        <v>225</v>
      </c>
      <c r="H35" s="112" t="s">
        <v>54</v>
      </c>
      <c r="I35" s="112" t="s">
        <v>77</v>
      </c>
      <c r="J35" s="112" t="s">
        <v>104</v>
      </c>
      <c r="K35" s="112" t="s">
        <v>64</v>
      </c>
      <c r="L35" s="112"/>
      <c r="M35" s="112"/>
      <c r="N35" s="112"/>
      <c r="O35" s="113"/>
    </row>
    <row r="36" spans="1:15" ht="154.5" customHeight="1">
      <c r="A36" s="112">
        <v>23</v>
      </c>
      <c r="B36" s="113" t="s">
        <v>354</v>
      </c>
      <c r="C36" s="113" t="s">
        <v>355</v>
      </c>
      <c r="D36" s="113" t="s">
        <v>222</v>
      </c>
      <c r="E36" s="113" t="s">
        <v>228</v>
      </c>
      <c r="F36" s="113" t="s">
        <v>229</v>
      </c>
      <c r="G36" s="113" t="s">
        <v>356</v>
      </c>
      <c r="H36" s="112" t="s">
        <v>54</v>
      </c>
      <c r="I36" s="112" t="s">
        <v>78</v>
      </c>
      <c r="J36" s="112" t="s">
        <v>104</v>
      </c>
      <c r="K36" s="112" t="s">
        <v>64</v>
      </c>
      <c r="L36" s="112"/>
      <c r="M36" s="112"/>
      <c r="N36" s="112"/>
      <c r="O36" s="113" t="s">
        <v>231</v>
      </c>
    </row>
    <row r="37" spans="1:15" ht="87" customHeight="1">
      <c r="A37" s="112">
        <v>24</v>
      </c>
      <c r="B37" s="113" t="s">
        <v>357</v>
      </c>
      <c r="C37" s="113" t="s">
        <v>233</v>
      </c>
      <c r="D37" s="113" t="s">
        <v>222</v>
      </c>
      <c r="E37" s="113" t="s">
        <v>358</v>
      </c>
      <c r="F37" s="113" t="s">
        <v>235</v>
      </c>
      <c r="G37" s="113" t="s">
        <v>359</v>
      </c>
      <c r="H37" s="112" t="s">
        <v>54</v>
      </c>
      <c r="I37" s="112" t="s">
        <v>78</v>
      </c>
      <c r="J37" s="112" t="s">
        <v>104</v>
      </c>
      <c r="K37" s="112" t="s">
        <v>64</v>
      </c>
      <c r="L37" s="112"/>
      <c r="M37" s="112"/>
      <c r="N37" s="112"/>
      <c r="O37" s="113"/>
    </row>
    <row r="38" spans="1:15" ht="19.5" customHeight="1">
      <c r="A38" s="110">
        <v>25</v>
      </c>
      <c r="B38" s="111" t="s">
        <v>360</v>
      </c>
      <c r="C38" s="111" t="s">
        <v>361</v>
      </c>
      <c r="D38" s="111"/>
      <c r="E38" s="111"/>
      <c r="F38" s="111"/>
      <c r="G38" s="111"/>
      <c r="H38" s="110"/>
      <c r="I38" s="110"/>
      <c r="J38" s="110"/>
      <c r="K38" s="110"/>
      <c r="L38" s="110"/>
      <c r="M38" s="110"/>
      <c r="N38" s="110"/>
      <c r="O38" s="111"/>
    </row>
    <row r="39" spans="1:15" ht="127.5" customHeight="1">
      <c r="A39" s="112">
        <v>26</v>
      </c>
      <c r="B39" s="113" t="s">
        <v>362</v>
      </c>
      <c r="C39" s="113" t="s">
        <v>363</v>
      </c>
      <c r="D39" s="113" t="s">
        <v>364</v>
      </c>
      <c r="E39" s="113" t="s">
        <v>242</v>
      </c>
      <c r="F39" s="113" t="s">
        <v>243</v>
      </c>
      <c r="G39" s="113" t="s">
        <v>365</v>
      </c>
      <c r="H39" s="112" t="s">
        <v>54</v>
      </c>
      <c r="I39" s="112" t="s">
        <v>77</v>
      </c>
      <c r="J39" s="112" t="s">
        <v>104</v>
      </c>
      <c r="K39" s="112" t="s">
        <v>64</v>
      </c>
      <c r="L39" s="112"/>
      <c r="M39" s="112"/>
      <c r="N39" s="112"/>
      <c r="O39" s="113"/>
    </row>
    <row r="40" spans="1:15" ht="127.5" customHeight="1">
      <c r="A40" s="112">
        <v>27</v>
      </c>
      <c r="B40" s="113" t="s">
        <v>366</v>
      </c>
      <c r="C40" s="113" t="s">
        <v>367</v>
      </c>
      <c r="D40" s="113" t="s">
        <v>364</v>
      </c>
      <c r="E40" s="113" t="s">
        <v>247</v>
      </c>
      <c r="F40" s="113" t="s">
        <v>248</v>
      </c>
      <c r="G40" s="113" t="s">
        <v>365</v>
      </c>
      <c r="H40" s="112" t="s">
        <v>54</v>
      </c>
      <c r="I40" s="112" t="s">
        <v>77</v>
      </c>
      <c r="J40" s="112" t="s">
        <v>104</v>
      </c>
      <c r="K40" s="112" t="s">
        <v>64</v>
      </c>
      <c r="L40" s="112"/>
      <c r="M40" s="112"/>
      <c r="N40" s="112"/>
      <c r="O40" s="113"/>
    </row>
    <row r="41" spans="1:15" ht="141" customHeight="1">
      <c r="A41" s="112">
        <v>28</v>
      </c>
      <c r="B41" s="113" t="s">
        <v>368</v>
      </c>
      <c r="C41" s="113" t="s">
        <v>369</v>
      </c>
      <c r="D41" s="113" t="s">
        <v>251</v>
      </c>
      <c r="E41" s="113" t="s">
        <v>252</v>
      </c>
      <c r="F41" s="113" t="s">
        <v>253</v>
      </c>
      <c r="G41" s="113" t="s">
        <v>370</v>
      </c>
      <c r="H41" s="112" t="s">
        <v>54</v>
      </c>
      <c r="I41" s="112" t="s">
        <v>78</v>
      </c>
      <c r="J41" s="112" t="s">
        <v>104</v>
      </c>
      <c r="K41" s="112" t="s">
        <v>64</v>
      </c>
      <c r="L41" s="112"/>
      <c r="M41" s="112"/>
      <c r="N41" s="112"/>
      <c r="O41" s="113"/>
    </row>
    <row r="42" spans="1:15" ht="87" customHeight="1">
      <c r="A42" s="112">
        <v>29</v>
      </c>
      <c r="B42" s="113" t="s">
        <v>371</v>
      </c>
      <c r="C42" s="113" t="s">
        <v>256</v>
      </c>
      <c r="D42" s="113" t="s">
        <v>251</v>
      </c>
      <c r="E42" s="113" t="s">
        <v>257</v>
      </c>
      <c r="F42" s="113" t="s">
        <v>258</v>
      </c>
      <c r="G42" s="113" t="s">
        <v>372</v>
      </c>
      <c r="H42" s="112" t="s">
        <v>54</v>
      </c>
      <c r="I42" s="112" t="s">
        <v>78</v>
      </c>
      <c r="J42" s="112" t="s">
        <v>104</v>
      </c>
      <c r="K42" s="112" t="s">
        <v>64</v>
      </c>
      <c r="L42" s="112"/>
      <c r="M42" s="112"/>
      <c r="N42" s="112"/>
      <c r="O42" s="113"/>
    </row>
    <row r="43" spans="1:15" ht="19.5" customHeight="1">
      <c r="A43" s="110">
        <v>30</v>
      </c>
      <c r="B43" s="111" t="s">
        <v>373</v>
      </c>
      <c r="C43" s="111" t="s">
        <v>261</v>
      </c>
      <c r="D43" s="111"/>
      <c r="E43" s="111"/>
      <c r="F43" s="111"/>
      <c r="G43" s="111"/>
      <c r="H43" s="110"/>
      <c r="I43" s="110"/>
      <c r="J43" s="110"/>
      <c r="K43" s="110"/>
      <c r="L43" s="110"/>
      <c r="M43" s="110"/>
      <c r="N43" s="110"/>
      <c r="O43" s="111"/>
    </row>
    <row r="44" spans="1:15" ht="114" customHeight="1">
      <c r="A44" s="112">
        <v>31</v>
      </c>
      <c r="B44" s="113" t="s">
        <v>374</v>
      </c>
      <c r="C44" s="113" t="s">
        <v>375</v>
      </c>
      <c r="D44" s="113" t="s">
        <v>376</v>
      </c>
      <c r="E44" s="113" t="s">
        <v>265</v>
      </c>
      <c r="F44" s="113" t="s">
        <v>266</v>
      </c>
      <c r="G44" s="113" t="s">
        <v>267</v>
      </c>
      <c r="H44" s="112" t="s">
        <v>54</v>
      </c>
      <c r="I44" s="112" t="s">
        <v>77</v>
      </c>
      <c r="J44" s="112" t="s">
        <v>104</v>
      </c>
      <c r="K44" s="112" t="s">
        <v>64</v>
      </c>
      <c r="L44" s="112"/>
      <c r="M44" s="112"/>
      <c r="N44" s="112"/>
      <c r="O44" s="113"/>
    </row>
    <row r="45" spans="1:15" ht="114" customHeight="1">
      <c r="A45" s="112">
        <v>32</v>
      </c>
      <c r="B45" s="113" t="s">
        <v>377</v>
      </c>
      <c r="C45" s="113" t="s">
        <v>378</v>
      </c>
      <c r="D45" s="113" t="s">
        <v>376</v>
      </c>
      <c r="E45" s="113" t="s">
        <v>270</v>
      </c>
      <c r="F45" s="113" t="s">
        <v>271</v>
      </c>
      <c r="G45" s="113" t="s">
        <v>272</v>
      </c>
      <c r="H45" s="112" t="s">
        <v>54</v>
      </c>
      <c r="I45" s="112" t="s">
        <v>77</v>
      </c>
      <c r="J45" s="112" t="s">
        <v>104</v>
      </c>
      <c r="K45" s="112" t="s">
        <v>64</v>
      </c>
      <c r="L45" s="112"/>
      <c r="M45" s="112"/>
      <c r="N45" s="112"/>
      <c r="O45" s="113"/>
    </row>
    <row r="46" spans="1:15" ht="154.5" customHeight="1">
      <c r="A46" s="112">
        <v>33</v>
      </c>
      <c r="B46" s="113" t="s">
        <v>379</v>
      </c>
      <c r="C46" s="113" t="s">
        <v>380</v>
      </c>
      <c r="D46" s="113" t="s">
        <v>275</v>
      </c>
      <c r="E46" s="113" t="s">
        <v>276</v>
      </c>
      <c r="F46" s="113" t="s">
        <v>277</v>
      </c>
      <c r="G46" s="113" t="s">
        <v>381</v>
      </c>
      <c r="H46" s="112" t="s">
        <v>54</v>
      </c>
      <c r="I46" s="112" t="s">
        <v>78</v>
      </c>
      <c r="J46" s="112" t="s">
        <v>104</v>
      </c>
      <c r="K46" s="112" t="s">
        <v>64</v>
      </c>
      <c r="L46" s="112"/>
      <c r="M46" s="112"/>
      <c r="N46" s="112"/>
      <c r="O46" s="113" t="s">
        <v>231</v>
      </c>
    </row>
    <row r="47" spans="1:15" ht="87" customHeight="1">
      <c r="A47" s="112">
        <v>34</v>
      </c>
      <c r="B47" s="113" t="s">
        <v>382</v>
      </c>
      <c r="C47" s="113" t="s">
        <v>280</v>
      </c>
      <c r="D47" s="113" t="s">
        <v>275</v>
      </c>
      <c r="E47" s="113" t="s">
        <v>383</v>
      </c>
      <c r="F47" s="113" t="s">
        <v>282</v>
      </c>
      <c r="G47" s="113" t="s">
        <v>384</v>
      </c>
      <c r="H47" s="112" t="s">
        <v>54</v>
      </c>
      <c r="I47" s="112" t="s">
        <v>78</v>
      </c>
      <c r="J47" s="112" t="s">
        <v>104</v>
      </c>
      <c r="K47" s="112" t="s">
        <v>64</v>
      </c>
      <c r="L47" s="112"/>
      <c r="M47" s="112"/>
      <c r="N47" s="112"/>
      <c r="O47" s="113"/>
    </row>
  </sheetData>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8F00"/>
  </sheetPr>
  <dimension ref="A1:O23"/>
  <sheetViews>
    <sheetView zoomScaleNormal="100" workbookViewId="0">
      <pane xSplit="3" ySplit="13" topLeftCell="D16" activePane="bottomRight" state="frozen"/>
      <selection pane="bottomRight" activeCell="E17" sqref="E17"/>
      <selection pane="bottomLeft" activeCell="E7" sqref="E7"/>
      <selection pane="topRight" activeCell="E7" sqref="E7"/>
    </sheetView>
  </sheetViews>
  <sheetFormatPr defaultColWidth="9" defaultRowHeight="14.25"/>
  <cols>
    <col min="1" max="1" width="7.28515625" style="94"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95" customWidth="1"/>
  </cols>
  <sheetData>
    <row r="1" spans="1:15" ht="30" customHeight="1">
      <c r="B1" s="96" t="s">
        <v>73</v>
      </c>
      <c r="C1" s="129" t="s">
        <v>385</v>
      </c>
      <c r="D1" s="97"/>
      <c r="E1" s="97"/>
      <c r="F1" s="98"/>
    </row>
    <row r="2" spans="1:15" ht="15" customHeight="1">
      <c r="B2" s="96" t="s">
        <v>75</v>
      </c>
      <c r="C2" s="96" t="s">
        <v>76</v>
      </c>
      <c r="D2" s="97"/>
      <c r="E2" s="97"/>
      <c r="F2" s="98"/>
    </row>
    <row r="3" spans="1:15" ht="15" customHeight="1">
      <c r="B3" s="99"/>
      <c r="C3" s="100"/>
      <c r="D3" s="100"/>
      <c r="E3" s="100"/>
      <c r="F3" s="98"/>
    </row>
    <row r="4" spans="1:15" ht="15" customHeight="1">
      <c r="B4" s="101"/>
      <c r="C4" s="102" t="s">
        <v>77</v>
      </c>
      <c r="D4" s="102" t="s">
        <v>78</v>
      </c>
      <c r="E4" s="102" t="s">
        <v>79</v>
      </c>
      <c r="F4" s="103" t="s">
        <v>65</v>
      </c>
      <c r="G4" s="98"/>
    </row>
    <row r="5" spans="1:15" ht="15" customHeight="1">
      <c r="B5" s="104"/>
      <c r="C5" s="105">
        <f>SUM(C6:C10)</f>
        <v>4</v>
      </c>
      <c r="D5" s="105">
        <f>SUM(D6:D10)</f>
        <v>4</v>
      </c>
      <c r="E5" s="105">
        <f>SUM(E6:E10)</f>
        <v>0</v>
      </c>
      <c r="F5" s="105">
        <f t="shared" ref="F5:F11" si="0">SUM(C5:E5)</f>
        <v>8</v>
      </c>
    </row>
    <row r="6" spans="1:15" ht="14.25" customHeight="1">
      <c r="B6" s="106" t="s">
        <v>60</v>
      </c>
      <c r="C6" s="107">
        <f t="shared" ref="C6:E11" si="1">COUNTIFS($K:$K, $B6,$I:$I,C$4)</f>
        <v>0</v>
      </c>
      <c r="D6" s="107">
        <f t="shared" si="1"/>
        <v>0</v>
      </c>
      <c r="E6" s="107">
        <f t="shared" si="1"/>
        <v>0</v>
      </c>
      <c r="F6" s="107">
        <f t="shared" si="0"/>
        <v>0</v>
      </c>
    </row>
    <row r="7" spans="1:15" ht="14.25" customHeight="1">
      <c r="B7" s="106" t="s">
        <v>61</v>
      </c>
      <c r="C7" s="107">
        <f t="shared" si="1"/>
        <v>0</v>
      </c>
      <c r="D7" s="107">
        <f t="shared" si="1"/>
        <v>0</v>
      </c>
      <c r="E7" s="107">
        <f t="shared" si="1"/>
        <v>0</v>
      </c>
      <c r="F7" s="107">
        <f t="shared" si="0"/>
        <v>0</v>
      </c>
    </row>
    <row r="8" spans="1:15" ht="14.25" customHeight="1">
      <c r="B8" s="106" t="s">
        <v>64</v>
      </c>
      <c r="C8" s="107">
        <f t="shared" si="1"/>
        <v>4</v>
      </c>
      <c r="D8" s="107">
        <f t="shared" si="1"/>
        <v>4</v>
      </c>
      <c r="E8" s="107">
        <f t="shared" si="1"/>
        <v>0</v>
      </c>
      <c r="F8" s="107">
        <f t="shared" si="0"/>
        <v>8</v>
      </c>
    </row>
    <row r="9" spans="1:15" ht="14.25" customHeight="1">
      <c r="B9" s="106" t="s">
        <v>62</v>
      </c>
      <c r="C9" s="107">
        <f t="shared" si="1"/>
        <v>0</v>
      </c>
      <c r="D9" s="107">
        <f t="shared" si="1"/>
        <v>0</v>
      </c>
      <c r="E9" s="107">
        <f t="shared" si="1"/>
        <v>0</v>
      </c>
      <c r="F9" s="107">
        <f t="shared" si="0"/>
        <v>0</v>
      </c>
    </row>
    <row r="10" spans="1:15" ht="14.25" customHeight="1">
      <c r="B10" s="106" t="s">
        <v>80</v>
      </c>
      <c r="C10" s="107">
        <f t="shared" si="1"/>
        <v>0</v>
      </c>
      <c r="D10" s="107">
        <f t="shared" si="1"/>
        <v>0</v>
      </c>
      <c r="E10" s="107">
        <f t="shared" si="1"/>
        <v>0</v>
      </c>
      <c r="F10" s="107">
        <f t="shared" si="0"/>
        <v>0</v>
      </c>
    </row>
    <row r="11" spans="1:15" ht="14.25" customHeight="1">
      <c r="B11" s="106" t="s">
        <v>81</v>
      </c>
      <c r="C11" s="107">
        <f t="shared" si="1"/>
        <v>0</v>
      </c>
      <c r="D11" s="107">
        <f t="shared" si="1"/>
        <v>0</v>
      </c>
      <c r="E11" s="107">
        <f t="shared" si="1"/>
        <v>0</v>
      </c>
      <c r="F11" s="107">
        <f t="shared" si="0"/>
        <v>0</v>
      </c>
    </row>
    <row r="12" spans="1:15" ht="14.25" customHeight="1">
      <c r="F12" s="98"/>
    </row>
    <row r="13" spans="1:15" s="109" customFormat="1" ht="30" customHeight="1">
      <c r="A13" s="108" t="s">
        <v>82</v>
      </c>
      <c r="B13" s="108" t="s">
        <v>83</v>
      </c>
      <c r="C13" s="108" t="s">
        <v>84</v>
      </c>
      <c r="D13" s="108" t="s">
        <v>85</v>
      </c>
      <c r="E13" s="108" t="s">
        <v>86</v>
      </c>
      <c r="F13" s="108" t="s">
        <v>87</v>
      </c>
      <c r="G13" s="108" t="s">
        <v>88</v>
      </c>
      <c r="H13" s="108" t="s">
        <v>53</v>
      </c>
      <c r="I13" s="108" t="s">
        <v>89</v>
      </c>
      <c r="J13" s="108" t="s">
        <v>90</v>
      </c>
      <c r="K13" s="108" t="s">
        <v>91</v>
      </c>
      <c r="L13" s="108" t="s">
        <v>92</v>
      </c>
      <c r="M13" s="108" t="s">
        <v>93</v>
      </c>
      <c r="N13" s="108" t="s">
        <v>94</v>
      </c>
      <c r="O13" s="108" t="s">
        <v>95</v>
      </c>
    </row>
    <row r="14" spans="1:15" ht="19.5" customHeight="1">
      <c r="A14" s="110">
        <v>1</v>
      </c>
      <c r="B14" s="111" t="s">
        <v>386</v>
      </c>
      <c r="C14" s="111" t="s">
        <v>387</v>
      </c>
      <c r="D14" s="111"/>
      <c r="E14" s="111"/>
      <c r="F14" s="111"/>
      <c r="G14" s="111"/>
      <c r="H14" s="110"/>
      <c r="I14" s="110"/>
      <c r="J14" s="110"/>
      <c r="K14" s="110"/>
      <c r="L14" s="110"/>
      <c r="M14" s="110"/>
      <c r="N14" s="110"/>
      <c r="O14" s="111"/>
    </row>
    <row r="15" spans="1:15" ht="114" customHeight="1">
      <c r="A15" s="112">
        <v>2</v>
      </c>
      <c r="B15" s="113" t="s">
        <v>388</v>
      </c>
      <c r="C15" s="113" t="s">
        <v>389</v>
      </c>
      <c r="D15" s="113" t="s">
        <v>390</v>
      </c>
      <c r="E15" s="113" t="s">
        <v>391</v>
      </c>
      <c r="F15" s="113" t="s">
        <v>392</v>
      </c>
      <c r="G15" s="113" t="s">
        <v>393</v>
      </c>
      <c r="H15" s="112" t="s">
        <v>54</v>
      </c>
      <c r="I15" s="112" t="s">
        <v>77</v>
      </c>
      <c r="J15" s="112" t="s">
        <v>104</v>
      </c>
      <c r="K15" s="112" t="s">
        <v>64</v>
      </c>
      <c r="L15" s="112"/>
      <c r="M15" s="112"/>
      <c r="N15" s="112"/>
      <c r="O15" s="113"/>
    </row>
    <row r="16" spans="1:15" ht="100.5" customHeight="1">
      <c r="A16" s="112">
        <v>3</v>
      </c>
      <c r="B16" s="113" t="s">
        <v>394</v>
      </c>
      <c r="C16" s="113" t="s">
        <v>395</v>
      </c>
      <c r="D16" s="113" t="s">
        <v>396</v>
      </c>
      <c r="E16" s="113" t="s">
        <v>397</v>
      </c>
      <c r="F16" s="113" t="s">
        <v>398</v>
      </c>
      <c r="G16" s="113" t="s">
        <v>399</v>
      </c>
      <c r="H16" s="112" t="s">
        <v>54</v>
      </c>
      <c r="I16" s="112" t="s">
        <v>77</v>
      </c>
      <c r="J16" s="112" t="s">
        <v>104</v>
      </c>
      <c r="K16" s="112" t="s">
        <v>64</v>
      </c>
      <c r="L16" s="112"/>
      <c r="M16" s="112"/>
      <c r="N16" s="112"/>
      <c r="O16" s="113"/>
    </row>
    <row r="17" spans="1:15" ht="114" customHeight="1">
      <c r="A17" s="112">
        <v>4</v>
      </c>
      <c r="B17" s="113" t="s">
        <v>400</v>
      </c>
      <c r="C17" s="113" t="s">
        <v>401</v>
      </c>
      <c r="D17" s="113" t="s">
        <v>402</v>
      </c>
      <c r="E17" s="113" t="s">
        <v>403</v>
      </c>
      <c r="F17" s="113" t="s">
        <v>404</v>
      </c>
      <c r="G17" s="113" t="s">
        <v>405</v>
      </c>
      <c r="H17" s="112" t="s">
        <v>54</v>
      </c>
      <c r="I17" s="112" t="s">
        <v>78</v>
      </c>
      <c r="J17" s="112" t="s">
        <v>104</v>
      </c>
      <c r="K17" s="112" t="s">
        <v>64</v>
      </c>
      <c r="L17" s="112"/>
      <c r="M17" s="112"/>
      <c r="N17" s="112"/>
      <c r="O17" s="113" t="s">
        <v>406</v>
      </c>
    </row>
    <row r="18" spans="1:15" ht="100.5" customHeight="1">
      <c r="A18" s="112">
        <v>5</v>
      </c>
      <c r="B18" s="113" t="s">
        <v>407</v>
      </c>
      <c r="C18" s="113" t="s">
        <v>408</v>
      </c>
      <c r="D18" s="113" t="s">
        <v>409</v>
      </c>
      <c r="E18" s="113" t="s">
        <v>410</v>
      </c>
      <c r="F18" s="113" t="s">
        <v>411</v>
      </c>
      <c r="G18" s="113" t="s">
        <v>412</v>
      </c>
      <c r="H18" s="112" t="s">
        <v>54</v>
      </c>
      <c r="I18" s="112" t="s">
        <v>78</v>
      </c>
      <c r="J18" s="112" t="s">
        <v>104</v>
      </c>
      <c r="K18" s="112" t="s">
        <v>64</v>
      </c>
      <c r="L18" s="112"/>
      <c r="M18" s="112"/>
      <c r="N18" s="112"/>
      <c r="O18" s="113"/>
    </row>
    <row r="19" spans="1:15" ht="19.5" customHeight="1">
      <c r="A19" s="110">
        <v>6</v>
      </c>
      <c r="B19" s="111" t="s">
        <v>413</v>
      </c>
      <c r="C19" s="111" t="s">
        <v>261</v>
      </c>
      <c r="D19" s="111"/>
      <c r="E19" s="111"/>
      <c r="F19" s="111"/>
      <c r="G19" s="111"/>
      <c r="H19" s="110"/>
      <c r="I19" s="110"/>
      <c r="J19" s="110"/>
      <c r="K19" s="110"/>
      <c r="L19" s="110"/>
      <c r="M19" s="110"/>
      <c r="N19" s="110"/>
      <c r="O19" s="111"/>
    </row>
    <row r="20" spans="1:15" ht="114" customHeight="1">
      <c r="A20" s="112">
        <v>7</v>
      </c>
      <c r="B20" s="113" t="s">
        <v>414</v>
      </c>
      <c r="C20" s="113" t="s">
        <v>415</v>
      </c>
      <c r="D20" s="113" t="s">
        <v>416</v>
      </c>
      <c r="E20" s="113" t="s">
        <v>417</v>
      </c>
      <c r="F20" s="113" t="s">
        <v>266</v>
      </c>
      <c r="G20" s="113" t="s">
        <v>267</v>
      </c>
      <c r="H20" s="112" t="s">
        <v>54</v>
      </c>
      <c r="I20" s="112" t="s">
        <v>77</v>
      </c>
      <c r="J20" s="112" t="s">
        <v>104</v>
      </c>
      <c r="K20" s="112" t="s">
        <v>64</v>
      </c>
      <c r="L20" s="112"/>
      <c r="M20" s="112"/>
      <c r="N20" s="112"/>
      <c r="O20" s="113"/>
    </row>
    <row r="21" spans="1:15" ht="114" customHeight="1">
      <c r="A21" s="112">
        <v>8</v>
      </c>
      <c r="B21" s="113" t="s">
        <v>418</v>
      </c>
      <c r="C21" s="113" t="s">
        <v>419</v>
      </c>
      <c r="D21" s="113" t="s">
        <v>416</v>
      </c>
      <c r="E21" s="113" t="s">
        <v>420</v>
      </c>
      <c r="F21" s="113" t="s">
        <v>271</v>
      </c>
      <c r="G21" s="113" t="s">
        <v>272</v>
      </c>
      <c r="H21" s="112" t="s">
        <v>54</v>
      </c>
      <c r="I21" s="112" t="s">
        <v>77</v>
      </c>
      <c r="J21" s="112" t="s">
        <v>104</v>
      </c>
      <c r="K21" s="112" t="s">
        <v>64</v>
      </c>
      <c r="L21" s="112"/>
      <c r="M21" s="112"/>
      <c r="N21" s="112"/>
      <c r="O21" s="113" t="s">
        <v>421</v>
      </c>
    </row>
    <row r="22" spans="1:15" ht="141" customHeight="1">
      <c r="A22" s="112">
        <v>9</v>
      </c>
      <c r="B22" s="113" t="s">
        <v>422</v>
      </c>
      <c r="C22" s="113" t="s">
        <v>423</v>
      </c>
      <c r="D22" s="113" t="s">
        <v>424</v>
      </c>
      <c r="E22" s="113" t="s">
        <v>276</v>
      </c>
      <c r="F22" s="113" t="s">
        <v>277</v>
      </c>
      <c r="G22" s="113" t="s">
        <v>425</v>
      </c>
      <c r="H22" s="112" t="s">
        <v>54</v>
      </c>
      <c r="I22" s="112" t="s">
        <v>78</v>
      </c>
      <c r="J22" s="112" t="s">
        <v>104</v>
      </c>
      <c r="K22" s="112" t="s">
        <v>64</v>
      </c>
      <c r="L22" s="112"/>
      <c r="M22" s="112"/>
      <c r="N22" s="112"/>
      <c r="O22" s="113"/>
    </row>
    <row r="23" spans="1:15" ht="100.5" customHeight="1">
      <c r="A23" s="112">
        <v>10</v>
      </c>
      <c r="B23" s="113" t="s">
        <v>426</v>
      </c>
      <c r="C23" s="113" t="s">
        <v>280</v>
      </c>
      <c r="D23" s="113" t="s">
        <v>424</v>
      </c>
      <c r="E23" s="113" t="s">
        <v>427</v>
      </c>
      <c r="F23" s="113" t="s">
        <v>282</v>
      </c>
      <c r="G23" s="113" t="s">
        <v>283</v>
      </c>
      <c r="H23" s="112" t="s">
        <v>54</v>
      </c>
      <c r="I23" s="112" t="s">
        <v>78</v>
      </c>
      <c r="J23" s="112" t="s">
        <v>104</v>
      </c>
      <c r="K23" s="112" t="s">
        <v>64</v>
      </c>
      <c r="L23" s="112"/>
      <c r="M23" s="112"/>
      <c r="N23" s="112"/>
      <c r="O23" s="113"/>
    </row>
  </sheetData>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O26"/>
  <sheetViews>
    <sheetView zoomScaleNormal="100" workbookViewId="0">
      <pane xSplit="3" ySplit="13" topLeftCell="D19" activePane="bottomRight" state="frozen"/>
      <selection pane="bottomRight" activeCell="C20" sqref="C20"/>
      <selection pane="bottomLeft" activeCell="E7" sqref="E7"/>
      <selection pane="topRight" activeCell="E7" sqref="E7"/>
    </sheetView>
  </sheetViews>
  <sheetFormatPr defaultColWidth="9" defaultRowHeight="14.25"/>
  <cols>
    <col min="1" max="1" width="7.28515625" style="94"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95" customWidth="1"/>
  </cols>
  <sheetData>
    <row r="1" spans="1:15" ht="30" customHeight="1">
      <c r="B1" s="96" t="s">
        <v>73</v>
      </c>
      <c r="C1" s="129" t="s">
        <v>428</v>
      </c>
      <c r="D1" s="97"/>
      <c r="E1" s="97"/>
      <c r="F1" s="98"/>
    </row>
    <row r="2" spans="1:15" ht="15" customHeight="1">
      <c r="B2" s="96" t="s">
        <v>75</v>
      </c>
      <c r="C2" s="96" t="s">
        <v>76</v>
      </c>
      <c r="D2" s="97"/>
      <c r="E2" s="97"/>
      <c r="F2" s="98"/>
    </row>
    <row r="3" spans="1:15" ht="15" customHeight="1">
      <c r="B3" s="99"/>
      <c r="C3" s="100"/>
      <c r="D3" s="100"/>
      <c r="E3" s="100"/>
      <c r="F3" s="98"/>
    </row>
    <row r="4" spans="1:15" ht="15" customHeight="1">
      <c r="B4" s="101"/>
      <c r="C4" s="102" t="s">
        <v>77</v>
      </c>
      <c r="D4" s="102" t="s">
        <v>78</v>
      </c>
      <c r="E4" s="102" t="s">
        <v>79</v>
      </c>
      <c r="F4" s="103" t="s">
        <v>65</v>
      </c>
      <c r="G4" s="98"/>
    </row>
    <row r="5" spans="1:15" ht="15" customHeight="1">
      <c r="B5" s="104"/>
      <c r="C5" s="105">
        <f>SUM(C6:C10)</f>
        <v>5</v>
      </c>
      <c r="D5" s="105">
        <f>SUM(D6:D10)</f>
        <v>5</v>
      </c>
      <c r="E5" s="105">
        <f>SUM(E6:E10)</f>
        <v>0</v>
      </c>
      <c r="F5" s="105">
        <f t="shared" ref="F5:F11" si="0">SUM(C5:E5)</f>
        <v>10</v>
      </c>
    </row>
    <row r="6" spans="1:15" ht="14.25" customHeight="1">
      <c r="B6" s="106" t="s">
        <v>60</v>
      </c>
      <c r="C6" s="107">
        <f t="shared" ref="C6:E11" si="1">COUNTIFS($K:$K, $B6,$I:$I,C$4)</f>
        <v>0</v>
      </c>
      <c r="D6" s="107">
        <f t="shared" si="1"/>
        <v>0</v>
      </c>
      <c r="E6" s="107">
        <f t="shared" si="1"/>
        <v>0</v>
      </c>
      <c r="F6" s="107">
        <f t="shared" si="0"/>
        <v>0</v>
      </c>
    </row>
    <row r="7" spans="1:15" ht="14.25" customHeight="1">
      <c r="B7" s="106" t="s">
        <v>61</v>
      </c>
      <c r="C7" s="107">
        <f t="shared" si="1"/>
        <v>0</v>
      </c>
      <c r="D7" s="107">
        <f t="shared" si="1"/>
        <v>0</v>
      </c>
      <c r="E7" s="107">
        <f t="shared" si="1"/>
        <v>0</v>
      </c>
      <c r="F7" s="107">
        <f t="shared" si="0"/>
        <v>0</v>
      </c>
    </row>
    <row r="8" spans="1:15" ht="14.25" customHeight="1">
      <c r="B8" s="106" t="s">
        <v>64</v>
      </c>
      <c r="C8" s="107">
        <f t="shared" si="1"/>
        <v>5</v>
      </c>
      <c r="D8" s="107">
        <f t="shared" si="1"/>
        <v>5</v>
      </c>
      <c r="E8" s="107">
        <f t="shared" si="1"/>
        <v>0</v>
      </c>
      <c r="F8" s="107">
        <f t="shared" si="0"/>
        <v>10</v>
      </c>
    </row>
    <row r="9" spans="1:15" ht="14.25" customHeight="1">
      <c r="B9" s="106" t="s">
        <v>62</v>
      </c>
      <c r="C9" s="107">
        <f t="shared" si="1"/>
        <v>0</v>
      </c>
      <c r="D9" s="107">
        <f t="shared" si="1"/>
        <v>0</v>
      </c>
      <c r="E9" s="107">
        <f t="shared" si="1"/>
        <v>0</v>
      </c>
      <c r="F9" s="107">
        <f t="shared" si="0"/>
        <v>0</v>
      </c>
    </row>
    <row r="10" spans="1:15" ht="14.25" customHeight="1">
      <c r="B10" s="106" t="s">
        <v>80</v>
      </c>
      <c r="C10" s="107">
        <f t="shared" si="1"/>
        <v>0</v>
      </c>
      <c r="D10" s="107">
        <f t="shared" si="1"/>
        <v>0</v>
      </c>
      <c r="E10" s="107">
        <f t="shared" si="1"/>
        <v>0</v>
      </c>
      <c r="F10" s="107">
        <f t="shared" si="0"/>
        <v>0</v>
      </c>
    </row>
    <row r="11" spans="1:15" ht="14.25" customHeight="1">
      <c r="B11" s="106" t="s">
        <v>81</v>
      </c>
      <c r="C11" s="107">
        <f t="shared" si="1"/>
        <v>0</v>
      </c>
      <c r="D11" s="107">
        <f t="shared" si="1"/>
        <v>0</v>
      </c>
      <c r="E11" s="107">
        <f t="shared" si="1"/>
        <v>0</v>
      </c>
      <c r="F11" s="107">
        <f t="shared" si="0"/>
        <v>0</v>
      </c>
    </row>
    <row r="12" spans="1:15" ht="14.25" customHeight="1">
      <c r="F12" s="98"/>
    </row>
    <row r="13" spans="1:15" s="109" customFormat="1" ht="30" customHeight="1">
      <c r="A13" s="108" t="s">
        <v>82</v>
      </c>
      <c r="B13" s="108" t="s">
        <v>83</v>
      </c>
      <c r="C13" s="108" t="s">
        <v>84</v>
      </c>
      <c r="D13" s="108" t="s">
        <v>85</v>
      </c>
      <c r="E13" s="108" t="s">
        <v>86</v>
      </c>
      <c r="F13" s="108" t="s">
        <v>87</v>
      </c>
      <c r="G13" s="108" t="s">
        <v>88</v>
      </c>
      <c r="H13" s="108" t="s">
        <v>53</v>
      </c>
      <c r="I13" s="108" t="s">
        <v>89</v>
      </c>
      <c r="J13" s="108" t="s">
        <v>90</v>
      </c>
      <c r="K13" s="108" t="s">
        <v>91</v>
      </c>
      <c r="L13" s="108" t="s">
        <v>92</v>
      </c>
      <c r="M13" s="108" t="s">
        <v>93</v>
      </c>
      <c r="N13" s="108" t="s">
        <v>94</v>
      </c>
      <c r="O13" s="108" t="s">
        <v>95</v>
      </c>
    </row>
    <row r="14" spans="1:15" ht="19.5" customHeight="1">
      <c r="A14" s="110">
        <v>1</v>
      </c>
      <c r="B14" s="111" t="s">
        <v>429</v>
      </c>
      <c r="C14" s="111" t="s">
        <v>430</v>
      </c>
      <c r="D14" s="111"/>
      <c r="E14" s="111"/>
      <c r="F14" s="111"/>
      <c r="G14" s="111"/>
      <c r="H14" s="110"/>
      <c r="I14" s="110"/>
      <c r="J14" s="110"/>
      <c r="K14" s="110"/>
      <c r="L14" s="110"/>
      <c r="M14" s="110"/>
      <c r="N14" s="110"/>
      <c r="O14" s="111"/>
    </row>
    <row r="15" spans="1:15" ht="127.5" customHeight="1">
      <c r="A15" s="112">
        <v>2</v>
      </c>
      <c r="B15" s="113" t="s">
        <v>431</v>
      </c>
      <c r="C15" s="113" t="s">
        <v>432</v>
      </c>
      <c r="D15" s="113" t="s">
        <v>433</v>
      </c>
      <c r="E15" s="113" t="s">
        <v>434</v>
      </c>
      <c r="F15" s="113" t="s">
        <v>435</v>
      </c>
      <c r="G15" s="113" t="s">
        <v>436</v>
      </c>
      <c r="H15" s="112" t="s">
        <v>54</v>
      </c>
      <c r="I15" s="112" t="s">
        <v>77</v>
      </c>
      <c r="J15" s="112" t="s">
        <v>104</v>
      </c>
      <c r="K15" s="112" t="s">
        <v>64</v>
      </c>
      <c r="L15" s="112"/>
      <c r="M15" s="112"/>
      <c r="N15" s="112"/>
      <c r="O15" s="113"/>
    </row>
    <row r="16" spans="1:15" ht="127.5" customHeight="1">
      <c r="A16" s="112">
        <v>3</v>
      </c>
      <c r="B16" s="113" t="s">
        <v>437</v>
      </c>
      <c r="C16" s="113" t="s">
        <v>438</v>
      </c>
      <c r="D16" s="113" t="s">
        <v>439</v>
      </c>
      <c r="E16" s="113" t="s">
        <v>440</v>
      </c>
      <c r="F16" s="113" t="s">
        <v>441</v>
      </c>
      <c r="G16" s="113" t="s">
        <v>436</v>
      </c>
      <c r="H16" s="112" t="s">
        <v>54</v>
      </c>
      <c r="I16" s="112" t="s">
        <v>77</v>
      </c>
      <c r="J16" s="112" t="s">
        <v>104</v>
      </c>
      <c r="K16" s="112" t="s">
        <v>64</v>
      </c>
      <c r="L16" s="112"/>
      <c r="M16" s="112"/>
      <c r="N16" s="112"/>
      <c r="O16" s="113"/>
    </row>
    <row r="17" spans="1:15" ht="168" customHeight="1">
      <c r="A17" s="112">
        <v>4</v>
      </c>
      <c r="B17" s="113" t="s">
        <v>442</v>
      </c>
      <c r="C17" s="113" t="s">
        <v>443</v>
      </c>
      <c r="D17" s="113" t="s">
        <v>444</v>
      </c>
      <c r="E17" s="113" t="s">
        <v>445</v>
      </c>
      <c r="F17" s="113" t="s">
        <v>446</v>
      </c>
      <c r="G17" s="113" t="s">
        <v>436</v>
      </c>
      <c r="H17" s="112" t="s">
        <v>54</v>
      </c>
      <c r="I17" s="112" t="s">
        <v>77</v>
      </c>
      <c r="J17" s="112" t="s">
        <v>104</v>
      </c>
      <c r="K17" s="112" t="s">
        <v>64</v>
      </c>
      <c r="L17" s="112"/>
      <c r="M17" s="112"/>
      <c r="N17" s="112"/>
      <c r="O17" s="113"/>
    </row>
    <row r="18" spans="1:15" ht="154.5" customHeight="1">
      <c r="A18" s="112">
        <v>5</v>
      </c>
      <c r="B18" s="113" t="s">
        <v>447</v>
      </c>
      <c r="C18" s="113" t="s">
        <v>448</v>
      </c>
      <c r="D18" s="113" t="s">
        <v>449</v>
      </c>
      <c r="E18" s="113" t="s">
        <v>450</v>
      </c>
      <c r="F18" s="113" t="s">
        <v>451</v>
      </c>
      <c r="G18" s="113" t="s">
        <v>436</v>
      </c>
      <c r="H18" s="112" t="s">
        <v>54</v>
      </c>
      <c r="I18" s="112" t="s">
        <v>78</v>
      </c>
      <c r="J18" s="112" t="s">
        <v>104</v>
      </c>
      <c r="K18" s="112" t="s">
        <v>64</v>
      </c>
      <c r="L18" s="112"/>
      <c r="M18" s="112"/>
      <c r="N18" s="112"/>
      <c r="O18" s="113"/>
    </row>
    <row r="19" spans="1:15" ht="154.5" customHeight="1">
      <c r="A19" s="112">
        <v>6</v>
      </c>
      <c r="B19" s="113" t="s">
        <v>452</v>
      </c>
      <c r="C19" s="113" t="s">
        <v>453</v>
      </c>
      <c r="D19" s="113" t="s">
        <v>454</v>
      </c>
      <c r="E19" s="113" t="s">
        <v>455</v>
      </c>
      <c r="F19" s="113" t="s">
        <v>456</v>
      </c>
      <c r="G19" s="113" t="s">
        <v>436</v>
      </c>
      <c r="H19" s="112" t="s">
        <v>54</v>
      </c>
      <c r="I19" s="112" t="s">
        <v>78</v>
      </c>
      <c r="J19" s="112" t="s">
        <v>104</v>
      </c>
      <c r="K19" s="112" t="s">
        <v>64</v>
      </c>
      <c r="L19" s="112"/>
      <c r="M19" s="112"/>
      <c r="N19" s="112"/>
      <c r="O19" s="113" t="s">
        <v>457</v>
      </c>
    </row>
    <row r="20" spans="1:15" ht="141" customHeight="1">
      <c r="A20" s="112">
        <v>7</v>
      </c>
      <c r="B20" s="113" t="s">
        <v>458</v>
      </c>
      <c r="C20" s="113" t="s">
        <v>459</v>
      </c>
      <c r="D20" s="113" t="s">
        <v>460</v>
      </c>
      <c r="E20" s="113" t="s">
        <v>461</v>
      </c>
      <c r="F20" s="113" t="s">
        <v>462</v>
      </c>
      <c r="G20" s="113" t="s">
        <v>463</v>
      </c>
      <c r="H20" s="112" t="s">
        <v>54</v>
      </c>
      <c r="I20" s="112" t="s">
        <v>78</v>
      </c>
      <c r="J20" s="112" t="s">
        <v>104</v>
      </c>
      <c r="K20" s="112" t="s">
        <v>64</v>
      </c>
      <c r="L20" s="112"/>
      <c r="M20" s="112"/>
      <c r="N20" s="112"/>
      <c r="O20" s="113"/>
    </row>
    <row r="21" spans="1:15" ht="100.5" customHeight="1">
      <c r="A21" s="112">
        <v>8</v>
      </c>
      <c r="B21" s="113" t="s">
        <v>464</v>
      </c>
      <c r="C21" s="113" t="s">
        <v>465</v>
      </c>
      <c r="D21" s="113" t="s">
        <v>466</v>
      </c>
      <c r="E21" s="113" t="s">
        <v>467</v>
      </c>
      <c r="F21" s="113" t="s">
        <v>468</v>
      </c>
      <c r="G21" s="113" t="s">
        <v>469</v>
      </c>
      <c r="H21" s="112" t="s">
        <v>54</v>
      </c>
      <c r="I21" s="112" t="s">
        <v>78</v>
      </c>
      <c r="J21" s="112" t="s">
        <v>104</v>
      </c>
      <c r="K21" s="112" t="s">
        <v>64</v>
      </c>
      <c r="L21" s="112"/>
      <c r="M21" s="112"/>
      <c r="N21" s="112"/>
      <c r="O21" s="113" t="s">
        <v>470</v>
      </c>
    </row>
    <row r="22" spans="1:15" ht="87" customHeight="1">
      <c r="A22" s="112">
        <v>9</v>
      </c>
      <c r="B22" s="113" t="s">
        <v>471</v>
      </c>
      <c r="C22" s="113" t="s">
        <v>472</v>
      </c>
      <c r="D22" s="113" t="s">
        <v>473</v>
      </c>
      <c r="E22" s="113" t="s">
        <v>474</v>
      </c>
      <c r="F22" s="113" t="s">
        <v>475</v>
      </c>
      <c r="G22" s="113" t="s">
        <v>476</v>
      </c>
      <c r="H22" s="112" t="s">
        <v>54</v>
      </c>
      <c r="I22" s="112" t="s">
        <v>78</v>
      </c>
      <c r="J22" s="112" t="s">
        <v>104</v>
      </c>
      <c r="K22" s="112" t="s">
        <v>64</v>
      </c>
      <c r="L22" s="112"/>
      <c r="M22" s="112"/>
      <c r="N22" s="112"/>
      <c r="O22" s="113"/>
    </row>
    <row r="23" spans="1:15" ht="19.5" customHeight="1">
      <c r="A23" s="110">
        <v>10</v>
      </c>
      <c r="B23" s="111" t="s">
        <v>477</v>
      </c>
      <c r="C23" s="111" t="s">
        <v>478</v>
      </c>
      <c r="D23" s="111"/>
      <c r="E23" s="111"/>
      <c r="F23" s="111"/>
      <c r="G23" s="111"/>
      <c r="H23" s="110"/>
      <c r="I23" s="110"/>
      <c r="J23" s="110"/>
      <c r="K23" s="110"/>
      <c r="L23" s="110"/>
      <c r="M23" s="110"/>
      <c r="N23" s="110"/>
      <c r="O23" s="111"/>
    </row>
    <row r="24" spans="1:15" ht="168" customHeight="1">
      <c r="A24" s="112">
        <v>11</v>
      </c>
      <c r="B24" s="113" t="s">
        <v>479</v>
      </c>
      <c r="C24" s="113" t="s">
        <v>480</v>
      </c>
      <c r="D24" s="113" t="s">
        <v>481</v>
      </c>
      <c r="E24" s="113" t="s">
        <v>482</v>
      </c>
      <c r="F24" s="113" t="s">
        <v>483</v>
      </c>
      <c r="G24" s="113" t="s">
        <v>484</v>
      </c>
      <c r="H24" s="112" t="s">
        <v>54</v>
      </c>
      <c r="I24" s="112" t="s">
        <v>77</v>
      </c>
      <c r="J24" s="112" t="s">
        <v>104</v>
      </c>
      <c r="K24" s="112" t="s">
        <v>64</v>
      </c>
      <c r="L24" s="112"/>
      <c r="M24" s="112"/>
      <c r="N24" s="112"/>
      <c r="O24" s="113"/>
    </row>
    <row r="25" spans="1:15" ht="127.5" customHeight="1">
      <c r="A25" s="112">
        <v>12</v>
      </c>
      <c r="B25" s="113" t="s">
        <v>485</v>
      </c>
      <c r="C25" s="113" t="s">
        <v>486</v>
      </c>
      <c r="D25" s="113" t="s">
        <v>487</v>
      </c>
      <c r="E25" s="113" t="s">
        <v>488</v>
      </c>
      <c r="F25" s="113" t="s">
        <v>489</v>
      </c>
      <c r="G25" s="113" t="s">
        <v>490</v>
      </c>
      <c r="H25" s="112" t="s">
        <v>54</v>
      </c>
      <c r="I25" s="112" t="s">
        <v>77</v>
      </c>
      <c r="J25" s="112" t="s">
        <v>104</v>
      </c>
      <c r="K25" s="112" t="s">
        <v>64</v>
      </c>
      <c r="L25" s="112"/>
      <c r="M25" s="112"/>
      <c r="N25" s="112"/>
      <c r="O25" s="113" t="s">
        <v>491</v>
      </c>
    </row>
    <row r="26" spans="1:15" ht="127.5" customHeight="1">
      <c r="A26" s="110">
        <v>13</v>
      </c>
      <c r="B26" s="111" t="s">
        <v>492</v>
      </c>
      <c r="C26" s="111" t="s">
        <v>493</v>
      </c>
      <c r="D26" s="111"/>
      <c r="E26" s="111"/>
      <c r="F26" s="111"/>
      <c r="G26" s="111"/>
      <c r="H26" s="110"/>
      <c r="I26" s="110"/>
      <c r="J26" s="110"/>
      <c r="K26" s="110"/>
      <c r="L26" s="110"/>
      <c r="M26" s="110"/>
      <c r="N26" s="110"/>
      <c r="O26" s="111" t="s">
        <v>494</v>
      </c>
    </row>
  </sheetData>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89"/>
  <sheetViews>
    <sheetView zoomScaleNormal="100" workbookViewId="0">
      <selection activeCell="B37" sqref="B37"/>
    </sheetView>
  </sheetViews>
  <sheetFormatPr defaultColWidth="8.7109375" defaultRowHeight="14.25"/>
  <cols>
    <col min="1" max="1" width="24.5703125" customWidth="1"/>
    <col min="2" max="2" width="75.28515625" customWidth="1"/>
  </cols>
  <sheetData>
    <row r="1" spans="1:2" ht="15" customHeight="1">
      <c r="A1" s="152" t="s">
        <v>495</v>
      </c>
      <c r="B1" s="152"/>
    </row>
    <row r="2" spans="1:2" ht="15" customHeight="1">
      <c r="A2" s="151" t="s">
        <v>496</v>
      </c>
      <c r="B2" s="151"/>
    </row>
    <row r="3" spans="1:2" ht="15" customHeight="1">
      <c r="A3" s="114" t="s">
        <v>497</v>
      </c>
      <c r="B3" s="114" t="s">
        <v>498</v>
      </c>
    </row>
    <row r="4" spans="1:2" ht="15" customHeight="1">
      <c r="A4" s="115" t="s">
        <v>499</v>
      </c>
      <c r="B4" s="115" t="s">
        <v>500</v>
      </c>
    </row>
    <row r="5" spans="1:2" ht="15" customHeight="1">
      <c r="A5" s="116" t="s">
        <v>501</v>
      </c>
      <c r="B5" s="117" t="s">
        <v>502</v>
      </c>
    </row>
    <row r="6" spans="1:2" ht="15" customHeight="1">
      <c r="A6" s="116" t="s">
        <v>54</v>
      </c>
      <c r="B6" s="117" t="s">
        <v>503</v>
      </c>
    </row>
    <row r="7" spans="1:2" ht="15" customHeight="1">
      <c r="A7" s="116" t="s">
        <v>504</v>
      </c>
      <c r="B7" s="117" t="s">
        <v>505</v>
      </c>
    </row>
    <row r="8" spans="1:2" ht="15" customHeight="1">
      <c r="A8" s="116" t="s">
        <v>506</v>
      </c>
      <c r="B8" s="117" t="s">
        <v>507</v>
      </c>
    </row>
    <row r="9" spans="1:2" ht="15" customHeight="1">
      <c r="A9" s="116" t="s">
        <v>508</v>
      </c>
      <c r="B9" s="117" t="s">
        <v>509</v>
      </c>
    </row>
    <row r="10" spans="1:2" ht="15" customHeight="1">
      <c r="A10" s="118"/>
      <c r="B10" s="118"/>
    </row>
    <row r="11" spans="1:2" ht="15" customHeight="1">
      <c r="A11" s="119"/>
      <c r="B11" s="119"/>
    </row>
    <row r="12" spans="1:2" ht="15" customHeight="1">
      <c r="A12" s="152" t="s">
        <v>510</v>
      </c>
      <c r="B12" s="152"/>
    </row>
    <row r="13" spans="1:2" ht="15" customHeight="1">
      <c r="A13" s="151" t="s">
        <v>89</v>
      </c>
      <c r="B13" s="151"/>
    </row>
    <row r="14" spans="1:2" ht="15" customHeight="1">
      <c r="A14" s="114" t="s">
        <v>497</v>
      </c>
      <c r="B14" s="114" t="s">
        <v>498</v>
      </c>
    </row>
    <row r="15" spans="1:2" ht="15" customHeight="1">
      <c r="A15" s="115" t="s">
        <v>499</v>
      </c>
      <c r="B15" s="115" t="s">
        <v>500</v>
      </c>
    </row>
    <row r="16" spans="1:2" ht="15" customHeight="1">
      <c r="A16" s="120" t="s">
        <v>77</v>
      </c>
      <c r="B16" s="121" t="s">
        <v>511</v>
      </c>
    </row>
    <row r="17" spans="1:6" ht="15" customHeight="1">
      <c r="A17" s="120" t="s">
        <v>78</v>
      </c>
      <c r="B17" s="121" t="s">
        <v>512</v>
      </c>
    </row>
    <row r="18" spans="1:6" ht="15" customHeight="1">
      <c r="A18" s="120" t="s">
        <v>79</v>
      </c>
      <c r="B18" s="121" t="s">
        <v>513</v>
      </c>
    </row>
    <row r="19" spans="1:6" ht="15" customHeight="1">
      <c r="A19" s="118"/>
      <c r="B19" s="118"/>
    </row>
    <row r="20" spans="1:6" ht="15" customHeight="1">
      <c r="A20" s="152" t="s">
        <v>514</v>
      </c>
      <c r="B20" s="152"/>
      <c r="F20" s="106" t="s">
        <v>60</v>
      </c>
    </row>
    <row r="21" spans="1:6" ht="15" customHeight="1">
      <c r="A21" s="151" t="s">
        <v>90</v>
      </c>
      <c r="B21" s="151"/>
      <c r="F21" s="106" t="s">
        <v>61</v>
      </c>
    </row>
    <row r="22" spans="1:6" ht="15" customHeight="1">
      <c r="A22" s="114" t="s">
        <v>497</v>
      </c>
      <c r="B22" s="114" t="s">
        <v>498</v>
      </c>
      <c r="F22" s="106" t="s">
        <v>64</v>
      </c>
    </row>
    <row r="23" spans="1:6" ht="15" customHeight="1">
      <c r="A23" s="115" t="s">
        <v>499</v>
      </c>
      <c r="B23" s="115" t="s">
        <v>500</v>
      </c>
      <c r="F23" s="106" t="s">
        <v>62</v>
      </c>
    </row>
    <row r="24" spans="1:6" ht="15" customHeight="1">
      <c r="A24" s="120" t="s">
        <v>515</v>
      </c>
      <c r="B24" s="121" t="s">
        <v>516</v>
      </c>
      <c r="F24" s="106" t="s">
        <v>80</v>
      </c>
    </row>
    <row r="25" spans="1:6" ht="15" customHeight="1">
      <c r="A25" s="120" t="s">
        <v>104</v>
      </c>
      <c r="B25" s="121" t="s">
        <v>517</v>
      </c>
      <c r="F25" s="122" t="s">
        <v>81</v>
      </c>
    </row>
    <row r="26" spans="1:6" ht="15" customHeight="1">
      <c r="A26" s="119"/>
      <c r="B26" s="119"/>
    </row>
    <row r="27" spans="1:6" ht="15" customHeight="1">
      <c r="A27" s="152" t="s">
        <v>518</v>
      </c>
      <c r="B27" s="152"/>
    </row>
    <row r="28" spans="1:6" ht="15" customHeight="1">
      <c r="A28" s="151" t="s">
        <v>519</v>
      </c>
      <c r="B28" s="151"/>
    </row>
    <row r="29" spans="1:6" ht="15" customHeight="1">
      <c r="A29" s="114" t="s">
        <v>497</v>
      </c>
      <c r="B29" s="114" t="s">
        <v>498</v>
      </c>
    </row>
    <row r="30" spans="1:6" ht="15" customHeight="1">
      <c r="A30" s="115" t="s">
        <v>499</v>
      </c>
      <c r="B30" s="115" t="s">
        <v>500</v>
      </c>
    </row>
    <row r="31" spans="1:6" ht="15" customHeight="1">
      <c r="A31" s="123" t="s">
        <v>64</v>
      </c>
      <c r="B31" s="121" t="s">
        <v>520</v>
      </c>
    </row>
    <row r="32" spans="1:6" ht="15" customHeight="1">
      <c r="A32" s="124" t="s">
        <v>60</v>
      </c>
      <c r="B32" s="121" t="s">
        <v>521</v>
      </c>
    </row>
    <row r="33" spans="1:2" ht="15" customHeight="1">
      <c r="A33" s="125" t="s">
        <v>61</v>
      </c>
      <c r="B33" s="121" t="s">
        <v>522</v>
      </c>
    </row>
    <row r="34" spans="1:2" ht="15" customHeight="1">
      <c r="A34" s="153" t="s">
        <v>80</v>
      </c>
      <c r="B34" s="121" t="s">
        <v>80</v>
      </c>
    </row>
    <row r="35" spans="1:2" ht="30.75" customHeight="1">
      <c r="A35" s="153"/>
      <c r="B35" s="126" t="s">
        <v>523</v>
      </c>
    </row>
    <row r="36" spans="1:2" ht="15" customHeight="1">
      <c r="A36" s="127" t="s">
        <v>81</v>
      </c>
      <c r="B36" s="121" t="s">
        <v>524</v>
      </c>
    </row>
    <row r="37" spans="1:2" ht="15" customHeight="1">
      <c r="A37" s="116" t="s">
        <v>65</v>
      </c>
      <c r="B37" s="117" t="s">
        <v>525</v>
      </c>
    </row>
    <row r="38" spans="1:2" ht="15" customHeight="1">
      <c r="A38" s="116" t="s">
        <v>526</v>
      </c>
      <c r="B38" s="117" t="s">
        <v>527</v>
      </c>
    </row>
    <row r="39" spans="1:2" ht="15" customHeight="1">
      <c r="A39" s="116" t="s">
        <v>528</v>
      </c>
      <c r="B39" s="117" t="s">
        <v>529</v>
      </c>
    </row>
    <row r="40" spans="1:2" ht="15" customHeight="1">
      <c r="A40" s="119"/>
      <c r="B40" s="119"/>
    </row>
    <row r="41" spans="1:2" ht="15" customHeight="1">
      <c r="A41" s="118"/>
      <c r="B41" s="118"/>
    </row>
    <row r="42" spans="1:2" ht="15" customHeight="1">
      <c r="A42" s="118"/>
      <c r="B42" s="118"/>
    </row>
    <row r="43" spans="1:2" ht="15" customHeight="1">
      <c r="A43" s="118"/>
      <c r="B43" s="118"/>
    </row>
    <row r="44" spans="1:2" ht="15" customHeight="1">
      <c r="A44" s="118"/>
      <c r="B44" s="118"/>
    </row>
    <row r="45" spans="1:2" ht="15" customHeight="1">
      <c r="A45" s="118"/>
      <c r="B45" s="118"/>
    </row>
    <row r="46" spans="1:2" ht="15" customHeight="1">
      <c r="A46" s="118"/>
      <c r="B46" s="118"/>
    </row>
    <row r="47" spans="1:2" ht="15" customHeight="1">
      <c r="A47" s="118"/>
      <c r="B47" s="118"/>
    </row>
    <row r="48" spans="1:2" ht="15" customHeight="1">
      <c r="A48" s="118"/>
      <c r="B48" s="118"/>
    </row>
    <row r="49" spans="1:2" ht="15" customHeight="1">
      <c r="A49" s="118"/>
      <c r="B49" s="118"/>
    </row>
    <row r="50" spans="1:2" ht="15" customHeight="1">
      <c r="A50" s="118"/>
      <c r="B50" s="118"/>
    </row>
    <row r="51" spans="1:2" ht="15" customHeight="1">
      <c r="A51" s="118"/>
      <c r="B51" s="118"/>
    </row>
    <row r="52" spans="1:2" ht="15" customHeight="1">
      <c r="A52" s="118"/>
      <c r="B52" s="118"/>
    </row>
    <row r="53" spans="1:2" ht="15" customHeight="1">
      <c r="A53" s="118"/>
      <c r="B53" s="118"/>
    </row>
    <row r="54" spans="1:2" ht="15" customHeight="1">
      <c r="A54" s="118"/>
      <c r="B54" s="118"/>
    </row>
    <row r="55" spans="1:2" ht="15" customHeight="1">
      <c r="A55" s="118"/>
      <c r="B55" s="118"/>
    </row>
    <row r="56" spans="1:2" ht="15" customHeight="1">
      <c r="A56" s="118"/>
      <c r="B56" s="118"/>
    </row>
    <row r="57" spans="1:2" ht="15" customHeight="1">
      <c r="A57" s="118"/>
      <c r="B57" s="118"/>
    </row>
    <row r="58" spans="1:2" ht="15" customHeight="1">
      <c r="A58" s="118"/>
      <c r="B58" s="118"/>
    </row>
    <row r="59" spans="1:2" ht="15" customHeight="1">
      <c r="A59" s="118"/>
      <c r="B59" s="118"/>
    </row>
    <row r="60" spans="1:2" ht="15" customHeight="1">
      <c r="A60" s="118"/>
      <c r="B60" s="118"/>
    </row>
    <row r="61" spans="1:2" ht="15" customHeight="1">
      <c r="A61" s="118"/>
      <c r="B61" s="118"/>
    </row>
    <row r="62" spans="1:2" ht="15" customHeight="1">
      <c r="A62" s="118"/>
      <c r="B62" s="118"/>
    </row>
    <row r="63" spans="1:2" ht="15" customHeight="1">
      <c r="A63" s="118"/>
      <c r="B63" s="118"/>
    </row>
    <row r="64" spans="1:2" ht="15" customHeight="1">
      <c r="A64" s="118"/>
      <c r="B64" s="118"/>
    </row>
    <row r="65" spans="1:2" ht="15" customHeight="1">
      <c r="A65" s="118"/>
      <c r="B65" s="118"/>
    </row>
    <row r="66" spans="1:2" ht="15" customHeight="1">
      <c r="A66" s="118"/>
      <c r="B66" s="118"/>
    </row>
    <row r="67" spans="1:2" ht="15" customHeight="1">
      <c r="A67" s="118"/>
      <c r="B67" s="118"/>
    </row>
    <row r="68" spans="1:2" ht="15" customHeight="1">
      <c r="A68" s="118"/>
      <c r="B68" s="118"/>
    </row>
    <row r="69" spans="1:2" ht="15" customHeight="1">
      <c r="A69" s="118"/>
      <c r="B69" s="118"/>
    </row>
    <row r="70" spans="1:2" ht="15" customHeight="1">
      <c r="A70" s="118"/>
      <c r="B70" s="118"/>
    </row>
    <row r="71" spans="1:2" ht="15" customHeight="1">
      <c r="A71" s="118"/>
      <c r="B71" s="118"/>
    </row>
    <row r="72" spans="1:2" ht="15" customHeight="1">
      <c r="A72" s="118"/>
      <c r="B72" s="118"/>
    </row>
    <row r="73" spans="1:2" ht="15" customHeight="1">
      <c r="A73" s="118"/>
      <c r="B73" s="118"/>
    </row>
    <row r="74" spans="1:2" ht="15" customHeight="1">
      <c r="A74" s="118"/>
      <c r="B74" s="118"/>
    </row>
    <row r="75" spans="1:2" ht="15" customHeight="1">
      <c r="A75" s="118"/>
      <c r="B75" s="118"/>
    </row>
    <row r="76" spans="1:2" ht="15" customHeight="1">
      <c r="A76" s="118"/>
      <c r="B76" s="118"/>
    </row>
    <row r="77" spans="1:2" ht="15" customHeight="1">
      <c r="A77" s="118"/>
      <c r="B77" s="118"/>
    </row>
    <row r="78" spans="1:2" ht="15" customHeight="1">
      <c r="A78" s="118"/>
      <c r="B78" s="118"/>
    </row>
    <row r="79" spans="1:2" ht="15" customHeight="1">
      <c r="A79" s="118"/>
      <c r="B79" s="118"/>
    </row>
    <row r="80" spans="1:2" ht="15" customHeight="1">
      <c r="A80" s="118"/>
      <c r="B80" s="118"/>
    </row>
    <row r="81" spans="1:2" ht="15" customHeight="1">
      <c r="A81" s="118"/>
      <c r="B81" s="118"/>
    </row>
    <row r="82" spans="1:2" ht="15" customHeight="1">
      <c r="A82" s="118"/>
      <c r="B82" s="118"/>
    </row>
    <row r="83" spans="1:2" ht="15" customHeight="1">
      <c r="A83" s="118"/>
      <c r="B83" s="118"/>
    </row>
    <row r="84" spans="1:2" ht="15" customHeight="1">
      <c r="A84" s="118"/>
      <c r="B84" s="118"/>
    </row>
    <row r="85" spans="1:2" ht="15" customHeight="1">
      <c r="A85" s="118"/>
      <c r="B85" s="118"/>
    </row>
    <row r="86" spans="1:2" ht="15" customHeight="1">
      <c r="A86" s="118"/>
      <c r="B86" s="118"/>
    </row>
    <row r="87" spans="1:2" ht="15" customHeight="1">
      <c r="A87" s="118"/>
      <c r="B87" s="118"/>
    </row>
    <row r="88" spans="1:2" ht="15" customHeight="1">
      <c r="A88" s="118"/>
      <c r="B88" s="118"/>
    </row>
    <row r="89" spans="1:2" ht="15" customHeight="1">
      <c r="A89" s="118"/>
      <c r="B89" s="118"/>
    </row>
    <row r="90" spans="1:2" ht="15" customHeight="1">
      <c r="A90" s="118"/>
      <c r="B90" s="118"/>
    </row>
    <row r="91" spans="1:2" ht="15" customHeight="1">
      <c r="A91" s="118"/>
      <c r="B91" s="118"/>
    </row>
    <row r="92" spans="1:2" ht="15" customHeight="1">
      <c r="A92" s="118"/>
      <c r="B92" s="118"/>
    </row>
    <row r="93" spans="1:2" ht="15" customHeight="1">
      <c r="A93" s="118"/>
      <c r="B93" s="118"/>
    </row>
    <row r="94" spans="1:2" ht="15" customHeight="1">
      <c r="A94" s="118"/>
      <c r="B94" s="118"/>
    </row>
    <row r="95" spans="1:2" ht="15" customHeight="1">
      <c r="A95" s="118"/>
      <c r="B95" s="118"/>
    </row>
    <row r="96" spans="1:2" ht="15" customHeight="1">
      <c r="A96" s="118"/>
      <c r="B96" s="118"/>
    </row>
    <row r="97" spans="1:2" ht="15" customHeight="1">
      <c r="A97" s="118"/>
      <c r="B97" s="118"/>
    </row>
    <row r="98" spans="1:2" ht="15" customHeight="1">
      <c r="A98" s="118"/>
      <c r="B98" s="118"/>
    </row>
    <row r="99" spans="1:2" ht="15" customHeight="1">
      <c r="A99" s="118"/>
      <c r="B99" s="118"/>
    </row>
    <row r="100" spans="1:2" ht="15" customHeight="1">
      <c r="A100" s="118"/>
      <c r="B100" s="118"/>
    </row>
    <row r="101" spans="1:2" ht="15" customHeight="1">
      <c r="A101" s="118"/>
      <c r="B101" s="118"/>
    </row>
    <row r="102" spans="1:2" ht="15" customHeight="1">
      <c r="A102" s="118"/>
      <c r="B102" s="118"/>
    </row>
    <row r="103" spans="1:2" ht="15" customHeight="1">
      <c r="A103" s="118"/>
      <c r="B103" s="118"/>
    </row>
    <row r="104" spans="1:2" ht="15" customHeight="1">
      <c r="A104" s="118"/>
      <c r="B104" s="118"/>
    </row>
    <row r="105" spans="1:2" ht="15" customHeight="1">
      <c r="A105" s="118"/>
      <c r="B105" s="118"/>
    </row>
    <row r="106" spans="1:2" ht="15" customHeight="1">
      <c r="A106" s="118"/>
      <c r="B106" s="118"/>
    </row>
    <row r="107" spans="1:2" ht="15" customHeight="1">
      <c r="A107" s="118"/>
      <c r="B107" s="118"/>
    </row>
    <row r="108" spans="1:2" ht="15" customHeight="1">
      <c r="A108" s="118"/>
      <c r="B108" s="118"/>
    </row>
    <row r="109" spans="1:2" ht="15" customHeight="1">
      <c r="A109" s="118"/>
      <c r="B109" s="118"/>
    </row>
    <row r="110" spans="1:2" ht="15" customHeight="1">
      <c r="A110" s="118"/>
      <c r="B110" s="118"/>
    </row>
    <row r="111" spans="1:2" ht="15" customHeight="1">
      <c r="A111" s="118"/>
      <c r="B111" s="118"/>
    </row>
    <row r="112" spans="1:2" ht="15" customHeight="1">
      <c r="A112" s="118"/>
      <c r="B112" s="118"/>
    </row>
    <row r="113" spans="1:2" ht="15" customHeight="1">
      <c r="A113" s="118"/>
      <c r="B113" s="118"/>
    </row>
    <row r="114" spans="1:2" ht="15" customHeight="1">
      <c r="A114" s="118"/>
      <c r="B114" s="118"/>
    </row>
    <row r="115" spans="1:2" ht="15" customHeight="1">
      <c r="A115" s="118"/>
      <c r="B115" s="118"/>
    </row>
    <row r="116" spans="1:2" ht="15" customHeight="1">
      <c r="A116" s="118"/>
      <c r="B116" s="118"/>
    </row>
    <row r="117" spans="1:2" ht="15" customHeight="1">
      <c r="A117" s="118"/>
      <c r="B117" s="118"/>
    </row>
    <row r="118" spans="1:2" ht="15" customHeight="1">
      <c r="A118" s="118"/>
      <c r="B118" s="118"/>
    </row>
    <row r="119" spans="1:2" ht="15" customHeight="1">
      <c r="A119" s="118"/>
      <c r="B119" s="118"/>
    </row>
    <row r="120" spans="1:2" ht="15" customHeight="1">
      <c r="A120" s="118"/>
      <c r="B120" s="118"/>
    </row>
    <row r="121" spans="1:2" ht="15" customHeight="1">
      <c r="A121" s="118"/>
      <c r="B121" s="118"/>
    </row>
    <row r="122" spans="1:2" ht="15" customHeight="1">
      <c r="A122" s="118"/>
      <c r="B122" s="118"/>
    </row>
    <row r="123" spans="1:2" ht="15" customHeight="1">
      <c r="A123" s="118"/>
      <c r="B123" s="118"/>
    </row>
    <row r="124" spans="1:2" ht="15" customHeight="1">
      <c r="A124" s="118"/>
      <c r="B124" s="118"/>
    </row>
    <row r="125" spans="1:2" ht="15" customHeight="1">
      <c r="A125" s="118"/>
      <c r="B125" s="118"/>
    </row>
    <row r="126" spans="1:2" ht="15" customHeight="1">
      <c r="A126" s="118"/>
      <c r="B126" s="118"/>
    </row>
    <row r="127" spans="1:2" ht="15" customHeight="1">
      <c r="A127" s="118"/>
      <c r="B127" s="118"/>
    </row>
    <row r="128" spans="1:2" ht="15" customHeight="1">
      <c r="A128" s="118"/>
      <c r="B128" s="118"/>
    </row>
    <row r="129" spans="1:2" ht="15" customHeight="1">
      <c r="A129" s="118"/>
      <c r="B129" s="118"/>
    </row>
    <row r="130" spans="1:2" ht="15" customHeight="1">
      <c r="A130" s="118"/>
      <c r="B130" s="118"/>
    </row>
    <row r="131" spans="1:2" ht="15" customHeight="1">
      <c r="A131" s="118"/>
      <c r="B131" s="118"/>
    </row>
    <row r="132" spans="1:2" ht="15" customHeight="1">
      <c r="A132" s="118"/>
      <c r="B132" s="118"/>
    </row>
    <row r="133" spans="1:2" ht="15" customHeight="1">
      <c r="A133" s="118"/>
      <c r="B133" s="118"/>
    </row>
    <row r="134" spans="1:2" ht="15" customHeight="1">
      <c r="A134" s="118"/>
      <c r="B134" s="118"/>
    </row>
    <row r="135" spans="1:2" ht="15" customHeight="1">
      <c r="A135" s="118"/>
      <c r="B135" s="118"/>
    </row>
    <row r="136" spans="1:2" ht="15" customHeight="1">
      <c r="A136" s="118"/>
      <c r="B136" s="118"/>
    </row>
    <row r="137" spans="1:2" ht="15" customHeight="1">
      <c r="A137" s="118"/>
      <c r="B137" s="118"/>
    </row>
    <row r="138" spans="1:2" ht="15" customHeight="1">
      <c r="A138" s="118"/>
      <c r="B138" s="118"/>
    </row>
    <row r="139" spans="1:2" ht="15" customHeight="1">
      <c r="A139" s="118"/>
      <c r="B139" s="118"/>
    </row>
    <row r="140" spans="1:2" ht="15" customHeight="1">
      <c r="A140" s="118"/>
      <c r="B140" s="118"/>
    </row>
    <row r="141" spans="1:2" ht="15" customHeight="1">
      <c r="A141" s="118"/>
      <c r="B141" s="118"/>
    </row>
    <row r="142" spans="1:2" ht="15" customHeight="1">
      <c r="A142" s="118"/>
      <c r="B142" s="118"/>
    </row>
    <row r="143" spans="1:2" ht="15" customHeight="1">
      <c r="A143" s="118"/>
      <c r="B143" s="118"/>
    </row>
    <row r="144" spans="1:2" ht="15" customHeight="1">
      <c r="A144" s="118"/>
      <c r="B144" s="118"/>
    </row>
    <row r="145" spans="1:2" ht="15" customHeight="1">
      <c r="A145" s="118"/>
      <c r="B145" s="118"/>
    </row>
    <row r="146" spans="1:2" ht="15" customHeight="1">
      <c r="A146" s="118"/>
      <c r="B146" s="118"/>
    </row>
    <row r="147" spans="1:2" ht="15" customHeight="1">
      <c r="A147" s="118"/>
      <c r="B147" s="118"/>
    </row>
    <row r="148" spans="1:2" ht="15" customHeight="1">
      <c r="A148" s="118"/>
      <c r="B148" s="118"/>
    </row>
    <row r="149" spans="1:2" ht="15" customHeight="1">
      <c r="A149" s="118"/>
      <c r="B149" s="118"/>
    </row>
    <row r="150" spans="1:2" ht="15" customHeight="1">
      <c r="A150" s="118"/>
      <c r="B150" s="118"/>
    </row>
    <row r="151" spans="1:2" ht="15" customHeight="1">
      <c r="A151" s="118"/>
      <c r="B151" s="118"/>
    </row>
    <row r="152" spans="1:2" ht="15" customHeight="1">
      <c r="A152" s="118"/>
      <c r="B152" s="118"/>
    </row>
    <row r="153" spans="1:2" ht="15" customHeight="1">
      <c r="A153" s="118"/>
      <c r="B153" s="118"/>
    </row>
    <row r="154" spans="1:2" ht="15" customHeight="1">
      <c r="A154" s="118"/>
      <c r="B154" s="118"/>
    </row>
    <row r="155" spans="1:2" ht="15" customHeight="1">
      <c r="A155" s="118"/>
      <c r="B155" s="118"/>
    </row>
    <row r="156" spans="1:2" ht="15" customHeight="1">
      <c r="A156" s="118"/>
      <c r="B156" s="118"/>
    </row>
    <row r="157" spans="1:2" ht="15" customHeight="1">
      <c r="A157" s="118"/>
      <c r="B157" s="118"/>
    </row>
    <row r="158" spans="1:2" ht="15" customHeight="1">
      <c r="A158" s="118"/>
      <c r="B158" s="118"/>
    </row>
    <row r="159" spans="1:2" ht="15" customHeight="1">
      <c r="A159" s="118"/>
      <c r="B159" s="118"/>
    </row>
    <row r="160" spans="1:2" ht="15" customHeight="1">
      <c r="A160" s="118"/>
      <c r="B160" s="118"/>
    </row>
    <row r="161" spans="1:2" ht="15" customHeight="1">
      <c r="A161" s="118"/>
      <c r="B161" s="118"/>
    </row>
    <row r="162" spans="1:2" ht="15" customHeight="1">
      <c r="A162" s="118"/>
      <c r="B162" s="118"/>
    </row>
    <row r="163" spans="1:2" ht="15" customHeight="1">
      <c r="A163" s="118"/>
      <c r="B163" s="118"/>
    </row>
    <row r="164" spans="1:2" ht="15" customHeight="1">
      <c r="A164" s="118"/>
      <c r="B164" s="118"/>
    </row>
    <row r="165" spans="1:2" ht="15" customHeight="1">
      <c r="A165" s="118"/>
      <c r="B165" s="118"/>
    </row>
    <row r="166" spans="1:2" ht="15" customHeight="1">
      <c r="A166" s="118"/>
      <c r="B166" s="118"/>
    </row>
    <row r="167" spans="1:2" ht="15" customHeight="1">
      <c r="A167" s="118"/>
      <c r="B167" s="118"/>
    </row>
    <row r="168" spans="1:2" ht="15" customHeight="1">
      <c r="A168" s="118"/>
      <c r="B168" s="118"/>
    </row>
    <row r="169" spans="1:2" ht="15" customHeight="1">
      <c r="A169" s="118"/>
      <c r="B169" s="118"/>
    </row>
    <row r="170" spans="1:2" ht="15" customHeight="1">
      <c r="A170" s="118"/>
      <c r="B170" s="118"/>
    </row>
    <row r="171" spans="1:2" ht="15" customHeight="1">
      <c r="A171" s="118"/>
      <c r="B171" s="118"/>
    </row>
    <row r="172" spans="1:2" ht="15" customHeight="1">
      <c r="A172" s="118"/>
      <c r="B172" s="118"/>
    </row>
    <row r="173" spans="1:2" ht="15" customHeight="1">
      <c r="A173" s="118"/>
      <c r="B173" s="118"/>
    </row>
    <row r="174" spans="1:2" ht="15" customHeight="1">
      <c r="A174" s="118"/>
      <c r="B174" s="118"/>
    </row>
    <row r="175" spans="1:2" ht="15" customHeight="1">
      <c r="A175" s="118"/>
      <c r="B175" s="118"/>
    </row>
    <row r="176" spans="1:2" ht="15" customHeight="1">
      <c r="A176" s="118"/>
      <c r="B176" s="118"/>
    </row>
    <row r="177" spans="1:2" ht="15" customHeight="1">
      <c r="A177" s="118"/>
      <c r="B177" s="118"/>
    </row>
    <row r="178" spans="1:2" ht="15" customHeight="1">
      <c r="A178" s="118"/>
      <c r="B178" s="118"/>
    </row>
    <row r="179" spans="1:2" ht="15" customHeight="1">
      <c r="A179" s="118"/>
      <c r="B179" s="118"/>
    </row>
    <row r="180" spans="1:2" ht="15" customHeight="1">
      <c r="A180" s="118"/>
      <c r="B180" s="118"/>
    </row>
    <row r="181" spans="1:2" ht="15" customHeight="1">
      <c r="A181" s="118"/>
      <c r="B181" s="118"/>
    </row>
    <row r="182" spans="1:2" ht="15" customHeight="1">
      <c r="A182" s="118"/>
      <c r="B182" s="118"/>
    </row>
    <row r="183" spans="1:2" ht="15" customHeight="1">
      <c r="A183" s="118"/>
      <c r="B183" s="118"/>
    </row>
    <row r="184" spans="1:2" ht="15" customHeight="1">
      <c r="A184" s="118"/>
      <c r="B184" s="118"/>
    </row>
    <row r="185" spans="1:2" ht="15" customHeight="1">
      <c r="A185" s="118"/>
      <c r="B185" s="118"/>
    </row>
    <row r="186" spans="1:2" ht="15" customHeight="1">
      <c r="A186" s="118"/>
      <c r="B186" s="118"/>
    </row>
    <row r="187" spans="1:2" ht="15" customHeight="1">
      <c r="A187" s="118"/>
      <c r="B187" s="118"/>
    </row>
    <row r="188" spans="1:2" ht="15" customHeight="1">
      <c r="A188" s="118"/>
      <c r="B188" s="118"/>
    </row>
    <row r="189" spans="1:2" ht="15" customHeight="1">
      <c r="A189" s="118"/>
      <c r="B189" s="118"/>
    </row>
    <row r="190" spans="1:2" ht="15" customHeight="1">
      <c r="A190" s="118"/>
      <c r="B190" s="118"/>
    </row>
    <row r="191" spans="1:2" ht="15" customHeight="1">
      <c r="A191" s="118"/>
      <c r="B191" s="118"/>
    </row>
    <row r="192" spans="1:2" ht="15" customHeight="1">
      <c r="A192" s="118"/>
      <c r="B192" s="118"/>
    </row>
    <row r="193" spans="1:2" ht="15" customHeight="1">
      <c r="A193" s="118"/>
      <c r="B193" s="118"/>
    </row>
    <row r="194" spans="1:2" ht="15" customHeight="1">
      <c r="A194" s="118"/>
      <c r="B194" s="118"/>
    </row>
    <row r="195" spans="1:2" ht="15" customHeight="1">
      <c r="A195" s="118"/>
      <c r="B195" s="118"/>
    </row>
    <row r="196" spans="1:2" ht="15" customHeight="1">
      <c r="A196" s="118"/>
      <c r="B196" s="118"/>
    </row>
    <row r="197" spans="1:2" ht="15" customHeight="1">
      <c r="A197" s="118"/>
      <c r="B197" s="118"/>
    </row>
    <row r="198" spans="1:2" ht="15" customHeight="1">
      <c r="A198" s="118"/>
      <c r="B198" s="118"/>
    </row>
    <row r="199" spans="1:2" ht="15" customHeight="1">
      <c r="A199" s="118"/>
      <c r="B199" s="118"/>
    </row>
    <row r="200" spans="1:2" ht="15" customHeight="1">
      <c r="A200" s="118"/>
      <c r="B200" s="118"/>
    </row>
    <row r="201" spans="1:2" ht="15" customHeight="1">
      <c r="A201" s="118"/>
      <c r="B201" s="118"/>
    </row>
    <row r="202" spans="1:2" ht="15" customHeight="1">
      <c r="A202" s="118"/>
      <c r="B202" s="118"/>
    </row>
    <row r="203" spans="1:2" ht="15" customHeight="1">
      <c r="A203" s="118"/>
      <c r="B203" s="118"/>
    </row>
    <row r="204" spans="1:2" ht="15" customHeight="1">
      <c r="A204" s="118"/>
      <c r="B204" s="118"/>
    </row>
    <row r="205" spans="1:2" ht="15" customHeight="1">
      <c r="A205" s="118"/>
      <c r="B205" s="118"/>
    </row>
    <row r="206" spans="1:2" ht="15" customHeight="1">
      <c r="A206" s="118"/>
      <c r="B206" s="118"/>
    </row>
    <row r="207" spans="1:2" ht="15" customHeight="1">
      <c r="A207" s="118"/>
      <c r="B207" s="118"/>
    </row>
    <row r="208" spans="1:2" ht="15" customHeight="1">
      <c r="A208" s="118"/>
      <c r="B208" s="118"/>
    </row>
    <row r="209" spans="1:2" ht="15" customHeight="1">
      <c r="A209" s="118"/>
      <c r="B209" s="118"/>
    </row>
    <row r="210" spans="1:2" ht="15" customHeight="1">
      <c r="A210" s="118"/>
      <c r="B210" s="118"/>
    </row>
    <row r="211" spans="1:2" ht="15" customHeight="1">
      <c r="A211" s="118"/>
      <c r="B211" s="118"/>
    </row>
    <row r="212" spans="1:2" ht="15" customHeight="1">
      <c r="A212" s="118"/>
      <c r="B212" s="118"/>
    </row>
    <row r="213" spans="1:2" ht="15" customHeight="1">
      <c r="A213" s="118"/>
      <c r="B213" s="118"/>
    </row>
    <row r="214" spans="1:2" ht="15" customHeight="1">
      <c r="A214" s="118"/>
      <c r="B214" s="118"/>
    </row>
    <row r="215" spans="1:2" ht="15" customHeight="1">
      <c r="A215" s="118"/>
      <c r="B215" s="118"/>
    </row>
    <row r="216" spans="1:2" ht="15" customHeight="1">
      <c r="A216" s="118"/>
      <c r="B216" s="118"/>
    </row>
    <row r="217" spans="1:2" ht="15" customHeight="1">
      <c r="A217" s="118"/>
      <c r="B217" s="118"/>
    </row>
    <row r="218" spans="1:2" ht="15" customHeight="1">
      <c r="A218" s="118"/>
      <c r="B218" s="118"/>
    </row>
    <row r="219" spans="1:2" ht="15" customHeight="1">
      <c r="A219" s="118"/>
      <c r="B219" s="118"/>
    </row>
    <row r="220" spans="1:2" ht="15" customHeight="1">
      <c r="A220" s="118"/>
      <c r="B220" s="118"/>
    </row>
    <row r="221" spans="1:2" ht="15" customHeight="1">
      <c r="A221" s="118"/>
      <c r="B221" s="118"/>
    </row>
    <row r="222" spans="1:2" ht="15" customHeight="1">
      <c r="A222" s="118"/>
      <c r="B222" s="118"/>
    </row>
    <row r="223" spans="1:2" ht="15" customHeight="1">
      <c r="A223" s="118"/>
      <c r="B223" s="118"/>
    </row>
    <row r="224" spans="1:2" ht="15" customHeight="1">
      <c r="A224" s="118"/>
      <c r="B224" s="118"/>
    </row>
    <row r="225" spans="1:2" ht="15" customHeight="1">
      <c r="A225" s="118"/>
      <c r="B225" s="118"/>
    </row>
    <row r="226" spans="1:2" ht="15" customHeight="1">
      <c r="A226" s="118"/>
      <c r="B226" s="118"/>
    </row>
    <row r="227" spans="1:2" ht="15" customHeight="1">
      <c r="A227" s="118"/>
      <c r="B227" s="118"/>
    </row>
    <row r="228" spans="1:2" ht="15" customHeight="1">
      <c r="A228" s="118"/>
      <c r="B228" s="118"/>
    </row>
    <row r="229" spans="1:2" ht="15" customHeight="1">
      <c r="A229" s="118"/>
      <c r="B229" s="118"/>
    </row>
    <row r="230" spans="1:2" ht="15" customHeight="1">
      <c r="A230" s="118"/>
      <c r="B230" s="118"/>
    </row>
    <row r="231" spans="1:2" ht="15" customHeight="1">
      <c r="A231" s="118"/>
      <c r="B231" s="118"/>
    </row>
    <row r="232" spans="1:2" ht="15" customHeight="1">
      <c r="A232" s="118"/>
      <c r="B232" s="118"/>
    </row>
    <row r="233" spans="1:2" ht="15" customHeight="1">
      <c r="A233" s="118"/>
      <c r="B233" s="118"/>
    </row>
    <row r="234" spans="1:2" ht="15" customHeight="1">
      <c r="A234" s="118"/>
      <c r="B234" s="118"/>
    </row>
    <row r="235" spans="1:2" ht="15" customHeight="1">
      <c r="A235" s="118"/>
      <c r="B235" s="118"/>
    </row>
    <row r="236" spans="1:2" ht="15" customHeight="1">
      <c r="A236" s="118"/>
      <c r="B236" s="118"/>
    </row>
    <row r="237" spans="1:2" ht="15" customHeight="1">
      <c r="A237" s="118"/>
      <c r="B237" s="118"/>
    </row>
    <row r="238" spans="1:2" ht="15" customHeight="1">
      <c r="A238" s="118"/>
      <c r="B238" s="118"/>
    </row>
    <row r="239" spans="1:2" ht="15" customHeight="1">
      <c r="A239" s="118"/>
      <c r="B239" s="118"/>
    </row>
    <row r="240" spans="1:2" ht="15" customHeight="1">
      <c r="A240" s="118"/>
      <c r="B240" s="118"/>
    </row>
    <row r="241" spans="1:2" ht="15" customHeight="1">
      <c r="A241" s="118"/>
      <c r="B241" s="118"/>
    </row>
    <row r="242" spans="1:2" ht="15" customHeight="1">
      <c r="A242" s="118"/>
      <c r="B242" s="118"/>
    </row>
    <row r="243" spans="1:2" ht="15" customHeight="1">
      <c r="A243" s="118"/>
      <c r="B243" s="118"/>
    </row>
    <row r="244" spans="1:2" ht="15" customHeight="1">
      <c r="A244" s="118"/>
      <c r="B244" s="118"/>
    </row>
    <row r="245" spans="1:2" ht="15" customHeight="1">
      <c r="A245" s="118"/>
      <c r="B245" s="118"/>
    </row>
    <row r="246" spans="1:2" ht="15" customHeight="1">
      <c r="A246" s="118"/>
      <c r="B246" s="118"/>
    </row>
    <row r="247" spans="1:2" ht="15" customHeight="1">
      <c r="A247" s="118"/>
      <c r="B247" s="118"/>
    </row>
    <row r="248" spans="1:2" ht="15" customHeight="1">
      <c r="A248" s="118"/>
      <c r="B248" s="118"/>
    </row>
    <row r="249" spans="1:2" ht="15" customHeight="1">
      <c r="A249" s="118"/>
      <c r="B249" s="118"/>
    </row>
    <row r="250" spans="1:2" ht="15" customHeight="1">
      <c r="A250" s="118"/>
      <c r="B250" s="118"/>
    </row>
    <row r="251" spans="1:2" ht="15" customHeight="1">
      <c r="A251" s="118"/>
      <c r="B251" s="118"/>
    </row>
    <row r="252" spans="1:2" ht="15" customHeight="1">
      <c r="A252" s="118"/>
      <c r="B252" s="118"/>
    </row>
    <row r="253" spans="1:2" ht="15" customHeight="1">
      <c r="A253" s="118"/>
      <c r="B253" s="118"/>
    </row>
    <row r="254" spans="1:2" ht="15" customHeight="1">
      <c r="A254" s="118"/>
      <c r="B254" s="118"/>
    </row>
    <row r="255" spans="1:2" ht="15" customHeight="1">
      <c r="A255" s="118"/>
      <c r="B255" s="118"/>
    </row>
    <row r="256" spans="1:2" ht="15" customHeight="1">
      <c r="A256" s="118"/>
      <c r="B256" s="118"/>
    </row>
    <row r="257" spans="1:2" ht="15" customHeight="1">
      <c r="A257" s="118"/>
      <c r="B257" s="118"/>
    </row>
    <row r="258" spans="1:2" ht="15" customHeight="1">
      <c r="A258" s="118"/>
      <c r="B258" s="118"/>
    </row>
    <row r="259" spans="1:2" ht="15" customHeight="1">
      <c r="A259" s="118"/>
      <c r="B259" s="118"/>
    </row>
    <row r="260" spans="1:2" ht="15" customHeight="1">
      <c r="A260" s="118"/>
      <c r="B260" s="118"/>
    </row>
    <row r="261" spans="1:2" ht="15" customHeight="1">
      <c r="A261" s="118"/>
      <c r="B261" s="118"/>
    </row>
    <row r="262" spans="1:2" ht="15" customHeight="1">
      <c r="A262" s="118"/>
      <c r="B262" s="118"/>
    </row>
    <row r="263" spans="1:2" ht="15" customHeight="1">
      <c r="A263" s="118"/>
      <c r="B263" s="118"/>
    </row>
    <row r="264" spans="1:2" ht="15" customHeight="1">
      <c r="A264" s="118"/>
      <c r="B264" s="118"/>
    </row>
    <row r="265" spans="1:2" ht="15" customHeight="1">
      <c r="A265" s="118"/>
      <c r="B265" s="118"/>
    </row>
    <row r="266" spans="1:2" ht="15" customHeight="1">
      <c r="A266" s="118"/>
      <c r="B266" s="118"/>
    </row>
    <row r="267" spans="1:2" ht="15" customHeight="1">
      <c r="A267" s="118"/>
      <c r="B267" s="118"/>
    </row>
    <row r="268" spans="1:2" ht="15" customHeight="1">
      <c r="A268" s="118"/>
      <c r="B268" s="118"/>
    </row>
    <row r="269" spans="1:2" ht="15" customHeight="1">
      <c r="A269" s="118"/>
      <c r="B269" s="118"/>
    </row>
    <row r="270" spans="1:2" ht="15" customHeight="1">
      <c r="A270" s="118"/>
      <c r="B270" s="118"/>
    </row>
    <row r="271" spans="1:2" ht="15" customHeight="1">
      <c r="A271" s="118"/>
      <c r="B271" s="118"/>
    </row>
    <row r="272" spans="1:2" ht="15" customHeight="1">
      <c r="A272" s="118"/>
      <c r="B272" s="118"/>
    </row>
    <row r="273" spans="1:2" ht="15" customHeight="1">
      <c r="A273" s="118"/>
      <c r="B273" s="118"/>
    </row>
    <row r="274" spans="1:2" ht="15" customHeight="1">
      <c r="A274" s="118"/>
      <c r="B274" s="118"/>
    </row>
    <row r="275" spans="1:2" ht="15" customHeight="1">
      <c r="A275" s="118"/>
      <c r="B275" s="118"/>
    </row>
    <row r="276" spans="1:2" ht="15" customHeight="1">
      <c r="A276" s="118"/>
      <c r="B276" s="118"/>
    </row>
    <row r="277" spans="1:2" ht="15" customHeight="1">
      <c r="A277" s="118"/>
      <c r="B277" s="118"/>
    </row>
    <row r="278" spans="1:2" ht="15" customHeight="1">
      <c r="A278" s="118"/>
      <c r="B278" s="118"/>
    </row>
    <row r="279" spans="1:2" ht="15" customHeight="1">
      <c r="A279" s="118"/>
      <c r="B279" s="118"/>
    </row>
    <row r="280" spans="1:2" ht="15" customHeight="1">
      <c r="A280" s="118"/>
      <c r="B280" s="118"/>
    </row>
    <row r="281" spans="1:2" ht="15" customHeight="1">
      <c r="A281" s="118"/>
      <c r="B281" s="118"/>
    </row>
    <row r="282" spans="1:2" ht="15" customHeight="1">
      <c r="A282" s="118"/>
      <c r="B282" s="118"/>
    </row>
    <row r="283" spans="1:2" ht="15" customHeight="1">
      <c r="A283" s="118"/>
      <c r="B283" s="118"/>
    </row>
    <row r="284" spans="1:2" ht="15" customHeight="1">
      <c r="A284" s="118"/>
      <c r="B284" s="118"/>
    </row>
    <row r="285" spans="1:2" ht="15" customHeight="1">
      <c r="A285" s="118"/>
      <c r="B285" s="118"/>
    </row>
    <row r="286" spans="1:2" ht="15" customHeight="1">
      <c r="A286" s="118"/>
      <c r="B286" s="118"/>
    </row>
    <row r="287" spans="1:2" ht="15" customHeight="1">
      <c r="A287" s="118"/>
      <c r="B287" s="118"/>
    </row>
    <row r="288" spans="1:2" ht="15" customHeight="1">
      <c r="A288" s="118"/>
      <c r="B288" s="118"/>
    </row>
    <row r="289" spans="1:2" ht="15" customHeight="1">
      <c r="A289" s="118"/>
      <c r="B289" s="118"/>
    </row>
    <row r="290" spans="1:2" ht="15" customHeight="1">
      <c r="A290" s="118"/>
      <c r="B290" s="118"/>
    </row>
    <row r="291" spans="1:2" ht="15" customHeight="1">
      <c r="A291" s="118"/>
      <c r="B291" s="118"/>
    </row>
    <row r="292" spans="1:2" ht="15" customHeight="1">
      <c r="A292" s="118"/>
      <c r="B292" s="118"/>
    </row>
    <row r="293" spans="1:2" ht="15" customHeight="1">
      <c r="A293" s="118"/>
      <c r="B293" s="118"/>
    </row>
    <row r="294" spans="1:2" ht="15" customHeight="1">
      <c r="A294" s="118"/>
      <c r="B294" s="118"/>
    </row>
    <row r="295" spans="1:2" ht="15" customHeight="1">
      <c r="A295" s="118"/>
      <c r="B295" s="118"/>
    </row>
    <row r="296" spans="1:2" ht="15" customHeight="1">
      <c r="A296" s="118"/>
      <c r="B296" s="118"/>
    </row>
    <row r="297" spans="1:2" ht="15" customHeight="1">
      <c r="A297" s="118"/>
      <c r="B297" s="118"/>
    </row>
    <row r="298" spans="1:2" ht="15" customHeight="1">
      <c r="A298" s="118"/>
      <c r="B298" s="118"/>
    </row>
    <row r="299" spans="1:2" ht="15" customHeight="1">
      <c r="A299" s="118"/>
      <c r="B299" s="118"/>
    </row>
    <row r="300" spans="1:2" ht="15" customHeight="1">
      <c r="A300" s="118"/>
      <c r="B300" s="118"/>
    </row>
    <row r="301" spans="1:2" ht="15" customHeight="1">
      <c r="A301" s="118"/>
      <c r="B301" s="118"/>
    </row>
    <row r="302" spans="1:2" ht="15" customHeight="1">
      <c r="A302" s="118"/>
      <c r="B302" s="118"/>
    </row>
    <row r="303" spans="1:2" ht="15" customHeight="1">
      <c r="A303" s="118"/>
      <c r="B303" s="118"/>
    </row>
    <row r="304" spans="1:2" ht="15" customHeight="1">
      <c r="A304" s="118"/>
      <c r="B304" s="118"/>
    </row>
    <row r="305" spans="1:2" ht="15" customHeight="1">
      <c r="A305" s="118"/>
      <c r="B305" s="118"/>
    </row>
    <row r="306" spans="1:2" ht="15" customHeight="1">
      <c r="A306" s="118"/>
      <c r="B306" s="118"/>
    </row>
    <row r="307" spans="1:2" ht="15" customHeight="1">
      <c r="A307" s="118"/>
      <c r="B307" s="118"/>
    </row>
    <row r="308" spans="1:2" ht="15" customHeight="1">
      <c r="A308" s="118"/>
      <c r="B308" s="118"/>
    </row>
    <row r="309" spans="1:2" ht="15" customHeight="1">
      <c r="A309" s="118"/>
      <c r="B309" s="118"/>
    </row>
    <row r="310" spans="1:2" ht="15" customHeight="1">
      <c r="A310" s="118"/>
      <c r="B310" s="118"/>
    </row>
    <row r="311" spans="1:2" ht="15" customHeight="1">
      <c r="A311" s="118"/>
      <c r="B311" s="118"/>
    </row>
    <row r="312" spans="1:2" ht="15" customHeight="1">
      <c r="A312" s="118"/>
      <c r="B312" s="118"/>
    </row>
    <row r="313" spans="1:2" ht="15" customHeight="1">
      <c r="A313" s="118"/>
      <c r="B313" s="118"/>
    </row>
    <row r="314" spans="1:2" ht="15" customHeight="1">
      <c r="A314" s="118"/>
      <c r="B314" s="118"/>
    </row>
    <row r="315" spans="1:2" ht="15" customHeight="1">
      <c r="A315" s="118"/>
      <c r="B315" s="118"/>
    </row>
    <row r="316" spans="1:2" ht="15" customHeight="1">
      <c r="A316" s="118"/>
      <c r="B316" s="118"/>
    </row>
    <row r="317" spans="1:2" ht="15" customHeight="1">
      <c r="A317" s="118"/>
      <c r="B317" s="118"/>
    </row>
    <row r="318" spans="1:2" ht="15" customHeight="1">
      <c r="A318" s="118"/>
      <c r="B318" s="118"/>
    </row>
    <row r="319" spans="1:2" ht="15" customHeight="1">
      <c r="A319" s="118"/>
      <c r="B319" s="118"/>
    </row>
    <row r="320" spans="1:2" ht="15" customHeight="1">
      <c r="A320" s="118"/>
      <c r="B320" s="118"/>
    </row>
    <row r="321" spans="1:2" ht="15" customHeight="1">
      <c r="A321" s="118"/>
      <c r="B321" s="118"/>
    </row>
    <row r="322" spans="1:2" ht="15" customHeight="1">
      <c r="A322" s="118"/>
      <c r="B322" s="118"/>
    </row>
    <row r="323" spans="1:2" ht="15" customHeight="1">
      <c r="A323" s="118"/>
      <c r="B323" s="118"/>
    </row>
    <row r="324" spans="1:2" ht="15" customHeight="1">
      <c r="A324" s="118"/>
      <c r="B324" s="118"/>
    </row>
    <row r="325" spans="1:2" ht="15" customHeight="1">
      <c r="A325" s="118"/>
      <c r="B325" s="118"/>
    </row>
    <row r="326" spans="1:2" ht="15" customHeight="1">
      <c r="A326" s="118"/>
      <c r="B326" s="118"/>
    </row>
    <row r="327" spans="1:2" ht="15" customHeight="1">
      <c r="A327" s="118"/>
      <c r="B327" s="118"/>
    </row>
    <row r="328" spans="1:2" ht="15" customHeight="1">
      <c r="A328" s="118"/>
      <c r="B328" s="118"/>
    </row>
    <row r="329" spans="1:2" ht="15" customHeight="1">
      <c r="A329" s="118"/>
      <c r="B329" s="118"/>
    </row>
    <row r="330" spans="1:2" ht="15" customHeight="1">
      <c r="A330" s="118"/>
      <c r="B330" s="118"/>
    </row>
    <row r="331" spans="1:2" ht="15" customHeight="1">
      <c r="A331" s="118"/>
      <c r="B331" s="118"/>
    </row>
    <row r="332" spans="1:2" ht="15" customHeight="1">
      <c r="A332" s="118"/>
      <c r="B332" s="118"/>
    </row>
    <row r="333" spans="1:2" ht="15" customHeight="1">
      <c r="A333" s="118"/>
      <c r="B333" s="118"/>
    </row>
    <row r="334" spans="1:2" ht="15" customHeight="1">
      <c r="A334" s="118"/>
      <c r="B334" s="118"/>
    </row>
    <row r="335" spans="1:2" ht="15" customHeight="1">
      <c r="A335" s="118"/>
      <c r="B335" s="118"/>
    </row>
    <row r="336" spans="1:2" ht="15" customHeight="1">
      <c r="A336" s="118"/>
      <c r="B336" s="118"/>
    </row>
    <row r="337" spans="1:2" ht="15" customHeight="1">
      <c r="A337" s="118"/>
      <c r="B337" s="118"/>
    </row>
    <row r="338" spans="1:2" ht="15" customHeight="1">
      <c r="A338" s="118"/>
      <c r="B338" s="118"/>
    </row>
    <row r="339" spans="1:2" ht="15" customHeight="1">
      <c r="A339" s="118"/>
      <c r="B339" s="118"/>
    </row>
    <row r="340" spans="1:2" ht="15" customHeight="1">
      <c r="A340" s="118"/>
      <c r="B340" s="118"/>
    </row>
    <row r="341" spans="1:2" ht="15" customHeight="1">
      <c r="A341" s="118"/>
      <c r="B341" s="118"/>
    </row>
    <row r="342" spans="1:2" ht="15" customHeight="1">
      <c r="A342" s="118"/>
      <c r="B342" s="118"/>
    </row>
    <row r="343" spans="1:2" ht="15" customHeight="1">
      <c r="A343" s="118"/>
      <c r="B343" s="118"/>
    </row>
    <row r="344" spans="1:2" ht="15" customHeight="1">
      <c r="A344" s="118"/>
      <c r="B344" s="118"/>
    </row>
    <row r="345" spans="1:2" ht="15" customHeight="1">
      <c r="A345" s="118"/>
      <c r="B345" s="118"/>
    </row>
    <row r="346" spans="1:2" ht="15" customHeight="1">
      <c r="A346" s="118"/>
      <c r="B346" s="118"/>
    </row>
    <row r="347" spans="1:2" ht="15" customHeight="1">
      <c r="A347" s="118"/>
      <c r="B347" s="118"/>
    </row>
    <row r="348" spans="1:2" ht="15" customHeight="1">
      <c r="A348" s="118"/>
      <c r="B348" s="118"/>
    </row>
    <row r="349" spans="1:2" ht="15" customHeight="1">
      <c r="A349" s="118"/>
      <c r="B349" s="118"/>
    </row>
    <row r="350" spans="1:2" ht="15" customHeight="1">
      <c r="A350" s="118"/>
      <c r="B350" s="118"/>
    </row>
    <row r="351" spans="1:2" ht="15" customHeight="1">
      <c r="A351" s="118"/>
      <c r="B351" s="118"/>
    </row>
    <row r="352" spans="1:2" ht="15" customHeight="1">
      <c r="A352" s="118"/>
      <c r="B352" s="118"/>
    </row>
    <row r="353" spans="1:2" ht="15" customHeight="1">
      <c r="A353" s="118"/>
      <c r="B353" s="118"/>
    </row>
    <row r="354" spans="1:2" ht="15" customHeight="1">
      <c r="A354" s="118"/>
      <c r="B354" s="118"/>
    </row>
    <row r="355" spans="1:2" ht="15" customHeight="1">
      <c r="A355" s="118"/>
      <c r="B355" s="118"/>
    </row>
    <row r="356" spans="1:2" ht="15" customHeight="1">
      <c r="A356" s="118"/>
      <c r="B356" s="118"/>
    </row>
    <row r="357" spans="1:2" ht="15" customHeight="1">
      <c r="A357" s="118"/>
      <c r="B357" s="118"/>
    </row>
    <row r="358" spans="1:2" ht="15" customHeight="1">
      <c r="A358" s="118"/>
      <c r="B358" s="118"/>
    </row>
    <row r="359" spans="1:2" ht="15" customHeight="1">
      <c r="A359" s="118"/>
      <c r="B359" s="118"/>
    </row>
    <row r="360" spans="1:2" ht="15" customHeight="1">
      <c r="A360" s="118"/>
      <c r="B360" s="118"/>
    </row>
    <row r="361" spans="1:2" ht="15" customHeight="1">
      <c r="A361" s="118"/>
      <c r="B361" s="118"/>
    </row>
    <row r="362" spans="1:2" ht="15" customHeight="1">
      <c r="A362" s="118"/>
      <c r="B362" s="118"/>
    </row>
    <row r="363" spans="1:2" ht="15" customHeight="1">
      <c r="A363" s="118"/>
      <c r="B363" s="118"/>
    </row>
    <row r="364" spans="1:2" ht="15" customHeight="1">
      <c r="A364" s="118"/>
      <c r="B364" s="118"/>
    </row>
    <row r="365" spans="1:2" ht="15" customHeight="1">
      <c r="A365" s="118"/>
      <c r="B365" s="118"/>
    </row>
    <row r="366" spans="1:2" ht="15" customHeight="1">
      <c r="A366" s="118"/>
      <c r="B366" s="118"/>
    </row>
    <row r="367" spans="1:2" ht="15" customHeight="1">
      <c r="A367" s="118"/>
      <c r="B367" s="118"/>
    </row>
    <row r="368" spans="1:2" ht="15" customHeight="1">
      <c r="A368" s="118"/>
      <c r="B368" s="118"/>
    </row>
    <row r="369" spans="1:2" ht="15" customHeight="1">
      <c r="A369" s="118"/>
      <c r="B369" s="118"/>
    </row>
    <row r="370" spans="1:2" ht="15" customHeight="1">
      <c r="A370" s="118"/>
      <c r="B370" s="118"/>
    </row>
    <row r="371" spans="1:2" ht="15" customHeight="1">
      <c r="A371" s="118"/>
      <c r="B371" s="118"/>
    </row>
    <row r="372" spans="1:2" ht="15" customHeight="1">
      <c r="A372" s="118"/>
      <c r="B372" s="118"/>
    </row>
    <row r="373" spans="1:2" ht="15" customHeight="1">
      <c r="A373" s="118"/>
      <c r="B373" s="118"/>
    </row>
    <row r="374" spans="1:2" ht="15" customHeight="1">
      <c r="A374" s="118"/>
      <c r="B374" s="118"/>
    </row>
    <row r="375" spans="1:2" ht="15" customHeight="1">
      <c r="A375" s="118"/>
      <c r="B375" s="118"/>
    </row>
    <row r="376" spans="1:2" ht="15" customHeight="1">
      <c r="A376" s="118"/>
      <c r="B376" s="118"/>
    </row>
    <row r="377" spans="1:2" ht="15" customHeight="1">
      <c r="A377" s="118"/>
      <c r="B377" s="118"/>
    </row>
    <row r="378" spans="1:2" ht="15" customHeight="1">
      <c r="A378" s="118"/>
      <c r="B378" s="118"/>
    </row>
    <row r="379" spans="1:2" ht="15" customHeight="1">
      <c r="A379" s="118"/>
      <c r="B379" s="118"/>
    </row>
    <row r="380" spans="1:2" ht="15" customHeight="1">
      <c r="A380" s="118"/>
      <c r="B380" s="118"/>
    </row>
    <row r="381" spans="1:2" ht="15" customHeight="1">
      <c r="A381" s="118"/>
      <c r="B381" s="118"/>
    </row>
    <row r="382" spans="1:2" ht="15" customHeight="1">
      <c r="A382" s="118"/>
      <c r="B382" s="118"/>
    </row>
    <row r="383" spans="1:2" ht="15" customHeight="1">
      <c r="A383" s="118"/>
      <c r="B383" s="118"/>
    </row>
    <row r="384" spans="1:2" ht="15" customHeight="1">
      <c r="A384" s="118"/>
      <c r="B384" s="118"/>
    </row>
    <row r="385" spans="1:2" ht="15" customHeight="1">
      <c r="A385" s="118"/>
      <c r="B385" s="118"/>
    </row>
    <row r="386" spans="1:2" ht="15" customHeight="1">
      <c r="A386" s="118"/>
      <c r="B386" s="118"/>
    </row>
    <row r="387" spans="1:2" ht="15" customHeight="1">
      <c r="A387" s="118"/>
      <c r="B387" s="118"/>
    </row>
    <row r="388" spans="1:2" ht="15" customHeight="1">
      <c r="A388" s="118"/>
      <c r="B388" s="118"/>
    </row>
    <row r="389" spans="1:2" ht="15" customHeight="1">
      <c r="A389" s="118"/>
      <c r="B389" s="118"/>
    </row>
    <row r="390" spans="1:2" ht="15" customHeight="1">
      <c r="A390" s="118"/>
      <c r="B390" s="118"/>
    </row>
    <row r="391" spans="1:2" ht="15" customHeight="1">
      <c r="A391" s="118"/>
      <c r="B391" s="118"/>
    </row>
    <row r="392" spans="1:2" ht="15" customHeight="1">
      <c r="A392" s="118"/>
      <c r="B392" s="118"/>
    </row>
    <row r="393" spans="1:2" ht="15" customHeight="1">
      <c r="A393" s="118"/>
      <c r="B393" s="118"/>
    </row>
    <row r="394" spans="1:2" ht="15" customHeight="1">
      <c r="A394" s="118"/>
      <c r="B394" s="118"/>
    </row>
    <row r="395" spans="1:2" ht="15" customHeight="1">
      <c r="A395" s="118"/>
      <c r="B395" s="118"/>
    </row>
    <row r="396" spans="1:2" ht="15" customHeight="1">
      <c r="A396" s="118"/>
      <c r="B396" s="118"/>
    </row>
    <row r="397" spans="1:2" ht="15" customHeight="1">
      <c r="A397" s="118"/>
      <c r="B397" s="118"/>
    </row>
    <row r="398" spans="1:2" ht="15" customHeight="1">
      <c r="A398" s="118"/>
      <c r="B398" s="118"/>
    </row>
    <row r="399" spans="1:2" ht="15" customHeight="1">
      <c r="A399" s="118"/>
      <c r="B399" s="118"/>
    </row>
    <row r="400" spans="1:2" ht="15" customHeight="1">
      <c r="A400" s="118"/>
      <c r="B400" s="118"/>
    </row>
    <row r="401" spans="1:2" ht="15" customHeight="1">
      <c r="A401" s="118"/>
      <c r="B401" s="118"/>
    </row>
    <row r="402" spans="1:2" ht="15" customHeight="1">
      <c r="A402" s="118"/>
      <c r="B402" s="118"/>
    </row>
    <row r="403" spans="1:2" ht="15" customHeight="1">
      <c r="A403" s="118"/>
      <c r="B403" s="118"/>
    </row>
    <row r="404" spans="1:2" ht="15" customHeight="1">
      <c r="A404" s="118"/>
      <c r="B404" s="118"/>
    </row>
    <row r="405" spans="1:2" ht="15" customHeight="1">
      <c r="A405" s="118"/>
      <c r="B405" s="118"/>
    </row>
    <row r="406" spans="1:2" ht="15" customHeight="1">
      <c r="A406" s="118"/>
      <c r="B406" s="118"/>
    </row>
    <row r="407" spans="1:2" ht="15" customHeight="1">
      <c r="A407" s="118"/>
      <c r="B407" s="118"/>
    </row>
    <row r="408" spans="1:2" ht="15" customHeight="1">
      <c r="A408" s="118"/>
      <c r="B408" s="118"/>
    </row>
    <row r="409" spans="1:2" ht="15" customHeight="1">
      <c r="A409" s="118"/>
      <c r="B409" s="118"/>
    </row>
    <row r="410" spans="1:2" ht="15" customHeight="1">
      <c r="A410" s="118"/>
      <c r="B410" s="118"/>
    </row>
    <row r="411" spans="1:2" ht="15" customHeight="1">
      <c r="A411" s="118"/>
      <c r="B411" s="118"/>
    </row>
    <row r="412" spans="1:2" ht="15" customHeight="1">
      <c r="A412" s="118"/>
      <c r="B412" s="118"/>
    </row>
    <row r="413" spans="1:2" ht="15" customHeight="1">
      <c r="A413" s="118"/>
      <c r="B413" s="118"/>
    </row>
    <row r="414" spans="1:2" ht="15" customHeight="1">
      <c r="A414" s="118"/>
      <c r="B414" s="118"/>
    </row>
    <row r="415" spans="1:2" ht="15" customHeight="1">
      <c r="A415" s="118"/>
      <c r="B415" s="118"/>
    </row>
    <row r="416" spans="1:2" ht="15" customHeight="1">
      <c r="A416" s="118"/>
      <c r="B416" s="118"/>
    </row>
    <row r="417" spans="1:2" ht="15" customHeight="1">
      <c r="A417" s="118"/>
      <c r="B417" s="118"/>
    </row>
    <row r="418" spans="1:2" ht="15" customHeight="1">
      <c r="A418" s="118"/>
      <c r="B418" s="118"/>
    </row>
    <row r="419" spans="1:2" ht="15" customHeight="1">
      <c r="A419" s="118"/>
      <c r="B419" s="118"/>
    </row>
    <row r="420" spans="1:2" ht="15" customHeight="1">
      <c r="A420" s="118"/>
      <c r="B420" s="118"/>
    </row>
    <row r="421" spans="1:2" ht="15" customHeight="1">
      <c r="A421" s="118"/>
      <c r="B421" s="118"/>
    </row>
    <row r="422" spans="1:2" ht="15" customHeight="1">
      <c r="A422" s="118"/>
      <c r="B422" s="118"/>
    </row>
    <row r="423" spans="1:2" ht="15" customHeight="1">
      <c r="A423" s="118"/>
      <c r="B423" s="118"/>
    </row>
    <row r="424" spans="1:2" ht="15" customHeight="1">
      <c r="A424" s="118"/>
      <c r="B424" s="118"/>
    </row>
    <row r="425" spans="1:2" ht="15" customHeight="1">
      <c r="A425" s="118"/>
      <c r="B425" s="118"/>
    </row>
    <row r="426" spans="1:2" ht="15" customHeight="1">
      <c r="A426" s="118"/>
      <c r="B426" s="118"/>
    </row>
    <row r="427" spans="1:2" ht="15" customHeight="1">
      <c r="A427" s="118"/>
      <c r="B427" s="118"/>
    </row>
    <row r="428" spans="1:2" ht="15" customHeight="1">
      <c r="A428" s="118"/>
      <c r="B428" s="118"/>
    </row>
    <row r="429" spans="1:2" ht="15" customHeight="1">
      <c r="A429" s="118"/>
      <c r="B429" s="118"/>
    </row>
    <row r="430" spans="1:2" ht="15" customHeight="1">
      <c r="A430" s="118"/>
      <c r="B430" s="118"/>
    </row>
    <row r="431" spans="1:2" ht="15" customHeight="1">
      <c r="A431" s="118"/>
      <c r="B431" s="118"/>
    </row>
    <row r="432" spans="1:2" ht="15" customHeight="1">
      <c r="A432" s="118"/>
      <c r="B432" s="118"/>
    </row>
    <row r="433" spans="1:2" ht="15" customHeight="1">
      <c r="A433" s="118"/>
      <c r="B433" s="118"/>
    </row>
    <row r="434" spans="1:2" ht="15" customHeight="1">
      <c r="A434" s="118"/>
      <c r="B434" s="118"/>
    </row>
    <row r="435" spans="1:2" ht="15" customHeight="1">
      <c r="A435" s="118"/>
      <c r="B435" s="118"/>
    </row>
    <row r="436" spans="1:2" ht="15" customHeight="1">
      <c r="A436" s="118"/>
      <c r="B436" s="118"/>
    </row>
    <row r="437" spans="1:2" ht="15" customHeight="1">
      <c r="A437" s="118"/>
      <c r="B437" s="118"/>
    </row>
    <row r="438" spans="1:2" ht="15" customHeight="1">
      <c r="A438" s="118"/>
      <c r="B438" s="118"/>
    </row>
    <row r="439" spans="1:2" ht="15" customHeight="1">
      <c r="A439" s="118"/>
      <c r="B439" s="118"/>
    </row>
    <row r="440" spans="1:2" ht="15" customHeight="1">
      <c r="A440" s="118"/>
      <c r="B440" s="118"/>
    </row>
    <row r="441" spans="1:2" ht="15" customHeight="1">
      <c r="A441" s="118"/>
      <c r="B441" s="118"/>
    </row>
    <row r="442" spans="1:2" ht="15" customHeight="1">
      <c r="A442" s="118"/>
      <c r="B442" s="118"/>
    </row>
    <row r="443" spans="1:2" ht="15" customHeight="1">
      <c r="A443" s="118"/>
      <c r="B443" s="118"/>
    </row>
    <row r="444" spans="1:2" ht="15" customHeight="1">
      <c r="A444" s="118"/>
      <c r="B444" s="118"/>
    </row>
    <row r="445" spans="1:2" ht="15" customHeight="1">
      <c r="A445" s="118"/>
      <c r="B445" s="118"/>
    </row>
    <row r="446" spans="1:2" ht="15" customHeight="1">
      <c r="A446" s="118"/>
      <c r="B446" s="118"/>
    </row>
    <row r="447" spans="1:2" ht="15" customHeight="1">
      <c r="A447" s="118"/>
      <c r="B447" s="118"/>
    </row>
    <row r="448" spans="1:2" ht="15" customHeight="1">
      <c r="A448" s="118"/>
      <c r="B448" s="118"/>
    </row>
    <row r="449" spans="1:2" ht="15" customHeight="1">
      <c r="A449" s="118"/>
      <c r="B449" s="118"/>
    </row>
    <row r="450" spans="1:2" ht="15" customHeight="1">
      <c r="A450" s="118"/>
      <c r="B450" s="118"/>
    </row>
    <row r="451" spans="1:2" ht="15" customHeight="1">
      <c r="A451" s="118"/>
      <c r="B451" s="118"/>
    </row>
    <row r="452" spans="1:2" ht="15" customHeight="1">
      <c r="A452" s="118"/>
      <c r="B452" s="118"/>
    </row>
    <row r="453" spans="1:2" ht="15" customHeight="1">
      <c r="A453" s="118"/>
      <c r="B453" s="118"/>
    </row>
    <row r="454" spans="1:2" ht="15" customHeight="1">
      <c r="A454" s="118"/>
      <c r="B454" s="118"/>
    </row>
    <row r="455" spans="1:2" ht="15" customHeight="1">
      <c r="A455" s="118"/>
      <c r="B455" s="118"/>
    </row>
    <row r="456" spans="1:2" ht="15" customHeight="1">
      <c r="A456" s="118"/>
      <c r="B456" s="118"/>
    </row>
    <row r="457" spans="1:2" ht="15" customHeight="1">
      <c r="A457" s="118"/>
      <c r="B457" s="118"/>
    </row>
    <row r="458" spans="1:2" ht="15" customHeight="1">
      <c r="A458" s="118"/>
      <c r="B458" s="118"/>
    </row>
    <row r="459" spans="1:2" ht="15" customHeight="1">
      <c r="A459" s="118"/>
      <c r="B459" s="118"/>
    </row>
    <row r="460" spans="1:2" ht="15" customHeight="1">
      <c r="A460" s="118"/>
      <c r="B460" s="118"/>
    </row>
    <row r="461" spans="1:2" ht="15" customHeight="1">
      <c r="A461" s="118"/>
      <c r="B461" s="118"/>
    </row>
    <row r="462" spans="1:2" ht="15" customHeight="1">
      <c r="A462" s="118"/>
      <c r="B462" s="118"/>
    </row>
    <row r="463" spans="1:2" ht="15" customHeight="1">
      <c r="A463" s="118"/>
      <c r="B463" s="118"/>
    </row>
    <row r="464" spans="1:2" ht="15" customHeight="1">
      <c r="A464" s="118"/>
      <c r="B464" s="118"/>
    </row>
    <row r="465" spans="1:2" ht="15" customHeight="1">
      <c r="A465" s="118"/>
      <c r="B465" s="118"/>
    </row>
    <row r="466" spans="1:2" ht="15" customHeight="1">
      <c r="A466" s="118"/>
      <c r="B466" s="118"/>
    </row>
    <row r="467" spans="1:2" ht="15" customHeight="1">
      <c r="A467" s="118"/>
      <c r="B467" s="118"/>
    </row>
    <row r="468" spans="1:2" ht="15" customHeight="1">
      <c r="A468" s="118"/>
      <c r="B468" s="118"/>
    </row>
    <row r="469" spans="1:2" ht="15" customHeight="1">
      <c r="A469" s="118"/>
      <c r="B469" s="118"/>
    </row>
    <row r="470" spans="1:2" ht="15" customHeight="1">
      <c r="A470" s="118"/>
      <c r="B470" s="118"/>
    </row>
    <row r="471" spans="1:2" ht="15" customHeight="1">
      <c r="A471" s="118"/>
      <c r="B471" s="118"/>
    </row>
    <row r="472" spans="1:2" ht="15" customHeight="1">
      <c r="A472" s="118"/>
      <c r="B472" s="118"/>
    </row>
    <row r="473" spans="1:2" ht="15" customHeight="1">
      <c r="A473" s="118"/>
      <c r="B473" s="118"/>
    </row>
    <row r="474" spans="1:2" ht="15" customHeight="1">
      <c r="A474" s="118"/>
      <c r="B474" s="118"/>
    </row>
    <row r="475" spans="1:2" ht="15" customHeight="1">
      <c r="A475" s="118"/>
      <c r="B475" s="118"/>
    </row>
    <row r="476" spans="1:2" ht="15" customHeight="1">
      <c r="A476" s="118"/>
      <c r="B476" s="118"/>
    </row>
    <row r="477" spans="1:2" ht="15" customHeight="1">
      <c r="A477" s="118"/>
      <c r="B477" s="118"/>
    </row>
    <row r="478" spans="1:2" ht="15" customHeight="1">
      <c r="A478" s="118"/>
      <c r="B478" s="118"/>
    </row>
    <row r="479" spans="1:2" ht="15" customHeight="1">
      <c r="A479" s="118"/>
      <c r="B479" s="118"/>
    </row>
    <row r="480" spans="1:2" ht="15" customHeight="1">
      <c r="A480" s="118"/>
      <c r="B480" s="118"/>
    </row>
    <row r="481" spans="1:2" ht="15" customHeight="1">
      <c r="A481" s="118"/>
      <c r="B481" s="118"/>
    </row>
    <row r="482" spans="1:2" ht="15" customHeight="1">
      <c r="A482" s="118"/>
      <c r="B482" s="118"/>
    </row>
    <row r="483" spans="1:2" ht="15" customHeight="1">
      <c r="A483" s="118"/>
      <c r="B483" s="118"/>
    </row>
    <row r="484" spans="1:2" ht="15" customHeight="1">
      <c r="A484" s="118"/>
      <c r="B484" s="118"/>
    </row>
    <row r="485" spans="1:2" ht="15" customHeight="1">
      <c r="A485" s="118"/>
      <c r="B485" s="118"/>
    </row>
    <row r="486" spans="1:2" ht="15" customHeight="1">
      <c r="A486" s="118"/>
      <c r="B486" s="118"/>
    </row>
    <row r="487" spans="1:2" ht="15" customHeight="1">
      <c r="A487" s="118"/>
      <c r="B487" s="118"/>
    </row>
    <row r="488" spans="1:2" ht="15" customHeight="1">
      <c r="A488" s="118"/>
      <c r="B488" s="118"/>
    </row>
    <row r="489" spans="1:2" ht="15" customHeight="1">
      <c r="A489" s="118"/>
      <c r="B489" s="118"/>
    </row>
    <row r="490" spans="1:2" ht="15" customHeight="1">
      <c r="A490" s="118"/>
      <c r="B490" s="118"/>
    </row>
    <row r="491" spans="1:2" ht="15" customHeight="1">
      <c r="A491" s="118"/>
      <c r="B491" s="118"/>
    </row>
    <row r="492" spans="1:2" ht="15" customHeight="1">
      <c r="A492" s="118"/>
      <c r="B492" s="118"/>
    </row>
    <row r="493" spans="1:2" ht="15" customHeight="1">
      <c r="A493" s="118"/>
      <c r="B493" s="118"/>
    </row>
    <row r="494" spans="1:2" ht="15" customHeight="1">
      <c r="A494" s="118"/>
      <c r="B494" s="118"/>
    </row>
    <row r="495" spans="1:2" ht="15" customHeight="1">
      <c r="A495" s="118"/>
      <c r="B495" s="118"/>
    </row>
    <row r="496" spans="1:2" ht="15" customHeight="1">
      <c r="A496" s="118"/>
      <c r="B496" s="118"/>
    </row>
    <row r="497" spans="1:2" ht="15" customHeight="1">
      <c r="A497" s="118"/>
      <c r="B497" s="118"/>
    </row>
    <row r="498" spans="1:2" ht="15" customHeight="1">
      <c r="A498" s="118"/>
      <c r="B498" s="118"/>
    </row>
    <row r="499" spans="1:2" ht="15" customHeight="1">
      <c r="A499" s="118"/>
      <c r="B499" s="118"/>
    </row>
    <row r="500" spans="1:2" ht="15" customHeight="1">
      <c r="A500" s="118"/>
      <c r="B500" s="118"/>
    </row>
    <row r="501" spans="1:2" ht="15" customHeight="1">
      <c r="A501" s="118"/>
      <c r="B501" s="118"/>
    </row>
    <row r="502" spans="1:2" ht="15" customHeight="1">
      <c r="A502" s="118"/>
      <c r="B502" s="118"/>
    </row>
    <row r="503" spans="1:2" ht="15" customHeight="1">
      <c r="A503" s="118"/>
      <c r="B503" s="118"/>
    </row>
    <row r="504" spans="1:2" ht="15" customHeight="1">
      <c r="A504" s="118"/>
      <c r="B504" s="118"/>
    </row>
    <row r="505" spans="1:2" ht="15" customHeight="1">
      <c r="A505" s="118"/>
      <c r="B505" s="118"/>
    </row>
    <row r="506" spans="1:2" ht="15" customHeight="1">
      <c r="A506" s="118"/>
      <c r="B506" s="118"/>
    </row>
    <row r="507" spans="1:2" ht="15" customHeight="1">
      <c r="A507" s="118"/>
      <c r="B507" s="118"/>
    </row>
    <row r="508" spans="1:2" ht="15" customHeight="1">
      <c r="A508" s="118"/>
      <c r="B508" s="118"/>
    </row>
    <row r="509" spans="1:2" ht="15" customHeight="1">
      <c r="A509" s="118"/>
      <c r="B509" s="118"/>
    </row>
    <row r="510" spans="1:2" ht="15" customHeight="1">
      <c r="A510" s="118"/>
      <c r="B510" s="118"/>
    </row>
    <row r="511" spans="1:2" ht="15" customHeight="1">
      <c r="A511" s="118"/>
      <c r="B511" s="118"/>
    </row>
    <row r="512" spans="1:2" ht="15" customHeight="1">
      <c r="A512" s="118"/>
      <c r="B512" s="118"/>
    </row>
    <row r="513" spans="1:2" ht="15" customHeight="1">
      <c r="A513" s="118"/>
      <c r="B513" s="118"/>
    </row>
    <row r="514" spans="1:2" ht="15" customHeight="1">
      <c r="A514" s="118"/>
      <c r="B514" s="118"/>
    </row>
    <row r="515" spans="1:2" ht="15" customHeight="1">
      <c r="A515" s="118"/>
      <c r="B515" s="118"/>
    </row>
    <row r="516" spans="1:2" ht="15" customHeight="1">
      <c r="A516" s="118"/>
      <c r="B516" s="118"/>
    </row>
    <row r="517" spans="1:2" ht="15" customHeight="1">
      <c r="A517" s="118"/>
      <c r="B517" s="118"/>
    </row>
    <row r="518" spans="1:2" ht="15" customHeight="1">
      <c r="A518" s="118"/>
      <c r="B518" s="118"/>
    </row>
    <row r="519" spans="1:2" ht="15" customHeight="1">
      <c r="A519" s="118"/>
      <c r="B519" s="118"/>
    </row>
    <row r="520" spans="1:2" ht="15" customHeight="1">
      <c r="A520" s="118"/>
      <c r="B520" s="118"/>
    </row>
    <row r="521" spans="1:2" ht="15" customHeight="1">
      <c r="A521" s="118"/>
      <c r="B521" s="118"/>
    </row>
    <row r="522" spans="1:2" ht="15" customHeight="1">
      <c r="A522" s="118"/>
      <c r="B522" s="118"/>
    </row>
    <row r="523" spans="1:2" ht="15" customHeight="1">
      <c r="A523" s="118"/>
      <c r="B523" s="118"/>
    </row>
    <row r="524" spans="1:2" ht="15" customHeight="1">
      <c r="A524" s="118"/>
      <c r="B524" s="118"/>
    </row>
    <row r="525" spans="1:2" ht="15" customHeight="1">
      <c r="A525" s="118"/>
      <c r="B525" s="118"/>
    </row>
    <row r="526" spans="1:2" ht="15" customHeight="1">
      <c r="A526" s="118"/>
      <c r="B526" s="118"/>
    </row>
    <row r="527" spans="1:2" ht="15" customHeight="1">
      <c r="A527" s="118"/>
      <c r="B527" s="118"/>
    </row>
    <row r="528" spans="1:2" ht="15" customHeight="1">
      <c r="A528" s="118"/>
      <c r="B528" s="118"/>
    </row>
    <row r="529" spans="1:2" ht="15" customHeight="1">
      <c r="A529" s="118"/>
      <c r="B529" s="118"/>
    </row>
    <row r="530" spans="1:2" ht="15" customHeight="1">
      <c r="A530" s="118"/>
      <c r="B530" s="118"/>
    </row>
    <row r="531" spans="1:2" ht="15" customHeight="1">
      <c r="A531" s="118"/>
      <c r="B531" s="118"/>
    </row>
    <row r="532" spans="1:2" ht="15" customHeight="1">
      <c r="A532" s="118"/>
      <c r="B532" s="118"/>
    </row>
    <row r="533" spans="1:2" ht="15" customHeight="1">
      <c r="A533" s="118"/>
      <c r="B533" s="118"/>
    </row>
    <row r="534" spans="1:2" ht="15" customHeight="1">
      <c r="A534" s="118"/>
      <c r="B534" s="118"/>
    </row>
    <row r="535" spans="1:2" ht="15" customHeight="1">
      <c r="A535" s="118"/>
      <c r="B535" s="118"/>
    </row>
    <row r="536" spans="1:2" ht="15" customHeight="1">
      <c r="A536" s="118"/>
      <c r="B536" s="118"/>
    </row>
    <row r="537" spans="1:2" ht="15" customHeight="1">
      <c r="A537" s="118"/>
      <c r="B537" s="118"/>
    </row>
    <row r="538" spans="1:2" ht="15" customHeight="1">
      <c r="A538" s="118"/>
      <c r="B538" s="118"/>
    </row>
    <row r="539" spans="1:2" ht="15" customHeight="1">
      <c r="A539" s="118"/>
      <c r="B539" s="118"/>
    </row>
    <row r="540" spans="1:2" ht="15" customHeight="1">
      <c r="A540" s="118"/>
      <c r="B540" s="118"/>
    </row>
    <row r="541" spans="1:2" ht="15" customHeight="1">
      <c r="A541" s="118"/>
      <c r="B541" s="118"/>
    </row>
    <row r="542" spans="1:2" ht="15" customHeight="1">
      <c r="A542" s="118"/>
      <c r="B542" s="118"/>
    </row>
    <row r="543" spans="1:2" ht="15" customHeight="1">
      <c r="A543" s="118"/>
      <c r="B543" s="118"/>
    </row>
    <row r="544" spans="1:2" ht="15" customHeight="1">
      <c r="A544" s="118"/>
      <c r="B544" s="118"/>
    </row>
    <row r="545" spans="1:2" ht="15" customHeight="1">
      <c r="A545" s="118"/>
      <c r="B545" s="118"/>
    </row>
    <row r="546" spans="1:2" ht="15" customHeight="1">
      <c r="A546" s="118"/>
      <c r="B546" s="118"/>
    </row>
    <row r="547" spans="1:2" ht="15" customHeight="1">
      <c r="A547" s="118"/>
      <c r="B547" s="118"/>
    </row>
    <row r="548" spans="1:2" ht="15" customHeight="1">
      <c r="A548" s="118"/>
      <c r="B548" s="118"/>
    </row>
    <row r="549" spans="1:2" ht="15" customHeight="1">
      <c r="A549" s="118"/>
      <c r="B549" s="118"/>
    </row>
    <row r="550" spans="1:2" ht="15" customHeight="1">
      <c r="A550" s="118"/>
      <c r="B550" s="118"/>
    </row>
    <row r="551" spans="1:2" ht="15" customHeight="1">
      <c r="A551" s="118"/>
      <c r="B551" s="118"/>
    </row>
    <row r="552" spans="1:2" ht="15" customHeight="1">
      <c r="A552" s="118"/>
      <c r="B552" s="118"/>
    </row>
    <row r="553" spans="1:2" ht="15" customHeight="1">
      <c r="A553" s="118"/>
      <c r="B553" s="118"/>
    </row>
    <row r="554" spans="1:2" ht="15" customHeight="1">
      <c r="A554" s="118"/>
      <c r="B554" s="118"/>
    </row>
    <row r="555" spans="1:2" ht="15" customHeight="1">
      <c r="A555" s="118"/>
      <c r="B555" s="118"/>
    </row>
    <row r="556" spans="1:2" ht="15" customHeight="1">
      <c r="A556" s="118"/>
      <c r="B556" s="118"/>
    </row>
    <row r="557" spans="1:2" ht="15" customHeight="1">
      <c r="A557" s="118"/>
      <c r="B557" s="118"/>
    </row>
    <row r="558" spans="1:2" ht="15" customHeight="1">
      <c r="A558" s="118"/>
      <c r="B558" s="118"/>
    </row>
    <row r="559" spans="1:2" ht="15" customHeight="1">
      <c r="A559" s="118"/>
      <c r="B559" s="118"/>
    </row>
    <row r="560" spans="1:2" ht="15" customHeight="1">
      <c r="A560" s="118"/>
      <c r="B560" s="118"/>
    </row>
    <row r="561" spans="1:2" ht="15" customHeight="1">
      <c r="A561" s="118"/>
      <c r="B561" s="118"/>
    </row>
    <row r="562" spans="1:2" ht="15" customHeight="1">
      <c r="A562" s="118"/>
      <c r="B562" s="118"/>
    </row>
    <row r="563" spans="1:2" ht="15" customHeight="1">
      <c r="A563" s="118"/>
      <c r="B563" s="118"/>
    </row>
    <row r="564" spans="1:2" ht="15" customHeight="1">
      <c r="A564" s="118"/>
      <c r="B564" s="118"/>
    </row>
    <row r="565" spans="1:2" ht="15" customHeight="1">
      <c r="A565" s="118"/>
      <c r="B565" s="118"/>
    </row>
    <row r="566" spans="1:2" ht="15" customHeight="1">
      <c r="A566" s="118"/>
      <c r="B566" s="118"/>
    </row>
    <row r="567" spans="1:2" ht="15" customHeight="1">
      <c r="A567" s="118"/>
      <c r="B567" s="118"/>
    </row>
    <row r="568" spans="1:2" ht="15" customHeight="1">
      <c r="A568" s="118"/>
      <c r="B568" s="118"/>
    </row>
    <row r="569" spans="1:2" ht="15" customHeight="1">
      <c r="A569" s="118"/>
      <c r="B569" s="118"/>
    </row>
    <row r="570" spans="1:2" ht="15" customHeight="1">
      <c r="A570" s="118"/>
      <c r="B570" s="118"/>
    </row>
    <row r="571" spans="1:2" ht="15" customHeight="1">
      <c r="A571" s="118"/>
      <c r="B571" s="118"/>
    </row>
    <row r="572" spans="1:2" ht="15" customHeight="1">
      <c r="A572" s="118"/>
      <c r="B572" s="118"/>
    </row>
    <row r="573" spans="1:2" ht="15" customHeight="1">
      <c r="A573" s="118"/>
      <c r="B573" s="118"/>
    </row>
    <row r="574" spans="1:2" ht="15" customHeight="1">
      <c r="A574" s="118"/>
      <c r="B574" s="118"/>
    </row>
    <row r="575" spans="1:2" ht="15" customHeight="1">
      <c r="A575" s="118"/>
      <c r="B575" s="118"/>
    </row>
    <row r="576" spans="1:2" ht="15" customHeight="1">
      <c r="A576" s="118"/>
      <c r="B576" s="118"/>
    </row>
    <row r="577" spans="1:2" ht="15" customHeight="1">
      <c r="A577" s="118"/>
      <c r="B577" s="118"/>
    </row>
    <row r="578" spans="1:2" ht="15" customHeight="1">
      <c r="A578" s="118"/>
      <c r="B578" s="118"/>
    </row>
    <row r="579" spans="1:2" ht="15" customHeight="1">
      <c r="A579" s="118"/>
      <c r="B579" s="118"/>
    </row>
    <row r="580" spans="1:2" ht="15" customHeight="1">
      <c r="A580" s="118"/>
      <c r="B580" s="118"/>
    </row>
    <row r="581" spans="1:2" ht="15" customHeight="1">
      <c r="A581" s="118"/>
      <c r="B581" s="118"/>
    </row>
    <row r="582" spans="1:2" ht="15" customHeight="1">
      <c r="A582" s="118"/>
      <c r="B582" s="118"/>
    </row>
    <row r="583" spans="1:2" ht="15" customHeight="1">
      <c r="A583" s="118"/>
      <c r="B583" s="118"/>
    </row>
    <row r="584" spans="1:2" ht="15" customHeight="1">
      <c r="A584" s="118"/>
      <c r="B584" s="118"/>
    </row>
    <row r="585" spans="1:2" ht="15" customHeight="1">
      <c r="A585" s="118"/>
      <c r="B585" s="118"/>
    </row>
    <row r="586" spans="1:2" ht="15" customHeight="1">
      <c r="A586" s="118"/>
      <c r="B586" s="118"/>
    </row>
    <row r="587" spans="1:2" ht="15" customHeight="1">
      <c r="A587" s="118"/>
      <c r="B587" s="118"/>
    </row>
    <row r="588" spans="1:2" ht="15" customHeight="1">
      <c r="A588" s="118"/>
      <c r="B588" s="118"/>
    </row>
    <row r="589" spans="1:2" ht="15" customHeight="1">
      <c r="A589" s="118"/>
      <c r="B589" s="118"/>
    </row>
    <row r="590" spans="1:2" ht="15" customHeight="1">
      <c r="A590" s="118"/>
      <c r="B590" s="118"/>
    </row>
    <row r="591" spans="1:2" ht="15" customHeight="1">
      <c r="A591" s="118"/>
      <c r="B591" s="118"/>
    </row>
    <row r="592" spans="1:2" ht="15" customHeight="1">
      <c r="A592" s="118"/>
      <c r="B592" s="118"/>
    </row>
    <row r="593" spans="1:2" ht="15" customHeight="1">
      <c r="A593" s="118"/>
      <c r="B593" s="118"/>
    </row>
    <row r="594" spans="1:2" ht="15" customHeight="1">
      <c r="A594" s="118"/>
      <c r="B594" s="118"/>
    </row>
    <row r="595" spans="1:2" ht="15" customHeight="1">
      <c r="A595" s="118"/>
      <c r="B595" s="118"/>
    </row>
    <row r="596" spans="1:2" ht="15" customHeight="1">
      <c r="A596" s="118"/>
      <c r="B596" s="118"/>
    </row>
    <row r="597" spans="1:2" ht="15" customHeight="1">
      <c r="A597" s="118"/>
      <c r="B597" s="118"/>
    </row>
    <row r="598" spans="1:2" ht="15" customHeight="1">
      <c r="A598" s="118"/>
      <c r="B598" s="118"/>
    </row>
    <row r="599" spans="1:2" ht="15" customHeight="1">
      <c r="A599" s="118"/>
      <c r="B599" s="118"/>
    </row>
    <row r="600" spans="1:2" ht="15" customHeight="1">
      <c r="A600" s="118"/>
      <c r="B600" s="118"/>
    </row>
    <row r="601" spans="1:2" ht="15" customHeight="1">
      <c r="A601" s="118"/>
      <c r="B601" s="118"/>
    </row>
    <row r="602" spans="1:2" ht="15" customHeight="1">
      <c r="A602" s="118"/>
      <c r="B602" s="118"/>
    </row>
    <row r="603" spans="1:2" ht="15" customHeight="1">
      <c r="A603" s="118"/>
      <c r="B603" s="118"/>
    </row>
    <row r="604" spans="1:2" ht="15" customHeight="1">
      <c r="A604" s="118"/>
      <c r="B604" s="118"/>
    </row>
    <row r="605" spans="1:2" ht="15" customHeight="1">
      <c r="A605" s="118"/>
      <c r="B605" s="118"/>
    </row>
    <row r="606" spans="1:2" ht="15" customHeight="1">
      <c r="A606" s="118"/>
      <c r="B606" s="118"/>
    </row>
    <row r="607" spans="1:2" ht="15" customHeight="1">
      <c r="A607" s="118"/>
      <c r="B607" s="118"/>
    </row>
    <row r="608" spans="1:2" ht="15" customHeight="1">
      <c r="A608" s="118"/>
      <c r="B608" s="118"/>
    </row>
    <row r="609" spans="1:2" ht="15" customHeight="1">
      <c r="A609" s="118"/>
      <c r="B609" s="118"/>
    </row>
    <row r="610" spans="1:2" ht="15" customHeight="1">
      <c r="A610" s="118"/>
      <c r="B610" s="118"/>
    </row>
    <row r="611" spans="1:2" ht="15" customHeight="1">
      <c r="A611" s="118"/>
      <c r="B611" s="118"/>
    </row>
    <row r="612" spans="1:2" ht="15" customHeight="1">
      <c r="A612" s="118"/>
      <c r="B612" s="118"/>
    </row>
    <row r="613" spans="1:2" ht="15" customHeight="1">
      <c r="A613" s="118"/>
      <c r="B613" s="118"/>
    </row>
    <row r="614" spans="1:2" ht="15" customHeight="1">
      <c r="A614" s="118"/>
      <c r="B614" s="118"/>
    </row>
    <row r="615" spans="1:2" ht="15" customHeight="1">
      <c r="A615" s="118"/>
      <c r="B615" s="118"/>
    </row>
    <row r="616" spans="1:2" ht="15" customHeight="1">
      <c r="A616" s="118"/>
      <c r="B616" s="118"/>
    </row>
    <row r="617" spans="1:2" ht="15" customHeight="1">
      <c r="A617" s="118"/>
      <c r="B617" s="118"/>
    </row>
    <row r="618" spans="1:2" ht="15" customHeight="1">
      <c r="A618" s="118"/>
      <c r="B618" s="118"/>
    </row>
    <row r="619" spans="1:2" ht="15" customHeight="1">
      <c r="A619" s="118"/>
      <c r="B619" s="118"/>
    </row>
    <row r="620" spans="1:2" ht="15" customHeight="1">
      <c r="A620" s="118"/>
      <c r="B620" s="118"/>
    </row>
    <row r="621" spans="1:2" ht="15" customHeight="1">
      <c r="A621" s="118"/>
      <c r="B621" s="118"/>
    </row>
    <row r="622" spans="1:2" ht="15" customHeight="1">
      <c r="A622" s="118"/>
      <c r="B622" s="118"/>
    </row>
    <row r="623" spans="1:2" ht="15" customHeight="1">
      <c r="A623" s="118"/>
      <c r="B623" s="118"/>
    </row>
    <row r="624" spans="1:2" ht="15" customHeight="1">
      <c r="A624" s="118"/>
      <c r="B624" s="118"/>
    </row>
    <row r="625" spans="1:2" ht="15" customHeight="1">
      <c r="A625" s="118"/>
      <c r="B625" s="118"/>
    </row>
    <row r="626" spans="1:2" ht="15" customHeight="1">
      <c r="A626" s="118"/>
      <c r="B626" s="118"/>
    </row>
    <row r="627" spans="1:2" ht="15" customHeight="1">
      <c r="A627" s="118"/>
      <c r="B627" s="118"/>
    </row>
    <row r="628" spans="1:2" ht="15" customHeight="1">
      <c r="A628" s="118"/>
      <c r="B628" s="118"/>
    </row>
    <row r="629" spans="1:2" ht="15" customHeight="1">
      <c r="A629" s="118"/>
      <c r="B629" s="118"/>
    </row>
    <row r="630" spans="1:2" ht="15" customHeight="1">
      <c r="A630" s="118"/>
      <c r="B630" s="118"/>
    </row>
    <row r="631" spans="1:2" ht="15" customHeight="1">
      <c r="A631" s="118"/>
      <c r="B631" s="118"/>
    </row>
    <row r="632" spans="1:2" ht="15" customHeight="1">
      <c r="A632" s="118"/>
      <c r="B632" s="118"/>
    </row>
    <row r="633" spans="1:2" ht="15" customHeight="1">
      <c r="A633" s="118"/>
      <c r="B633" s="118"/>
    </row>
    <row r="634" spans="1:2" ht="15" customHeight="1">
      <c r="A634" s="118"/>
      <c r="B634" s="118"/>
    </row>
    <row r="635" spans="1:2" ht="15" customHeight="1">
      <c r="A635" s="118"/>
      <c r="B635" s="118"/>
    </row>
    <row r="636" spans="1:2" ht="15" customHeight="1">
      <c r="A636" s="118"/>
      <c r="B636" s="118"/>
    </row>
    <row r="637" spans="1:2" ht="15" customHeight="1">
      <c r="A637" s="118"/>
      <c r="B637" s="118"/>
    </row>
    <row r="638" spans="1:2" ht="15" customHeight="1">
      <c r="A638" s="118"/>
      <c r="B638" s="118"/>
    </row>
    <row r="639" spans="1:2" ht="15" customHeight="1">
      <c r="A639" s="118"/>
      <c r="B639" s="118"/>
    </row>
    <row r="640" spans="1:2" ht="15" customHeight="1">
      <c r="A640" s="118"/>
      <c r="B640" s="118"/>
    </row>
    <row r="641" spans="1:2" ht="15" customHeight="1">
      <c r="A641" s="118"/>
      <c r="B641" s="118"/>
    </row>
    <row r="642" spans="1:2" ht="15" customHeight="1">
      <c r="A642" s="118"/>
      <c r="B642" s="118"/>
    </row>
    <row r="643" spans="1:2" ht="15" customHeight="1">
      <c r="A643" s="118"/>
      <c r="B643" s="118"/>
    </row>
    <row r="644" spans="1:2" ht="15" customHeight="1">
      <c r="A644" s="118"/>
      <c r="B644" s="118"/>
    </row>
    <row r="645" spans="1:2" ht="15" customHeight="1">
      <c r="A645" s="118"/>
      <c r="B645" s="118"/>
    </row>
    <row r="646" spans="1:2" ht="15" customHeight="1">
      <c r="A646" s="118"/>
      <c r="B646" s="118"/>
    </row>
    <row r="647" spans="1:2" ht="15" customHeight="1">
      <c r="A647" s="118"/>
      <c r="B647" s="118"/>
    </row>
    <row r="648" spans="1:2" ht="15" customHeight="1">
      <c r="A648" s="118"/>
      <c r="B648" s="118"/>
    </row>
    <row r="649" spans="1:2" ht="15" customHeight="1">
      <c r="A649" s="118"/>
      <c r="B649" s="118"/>
    </row>
    <row r="650" spans="1:2" ht="15" customHeight="1">
      <c r="A650" s="118"/>
      <c r="B650" s="118"/>
    </row>
    <row r="651" spans="1:2" ht="15" customHeight="1">
      <c r="A651" s="118"/>
      <c r="B651" s="118"/>
    </row>
    <row r="652" spans="1:2" ht="15" customHeight="1">
      <c r="A652" s="118"/>
      <c r="B652" s="118"/>
    </row>
    <row r="653" spans="1:2" ht="15" customHeight="1">
      <c r="A653" s="118"/>
      <c r="B653" s="118"/>
    </row>
    <row r="654" spans="1:2" ht="15" customHeight="1">
      <c r="A654" s="118"/>
      <c r="B654" s="118"/>
    </row>
    <row r="655" spans="1:2" ht="15" customHeight="1">
      <c r="A655" s="118"/>
      <c r="B655" s="118"/>
    </row>
    <row r="656" spans="1:2" ht="15" customHeight="1">
      <c r="A656" s="118"/>
      <c r="B656" s="118"/>
    </row>
    <row r="657" spans="1:2" ht="15" customHeight="1">
      <c r="A657" s="118"/>
      <c r="B657" s="118"/>
    </row>
    <row r="658" spans="1:2" ht="15" customHeight="1">
      <c r="A658" s="118"/>
      <c r="B658" s="118"/>
    </row>
    <row r="659" spans="1:2" ht="15" customHeight="1">
      <c r="A659" s="118"/>
      <c r="B659" s="118"/>
    </row>
    <row r="660" spans="1:2" ht="15" customHeight="1">
      <c r="A660" s="118"/>
      <c r="B660" s="118"/>
    </row>
    <row r="661" spans="1:2" ht="15" customHeight="1">
      <c r="A661" s="118"/>
      <c r="B661" s="118"/>
    </row>
    <row r="662" spans="1:2" ht="15" customHeight="1">
      <c r="A662" s="118"/>
      <c r="B662" s="118"/>
    </row>
    <row r="663" spans="1:2" ht="15" customHeight="1">
      <c r="A663" s="118"/>
      <c r="B663" s="118"/>
    </row>
    <row r="664" spans="1:2" ht="15" customHeight="1">
      <c r="A664" s="118"/>
      <c r="B664" s="118"/>
    </row>
    <row r="665" spans="1:2" ht="15" customHeight="1">
      <c r="A665" s="118"/>
      <c r="B665" s="118"/>
    </row>
    <row r="666" spans="1:2" ht="15" customHeight="1">
      <c r="A666" s="118"/>
      <c r="B666" s="118"/>
    </row>
    <row r="667" spans="1:2" ht="15" customHeight="1">
      <c r="A667" s="118"/>
      <c r="B667" s="118"/>
    </row>
    <row r="668" spans="1:2" ht="15" customHeight="1">
      <c r="A668" s="118"/>
      <c r="B668" s="118"/>
    </row>
    <row r="669" spans="1:2" ht="15" customHeight="1">
      <c r="A669" s="118"/>
      <c r="B669" s="118"/>
    </row>
    <row r="670" spans="1:2" ht="15" customHeight="1">
      <c r="A670" s="118"/>
      <c r="B670" s="118"/>
    </row>
    <row r="671" spans="1:2" ht="15" customHeight="1">
      <c r="A671" s="118"/>
      <c r="B671" s="118"/>
    </row>
    <row r="672" spans="1:2" ht="15" customHeight="1">
      <c r="A672" s="118"/>
      <c r="B672" s="118"/>
    </row>
    <row r="673" spans="1:2" ht="15" customHeight="1">
      <c r="A673" s="118"/>
      <c r="B673" s="118"/>
    </row>
    <row r="674" spans="1:2" ht="15" customHeight="1">
      <c r="A674" s="118"/>
      <c r="B674" s="118"/>
    </row>
    <row r="675" spans="1:2" ht="15" customHeight="1">
      <c r="A675" s="118"/>
      <c r="B675" s="118"/>
    </row>
    <row r="676" spans="1:2" ht="15" customHeight="1">
      <c r="A676" s="118"/>
      <c r="B676" s="118"/>
    </row>
    <row r="677" spans="1:2" ht="15" customHeight="1">
      <c r="A677" s="118"/>
      <c r="B677" s="118"/>
    </row>
    <row r="678" spans="1:2" ht="15" customHeight="1">
      <c r="A678" s="118"/>
      <c r="B678" s="118"/>
    </row>
    <row r="679" spans="1:2" ht="15" customHeight="1">
      <c r="A679" s="118"/>
      <c r="B679" s="118"/>
    </row>
    <row r="680" spans="1:2" ht="15" customHeight="1">
      <c r="A680" s="118"/>
      <c r="B680" s="118"/>
    </row>
    <row r="681" spans="1:2" ht="15" customHeight="1">
      <c r="A681" s="118"/>
      <c r="B681" s="118"/>
    </row>
    <row r="682" spans="1:2" ht="15" customHeight="1">
      <c r="A682" s="118"/>
      <c r="B682" s="118"/>
    </row>
    <row r="683" spans="1:2" ht="15" customHeight="1">
      <c r="A683" s="118"/>
      <c r="B683" s="118"/>
    </row>
    <row r="684" spans="1:2" ht="15" customHeight="1">
      <c r="A684" s="118"/>
      <c r="B684" s="118"/>
    </row>
    <row r="685" spans="1:2" ht="15" customHeight="1">
      <c r="A685" s="118"/>
      <c r="B685" s="118"/>
    </row>
    <row r="686" spans="1:2" ht="15" customHeight="1">
      <c r="A686" s="118"/>
      <c r="B686" s="118"/>
    </row>
    <row r="687" spans="1:2" ht="15" customHeight="1">
      <c r="A687" s="118"/>
      <c r="B687" s="118"/>
    </row>
    <row r="688" spans="1:2" ht="15" customHeight="1">
      <c r="A688" s="118"/>
      <c r="B688" s="118"/>
    </row>
    <row r="689" spans="1:2" ht="15" customHeight="1">
      <c r="A689" s="118"/>
      <c r="B689" s="118"/>
    </row>
    <row r="690" spans="1:2" ht="15" customHeight="1">
      <c r="A690" s="118"/>
      <c r="B690" s="118"/>
    </row>
    <row r="691" spans="1:2" ht="15" customHeight="1">
      <c r="A691" s="118"/>
      <c r="B691" s="118"/>
    </row>
    <row r="692" spans="1:2" ht="15" customHeight="1">
      <c r="A692" s="118"/>
      <c r="B692" s="118"/>
    </row>
    <row r="693" spans="1:2" ht="15" customHeight="1">
      <c r="A693" s="118"/>
      <c r="B693" s="118"/>
    </row>
    <row r="694" spans="1:2" ht="15" customHeight="1">
      <c r="A694" s="118"/>
      <c r="B694" s="118"/>
    </row>
    <row r="695" spans="1:2" ht="15" customHeight="1">
      <c r="A695" s="118"/>
      <c r="B695" s="118"/>
    </row>
    <row r="696" spans="1:2" ht="15" customHeight="1">
      <c r="A696" s="118"/>
      <c r="B696" s="118"/>
    </row>
    <row r="697" spans="1:2" ht="15" customHeight="1">
      <c r="A697" s="118"/>
      <c r="B697" s="118"/>
    </row>
    <row r="698" spans="1:2" ht="15" customHeight="1">
      <c r="A698" s="118"/>
      <c r="B698" s="118"/>
    </row>
    <row r="699" spans="1:2" ht="15" customHeight="1">
      <c r="A699" s="118"/>
      <c r="B699" s="118"/>
    </row>
    <row r="700" spans="1:2" ht="15" customHeight="1">
      <c r="A700" s="118"/>
      <c r="B700" s="118"/>
    </row>
    <row r="701" spans="1:2" ht="15" customHeight="1">
      <c r="A701" s="118"/>
      <c r="B701" s="118"/>
    </row>
    <row r="702" spans="1:2" ht="15" customHeight="1">
      <c r="A702" s="118"/>
      <c r="B702" s="118"/>
    </row>
    <row r="703" spans="1:2" ht="15" customHeight="1">
      <c r="A703" s="118"/>
      <c r="B703" s="118"/>
    </row>
    <row r="704" spans="1:2" ht="15" customHeight="1">
      <c r="A704" s="118"/>
      <c r="B704" s="118"/>
    </row>
    <row r="705" spans="1:2" ht="15" customHeight="1">
      <c r="A705" s="118"/>
      <c r="B705" s="118"/>
    </row>
    <row r="706" spans="1:2" ht="15" customHeight="1">
      <c r="A706" s="118"/>
      <c r="B706" s="118"/>
    </row>
    <row r="707" spans="1:2" ht="15" customHeight="1">
      <c r="A707" s="118"/>
      <c r="B707" s="118"/>
    </row>
    <row r="708" spans="1:2" ht="15" customHeight="1">
      <c r="A708" s="118"/>
      <c r="B708" s="118"/>
    </row>
    <row r="709" spans="1:2" ht="15" customHeight="1">
      <c r="A709" s="118"/>
      <c r="B709" s="118"/>
    </row>
    <row r="710" spans="1:2" ht="15" customHeight="1">
      <c r="A710" s="118"/>
      <c r="B710" s="118"/>
    </row>
    <row r="711" spans="1:2" ht="15" customHeight="1">
      <c r="A711" s="118"/>
      <c r="B711" s="118"/>
    </row>
    <row r="712" spans="1:2" ht="15" customHeight="1">
      <c r="A712" s="118"/>
      <c r="B712" s="118"/>
    </row>
    <row r="713" spans="1:2" ht="15" customHeight="1">
      <c r="A713" s="118"/>
      <c r="B713" s="118"/>
    </row>
    <row r="714" spans="1:2" ht="15" customHeight="1">
      <c r="A714" s="118"/>
      <c r="B714" s="118"/>
    </row>
    <row r="715" spans="1:2" ht="15" customHeight="1">
      <c r="A715" s="118"/>
      <c r="B715" s="118"/>
    </row>
    <row r="716" spans="1:2" ht="15" customHeight="1">
      <c r="A716" s="118"/>
      <c r="B716" s="118"/>
    </row>
    <row r="717" spans="1:2" ht="15" customHeight="1">
      <c r="A717" s="118"/>
      <c r="B717" s="118"/>
    </row>
    <row r="718" spans="1:2" ht="15" customHeight="1">
      <c r="A718" s="118"/>
      <c r="B718" s="118"/>
    </row>
    <row r="719" spans="1:2" ht="15" customHeight="1">
      <c r="A719" s="118"/>
      <c r="B719" s="118"/>
    </row>
    <row r="720" spans="1:2" ht="15" customHeight="1">
      <c r="A720" s="118"/>
      <c r="B720" s="118"/>
    </row>
    <row r="721" spans="1:2" ht="15" customHeight="1">
      <c r="A721" s="118"/>
      <c r="B721" s="118"/>
    </row>
    <row r="722" spans="1:2" ht="15" customHeight="1">
      <c r="A722" s="118"/>
      <c r="B722" s="118"/>
    </row>
    <row r="723" spans="1:2" ht="15" customHeight="1">
      <c r="A723" s="118"/>
      <c r="B723" s="118"/>
    </row>
    <row r="724" spans="1:2" ht="15" customHeight="1">
      <c r="A724" s="118"/>
      <c r="B724" s="118"/>
    </row>
    <row r="725" spans="1:2" ht="15" customHeight="1">
      <c r="A725" s="118"/>
      <c r="B725" s="118"/>
    </row>
    <row r="726" spans="1:2" ht="15" customHeight="1">
      <c r="A726" s="118"/>
      <c r="B726" s="118"/>
    </row>
    <row r="727" spans="1:2" ht="15" customHeight="1">
      <c r="A727" s="118"/>
      <c r="B727" s="118"/>
    </row>
    <row r="728" spans="1:2" ht="15" customHeight="1">
      <c r="A728" s="118"/>
      <c r="B728" s="118"/>
    </row>
    <row r="729" spans="1:2" ht="15" customHeight="1">
      <c r="A729" s="118"/>
      <c r="B729" s="118"/>
    </row>
    <row r="730" spans="1:2" ht="15" customHeight="1">
      <c r="A730" s="118"/>
      <c r="B730" s="118"/>
    </row>
    <row r="731" spans="1:2" ht="15" customHeight="1">
      <c r="A731" s="118"/>
      <c r="B731" s="118"/>
    </row>
    <row r="732" spans="1:2" ht="15" customHeight="1">
      <c r="A732" s="118"/>
      <c r="B732" s="118"/>
    </row>
    <row r="733" spans="1:2" ht="15" customHeight="1">
      <c r="A733" s="118"/>
      <c r="B733" s="118"/>
    </row>
    <row r="734" spans="1:2" ht="15" customHeight="1">
      <c r="A734" s="118"/>
      <c r="B734" s="118"/>
    </row>
    <row r="735" spans="1:2" ht="15" customHeight="1">
      <c r="A735" s="118"/>
      <c r="B735" s="118"/>
    </row>
    <row r="736" spans="1:2" ht="15" customHeight="1">
      <c r="A736" s="118"/>
      <c r="B736" s="118"/>
    </row>
    <row r="737" spans="1:2" ht="15" customHeight="1">
      <c r="A737" s="118"/>
      <c r="B737" s="118"/>
    </row>
    <row r="738" spans="1:2" ht="15" customHeight="1">
      <c r="A738" s="118"/>
      <c r="B738" s="118"/>
    </row>
    <row r="739" spans="1:2" ht="15" customHeight="1">
      <c r="A739" s="118"/>
      <c r="B739" s="118"/>
    </row>
    <row r="740" spans="1:2" ht="15" customHeight="1">
      <c r="A740" s="118"/>
      <c r="B740" s="118"/>
    </row>
    <row r="741" spans="1:2" ht="15" customHeight="1">
      <c r="A741" s="118"/>
      <c r="B741" s="118"/>
    </row>
    <row r="742" spans="1:2" ht="15" customHeight="1">
      <c r="A742" s="118"/>
      <c r="B742" s="118"/>
    </row>
    <row r="743" spans="1:2" ht="15" customHeight="1">
      <c r="A743" s="118"/>
      <c r="B743" s="118"/>
    </row>
    <row r="744" spans="1:2" ht="15" customHeight="1">
      <c r="A744" s="118"/>
      <c r="B744" s="118"/>
    </row>
    <row r="745" spans="1:2" ht="15" customHeight="1">
      <c r="A745" s="118"/>
      <c r="B745" s="118"/>
    </row>
    <row r="746" spans="1:2" ht="15" customHeight="1">
      <c r="A746" s="118"/>
      <c r="B746" s="118"/>
    </row>
    <row r="747" spans="1:2" ht="15" customHeight="1">
      <c r="A747" s="118"/>
      <c r="B747" s="118"/>
    </row>
    <row r="748" spans="1:2" ht="15" customHeight="1">
      <c r="A748" s="118"/>
      <c r="B748" s="118"/>
    </row>
    <row r="749" spans="1:2" ht="15" customHeight="1">
      <c r="A749" s="118"/>
      <c r="B749" s="118"/>
    </row>
    <row r="750" spans="1:2" ht="15" customHeight="1">
      <c r="A750" s="118"/>
      <c r="B750" s="118"/>
    </row>
    <row r="751" spans="1:2" ht="15" customHeight="1">
      <c r="A751" s="118"/>
      <c r="B751" s="118"/>
    </row>
    <row r="752" spans="1:2" ht="15" customHeight="1">
      <c r="A752" s="118"/>
      <c r="B752" s="118"/>
    </row>
    <row r="753" spans="1:2" ht="15" customHeight="1">
      <c r="A753" s="118"/>
      <c r="B753" s="118"/>
    </row>
    <row r="754" spans="1:2" ht="15" customHeight="1">
      <c r="A754" s="118"/>
      <c r="B754" s="118"/>
    </row>
    <row r="755" spans="1:2" ht="15" customHeight="1">
      <c r="A755" s="118"/>
      <c r="B755" s="118"/>
    </row>
    <row r="756" spans="1:2" ht="15" customHeight="1">
      <c r="A756" s="118"/>
      <c r="B756" s="118"/>
    </row>
    <row r="757" spans="1:2" ht="15" customHeight="1">
      <c r="A757" s="118"/>
      <c r="B757" s="118"/>
    </row>
    <row r="758" spans="1:2" ht="15" customHeight="1">
      <c r="A758" s="118"/>
      <c r="B758" s="118"/>
    </row>
    <row r="759" spans="1:2" ht="15" customHeight="1">
      <c r="A759" s="118"/>
      <c r="B759" s="118"/>
    </row>
    <row r="760" spans="1:2" ht="15" customHeight="1">
      <c r="A760" s="118"/>
      <c r="B760" s="118"/>
    </row>
    <row r="761" spans="1:2" ht="15" customHeight="1">
      <c r="A761" s="118"/>
      <c r="B761" s="118"/>
    </row>
    <row r="762" spans="1:2" ht="15" customHeight="1">
      <c r="A762" s="118"/>
      <c r="B762" s="118"/>
    </row>
    <row r="763" spans="1:2" ht="15" customHeight="1">
      <c r="A763" s="118"/>
      <c r="B763" s="118"/>
    </row>
    <row r="764" spans="1:2" ht="15" customHeight="1">
      <c r="A764" s="118"/>
      <c r="B764" s="118"/>
    </row>
    <row r="765" spans="1:2" ht="15" customHeight="1">
      <c r="A765" s="118"/>
      <c r="B765" s="118"/>
    </row>
    <row r="766" spans="1:2" ht="15" customHeight="1">
      <c r="A766" s="118"/>
      <c r="B766" s="118"/>
    </row>
    <row r="767" spans="1:2" ht="15" customHeight="1">
      <c r="A767" s="118"/>
      <c r="B767" s="118"/>
    </row>
    <row r="768" spans="1:2" ht="15" customHeight="1">
      <c r="A768" s="118"/>
      <c r="B768" s="118"/>
    </row>
    <row r="769" spans="1:2" ht="15" customHeight="1">
      <c r="A769" s="118"/>
      <c r="B769" s="118"/>
    </row>
    <row r="770" spans="1:2" ht="15" customHeight="1">
      <c r="A770" s="118"/>
      <c r="B770" s="118"/>
    </row>
    <row r="771" spans="1:2" ht="15" customHeight="1">
      <c r="A771" s="118"/>
      <c r="B771" s="118"/>
    </row>
    <row r="772" spans="1:2" ht="15" customHeight="1">
      <c r="A772" s="118"/>
      <c r="B772" s="118"/>
    </row>
    <row r="773" spans="1:2" ht="15" customHeight="1">
      <c r="A773" s="118"/>
      <c r="B773" s="118"/>
    </row>
    <row r="774" spans="1:2" ht="15" customHeight="1">
      <c r="A774" s="118"/>
      <c r="B774" s="118"/>
    </row>
    <row r="775" spans="1:2" ht="15" customHeight="1">
      <c r="A775" s="118"/>
      <c r="B775" s="118"/>
    </row>
    <row r="776" spans="1:2" ht="15" customHeight="1">
      <c r="A776" s="118"/>
      <c r="B776" s="118"/>
    </row>
    <row r="777" spans="1:2" ht="15" customHeight="1">
      <c r="A777" s="118"/>
      <c r="B777" s="118"/>
    </row>
    <row r="778" spans="1:2" ht="15" customHeight="1">
      <c r="A778" s="118"/>
      <c r="B778" s="118"/>
    </row>
    <row r="779" spans="1:2" ht="15" customHeight="1">
      <c r="A779" s="118"/>
      <c r="B779" s="118"/>
    </row>
    <row r="780" spans="1:2" ht="15" customHeight="1">
      <c r="A780" s="118"/>
      <c r="B780" s="118"/>
    </row>
    <row r="781" spans="1:2" ht="15" customHeight="1">
      <c r="A781" s="118"/>
      <c r="B781" s="118"/>
    </row>
    <row r="782" spans="1:2" ht="15" customHeight="1">
      <c r="A782" s="118"/>
      <c r="B782" s="118"/>
    </row>
    <row r="783" spans="1:2" ht="15" customHeight="1">
      <c r="A783" s="118"/>
      <c r="B783" s="118"/>
    </row>
    <row r="784" spans="1:2" ht="15" customHeight="1">
      <c r="A784" s="118"/>
      <c r="B784" s="118"/>
    </row>
    <row r="785" spans="1:2" ht="15" customHeight="1">
      <c r="A785" s="118"/>
      <c r="B785" s="118"/>
    </row>
    <row r="786" spans="1:2" ht="15" customHeight="1">
      <c r="A786" s="118"/>
      <c r="B786" s="118"/>
    </row>
    <row r="787" spans="1:2" ht="15" customHeight="1">
      <c r="A787" s="118"/>
      <c r="B787" s="118"/>
    </row>
    <row r="788" spans="1:2" ht="15" customHeight="1">
      <c r="A788" s="118"/>
      <c r="B788" s="118"/>
    </row>
    <row r="789" spans="1:2" ht="15" customHeight="1">
      <c r="A789" s="118"/>
      <c r="B789" s="118"/>
    </row>
    <row r="790" spans="1:2" ht="15" customHeight="1">
      <c r="A790" s="118"/>
      <c r="B790" s="118"/>
    </row>
    <row r="791" spans="1:2" ht="15" customHeight="1">
      <c r="A791" s="118"/>
      <c r="B791" s="118"/>
    </row>
    <row r="792" spans="1:2" ht="15" customHeight="1">
      <c r="A792" s="118"/>
      <c r="B792" s="118"/>
    </row>
    <row r="793" spans="1:2" ht="15" customHeight="1">
      <c r="A793" s="118"/>
      <c r="B793" s="118"/>
    </row>
    <row r="794" spans="1:2" ht="15" customHeight="1">
      <c r="A794" s="118"/>
      <c r="B794" s="118"/>
    </row>
    <row r="795" spans="1:2" ht="15" customHeight="1">
      <c r="A795" s="118"/>
      <c r="B795" s="118"/>
    </row>
    <row r="796" spans="1:2" ht="15" customHeight="1">
      <c r="A796" s="118"/>
      <c r="B796" s="118"/>
    </row>
    <row r="797" spans="1:2" ht="15" customHeight="1">
      <c r="A797" s="118"/>
      <c r="B797" s="118"/>
    </row>
    <row r="798" spans="1:2" ht="15" customHeight="1">
      <c r="A798" s="118"/>
      <c r="B798" s="118"/>
    </row>
    <row r="799" spans="1:2" ht="15" customHeight="1">
      <c r="A799" s="118"/>
      <c r="B799" s="118"/>
    </row>
    <row r="800" spans="1:2" ht="15" customHeight="1">
      <c r="A800" s="118"/>
      <c r="B800" s="118"/>
    </row>
    <row r="801" spans="1:2" ht="15" customHeight="1">
      <c r="A801" s="118"/>
      <c r="B801" s="118"/>
    </row>
    <row r="802" spans="1:2" ht="15" customHeight="1">
      <c r="A802" s="118"/>
      <c r="B802" s="118"/>
    </row>
    <row r="803" spans="1:2" ht="15" customHeight="1">
      <c r="A803" s="118"/>
      <c r="B803" s="118"/>
    </row>
    <row r="804" spans="1:2" ht="15" customHeight="1">
      <c r="A804" s="118"/>
      <c r="B804" s="118"/>
    </row>
    <row r="805" spans="1:2" ht="15" customHeight="1">
      <c r="A805" s="118"/>
      <c r="B805" s="118"/>
    </row>
    <row r="806" spans="1:2" ht="15" customHeight="1">
      <c r="A806" s="118"/>
      <c r="B806" s="118"/>
    </row>
    <row r="807" spans="1:2" ht="15" customHeight="1">
      <c r="A807" s="118"/>
      <c r="B807" s="118"/>
    </row>
    <row r="808" spans="1:2" ht="15" customHeight="1">
      <c r="A808" s="118"/>
      <c r="B808" s="118"/>
    </row>
    <row r="809" spans="1:2" ht="15" customHeight="1">
      <c r="A809" s="118"/>
      <c r="B809" s="118"/>
    </row>
    <row r="810" spans="1:2" ht="15" customHeight="1">
      <c r="A810" s="118"/>
      <c r="B810" s="118"/>
    </row>
    <row r="811" spans="1:2" ht="15" customHeight="1">
      <c r="A811" s="118"/>
      <c r="B811" s="118"/>
    </row>
    <row r="812" spans="1:2" ht="15" customHeight="1">
      <c r="A812" s="118"/>
      <c r="B812" s="118"/>
    </row>
    <row r="813" spans="1:2" ht="15" customHeight="1">
      <c r="A813" s="118"/>
      <c r="B813" s="118"/>
    </row>
    <row r="814" spans="1:2" ht="15" customHeight="1">
      <c r="A814" s="118"/>
      <c r="B814" s="118"/>
    </row>
    <row r="815" spans="1:2" ht="15" customHeight="1">
      <c r="A815" s="118"/>
      <c r="B815" s="118"/>
    </row>
    <row r="816" spans="1:2" ht="15" customHeight="1">
      <c r="A816" s="118"/>
      <c r="B816" s="118"/>
    </row>
    <row r="817" spans="1:2" ht="15" customHeight="1">
      <c r="A817" s="118"/>
      <c r="B817" s="118"/>
    </row>
    <row r="818" spans="1:2" ht="15" customHeight="1">
      <c r="A818" s="118"/>
      <c r="B818" s="118"/>
    </row>
    <row r="819" spans="1:2" ht="15" customHeight="1">
      <c r="A819" s="118"/>
      <c r="B819" s="118"/>
    </row>
    <row r="820" spans="1:2" ht="15" customHeight="1">
      <c r="A820" s="118"/>
      <c r="B820" s="118"/>
    </row>
    <row r="821" spans="1:2" ht="15" customHeight="1">
      <c r="A821" s="118"/>
      <c r="B821" s="118"/>
    </row>
    <row r="822" spans="1:2" ht="15" customHeight="1">
      <c r="A822" s="118"/>
      <c r="B822" s="118"/>
    </row>
    <row r="823" spans="1:2" ht="15" customHeight="1">
      <c r="A823" s="118"/>
      <c r="B823" s="118"/>
    </row>
    <row r="824" spans="1:2" ht="15" customHeight="1">
      <c r="A824" s="118"/>
      <c r="B824" s="118"/>
    </row>
    <row r="825" spans="1:2" ht="15" customHeight="1">
      <c r="A825" s="118"/>
      <c r="B825" s="118"/>
    </row>
    <row r="826" spans="1:2" ht="15" customHeight="1">
      <c r="A826" s="118"/>
      <c r="B826" s="118"/>
    </row>
    <row r="827" spans="1:2" ht="15" customHeight="1">
      <c r="A827" s="118"/>
      <c r="B827" s="118"/>
    </row>
    <row r="828" spans="1:2" ht="15" customHeight="1">
      <c r="A828" s="118"/>
      <c r="B828" s="118"/>
    </row>
    <row r="829" spans="1:2" ht="15" customHeight="1">
      <c r="A829" s="118"/>
      <c r="B829" s="118"/>
    </row>
    <row r="830" spans="1:2" ht="15" customHeight="1">
      <c r="A830" s="118"/>
      <c r="B830" s="118"/>
    </row>
    <row r="831" spans="1:2" ht="15" customHeight="1">
      <c r="A831" s="118"/>
      <c r="B831" s="118"/>
    </row>
    <row r="832" spans="1:2" ht="15" customHeight="1">
      <c r="A832" s="118"/>
      <c r="B832" s="118"/>
    </row>
    <row r="833" spans="1:2" ht="15" customHeight="1">
      <c r="A833" s="118"/>
      <c r="B833" s="118"/>
    </row>
    <row r="834" spans="1:2" ht="15" customHeight="1">
      <c r="A834" s="118"/>
      <c r="B834" s="118"/>
    </row>
    <row r="835" spans="1:2" ht="15" customHeight="1">
      <c r="A835" s="118"/>
      <c r="B835" s="118"/>
    </row>
    <row r="836" spans="1:2" ht="15" customHeight="1">
      <c r="A836" s="118"/>
      <c r="B836" s="118"/>
    </row>
    <row r="837" spans="1:2" ht="15" customHeight="1">
      <c r="A837" s="118"/>
      <c r="B837" s="118"/>
    </row>
    <row r="838" spans="1:2" ht="15" customHeight="1">
      <c r="A838" s="118"/>
      <c r="B838" s="118"/>
    </row>
    <row r="839" spans="1:2" ht="15" customHeight="1">
      <c r="A839" s="118"/>
      <c r="B839" s="118"/>
    </row>
    <row r="840" spans="1:2" ht="15" customHeight="1">
      <c r="A840" s="118"/>
      <c r="B840" s="118"/>
    </row>
    <row r="841" spans="1:2" ht="15" customHeight="1">
      <c r="A841" s="118"/>
      <c r="B841" s="118"/>
    </row>
    <row r="842" spans="1:2" ht="15" customHeight="1">
      <c r="A842" s="118"/>
      <c r="B842" s="118"/>
    </row>
    <row r="843" spans="1:2" ht="15" customHeight="1">
      <c r="A843" s="118"/>
      <c r="B843" s="118"/>
    </row>
    <row r="844" spans="1:2" ht="15" customHeight="1">
      <c r="A844" s="118"/>
      <c r="B844" s="118"/>
    </row>
    <row r="845" spans="1:2" ht="15" customHeight="1">
      <c r="A845" s="118"/>
      <c r="B845" s="118"/>
    </row>
    <row r="846" spans="1:2" ht="15" customHeight="1">
      <c r="A846" s="118"/>
      <c r="B846" s="118"/>
    </row>
    <row r="847" spans="1:2" ht="15" customHeight="1">
      <c r="A847" s="118"/>
      <c r="B847" s="118"/>
    </row>
    <row r="848" spans="1:2" ht="15" customHeight="1">
      <c r="A848" s="118"/>
      <c r="B848" s="118"/>
    </row>
    <row r="849" spans="1:2" ht="15" customHeight="1">
      <c r="A849" s="118"/>
      <c r="B849" s="118"/>
    </row>
    <row r="850" spans="1:2" ht="15" customHeight="1">
      <c r="A850" s="118"/>
      <c r="B850" s="118"/>
    </row>
    <row r="851" spans="1:2" ht="15" customHeight="1">
      <c r="A851" s="118"/>
      <c r="B851" s="118"/>
    </row>
    <row r="852" spans="1:2" ht="15" customHeight="1">
      <c r="A852" s="118"/>
      <c r="B852" s="118"/>
    </row>
    <row r="853" spans="1:2" ht="15" customHeight="1">
      <c r="A853" s="118"/>
      <c r="B853" s="118"/>
    </row>
    <row r="854" spans="1:2" ht="15" customHeight="1">
      <c r="A854" s="118"/>
      <c r="B854" s="118"/>
    </row>
    <row r="855" spans="1:2" ht="15" customHeight="1">
      <c r="A855" s="118"/>
      <c r="B855" s="118"/>
    </row>
    <row r="856" spans="1:2" ht="15" customHeight="1">
      <c r="A856" s="118"/>
      <c r="B856" s="118"/>
    </row>
    <row r="857" spans="1:2" ht="15" customHeight="1">
      <c r="A857" s="118"/>
      <c r="B857" s="118"/>
    </row>
    <row r="858" spans="1:2" ht="15" customHeight="1">
      <c r="A858" s="118"/>
      <c r="B858" s="118"/>
    </row>
    <row r="859" spans="1:2" ht="15" customHeight="1">
      <c r="A859" s="118"/>
      <c r="B859" s="118"/>
    </row>
    <row r="860" spans="1:2" ht="15" customHeight="1">
      <c r="A860" s="118"/>
      <c r="B860" s="118"/>
    </row>
    <row r="861" spans="1:2" ht="15" customHeight="1">
      <c r="A861" s="118"/>
      <c r="B861" s="118"/>
    </row>
    <row r="862" spans="1:2" ht="15" customHeight="1">
      <c r="A862" s="118"/>
      <c r="B862" s="118"/>
    </row>
    <row r="863" spans="1:2" ht="15" customHeight="1">
      <c r="A863" s="118"/>
      <c r="B863" s="118"/>
    </row>
    <row r="864" spans="1:2" ht="15" customHeight="1">
      <c r="A864" s="118"/>
      <c r="B864" s="118"/>
    </row>
    <row r="865" spans="1:2" ht="15" customHeight="1">
      <c r="A865" s="118"/>
      <c r="B865" s="118"/>
    </row>
    <row r="866" spans="1:2" ht="15" customHeight="1">
      <c r="A866" s="118"/>
      <c r="B866" s="118"/>
    </row>
    <row r="867" spans="1:2" ht="15" customHeight="1">
      <c r="A867" s="118"/>
      <c r="B867" s="118"/>
    </row>
    <row r="868" spans="1:2" ht="15" customHeight="1">
      <c r="A868" s="118"/>
      <c r="B868" s="118"/>
    </row>
    <row r="869" spans="1:2" ht="15" customHeight="1">
      <c r="A869" s="118"/>
      <c r="B869" s="118"/>
    </row>
    <row r="870" spans="1:2" ht="15" customHeight="1">
      <c r="A870" s="118"/>
      <c r="B870" s="118"/>
    </row>
    <row r="871" spans="1:2" ht="15" customHeight="1">
      <c r="A871" s="118"/>
      <c r="B871" s="118"/>
    </row>
    <row r="872" spans="1:2" ht="15" customHeight="1">
      <c r="A872" s="118"/>
      <c r="B872" s="118"/>
    </row>
    <row r="873" spans="1:2" ht="15" customHeight="1">
      <c r="A873" s="118"/>
      <c r="B873" s="118"/>
    </row>
    <row r="874" spans="1:2" ht="15" customHeight="1">
      <c r="A874" s="118"/>
      <c r="B874" s="118"/>
    </row>
    <row r="875" spans="1:2" ht="15" customHeight="1">
      <c r="A875" s="118"/>
      <c r="B875" s="118"/>
    </row>
    <row r="876" spans="1:2" ht="15" customHeight="1">
      <c r="A876" s="118"/>
      <c r="B876" s="118"/>
    </row>
    <row r="877" spans="1:2" ht="15" customHeight="1">
      <c r="A877" s="118"/>
      <c r="B877" s="118"/>
    </row>
    <row r="878" spans="1:2" ht="15" customHeight="1">
      <c r="A878" s="118"/>
      <c r="B878" s="118"/>
    </row>
    <row r="879" spans="1:2" ht="15" customHeight="1">
      <c r="A879" s="118"/>
      <c r="B879" s="118"/>
    </row>
    <row r="880" spans="1:2" ht="15" customHeight="1">
      <c r="A880" s="118"/>
      <c r="B880" s="118"/>
    </row>
    <row r="881" spans="1:2" ht="15" customHeight="1">
      <c r="A881" s="118"/>
      <c r="B881" s="118"/>
    </row>
    <row r="882" spans="1:2" ht="15" customHeight="1">
      <c r="A882" s="118"/>
      <c r="B882" s="118"/>
    </row>
    <row r="883" spans="1:2" ht="15" customHeight="1">
      <c r="A883" s="118"/>
      <c r="B883" s="118"/>
    </row>
    <row r="884" spans="1:2" ht="15" customHeight="1">
      <c r="A884" s="118"/>
      <c r="B884" s="118"/>
    </row>
    <row r="885" spans="1:2" ht="15" customHeight="1">
      <c r="A885" s="118"/>
      <c r="B885" s="118"/>
    </row>
    <row r="886" spans="1:2" ht="15" customHeight="1">
      <c r="A886" s="118"/>
      <c r="B886" s="118"/>
    </row>
    <row r="887" spans="1:2" ht="15" customHeight="1">
      <c r="A887" s="118"/>
      <c r="B887" s="118"/>
    </row>
    <row r="888" spans="1:2" ht="15" customHeight="1">
      <c r="A888" s="118"/>
      <c r="B888" s="118"/>
    </row>
    <row r="889" spans="1:2" ht="15" customHeight="1">
      <c r="A889" s="118"/>
      <c r="B889" s="118"/>
    </row>
    <row r="890" spans="1:2" ht="15" customHeight="1">
      <c r="A890" s="118"/>
      <c r="B890" s="118"/>
    </row>
    <row r="891" spans="1:2" ht="15" customHeight="1">
      <c r="A891" s="118"/>
      <c r="B891" s="118"/>
    </row>
    <row r="892" spans="1:2" ht="15" customHeight="1">
      <c r="A892" s="118"/>
      <c r="B892" s="118"/>
    </row>
    <row r="893" spans="1:2" ht="15" customHeight="1">
      <c r="A893" s="118"/>
      <c r="B893" s="118"/>
    </row>
    <row r="894" spans="1:2" ht="15" customHeight="1">
      <c r="A894" s="118"/>
      <c r="B894" s="118"/>
    </row>
    <row r="895" spans="1:2" ht="15" customHeight="1">
      <c r="A895" s="118"/>
      <c r="B895" s="118"/>
    </row>
    <row r="896" spans="1:2" ht="15" customHeight="1">
      <c r="A896" s="118"/>
      <c r="B896" s="118"/>
    </row>
    <row r="897" spans="1:2" ht="15" customHeight="1">
      <c r="A897" s="118"/>
      <c r="B897" s="118"/>
    </row>
    <row r="898" spans="1:2" ht="15" customHeight="1">
      <c r="A898" s="118"/>
      <c r="B898" s="118"/>
    </row>
    <row r="899" spans="1:2" ht="15" customHeight="1">
      <c r="A899" s="118"/>
      <c r="B899" s="118"/>
    </row>
    <row r="900" spans="1:2" ht="15" customHeight="1">
      <c r="A900" s="118"/>
      <c r="B900" s="118"/>
    </row>
    <row r="901" spans="1:2" ht="15" customHeight="1">
      <c r="A901" s="118"/>
      <c r="B901" s="118"/>
    </row>
    <row r="902" spans="1:2" ht="15" customHeight="1">
      <c r="A902" s="118"/>
      <c r="B902" s="118"/>
    </row>
    <row r="903" spans="1:2" ht="15" customHeight="1">
      <c r="A903" s="118"/>
      <c r="B903" s="118"/>
    </row>
    <row r="904" spans="1:2" ht="15" customHeight="1">
      <c r="A904" s="118"/>
      <c r="B904" s="118"/>
    </row>
    <row r="905" spans="1:2" ht="15" customHeight="1">
      <c r="A905" s="118"/>
      <c r="B905" s="118"/>
    </row>
    <row r="906" spans="1:2" ht="15" customHeight="1">
      <c r="A906" s="118"/>
      <c r="B906" s="118"/>
    </row>
    <row r="907" spans="1:2" ht="15" customHeight="1">
      <c r="A907" s="118"/>
      <c r="B907" s="118"/>
    </row>
    <row r="908" spans="1:2" ht="15" customHeight="1">
      <c r="A908" s="118"/>
      <c r="B908" s="118"/>
    </row>
    <row r="909" spans="1:2" ht="15" customHeight="1">
      <c r="A909" s="118"/>
      <c r="B909" s="118"/>
    </row>
    <row r="910" spans="1:2" ht="15" customHeight="1">
      <c r="A910" s="118"/>
      <c r="B910" s="118"/>
    </row>
    <row r="911" spans="1:2" ht="15" customHeight="1">
      <c r="A911" s="118"/>
      <c r="B911" s="118"/>
    </row>
    <row r="912" spans="1:2" ht="15" customHeight="1">
      <c r="A912" s="118"/>
      <c r="B912" s="118"/>
    </row>
    <row r="913" spans="1:2" ht="15" customHeight="1">
      <c r="A913" s="118"/>
      <c r="B913" s="118"/>
    </row>
    <row r="914" spans="1:2" ht="15" customHeight="1">
      <c r="A914" s="118"/>
      <c r="B914" s="118"/>
    </row>
    <row r="915" spans="1:2" ht="15" customHeight="1">
      <c r="A915" s="118"/>
      <c r="B915" s="118"/>
    </row>
    <row r="916" spans="1:2" ht="15" customHeight="1">
      <c r="A916" s="118"/>
      <c r="B916" s="118"/>
    </row>
    <row r="917" spans="1:2" ht="15" customHeight="1">
      <c r="A917" s="118"/>
      <c r="B917" s="118"/>
    </row>
    <row r="918" spans="1:2" ht="15" customHeight="1">
      <c r="A918" s="118"/>
      <c r="B918" s="118"/>
    </row>
    <row r="919" spans="1:2" ht="15" customHeight="1">
      <c r="A919" s="118"/>
      <c r="B919" s="118"/>
    </row>
    <row r="920" spans="1:2" ht="15" customHeight="1">
      <c r="A920" s="118"/>
      <c r="B920" s="118"/>
    </row>
    <row r="921" spans="1:2" ht="15" customHeight="1">
      <c r="A921" s="118"/>
      <c r="B921" s="118"/>
    </row>
    <row r="922" spans="1:2" ht="15" customHeight="1">
      <c r="A922" s="118"/>
      <c r="B922" s="118"/>
    </row>
    <row r="923" spans="1:2" ht="15" customHeight="1">
      <c r="A923" s="118"/>
      <c r="B923" s="118"/>
    </row>
    <row r="924" spans="1:2" ht="15" customHeight="1">
      <c r="A924" s="118"/>
      <c r="B924" s="118"/>
    </row>
    <row r="925" spans="1:2" ht="15" customHeight="1">
      <c r="A925" s="118"/>
      <c r="B925" s="118"/>
    </row>
    <row r="926" spans="1:2" ht="15" customHeight="1">
      <c r="A926" s="118"/>
      <c r="B926" s="118"/>
    </row>
    <row r="927" spans="1:2" ht="15" customHeight="1">
      <c r="A927" s="118"/>
      <c r="B927" s="118"/>
    </row>
    <row r="928" spans="1:2" ht="15" customHeight="1">
      <c r="A928" s="118"/>
      <c r="B928" s="118"/>
    </row>
    <row r="929" spans="1:2" ht="15" customHeight="1">
      <c r="A929" s="118"/>
      <c r="B929" s="118"/>
    </row>
    <row r="930" spans="1:2" ht="15" customHeight="1">
      <c r="A930" s="118"/>
      <c r="B930" s="118"/>
    </row>
    <row r="931" spans="1:2" ht="15" customHeight="1">
      <c r="A931" s="118"/>
      <c r="B931" s="118"/>
    </row>
    <row r="932" spans="1:2" ht="15" customHeight="1">
      <c r="A932" s="118"/>
      <c r="B932" s="118"/>
    </row>
    <row r="933" spans="1:2" ht="15" customHeight="1">
      <c r="A933" s="118"/>
      <c r="B933" s="118"/>
    </row>
    <row r="934" spans="1:2" ht="15" customHeight="1">
      <c r="A934" s="118"/>
      <c r="B934" s="118"/>
    </row>
    <row r="935" spans="1:2" ht="15" customHeight="1">
      <c r="A935" s="118"/>
      <c r="B935" s="118"/>
    </row>
    <row r="936" spans="1:2" ht="15" customHeight="1">
      <c r="A936" s="118"/>
      <c r="B936" s="118"/>
    </row>
    <row r="937" spans="1:2" ht="15" customHeight="1">
      <c r="A937" s="118"/>
      <c r="B937" s="118"/>
    </row>
    <row r="938" spans="1:2" ht="15" customHeight="1">
      <c r="A938" s="118"/>
      <c r="B938" s="118"/>
    </row>
    <row r="939" spans="1:2" ht="15" customHeight="1">
      <c r="A939" s="118"/>
      <c r="B939" s="118"/>
    </row>
    <row r="940" spans="1:2" ht="15" customHeight="1">
      <c r="A940" s="118"/>
      <c r="B940" s="118"/>
    </row>
    <row r="941" spans="1:2" ht="15" customHeight="1">
      <c r="A941" s="118"/>
      <c r="B941" s="118"/>
    </row>
    <row r="942" spans="1:2" ht="15" customHeight="1">
      <c r="A942" s="118"/>
      <c r="B942" s="118"/>
    </row>
    <row r="943" spans="1:2" ht="15" customHeight="1">
      <c r="A943" s="118"/>
      <c r="B943" s="118"/>
    </row>
    <row r="944" spans="1:2" ht="15" customHeight="1">
      <c r="A944" s="118"/>
      <c r="B944" s="118"/>
    </row>
    <row r="945" spans="1:2" ht="15" customHeight="1">
      <c r="A945" s="118"/>
      <c r="B945" s="118"/>
    </row>
    <row r="946" spans="1:2" ht="15" customHeight="1">
      <c r="A946" s="118"/>
      <c r="B946" s="118"/>
    </row>
    <row r="947" spans="1:2" ht="15" customHeight="1">
      <c r="A947" s="118"/>
      <c r="B947" s="118"/>
    </row>
    <row r="948" spans="1:2" ht="15" customHeight="1">
      <c r="A948" s="118"/>
      <c r="B948" s="118"/>
    </row>
    <row r="949" spans="1:2" ht="15" customHeight="1">
      <c r="A949" s="118"/>
      <c r="B949" s="118"/>
    </row>
    <row r="950" spans="1:2" ht="15" customHeight="1">
      <c r="A950" s="118"/>
      <c r="B950" s="118"/>
    </row>
    <row r="951" spans="1:2" ht="15" customHeight="1">
      <c r="A951" s="118"/>
      <c r="B951" s="118"/>
    </row>
    <row r="952" spans="1:2" ht="15" customHeight="1">
      <c r="A952" s="118"/>
      <c r="B952" s="118"/>
    </row>
    <row r="953" spans="1:2" ht="15" customHeight="1">
      <c r="A953" s="118"/>
      <c r="B953" s="118"/>
    </row>
    <row r="954" spans="1:2" ht="15" customHeight="1">
      <c r="A954" s="118"/>
      <c r="B954" s="118"/>
    </row>
    <row r="955" spans="1:2" ht="15" customHeight="1">
      <c r="A955" s="118"/>
      <c r="B955" s="118"/>
    </row>
    <row r="956" spans="1:2" ht="15" customHeight="1">
      <c r="A956" s="118"/>
      <c r="B956" s="118"/>
    </row>
    <row r="957" spans="1:2" ht="15" customHeight="1">
      <c r="A957" s="118"/>
      <c r="B957" s="118"/>
    </row>
    <row r="958" spans="1:2" ht="15" customHeight="1">
      <c r="A958" s="118"/>
      <c r="B958" s="118"/>
    </row>
    <row r="959" spans="1:2" ht="15" customHeight="1">
      <c r="A959" s="118"/>
      <c r="B959" s="118"/>
    </row>
    <row r="960" spans="1:2" ht="15" customHeight="1">
      <c r="A960" s="118"/>
      <c r="B960" s="118"/>
    </row>
    <row r="961" spans="1:2" ht="15" customHeight="1">
      <c r="A961" s="118"/>
      <c r="B961" s="118"/>
    </row>
    <row r="962" spans="1:2" ht="15" customHeight="1">
      <c r="A962" s="118"/>
      <c r="B962" s="118"/>
    </row>
    <row r="963" spans="1:2" ht="15" customHeight="1">
      <c r="A963" s="118"/>
      <c r="B963" s="118"/>
    </row>
    <row r="964" spans="1:2" ht="15" customHeight="1">
      <c r="A964" s="118"/>
      <c r="B964" s="118"/>
    </row>
    <row r="965" spans="1:2" ht="15" customHeight="1">
      <c r="A965" s="118"/>
      <c r="B965" s="118"/>
    </row>
    <row r="966" spans="1:2" ht="15" customHeight="1">
      <c r="A966" s="118"/>
      <c r="B966" s="118"/>
    </row>
    <row r="967" spans="1:2" ht="15" customHeight="1">
      <c r="A967" s="118"/>
      <c r="B967" s="118"/>
    </row>
    <row r="968" spans="1:2" ht="15" customHeight="1">
      <c r="A968" s="118"/>
      <c r="B968" s="118"/>
    </row>
    <row r="969" spans="1:2" ht="15" customHeight="1">
      <c r="A969" s="118"/>
      <c r="B969" s="118"/>
    </row>
    <row r="970" spans="1:2" ht="15" customHeight="1">
      <c r="A970" s="118"/>
      <c r="B970" s="118"/>
    </row>
    <row r="971" spans="1:2" ht="15" customHeight="1">
      <c r="A971" s="118"/>
      <c r="B971" s="118"/>
    </row>
    <row r="972" spans="1:2" ht="15" customHeight="1">
      <c r="A972" s="118"/>
      <c r="B972" s="118"/>
    </row>
    <row r="973" spans="1:2" ht="15" customHeight="1">
      <c r="A973" s="118"/>
      <c r="B973" s="118"/>
    </row>
    <row r="974" spans="1:2" ht="15" customHeight="1">
      <c r="A974" s="118"/>
      <c r="B974" s="118"/>
    </row>
    <row r="975" spans="1:2" ht="15" customHeight="1">
      <c r="A975" s="118"/>
      <c r="B975" s="118"/>
    </row>
    <row r="976" spans="1:2" ht="15" customHeight="1">
      <c r="A976" s="118"/>
      <c r="B976" s="118"/>
    </row>
    <row r="977" spans="1:2" ht="15" customHeight="1">
      <c r="A977" s="118"/>
      <c r="B977" s="118"/>
    </row>
    <row r="978" spans="1:2" ht="15" customHeight="1">
      <c r="A978" s="118"/>
      <c r="B978" s="118"/>
    </row>
    <row r="979" spans="1:2" ht="15" customHeight="1">
      <c r="A979" s="118"/>
      <c r="B979" s="118"/>
    </row>
    <row r="980" spans="1:2" ht="15" customHeight="1">
      <c r="A980" s="118"/>
      <c r="B980" s="118"/>
    </row>
    <row r="981" spans="1:2" ht="15" customHeight="1">
      <c r="A981" s="118"/>
      <c r="B981" s="118"/>
    </row>
    <row r="982" spans="1:2" ht="15" customHeight="1">
      <c r="A982" s="118"/>
      <c r="B982" s="118"/>
    </row>
    <row r="983" spans="1:2" ht="15" customHeight="1">
      <c r="A983" s="118"/>
      <c r="B983" s="118"/>
    </row>
    <row r="984" spans="1:2" ht="15" customHeight="1">
      <c r="A984" s="118"/>
      <c r="B984" s="118"/>
    </row>
    <row r="985" spans="1:2" ht="15" customHeight="1">
      <c r="A985" s="118"/>
      <c r="B985" s="118"/>
    </row>
    <row r="986" spans="1:2" ht="15" customHeight="1">
      <c r="A986" s="118"/>
      <c r="B986" s="118"/>
    </row>
    <row r="987" spans="1:2" ht="15" customHeight="1">
      <c r="A987" s="118"/>
      <c r="B987" s="118"/>
    </row>
    <row r="988" spans="1:2" ht="15" customHeight="1">
      <c r="A988" s="118"/>
      <c r="B988" s="118"/>
    </row>
    <row r="989" spans="1:2" ht="15" customHeight="1">
      <c r="A989" s="118"/>
      <c r="B989" s="118"/>
    </row>
  </sheetData>
  <mergeCells count="9">
    <mergeCell ref="A21:B21"/>
    <mergeCell ref="A27:B27"/>
    <mergeCell ref="A28:B28"/>
    <mergeCell ref="A34:A35"/>
    <mergeCell ref="A1:B1"/>
    <mergeCell ref="A2:B2"/>
    <mergeCell ref="A12:B12"/>
    <mergeCell ref="A13:B13"/>
    <mergeCell ref="A20:B20"/>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Lam Nguyen Duc</cp:lastModifiedBy>
  <cp:revision>0</cp:revision>
  <dcterms:created xsi:type="dcterms:W3CDTF">2026-05-12T11:22:22Z</dcterms:created>
  <dcterms:modified xsi:type="dcterms:W3CDTF">2026-09-23T03:57:10Z</dcterms:modified>
  <cp:category/>
  <cp:contentStatus/>
</cp:coreProperties>
</file>