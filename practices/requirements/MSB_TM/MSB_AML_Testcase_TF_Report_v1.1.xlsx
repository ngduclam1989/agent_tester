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https://fptsoftware362-my.sharepoint.com/personal/phuongtt57_fpt_com/Documents/Backup/FIS 2/AML + FRAUD/MSB/Test Case/3.TF/Final/Đợt 2/"/>
    </mc:Choice>
  </mc:AlternateContent>
  <xr:revisionPtr revIDLastSave="0" documentId="8_{BC0B887D-DF28-4409-BA21-480D0F684505}" xr6:coauthVersionLast="47" xr6:coauthVersionMax="47" xr10:uidLastSave="{00000000-0000-0000-0000-000000000000}"/>
  <bookViews>
    <workbookView xWindow="0" yWindow="0" windowWidth="21600" windowHeight="9570" tabRatio="602" firstSheet="3" activeTab="4" xr2:uid="{00000000-000D-0000-FFFF-FFFF00000000}"/>
  </bookViews>
  <sheets>
    <sheet name="Cover" sheetId="1" r:id="rId1"/>
    <sheet name="Records" sheetId="2" r:id="rId2"/>
    <sheet name="Test Report" sheetId="4" r:id="rId3"/>
    <sheet name="Report" sheetId="11" r:id="rId4"/>
    <sheet name="Report_01" sheetId="5" r:id="rId5"/>
    <sheet name="Report_02" sheetId="6" r:id="rId6"/>
    <sheet name="Report_03" sheetId="7" r:id="rId7"/>
    <sheet name="Report_04" sheetId="8" r:id="rId8"/>
    <sheet name="Report_05" sheetId="9" r:id="rId9"/>
    <sheet name="Report_Permission" sheetId="10" state="hidden" r:id="rId10"/>
  </sheets>
  <definedNames>
    <definedName name="_xlnm._FilterDatabase" localSheetId="6" hidden="1">Report_03!$A$24:$N$56</definedName>
    <definedName name="_xlnm._FilterDatabase" localSheetId="4" hidden="1">Report_01!$A$25:$N$63</definedName>
    <definedName name="_xlnm._FilterDatabase" localSheetId="5" hidden="1">Report_02!$A$24:$N$58</definedName>
    <definedName name="_xlnm._FilterDatabase" localSheetId="7" hidden="1">Report_04!$A$24:$N$46</definedName>
    <definedName name="_xlnm._FilterDatabase" localSheetId="8" hidden="1">Report_05!$A$26:$N$26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3" i="11" l="1"/>
  <c r="G2" i="11"/>
  <c r="F3" i="11"/>
  <c r="F2" i="11"/>
  <c r="E3" i="11"/>
  <c r="E2" i="11"/>
  <c r="D3" i="11"/>
  <c r="D2" i="11"/>
  <c r="C3" i="11"/>
  <c r="B3" i="11"/>
  <c r="C2" i="11"/>
  <c r="B2" i="11"/>
  <c r="D19" i="8"/>
  <c r="E19" i="8"/>
  <c r="B18" i="6"/>
  <c r="C18" i="6"/>
  <c r="D18" i="6"/>
  <c r="B19" i="6"/>
  <c r="C19" i="6"/>
  <c r="D19" i="6"/>
  <c r="B20" i="6"/>
  <c r="C20" i="6"/>
  <c r="D20" i="6"/>
  <c r="B21" i="6"/>
  <c r="C21" i="6"/>
  <c r="D21" i="6"/>
  <c r="B22" i="6"/>
  <c r="C22" i="6"/>
  <c r="D22" i="6"/>
  <c r="C17" i="6"/>
  <c r="D17" i="6"/>
  <c r="B17" i="6"/>
  <c r="D12" i="6"/>
  <c r="C12" i="6"/>
  <c r="B12" i="6"/>
  <c r="D11" i="6"/>
  <c r="C11" i="6"/>
  <c r="B11" i="6"/>
  <c r="D10" i="6"/>
  <c r="C10" i="6"/>
  <c r="B10" i="6"/>
  <c r="D9" i="6"/>
  <c r="C9" i="6"/>
  <c r="B9" i="6"/>
  <c r="D8" i="6"/>
  <c r="C8" i="6"/>
  <c r="B8" i="6"/>
  <c r="D7" i="6"/>
  <c r="C7" i="6"/>
  <c r="B7" i="6"/>
  <c r="E7" i="6" s="1"/>
  <c r="E18" i="5"/>
  <c r="E19" i="5"/>
  <c r="E20" i="5"/>
  <c r="E21" i="5"/>
  <c r="E22" i="5"/>
  <c r="C17" i="5"/>
  <c r="D17" i="5"/>
  <c r="C18" i="5"/>
  <c r="D18" i="5"/>
  <c r="C19" i="5"/>
  <c r="D19" i="5"/>
  <c r="C20" i="5"/>
  <c r="D20" i="5"/>
  <c r="C21" i="5"/>
  <c r="D21" i="5"/>
  <c r="C22" i="5"/>
  <c r="D22" i="5"/>
  <c r="B18" i="5"/>
  <c r="B19" i="5"/>
  <c r="B20" i="5"/>
  <c r="B21" i="5"/>
  <c r="B22" i="5"/>
  <c r="B17" i="5"/>
  <c r="D12" i="5"/>
  <c r="C7" i="5"/>
  <c r="D7" i="5"/>
  <c r="C8" i="5"/>
  <c r="D8" i="5"/>
  <c r="C9" i="5"/>
  <c r="D9" i="5"/>
  <c r="C10" i="5"/>
  <c r="D10" i="5"/>
  <c r="C11" i="5"/>
  <c r="D11" i="5"/>
  <c r="C12" i="5"/>
  <c r="B8" i="5"/>
  <c r="B9" i="5"/>
  <c r="B10" i="5"/>
  <c r="B11" i="5"/>
  <c r="B12" i="5"/>
  <c r="B7" i="5"/>
  <c r="D17" i="9"/>
  <c r="B18" i="9"/>
  <c r="C18" i="9"/>
  <c r="D18" i="9"/>
  <c r="B19" i="9"/>
  <c r="C19" i="9"/>
  <c r="D19" i="9"/>
  <c r="B20" i="9"/>
  <c r="C20" i="9"/>
  <c r="D20" i="9"/>
  <c r="B21" i="9"/>
  <c r="C21" i="9"/>
  <c r="D21" i="9"/>
  <c r="B22" i="9"/>
  <c r="C22" i="9"/>
  <c r="D22" i="9"/>
  <c r="C17" i="9"/>
  <c r="D7" i="9"/>
  <c r="B8" i="9"/>
  <c r="C8" i="9"/>
  <c r="D8" i="9"/>
  <c r="B9" i="9"/>
  <c r="C9" i="9"/>
  <c r="D9" i="9"/>
  <c r="B10" i="9"/>
  <c r="C10" i="9"/>
  <c r="D10" i="9"/>
  <c r="B11" i="9"/>
  <c r="C11" i="9"/>
  <c r="D11" i="9"/>
  <c r="B12" i="9"/>
  <c r="C12" i="9"/>
  <c r="D12" i="9"/>
  <c r="C7" i="9"/>
  <c r="B17" i="9"/>
  <c r="B17" i="8"/>
  <c r="B7" i="9"/>
  <c r="B7" i="8"/>
  <c r="B18" i="8"/>
  <c r="C18" i="8"/>
  <c r="D18" i="8"/>
  <c r="B19" i="8"/>
  <c r="C19" i="8"/>
  <c r="B20" i="8"/>
  <c r="C20" i="8"/>
  <c r="D20" i="8"/>
  <c r="B21" i="8"/>
  <c r="C21" i="8"/>
  <c r="D21" i="8"/>
  <c r="B22" i="8"/>
  <c r="C22" i="8"/>
  <c r="D22" i="8"/>
  <c r="C17" i="8"/>
  <c r="D17" i="8"/>
  <c r="B8" i="8"/>
  <c r="C8" i="8"/>
  <c r="D8" i="8"/>
  <c r="B9" i="8"/>
  <c r="C9" i="8"/>
  <c r="D9" i="8"/>
  <c r="B10" i="8"/>
  <c r="C10" i="8"/>
  <c r="D10" i="8"/>
  <c r="B11" i="8"/>
  <c r="C11" i="8"/>
  <c r="D11" i="8"/>
  <c r="B12" i="8"/>
  <c r="C12" i="8"/>
  <c r="D12" i="8"/>
  <c r="C7" i="8"/>
  <c r="D7" i="8"/>
  <c r="B17" i="7"/>
  <c r="B7" i="7"/>
  <c r="C17" i="7"/>
  <c r="D17" i="7"/>
  <c r="C18" i="7"/>
  <c r="D18" i="7"/>
  <c r="C19" i="7"/>
  <c r="D19" i="7"/>
  <c r="C20" i="7"/>
  <c r="D20" i="7"/>
  <c r="C21" i="7"/>
  <c r="D21" i="7"/>
  <c r="C22" i="7"/>
  <c r="D22" i="7"/>
  <c r="B18" i="7"/>
  <c r="B19" i="7"/>
  <c r="B20" i="7"/>
  <c r="B21" i="7"/>
  <c r="B22" i="7"/>
  <c r="B8" i="7"/>
  <c r="C8" i="7"/>
  <c r="D8" i="7"/>
  <c r="B9" i="7"/>
  <c r="C9" i="7"/>
  <c r="D9" i="7"/>
  <c r="B10" i="7"/>
  <c r="C10" i="7"/>
  <c r="D10" i="7"/>
  <c r="B11" i="7"/>
  <c r="C11" i="7"/>
  <c r="D11" i="7"/>
  <c r="B12" i="7"/>
  <c r="C12" i="7"/>
  <c r="D12" i="7"/>
  <c r="C7" i="7"/>
  <c r="D7" i="7"/>
  <c r="E22" i="9" l="1"/>
  <c r="E22" i="8"/>
  <c r="E22" i="7"/>
  <c r="H3" i="11"/>
  <c r="E21" i="9"/>
  <c r="E20" i="9"/>
  <c r="E19" i="9"/>
  <c r="E18" i="9"/>
  <c r="E17" i="9"/>
  <c r="D16" i="9"/>
  <c r="C16" i="9"/>
  <c r="B16" i="9"/>
  <c r="E12" i="9"/>
  <c r="G6" i="11" s="1"/>
  <c r="E11" i="9"/>
  <c r="F6" i="11" s="1"/>
  <c r="E10" i="9"/>
  <c r="E6" i="11" s="1"/>
  <c r="E9" i="9"/>
  <c r="D6" i="11" s="1"/>
  <c r="E8" i="9"/>
  <c r="C6" i="11" s="1"/>
  <c r="E7" i="9"/>
  <c r="B6" i="11" s="1"/>
  <c r="H6" i="11" s="1"/>
  <c r="D6" i="9"/>
  <c r="C6" i="9"/>
  <c r="B6" i="9"/>
  <c r="E21" i="8"/>
  <c r="E20" i="8"/>
  <c r="E18" i="8"/>
  <c r="E17" i="8"/>
  <c r="D16" i="8"/>
  <c r="C16" i="8"/>
  <c r="B16" i="8"/>
  <c r="E12" i="8"/>
  <c r="G5" i="11" s="1"/>
  <c r="E11" i="8"/>
  <c r="F5" i="11" s="1"/>
  <c r="E10" i="8"/>
  <c r="E5" i="11" s="1"/>
  <c r="E9" i="8"/>
  <c r="D5" i="11" s="1"/>
  <c r="E8" i="8"/>
  <c r="C5" i="11" s="1"/>
  <c r="E7" i="8"/>
  <c r="B5" i="11" s="1"/>
  <c r="H5" i="11" s="1"/>
  <c r="D6" i="8"/>
  <c r="C6" i="8"/>
  <c r="B6" i="8"/>
  <c r="E21" i="7"/>
  <c r="E20" i="7"/>
  <c r="E19" i="7"/>
  <c r="E18" i="7"/>
  <c r="E17" i="7"/>
  <c r="D16" i="7"/>
  <c r="C16" i="7"/>
  <c r="B16" i="7"/>
  <c r="E11" i="7"/>
  <c r="F4" i="11" s="1"/>
  <c r="E21" i="6"/>
  <c r="E20" i="6"/>
  <c r="E19" i="6"/>
  <c r="E18" i="6"/>
  <c r="E17" i="6"/>
  <c r="D16" i="6"/>
  <c r="C16" i="6"/>
  <c r="B16" i="6"/>
  <c r="E16" i="6" s="1"/>
  <c r="E12" i="6"/>
  <c r="E11" i="6"/>
  <c r="E10" i="6"/>
  <c r="E8" i="6"/>
  <c r="B6" i="6"/>
  <c r="E12" i="5"/>
  <c r="E11" i="5"/>
  <c r="E10" i="5"/>
  <c r="E9" i="5"/>
  <c r="E8" i="5"/>
  <c r="E17" i="5"/>
  <c r="D16" i="5"/>
  <c r="C16" i="5"/>
  <c r="B16" i="5"/>
  <c r="E16" i="5" s="1"/>
  <c r="C40" i="4"/>
  <c r="D40" i="4"/>
  <c r="E40" i="4"/>
  <c r="F40" i="4"/>
  <c r="G40" i="4"/>
  <c r="B40" i="4"/>
  <c r="C39" i="4"/>
  <c r="D39" i="4"/>
  <c r="E39" i="4"/>
  <c r="F39" i="4"/>
  <c r="G39" i="4"/>
  <c r="B39" i="4"/>
  <c r="C38" i="4"/>
  <c r="D38" i="4"/>
  <c r="E38" i="4"/>
  <c r="F38" i="4"/>
  <c r="G38" i="4"/>
  <c r="B38" i="4"/>
  <c r="C37" i="4"/>
  <c r="D37" i="4"/>
  <c r="E37" i="4"/>
  <c r="F37" i="4"/>
  <c r="G37" i="4"/>
  <c r="B37" i="4"/>
  <c r="H37" i="4" s="1"/>
  <c r="C36" i="4"/>
  <c r="D36" i="4"/>
  <c r="E36" i="4"/>
  <c r="F36" i="4"/>
  <c r="G36" i="4"/>
  <c r="B36" i="4"/>
  <c r="H36" i="4" s="1"/>
  <c r="D10" i="10"/>
  <c r="C10" i="10"/>
  <c r="B10" i="10"/>
  <c r="D9" i="10"/>
  <c r="C9" i="10"/>
  <c r="B9" i="10"/>
  <c r="D8" i="10"/>
  <c r="C8" i="10"/>
  <c r="B8" i="10"/>
  <c r="D7" i="10"/>
  <c r="C7" i="10"/>
  <c r="B7" i="10"/>
  <c r="D6" i="10"/>
  <c r="C6" i="10"/>
  <c r="B6" i="10"/>
  <c r="B1" i="10"/>
  <c r="B1" i="9"/>
  <c r="B1" i="8"/>
  <c r="B1" i="7"/>
  <c r="B1" i="6"/>
  <c r="B1" i="5"/>
  <c r="F21" i="4"/>
  <c r="E21" i="4"/>
  <c r="D21" i="4"/>
  <c r="C21" i="4"/>
  <c r="B21" i="4"/>
  <c r="F20" i="4"/>
  <c r="E20" i="4"/>
  <c r="D20" i="4"/>
  <c r="C20" i="4"/>
  <c r="B20" i="4"/>
  <c r="F19" i="4"/>
  <c r="E19" i="4"/>
  <c r="D19" i="4"/>
  <c r="C19" i="4"/>
  <c r="B19" i="4"/>
  <c r="F18" i="4"/>
  <c r="E18" i="4"/>
  <c r="D18" i="4"/>
  <c r="C18" i="4"/>
  <c r="B18" i="4"/>
  <c r="F17" i="4"/>
  <c r="E17" i="4"/>
  <c r="D17" i="4"/>
  <c r="C17" i="4"/>
  <c r="B17" i="4"/>
  <c r="F16" i="4"/>
  <c r="E16" i="4"/>
  <c r="D16" i="4"/>
  <c r="C16" i="4"/>
  <c r="B16" i="4"/>
  <c r="F7" i="11" l="1"/>
  <c r="D6" i="6"/>
  <c r="C6" i="5"/>
  <c r="G17" i="4"/>
  <c r="C6" i="6"/>
  <c r="E6" i="6" s="1"/>
  <c r="E7" i="10"/>
  <c r="E8" i="10"/>
  <c r="E10" i="10"/>
  <c r="E9" i="6"/>
  <c r="E6" i="9"/>
  <c r="H40" i="4"/>
  <c r="E16" i="9"/>
  <c r="E16" i="8"/>
  <c r="F41" i="4"/>
  <c r="E41" i="4"/>
  <c r="D41" i="4"/>
  <c r="C41" i="4"/>
  <c r="H39" i="4"/>
  <c r="E6" i="8"/>
  <c r="E16" i="7"/>
  <c r="E9" i="7"/>
  <c r="D4" i="11" s="1"/>
  <c r="D7" i="11" s="1"/>
  <c r="C6" i="7"/>
  <c r="D6" i="7"/>
  <c r="B6" i="7"/>
  <c r="E8" i="7"/>
  <c r="C4" i="11" s="1"/>
  <c r="C7" i="11" s="1"/>
  <c r="E10" i="7"/>
  <c r="E4" i="11" s="1"/>
  <c r="E7" i="11" s="1"/>
  <c r="H38" i="4"/>
  <c r="E12" i="7"/>
  <c r="G4" i="11" s="1"/>
  <c r="G7" i="11" s="1"/>
  <c r="E7" i="7"/>
  <c r="B4" i="11" s="1"/>
  <c r="H2" i="11"/>
  <c r="G41" i="4"/>
  <c r="B41" i="4"/>
  <c r="E7" i="5"/>
  <c r="G18" i="4"/>
  <c r="G21" i="4"/>
  <c r="B5" i="10"/>
  <c r="E6" i="10"/>
  <c r="D5" i="10"/>
  <c r="C5" i="10"/>
  <c r="G20" i="4"/>
  <c r="C15" i="4"/>
  <c r="D15" i="4"/>
  <c r="G19" i="4"/>
  <c r="F15" i="4"/>
  <c r="B15" i="4"/>
  <c r="E15" i="4"/>
  <c r="E9" i="10"/>
  <c r="G16" i="4"/>
  <c r="B7" i="11" l="1"/>
  <c r="H4" i="11"/>
  <c r="H7" i="11"/>
  <c r="E6" i="7"/>
  <c r="H41" i="4"/>
  <c r="B42" i="4" s="1"/>
  <c r="E5" i="10"/>
  <c r="G15" i="4"/>
  <c r="G26" i="4" s="1"/>
  <c r="C8" i="11" l="1"/>
  <c r="D8" i="11"/>
  <c r="E8" i="11"/>
  <c r="F8" i="11"/>
  <c r="G8" i="11"/>
  <c r="B8" i="11"/>
  <c r="G27" i="4"/>
  <c r="G42" i="4"/>
  <c r="D42" i="4"/>
  <c r="E42" i="4"/>
  <c r="C42" i="4"/>
  <c r="F42" i="4"/>
  <c r="B6" i="5" l="1"/>
  <c r="D6" i="5" l="1"/>
  <c r="E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100-000001000000}">
      <text>
        <r>
          <rPr>
            <sz val="10"/>
            <rFont val="Arial"/>
            <family val="2"/>
          </rPr>
          <t>PC:
A: Add
M: Modify
D: Delete</t>
        </r>
      </text>
    </comment>
  </commentList>
</comments>
</file>

<file path=xl/sharedStrings.xml><?xml version="1.0" encoding="utf-8"?>
<sst xmlns="http://schemas.openxmlformats.org/spreadsheetml/2006/main" count="1791" uniqueCount="553">
  <si>
    <t>Test Report</t>
  </si>
  <si>
    <t>Project Name:</t>
  </si>
  <si>
    <t>DỰ ÁN TRIỂN KHAI BẢN QUYỀN PHẦN MỀM HỆ THỐNG AML MỚI</t>
  </si>
  <si>
    <t>Reviewer:</t>
  </si>
  <si>
    <t xml:space="preserve"> </t>
  </si>
  <si>
    <t>Document Code:</t>
  </si>
  <si>
    <t>MSB_AML_Testcase_TF_Report</t>
  </si>
  <si>
    <t>Position:</t>
  </si>
  <si>
    <t>Originator:</t>
  </si>
  <si>
    <t>Reviewed Date:</t>
  </si>
  <si>
    <t>Approver:</t>
  </si>
  <si>
    <t>Created Date:</t>
  </si>
  <si>
    <t>Version:</t>
  </si>
  <si>
    <t>1.1</t>
  </si>
  <si>
    <t>Approved Date:</t>
  </si>
  <si>
    <t>TABLE OF CONTENT</t>
  </si>
  <si>
    <t>No</t>
  </si>
  <si>
    <t>Items</t>
  </si>
  <si>
    <t>Content</t>
  </si>
  <si>
    <t>Note</t>
  </si>
  <si>
    <t>Cover</t>
  </si>
  <si>
    <t>Records</t>
  </si>
  <si>
    <t>Record of changes</t>
  </si>
  <si>
    <t>Changelog</t>
  </si>
  <si>
    <t>Bảng ghi nhận thay đổi so với phiên bản trước</t>
  </si>
  <si>
    <t>Tổng hợp kết quả thực thi test</t>
  </si>
  <si>
    <t>Report_01</t>
  </si>
  <si>
    <t>Test case Báo cáo thống kê HIT theo từng giao dịch</t>
  </si>
  <si>
    <t>Report_02</t>
  </si>
  <si>
    <t>Test case Báo cáo tỷ lệ cảnh báo HIT theo nghiệp vụ</t>
  </si>
  <si>
    <t>Report_03</t>
  </si>
  <si>
    <t>Test case Báo cáo tỷ lệ cảnh báo theo rule quét sàng lọc</t>
  </si>
  <si>
    <t>Report_04</t>
  </si>
  <si>
    <t>Test case Báo cáo theo dõi Good Guy sắp đến hạn</t>
  </si>
  <si>
    <t>Report_05</t>
  </si>
  <si>
    <t>Test case Báo cáo các giao dịch đã bị từ chối</t>
  </si>
  <si>
    <t>Report_Permission</t>
  </si>
  <si>
    <t>Test case phân quyền báo cáo (xem/xuất, phạm vi dữ liệu)</t>
  </si>
  <si>
    <t>Effective Date</t>
  </si>
  <si>
    <t>A, M, D</t>
  </si>
  <si>
    <t>Change Description</t>
  </si>
  <si>
    <t>New Version</t>
  </si>
  <si>
    <t>Author</t>
  </si>
  <si>
    <t>A</t>
  </si>
  <si>
    <t>Create new TC</t>
  </si>
  <si>
    <t>M</t>
  </si>
  <si>
    <t>Chi tiết tại sheet Changelog.</t>
  </si>
  <si>
    <t>SYSTEM TEST REPORT</t>
  </si>
  <si>
    <t>Project</t>
  </si>
  <si>
    <t>Project manager</t>
  </si>
  <si>
    <t>Application</t>
  </si>
  <si>
    <t>Approved Date</t>
  </si>
  <si>
    <t>Consolidated By</t>
  </si>
  <si>
    <t>Reviewed By</t>
  </si>
  <si>
    <t>Build Versions</t>
  </si>
  <si>
    <t>Reviewed date</t>
  </si>
  <si>
    <t>Test Environment</t>
  </si>
  <si>
    <t>SIT</t>
  </si>
  <si>
    <t>Last Updated Date</t>
  </si>
  <si>
    <t>Test Execution Summary</t>
  </si>
  <si>
    <t>Reported by</t>
  </si>
  <si>
    <t>Date</t>
  </si>
  <si>
    <t>Test Results</t>
  </si>
  <si>
    <t>Passed</t>
  </si>
  <si>
    <t>Failed</t>
  </si>
  <si>
    <t>Accepted</t>
  </si>
  <si>
    <t>N/A</t>
  </si>
  <si>
    <t>Untested</t>
  </si>
  <si>
    <t>Total</t>
  </si>
  <si>
    <t>Tổng cộng</t>
  </si>
  <si>
    <t>Test coverage</t>
  </si>
  <si>
    <t>Test successful coverage</t>
  </si>
  <si>
    <t>Issues</t>
  </si>
  <si>
    <t>1. Block testing issue</t>
  </si>
  <si>
    <t>2. Critical defects</t>
  </si>
  <si>
    <t>BÁO CÁO</t>
  </si>
  <si>
    <t>Pass</t>
  </si>
  <si>
    <t>Fail</t>
  </si>
  <si>
    <t>Pending</t>
  </si>
  <si>
    <t>Cancel</t>
  </si>
  <si>
    <t>Next</t>
  </si>
  <si>
    <t>TỔNG</t>
  </si>
  <si>
    <t>Functions</t>
  </si>
  <si>
    <t>Build Version</t>
  </si>
  <si>
    <t>v1.0</t>
  </si>
  <si>
    <t>ROUND 2</t>
  </si>
  <si>
    <t>High</t>
  </si>
  <si>
    <t>Medium</t>
  </si>
  <si>
    <t>Low</t>
  </si>
  <si>
    <t>ROUND 3</t>
  </si>
  <si>
    <t>Test case Id</t>
  </si>
  <si>
    <t>Test case Title</t>
  </si>
  <si>
    <t>Pre-conditions</t>
  </si>
  <si>
    <t>Test Step</t>
  </si>
  <si>
    <t>Test Datas</t>
  </si>
  <si>
    <t>Expected result</t>
  </si>
  <si>
    <t>Priority</t>
  </si>
  <si>
    <t>Automation Status</t>
  </si>
  <si>
    <t>1st Test Results</t>
  </si>
  <si>
    <t>2nd Test Results</t>
  </si>
  <si>
    <t>3rd Test Results</t>
  </si>
  <si>
    <t>BugID</t>
  </si>
  <si>
    <t>Notes</t>
  </si>
  <si>
    <t>TF_RP1_01</t>
  </si>
  <si>
    <t>Kiểm tra tiêu chí đầu vào báo cáo và các nút chức năng</t>
  </si>
  <si>
    <t>TF_RP1_01_01</t>
  </si>
  <si>
    <t>Kiểm tra hiển thị các trường tham số</t>
  </si>
  <si>
    <t>1. Đăng nhập vào Oracle Analytics Server
2. Mở báo cáo "Báo cáo thống kê hit theo từng giao dịch"</t>
  </si>
  <si>
    <t>Người dùng xem được các trường thông tin:
- Từ ngày
- Đến ngày
- Đơn vị
- Mã giao dịch
Các nút chức năng:
- Apply
- Reset</t>
  </si>
  <si>
    <t>Manual</t>
  </si>
  <si>
    <t>TF_RP1_01_02</t>
  </si>
  <si>
    <t>Kiểm tra tham số Từ ngày</t>
  </si>
  <si>
    <t>1. Đăng nhập vào Oracle Analytics Server
2. Mở báo cáo "Báo cáo thống kê hit theo từng giao dịch"
3. Kiểm tra tham số Từ ngày</t>
  </si>
  <si>
    <t>Hệ thống cho người dùng chọn theo bảng lịch, hiển thị dạng dd/mm/yyyy</t>
  </si>
  <si>
    <t>TF_RP1_01_03</t>
  </si>
  <si>
    <t>Kiểm tra tham số Đến ngày</t>
  </si>
  <si>
    <t>1. Đăng nhập vào Oracle Analytics Server
2. Mở báo cáo "Báo cáo thống kê hit theo từng giao dịch"
3. Kiểm tra tham số Đến ngày</t>
  </si>
  <si>
    <t>TF_RP1_01_04</t>
  </si>
  <si>
    <t>Kiểm tra tham số Đơn vị</t>
  </si>
  <si>
    <t>1. Đăng nhập vào Oracle Analytics Server
2. Mở báo cáo "Báo cáo thống kê hit theo từng giao dịch"
3. Kiểm tra tham số Đơn vị</t>
  </si>
  <si>
    <t>Hệ thống hiển thị danh sách các chi nhánh/PGD, cho phép người dùng chọn một hoặc nhiều và không bắt buộc chọn</t>
  </si>
  <si>
    <t>TF_RP1_01_05</t>
  </si>
  <si>
    <t>Kiểm tra tham số Mã giao dịch</t>
  </si>
  <si>
    <t>1. Đăng nhập vào Oracle Analytics Server
2. Mở báo cáo "Báo cáo thống kê hit theo từng giao dịch"
3. Kiểm tra tham số Mã giao dịch</t>
  </si>
  <si>
    <t>Hệ thống cho phép người dùng nhập giá trị mã giao dịch và không bắt buộc nhập</t>
  </si>
  <si>
    <t>TF_RP1_01_06</t>
  </si>
  <si>
    <t>Kiểm tra nút chức năng 'Apply'</t>
  </si>
  <si>
    <t>1. Đăng nhập vào Oracle Analytics Server
2. Mở báo cáo "Báo cáo thống kê hit theo từng giao dịch"
3. Nhập/Chọn thông tin các trường:
- Chọn ngày trong trường 'Từ ngày'
- Chọn ngày trong trường 'Đến ngày'
- Nhập giá trị trường Đơn vị
- Chọn giá trị trường Mã giao dịch
4. Bấm nút chức năng 'Apply'</t>
  </si>
  <si>
    <t>Người dùng xem được kết quả báo cáo</t>
  </si>
  <si>
    <t>TF_RP1_01_07</t>
  </si>
  <si>
    <t>Kiểm tra nút chức năng 'Reset'</t>
  </si>
  <si>
    <t>1. Đăng nhập vào Oracle Analytics Server
2. Mở báo cáo "Báo cáo thống kê hit theo từng giao dịch"
3. Nhập/Chọn thông tin các trường:
- Chọn ngày trong trường 'Từ ngày'
- Chọn ngày trong trường 'Đến ngày'
- Nhập giá trị trường Đơn vị
- Chọn giá trị trường Mã giao dịch
4. Bấm nút chức năng 'Reset'</t>
  </si>
  <si>
    <t>Hệ thống đặt lại tiêu chí lọc của người dùng theo lựa chọn tương ứng:
- Reset to last applied values: Đặt lại về giá trị lọc trước đó
- Reset to default values: Đặt lại về giá trị lọc của báo cáo
- Clear All: Đặt lại toàn bộ tiêu chí lọc</t>
  </si>
  <si>
    <t>TF_RP1_02</t>
  </si>
  <si>
    <t>Kiểm tra tiêu chí đầu ra mong muốn</t>
  </si>
  <si>
    <t>TF_RP1_02_01</t>
  </si>
  <si>
    <t>Kiểm tra hiển thị báo cáo</t>
  </si>
  <si>
    <t>1. NSD có quyền truy cập báo cáo.
2. Đã tồn tại giao dịch phát sinh HIT/Knocked-out trong kỳ báo cáo thuộc phạm vi đơn vị được phân quyền.</t>
  </si>
  <si>
    <t>1. Đăng nhập vào Oracle Analytics Server
2. Mở báo cáo "Báo cáo thống kê hit theo từng giao dịch"
3. Nhập các tiêu chí lọc và đảm bảo nhập đủ các tiêu chí bắt buộc nhập
4. Bấm nút chức năng 'Apply'</t>
  </si>
  <si>
    <t xml:space="preserve">--report 1
WITH DS_PARAMS AS(
	SELECT 
		TO_DATE('20260917','YYYYMMDD') AS P_FROM_DATE,
		TO_DATE('20260917','YYYYMMDD') AS P_TO_DATE,
		'' AS P_BRANCH_CD,
		'' AS P_TRANSATION_ID
	FROM DUAL
),
DS_REPORT_1 AS(
    SELECT 
		RA.N_ALERT_ID				                        AS N_ALERT_ID,
		JSON_VALUE(RD.C_EXT_DATA,'$.transactionId') 		AS TRANSACTION_ID,
		RD.V_GRP_MSG_TYPE									AS GRP_MSG_TYPE,
		DS.V_SWIFT_WEBSERVICE_DESC							AS WEBSERVICE_NAME,
		REGEXP_SUBSTR(ST.V_RULE,'\[([^]]+)\]',1,1,NULL,1) 	AS RULE_CODE,
		ST.N_SCORE											AS N_SCORE,
		SS.V_SANCTION_STATUS_NAME							AS STATUS_NAME,
		ST.V_MATCHED_LIST_NAME								AS MATCHED_LIST_NAME,
		ST.V_MATCHED_SUBLIST_NAME							AS MATCHED_SUBLIST_NAME,
		CAST(ST.C_INPUT_STR AS VARCHAR2(4000))				AS KEY_WORD,
		COALESCE(
			ST.V_MATCHED_ENTITY_NAME,
			ST.V_MATCHED_INDIVIDUAL_NAME, 
			ST.V_MATCHED_COUNTRY,
			ST.V_MATCHED_CITY,
			ST.V_MATCHED_BIC
		) 													AS WATCHlIST,
		ST.V_MATCHED_LIST_REC_ID							AS MATCHED_LIST_REC_ID,
		NVL(
			ST.V_TAG_NAME,
			REGEXP_REPLACE(MX.X_PATH,'\[[0-9]+\]','')
		) 													AS TAG_NAME
    FROM FSI_RT_ALERTS RA 
	INNER JOIN FSI_RT_RAW_DATA RD ON RA.N_GRP_MSG_ID = RD.N_GRP_MSG_ID 
	INNER JOIN FSI_RT_AL_WLS_RESPONSE ST ON ST.N_GRP_MSG_ID = RA.N_GRP_MSG_ID
	INNER JOIN DIM_SWIFT_WEBSERVICE DS ON ST.N_WEBSERVICE_ID = DS.N_SWIFT_WEBSERVICE_ID
	LEFT JOIN FSI_RT_XML_WLS_RESPONSE MX ON MX.N_GRP_MSG_ID = RA.N_GRP_MSG_ID
	JOIN DIM_SANCTIONS_STATUS SS ON ST.N_IS_ACCEPTED = SS.N_SANCTION_STATUS_CODE
	CROSS JOIN DS_PARAMS P
    WHERE 1 = 1 
		AND TRUNC(RD.D_RECEIVED) BETWEEN P.P_FROM_DATE AND P.P_TO_DATE
		---- ADD THÊM, NẾU LỌC THÊM THEO CHI NHANH
		--AND JSON_VALUE(RD.C_EXT_DATA,'$.branchCd') = P.P_BRANCH_CD
		---- ADD THÊM, NẾU LỌC THÊM THEO TRANSACTION
		--AND JSON_VALUE(RD.C_EXT_DATA,'$.transactionId') = P.P_TRANSATION_ID
),
DS_END AS(
    SELECT
        N_ALERT_ID,
        TRANSACTION_ID,
        GRP_MSG_TYPE,
        WEBSERVICE_NAME,
        RULE_CODE,
        N_SCORE,
        STATUS_NAME,
        MATCHED_LIST_NAME,
        MATCHED_SUBLIST_NAME,
        KEY_WORD,
        WATCHlIST,
        MATCHED_LIST_REC_ID,
        TAG_NAME,
        ROW_NUMBER() OVER(PARTITION BY N_ALERT_ID,
            TRANSACTION_ID,
            GRP_MSG_TYPE,
            WEBSERVICE_NAME,
            RULE_CODE,
            N_SCORE,
            STATUS_NAME,
            MATCHED_LIST_NAME,
            MATCHED_SUBLIST_NAME,
            KEY_WORD,
            WATCHlIST,
            MATCHED_LIST_REC_ID,
            TAG_NAME ORDER BY N_ALERT_ID
        ) AS RN
    FROM DS_REPORT_1
)
SELECT 
    N_ALERT_ID,
    TRANSACTION_ID,
    GRP_MSG_TYPE,
    WEBSERVICE_NAME,
    RULE_CODE,
    N_SCORE,
    STATUS_NAME,
    MATCHED_LIST_NAME,
    MATCHED_SUBLIST_NAME,
    KEY_WORD,
    WATCHlIST,
    MATCHED_LIST_REC_ID,
    TAG_NAME
FROM DS_END WHERE RN = 1;
WITH DS_PARAMS AS(
	SELECT 
		TO_DATE('20260917','YYYYMMDD') AS P_FROM_DATE,
		TO_DATE('20260917','YYYYMMDD') AS P_TO_DATE,
		'' AS P_BRANCH_CD,
		'' AS P_TRANSATION_ID
	FROM DUAL
),
DS_REPORT_1 AS(
    SELECT 
		RA.N_ALERT_ID                                       AS N_ALERT_ID,
		JSON_VALUE(RD.C_EXT_DATA,'$.transactionId') 		AS TRANSACTION_ID,
		JSON_VALUE(RD.C_EXT_DATA,'$.branchCd')              AS BRANCH_CD, -- Thêm cột Chi nhánh
		RD.V_GRP_MSG_TYPE									AS GRP_MSG_TYPE,
		DS.V_SWIFT_WEBSERVICE_DESC							AS WEBSERVICE_NAME,
		REGEXP_SUBSTR(ST.V_RULE,'\[([^]]+)\]',1,1,NULL,1) 	AS RULE_CODE,
		ST.N_SCORE											AS N_SCORE,
		SS.V_SANCTION_STATUS_NAME							AS STATUS_NAME,
		ST.V_MATCHED_LIST_NAME								AS MATCHED_LIST_NAME,
		ST.V_MATCHED_SUBLIST_NAME							AS MATCHED_SUBLIST_NAME,
		CAST(ST.C_INPUT_STR AS VARCHAR2(4000))				AS KEY_WORD,
		COALESCE(
			ST.V_MATCHED_ENTITY_NAME,
			ST.V_MATCHED_INDIVIDUAL_NAME, 
			ST.V_MATCHED_COUNTRY,
			ST.V_MATCHED_CITY,
			ST.V_MATCHED_BIC
		) 													AS WATCHlIST,
		ST.V_MATCHED_LIST_REC_ID							AS MATCHED_LIST_REC_ID,
		NVL(
			ST.V_TAG_NAME,
			REGEXP_REPLACE(MX.X_PATH,'\[[0-9]+\]','')
		) 													AS TAG_NAME
    FROM FSI_RT_ALERTS RA 
	INNER JOIN FSI_RT_RAW_DATA RD ON RA.N_GRP_MSG_ID = RD.N_GRP_MSG_ID 
	INNER JOIN FSI_RT_AL_WLS_RESPONSE ST ON ST.N_GRP_MSG_ID = RA.N_GRP_MSG_ID
	INNER JOIN DIM_SWIFT_WEBSERVICE DS ON ST.N_WEBSERVICE_ID = DS.N_SWIFT_WEBSERVICE_ID
	LEFT JOIN FSI_RT_XML_WLS_RESPONSE MX ON MX.N_GRP_MSG_ID = RA.N_GRP_MSG_ID
	JOIN DIM_SANCTIONS_STATUS SS ON ST.N_IS_ACCEPTED = SS.N_SANCTION_STATUS_CODE
	CROSS JOIN DS_PARAMS P
    WHERE 1 = 1 
		AND TRUNC(RD.D_RECEIVED) BETWEEN P.P_FROM_DATE AND P.P_TO_DATE
		---- Bỏ comment dòng dưới nếu bạn muốn lọc luôn theo tham số Chi nhánh truyền vào
		--AND JSON_VALUE(RD.C_EXT_DATA,'$.branchCd') = P.P_BRANCH_CD
		---- ADD THÊM, NẾU LỌC THÊM THEO TRANSACTION
		--AND JSON_VALUE(RD.C_EXT_DATA,'$.transactionId') = P.P_TRANSATION_ID
),
DS_END AS(
    SELECT
        N_ALERT_ID,
        TRANSACTION_ID,
        BRANCH_CD, -- Thêm vào danh sách chọn
        GRP_MSG_TYPE,
        WEBSERVICE_NAME,
        RULE_CODE,
        N_SCORE,
        STATUS_NAME,
        MATCHED_LIST_NAME,
        MATCHED_SUBLIST_NAME,
        KEY_WORD,
        WATCHlIST,
        MATCHED_LIST_REC_ID,
        TAG_NAME,
        ROW_NUMBER() OVER(PARTITION BY 
            N_ALERT_ID,
            TRANSACTION_ID,
            BRANCH_CD, -- Thêm vào Partition by để tránh mất dữ liệu trùng lặp theo nhánh
            GRP_MSG_TYPE,
            WEBSERVICE_NAME,
            RULE_CODE,
            N_SCORE,
            STATUS_NAME,
            MATCHED_LIST_NAME,
            MATCHED_SUBLIST_NAME,
            KEY_WORD,
            WATCHlIST,
            MATCHED_LIST_REC_ID,
            TAG_NAME ORDER BY N_ALERT_ID
        ) AS RN
    FROM DS_REPORT_1
)
SELECT 
    N_ALERT_ID,
    TRANSACTION_ID,
    BRANCH_CD, -- Thêm vào câu lệnh SELECT cuối cùng
    GRP_MSG_TYPE,
    WEBSERVICE_NAME,
    RULE_CODE,
    N_SCORE,
    STATUS_NAME,
    MATCHED_LIST_NAME,
    MATCHED_SUBLIST_NAME,
    KEY_WORD,
    WATCHlIST,
    MATCHED_LIST_REC_ID,
    TAG_NAME
FROM DS_END WHERE RN = 1;
WITH DS_PARAMS AS(
	SELECT 
		TO_DATE('20260917','YYYYMMDD') AS P_FROM_DATE,
		TO_DATE('20260917','YYYYMMDD') AS P_TO_DATE,
		'' AS P_BRANCH_CD,
		'' AS P_TRANSATION_ID
	FROM DUAL
),
DS_REPORT_1 AS(
    SELECT 
		RA.N_ALERT_ID                                       AS N_ALERT_ID,
		JSON_VALUE(RD.C_EXT_DATA,'$.transactionId') 		AS TRANSACTION_ID,
		COALESCE(
			TRIM(JSON_VALUE(RD.C_EXT_DATA,'$.branchCd')),
			MAP_BRANCH.V_BRANCH_CODES
		)                                                   AS BRANCH_CD, -- Bổ sung fallback lấy chi nhánh từ mapping nếu cần
		RD.V_GRP_MSG_TYPE									AS GRP_MSG_TYPE,
		DS.V_SWIFT_WEBSERVICE_DESC							AS WEBSERVICE_NAME,
		REGEXP_SUBSTR(ST.V_RULE,'\[([^]]+)\]',1,1,NULL,1) 	AS RULE_CODE,
		ST.N_SCORE											AS N_SCORE,
		SS.V_SANCTION_STATUS_NAME							AS STATUS_NAME,
		ST.V_MATCHED_LIST_NAME								AS MATCHED_LIST_NAME,
		ST.V_MATCHED_SUBLIST_NAME							AS MATCHED_SUBLIST_NAME,
		CAST(ST.C_INPUT_STR AS VARCHAR2(4000))				AS KEY_WORD,
		COALESCE(
			ST.V_MATCHED_ENTITY_NAME,
			ST.V_MATCHED_INDIVIDUAL_NAME, 
			ST.V_MATCHED_COUNTRY,
			ST.V_MATCHED_CITY,
			ST.V_MATCHED_BIC
		) 													AS WATCHlIST,
		ST.V_MATCHED_LIST_REC_ID							AS MATCHED_LIST_REC_ID,
		NVL(
			ST.V_TAG_NAME,
			REGEXP_REPLACE(MX.X_PATH,'\[[0-9]+\]','')
		) 													AS TAG_NAME
    FROM FSI_RT_ALERTS RA 
	INNER JOIN FSI_RT_RAW_DATA RD ON RA.N_GRP_MSG_ID = RD.N_GRP_MSG_ID 
	INNER JOIN FSI_RT_AL_WLS_RESPONSE ST ON ST.N_GRP_MSG_ID = RA.N_GRP_MSG_ID
	INNER JOIN DIM_SWIFT_WEBSERVICE DS ON ST.N_WEBSERVICE_ID = DS.N_SWIFT_WEBSERVICE_ID
	-- Sửa lại JOIN bảng XML theo N_RESPONSE_ID để chuẩn xác 1-1 với response chi tiết
	LEFT JOIN FSI_RT_XML_WLS_RESPONSE MX ON MX.N_RESPONSE_ID = ST.N_RESPONSE_ID
	LEFT JOIN MSB_GRPMSGTY_BRANCH_MAP MAP_BRANCH ON MAP_BRANCH.V_GRP_MSG_TYPE = RD.V_GRP_MSG_TYPE
	JOIN DIM_SANCTIONS_STATUS SS ON ST.N_IS_ACCEPTED = SS.N_SANCTION_STATUS_CODE
	CROSS JOIN DS_PARAMS P
    WHERE 1 = 1 
		-- Thay đổi từ RD.D_RECEIVED thành RA.D_CREATED
		AND TRUNC(RA.D_CREATED) BETWEEN P.P_FROM_DATE AND P.P_TO_DATE
		---- Bỏ comment dòng dưới nếu bạn muốn lọc luôn theo tham số Chi nhánh truyền vào
		--AND JSON_VALUE(RD.C_EXT_DATA,'$.branchCd') = P.P_BRANCH_CD
		---- ADD THÊM, NẾU LỌC THÊM THEO TRANSACTION
		--AND JSON_VALUE(RD.C_EXT_DATA,'$.transactionId') = P.P_TRANSATION_ID
),
DS_END AS(
    SELECT
        N_ALERT_ID,
        TRANSACTION_ID,
        BRANCH_CD,
        GRP_MSG_TYPE,
        WEBSERVICE_NAME,
        RULE_CODE,
        N_SCORE,
        STATUS_NAME,
        MATCHED_LIST_NAME,
        MATCHED_SUBLIST_NAME,
        KEY_WORD,
        WATCHlIST,
        MATCHED_LIST_REC_ID,
        TAG_NAME,
        ROW_NUMBER() OVER(PARTITION BY 
            N_ALERT_ID,
            TRANSACTION_ID,
            BRANCH_CD,
            GRP_MSG_TYPE,
            WEBSERVICE_NAME,
            RULE_CODE,
            N_SCORE,
            STATUS_NAME,
            MATCHED_LIST_NAME,
            MATCHED_SUBLIST_NAME,
            KEY_WORD,
            WATCHlIST,
            MATCHED_LIST_REC_ID,
            TAG_NAME ORDER BY N_ALERT_ID
        ) AS RN
    FROM DS_REPORT_1
)
SELECT 
    N_ALERT_ID,
    TRANSACTION_ID,
    BRANCH_CD,
    GRP_MSG_TYPE,
    WEBSERVICE_NAME,
    RULE_CODE,
    N_SCORE,
    STATUS_NAME,
    MATCHED_LIST_NAME,
    MATCHED_SUBLIST_NAME,
    KEY_WORD,
    WATCHlIST,
    MATCHED_LIST_REC_ID,
    TAG_NAME
FROM DS_END WHERE RN = 1;
</t>
  </si>
  <si>
    <t>Người dùng xem được báo cáo hiển thị kết quả đầu ra bao gồm các trường thông tin sau:
- ID của cảnh báo (alert)
- Mã giao dịch
- Loại điện
- Webservices
- Mã quy tắc quét
- Match Score
- Trạng thái đánh giá HIT
- Nguồn danh sách HIT
- Danh sách trùng khớp
- Từ khóa HIT
- Đối tượng hit nằm trong watch list
- ID của đối tượng trong watch list
- Tên trường HIT</t>
  </si>
  <si>
    <t>TF_RP1_02_02</t>
  </si>
  <si>
    <t>Kiểm tra giá trị trường ID của cảnh báo (alert)</t>
  </si>
  <si>
    <t>Hệ thống hiển thị giá trị trường ID của cảnh báo (alert)</t>
  </si>
  <si>
    <t>TF_RP1_02_03</t>
  </si>
  <si>
    <t>Kiểm tra giá trị trường Mã giao dịch</t>
  </si>
  <si>
    <t>Hệ thống hiển thị giá trị trường Mã giao dịch</t>
  </si>
  <si>
    <t>TF_RP1_02_04</t>
  </si>
  <si>
    <t>Kiểm tra giá trị trường Loại điện</t>
  </si>
  <si>
    <t>Hệ thống hiển thị giá trị trường Loại điện</t>
  </si>
  <si>
    <t>TF_RP1_02_05</t>
  </si>
  <si>
    <t>Kiểm tra giá trị trường Webservices</t>
  </si>
  <si>
    <t>Hệ thống hiển thị giá trị trường Webservices</t>
  </si>
  <si>
    <t>TF_RP1_02_06</t>
  </si>
  <si>
    <t>Kiểm tra giá trị trường Mã quy tắc quét</t>
  </si>
  <si>
    <t>Hệ thống hiển thị giá trị trường Mã quy tắc quét</t>
  </si>
  <si>
    <t>TF_RP1_02_07</t>
  </si>
  <si>
    <t>Kiểm tra giá trị trường Match Score</t>
  </si>
  <si>
    <t>Hệ thống hiển thị giá trị trường Match Score</t>
  </si>
  <si>
    <t>TF_RP1_02_08</t>
  </si>
  <si>
    <t>Kiểm tra giá trị trường Trạng thái đánh giá HIT</t>
  </si>
  <si>
    <t>Hệ thống hiển thị giá trị trường Trạng thái đánh giá HIT</t>
  </si>
  <si>
    <t>TF_RP1_02_09</t>
  </si>
  <si>
    <t>Kiểm tra giá trị trường Nguồn danh sách HIT</t>
  </si>
  <si>
    <t>Hệ thống hiển thị giá trị trường Nguồn danh sách HIT</t>
  </si>
  <si>
    <t>TF_RP1_02_10</t>
  </si>
  <si>
    <t>Kiểm tra giá trị trường Danh sách trùng khớp</t>
  </si>
  <si>
    <t>Hệ thống hiển thị giá trị trường Danh sách trùng khớp</t>
  </si>
  <si>
    <t>TF_RP1_02_11</t>
  </si>
  <si>
    <t>Kiểm tra giá trị trường Từ khóa HIT</t>
  </si>
  <si>
    <t>Hệ thống hiển thị giá trị trường Từ khóa HIT</t>
  </si>
  <si>
    <t>TF_RP1_02_12</t>
  </si>
  <si>
    <t>Kiểm tra giá trị trường Đối tượng HIT nằm trong Watchlist</t>
  </si>
  <si>
    <t>Hệ thống hiển thị giá trị trường Đối tượng HIT nằm trong Watchlist</t>
  </si>
  <si>
    <t>TF_RP1_02_13</t>
  </si>
  <si>
    <t>Kiểm tra giá trị trường Id của đối tượng trong Watchlist</t>
  </si>
  <si>
    <t>Hệ thống hiển thị giá trị trường Id của đối tượng trong Watchlist</t>
  </si>
  <si>
    <t>TF_RP1_02_14</t>
  </si>
  <si>
    <t>Kiểm tra giá trị trường Tên trường HIT</t>
  </si>
  <si>
    <t>Hệ thống hiển thị giá trị trường Tên trường HIT</t>
  </si>
  <si>
    <t>TF_RP1_03</t>
  </si>
  <si>
    <t>Kiểm tra tính năng trích xuất dữ liệu báo cáo</t>
  </si>
  <si>
    <t>TF_RP1_03_01</t>
  </si>
  <si>
    <t>Kiểm tra tính năng cho phép xuất báo cáo theo định dạng file excel</t>
  </si>
  <si>
    <t>1. Đăng nhập vào Oracle Analytics Server
2. Mở báo cáo "Báo cáo thống kê hit theo từng giao dịch"
3. Trên màn hình báo cáo, người dùng click vào chữ Export ở cuối màn hình -&gt; chọn Formatted -&gt; Excel</t>
  </si>
  <si>
    <t>1. Người dùng xuất được báo cáo theo định dạng file excel
2. Báo cáo xuất ra hiển thị thông tin trùng khớp với template</t>
  </si>
  <si>
    <t>TF_RP1_03_02</t>
  </si>
  <si>
    <t>Kiểm tra tính năng cho phép xuất báo cáo theo định dạng file PDF</t>
  </si>
  <si>
    <t>1. Đăng nhập vào Oracle Analytics Server
2. Mở báo cáo "Báo cáo thống kê hit theo từng giao dịch"
3. Trên màn hình báo cáo, người dùng click vào chữ Export ở cuối màn hình -&gt; chọn Formatted -&gt; PDF</t>
  </si>
  <si>
    <t>1. Người dùng xuất được báo cáo theo định dạng file PDF
2. Báo cáo xuất ra hiển thị thông tin trùng khớp với template</t>
  </si>
  <si>
    <t>Lỗi font chữ</t>
  </si>
  <si>
    <t>TF_RP1_04</t>
  </si>
  <si>
    <t>Kiểm tra ràng buộc tham số &amp; logic lấy dữ liệu</t>
  </si>
  <si>
    <t>TF_RP1_04_01</t>
  </si>
  <si>
    <t>Kiểm tra bắt buộc nhập tham số Từ ngày</t>
  </si>
  <si>
    <t>1. Đăng nhập vào Oracle Analytics Server
2. Mở báo cáo "Báo cáo thống kê hit theo từng giao dịch"
3. Để trống "Từ ngày", nhập "Đến ngày"
4. Nhấn Apply</t>
  </si>
  <si>
    <t>Không hiển thị nút Apply để xuất báo cáo</t>
  </si>
  <si>
    <t>TF_RP1_04_02</t>
  </si>
  <si>
    <t>Kiểm tra bắt buộc nhập tham số Đến ngày</t>
  </si>
  <si>
    <t>1. Đăng nhập vào Oracle Analytics Server
2. Mở báo cáo "Báo cáo thống kê hit theo từng giao dịch"
3. Nhập "Từ ngày", để trống "Đến ngày"
4. Nhấn Apply</t>
  </si>
  <si>
    <t>TF_RP1_04_03</t>
  </si>
  <si>
    <t>Kiểm tra khoảng ngày không hợp lệ (Từ ngày &gt; Đến ngày)</t>
  </si>
  <si>
    <t>1. Đăng nhập vào Oracle Analytics Server
2. Mở báo cáo "Báo cáo thống kê hit theo từng giao dịch"
3. Nhập "Từ ngày" lớn hơn "Đến ngày"
4. Nhấn Apply</t>
  </si>
  <si>
    <t>Hệ thống báo lỗi khoảng thời gian không hợp lệ, không trả kết quả</t>
  </si>
  <si>
    <t>*đồng bộ với KYC</t>
  </si>
  <si>
    <t>TF_RP1_04_04</t>
  </si>
  <si>
    <t>Kiểm tra kỳ báo cáo không có dữ liệu</t>
  </si>
  <si>
    <t>Không có giao dịch phát sinh trong kỳ chọn</t>
  </si>
  <si>
    <t>1. Đăng nhập vào Oracle Analytics Server
2. Mở báo cáo "Báo cáo thống kê hit theo từng giao dịch"
3. Chọn kỳ báo cáo không có dữ liệu
4. Nhấn Apply</t>
  </si>
  <si>
    <t>Hệ thống hiển thị báo cáo rỗng (không có bản ghi), không phát sinh lỗi</t>
  </si>
  <si>
    <t>TF_RP1_04_05</t>
  </si>
  <si>
    <t>Kiểm tra báo cáo bao gồm giao dịch có trạng thái 'KNOCKED-OUT'</t>
  </si>
  <si>
    <t>Đã có giao dịch Knocked-out trong kỳ</t>
  </si>
  <si>
    <t>1. Đăng nhập vào Oracle Analytics Server
2. Mở báo cáo "Báo cáo thống kê hit theo từng giao dịch"
3. Nhập tiêu chí kỳ báo cáo
4. Nhấn Apply</t>
  </si>
  <si>
    <t>Báo cáo hiển thị giao dịch KNOCKED-OUT; trường 'Trạng thái đánh giá HIT' của các giao dịch này = 'Pending'</t>
  </si>
  <si>
    <t>TF_RP1_04_06</t>
  </si>
  <si>
    <t>Kiểm tra Xuất báo cáo theo điều kiện chỉ nhập vào các trường bắt buộc Từ ngày - Đến ngày
Thời gian của Alert = Từ ngày</t>
  </si>
  <si>
    <t>1. Trả về đúng số lượng bản ghi theo điều kiện Xuất báo cáo
2. Dữ liệu các cột trả về theo đúng mapping so với dữ liệu</t>
  </si>
  <si>
    <t>TF_RP1_04_07</t>
  </si>
  <si>
    <t>Kiểm tra Xuất báo cáo theo điều kiện chỉ nhập vào các trường bắt buộc Từ ngày - Đến ngày
Thời gian của Alert = Đến ngày</t>
  </si>
  <si>
    <t>TF_RP1_04_08</t>
  </si>
  <si>
    <t>Kiểm tra Xuất báo cáo theo điều kiện chỉ nhập vào các trường bắt buộc Từ ngày - Đến ngày
Thời gian của Alert = Từ ngày = Đến ngày</t>
  </si>
  <si>
    <t>TF_RP1_04_09</t>
  </si>
  <si>
    <t>Kiểm tra Xuất báo cáo theo điều kiện chỉ nhập vào các trường bắt buộc Từ ngày - Đến ngày
Trường Đơn vị chọn 1 giá trị</t>
  </si>
  <si>
    <t>TF_RP1_04_10</t>
  </si>
  <si>
    <t>Kiểm tra Xuất báo cáo theo điều kiện chỉ nhập vào các trường bắt buộc Từ ngày - Đến ngày
Trường Đơn vị chọn tất cả các giá trị</t>
  </si>
  <si>
    <t>TF_RP1_04_11</t>
  </si>
  <si>
    <t>Kiểm tra chức năng xuất báo cáo khi nhập kết hợp toàn bộ các tiêu chí lọc của báo cáo</t>
  </si>
  <si>
    <t>1st</t>
  </si>
  <si>
    <t>2st Test Results</t>
  </si>
  <si>
    <t>3nd Test Results</t>
  </si>
  <si>
    <t>TF_RP2_01</t>
  </si>
  <si>
    <t>TF_RP2_01_01</t>
  </si>
  <si>
    <t>1. Đăng nhập vào Oracle Analytics Server
2. Mở báo cáo "Báo cáo tỷ lệ cảnh báo hit theo nghiệp vụ"</t>
  </si>
  <si>
    <t>Người dùng xem được các trường thông tin:
- Từ ngày
- Đến ngày
- Đơn vị
Các nút chức năng:
- Apply
- Reset</t>
  </si>
  <si>
    <t>TF_RP2_01_02</t>
  </si>
  <si>
    <t>1. Đăng nhập vào Oracle Analytics Server
2. Mở báo cáo "Báo cáo tỷ lệ cảnh báo hit theo nghiệp vụ"
3. Kiểm tra tham số Từ ngày</t>
  </si>
  <si>
    <t>TF_RP2_01_03</t>
  </si>
  <si>
    <t>1. Đăng nhập vào Oracle Analytics Server
2. Mở báo cáo "Báo cáo tỷ lệ cảnh báo hit theo nghiệp vụ"
3. Kiểm tra tham số Đến ngày</t>
  </si>
  <si>
    <t>TF_RP2_01_04</t>
  </si>
  <si>
    <t>1. Đăng nhập vào Oracle Analytics Server
2. Mở báo cáo "Báo cáo tỷ lệ cảnh báo hit theo nghiệp vụ"
3. Kiểm tra tham số Đơn vị</t>
  </si>
  <si>
    <t>TF_RP2_01_05</t>
  </si>
  <si>
    <t>1. Đăng nhập vào Oracle Analytics Server
2. Mở báo cáo "Báo cáo tỷ lệ cảnh báo hit theo nghiệp vụ"
3. Nhập/Chọn thông tin các trường:
- Chọn ngày trong trường 'Từ ngày'
- Chọn ngày trong trường 'Đến ngày'
- Nhập giá trị trường Đơn vị
4. Bấm nút chức năng 'Apply'</t>
  </si>
  <si>
    <t>TF_RP2_01_06</t>
  </si>
  <si>
    <t>1. Đăng nhập vào Oracle Analytics Server
2. Mở báo cáo "Báo cáo tỷ lệ cảnh báo hit theo nghiệp vụ"
3. Nhập/Chọn thông tin các trường:
- Chọn ngày trong trường 'Từ ngày'
- Chọn ngày trong trường 'Đến ngày'
- Nhập giá trị trường Đơn vị
4. Bấm nút chức năng 'Reset'</t>
  </si>
  <si>
    <t>TF_RP2_02</t>
  </si>
  <si>
    <t>Đã BỎ cột 'Tổng số lượng giao dịch có cảnh báo chính xác' theo ghi chú MSB (trùng với 'cảnh báo thật'). Header PL vẫn còn cột này -&gt; cần chốt chính thức; nếu giữ lại phải bổ sung TC.</t>
  </si>
  <si>
    <t>TF_RP2_02_01</t>
  </si>
  <si>
    <t>1. NSD có quyền truy cập báo cáo.
2. Đã có giao dịch được quét và cảnh báo đã được đánh giá (True/False) trong kỳ báo cáo.</t>
  </si>
  <si>
    <t>1. Đăng nhập vào Oracle Analytics Server
2. Mở báo cáo "Báo cáo tỷ lệ cảnh báo hit theo nghiệp vụ"
3. Nhập các tiêu chí lọc và đảm bảo nhập đủ các tiêu chí bắt buộc nhập
4. Bấm nút chức năng 'Apply'</t>
  </si>
  <si>
    <t>WITH DS_PARAMS AS (
    SELECT
        TO_DATE('20260828','YYYYMMDD') AS P_FROM_DATE,
        TO_DATE('20260828','YYYYMMDD') AS P_TO_DATE,
        '' AS P_BRANCH_CD           -- điền mã đơn vị để lọc; '' = tất cả
    FROM DUAL
),
DS_REPORT_2 AS (
    SELECT
        JSON_VALUE(RD.C_EXT_DATA,'$.branchCd')                          AS BRANCH_CD,
        COUNT(DISTINCT RD.N_GRP_MSG_ID)                                 AS TOTAL_SCANNED,
        COUNT(DISTINCT RA.N_GRP_MSG_ID)                                 AS TOTAL_HIT,
        COUNT(DISTINCT CASE WHEN RA.N_STATUS_CD IN (126,127,128,130,131,134,135)
                            THEN RA.N_GRP_MSG_ID END)                   AS TOTAL_RATED,
        COUNT(DISTINCT CASE WHEN RA.N_STATUS_CD IN (127,130,134)
                            THEN RA.N_GRP_MSG_ID END)                   AS TOTAL_FALSE,
        COUNT(DISTINCT CASE WHEN RA.N_STATUS_CD IN (126,128,131,135)
                            THEN RA.N_GRP_MSG_ID END)                   AS TOTAL_TRUE
    FROM FSI_RT_RAW_DATA RD
        LEFT JOIN FSI_RT_ALERTS RA ON RA.N_GRP_MSG_ID = RD.N_GRP_MSG_ID
        CROSS JOIN DS_PARAMS P
    WHERE 1 = 1
        AND TRUNC(RD.D_RECEIVED) BETWEEN P.P_FROM_DATE AND P.P_TO_DATE
        ---- LỌC THEO CHI NHÁNH (bỏ -- và điền P_BRANCH_CD để bật)
        --AND JSON_VALUE(RD.C_EXT_DATA,'$.branchCd') = P.P_BRANCH_CD
    GROUP BY JSON_VALUE(RD.C_EXT_DATA,'$.branchCd')
)
SELECT
    BRANCH_CD                                                   AS "Đơn vị",
    TOTAL_SCANNED                                               AS "Tổng GD được quét",
    TOTAL_HIT                                                   AS "Tổng GD bị hit rule",
    TOTAL_RATED                                                 AS "Tổng GD đã đánh giá",
    TOTAL_FALSE                                                 AS "Tổng GD cảnh báo giả",
    TOTAL_TRUE                                                  AS "Tổng GD cảnh báo thật",
    ROUND(TOTAL_FALSE / GREATEST(TOTAL_RATED,1) * 100, 2)      AS "Tỷ lệ cảnh báo giả (%)",
    ROUND(TOTAL_TRUE  / GREATEST(TOTAL_RATED,1) * 100, 2)      AS "Tỷ lệ cảnh báo thật (%)"
FROM DS_REPORT_2
ORDER BY BRANCH_CD;</t>
  </si>
  <si>
    <t>Người dùng xem được báo cáo hiển thị kết quả đầu ra bao gồm các trường thông tin sau:
- Đơn vị
- Tổng số lượng giao dịch được quét
- Tổng số giao dịch bị hit rule sàng lọc giao dịch
- Tổng số lượng giao dịch đánh giá
- Tổng số lượng giao dịch có cảnh báo giả
- Tổng số lượng giao dịch có cảnh báo thật
- Tỷ lệ cảnh báo giả
- Tỷ lệ cảnh báo thật</t>
  </si>
  <si>
    <t>TF_RP2_02_02</t>
  </si>
  <si>
    <t>Kiểm tra giá trị trường Đơn vị</t>
  </si>
  <si>
    <t>Hệ thống hiển thị giá trị trường Đơn vị</t>
  </si>
  <si>
    <t>TF_RP2_02_03</t>
  </si>
  <si>
    <t>Kiểm tra giá trị trường Tổng số lượng giao dịch được quét</t>
  </si>
  <si>
    <t>Hệ thống hiển thị giá trị trường Tổng số lượng giao dịch được quét</t>
  </si>
  <si>
    <t>TF_RP2_02_04</t>
  </si>
  <si>
    <t>Kiểm tra giá trị trường Tổng số giao dịch bị hit rule sàng lọc giao dịch</t>
  </si>
  <si>
    <t>Hệ thống hiển thị giá trị trường Tổng số giao dịch bị hit rule sàng lọc giao dịch</t>
  </si>
  <si>
    <t>TF_RP2_02_05</t>
  </si>
  <si>
    <t>Kiểm tra giá trị trường Tổng số lượng giao dịch đánh giá</t>
  </si>
  <si>
    <t>Hệ thống hiển thị giá trị trường Tổng số lượng giao dịch đánh giá</t>
  </si>
  <si>
    <t>TF_RP2_02_06</t>
  </si>
  <si>
    <t>Kiểm tra giá trị trường Tổng số lượng giao dịch có cảnh báo giả</t>
  </si>
  <si>
    <t>Hệ thống hiển thị giá trị trường Tổng số lượng giao dịch có cảnh báo giả</t>
  </si>
  <si>
    <t>TF_RP2_02_07</t>
  </si>
  <si>
    <t xml:space="preserve">Kiểm tra giá trị trường Tổng số lượng giao dịch có cảnh báo thật </t>
  </si>
  <si>
    <t>Hệ thống hiển thị giá trị trường Tổng số lượng giao dịch có cảnh báo thật</t>
  </si>
  <si>
    <t>TF_RP2_02_08</t>
  </si>
  <si>
    <t>Kiểm tra giá trị trường Tỷ lệ cảnh báo giả</t>
  </si>
  <si>
    <t>Hệ thống hiển thị giá trị trường Tỷ lệ cảnh báo giả</t>
  </si>
  <si>
    <t>TF_RP2_02_09</t>
  </si>
  <si>
    <t xml:space="preserve">Kiểm tra giá trị trường Tỷ lệ cảnh báo thật </t>
  </si>
  <si>
    <t>Hệ thống hiển thị giá trị trường Tỷ lệ cảnh báo thật</t>
  </si>
  <si>
    <t>TF_RP2_03</t>
  </si>
  <si>
    <t>TF_RP2_03_01</t>
  </si>
  <si>
    <t>1. Đăng nhập vào Oracle Analytics Server
2. Mở báo cáo "Báo cáo tỷ lệ cảnh báo hit theo nghiệp vụ"
3. Trên màn hình báo cáo, người dùng click vào chữ Export ở cuối màn hình -&gt; chọn Formatted -&gt; Excel</t>
  </si>
  <si>
    <t>TF_RP2_03_02</t>
  </si>
  <si>
    <t>1. Đăng nhập vào Oracle Analytics Server
2. Mở báo cáo "Báo cáo tỷ lệ cảnh báo hit theo nghiệp vụ"
3. Trên màn hình báo cáo, người dùng click vào chữ Export ở cuối màn hình -&gt; chọn Formatted -&gt; PDF</t>
  </si>
  <si>
    <t>TF_RP2_04</t>
  </si>
  <si>
    <t>Kiểm tra ràng buộc tham số &amp; công thức tính toán</t>
  </si>
  <si>
    <t>TF_RP2_04_01</t>
  </si>
  <si>
    <t>1. Đăng nhập vào Oracle Analytics Server
2. Mở báo cáo "Báo cáo tỷ lệ cảnh báo hit theo nghiệp vụ"
3. Để trống "Từ ngày"
4. Nhấn Apply</t>
  </si>
  <si>
    <t>TF_RP2_04_02</t>
  </si>
  <si>
    <t>1. Đăng nhập vào Oracle Analytics Server
2. Mở báo cáo "Báo cáo tỷ lệ cảnh báo hit theo nghiệp vụ"
3. Để trống "Đến ngày"
4. Nhấn Apply</t>
  </si>
  <si>
    <t>TF_RP2_04_03</t>
  </si>
  <si>
    <t>1. Đăng nhập vào Oracle Analytics Server
2. Mở báo cáo "Báo cáo tỷ lệ cảnh báo hit theo nghiệp vụ"
3. Nhập Từ ngày &gt; Đến ngày
4. Nhấn Apply</t>
  </si>
  <si>
    <t>Hệ thống báo lỗi khoảng thời gian không hợp lệ</t>
  </si>
  <si>
    <t>TF_RP2_04_04</t>
  </si>
  <si>
    <t>Kiểm tra công thức Tổng số giao dịch bị hit rule (gồm HIT không cảnh báo/Knocked-out)</t>
  </si>
  <si>
    <t>Kỳ báo cáo có cả GD HIT lên cảnh báo, HIT không cảnh báo và Knocked-out</t>
  </si>
  <si>
    <t>1. Đăng nhập vào Oracle Analytics Server
2. Mở báo cáo "Báo cáo tỷ lệ cảnh báo hit theo nghiệp vụ"
3. Chọn kỳ báo cáo
4. Nhấn Apply
5. Đối chiếu số liệu với dữ liệu nguồn</t>
  </si>
  <si>
    <t>WITH DS_PARAMS AS (
    SELECT
        TO_DATE('20260828','YYYYMMDD') AS P_FROM_DATE,
        TO_DATE('20260828','YYYYMMDD') AS P_TO_DATE
    FROM DUAL
),
DS_DETAIL AS (
    SELECT
        JSON_VALUE(RD.C_EXT_DATA,'$.branchCd')     AS BRANCH_CD,
        RA.N_GRP_MSG_ID                             AS ALERT_GRP_MSG_ID,
        RA.N_STATUS_CD
    FROM FSI_RT_RAW_DATA RD
        INNER JOIN FSI_RT_ALERTS RA
            ON RA.N_GRP_MSG_ID = RD.N_GRP_MSG_ID
        CROSS JOIN DS_PARAMS P
    WHERE TRUNC(RD.D_RECEIVED) BETWEEN P.P_FROM_DATE AND P.P_TO_DATE
),
DS_CHECK AS (
    SELECT
        BRANCH_CD,
        COUNT(DISTINCT ALERT_GRP_MSG_ID)                                            AS A_TOTAL_HIT,
        COUNT(DISTINCT CASE WHEN N_STATUS_CD IN (126,127,128,130,131,134)
                            THEN ALERT_GRP_MSG_ID END)                              AS B_ALERT_RATED,
        COUNT(DISTINCT CASE WHEN N_STATUS_CD = 135
                            THEN ALERT_GRP_MSG_ID END)                              AS C_KNOCKED_OUT,
        COUNT(DISTINCT CASE WHEN N_STATUS_CD NOT IN (126,127,128,130,131,134,135)
                                  OR N_STATUS_CD IS NULL
                            THEN ALERT_GRP_MSG_ID END)                              AS D_HIT_NO_ALERT
    FROM DS_DETAIL
    GROUP BY BRANCH_CD
)
SELECT
    BRANCH_CD                                                                       AS "Đơn vị",
    A_TOTAL_HIT                                                                     AS "A: Tổng GD bị hit rule",
    B_ALERT_RATED                                                                   AS "B: GD có cảnh báo đã xử lý",
    C_KNOCKED_OUT                                                                   AS "C: GD Knocked-out",
    D_HIT_NO_ALERT                                                                  AS "D: GD HIT không lên cảnh báo",
    (B_ALERT_RATED + C_KNOCKED_OUT + D_HIT_NO_ALERT)                                AS "B+C+D",
    CASE
        WHEN A_TOTAL_HIT = (B_ALERT_RATED + C_KNOCKED_OUT + D_HIT_NO_ALERT)
        THEN 'PASS'
        ELSE 'FAIL'
    END                                                                             AS "Kết quả"
FROM DS_CHECK
ORDER BY BRANCH_CD;</t>
  </si>
  <si>
    <t>Giá trị = tổng GD match rule, BAO GỒM cả GD HIT không lên cảnh báo và Knocked-out (theo PL)</t>
  </si>
  <si>
    <t>TF_RP2_04_05</t>
  </si>
  <si>
    <t>Kiểm tra công thức Tổng số GD có cảnh báo giả</t>
  </si>
  <si>
    <t>Có cảnh báo đã đóng ở trạng thái Close Accept và Close Deny</t>
  </si>
  <si>
    <t>1. Đăng nhập vào Oracle Analytics Server
2. Mở báo cáo "Báo cáo tỷ lệ cảnh báo hit theo nghiệp vụ"
3. Chọn kỳ báo cáo
4. Nhấn Apply
5. Đối chiếu với log trạng thái đóng cảnh báo</t>
  </si>
  <si>
    <t>WITH DS_PARAMS AS (
    SELECT
        TO_DATE('20260828','YYYYMMDD') AS P_FROM_DATE,
        TO_DATE('20260828','YYYYMMDD') AS P_TO_DATE
    FROM DUAL
),
DS_CHECK AS (
    SELECT
        JSON_VALUE(RD.C_EXT_DATA,'$.branchCd')                                     AS BRANCH_CD,
        COUNT(DISTINCT CASE WHEN RA.N_STATUS_CD IN (127,130,134)
                            THEN RA.N_GRP_MSG_ID END)                               AS A_TOTAL_FALSE,
        COUNT(DISTINCT CASE WHEN RA.N_STATUS_CD = 127
                            THEN RA.N_GRP_MSG_ID END)                               AS B_MAKER_CLOSE_ACCEPT,
        COUNT(DISTINCT CASE WHEN RA.N_STATUS_CD = 130
                            THEN RA.N_GRP_MSG_ID END)                               AS C_CHECKER_CLOSE_ACCEPT,
        COUNT(DISTINCT CASE WHEN RA.N_STATUS_CD = 134
                            THEN RA.N_GRP_MSG_ID END)                               AS D_AML_CLOSE_ACCEPT
    FROM FSI_RT_RAW_DATA RD
        LEFT JOIN FSI_RT_ALERTS RA ON RA.N_GRP_MSG_ID = RD.N_GRP_MSG_ID
        CROSS JOIN DS_PARAMS P
    WHERE TRUNC(RD.D_RECEIVED) BETWEEN P.P_FROM_DATE AND P.P_TO_DATE
    GROUP BY JSON_VALUE(RD.C_EXT_DATA,'$.branchCd')
)
SELECT
    BRANCH_CD                                                                       AS "Đơn vị",
    A_TOTAL_FALSE                                                                   AS "A: Tổng GD cảnh báo giả",
    B_MAKER_CLOSE_ACCEPT                                                            AS "B: Maker Close Accept (127)",
    C_CHECKER_CLOSE_ACCEPT                                                          AS "C: Checker Close Accept (130)",
    D_AML_CLOSE_ACCEPT                                                              AS "D: AML Close Accept (134)",
    (B_MAKER_CLOSE_ACCEPT + C_CHECKER_CLOSE_ACCEPT + D_AML_CLOSE_ACCEPT)           AS "B+C+D",
    CASE
        WHEN A_TOTAL_FALSE = (B_MAKER_CLOSE_ACCEPT + C_CHECKER_CLOSE_ACCEPT + D_AML_CLOSE_ACCEPT)
        THEN 'PASS'
        ELSE 'FAIL'
    END                                                                             AS "Kết quả"
FROM DS_CHECK
ORDER BY BRANCH_CD;</t>
  </si>
  <si>
    <t>Giá trị = số cảnh báo có trạng thái cuối là Maker/Checker/AML Close Accept</t>
  </si>
  <si>
    <t>TF_RP2_04_06</t>
  </si>
  <si>
    <t>Kiểm tra công thức Tổng số GD có cảnh báo thật</t>
  </si>
  <si>
    <t>Có cảnh báo Close Deny và giao dịch Knocked-out trong kỳ</t>
  </si>
  <si>
    <t>WITH DS_PARAMS AS (
    SELECT
        TO_DATE('20260828','YYYYMMDD') AS P_FROM_DATE,
        TO_DATE('20260828','YYYYMMDD') AS P_TO_DATE
    FROM DUAL
),
DS_CHECK AS (
    SELECT
        JSON_VALUE(RD.C_EXT_DATA,'$.branchCd')                                     AS BRANCH_CD,
        COUNT(DISTINCT CASE WHEN RA.N_STATUS_CD IN (126,128,131,135)
                            THEN RA.N_GRP_MSG_ID END)                               AS A_TOTAL_TRUE,
        COUNT(DISTINCT CASE WHEN RA.N_STATUS_CD = 126
                            THEN RA.N_GRP_MSG_ID END)                               AS B_MAKER_CLOSE_DENY,
        COUNT(DISTINCT CASE WHEN RA.N_STATUS_CD = 128
                            THEN RA.N_GRP_MSG_ID END)                               AS C_CHECKER_CLOSE_DENY,
        COUNT(DISTINCT CASE WHEN RA.N_STATUS_CD = 131
                            THEN RA.N_GRP_MSG_ID END)                               AS D_AML_CLOSE_DENY,
        COUNT(DISTINCT CASE WHEN RA.N_STATUS_CD = 135
                            THEN RA.N_GRP_MSG_ID END)                               AS E_KNOCKED_OUT
    FROM FSI_RT_RAW_DATA RD
        LEFT JOIN FSI_RT_ALERTS RA ON RA.N_GRP_MSG_ID = RD.N_GRP_MSG_ID
        CROSS JOIN DS_PARAMS P
    WHERE TRUNC(RD.D_RECEIVED) BETWEEN P.P_FROM_DATE AND P.P_TO_DATE
    GROUP BY JSON_VALUE(RD.C_EXT_DATA,'$.branchCd')
)
SELECT
    BRANCH_CD                                                                       AS "Đơn vị",
    A_TOTAL_TRUE                                                                    AS "A: Tổng GD cảnh báo thật",
    B_MAKER_CLOSE_DENY                                                              AS "B: Maker Close Deny (126)",
    C_CHECKER_CLOSE_DENY                                                            AS "C: Checker Close Deny (128)",
    D_AML_CLOSE_DENY                                                                AS "D: AML Close Deny (131)",
    E_KNOCKED_OUT                                                                   AS "E: Knocked-out (135)",
    (B_MAKER_CLOSE_DENY + C_CHECKER_CLOSE_DENY + D_AML_CLOSE_DENY + E_KNOCKED_OUT) AS "B+C+D+E",
    CASE
        WHEN A_TOTAL_TRUE = (B_MAKER_CLOSE_DENY + C_CHECKER_CLOSE_DENY + D_AML_CLOSE_DENY + E_KNOCKED_OUT)
        THEN 'PASS'
        ELSE 'FAIL'
    END                                                                             AS "Kết quả"
FROM DS_CHECK
ORDER BY BRANCH_CD;</t>
  </si>
  <si>
    <t>Giá trị = số cảnh báo Maker/Checker/AML Close Deny + số giao dịch KNOCKED-OUT</t>
  </si>
  <si>
    <t>TF_RP2_04_07</t>
  </si>
  <si>
    <t>Kiểm tra công thức Tỷ lệ cảnh báo giả</t>
  </si>
  <si>
    <t>Đã biết Tổng GD cảnh báo giả và Tổng GD đánh giá</t>
  </si>
  <si>
    <t>1. Đăng nhập vào Oracle Analytics Server
2. Mở báo cáo "Báo cáo tỷ lệ cảnh báo hit theo nghiệp vụ"
3. Chọn kỳ báo cáo
4. Nhấn Apply
5. Tính tay và đối chiếu</t>
  </si>
  <si>
    <t>WITH DS_PARAMS AS (
    SELECT
        TO_DATE('20260828','YYYYMMDD') AS P_FROM_DATE,
        TO_DATE('20260828','YYYYMMDD') AS P_TO_DATE
    FROM DUAL
),
DS_CHECK AS (
    SELECT
        JSON_VALUE(RD.C_EXT_DATA,'$.branchCd')                                     AS BRANCH_CD,
        COUNT(DISTINCT CASE WHEN RA.N_STATUS_CD IN (127,130,134)
                            THEN RA.N_GRP_MSG_ID END)                               AS A_TOTAL_FALSE,
        COUNT(DISTINCT CASE WHEN RA.N_STATUS_CD IN (126,127,128,130,131,134,135)
                            THEN RA.N_GRP_MSG_ID END)                               AS B_TOTAL_RATED,
        ROUND(
            COUNT(DISTINCT CASE WHEN RA.N_STATUS_CD IN (127,130,134)
                                THEN RA.N_GRP_MSG_ID END)
            / GREATEST(
                COUNT(DISTINCT CASE WHEN RA.N_STATUS_CD IN (126,127,128,130,131,134,135)
                                    THEN RA.N_GRP_MSG_ID END),
                1)
            * 100
        , 2)                                                                        AS C_RATIO_REPORT,
        ROUND(
            COUNT(DISTINCT CASE WHEN RA.N_STATUS_CD IN (127,130,134)
                                THEN RA.N_GRP_MSG_ID END)
            / GREATEST(
                COUNT(DISTINCT CASE WHEN RA.N_STATUS_CD IN (126,127,128,130,131,134,135)
                                    THEN RA.N_GRP_MSG_ID END),
                1)
            * 100
        , 2)                                                                        AS D_RATIO_MANUAL
    FROM FSI_RT_RAW_DATA RD
        LEFT JOIN FSI_RT_ALERTS RA ON RA.N_GRP_MSG_ID = RD.N_GRP_MSG_ID
        CROSS JOIN DS_PARAMS P
    WHERE TRUNC(RD.D_RECEIVED) BETWEEN P.P_FROM_DATE AND P.P_TO_DATE
    GROUP BY JSON_VALUE(RD.C_EXT_DATA,'$.branchCd')
)
SELECT
    BRANCH_CD                                                                       AS "Đơn vị",
    A_TOTAL_FALSE                                                                   AS "A: Tổng GD cảnh báo giả",
    B_TOTAL_RATED                                                                   AS "B: Tổng GD đánh giá",
    C_RATIO_REPORT                                                                  AS "C: Tỷ lệ CB giả - Report (%)",
    D_RATIO_MANUAL                                                                  AS "D: Tỷ lệ CB giả - Tính lại (%)",
    CASE
        WHEN C_RATIO_REPORT = D_RATIO_MANUAL
        THEN 'PASS'
        ELSE 'FAIL'
    END                                                                             AS "Kết quả"
FROM DS_CHECK
ORDER BY BRANCH_CD;</t>
  </si>
  <si>
    <t>Tỷ lệ cảnh báo giả = (Tổng GD cảnh báo giả / Tổng GD đánh giá) x 100%</t>
  </si>
  <si>
    <t>TF_RP2_04_08</t>
  </si>
  <si>
    <t>Kiểm tra công thức Tỷ lệ cảnh báo thật</t>
  </si>
  <si>
    <t>Đã biết Tổng GD cảnh báo thật và Tổng GD đánh giá</t>
  </si>
  <si>
    <t>Tỷ lệ cảnh báo thật = (Tổng GD cảnh báo thật / Tổng GD đánh giá) x 100%</t>
  </si>
  <si>
    <t>TF_RP2_04_09</t>
  </si>
  <si>
    <t>1. Đăng nhập vào Oracle Analytics Server
2. Mở báo cáo "Báo cáo tỷ lệ cảnh báo hit theo nghiệp vụ"
3. Nhập tiêu chí kỳ báo cáo
4. Nhấn Apply</t>
  </si>
  <si>
    <t>TF_RP2_04_10</t>
  </si>
  <si>
    <t>TF_RP2_04_11</t>
  </si>
  <si>
    <t>TF_RP2_04_12</t>
  </si>
  <si>
    <t>TF_RP2_04_13</t>
  </si>
  <si>
    <t>TF_RP3_01</t>
  </si>
  <si>
    <t>TF_RP3_01_01</t>
  </si>
  <si>
    <t>1. Đăng nhập vào Oracle Analytics Server
2. Mở báo cáo "Báo cáo tỷ lệ cảnh báo theo rule quét sàng lọc "</t>
  </si>
  <si>
    <t>Người dùng xem được các trường thông tin:
- Từ ngày
- Đến ngày
- Loại Webservice
Các nút chức năng:
- Apply
- Reset</t>
  </si>
  <si>
    <t>TF_RP3_01_02</t>
  </si>
  <si>
    <t>1. Đăng nhập vào Oracle Analytics Server
2. Mở báo cáo "Báo cáo tỷ lệ cảnh báo theo rule quét sàng lọc "
3. Kiểm tra tham số Từ ngày</t>
  </si>
  <si>
    <t>TF_RP3_01_03</t>
  </si>
  <si>
    <t>1. Đăng nhập vào Oracle Analytics Server
2. Mở báo cáo "Báo cáo tỷ lệ cảnh báo theo rule quét sàng lọc "
3. Kiểm tra tham số Đến ngày</t>
  </si>
  <si>
    <t>TF_RP3_01_04</t>
  </si>
  <si>
    <t>Kiểm tra tham số Webservice</t>
  </si>
  <si>
    <t>1. Đăng nhập vào Oracle Analytics Server
2. Mở báo cáo "Báo cáo tỷ lệ cảnh báo theo rule quét sàng lọc "
3. Kiểm tra tham số Webservice</t>
  </si>
  <si>
    <t>Hệ thống hiển thị danh sách các Webservice, cho phép người dùng chọn một hoặc nhiều và không bắt buộc chọn</t>
  </si>
  <si>
    <t>TF_RP3_01_05</t>
  </si>
  <si>
    <t>1. Đăng nhập vào Oracle Analytics Server
2. Mở báo cáo "Báo cáo tỷ lệ cảnh báo theo rule quét sàng lọc "
3. Nhập/Chọn thông tin các trường:
- Chọn ngày trong trường 'Từ ngày'
- Chọn ngày trong trường 'Đến ngày'
- Nhập giá trị trường Webservice
4. Bấm nút chức năng 'Apply'</t>
  </si>
  <si>
    <t>TF_RP3_01_06</t>
  </si>
  <si>
    <t>1. Đăng nhập vào Oracle Analytics Server
2. Mở báo cáo "Báo cáo tỷ lệ cảnh báo theo rule quét sàng lọc "
3. Nhập/Chọn thông tin các trường:
- Chọn ngày trong trường 'Từ ngày'
- Chọn ngày trong trường 'Đến ngày'
- Nhập giá trị trường Webservice
4. Bấm nút chức năng 'Reset'</t>
  </si>
  <si>
    <t>TF_RP3_02</t>
  </si>
  <si>
    <t>TF_RP3_02_01</t>
  </si>
  <si>
    <t>1. NSD có quyền truy cập báo cáo.
2. Đã có giao dịch được quét qua các rule/Webservice và có Event đã đánh giá trong kỳ báo cáo.</t>
  </si>
  <si>
    <t>1. Đăng nhập vào Oracle Analytics Server
2. Mở báo cáo "Báo cáo tỷ lệ cảnh báo theo rule quét sàng lọc "
3. Nhập các tiêu chí lọc và đảm bảo nhập đủ các tiêu chí bắt buộc nhập
4. Bấm nút chức năng 'Apply'</t>
  </si>
  <si>
    <t xml:space="preserve">Người dùng xem được báo cáo hiển thị kết quả đầu ra bao gồm các trường thông tin sau:
- Loại Webservice
- Phương thức quét
- Mã rule quét sàng lọc giao dịch  
- Tên Rule quét sàng lọc giao dịch
- Tổng số lần hit 
- Tổng số lần hit đã đánh giá
- Tổng số lần hit  giả
- Tổng số lần hit thật
- Tỷ lệ hit thật
</t>
  </si>
  <si>
    <t>TF_RP3_02_02</t>
  </si>
  <si>
    <t>Kiểm tra giá trị trường Loại Webservice</t>
  </si>
  <si>
    <t>Hệ thống hiển thị giá trị trường Webservice</t>
  </si>
  <si>
    <t>TF_RP3_02_03</t>
  </si>
  <si>
    <t>Kiểm tra giá trị trường Phương thức quét</t>
  </si>
  <si>
    <t>Hệ thống hiển thị giá trị trường Phương thức quét</t>
  </si>
  <si>
    <t>TF_RP3_02_04</t>
  </si>
  <si>
    <t xml:space="preserve">Kiểm tra giá trị trường Mã rule quét sàng lọc giao dịch  </t>
  </si>
  <si>
    <t>Hệ thống hiển thị giá trị trường Mã rule quét sàng lọc giao dịch</t>
  </si>
  <si>
    <t>TF_RP3_02_05</t>
  </si>
  <si>
    <t>Kiểm tra giá trị trường Tên Rule quét sàng lọc giao dịch</t>
  </si>
  <si>
    <t>Hệ thống hiển thị giá trị trường Tên Rule quét sàng lọc giao dịch</t>
  </si>
  <si>
    <t>TF_RP3_02_07</t>
  </si>
  <si>
    <t xml:space="preserve">Kiểm tra giá trị trường Tổng số lần hit 
</t>
  </si>
  <si>
    <t>Hệ thống hiển thị giá trị trường Tổng số lần hit</t>
  </si>
  <si>
    <t>TF_RP3_02_08</t>
  </si>
  <si>
    <t>Kiểm tra giá trị trường Tổng số lần hit đã đánh giá</t>
  </si>
  <si>
    <t>Hệ thống hiển thị giá trị trường Tổng số lần hit đã đánh giá</t>
  </si>
  <si>
    <t>TF_RP3_02_09</t>
  </si>
  <si>
    <t>Kiểm tra giá trị trường Tổng số lần hit giả</t>
  </si>
  <si>
    <t>Hệ thống hiển thị giá trị trường Tổng số lần hit giả</t>
  </si>
  <si>
    <t>TF_RP3_02_10</t>
  </si>
  <si>
    <t>Kiểm tra giá trị trường Tổng số lần hit thật</t>
  </si>
  <si>
    <t>Hệ thống hiển thị giá trị trường Tổng số lần hit thật đã đánh giá</t>
  </si>
  <si>
    <t>TF_RP3_02_12</t>
  </si>
  <si>
    <t xml:space="preserve">Kiểm tra giá trị trường Tỷ lệ hit thật
</t>
  </si>
  <si>
    <t>Hệ thống hiển thị giá trị trường Tỷ lệ hit thật</t>
  </si>
  <si>
    <t>TF_RP3_03</t>
  </si>
  <si>
    <t>TF_RP3_03_01</t>
  </si>
  <si>
    <t>1. Đăng nhập vào Oracle Analytics Server
2. Mở báo cáo "Báo cáo tỷ lệ cảnh báo theo rule quét sàng lọc "
3. Trên màn hình báo cáo, người dùng click vào chữ Export ở cuối màn hình -&gt; chọn Formatted -&gt; Excel</t>
  </si>
  <si>
    <t>TF_RP3_03_02</t>
  </si>
  <si>
    <t>1. Đăng nhập vào Oracle Analytics Server
2. Mở báo cáo "Báo cáo tỷ lệ cảnh báo theo rule quét sàng lọc "
3. Trên màn hình báo cáo, người dùng click vào chữ Export ở cuối màn hình -&gt; chọn Formatted -&gt; PDF</t>
  </si>
  <si>
    <t>TF_RP3_04</t>
  </si>
  <si>
    <t>TF_RP3_04_01</t>
  </si>
  <si>
    <t>1. Đăng nhập vào Oracle Analytics Server
2. Mở báo cáo "Báo cáo tỷ lệ cảnh báo theo rule quét sàng lọc "
3. Để trống "Từ ngày"
4. Nhấn Apply</t>
  </si>
  <si>
    <t>TF_RP3_04_02</t>
  </si>
  <si>
    <t>1. Đăng nhập vào Oracle Analytics Server
2. Mở báo cáo "Báo cáo tỷ lệ cảnh báo theo rule quét sàng lọc "
3. Để trống "Đến ngày"
4. Nhấn Apply</t>
  </si>
  <si>
    <t>TF_RP3_04_03</t>
  </si>
  <si>
    <t>1. Đăng nhập vào Oracle Analytics Server
2. Mở báo cáo "Báo cáo tỷ lệ cảnh báo theo rule quét sàng lọc "
3. Nhập Từ ngày &gt; Đến ngày
4. Nhấn Apply</t>
  </si>
  <si>
    <t>Hệ thống báo lỗi khoảng thời gian không hợp lệ,  không trả kết quả</t>
  </si>
  <si>
    <t>TF_RP3_04_04</t>
  </si>
  <si>
    <t>Kiểm tra giá trị Phương thức quét (ĐA KÊNH / THỦ CÔNG)</t>
  </si>
  <si>
    <t>Có giao dịch quét qua luồng đa nguồn và luồng sàng lọc thủ công (Scan and Investigate)</t>
  </si>
  <si>
    <t>1. Đăng nhập vào Oracle Analytics Server
2. Mở báo cáo "Báo cáo tỷ lệ cảnh báo theo rule quét sàng lọc "
3. Chọn kỳ báo cáo
4. Nhấn Apply</t>
  </si>
  <si>
    <t xml:space="preserve">
WITH DS_PARAMS AS(
	SELECT 
		TO_DATE('20260914','YYYYMMDD') AS P_FROM_DATE,
		TO_DATE('20260914','YYYYMMDD') AS P_TO_DATE,
		1	AS WEBSERVICE_ID
	FROM DUAL
),
DS_REPORT_3 AS(
    SELECT 
        DS.V_SWIFT_WEBSERVICE_TYPE,
        CASE 
            WHEN RD.V_GRP_MSG_TYPE = 'MTC99' THEN 'THỦ CÔNG'
        ELSE 
            'ĐA KÊNH' 
        END AS CHANNEL,
        REGEXP_SUBSTR(RS.V_RULE,'\[([^]]+)\]',1,1,NULL,1) AS RULE_CODE,
        TRIM(REGEXP_SUBSTR(RS.V_RULE,'[^]]+$')) AS RULE_NAME,
        COUNT(RS.N_RESPONSE_ID) AS TOTAL,
        SUM(CASE WHEN RS.N_IS_ACCEPTED IN (7, 8) THEN 1 ELSE 0 END) AS TOTAL_HIT_RATED,
        SUM(CASE WHEN RS.N_IS_ACCEPTED = 8 THEN 1 ELSE 0 END) AS TOTAL_HIT_NOT_RATE,
        SUM(CASE WHEN RS.N_IS_ACCEPTED = 7 THEN 1 ELSE 0 END) AS TOTAL_HIT
    FROM FSI_RT_ALERTS RA
        JOIN FSI_RT_RAW_DATA RD ON RA.N_GRP_MSG_ID = RD.N_GRP_MSG_ID
        JOIN FSI_RT_AL_WLS_RESPONSE RS ON RA.N_GRP_MSG_ID = RS.N_GRP_MSG_ID
        JOIN DIM_SWIFT_WEBSERVICE DS ON RS.N_WEBSERVICE_ID = DS.N_SWIFT_WEBSERVICE_ID
        JOIN DIM_SANCTIONS_STATUS SS ON RS.N_IS_ACCEPTED = SS.N_SANCTION_STATUS_CODE
		CROSS JOIN DS_PARAMS P
    WHERE 1 = 1 
    AND TRUNC(RD.D_RECEIVED) BETWEEN P.P_FROM_DATE AND P.P_TO_DATE
    ---- ADD THÊM NẾU LỌC THÊM THEO WEB_SERVICES
    --AND RS.N_WEBSERVICE_ID = P.WEBSERVICE_ID
    GROUP BY DS.V_SWIFT_WEBSERVICE_TYPE,(
        CASE 
            WHEN RD.V_GRP_MSG_TYPE = 'MTC99' THEN 'THỦ CÔNG'
        ELSE 
            'ĐA KÊNH' 
        END
    ),REGEXP_SUBSTR(RS.V_RULE,'\[([^]]+)\]',1,1,NULL,1),TRIM(REGEXP_SUBSTR(RS.V_RULE,'[^]]+$'))
)
SELECT
    V_SWIFT_WEBSERVICE_TYPE,
    CHANNEL,
    RULE_CODE,
    RULE_NAME,
    TOTAL,
    TOTAL_HIT_RATED,
    TOTAL_HIT_NOT_RATE,
    TOTAL_HIT,
    CASE 
        WHEN TOTAL_HIT_RATED &gt; 0 THEN ROUND(TOTAL_HIT/TOTAL_HIT_RATED,2) 
     ELSE 
        0
     END AS ACTUAL_HIT_RATE
FROM DS_REPORT_3;</t>
  </si>
  <si>
    <t>Phương thức quét = 'ĐA KÊNH' với luồng đa nguồn; = 'THỦ CÔNG' với luồng sàng lọc thủ công</t>
  </si>
  <si>
    <t>TF_RP3_04_05</t>
  </si>
  <si>
    <t>Kiểm tra công thức Tỷ lệ hit thật</t>
  </si>
  <si>
    <t>1. Đăng nhập vào Oracle Analytics Server
2. Mở báo cáo "Báo cáo tỷ lệ cảnh báo theo rule quét sàng lọc "
3. Chọn kỳ báo cáo
4. Nhấn Apply
5. Tính tay và đối chiếu</t>
  </si>
  <si>
    <t>Tỷ lệ hit thật = Tổng số lần hit thật / Tổng số lần hit đã đánh giá</t>
  </si>
  <si>
    <t>TF_RP3_04_06</t>
  </si>
  <si>
    <t>Kiểm tra Xuất báo cáo theo điều kiện chỉ nhập vào các trường bắt buộc Từ ngày - Đến ngày
Thời gian sàng lọc = Từ ngày</t>
  </si>
  <si>
    <t>1. Đăng nhập vào Oracle Analytics Server
2. Mở báo cáo "Báo cáo tỷ lệ cảnh báo theo rule quét sàng lọc"
3. Nhập tiêu chí kỳ báo cáo
4. Nhấn Apply</t>
  </si>
  <si>
    <t>1. Trả về đúng số lượng bản ghi theo điều kiện Xuất báo cáo so với dữ liệu mặc định
2. Dữ liệu các cột trả về theo đúng mapping so với dữ liệu Xuất báo cáo mặc định</t>
  </si>
  <si>
    <t>TF_RP3_04_07</t>
  </si>
  <si>
    <t>Kiểm tra Xuất báo cáo theo điều kiện chỉ nhập vào các trường bắt buộc Từ ngày - Đến ngày
Thời gian sàng lọc = Đến ngày</t>
  </si>
  <si>
    <t>TF_RP3_04_08</t>
  </si>
  <si>
    <t>Kiểm tra Xuất báo cáo theo điều kiện chỉ nhập vào các trường bắt buộc Từ ngày - Đến ngày
Thời gian sàng lọc = Từ ngày = Đến ngày</t>
  </si>
  <si>
    <t>TF_RP3_04_09</t>
  </si>
  <si>
    <t>Kiểm tra Xuất báo cáo theo điều kiện chỉ nhập vào các trường bắt buộc Từ ngày - Đến ngày
Trường Webservice chọn 1 giá trị</t>
  </si>
  <si>
    <t>TF_RP3_04_10</t>
  </si>
  <si>
    <t>Kiểm tra Xuất báo cáo theo điều kiện chỉ nhập vào các trường bắt buộc Từ ngày - Đến ngày
Trường Webservice chọn tất cả các giá trị</t>
  </si>
  <si>
    <t>TF_RP4_01</t>
  </si>
  <si>
    <t>TF_RP4_01_01</t>
  </si>
  <si>
    <t>1. Đăng nhập vào Oracle Analytics Server
2. Mở báo cáo "Báo cáo theo dõi Danh sách Good Guy sắp đến ngày hạn"</t>
  </si>
  <si>
    <t>Người dùng xem được các trường thông tin:
Expiry Date
Các nút chức năng:
- Apply
- Reset</t>
  </si>
  <si>
    <t>TF_RP4_01_02</t>
  </si>
  <si>
    <t>Kiểm tra tham số Expiry Date</t>
  </si>
  <si>
    <t>1. Đăng nhập vào Oracle Analytics Server
2. Mở báo cáo "Báo cáo theo dõi Danh sách Good Guy sắp đến ngày hạn"
3. Kiểm tra tham số Webservice</t>
  </si>
  <si>
    <t>Sai định dạng ngày
Act: dd.mm.yyyy</t>
  </si>
  <si>
    <t>TF_RP4_01_03</t>
  </si>
  <si>
    <t>1. Đăng nhập vào Oracle Analytics Server
2. Mở báo cáo "Báo cáo theo dõi Danh sách Good Guy sắp đến ngày hạn"
3. Nhập/Chọn thông tin các trường:
- Chọn ngày trong trường 'Expiry Date'
4. Bấm nút chức năng 'Apply'</t>
  </si>
  <si>
    <t>Không hiển thị dữ liệu báo cáo</t>
  </si>
  <si>
    <t>TF_RP4_01_04</t>
  </si>
  <si>
    <t>1. Đăng nhập vào Oracle Analytics Server
2. Mở báo cáo "Báo cáo theo dõi Danh sách Good Guy sắp đến ngày hạn"
3. Nhập/Chọn thông tin các trường:
- Chọn ngày trong trường 'Expiry Date'
4. Bấm nút chức năng 'Reset'</t>
  </si>
  <si>
    <t>TF_RP4_02</t>
  </si>
  <si>
    <t>TF_RP4_02_01</t>
  </si>
  <si>
    <t>1. Đăng nhập vào Oracle Analytics Server
2. Mở báo cáo "Báo cáo theo dõi Danh sách Good Guy sắp đến ngày hạn"
3. Nhập các tiêu chí lọc và đảm bảo nhập đủ các tiêu chí bắt buộc nhập
4. Bấm nút chức năng 'Apply'</t>
  </si>
  <si>
    <t>SELECT
    W.N_WHITELIST_ID AS ID_DOI_TUONG_GOOD_GUY,
    W.D_EXPIRE_ON AS THOI_GIAN_HET_HAN_CUA_BAN_GHI,
    W.V_WHITE_NAME AS TEN_DOI_TUONG,
    W.V_ORIGIN AS TEN_DANH_SACH_THEO_DOI,
--    W.N_STATUS_CD AS TRANG_THAI,
    W.V_WHITE_ENTITY_NAME AS DOI_TUONG_THUOC_DANH_SACH_THEO_DOI,
    W.V_RECORD_ID AS MA_BAN_GHI_DANH_SACH_THEO_DOI
FROM FCC_WHITELIST W
WHERE W.D_EXPIRE_ON IS NOT NULL
  AND TRUNC(W.D_EXPIRE_ON) BETWEEN TO_DATE(:FROM_DATE, 'DD/MM/YYYY') AND TO_DATE(:TO_DATE, 'DD/MM/YYYY')
  AND W.N_STATUS_CD = 22
ORDER BY
    W.D_EXPIRE_ON,
    W.N_WHITELIST_ID;</t>
  </si>
  <si>
    <t xml:space="preserve">Người dùng xem được báo cáo hiển thị kết quả đầu ra bao gồm các trường thông tin sau:
- ID đối tượng good guy
- Thời gian hết hạn của bản ghi 
- Tên đối tượng 
- Tên danh sách theo dõi 
- Đối tượng thuộc danh sách theo dõi 
- Mã bản ghi danh sách theo dõi 
</t>
  </si>
  <si>
    <t>TF_RP4_02_02</t>
  </si>
  <si>
    <t>Kiểm tra giá trị trường ID đối tượng good guy</t>
  </si>
  <si>
    <t>Hệ thống hiển thị giá trị trường ID đối tượng good guy</t>
  </si>
  <si>
    <t>TF_RP4_02_03</t>
  </si>
  <si>
    <t xml:space="preserve">Kiểm tra giá trị trường Thời gian hết hạn của bản ghi </t>
  </si>
  <si>
    <t xml:space="preserve">Hệ thống hiển thị giá trị trường Thời gian hết hạn của bản ghi </t>
  </si>
  <si>
    <t>TF_RP4_02_04</t>
  </si>
  <si>
    <t>Kiểm tra giá trị trường Tên đối tượng</t>
  </si>
  <si>
    <t>Hệ thống hiển thị giá trị trường Tên đối tượng</t>
  </si>
  <si>
    <t>TF_RP4_02_05</t>
  </si>
  <si>
    <t xml:space="preserve">Kiểm tra giá trị trường Tên danh sách theo dõi </t>
  </si>
  <si>
    <t>Hệ thống hiển thị giá trị trường Tên danh sách theo dõi</t>
  </si>
  <si>
    <t>TF_RP4_02_06</t>
  </si>
  <si>
    <t xml:space="preserve">Kiểm tra giá trị trường Đối tượng thuộc danh sách theo dõi </t>
  </si>
  <si>
    <t>Hệ thống hiển thị giá trị trường Đối tượng thuộc danh sách theo dõi</t>
  </si>
  <si>
    <t>TF_RP4_02_07</t>
  </si>
  <si>
    <t>Kiểm tra giá trị trường Mã bản ghi danh sách theo dõi</t>
  </si>
  <si>
    <t>Hệ thống hiển thị giá trị trường Mã bản ghi danh sách theo dõi tham số NSD đã nhập</t>
  </si>
  <si>
    <t>TF_RP4_03</t>
  </si>
  <si>
    <t>TF_RP4_03_01</t>
  </si>
  <si>
    <t>1. Đăng nhập vào Oracle Analytics Server
2. Mở báo cáo "Báo cáo theo dõi Danh sách Good Guy sắp đến ngày hạn"
3. Trên màn hình báo cáo, người dùng click vào chữ Export ở cuối màn hình -&gt; chọn Formatted -&gt; Excel</t>
  </si>
  <si>
    <t>Không hiển thị các tham số khi xuất báo cáo</t>
  </si>
  <si>
    <t>TF_RP4_03_02</t>
  </si>
  <si>
    <t>1. Đăng nhập vào Oracle Analytics Server
2. Mở báo cáo "Báo cáo theo dõi Danh sách Good Guy sắp đến ngày hạn"
3. Trên màn hình báo cáo, người dùng click vào chữ Export ở cuối màn hình -&gt; chọn Formatted -&gt; PDF</t>
  </si>
  <si>
    <t>Lỗi font chữ --&gt; Đã báo anh Long để sửa
Không hiển thị các tham số khi xuất báo cáo</t>
  </si>
  <si>
    <t>TF_RP4_04</t>
  </si>
  <si>
    <t>TF_RP4_04_01</t>
  </si>
  <si>
    <t>Kiểm tra bắt buộc nhập tham số Expiry Date</t>
  </si>
  <si>
    <t>1. Đăng nhập vào Oracle Analytics Server
2. Mở báo cáo "Báo cáo theo dõi Danh sách Good Guy sắp đến ngày hạn"
3. Để trống "Expiry Date"
4. Nhấn Apply</t>
  </si>
  <si>
    <t>TF_RP4_04_02</t>
  </si>
  <si>
    <t>Kiểm tra định dạng ngày của Expiry Date</t>
  </si>
  <si>
    <t>1. Đăng nhập vào Oracle Analytics Server
2. Mở báo cáo "Báo cáo theo dõi Danh sách Good Guy sắp đến ngày hạn"
3. Kiểm tra định dạng nhập/hiển thị của Expiry Date</t>
  </si>
  <si>
    <t>Expiry Date được nhập/hiển thị theo định dạng dd/mm/yyyy</t>
  </si>
  <si>
    <t>TF_RP4_04_03</t>
  </si>
  <si>
    <t>Kiểm tra logic lấy bản ghi có ngày đến hạn &lt;= Expiry Date</t>
  </si>
  <si>
    <t>1. Đăng nhập vào Oracle Analytics Server
2. Mở báo cáo "Báo cáo theo dõi Danh sách Good Guy sắp đến ngày hạn"
3. Nhập Expiry Date
4. Nhấn Apply</t>
  </si>
  <si>
    <t>Chỉ hiển thị các bản ghi Good Guy có ngày hết hạn &lt;= Expiry Date (theo PL)</t>
  </si>
  <si>
    <t>Anh HoangLV trao đổi với KH về dữ liệu phần này</t>
  </si>
  <si>
    <t>TF_RP4_04_04</t>
  </si>
  <si>
    <t>Kiểm tra biên: bản ghi có ngày hết hạn = Expiry Date</t>
  </si>
  <si>
    <t>1. Đăng nhập vào Oracle Analytics Server
2. Mở báo cáo "Báo cáo theo dõi Danh sách Good Guy sắp đến ngày hạn"
3. Nhập Expiry Date đúng bằng ngày hết hạn của 1 bản ghi
4. Nhấn Apply</t>
  </si>
  <si>
    <t>Bản ghi có ngày hết hạn = Expiry Date VẪN được lấy vào báo cáo</t>
  </si>
  <si>
    <t>TF_RP4_04_05</t>
  </si>
  <si>
    <t>Kiểm tra kỳ tra cứu không có bản ghi đến hạn</t>
  </si>
  <si>
    <t>Hệ thống hiển thị báo cáo rỗng, không phát sinh lỗi</t>
  </si>
  <si>
    <t>TF_RP5_01</t>
  </si>
  <si>
    <t>TF_RP5_01_01</t>
  </si>
  <si>
    <t>1. Đăng nhập vào Oracle Analytics Server
2. Mở báo cáo "Báo cáo các giao dịch đã bị từ chối"</t>
  </si>
  <si>
    <t>TF_RP5_01_02</t>
  </si>
  <si>
    <t>1. Đăng nhập vào Oracle Analytics Server
2. Mở báo cáo "Báo cáo các giao dịch đã bị từ chối"
3. Kiểm tra tham số Từ ngày</t>
  </si>
  <si>
    <t>TF_RP5_01_03</t>
  </si>
  <si>
    <t>1. Đăng nhập vào Oracle Analytics Server
2. Mở báo cáo "Báo cáo các giao dịch đã bị từ chối"
3. Kiểm tra tham số Đến ngày</t>
  </si>
  <si>
    <t>TF_RP5_01_04</t>
  </si>
  <si>
    <t>1. Đăng nhập vào Oracle Analytics Server
2. Mở báo cáo "Báo cáo các giao dịch đã bị từ chối"
3. Kiểm tra tham số Đơn vị</t>
  </si>
  <si>
    <t>TF_RP5_01_05</t>
  </si>
  <si>
    <t>1. Đăng nhập vào Oracle Analytics Server
2. Mở báo cáo "Báo cáo các giao dịch đã bị từ chối"
3. Nhập/Chọn thông tin các trường:
- Chọn ngày trong trường 'Từ ngày'
- Chọn ngày trong trường 'Đến ngày'
- Nhập giá trị trường Đơn vị
4. Bấm nút chức năng 'Apply'</t>
  </si>
  <si>
    <t>TF_RP5_01_06</t>
  </si>
  <si>
    <t>1. Đăng nhập vào Oracle Analytics Server
2. Mở báo cáo "Báo cáo các giao dịch đã bị từ chối"
3. Nhập/Chọn thông tin các trường:
- Chọn ngày trong trường 'Từ ngày'
- Chọn ngày trong trường 'Đến ngày'
- Nhập giá trị trường Đơn vị
4. Bấm nút chức năng 'Reset'</t>
  </si>
  <si>
    <t>TF_RP5_02</t>
  </si>
  <si>
    <t>TF_RP5_02_01</t>
  </si>
  <si>
    <t>1. NSD có quyền truy cập báo cáo.
2. Đã có giao dịch bị từ chối (True HIT) hoặc Knocked-out được xử lý trong kỳ báo cáo.</t>
  </si>
  <si>
    <t>1. Đăng nhập vào Oracle Analytics Server
2. Mở báo cáo "Báo cáo các giao dịch đã bị từ chối"
3. Nhập các tiêu chí lọc và đảm bảo nhập đủ các tiêu chí bắt buộc nhập
4. Bấm nút chức năng 'Apply'</t>
  </si>
  <si>
    <t>--report 5 (Fixed duplicate)
SELECT
    ROW_NUMBER() OVER (ORDER BY T.ngay_thuc_hien_xu_ly_canh_bao DESC NULLS LAST) AS stt,
    T.*
FROM (
    SELECT
        CASE
            WHEN FSI_RT_ALERTS.N_STATUS_CD = '126' THEN TO_CHAR('KNOCK-OUT') 
            ELSE TO_CHAR(FSI_RT_ALERTS.N_ALERT_ID)
        END                                                         AS id_cua_canh_bao,
        JSON_VALUE(FSI_RT_RAW_DATA.C_EXT_DATA, '$.transactionId') AS ma_giao_dich,
        FSI_RT_RAW_DATA.V_GRP_MSG_TYPE                              AS loai_dien,
        LIST_FSI_RT_AL_WLS_RESPONSE.LIST_V_MATCHED_SUBLIST_NAME     AS danh_sach_trung_khop,
        FSI_RT_ALERTS.D_MODIFIED                                    AS ngay_thuc_hien_xu_ly_canh_bao,
        FSI_RT_AL_COMMENTS_REASON.V_COMMENTS                        AS ly_do_bi_tu_choi,
        COALESCE(
            TRIM(JSON_VALUE(FSI_RT_RAW_DATA.C_EXT_DATA, '$.branchCd')),
            MAP_BRANCH.V_BRANCH_CODES
        )                                                           AS ma_don_vi_chi_nhanh,
        FSI_RT_AL_COMMENTS_MKR.USER_MKR_ID                          AS cap_maker,
        FSI_RT_AL_COMMENTS_CKR.USER_CKR_ID                          AS cap_checker,
        FSI_RT_AL_COMMENTS_AML.USER_AML_ID                          AS cap_aml
    FROM FSI_RT_ALERTS
    -- Gom nhóm WLS response để đảm bảo 1 N_GRP_MSG_ID chỉ có tối đa 1 dòng
    LEFT JOIN (
        SELECT N_GRP_MSG_ID,
               LISTAGG(V_MATCHED_SUBLIST_NAME, ';')
                   WITHIN GROUP (ORDER BY V_MATCHED_SUBLIST_NAME) AS LIST_V_MATCHED_SUBLIST_NAME
        FROM FSI_RT_AL_WLS_RESPONSE
        GROUP BY N_GRP_MSG_ID
    ) LIST_FSI_RT_AL_WLS_RESPONSE
        ON FSI_RT_ALERTS.N_GRP_MSG_ID = LIST_FSI_RT_AL_WLS_RESPONSE.N_GRP_MSG_ID
    JOIN FSI_RT_RAW_DATA
        ON FSI_RT_ALERTS.N_GRP_MSG_ID = FSI_RT_RAW_DATA.N_GRP_MSG_ID
    -- ⚠️ ĐÃ XÓA BỎ đoạn JOIN FSI_RT_AL_WLS_RESPONSE gốc bị trùng lặp ở đây.
    -- Nếu bạn cần lấy các mã Webservice hay Status cụ thể từ bảng Response, 
    -- ta sẽ lấy theo dạng đại diện hoặc gom nhóm tương tự, tránh dùng JOIN trực tiếp gây nhân bản.
    LEFT JOIN MSB_GRPMSGTY_BRANCH_MAP MAP_BRANCH
        ON MAP_BRANCH.V_GRP_MSG_TYPE = FSI_RT_RAW_DATA.V_GRP_MSG_TYPE
    LEFT JOIN (
        SELECT C.*
        FROM (
            SELECT C.*,
                   ROW_NUMBER() OVER (PARTITION BY C.N_ALERT_ID
                                     ORDER BY C.N_USR_COMMENT_ID DESC) AS RN
            FROM FSI_RT_AL_COMMENTS C
            WHERE C.N_ACTION_ID IN (128, 131, 135)
        ) C
        WHERE C.RN = 1
    ) FSI_RT_AL_COMMENTS_REASON
        ON FSI_RT_ALERTS.N_ALERT_ID = FSI_RT_AL_COMMENTS_REASON.N_ALERT_ID
    LEFT JOIN (
        SELECT N_ALERT_ID,
               LISTAGG(V_USR_ID, ';') WITHIN GROUP (ORDER BY V_USR_ID) AS USER_MKR_ID
        FROM (
            SELECT DISTINCT C.N_ALERT_ID, C.V_USR_ID
            FROM FSI_RT_AL_COMMENTS C
            WHERE C.N_ACTION_ID IN (7, 8, 127, 128, 129)
              AND EXISTS (SELECT 1 FROM CSSMS_USR_GROUP_MAP G
                          WHERE G.V_GROUP_CODE = 'MSBTFMKGRP'
                            AND G.V_USR_ID = C.V_USR_ID)
        )
        GROUP BY N_ALERT_ID
    ) FSI_RT_AL_COMMENTS_MKR
        ON FSI_RT_AL_COMMENTS_MKR.N_ALERT_ID = FSI_RT_ALERTS.N_ALERT_ID
    LEFT JOIN (
        SELECT N_ALERT_ID,
               LISTAGG(V_USR_ID, ';') WITHIN GROUP (ORDER BY V_USR_ID) AS USER_CKR_ID
        FROM (
            SELECT DISTINCT C.N_ALERT_ID, C.V_USR_ID
            FROM FSI_RT_AL_COMMENTS C
            WHERE C.N_ACTION_ID IN (7, 8, 130, 131, 132, 133)
              AND EXISTS (SELECT 1 FROM CSSMS_USR_GROUP_MAP G
                          WHERE G.V_GROUP_CODE = 'MSBTFCHGRP'
                            AND G.V_USR_ID = C.V_USR_ID)
        )
        GROUP BY N_ALERT_ID
    ) FSI_RT_AL_COMMENTS_CKR
        ON FSI_RT_AL_COMMENTS_CKR.N_ALERT_ID = FSI_RT_ALERTS.N_ALERT_ID
    LEFT JOIN (
        SELECT N_ALERT_ID,
               LISTAGG(V_USR_ID, ';') WITHIN GROUP (ORDER BY V_USR_ID) AS USER_AML_ID
        FROM (
            SELECT DISTINCT C.N_ALERT_ID, C.V_USR_ID
            FROM FSI_RT_AL_COMMENTS C
            WHERE C.N_ACTION_ID IN (7, 8, 134, 135, 136)
              AND EXISTS (SELECT 1 FROM CSSMS_USR_GROUP_MAP G
                          WHERE G.V_GROUP_CODE = 'MSBTFAMLGRP'
                            AND G.V_USR_ID = C.V_USR_ID)
        )
        GROUP BY N_ALERT_ID
    ) FSI_RT_AL_COMMENTS_AML
        ON FSI_RT_AL_COMMENTS_AML.N_ALERT_ID = FSI_RT_ALERTS.N_ALERT_ID
    WHERE (TRUNC(FSI_RT_ALERTS.D_CREATED) &gt;= TRUNC(DATE '2026-09-01'))
      AND (TRUNC(FSI_RT_ALERTS.D_CREATED) &lt;= TRUNC(DATE '2026-09-16'))
      AND FSI_RT_ALERTS.N_STATUS_CD IN (128, 131, 135)
) T
WHERE
    -- 1) Lọc P_DON_VI (danh sách CSV) trên ma_don_vi_chi_nhanh đã suy ra
    (
        :P_DON_VI IS NULL
        OR TRIM(:P_DON_VI) IS NULL
        OR UPPER(TRIM(:P_DON_VI)) IN ('NULL', 'ALL', '%')
        OR EXISTS (
            SELECT 1 FROM (
                SELECT TRIM(REGEXP_SUBSTR(:P_DON_VI, '[^,]+', 1, LEVEL)) AS token
                FROM dual
                CONNECT BY LEVEL &lt;= REGEXP_COUNT(:P_DON_VI, ',') + 1
            ) U
            WHERE U.token IS NOT NULL
              AND ',' || UPPER(REPLACE(T.ma_don_vi_chi_nhanh, ' ', '')) || ','
                  LIKE '%,' || UPPER(REPLACE(U.token, ' ', '')) || ',%'
        )
    )
    -- 2) Phân quyền: ADMIN thấy tất cả, còn lại giao với branch được cấp
    AND (
        EXISTS (
            SELECT 1 FROM USER_ROLE_MAP ADM
            WHERE ADM.ROLE = 'ADMIN'
              AND UPPER(ADM.USERNAME) = UPPER(:P_USER_ID)
        )
        OR EXISTS (
            SELECT 1 FROM USER_ROLE_MAP URM
            WHERE UPPER(URM.USERNAME) = UPPER(:P_USER_ID)
              AND ',' || UPPER(REPLACE(T.ma_don_vi_chi_nhanh, ' ', '')) || ','
                  LIKE '%,' || UPPER(REPLACE(URM.BRANCH_CD, ' ', '')) || ',%'
        )
    )
ORDER BY T.ngay_thuc_hien_xu_ly_canh_bao DESC NULLS LAST;</t>
  </si>
  <si>
    <t>Người dùng xem được báo cáo hiển thị kết quả đầu ra bao gồm các trường thông tin sau:
- STT
- ID của cảnh báo (alert)
- Mã giao dịch
- Loại điện
- Danh sách trùng khớp
- Ngày thực hiện xử lý cảnh báo
- Lý do bị từ chối
- Cấp Maker
- Cấp Checker
- Cấp AML
- Mã Đơn vị/Chi nhánh</t>
  </si>
  <si>
    <t>TF_RP5_02_02</t>
  </si>
  <si>
    <t>Kiểm tra giá trị trường STT</t>
  </si>
  <si>
    <t>Hệ thống hiển thị trường STT theo thứ tự tăng dần</t>
  </si>
  <si>
    <t>TF_RP5_02_03</t>
  </si>
  <si>
    <t>TF_RP5_02_04</t>
  </si>
  <si>
    <t>TF_RP5_02_05</t>
  </si>
  <si>
    <t>TF_RP5_02_09</t>
  </si>
  <si>
    <t>TF_RP5_02_13</t>
  </si>
  <si>
    <t>Kiểm tra giá trị trường Ngày thực hiện xử lý cảnh báo</t>
  </si>
  <si>
    <t>Hệ thống hiển thị giá trị trường Ngày thực hiện xử lý cảnh báo</t>
  </si>
  <si>
    <t>TF_RP5_02_14</t>
  </si>
  <si>
    <t>Kiểm tra giá trị trường Lý do bị từ chối</t>
  </si>
  <si>
    <t>Hệ thống hiển thị giá trị trường Lý do bị từ chối</t>
  </si>
  <si>
    <t>TF_RP5_02_15</t>
  </si>
  <si>
    <t>Kiểm tra giá trị trường Cấp Maker</t>
  </si>
  <si>
    <t>Hệ thống hiển thị giá trị trường Cấp Maker</t>
  </si>
  <si>
    <t>Đang không hiển thị dữ liệu lên màn hình</t>
  </si>
  <si>
    <t>TF_RP5_02_16</t>
  </si>
  <si>
    <t>Kiểm tra giá trị trường Cấp Checker</t>
  </si>
  <si>
    <t>Hệ thống hiển thị giá trị trường Cấp Checker</t>
  </si>
  <si>
    <t>TF_RP5_02_17</t>
  </si>
  <si>
    <t>Kiểm tra giá trị trường Cấp AML</t>
  </si>
  <si>
    <t>Hệ thống hiển thị giá trị trường Cấp AML</t>
  </si>
  <si>
    <t>Kiểm tra giá trị trường Mã Đơn vị/Chi nhánh</t>
  </si>
  <si>
    <t>Hệ thống hiển thị giá trị trường Mã Đơn vị/Chi nhánh</t>
  </si>
  <si>
    <t>TF_RP5_03</t>
  </si>
  <si>
    <t>TF_RP5_03_01</t>
  </si>
  <si>
    <t>1. Đăng nhập vào Oracle Analytics Server
2. Mở báo cáo "Báo cáo các giao dịch đã bị từ chối"
3. Trên màn hình báo cáo, người dùng click vào chữ Export ở cuối màn hình -&gt; chọn Formatted -&gt; Excel</t>
  </si>
  <si>
    <t>TF_RP5_03_02</t>
  </si>
  <si>
    <t>1. Đăng nhập vào Oracle Analytics Server
2. Mở báo cáo "Báo cáo các giao dịch đã bị từ chối"
3. Trên màn hình báo cáo, người dùng click vào chữ Export ở cuối màn hình -&gt; chọn Formatted -&gt; PDF</t>
  </si>
  <si>
    <t>TF_RP5_04</t>
  </si>
  <si>
    <t>TF_RP5_04_01</t>
  </si>
  <si>
    <t>1. Đăng nhập vào Oracle Analytics Server
2. Mở báo cáo "Báo cáo các giao dịch đã bị từ chối"
3. Để trống "Từ ngày"
4. Nhấn Apply</t>
  </si>
  <si>
    <t>TF_RP5_04_02</t>
  </si>
  <si>
    <t>1. Đăng nhập vào Oracle Analytics Server
2. Mở báo cáo "Báo cáo các giao dịch đã bị từ chối"
3. Để trống "Đến ngày"
4. Nhấn Apply</t>
  </si>
  <si>
    <t>TF_RP5_04_03</t>
  </si>
  <si>
    <t>Kiểm tra logic chỉ lấy giao dịch True HIT hoặc Knocked-out</t>
  </si>
  <si>
    <t>Kỳ báo cáo có GD True HIT, GD False HIT (đã accept) và GD Knocked-out</t>
  </si>
  <si>
    <t>1. Đăng nhập vào Oracle Analytics Server
2. Mở báo cáo "Báo cáo các giao dịch đã bị từ chối"
3. Chọn kỳ báo cáo
4. Nhấn Apply</t>
  </si>
  <si>
    <t>Báo cáo CHỈ hiển thị giao dịch được xác định True HIT (Close Deny) hoặc Knocked-out</t>
  </si>
  <si>
    <t>TF_RP5_04_04</t>
  </si>
  <si>
    <t>Kiểm tra giá trị Cấp Maker</t>
  </si>
  <si>
    <t>Có cảnh báo được nhiều Maker xử lý, có cả user chỉ View</t>
  </si>
  <si>
    <t>1. Đăng nhập vào Oracle Analytics Server
2. Mở báo cáo "Báo cáo các giao dịch đã bị từ chối"
3. Chọn kỳ báo cáo
4. Nhấn Apply
5. Đối chiếu với log xử lý cảnh báo</t>
  </si>
  <si>
    <t>Hiển thị tất cả Maker tham gia xử lý, KHÔNG tính user chỉ View</t>
  </si>
  <si>
    <t>TF_RP5_04_05</t>
  </si>
  <si>
    <t>Kiểm tra giá trị Cấp Checker</t>
  </si>
  <si>
    <t>Có cảnh báo được nhiều Checker xử lý, có cả user chỉ View</t>
  </si>
  <si>
    <t>Hiển thị tất cả Checker tham gia xử lý, KHÔNG tính user chỉ View</t>
  </si>
  <si>
    <t>TF_RP5_04_06</t>
  </si>
  <si>
    <t>Kiểm tra giá trị Cấp AML</t>
  </si>
  <si>
    <t>Hiển thị tất cả AML tham gia xử lý, KHÔNG tính user chỉ View</t>
  </si>
  <si>
    <t>TF_RP5_04_07</t>
  </si>
  <si>
    <t>Kiểm tra hiển thị báo cáo theo điều kiện chỉ nhập vào các trường bắt buộc Từ ngày - Đến ngày
Thời gian của Alert = Từ ngày</t>
  </si>
  <si>
    <t>1. Đăng nhập vào Oracle Analytics Server
2. Mở báo cáo "Báo cáo các giao dịch đã bị từ chối"
3. Nhập tiêu chí kỳ báo cáo
4. Nhấn Apply</t>
  </si>
  <si>
    <t>--report 5 (Fixed duplicate)
SELECT
    ROW_NUMBER() OVER (ORDER BY T.ngay_thuc_hien_xu_ly_canh_bao DESC NULLS LAST) AS stt,
    T.*
FROM (
    SELECT
        CASE
            WHEN FSI_RT_ALERTS.N_STATUS_CD = '126' THEN TO_CHAR('KNOCK-OUT') 
            ELSE TO_CHAR(FSI_RT_ALERTS.N_ALERT_ID)
        END                                                         AS id_cua_canh_bao,
        JSON_VALUE(FSI_RT_RAW_DATA.C_EXT_DATA, '$.transactionId') AS ma_giao_dich,
        FSI_RT_RAW_DATA.V_GRP_MSG_TYPE                              AS loai_dien,
        LIST_FSI_RT_AL_WLS_RESPONSE.LIST_V_MATCHED_SUBLIST_NAME     AS danh_sach_trung_khop,
        FSI_RT_ALERTS.D_MODIFIED                                    AS ngay_thuc_hien_xu_ly_canh_bao,
        FSI_RT_AL_COMMENTS_REASON.V_COMMENTS                        AS ly_do_bi_tu_choi,
        COALESCE(
            TRIM(JSON_VALUE(FSI_RT_RAW_DATA.C_EXT_DATA, '$.branchCd')),
            MAP_BRANCH.V_BRANCH_CODES
        )                                                           AS ma_don_vi_chi_nhanh,
        FSI_RT_AL_COMMENTS_MKR.USER_MKR_ID                          AS cap_maker,
        FSI_RT_AL_COMMENTS_CKR.USER_CKR_ID                          AS cap_checker,
        FSI_RT_AL_COMMENTS_AML.USER_AML_ID                          AS cap_aml
    FROM FSI_RT_ALERTS
    -- Gom nhóm WLS response để đảm bảo 1 N_GRP_MSG_ID chỉ có tối đa 1 dòng
    LEFT JOIN (
        SELECT N_GRP_MSG_ID,
               LISTAGG(V_MATCHED_SUBLIST_NAME, ';')
                   WITHIN GROUP (ORDER BY V_MATCHED_SUBLIST_NAME) AS LIST_V_MATCHED_SUBLIST_NAME
        FROM FSI_RT_AL_WLS_RESPONSE
        GROUP BY N_GRP_MSG_ID
    ) LIST_FSI_RT_AL_WLS_RESPONSE
        ON FSI_RT_ALERTS.N_GRP_MSG_ID = LIST_FSI_RT_AL_WLS_RESPONSE.N_GRP_MSG_ID
    JOIN FSI_RT_RAW_DATA
        ON FSI_RT_ALERTS.N_GRP_MSG_ID = FSI_RT_RAW_DATA.N_GRP_MSG_ID
    -- ⚠️ ĐÃ XÓA BỎ đoạn JOIN FSI_RT_AL_WLS_RESPONSE gốc bị trùng lặp ở đây.
    -- Nếu bạn cần lấy các mã Webservice hay Status cụ thể từ bảng Response, 
    -- ta sẽ lấy theo dạng đại diện hoặc gom nhóm tương tự, tránh dùng JOIN trực tiếp gây nhân bản.
    LEFT JOIN MSB_GRPMSGTY_BRANCH_MAP MAP_BRANCH
        ON MAP_BRANCH.V_GRP_MSG_TYPE = FSI_RT_RAW_DATA.V_GRP_MSG_TYPE
    LEFT JOIN (
        SELECT C.*
        FROM (
            SELECT C.*,
                   ROW_NUMBER() OVER (PARTITION BY C.N_ALERT_ID
                                     ORDER BY C.N_USR_COMMENT_ID DESC) AS RN
            FROM FSI_RT_AL_COMMENTS C
            WHERE C.N_ACTION_ID IN (128, 131, 135)
        ) C
        WHERE C.RN = 1
    ) FSI_RT_AL_COMMENTS_REASON
        ON FSI_RT_ALERTS.N_ALERT_ID = FSI_RT_AL_COMMENTS_REASON.N_ALERT_ID
    LEFT JOIN (
        SELECT N_ALERT_ID,
               LISTAGG(V_USR_ID, ';') WITHIN GROUP (ORDER BY V_USR_ID) AS USER_MKR_ID
        FROM (
            SELECT DISTINCT C.N_ALERT_ID, C.V_USR_ID
            FROM FSI_RT_AL_COMMENTS C
            WHERE C.N_ACTION_ID IN (7, 8, 127, 128, 129)
              AND EXISTS (SELECT 1 FROM CSSMS_USR_GROUP_MAP G
                          WHERE G.V_GROUP_CODE = 'MSBTFMKGRP'
                            AND G.V_USR_ID = C.V_USR_ID)
        )
        GROUP BY N_ALERT_ID
    ) FSI_RT_AL_COMMENTS_MKR
        ON FSI_RT_AL_COMMENTS_MKR.N_ALERT_ID = FSI_RT_ALERTS.N_ALERT_ID
    LEFT JOIN (
        SELECT N_ALERT_ID,
               LISTAGG(V_USR_ID, ';') WITHIN GROUP (ORDER BY V_USR_ID) AS USER_CKR_ID
        FROM (
            SELECT DISTINCT C.N_ALERT_ID, C.V_USR_ID
            FROM FSI_RT_AL_COMMENTS C
            WHERE C.N_ACTION_ID IN (7, 8, 130, 131, 132, 133)
              AND EXISTS (SELECT 1 FROM CSSMS_USR_GROUP_MAP G
                          WHERE G.V_GROUP_CODE = 'MSBTFCHGRP'
                            AND G.V_USR_ID = C.V_USR_ID)
        )
        GROUP BY N_ALERT_ID
    ) FSI_RT_AL_COMMENTS_CKR
        ON FSI_RT_AL_COMMENTS_CKR.N_ALERT_ID = FSI_RT_ALERTS.N_ALERT_ID
    LEFT JOIN (
        SELECT N_ALERT_ID,
               LISTAGG(V_USR_ID, ';') WITHIN GROUP (ORDER BY V_USR_ID) AS USER_AML_ID
        FROM (
            SELECT DISTINCT C.N_ALERT_ID, C.V_USR_ID
            FROM FSI_RT_AL_COMMENTS C
            WHERE C.N_ACTION_ID IN (7, 8, 134, 135, 136)
              AND EXISTS (SELECT 1 FROM CSSMS_USR_GROUP_MAP G
                          WHERE G.V_GROUP_CODE = 'MSBTFAMLGRP'
                            AND G.V_USR_ID = C.V_USR_ID)
        )
        GROUP BY N_ALERT_ID
    ) FSI_RT_AL_COMMENTS_AML
        ON FSI_RT_AL_COMMENTS_AML.N_ALERT_ID = FSI_RT_ALERTS.N_ALERT_ID
    WHERE (TRUNC(FSI_RT_ALERTS.D_CREATED) &gt;= TRUNC(DATE '2026-09-14'))
      AND (TRUNC(FSI_RT_ALERTS.D_CREATED) &lt;= TRUNC(DATE '2026-09-15'))
      AND FSI_RT_ALERTS.N_STATUS_CD IN (128, 131, 135)
) T
WHERE
    -- 1) Lọc P_DON_VI (danh sách CSV) trên ma_don_vi_chi_nhanh đã suy ra
    (
        :P_DON_VI IS NULL
        OR TRIM(:P_DON_VI) IS NULL
        OR UPPER(TRIM(:P_DON_VI)) IN ('NULL', 'ALL', '%')
        OR EXISTS (
            SELECT 1 FROM (
                SELECT TRIM(REGEXP_SUBSTR(:P_DON_VI, '[^,]+', 1, LEVEL)) AS token
                FROM dual
                CONNECT BY LEVEL &lt;= REGEXP_COUNT(:P_DON_VI, ',') + 1
            ) U
            WHERE U.token IS NOT NULL
              AND ',' || UPPER(REPLACE(T.ma_don_vi_chi_nhanh, ' ', '')) || ','
                  LIKE '%,' || UPPER(REPLACE(U.token, ' ', '')) || ',%'
        )
    )
    -- 2) Phân quyền: ADMIN thấy tất cả, còn lại giao với branch được cấp
    AND (
        EXISTS (
            SELECT 1 FROM USER_ROLE_MAP ADM
            WHERE ADM.ROLE = 'ADMIN'
              AND UPPER(ADM.USERNAME) = UPPER(:P_USER_ID)
        )
        OR EXISTS (
            SELECT 1 FROM USER_ROLE_MAP URM
            WHERE UPPER(URM.USERNAME) = UPPER(:P_USER_ID)
              AND ',' || UPPER(REPLACE(T.ma_don_vi_chi_nhanh, ' ', '')) || ','
                  LIKE '%,' || UPPER(REPLACE(URM.BRANCH_CD, ' ', '')) || ',%'
        )
    )
ORDER BY T.ngay_thuc_hien_xu_ly_canh_bao DESC NULLS LAST;</t>
  </si>
  <si>
    <t>Cần anh Tuyen9 sửa lại câu truy vấn do hiện đang lấy thời gian tạo alert</t>
  </si>
  <si>
    <t>TF_RP5_04_08</t>
  </si>
  <si>
    <t>Kiểm tra hiển thị báo cáo theo điều kiện chỉ nhập vào các trường bắt buộc Từ ngày - Đến ngày
Thời gian của Alert = Đến ngày</t>
  </si>
  <si>
    <t>TF_RP5_04_09</t>
  </si>
  <si>
    <t>Kiểm tra hiển thị báo cáo theo điều kiện chỉ nhập vào các trường bắt buộc Từ ngày - Đến ngày
Thời gian của Alert = Từ ngày ,Đến ngày</t>
  </si>
  <si>
    <t>TF_RP5_04_10</t>
  </si>
  <si>
    <t>Kiểm tra hiển thị báo cáo theo điều kiện chỉ nhập vào các trường bắt buộc Từ ngày - Đến ngày
Trường Đơn vị chọn 1 giá trị = TTTM</t>
  </si>
  <si>
    <t>TF_RP5_04_11</t>
  </si>
  <si>
    <t>Kiểm tra hiển thị báo cáo theo điều kiện chỉ nhập vào các trường bắt buộc Từ ngày - Đến ngày
Trường Đơn vị chọn tất cả các giá trị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</si>
</sst>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d\-mmm\-yy;@"/>
    <numFmt numFmtId="165" formatCode="[$-409]0"/>
    <numFmt numFmtId="166" formatCode="0.0"/>
    <numFmt numFmtId="167" formatCode="[$-409]d\-mmm\-yy;@"/>
    <numFmt numFmtId="168" formatCode="d\-mmm\-yy;@"/>
  </numFmts>
  <fonts count="43">
    <font>
      <sz val="11"/>
      <color theme="1"/>
      <name val="Calibri"/>
      <family val="2"/>
      <charset val="1"/>
    </font>
    <font>
      <sz val="11"/>
      <color rgb="FF000000"/>
      <name val="Calibri"/>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sz val="10"/>
      <name val="Arial"/>
      <family val="2"/>
      <charset val="1"/>
    </font>
    <font>
      <b/>
      <sz val="14"/>
      <color rgb="FF1F497D"/>
      <name val="Arial"/>
      <family val="2"/>
      <charset val="1"/>
    </font>
    <font>
      <b/>
      <sz val="10"/>
      <color rgb="FF0000FF"/>
      <name val="Arial"/>
      <family val="2"/>
      <charset val="1"/>
    </font>
    <font>
      <b/>
      <sz val="10"/>
      <color rgb="FFFFFFFF"/>
      <name val="Arial"/>
      <family val="2"/>
      <charset val="1"/>
    </font>
    <font>
      <sz val="10"/>
      <color rgb="FFFF0000"/>
      <name val="Arial"/>
      <family val="2"/>
      <charset val="1"/>
    </font>
    <font>
      <u/>
      <sz val="11"/>
      <color theme="10"/>
      <name val="Calibri"/>
      <family val="2"/>
      <charset val="1"/>
    </font>
    <font>
      <sz val="10"/>
      <name val="Arial"/>
      <family val="2"/>
    </font>
    <font>
      <b/>
      <sz val="11"/>
      <color rgb="FFFFFFFF"/>
      <name val="Times New Roman"/>
      <family val="1"/>
      <charset val="1"/>
    </font>
    <font>
      <sz val="11"/>
      <name val="Times New Roman"/>
      <family val="1"/>
      <charset val="1"/>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8"/>
      <color rgb="FF000000"/>
      <name val="Arial"/>
      <family val="2"/>
      <charset val="1"/>
    </font>
    <font>
      <i/>
      <sz val="10"/>
      <color rgb="FF000000"/>
      <name val="Arial"/>
      <family val="2"/>
      <charset val="1"/>
    </font>
    <font>
      <sz val="10"/>
      <color rgb="FF000000"/>
      <name val="Arial"/>
      <family val="2"/>
      <charset val="1"/>
    </font>
    <font>
      <b/>
      <sz val="10"/>
      <color rgb="FF000000"/>
      <name val="Arial"/>
      <family val="2"/>
      <charset val="1"/>
    </font>
    <font>
      <b/>
      <sz val="11"/>
      <color rgb="FF000000"/>
      <name val="Times New Roman"/>
      <family val="1"/>
      <charset val="1"/>
    </font>
    <font>
      <sz val="11"/>
      <color rgb="FF000000"/>
      <name val="Times New Roman"/>
      <family val="1"/>
      <charset val="1"/>
    </font>
    <font>
      <b/>
      <sz val="11"/>
      <name val="Times New Roman"/>
      <family val="1"/>
      <charset val="1"/>
    </font>
    <font>
      <sz val="11"/>
      <name val="Calibri"/>
      <family val="2"/>
      <charset val="1"/>
    </font>
    <font>
      <sz val="11"/>
      <name val="Times New Roman"/>
      <family val="1"/>
    </font>
    <font>
      <b/>
      <sz val="11"/>
      <color theme="1"/>
      <name val="Calibri"/>
      <family val="2"/>
      <charset val="1"/>
    </font>
    <font>
      <b/>
      <sz val="9"/>
      <color rgb="FF000000"/>
      <name val="Calibri"/>
      <family val="2"/>
    </font>
    <font>
      <b/>
      <sz val="11"/>
      <color rgb="FFFF0000"/>
      <name val="Calibri"/>
      <family val="2"/>
    </font>
  </fonts>
  <fills count="17">
    <fill>
      <patternFill patternType="none"/>
    </fill>
    <fill>
      <patternFill patternType="gray125"/>
    </fill>
    <fill>
      <patternFill patternType="solid">
        <fgColor rgb="FFFFFFFF"/>
        <bgColor rgb="FFE2EFDA"/>
      </patternFill>
    </fill>
    <fill>
      <patternFill patternType="solid">
        <fgColor rgb="FFCCFFCC"/>
        <bgColor rgb="FFCCFFFF"/>
      </patternFill>
    </fill>
    <fill>
      <patternFill patternType="solid">
        <fgColor rgb="FF2E75B6"/>
        <bgColor rgb="FF4472C4"/>
      </patternFill>
    </fill>
    <fill>
      <patternFill patternType="solid">
        <fgColor rgb="FFF8CBAD"/>
        <bgColor rgb="FFE2EFDA"/>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2F5597"/>
        <bgColor rgb="FF1F497D"/>
      </patternFill>
    </fill>
    <fill>
      <patternFill patternType="solid">
        <fgColor rgb="FF7030A0"/>
        <bgColor rgb="FF993366"/>
      </patternFill>
    </fill>
    <fill>
      <patternFill patternType="solid">
        <fgColor rgb="FFE2EFDA"/>
        <bgColor rgb="FFCCFFCC"/>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6" tint="0.39997558519241921"/>
        <bgColor indexed="64"/>
      </patternFill>
    </fill>
  </fills>
  <borders count="4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8497B0"/>
      </left>
      <right style="thin">
        <color rgb="FF8497B0"/>
      </right>
      <top style="medium">
        <color rgb="FF8497B0"/>
      </top>
      <bottom style="thin">
        <color rgb="FF8497B0"/>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164" fontId="1" fillId="0" borderId="0"/>
    <xf numFmtId="164" fontId="1" fillId="0" borderId="0"/>
    <xf numFmtId="164" fontId="2" fillId="0" borderId="0"/>
  </cellStyleXfs>
  <cellXfs count="159">
    <xf numFmtId="0" fontId="0" fillId="0" borderId="0" xfId="0"/>
    <xf numFmtId="164" fontId="16" fillId="2" borderId="9" xfId="0" applyNumberFormat="1" applyFont="1" applyFill="1" applyBorder="1" applyAlignment="1">
      <alignment horizontal="center" vertical="center" wrapText="1"/>
    </xf>
    <xf numFmtId="164" fontId="19" fillId="4" borderId="8" xfId="0" applyNumberFormat="1" applyFont="1" applyFill="1" applyBorder="1" applyAlignment="1">
      <alignment horizontal="center" vertical="center" wrapText="1"/>
    </xf>
    <xf numFmtId="164" fontId="11" fillId="3" borderId="0" xfId="0" applyNumberFormat="1" applyFont="1" applyFill="1" applyAlignment="1">
      <alignment horizontal="left" vertical="center" wrapText="1"/>
    </xf>
    <xf numFmtId="164" fontId="3" fillId="2" borderId="0" xfId="0" applyNumberFormat="1" applyFont="1" applyFill="1" applyAlignment="1">
      <alignment vertical="center"/>
    </xf>
    <xf numFmtId="164" fontId="4" fillId="2" borderId="0" xfId="0" applyNumberFormat="1" applyFont="1" applyFill="1"/>
    <xf numFmtId="164" fontId="6" fillId="3" borderId="3" xfId="0" applyNumberFormat="1" applyFont="1" applyFill="1" applyBorder="1" applyAlignment="1">
      <alignment shrinkToFit="1"/>
    </xf>
    <xf numFmtId="164" fontId="6" fillId="3" borderId="0" xfId="0" applyNumberFormat="1" applyFont="1" applyFill="1" applyAlignment="1">
      <alignment shrinkToFit="1"/>
    </xf>
    <xf numFmtId="164" fontId="6" fillId="3" borderId="4" xfId="0" applyNumberFormat="1" applyFont="1" applyFill="1" applyBorder="1" applyAlignment="1">
      <alignment shrinkToFit="1"/>
    </xf>
    <xf numFmtId="164" fontId="8" fillId="3" borderId="3" xfId="0" applyNumberFormat="1" applyFont="1" applyFill="1" applyBorder="1" applyAlignment="1">
      <alignment horizontal="center" vertical="center" wrapText="1"/>
    </xf>
    <xf numFmtId="164" fontId="8" fillId="3" borderId="0" xfId="0" applyNumberFormat="1" applyFont="1" applyFill="1" applyAlignment="1">
      <alignment horizontal="center" vertical="center" wrapText="1"/>
    </xf>
    <xf numFmtId="164" fontId="8" fillId="3" borderId="4" xfId="0" applyNumberFormat="1" applyFont="1" applyFill="1" applyBorder="1" applyAlignment="1">
      <alignment horizontal="center" vertical="center" wrapText="1"/>
    </xf>
    <xf numFmtId="164" fontId="10" fillId="3" borderId="4" xfId="0" applyNumberFormat="1" applyFont="1" applyFill="1" applyBorder="1" applyAlignment="1">
      <alignment horizontal="center"/>
    </xf>
    <xf numFmtId="164" fontId="10" fillId="3" borderId="3" xfId="0" applyNumberFormat="1" applyFont="1" applyFill="1" applyBorder="1" applyAlignment="1">
      <alignment horizontal="left"/>
    </xf>
    <xf numFmtId="164" fontId="12" fillId="0" borderId="0" xfId="0" applyNumberFormat="1" applyFont="1" applyAlignment="1">
      <alignment horizontal="left" vertical="center" wrapText="1"/>
    </xf>
    <xf numFmtId="164" fontId="11" fillId="3" borderId="0" xfId="0" applyNumberFormat="1" applyFont="1" applyFill="1" applyAlignment="1">
      <alignment horizontal="left"/>
    </xf>
    <xf numFmtId="164" fontId="10" fillId="3" borderId="0" xfId="0" applyNumberFormat="1" applyFont="1" applyFill="1" applyAlignment="1">
      <alignment horizontal="left"/>
    </xf>
    <xf numFmtId="164" fontId="10" fillId="3" borderId="4" xfId="0" applyNumberFormat="1" applyFont="1" applyFill="1" applyBorder="1" applyAlignment="1">
      <alignment horizontal="left"/>
    </xf>
    <xf numFmtId="164" fontId="10" fillId="3" borderId="3" xfId="0" applyNumberFormat="1" applyFont="1" applyFill="1" applyBorder="1" applyAlignment="1">
      <alignment horizontal="left" vertical="center" wrapText="1"/>
    </xf>
    <xf numFmtId="164" fontId="13" fillId="3" borderId="0" xfId="0" applyNumberFormat="1" applyFont="1" applyFill="1" applyAlignment="1">
      <alignment horizontal="left" vertical="center" wrapText="1"/>
    </xf>
    <xf numFmtId="164" fontId="14" fillId="3" borderId="0" xfId="0" applyNumberFormat="1" applyFont="1" applyFill="1" applyAlignment="1">
      <alignment horizontal="left" vertical="center" wrapText="1"/>
    </xf>
    <xf numFmtId="164" fontId="14" fillId="3" borderId="4" xfId="0" applyNumberFormat="1" applyFont="1" applyFill="1" applyBorder="1" applyAlignment="1">
      <alignment horizontal="left" vertical="center" wrapText="1"/>
    </xf>
    <xf numFmtId="49" fontId="12" fillId="0" borderId="0" xfId="0" applyNumberFormat="1" applyFont="1" applyAlignment="1">
      <alignment horizontal="left" vertical="center" wrapText="1"/>
    </xf>
    <xf numFmtId="164" fontId="15" fillId="3" borderId="3" xfId="0" applyNumberFormat="1" applyFont="1" applyFill="1" applyBorder="1"/>
    <xf numFmtId="164" fontId="15" fillId="3" borderId="0" xfId="0" applyNumberFormat="1" applyFont="1" applyFill="1"/>
    <xf numFmtId="164" fontId="15" fillId="3" borderId="0" xfId="0" applyNumberFormat="1" applyFont="1" applyFill="1" applyAlignment="1">
      <alignment vertical="center"/>
    </xf>
    <xf numFmtId="164" fontId="15" fillId="3" borderId="4" xfId="0" applyNumberFormat="1" applyFont="1" applyFill="1" applyBorder="1" applyAlignment="1">
      <alignment vertical="center"/>
    </xf>
    <xf numFmtId="164" fontId="15" fillId="3" borderId="3" xfId="0" applyNumberFormat="1" applyFont="1" applyFill="1" applyBorder="1" applyAlignment="1">
      <alignment vertical="center"/>
    </xf>
    <xf numFmtId="164" fontId="15" fillId="3" borderId="5" xfId="0" applyNumberFormat="1" applyFont="1" applyFill="1" applyBorder="1" applyAlignment="1">
      <alignment vertical="center"/>
    </xf>
    <xf numFmtId="164" fontId="15" fillId="3" borderId="6" xfId="0" applyNumberFormat="1" applyFont="1" applyFill="1" applyBorder="1" applyAlignment="1">
      <alignment vertical="center"/>
    </xf>
    <xf numFmtId="164" fontId="15" fillId="3" borderId="7" xfId="0" applyNumberFormat="1" applyFont="1" applyFill="1" applyBorder="1" applyAlignment="1">
      <alignment vertical="center"/>
    </xf>
    <xf numFmtId="164" fontId="16" fillId="2" borderId="0" xfId="0" applyNumberFormat="1" applyFont="1" applyFill="1"/>
    <xf numFmtId="164" fontId="17" fillId="2" borderId="0" xfId="0" applyNumberFormat="1" applyFont="1" applyFill="1" applyAlignment="1">
      <alignment vertical="center"/>
    </xf>
    <xf numFmtId="164" fontId="18" fillId="2" borderId="0" xfId="0" applyNumberFormat="1" applyFont="1" applyFill="1"/>
    <xf numFmtId="164" fontId="20" fillId="2" borderId="0" xfId="0" applyNumberFormat="1" applyFont="1" applyFill="1"/>
    <xf numFmtId="165" fontId="16" fillId="2" borderId="9" xfId="0" applyNumberFormat="1" applyFont="1" applyFill="1" applyBorder="1" applyAlignment="1">
      <alignment horizontal="center" vertical="center" wrapText="1"/>
    </xf>
    <xf numFmtId="164" fontId="21" fillId="2" borderId="10" xfId="0" applyNumberFormat="1" applyFont="1" applyFill="1" applyBorder="1" applyAlignment="1">
      <alignment vertical="top" wrapText="1"/>
    </xf>
    <xf numFmtId="14" fontId="16" fillId="2" borderId="9" xfId="0" applyNumberFormat="1" applyFont="1" applyFill="1" applyBorder="1" applyAlignment="1">
      <alignment horizontal="center" vertical="center" wrapText="1"/>
    </xf>
    <xf numFmtId="166" fontId="16" fillId="2" borderId="9" xfId="0" applyNumberFormat="1" applyFont="1" applyFill="1" applyBorder="1" applyAlignment="1">
      <alignment horizontal="center" vertical="center" wrapText="1"/>
    </xf>
    <xf numFmtId="167" fontId="25" fillId="2" borderId="0" xfId="0" applyNumberFormat="1" applyFont="1" applyFill="1" applyAlignment="1">
      <alignment vertical="center"/>
    </xf>
    <xf numFmtId="0" fontId="4" fillId="2" borderId="0" xfId="0" applyFont="1" applyFill="1" applyAlignment="1">
      <alignment vertical="center"/>
    </xf>
    <xf numFmtId="164" fontId="27" fillId="5" borderId="12" xfId="0" applyNumberFormat="1" applyFont="1" applyFill="1" applyBorder="1" applyAlignment="1">
      <alignment horizontal="left" vertical="center" wrapText="1"/>
    </xf>
    <xf numFmtId="164" fontId="27" fillId="5" borderId="15" xfId="0" applyNumberFormat="1" applyFont="1" applyFill="1" applyBorder="1" applyAlignment="1">
      <alignment vertical="center" wrapText="1"/>
    </xf>
    <xf numFmtId="164" fontId="30" fillId="6" borderId="25" xfId="0" applyNumberFormat="1" applyFont="1" applyFill="1" applyBorder="1" applyAlignment="1">
      <alignment horizontal="center" vertical="center" wrapText="1"/>
    </xf>
    <xf numFmtId="164" fontId="30" fillId="6" borderId="26" xfId="0" applyNumberFormat="1" applyFont="1" applyFill="1" applyBorder="1" applyAlignment="1">
      <alignment horizontal="center" vertical="center" wrapText="1"/>
    </xf>
    <xf numFmtId="0" fontId="31" fillId="7" borderId="15" xfId="0" applyFont="1" applyFill="1" applyBorder="1" applyAlignment="1">
      <alignment horizontal="left" vertical="center"/>
    </xf>
    <xf numFmtId="0" fontId="31" fillId="7" borderId="15" xfId="0" applyFont="1" applyFill="1" applyBorder="1" applyAlignment="1">
      <alignment vertical="center"/>
    </xf>
    <xf numFmtId="164" fontId="27" fillId="5" borderId="30" xfId="0" applyNumberFormat="1" applyFont="1" applyFill="1" applyBorder="1" applyAlignment="1">
      <alignment horizontal="left" vertical="center" wrapText="1"/>
    </xf>
    <xf numFmtId="0" fontId="31" fillId="7" borderId="16" xfId="0" applyFont="1" applyFill="1" applyBorder="1" applyAlignment="1">
      <alignment horizontal="center" vertical="center"/>
    </xf>
    <xf numFmtId="0" fontId="31" fillId="7" borderId="16" xfId="0" applyFont="1" applyFill="1" applyBorder="1" applyAlignment="1">
      <alignment horizontal="center" vertical="center" wrapText="1"/>
    </xf>
    <xf numFmtId="0" fontId="31" fillId="7" borderId="20" xfId="0" applyFont="1" applyFill="1" applyBorder="1" applyAlignment="1">
      <alignment horizontal="center" vertical="center" wrapText="1"/>
    </xf>
    <xf numFmtId="0" fontId="31" fillId="7" borderId="17" xfId="0" applyFont="1" applyFill="1" applyBorder="1" applyAlignment="1">
      <alignment horizontal="center" vertical="center" wrapText="1"/>
    </xf>
    <xf numFmtId="164" fontId="27" fillId="5" borderId="31" xfId="0" applyNumberFormat="1" applyFont="1" applyFill="1" applyBorder="1" applyAlignment="1">
      <alignment horizontal="left" vertical="center" wrapText="1"/>
    </xf>
    <xf numFmtId="1" fontId="32" fillId="8" borderId="32" xfId="0" applyNumberFormat="1" applyFont="1" applyFill="1" applyBorder="1" applyAlignment="1">
      <alignment horizontal="center" vertical="center"/>
    </xf>
    <xf numFmtId="0" fontId="33" fillId="7" borderId="15" xfId="0" applyFont="1" applyFill="1" applyBorder="1" applyAlignment="1">
      <alignment horizontal="right" vertical="center"/>
    </xf>
    <xf numFmtId="1" fontId="32" fillId="2" borderId="16" xfId="0" applyNumberFormat="1" applyFont="1" applyFill="1" applyBorder="1" applyAlignment="1">
      <alignment horizontal="center" vertical="center"/>
    </xf>
    <xf numFmtId="0" fontId="33" fillId="7" borderId="33" xfId="0" applyFont="1" applyFill="1" applyBorder="1" applyAlignment="1">
      <alignment horizontal="right" vertical="center"/>
    </xf>
    <xf numFmtId="0" fontId="34" fillId="7" borderId="33" xfId="0" applyFont="1" applyFill="1" applyBorder="1" applyAlignment="1">
      <alignment horizontal="left" vertical="center"/>
    </xf>
    <xf numFmtId="0" fontId="32" fillId="2" borderId="20" xfId="0" applyFont="1" applyFill="1" applyBorder="1" applyAlignment="1">
      <alignment horizontal="center" vertical="center"/>
    </xf>
    <xf numFmtId="0" fontId="32" fillId="2" borderId="21" xfId="0" applyFont="1" applyFill="1" applyBorder="1" applyAlignment="1">
      <alignment horizontal="center" vertical="center"/>
    </xf>
    <xf numFmtId="0" fontId="32" fillId="2" borderId="21" xfId="0" applyFont="1" applyFill="1" applyBorder="1" applyAlignment="1">
      <alignment horizontal="center" vertical="center" wrapText="1"/>
    </xf>
    <xf numFmtId="0" fontId="32" fillId="2" borderId="16" xfId="0" applyFont="1" applyFill="1" applyBorder="1" applyAlignment="1">
      <alignment horizontal="center" vertical="center"/>
    </xf>
    <xf numFmtId="0" fontId="32" fillId="2" borderId="16" xfId="0" applyFont="1" applyFill="1" applyBorder="1" applyAlignment="1">
      <alignment horizontal="center" vertical="center" wrapText="1"/>
    </xf>
    <xf numFmtId="0" fontId="32" fillId="2" borderId="18" xfId="0" applyFont="1" applyFill="1" applyBorder="1" applyAlignment="1">
      <alignment horizontal="center" vertical="center" wrapText="1"/>
    </xf>
    <xf numFmtId="0" fontId="33" fillId="7" borderId="30" xfId="0" applyFont="1" applyFill="1" applyBorder="1" applyAlignment="1">
      <alignment horizontal="right" vertical="center"/>
    </xf>
    <xf numFmtId="0" fontId="32" fillId="2" borderId="32" xfId="0" applyFont="1" applyFill="1" applyBorder="1" applyAlignment="1">
      <alignment horizontal="center" vertical="center"/>
    </xf>
    <xf numFmtId="0" fontId="32" fillId="2" borderId="32" xfId="0" applyFont="1" applyFill="1" applyBorder="1" applyAlignment="1">
      <alignment horizontal="center" vertical="center" wrapText="1"/>
    </xf>
    <xf numFmtId="0" fontId="32" fillId="2" borderId="22" xfId="0" applyFont="1" applyFill="1" applyBorder="1" applyAlignment="1">
      <alignment horizontal="center" vertical="center"/>
    </xf>
    <xf numFmtId="0" fontId="35" fillId="0" borderId="34" xfId="0" applyFont="1" applyBorder="1" applyAlignment="1">
      <alignment horizontal="left" vertical="center" wrapText="1"/>
    </xf>
    <xf numFmtId="0" fontId="23" fillId="9" borderId="34" xfId="0" applyFont="1" applyFill="1" applyBorder="1" applyAlignment="1">
      <alignment horizontal="center" vertical="center" wrapText="1"/>
    </xf>
    <xf numFmtId="0" fontId="36" fillId="3" borderId="34" xfId="0" applyFont="1" applyFill="1" applyBorder="1" applyAlignment="1">
      <alignment horizontal="center" vertical="center" wrapText="1"/>
    </xf>
    <xf numFmtId="0" fontId="36" fillId="0" borderId="34" xfId="0" applyFont="1" applyBorder="1" applyAlignment="1">
      <alignment horizontal="center" vertical="center" wrapText="1"/>
    </xf>
    <xf numFmtId="0" fontId="23" fillId="10" borderId="34" xfId="0" applyFont="1" applyFill="1" applyBorder="1" applyAlignment="1">
      <alignment horizontal="center" vertical="center" wrapText="1"/>
    </xf>
    <xf numFmtId="0" fontId="35" fillId="11" borderId="34" xfId="0" applyFont="1" applyFill="1" applyBorder="1" applyAlignment="1">
      <alignment horizontal="left" vertical="center" wrapText="1"/>
    </xf>
    <xf numFmtId="0" fontId="35" fillId="11" borderId="34" xfId="0" applyFont="1" applyFill="1" applyBorder="1" applyAlignment="1">
      <alignment horizontal="center" vertical="center" wrapText="1"/>
    </xf>
    <xf numFmtId="0" fontId="36" fillId="0" borderId="34" xfId="0" applyFont="1" applyBorder="1" applyAlignment="1">
      <alignment horizontal="center" vertical="top" wrapText="1"/>
    </xf>
    <xf numFmtId="0" fontId="24" fillId="0" borderId="34" xfId="0" applyFont="1" applyBorder="1" applyAlignment="1">
      <alignment horizontal="left" vertical="top" wrapText="1"/>
    </xf>
    <xf numFmtId="0" fontId="24" fillId="0" borderId="34" xfId="0" applyFont="1" applyBorder="1" applyAlignment="1">
      <alignment horizontal="center" vertical="top" wrapText="1"/>
    </xf>
    <xf numFmtId="0" fontId="24" fillId="0" borderId="35" xfId="0" applyFont="1" applyBorder="1" applyAlignment="1">
      <alignment horizontal="left" vertical="top" wrapText="1"/>
    </xf>
    <xf numFmtId="0" fontId="24" fillId="0" borderId="36" xfId="0" applyFont="1" applyBorder="1" applyAlignment="1">
      <alignment horizontal="left" vertical="top" wrapText="1"/>
    </xf>
    <xf numFmtId="0" fontId="24" fillId="0" borderId="37" xfId="0" applyFont="1" applyBorder="1" applyAlignment="1">
      <alignment horizontal="left" vertical="top" wrapText="1"/>
    </xf>
    <xf numFmtId="0" fontId="35" fillId="11" borderId="38" xfId="0" applyFont="1" applyFill="1" applyBorder="1" applyAlignment="1">
      <alignment horizontal="center" vertical="center" wrapText="1"/>
    </xf>
    <xf numFmtId="0" fontId="36" fillId="0" borderId="35" xfId="0" applyFont="1" applyBorder="1" applyAlignment="1">
      <alignment horizontal="center" vertical="top" wrapText="1"/>
    </xf>
    <xf numFmtId="0" fontId="24" fillId="0" borderId="39" xfId="0" applyFont="1" applyBorder="1" applyAlignment="1">
      <alignment horizontal="left" vertical="top" wrapText="1"/>
    </xf>
    <xf numFmtId="0" fontId="24" fillId="0" borderId="40" xfId="0" applyFont="1" applyBorder="1" applyAlignment="1">
      <alignment horizontal="left" vertical="top" wrapText="1"/>
    </xf>
    <xf numFmtId="0" fontId="24" fillId="0" borderId="35" xfId="0" applyFont="1" applyBorder="1" applyAlignment="1">
      <alignment horizontal="center" vertical="top" wrapText="1"/>
    </xf>
    <xf numFmtId="0" fontId="36" fillId="0" borderId="38" xfId="0" applyFont="1" applyBorder="1" applyAlignment="1">
      <alignment horizontal="center" vertical="top" wrapText="1"/>
    </xf>
    <xf numFmtId="0" fontId="24" fillId="0" borderId="38" xfId="0" applyFont="1" applyBorder="1" applyAlignment="1">
      <alignment horizontal="left" vertical="top" wrapText="1"/>
    </xf>
    <xf numFmtId="0" fontId="24" fillId="0" borderId="41" xfId="0" applyFont="1" applyBorder="1" applyAlignment="1">
      <alignment horizontal="left" vertical="top" wrapText="1"/>
    </xf>
    <xf numFmtId="0" fontId="24" fillId="0" borderId="42" xfId="0" applyFont="1" applyBorder="1" applyAlignment="1">
      <alignment horizontal="left" vertical="top" wrapText="1"/>
    </xf>
    <xf numFmtId="0" fontId="24" fillId="0" borderId="38" xfId="0" applyFont="1" applyBorder="1" applyAlignment="1">
      <alignment horizontal="center" vertical="top" wrapText="1"/>
    </xf>
    <xf numFmtId="0" fontId="37" fillId="0" borderId="34" xfId="0" applyFont="1" applyBorder="1" applyAlignment="1">
      <alignment horizontal="left" vertical="center" wrapText="1"/>
    </xf>
    <xf numFmtId="0" fontId="38" fillId="0" borderId="0" xfId="0" applyFont="1"/>
    <xf numFmtId="0" fontId="37" fillId="9" borderId="34" xfId="0" applyFont="1" applyFill="1" applyBorder="1" applyAlignment="1">
      <alignment horizontal="center" vertical="center" wrapText="1"/>
    </xf>
    <xf numFmtId="0" fontId="37" fillId="10" borderId="34" xfId="0" applyFont="1" applyFill="1" applyBorder="1" applyAlignment="1">
      <alignment horizontal="center" vertical="center" wrapText="1"/>
    </xf>
    <xf numFmtId="0" fontId="37" fillId="11" borderId="34" xfId="0" applyFont="1" applyFill="1" applyBorder="1" applyAlignment="1">
      <alignment horizontal="left" vertical="center" wrapText="1"/>
    </xf>
    <xf numFmtId="0" fontId="37" fillId="11" borderId="34" xfId="0" applyFont="1" applyFill="1" applyBorder="1" applyAlignment="1">
      <alignment horizontal="center" vertical="center" wrapText="1"/>
    </xf>
    <xf numFmtId="0" fontId="39" fillId="0" borderId="34" xfId="0" applyFont="1" applyBorder="1" applyAlignment="1">
      <alignment horizontal="left" vertical="top" wrapText="1"/>
    </xf>
    <xf numFmtId="0" fontId="37" fillId="0" borderId="0" xfId="0" applyFont="1" applyAlignment="1">
      <alignment horizontal="left" vertical="center" wrapText="1"/>
    </xf>
    <xf numFmtId="0" fontId="24" fillId="0" borderId="0" xfId="0" applyFont="1" applyAlignment="1">
      <alignment horizontal="center" vertical="center" wrapText="1"/>
    </xf>
    <xf numFmtId="0" fontId="38" fillId="12" borderId="0" xfId="0" applyFont="1" applyFill="1"/>
    <xf numFmtId="1" fontId="32" fillId="2" borderId="43" xfId="0" applyNumberFormat="1" applyFont="1" applyFill="1" applyBorder="1" applyAlignment="1">
      <alignment horizontal="center" vertical="center"/>
    </xf>
    <xf numFmtId="167" fontId="16" fillId="2" borderId="0" xfId="0" applyNumberFormat="1" applyFont="1" applyFill="1" applyAlignment="1">
      <alignment horizontal="center" vertical="center"/>
    </xf>
    <xf numFmtId="168" fontId="16" fillId="2" borderId="0" xfId="0" applyNumberFormat="1" applyFont="1" applyFill="1" applyAlignment="1">
      <alignment horizontal="center" vertical="center"/>
    </xf>
    <xf numFmtId="0" fontId="26" fillId="2" borderId="0" xfId="0" applyFont="1" applyFill="1" applyAlignment="1">
      <alignment horizontal="center" vertical="center"/>
    </xf>
    <xf numFmtId="0" fontId="4" fillId="2" borderId="0" xfId="0" applyFont="1" applyFill="1" applyAlignment="1">
      <alignment horizontal="center" vertical="center"/>
    </xf>
    <xf numFmtId="164" fontId="27" fillId="5" borderId="13" xfId="0" applyNumberFormat="1" applyFont="1" applyFill="1" applyBorder="1" applyAlignment="1">
      <alignment horizontal="center" vertical="center" wrapText="1"/>
    </xf>
    <xf numFmtId="164" fontId="27" fillId="5" borderId="16" xfId="0" applyNumberFormat="1" applyFont="1" applyFill="1" applyBorder="1" applyAlignment="1">
      <alignment horizontal="center" vertical="center" wrapText="1"/>
    </xf>
    <xf numFmtId="164" fontId="29" fillId="2" borderId="18" xfId="0" applyNumberFormat="1" applyFont="1" applyFill="1" applyBorder="1" applyAlignment="1">
      <alignment horizontal="center" vertical="center" wrapText="1"/>
    </xf>
    <xf numFmtId="164" fontId="29" fillId="2" borderId="19" xfId="0" applyNumberFormat="1" applyFont="1" applyFill="1" applyBorder="1" applyAlignment="1">
      <alignment horizontal="center" vertical="center" wrapText="1"/>
    </xf>
    <xf numFmtId="167" fontId="28" fillId="2" borderId="20" xfId="0" applyNumberFormat="1" applyFont="1" applyFill="1" applyBorder="1" applyAlignment="1">
      <alignment horizontal="center" vertical="center" wrapText="1"/>
    </xf>
    <xf numFmtId="167" fontId="28" fillId="2" borderId="21" xfId="0" applyNumberFormat="1" applyFont="1" applyFill="1" applyBorder="1" applyAlignment="1">
      <alignment horizontal="center" vertical="center" wrapText="1"/>
    </xf>
    <xf numFmtId="167" fontId="28" fillId="2" borderId="22" xfId="0" applyNumberFormat="1" applyFont="1" applyFill="1" applyBorder="1" applyAlignment="1">
      <alignment horizontal="center" vertical="center" wrapText="1"/>
    </xf>
    <xf numFmtId="0" fontId="28" fillId="2" borderId="27" xfId="0" applyFont="1" applyFill="1" applyBorder="1" applyAlignment="1">
      <alignment horizontal="center" vertical="center"/>
    </xf>
    <xf numFmtId="0" fontId="28" fillId="2" borderId="28" xfId="0" applyFont="1" applyFill="1" applyBorder="1" applyAlignment="1">
      <alignment horizontal="center" vertical="center"/>
    </xf>
    <xf numFmtId="0" fontId="28" fillId="2" borderId="29" xfId="0" applyFont="1" applyFill="1" applyBorder="1" applyAlignment="1">
      <alignment horizontal="center" vertical="center"/>
    </xf>
    <xf numFmtId="167" fontId="28" fillId="2" borderId="20" xfId="0" applyNumberFormat="1" applyFont="1" applyFill="1" applyBorder="1" applyAlignment="1">
      <alignment horizontal="center" vertical="center"/>
    </xf>
    <xf numFmtId="167" fontId="28" fillId="2" borderId="21" xfId="0" applyNumberFormat="1" applyFont="1" applyFill="1" applyBorder="1" applyAlignment="1">
      <alignment horizontal="center" vertical="center"/>
    </xf>
    <xf numFmtId="167" fontId="28" fillId="2" borderId="22" xfId="0" applyNumberFormat="1" applyFont="1" applyFill="1" applyBorder="1" applyAlignment="1">
      <alignment horizontal="center" vertical="center"/>
    </xf>
    <xf numFmtId="1" fontId="32" fillId="8" borderId="17" xfId="0" applyNumberFormat="1" applyFont="1" applyFill="1" applyBorder="1" applyAlignment="1">
      <alignment horizontal="center" vertical="center"/>
    </xf>
    <xf numFmtId="1" fontId="32" fillId="2" borderId="17" xfId="0" applyNumberFormat="1" applyFont="1" applyFill="1" applyBorder="1" applyAlignment="1">
      <alignment horizontal="center" vertical="center"/>
    </xf>
    <xf numFmtId="10" fontId="32" fillId="2" borderId="17" xfId="0" applyNumberFormat="1" applyFont="1" applyFill="1" applyBorder="1" applyAlignment="1">
      <alignment horizontal="center" vertical="center"/>
    </xf>
    <xf numFmtId="0" fontId="34" fillId="0" borderId="20" xfId="0" applyFont="1" applyBorder="1" applyAlignment="1">
      <alignment horizontal="center" vertical="center"/>
    </xf>
    <xf numFmtId="0" fontId="34" fillId="0" borderId="21" xfId="0" applyFont="1" applyBorder="1" applyAlignment="1">
      <alignment horizontal="center" vertical="center"/>
    </xf>
    <xf numFmtId="0" fontId="34" fillId="0" borderId="22" xfId="0" applyFont="1" applyBorder="1" applyAlignment="1">
      <alignment horizontal="center" vertical="center"/>
    </xf>
    <xf numFmtId="0" fontId="0" fillId="0" borderId="0" xfId="0" applyAlignment="1">
      <alignment horizontal="center"/>
    </xf>
    <xf numFmtId="0" fontId="34" fillId="13" borderId="43" xfId="0" applyFont="1" applyFill="1" applyBorder="1" applyAlignment="1">
      <alignment horizontal="right" vertical="center"/>
    </xf>
    <xf numFmtId="0" fontId="40" fillId="13" borderId="43" xfId="0" applyFont="1" applyFill="1" applyBorder="1" applyAlignment="1">
      <alignment horizontal="right"/>
    </xf>
    <xf numFmtId="0" fontId="40" fillId="14" borderId="43" xfId="0" applyFont="1" applyFill="1" applyBorder="1" applyAlignment="1">
      <alignment horizontal="right"/>
    </xf>
    <xf numFmtId="1" fontId="40" fillId="14" borderId="43" xfId="0" applyNumberFormat="1" applyFont="1" applyFill="1" applyBorder="1" applyAlignment="1">
      <alignment horizontal="center"/>
    </xf>
    <xf numFmtId="10" fontId="40" fillId="14" borderId="43" xfId="0" applyNumberFormat="1" applyFont="1" applyFill="1" applyBorder="1" applyAlignment="1">
      <alignment horizontal="center"/>
    </xf>
    <xf numFmtId="0" fontId="41" fillId="14" borderId="43" xfId="0" applyFont="1" applyFill="1" applyBorder="1" applyAlignment="1">
      <alignment horizontal="center" vertical="center" wrapText="1"/>
    </xf>
    <xf numFmtId="1" fontId="0" fillId="0" borderId="0" xfId="0" applyNumberFormat="1"/>
    <xf numFmtId="0" fontId="37" fillId="15" borderId="34" xfId="0" applyFont="1" applyFill="1" applyBorder="1" applyAlignment="1">
      <alignment horizontal="center" vertical="center" wrapText="1"/>
    </xf>
    <xf numFmtId="0" fontId="23" fillId="15" borderId="34" xfId="0" applyFont="1" applyFill="1" applyBorder="1" applyAlignment="1">
      <alignment horizontal="center" vertical="center" wrapText="1"/>
    </xf>
    <xf numFmtId="0" fontId="42" fillId="16" borderId="0" xfId="0" applyFont="1" applyFill="1" applyAlignment="1">
      <alignment horizontal="center" vertical="center" wrapText="1"/>
    </xf>
    <xf numFmtId="0" fontId="37" fillId="9" borderId="43" xfId="0" applyFont="1" applyFill="1" applyBorder="1" applyAlignment="1">
      <alignment horizontal="center" vertical="center" wrapText="1"/>
    </xf>
    <xf numFmtId="0" fontId="24" fillId="3" borderId="43" xfId="0" applyFont="1" applyFill="1" applyBorder="1" applyAlignment="1">
      <alignment horizontal="center" vertical="center" wrapText="1"/>
    </xf>
    <xf numFmtId="0" fontId="42" fillId="16" borderId="43" xfId="0" applyFont="1" applyFill="1" applyBorder="1" applyAlignment="1">
      <alignment horizontal="center" vertical="center" wrapText="1"/>
    </xf>
    <xf numFmtId="0" fontId="24" fillId="0" borderId="43" xfId="0" applyFont="1" applyBorder="1" applyAlignment="1">
      <alignment horizontal="center" vertical="center" wrapText="1"/>
    </xf>
    <xf numFmtId="164" fontId="11" fillId="3" borderId="0" xfId="0" applyNumberFormat="1" applyFont="1" applyFill="1" applyAlignment="1">
      <alignment horizontal="left" vertical="center"/>
    </xf>
    <xf numFmtId="164" fontId="10" fillId="3" borderId="3" xfId="0" applyNumberFormat="1" applyFont="1" applyFill="1" applyBorder="1" applyAlignment="1">
      <alignment horizontal="center"/>
    </xf>
    <xf numFmtId="164" fontId="11" fillId="3" borderId="0" xfId="0" applyNumberFormat="1" applyFont="1" applyFill="1" applyAlignment="1">
      <alignment horizontal="left" vertical="center" wrapText="1"/>
    </xf>
    <xf numFmtId="164" fontId="5" fillId="3" borderId="1" xfId="0" applyNumberFormat="1" applyFont="1" applyFill="1" applyBorder="1" applyAlignment="1">
      <alignment horizontal="center"/>
    </xf>
    <xf numFmtId="164" fontId="5" fillId="3" borderId="2" xfId="0" applyNumberFormat="1" applyFont="1" applyFill="1" applyBorder="1" applyAlignment="1">
      <alignment horizontal="center"/>
    </xf>
    <xf numFmtId="164" fontId="7" fillId="3" borderId="2" xfId="0" applyNumberFormat="1" applyFont="1" applyFill="1" applyBorder="1" applyAlignment="1">
      <alignment horizontal="center" vertical="center" wrapText="1"/>
    </xf>
    <xf numFmtId="164" fontId="9" fillId="3" borderId="0" xfId="0" applyNumberFormat="1" applyFont="1" applyFill="1" applyAlignment="1">
      <alignment horizontal="center" vertical="center" wrapText="1"/>
    </xf>
    <xf numFmtId="164" fontId="10" fillId="3" borderId="2" xfId="0" applyNumberFormat="1" applyFont="1" applyFill="1" applyBorder="1" applyAlignment="1">
      <alignment horizontal="center" vertical="center" wrapText="1"/>
    </xf>
    <xf numFmtId="164" fontId="19" fillId="4" borderId="8" xfId="0" applyNumberFormat="1" applyFont="1" applyFill="1" applyBorder="1" applyAlignment="1">
      <alignment horizontal="center" vertical="center" wrapText="1"/>
    </xf>
    <xf numFmtId="164" fontId="16" fillId="2" borderId="9" xfId="0" applyNumberFormat="1" applyFont="1" applyFill="1" applyBorder="1" applyAlignment="1">
      <alignment horizontal="center" vertical="center" wrapText="1"/>
    </xf>
    <xf numFmtId="164" fontId="16" fillId="0" borderId="11" xfId="0" applyNumberFormat="1" applyFont="1" applyBorder="1" applyAlignment="1">
      <alignment horizontal="left" vertical="center" wrapText="1"/>
    </xf>
    <xf numFmtId="164" fontId="29" fillId="2" borderId="16" xfId="0" applyNumberFormat="1" applyFont="1" applyFill="1" applyBorder="1" applyAlignment="1">
      <alignment horizontal="center" vertical="center" wrapText="1"/>
    </xf>
    <xf numFmtId="167" fontId="28" fillId="2" borderId="17" xfId="0" applyNumberFormat="1" applyFont="1" applyFill="1" applyBorder="1" applyAlignment="1">
      <alignment horizontal="center" vertical="center" wrapText="1"/>
    </xf>
    <xf numFmtId="167" fontId="29" fillId="2" borderId="23" xfId="0" applyNumberFormat="1" applyFont="1" applyFill="1" applyBorder="1" applyAlignment="1">
      <alignment horizontal="center" vertical="center" wrapText="1"/>
    </xf>
    <xf numFmtId="164" fontId="30" fillId="6" borderId="24" xfId="0" applyNumberFormat="1" applyFont="1" applyFill="1" applyBorder="1" applyAlignment="1">
      <alignment horizontal="left" vertical="center" wrapText="1"/>
    </xf>
    <xf numFmtId="164" fontId="28" fillId="2" borderId="8" xfId="0" applyNumberFormat="1" applyFont="1" applyFill="1" applyBorder="1" applyAlignment="1">
      <alignment horizontal="center" vertical="center" wrapText="1"/>
    </xf>
    <xf numFmtId="164" fontId="28" fillId="2" borderId="14" xfId="0" applyNumberFormat="1" applyFont="1" applyFill="1" applyBorder="1" applyAlignment="1">
      <alignment horizontal="center" vertical="center" wrapText="1"/>
    </xf>
    <xf numFmtId="164" fontId="28" fillId="2" borderId="16" xfId="0" applyNumberFormat="1" applyFont="1" applyFill="1" applyBorder="1" applyAlignment="1">
      <alignment horizontal="center" vertical="center" wrapText="1"/>
    </xf>
    <xf numFmtId="164" fontId="29" fillId="2" borderId="17" xfId="0" applyNumberFormat="1" applyFont="1" applyFill="1" applyBorder="1" applyAlignment="1">
      <alignment horizontal="center" vertical="center" wrapText="1"/>
    </xf>
  </cellXfs>
  <cellStyles count="4">
    <cellStyle name="Bình thường" xfId="0" builtinId="0"/>
    <cellStyle name="Normal 2" xfId="1" xr:uid="{00000000-0005-0000-0000-000006000000}"/>
    <cellStyle name="Normal 6" xfId="2" xr:uid="{00000000-0005-0000-0000-000007000000}"/>
    <cellStyle name="標準_打刻ﾃﾞｰﾀ収集" xfId="3"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75B6"/>
      <rgbColor rgb="FFB4C7E7"/>
      <rgbColor rgb="FF8497B0"/>
      <rgbColor rgb="FF548DD4"/>
      <rgbColor rgb="FF7030A0"/>
      <rgbColor rgb="FFE2EFDA"/>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A7D6E3"/>
      <rgbColor rgb="FFFF99CC"/>
      <rgbColor rgb="FFCC99FF"/>
      <rgbColor rgb="FFF8CBAD"/>
      <rgbColor rgb="FF4472C4"/>
      <rgbColor rgb="FF33CCCC"/>
      <rgbColor rgb="FF99CC00"/>
      <rgbColor rgb="FFFFCC00"/>
      <rgbColor rgb="FFFF9900"/>
      <rgbColor rgb="FFFF6600"/>
      <rgbColor rgb="FF44546A"/>
      <rgbColor rgb="FF999999"/>
      <rgbColor rgb="FF1F497D"/>
      <rgbColor rgb="FF339966"/>
      <rgbColor rgb="FF003300"/>
      <rgbColor rgb="FF333300"/>
      <rgbColor rgb="FF993300"/>
      <rgbColor rgb="FF993366"/>
      <rgbColor rgb="FF333399"/>
      <rgbColor rgb="FF2F559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E16" sqref="E16"/>
    </sheetView>
  </sheetViews>
  <sheetFormatPr defaultColWidth="9.140625" defaultRowHeight="14.25"/>
  <cols>
    <col min="1" max="1" width="9.140625" style="4"/>
    <col min="2" max="2" width="5.7109375" style="4" customWidth="1"/>
    <col min="3" max="4" width="9.140625" style="4"/>
    <col min="5" max="5" width="45.42578125" style="4" customWidth="1"/>
    <col min="6" max="6" width="9.140625" style="4"/>
    <col min="7" max="7" width="16.5703125" style="4" customWidth="1"/>
    <col min="8" max="8" width="31.7109375" style="4" customWidth="1"/>
    <col min="9" max="1024" width="9.140625" style="4"/>
  </cols>
  <sheetData>
    <row r="1" spans="1:10" ht="15" customHeight="1">
      <c r="A1" s="5"/>
      <c r="B1" s="5"/>
      <c r="C1" s="5"/>
      <c r="D1" s="5"/>
      <c r="E1" s="5"/>
      <c r="F1" s="5"/>
      <c r="G1" s="5"/>
      <c r="H1" s="5"/>
      <c r="I1" s="5"/>
      <c r="J1" s="5"/>
    </row>
    <row r="2" spans="1:10" s="4" customFormat="1" ht="13.5" customHeight="1">
      <c r="A2" s="5"/>
      <c r="B2" s="143"/>
      <c r="C2" s="143"/>
      <c r="D2" s="143"/>
      <c r="E2" s="143"/>
      <c r="F2" s="143"/>
      <c r="G2" s="143"/>
      <c r="H2" s="143"/>
      <c r="I2" s="143"/>
      <c r="J2" s="143"/>
    </row>
    <row r="3" spans="1:10" s="4" customFormat="1" ht="13.5" customHeight="1">
      <c r="A3" s="5"/>
      <c r="B3" s="144"/>
      <c r="C3" s="144"/>
      <c r="D3" s="144"/>
      <c r="E3" s="144"/>
      <c r="F3" s="144"/>
      <c r="G3" s="144"/>
      <c r="H3" s="144"/>
      <c r="I3" s="144"/>
      <c r="J3" s="144"/>
    </row>
    <row r="4" spans="1:10" s="4" customFormat="1" ht="13.5" customHeight="1">
      <c r="A4" s="5"/>
      <c r="B4" s="6"/>
      <c r="C4" s="7"/>
      <c r="D4" s="7"/>
      <c r="E4" s="7"/>
      <c r="F4" s="7"/>
      <c r="G4" s="7"/>
      <c r="H4" s="7"/>
      <c r="I4" s="7"/>
      <c r="J4" s="8"/>
    </row>
    <row r="5" spans="1:10" s="4" customFormat="1" ht="13.5" customHeight="1">
      <c r="A5" s="5"/>
      <c r="B5" s="6"/>
      <c r="C5" s="7"/>
      <c r="D5" s="7"/>
      <c r="E5" s="7"/>
      <c r="F5" s="7"/>
      <c r="G5" s="7"/>
      <c r="H5" s="7"/>
      <c r="I5" s="7"/>
      <c r="J5" s="8"/>
    </row>
    <row r="6" spans="1:10" s="4" customFormat="1" ht="13.5" customHeight="1">
      <c r="A6" s="5"/>
      <c r="B6" s="145"/>
      <c r="C6" s="145"/>
      <c r="D6" s="145"/>
      <c r="E6" s="145"/>
      <c r="F6" s="145"/>
      <c r="G6" s="145"/>
      <c r="H6" s="145"/>
      <c r="I6" s="145"/>
      <c r="J6" s="145"/>
    </row>
    <row r="7" spans="1:10" s="4" customFormat="1" ht="13.5" customHeight="1">
      <c r="A7" s="5"/>
      <c r="B7" s="145"/>
      <c r="C7" s="145"/>
      <c r="D7" s="145"/>
      <c r="E7" s="145"/>
      <c r="F7" s="145"/>
      <c r="G7" s="145"/>
      <c r="H7" s="145"/>
      <c r="I7" s="145"/>
      <c r="J7" s="145"/>
    </row>
    <row r="8" spans="1:10" s="4" customFormat="1" ht="31.5" customHeight="1">
      <c r="A8" s="5"/>
      <c r="B8" s="9"/>
      <c r="C8" s="10"/>
      <c r="D8" s="10"/>
      <c r="E8" s="146" t="s">
        <v>0</v>
      </c>
      <c r="F8" s="146"/>
      <c r="G8" s="146"/>
      <c r="H8" s="146"/>
      <c r="I8" s="10"/>
      <c r="J8" s="11"/>
    </row>
    <row r="9" spans="1:10" s="4" customFormat="1" ht="13.5" customHeight="1">
      <c r="A9" s="5"/>
      <c r="B9" s="147"/>
      <c r="C9" s="147"/>
      <c r="D9" s="147"/>
      <c r="E9" s="147"/>
      <c r="F9" s="147"/>
      <c r="G9" s="147"/>
      <c r="H9" s="147"/>
      <c r="I9" s="147"/>
      <c r="J9" s="147"/>
    </row>
    <row r="10" spans="1:10" s="4" customFormat="1" ht="13.5" customHeight="1">
      <c r="A10" s="5"/>
      <c r="B10" s="141"/>
      <c r="C10" s="141"/>
      <c r="D10" s="141"/>
      <c r="E10" s="141"/>
      <c r="F10" s="141"/>
      <c r="G10" s="141"/>
      <c r="H10" s="141"/>
      <c r="I10" s="141"/>
      <c r="J10" s="12"/>
    </row>
    <row r="11" spans="1:10" s="4" customFormat="1" ht="26.25" customHeight="1">
      <c r="A11" s="5"/>
      <c r="B11" s="13"/>
      <c r="C11" s="140" t="s">
        <v>1</v>
      </c>
      <c r="D11" s="140"/>
      <c r="E11" s="14" t="s">
        <v>2</v>
      </c>
      <c r="F11" s="15"/>
      <c r="G11" s="3" t="s">
        <v>3</v>
      </c>
      <c r="H11" s="14"/>
      <c r="I11" s="16"/>
      <c r="J11" s="17"/>
    </row>
    <row r="12" spans="1:10" s="4" customFormat="1" ht="13.5" customHeight="1">
      <c r="A12" s="5"/>
      <c r="B12" s="18" t="s">
        <v>4</v>
      </c>
      <c r="C12" s="142" t="s">
        <v>5</v>
      </c>
      <c r="D12" s="142"/>
      <c r="E12" s="14" t="s">
        <v>6</v>
      </c>
      <c r="F12" s="19"/>
      <c r="G12" s="3" t="s">
        <v>7</v>
      </c>
      <c r="H12" s="14"/>
      <c r="I12" s="20"/>
      <c r="J12" s="21"/>
    </row>
    <row r="13" spans="1:10" s="4" customFormat="1" ht="13.5" customHeight="1">
      <c r="A13" s="5"/>
      <c r="B13" s="13"/>
      <c r="C13" s="140" t="s">
        <v>8</v>
      </c>
      <c r="D13" s="140"/>
      <c r="E13" s="14"/>
      <c r="F13" s="15"/>
      <c r="G13" s="3" t="s">
        <v>9</v>
      </c>
      <c r="H13" s="14"/>
      <c r="I13" s="16"/>
      <c r="J13" s="17"/>
    </row>
    <row r="14" spans="1:10" s="4" customFormat="1" ht="13.5" customHeight="1">
      <c r="A14" s="5"/>
      <c r="B14" s="13"/>
      <c r="C14" s="140" t="s">
        <v>7</v>
      </c>
      <c r="D14" s="140"/>
      <c r="E14" s="14"/>
      <c r="F14" s="15"/>
      <c r="G14" s="3" t="s">
        <v>10</v>
      </c>
      <c r="H14" s="14"/>
      <c r="I14" s="16"/>
      <c r="J14" s="17"/>
    </row>
    <row r="15" spans="1:10" s="4" customFormat="1" ht="13.5" customHeight="1">
      <c r="A15" s="5"/>
      <c r="B15" s="13"/>
      <c r="C15" s="140" t="s">
        <v>11</v>
      </c>
      <c r="D15" s="140"/>
      <c r="E15" s="14">
        <v>46255</v>
      </c>
      <c r="F15" s="15"/>
      <c r="G15" s="3" t="s">
        <v>7</v>
      </c>
      <c r="H15" s="14"/>
      <c r="I15" s="16"/>
      <c r="J15" s="17"/>
    </row>
    <row r="16" spans="1:10" s="4" customFormat="1" ht="13.5" customHeight="1">
      <c r="A16" s="5"/>
      <c r="B16" s="13"/>
      <c r="C16" s="140" t="s">
        <v>12</v>
      </c>
      <c r="D16" s="140"/>
      <c r="E16" s="22" t="s">
        <v>13</v>
      </c>
      <c r="F16" s="15"/>
      <c r="G16" s="3" t="s">
        <v>14</v>
      </c>
      <c r="H16" s="14"/>
      <c r="I16" s="16"/>
      <c r="J16" s="17"/>
    </row>
    <row r="17" spans="1:10" s="4" customFormat="1" ht="13.5" customHeight="1">
      <c r="A17" s="5"/>
      <c r="B17" s="23"/>
      <c r="C17" s="24"/>
      <c r="D17" s="24"/>
      <c r="E17" s="25"/>
      <c r="F17" s="25"/>
      <c r="G17" s="25"/>
      <c r="H17" s="25"/>
      <c r="I17" s="25"/>
      <c r="J17" s="26"/>
    </row>
    <row r="18" spans="1:10" s="4" customFormat="1" ht="13.5" customHeight="1">
      <c r="B18" s="27"/>
      <c r="C18" s="25"/>
      <c r="D18" s="25"/>
      <c r="E18" s="25"/>
      <c r="F18" s="25"/>
      <c r="G18" s="25"/>
      <c r="H18" s="25"/>
      <c r="I18" s="25"/>
      <c r="J18" s="26"/>
    </row>
    <row r="19" spans="1:10" ht="15" customHeight="1">
      <c r="B19" s="28"/>
      <c r="C19" s="29"/>
      <c r="D19" s="29"/>
      <c r="E19" s="29"/>
      <c r="F19" s="29"/>
      <c r="G19" s="29"/>
      <c r="H19" s="29"/>
      <c r="I19" s="29"/>
      <c r="J19" s="30"/>
    </row>
  </sheetData>
  <mergeCells count="12">
    <mergeCell ref="B2:J2"/>
    <mergeCell ref="B3:J3"/>
    <mergeCell ref="B6:J7"/>
    <mergeCell ref="E8:H8"/>
    <mergeCell ref="B9:J9"/>
    <mergeCell ref="C15:D15"/>
    <mergeCell ref="C16:D16"/>
    <mergeCell ref="B10:I10"/>
    <mergeCell ref="C11:D11"/>
    <mergeCell ref="C12:D12"/>
    <mergeCell ref="C13:D13"/>
    <mergeCell ref="C14:D1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7"/>
  <sheetViews>
    <sheetView zoomScaleNormal="100" workbookViewId="0">
      <selection activeCell="K16" sqref="K16"/>
    </sheetView>
  </sheetViews>
  <sheetFormatPr defaultColWidth="9.140625" defaultRowHeight="14.25"/>
  <cols>
    <col min="1" max="1" width="21.42578125" style="31" customWidth="1"/>
    <col min="2" max="2" width="22.5703125" style="31" customWidth="1"/>
    <col min="3" max="3" width="14.140625" style="31" customWidth="1"/>
    <col min="4" max="4" width="11.5703125" style="31" customWidth="1"/>
    <col min="5" max="5" width="10.5703125" style="31" customWidth="1"/>
    <col min="6" max="6" width="12.7109375" style="31" customWidth="1"/>
    <col min="7" max="7" width="14" style="31" customWidth="1"/>
    <col min="8" max="1024" width="9.140625" style="31"/>
  </cols>
  <sheetData>
    <row r="1" spans="1:8" ht="17.25" customHeight="1">
      <c r="A1" s="32" t="s">
        <v>15</v>
      </c>
      <c r="B1" s="33"/>
    </row>
    <row r="2" spans="1:8" ht="15" customHeight="1"/>
    <row r="3" spans="1:8" ht="14.25" customHeight="1">
      <c r="A3" s="2" t="s">
        <v>16</v>
      </c>
      <c r="B3" s="2" t="s">
        <v>17</v>
      </c>
      <c r="C3" s="2" t="s">
        <v>18</v>
      </c>
      <c r="H3" s="34" t="s">
        <v>19</v>
      </c>
    </row>
    <row r="4" spans="1:8" ht="14.25" customHeight="1">
      <c r="A4" s="35">
        <v>1</v>
      </c>
      <c r="B4" s="36" t="s">
        <v>20</v>
      </c>
      <c r="C4" s="150" t="s">
        <v>20</v>
      </c>
      <c r="D4" s="150"/>
      <c r="E4" s="150"/>
      <c r="F4" s="150"/>
      <c r="G4" s="150"/>
      <c r="H4" s="34"/>
    </row>
    <row r="5" spans="1:8" ht="14.25" customHeight="1">
      <c r="A5" s="35">
        <v>2</v>
      </c>
      <c r="B5" s="36" t="s">
        <v>21</v>
      </c>
      <c r="C5" s="150" t="s">
        <v>22</v>
      </c>
      <c r="D5" s="150"/>
      <c r="E5" s="150"/>
      <c r="F5" s="150"/>
      <c r="G5" s="150"/>
      <c r="H5" s="34"/>
    </row>
    <row r="6" spans="1:8" ht="14.25" customHeight="1">
      <c r="A6" s="35">
        <v>3</v>
      </c>
      <c r="B6" s="36" t="s">
        <v>23</v>
      </c>
      <c r="C6" s="150" t="s">
        <v>24</v>
      </c>
      <c r="D6" s="150"/>
      <c r="E6" s="150"/>
      <c r="F6" s="150"/>
      <c r="G6" s="150"/>
      <c r="H6" s="34"/>
    </row>
    <row r="7" spans="1:8" ht="14.25" customHeight="1">
      <c r="A7" s="35">
        <v>4</v>
      </c>
      <c r="B7" s="36" t="s">
        <v>0</v>
      </c>
      <c r="C7" s="150" t="s">
        <v>25</v>
      </c>
      <c r="D7" s="150"/>
      <c r="E7" s="150"/>
      <c r="F7" s="150"/>
      <c r="G7" s="150"/>
      <c r="H7" s="34"/>
    </row>
    <row r="8" spans="1:8" ht="15" customHeight="1">
      <c r="A8" s="35">
        <v>5</v>
      </c>
      <c r="B8" s="36" t="s">
        <v>26</v>
      </c>
      <c r="C8" s="150" t="s">
        <v>27</v>
      </c>
      <c r="D8" s="150"/>
      <c r="E8" s="150"/>
      <c r="F8" s="150"/>
      <c r="G8" s="150"/>
      <c r="H8" s="34"/>
    </row>
    <row r="9" spans="1:8" ht="14.25" customHeight="1">
      <c r="A9" s="35">
        <v>6</v>
      </c>
      <c r="B9" s="36" t="s">
        <v>28</v>
      </c>
      <c r="C9" s="150" t="s">
        <v>29</v>
      </c>
      <c r="D9" s="150"/>
      <c r="E9" s="150"/>
      <c r="F9" s="150"/>
      <c r="G9" s="150"/>
      <c r="H9" s="34"/>
    </row>
    <row r="10" spans="1:8" ht="14.25" customHeight="1">
      <c r="A10" s="35">
        <v>7</v>
      </c>
      <c r="B10" s="36" t="s">
        <v>30</v>
      </c>
      <c r="C10" s="150" t="s">
        <v>31</v>
      </c>
      <c r="D10" s="150"/>
      <c r="E10" s="150"/>
      <c r="F10" s="150"/>
      <c r="G10" s="150"/>
      <c r="H10" s="34"/>
    </row>
    <row r="11" spans="1:8" ht="14.25" customHeight="1">
      <c r="A11" s="35">
        <v>8</v>
      </c>
      <c r="B11" s="36" t="s">
        <v>32</v>
      </c>
      <c r="C11" s="150" t="s">
        <v>33</v>
      </c>
      <c r="D11" s="150"/>
      <c r="E11" s="150"/>
      <c r="F11" s="150"/>
      <c r="G11" s="150"/>
      <c r="H11" s="34"/>
    </row>
    <row r="12" spans="1:8" ht="14.25" customHeight="1">
      <c r="A12" s="35">
        <v>9</v>
      </c>
      <c r="B12" s="36" t="s">
        <v>34</v>
      </c>
      <c r="C12" s="150" t="s">
        <v>35</v>
      </c>
      <c r="D12" s="150"/>
      <c r="E12" s="150"/>
      <c r="F12" s="150"/>
      <c r="G12" s="150"/>
      <c r="H12" s="34"/>
    </row>
    <row r="13" spans="1:8" ht="14.25" customHeight="1">
      <c r="A13" s="35">
        <v>10</v>
      </c>
      <c r="B13" s="36" t="s">
        <v>36</v>
      </c>
      <c r="C13" s="150" t="s">
        <v>37</v>
      </c>
      <c r="D13" s="150"/>
      <c r="E13" s="150"/>
      <c r="F13" s="150"/>
      <c r="G13" s="150"/>
      <c r="H13" s="34"/>
    </row>
    <row r="15" spans="1:8" ht="14.25" customHeight="1">
      <c r="A15" s="2" t="s">
        <v>38</v>
      </c>
      <c r="B15" s="2" t="s">
        <v>39</v>
      </c>
      <c r="C15" s="148" t="s">
        <v>40</v>
      </c>
      <c r="D15" s="148"/>
      <c r="E15" s="148"/>
      <c r="F15" s="2" t="s">
        <v>41</v>
      </c>
      <c r="G15" s="2" t="s">
        <v>42</v>
      </c>
    </row>
    <row r="16" spans="1:8" ht="14.25" customHeight="1">
      <c r="A16" s="37">
        <v>46153</v>
      </c>
      <c r="B16" s="1" t="s">
        <v>43</v>
      </c>
      <c r="C16" s="149" t="s">
        <v>44</v>
      </c>
      <c r="D16" s="149"/>
      <c r="E16" s="149"/>
      <c r="F16" s="38">
        <v>1</v>
      </c>
      <c r="G16" s="1"/>
    </row>
    <row r="17" spans="1:7" ht="68.25" customHeight="1">
      <c r="A17" s="37">
        <v>46255</v>
      </c>
      <c r="B17" s="1" t="s">
        <v>45</v>
      </c>
      <c r="C17" s="149" t="s">
        <v>46</v>
      </c>
      <c r="D17" s="149"/>
      <c r="E17" s="149"/>
      <c r="F17" s="38">
        <v>1.1000000000000001</v>
      </c>
      <c r="G17" s="1"/>
    </row>
  </sheetData>
  <mergeCells count="13">
    <mergeCell ref="C4:G4"/>
    <mergeCell ref="C5:G5"/>
    <mergeCell ref="C6:G6"/>
    <mergeCell ref="C7:G7"/>
    <mergeCell ref="C8:G8"/>
    <mergeCell ref="C15:E15"/>
    <mergeCell ref="C16:E16"/>
    <mergeCell ref="C17:E17"/>
    <mergeCell ref="C9:G9"/>
    <mergeCell ref="C10:G10"/>
    <mergeCell ref="C11:G11"/>
    <mergeCell ref="C12:G12"/>
    <mergeCell ref="C13:G13"/>
  </mergeCells>
  <hyperlinks>
    <hyperlink ref="B4" location="Cover!A1" display="Cover" xr:uid="{00000000-0004-0000-0100-000000000000}"/>
    <hyperlink ref="B5" location="Records!A1" display="Records" xr:uid="{00000000-0004-0000-0100-000001000000}"/>
    <hyperlink ref="B6" location="Changelog!A1" display="Changelog" xr:uid="{00000000-0004-0000-0100-000002000000}"/>
    <hyperlink ref="B7" location="'Test Report'!A1" display="Test Report" xr:uid="{00000000-0004-0000-0100-000003000000}"/>
    <hyperlink ref="B8" location="Report_01!A1" display="Report_01" xr:uid="{00000000-0004-0000-0100-000004000000}"/>
    <hyperlink ref="B9" location="Report_02!A1" display="Report_02" xr:uid="{00000000-0004-0000-0100-000005000000}"/>
    <hyperlink ref="B10" location="Report_03!A1" display="Report_03" xr:uid="{00000000-0004-0000-0100-000006000000}"/>
    <hyperlink ref="B11" location="Report_04!A1" display="Report_04" xr:uid="{00000000-0004-0000-0100-000007000000}"/>
    <hyperlink ref="B12" location="Report_05!A1" display="Report_05" xr:uid="{00000000-0004-0000-0100-000008000000}"/>
    <hyperlink ref="B13" location="Report_Permission!A1" display="Report_Permission" xr:uid="{00000000-0004-0000-0100-000009000000}"/>
  </hyperlink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2"/>
  <sheetViews>
    <sheetView topLeftCell="A4" zoomScaleNormal="100" workbookViewId="0">
      <selection activeCell="D48" sqref="D48"/>
    </sheetView>
  </sheetViews>
  <sheetFormatPr defaultColWidth="8.7109375" defaultRowHeight="14.25"/>
  <cols>
    <col min="1" max="1" width="24.140625" customWidth="1"/>
    <col min="2" max="7" width="12.140625" style="125" customWidth="1"/>
    <col min="8" max="8" width="8.5703125" customWidth="1"/>
  </cols>
  <sheetData>
    <row r="1" spans="1:7" ht="14.25" customHeight="1">
      <c r="A1" s="39"/>
      <c r="B1" s="102"/>
      <c r="C1" s="102"/>
      <c r="D1" s="102"/>
      <c r="E1" s="102"/>
      <c r="F1" s="102"/>
      <c r="G1" s="103"/>
    </row>
    <row r="2" spans="1:7" ht="27.75" customHeight="1">
      <c r="A2" s="40"/>
      <c r="B2" s="104" t="s">
        <v>47</v>
      </c>
      <c r="C2" s="105"/>
      <c r="D2" s="105"/>
      <c r="E2" s="105"/>
      <c r="F2" s="105"/>
      <c r="G2" s="105"/>
    </row>
    <row r="3" spans="1:7" ht="14.25" customHeight="1">
      <c r="A3" s="40"/>
      <c r="B3" s="105"/>
      <c r="C3" s="105"/>
      <c r="D3" s="105"/>
      <c r="E3" s="105"/>
      <c r="F3" s="105"/>
      <c r="G3" s="105"/>
    </row>
    <row r="4" spans="1:7" ht="15" customHeight="1">
      <c r="A4" s="40"/>
      <c r="B4" s="105"/>
      <c r="C4" s="105"/>
      <c r="D4" s="105"/>
      <c r="E4" s="105"/>
      <c r="F4" s="105"/>
      <c r="G4" s="105"/>
    </row>
    <row r="5" spans="1:7" ht="24" customHeight="1">
      <c r="A5" s="41" t="s">
        <v>48</v>
      </c>
      <c r="B5" s="155" t="s">
        <v>2</v>
      </c>
      <c r="C5" s="155"/>
      <c r="D5" s="106" t="s">
        <v>49</v>
      </c>
      <c r="E5" s="156"/>
      <c r="F5" s="156"/>
      <c r="G5" s="156"/>
    </row>
    <row r="6" spans="1:7" ht="14.25" customHeight="1">
      <c r="A6" s="42" t="s">
        <v>50</v>
      </c>
      <c r="B6" s="157"/>
      <c r="C6" s="157"/>
      <c r="D6" s="107" t="s">
        <v>51</v>
      </c>
      <c r="E6" s="152"/>
      <c r="F6" s="152"/>
      <c r="G6" s="152"/>
    </row>
    <row r="7" spans="1:7" ht="14.25" customHeight="1">
      <c r="A7" s="42" t="s">
        <v>52</v>
      </c>
      <c r="B7" s="151"/>
      <c r="C7" s="151"/>
      <c r="D7" s="107" t="s">
        <v>53</v>
      </c>
      <c r="E7" s="158"/>
      <c r="F7" s="158"/>
      <c r="G7" s="158"/>
    </row>
    <row r="8" spans="1:7" ht="14.25" customHeight="1">
      <c r="A8" s="42" t="s">
        <v>54</v>
      </c>
      <c r="B8" s="151"/>
      <c r="C8" s="151"/>
      <c r="D8" s="107" t="s">
        <v>55</v>
      </c>
      <c r="E8" s="152"/>
      <c r="F8" s="152"/>
      <c r="G8" s="152"/>
    </row>
    <row r="9" spans="1:7" ht="14.25" customHeight="1">
      <c r="A9" s="42" t="s">
        <v>56</v>
      </c>
      <c r="B9" s="108" t="s">
        <v>57</v>
      </c>
      <c r="C9" s="109"/>
      <c r="D9" s="107"/>
      <c r="E9" s="110"/>
      <c r="F9" s="111"/>
      <c r="G9" s="112"/>
    </row>
    <row r="10" spans="1:7" ht="14.25" customHeight="1">
      <c r="A10" s="42" t="s">
        <v>58</v>
      </c>
      <c r="B10" s="153"/>
      <c r="C10" s="153"/>
      <c r="D10" s="107"/>
      <c r="E10" s="152"/>
      <c r="F10" s="152"/>
      <c r="G10" s="152"/>
    </row>
    <row r="11" spans="1:7" ht="14.25" customHeight="1">
      <c r="A11" s="154" t="s">
        <v>59</v>
      </c>
      <c r="B11" s="154"/>
      <c r="C11" s="43"/>
      <c r="D11" s="43"/>
      <c r="E11" s="43"/>
      <c r="F11" s="43"/>
      <c r="G11" s="44"/>
    </row>
    <row r="12" spans="1:7" ht="14.25" customHeight="1">
      <c r="A12" s="45" t="s">
        <v>60</v>
      </c>
      <c r="B12" s="113"/>
      <c r="C12" s="114"/>
      <c r="D12" s="114"/>
      <c r="E12" s="114"/>
      <c r="F12" s="114"/>
      <c r="G12" s="115"/>
    </row>
    <row r="13" spans="1:7" ht="14.25" customHeight="1">
      <c r="A13" s="46" t="s">
        <v>61</v>
      </c>
      <c r="B13" s="116"/>
      <c r="C13" s="117"/>
      <c r="D13" s="117"/>
      <c r="E13" s="117"/>
      <c r="F13" s="117"/>
      <c r="G13" s="118"/>
    </row>
    <row r="14" spans="1:7" ht="14.25" customHeight="1">
      <c r="A14" s="47" t="s">
        <v>62</v>
      </c>
      <c r="B14" s="48" t="s">
        <v>63</v>
      </c>
      <c r="C14" s="49" t="s">
        <v>64</v>
      </c>
      <c r="D14" s="49" t="s">
        <v>65</v>
      </c>
      <c r="E14" s="49" t="s">
        <v>66</v>
      </c>
      <c r="F14" s="50" t="s">
        <v>67</v>
      </c>
      <c r="G14" s="51" t="s">
        <v>68</v>
      </c>
    </row>
    <row r="15" spans="1:7" ht="14.25" customHeight="1">
      <c r="A15" s="52" t="s">
        <v>69</v>
      </c>
      <c r="B15" s="53">
        <f>SUM(B16:B21)</f>
        <v>105</v>
      </c>
      <c r="C15" s="53">
        <f>SUM(C16:C21)</f>
        <v>0</v>
      </c>
      <c r="D15" s="53">
        <f>SUM(D16:D21)</f>
        <v>0</v>
      </c>
      <c r="E15" s="53">
        <f>SUM(E16:E21)</f>
        <v>0</v>
      </c>
      <c r="F15" s="53">
        <f>SUM(F16:F21)</f>
        <v>34</v>
      </c>
      <c r="G15" s="119">
        <f t="shared" ref="G15:G21" si="0">SUM(B15:F15)</f>
        <v>139</v>
      </c>
    </row>
    <row r="16" spans="1:7" ht="14.25" customHeight="1">
      <c r="A16" s="54" t="s">
        <v>26</v>
      </c>
      <c r="B16" s="55">
        <f>COUNTIF(Report_01!J:J,"Passed")</f>
        <v>0</v>
      </c>
      <c r="C16" s="55">
        <f>COUNTIF(Report_01!J:J,"Failed")</f>
        <v>0</v>
      </c>
      <c r="D16" s="55">
        <f>COUNTIF(Report_01!J:J,"Accepted")</f>
        <v>0</v>
      </c>
      <c r="E16" s="55">
        <f>COUNTIF(Report_01!J:J,"N/A")</f>
        <v>0</v>
      </c>
      <c r="F16" s="55">
        <f>COUNTIF(Report_01!J:J,"Untested")</f>
        <v>34</v>
      </c>
      <c r="G16" s="120">
        <f t="shared" si="0"/>
        <v>34</v>
      </c>
    </row>
    <row r="17" spans="1:7" ht="14.25" customHeight="1">
      <c r="A17" s="56" t="s">
        <v>28</v>
      </c>
      <c r="B17" s="55">
        <f>COUNTIF(Report_02!K:K,"Passed")</f>
        <v>30</v>
      </c>
      <c r="C17" s="55">
        <f>COUNTIF(Report_02!K:K,"Failed")</f>
        <v>0</v>
      </c>
      <c r="D17" s="55">
        <f>COUNTIF(Report_02!K:K,"Accepted")</f>
        <v>0</v>
      </c>
      <c r="E17" s="55">
        <f>COUNTIF(Report_02!K:K,"N/A")</f>
        <v>0</v>
      </c>
      <c r="F17" s="55">
        <f>COUNTIF(Report_02!K:K,"Untested")</f>
        <v>0</v>
      </c>
      <c r="G17" s="120">
        <f t="shared" si="0"/>
        <v>30</v>
      </c>
    </row>
    <row r="18" spans="1:7" ht="14.25" customHeight="1">
      <c r="A18" s="56" t="s">
        <v>30</v>
      </c>
      <c r="B18" s="55">
        <f>COUNTIF(Report_03!J:J,"Passed")</f>
        <v>28</v>
      </c>
      <c r="C18" s="55">
        <f>COUNTIF(Report_03!J:J,"Failed")</f>
        <v>0</v>
      </c>
      <c r="D18" s="55">
        <f>COUNTIF(Report_03!J:J,"Accepted")</f>
        <v>0</v>
      </c>
      <c r="E18" s="55">
        <f>COUNTIF(Report_03!J:J,"N/A")</f>
        <v>0</v>
      </c>
      <c r="F18" s="55">
        <f>COUNTIF(Report_03!J:J,"Untested")</f>
        <v>0</v>
      </c>
      <c r="G18" s="120">
        <f t="shared" si="0"/>
        <v>28</v>
      </c>
    </row>
    <row r="19" spans="1:7" ht="14.25" customHeight="1">
      <c r="A19" s="56" t="s">
        <v>32</v>
      </c>
      <c r="B19" s="55">
        <f>COUNTIF(Report_04!J:J,"Passed")</f>
        <v>18</v>
      </c>
      <c r="C19" s="55">
        <f>COUNTIF(Report_04!J:J,"Failed")</f>
        <v>0</v>
      </c>
      <c r="D19" s="55">
        <f>COUNTIF(Report_04!J:J,"Accepted")</f>
        <v>0</v>
      </c>
      <c r="E19" s="55">
        <f>COUNTIF(Report_04!J:J,"N/A")</f>
        <v>0</v>
      </c>
      <c r="F19" s="55">
        <f>COUNTIF(Report_04!J:J,"Untested")</f>
        <v>0</v>
      </c>
      <c r="G19" s="120">
        <f t="shared" si="0"/>
        <v>18</v>
      </c>
    </row>
    <row r="20" spans="1:7" ht="14.25" customHeight="1">
      <c r="A20" s="54" t="s">
        <v>34</v>
      </c>
      <c r="B20" s="55">
        <f>COUNTIF(Report_05!J:J,"Passed")</f>
        <v>29</v>
      </c>
      <c r="C20" s="55">
        <f>COUNTIF(Report_05!J:J,"Failed")</f>
        <v>0</v>
      </c>
      <c r="D20" s="55">
        <f>COUNTIF(Report_05!J:J,"Accepted")</f>
        <v>0</v>
      </c>
      <c r="E20" s="55">
        <f>COUNTIF(Report_05!J:J,"N/A")</f>
        <v>0</v>
      </c>
      <c r="F20" s="55">
        <f>COUNTIF(Report_05!J:J,"Untested")</f>
        <v>0</v>
      </c>
      <c r="G20" s="120">
        <f t="shared" si="0"/>
        <v>29</v>
      </c>
    </row>
    <row r="21" spans="1:7" ht="14.25" customHeight="1">
      <c r="A21" s="54" t="s">
        <v>36</v>
      </c>
      <c r="B21" s="55">
        <f>COUNTIF(Report_Permission!J:J,"Passed")</f>
        <v>0</v>
      </c>
      <c r="C21" s="55">
        <f>COUNTIF(Report_Permission!J:J,"Failed")</f>
        <v>0</v>
      </c>
      <c r="D21" s="55">
        <f>COUNTIF(Report_Permission!J:J,"Accepted")</f>
        <v>0</v>
      </c>
      <c r="E21" s="55">
        <f>COUNTIF(Report_Permission!J:J,"N/A")</f>
        <v>0</v>
      </c>
      <c r="F21" s="55">
        <f>COUNTIF(Report_Permission!J:J,"Untested")</f>
        <v>0</v>
      </c>
      <c r="G21" s="120">
        <f t="shared" si="0"/>
        <v>0</v>
      </c>
    </row>
    <row r="22" spans="1:7" ht="14.25" customHeight="1">
      <c r="A22" s="54"/>
      <c r="B22" s="55"/>
      <c r="C22" s="55"/>
      <c r="D22" s="55"/>
      <c r="E22" s="55"/>
      <c r="F22" s="55"/>
      <c r="G22" s="120"/>
    </row>
    <row r="23" spans="1:7" ht="14.25" customHeight="1">
      <c r="A23" s="54"/>
      <c r="B23" s="55"/>
      <c r="C23" s="55"/>
      <c r="D23" s="55"/>
      <c r="E23" s="55"/>
      <c r="F23" s="55"/>
      <c r="G23" s="120"/>
    </row>
    <row r="24" spans="1:7" ht="14.25" customHeight="1">
      <c r="A24" s="54"/>
      <c r="B24" s="55"/>
      <c r="C24" s="55"/>
      <c r="D24" s="55"/>
      <c r="E24" s="55"/>
      <c r="F24" s="55"/>
      <c r="G24" s="120"/>
    </row>
    <row r="25" spans="1:7" ht="14.25" customHeight="1">
      <c r="A25" s="57" t="s">
        <v>70</v>
      </c>
      <c r="B25" s="58"/>
      <c r="C25" s="59"/>
      <c r="D25" s="59"/>
      <c r="E25" s="60"/>
      <c r="F25" s="60"/>
      <c r="G25" s="67"/>
    </row>
    <row r="26" spans="1:7" ht="14.25" customHeight="1">
      <c r="A26" s="54" t="s">
        <v>70</v>
      </c>
      <c r="B26" s="61"/>
      <c r="C26" s="61"/>
      <c r="D26" s="61"/>
      <c r="E26" s="62"/>
      <c r="F26" s="63"/>
      <c r="G26" s="121">
        <f>IFERROR(SUM(B15,C15,E15)/G15,0)</f>
        <v>0.75539568345323738</v>
      </c>
    </row>
    <row r="27" spans="1:7" ht="14.25" customHeight="1">
      <c r="A27" s="64" t="s">
        <v>71</v>
      </c>
      <c r="B27" s="65"/>
      <c r="C27" s="65"/>
      <c r="D27" s="65"/>
      <c r="E27" s="66"/>
      <c r="F27" s="63"/>
      <c r="G27" s="121">
        <f>IFERROR(SUM(B15,E15)/G15,0)</f>
        <v>0.75539568345323738</v>
      </c>
    </row>
    <row r="28" spans="1:7" ht="14.25" customHeight="1">
      <c r="A28" s="57" t="s">
        <v>72</v>
      </c>
      <c r="B28" s="58" t="s">
        <v>4</v>
      </c>
      <c r="C28" s="59"/>
      <c r="D28" s="59"/>
      <c r="E28" s="60"/>
      <c r="F28" s="60"/>
      <c r="G28" s="67"/>
    </row>
    <row r="29" spans="1:7" ht="14.25" customHeight="1">
      <c r="A29" s="64" t="s">
        <v>73</v>
      </c>
      <c r="B29" s="122"/>
      <c r="C29" s="123"/>
      <c r="D29" s="123"/>
      <c r="E29" s="123"/>
      <c r="F29" s="123"/>
      <c r="G29" s="124"/>
    </row>
    <row r="30" spans="1:7" ht="14.25" customHeight="1">
      <c r="A30" s="64" t="s">
        <v>74</v>
      </c>
      <c r="B30" s="122"/>
      <c r="C30" s="123"/>
      <c r="D30" s="123"/>
      <c r="E30" s="123"/>
      <c r="F30" s="123"/>
      <c r="G30" s="124"/>
    </row>
    <row r="35" spans="1:8">
      <c r="A35" s="127" t="s">
        <v>75</v>
      </c>
      <c r="B35" s="131" t="s">
        <v>76</v>
      </c>
      <c r="C35" s="131" t="s">
        <v>77</v>
      </c>
      <c r="D35" s="131" t="s">
        <v>78</v>
      </c>
      <c r="E35" s="131" t="s">
        <v>79</v>
      </c>
      <c r="F35" s="131" t="s">
        <v>67</v>
      </c>
      <c r="G35" s="131" t="s">
        <v>80</v>
      </c>
      <c r="H35" t="s">
        <v>81</v>
      </c>
    </row>
    <row r="36" spans="1:8">
      <c r="A36" s="126" t="s">
        <v>26</v>
      </c>
      <c r="B36" s="101">
        <f>COUNTIF(Report_01!$K:$K,'Test Report'!B35)</f>
        <v>0</v>
      </c>
      <c r="C36" s="101">
        <f>COUNTIF(Report_01!$K:$K,'Test Report'!C35)</f>
        <v>0</v>
      </c>
      <c r="D36" s="101">
        <f>COUNTIF(Report_01!$K:$K,'Test Report'!D35)</f>
        <v>0</v>
      </c>
      <c r="E36" s="101">
        <f>COUNTIF(Report_01!$K:$K,'Test Report'!E35)</f>
        <v>0</v>
      </c>
      <c r="F36" s="101">
        <f>COUNTIF(Report_01!$K:$K,'Test Report'!F35)</f>
        <v>0</v>
      </c>
      <c r="G36" s="101">
        <f>COUNTIF(Report_01!$K:$K,'Test Report'!G35)</f>
        <v>0</v>
      </c>
      <c r="H36" s="132">
        <f>SUM(B36:G36)</f>
        <v>0</v>
      </c>
    </row>
    <row r="37" spans="1:8">
      <c r="A37" s="126" t="s">
        <v>28</v>
      </c>
      <c r="B37" s="101">
        <f>COUNTIF(Report_02!$K:$K,'Test Report'!B35)</f>
        <v>0</v>
      </c>
      <c r="C37" s="101">
        <f>COUNTIF(Report_02!$K:$K,'Test Report'!C35)</f>
        <v>0</v>
      </c>
      <c r="D37" s="101">
        <f>COUNTIF(Report_02!$K:$K,'Test Report'!D35)</f>
        <v>0</v>
      </c>
      <c r="E37" s="101">
        <f>COUNTIF(Report_02!$K:$K,'Test Report'!E35)</f>
        <v>0</v>
      </c>
      <c r="F37" s="101">
        <f>COUNTIF(Report_02!$K:$K,'Test Report'!F35)</f>
        <v>0</v>
      </c>
      <c r="G37" s="101">
        <f>COUNTIF(Report_02!$K:$K,'Test Report'!G35)</f>
        <v>0</v>
      </c>
      <c r="H37" s="132">
        <f t="shared" ref="H37:H40" si="1">SUM(B37:G37)</f>
        <v>0</v>
      </c>
    </row>
    <row r="38" spans="1:8">
      <c r="A38" s="126" t="s">
        <v>30</v>
      </c>
      <c r="B38" s="101">
        <f>COUNTIF(Report_03!$J:$J,'Test Report'!B35)</f>
        <v>0</v>
      </c>
      <c r="C38" s="101">
        <f>COUNTIF(Report_03!$J:$J,'Test Report'!C35)</f>
        <v>0</v>
      </c>
      <c r="D38" s="101">
        <f>COUNTIF(Report_03!$J:$J,'Test Report'!D35)</f>
        <v>0</v>
      </c>
      <c r="E38" s="101">
        <f>COUNTIF(Report_03!$J:$J,'Test Report'!E35)</f>
        <v>0</v>
      </c>
      <c r="F38" s="101">
        <f>COUNTIF(Report_03!$J:$J,'Test Report'!F35)</f>
        <v>0</v>
      </c>
      <c r="G38" s="101">
        <f>COUNTIF(Report_03!$J:$J,'Test Report'!G35)</f>
        <v>0</v>
      </c>
      <c r="H38" s="132">
        <f t="shared" si="1"/>
        <v>0</v>
      </c>
    </row>
    <row r="39" spans="1:8">
      <c r="A39" s="126" t="s">
        <v>32</v>
      </c>
      <c r="B39" s="101">
        <f>COUNTIF(Report_04!$J:$J,B35)</f>
        <v>0</v>
      </c>
      <c r="C39" s="101">
        <f>COUNTIF(Report_04!$J:$J,C35)</f>
        <v>0</v>
      </c>
      <c r="D39" s="101">
        <f>COUNTIF(Report_04!$J:$J,D35)</f>
        <v>0</v>
      </c>
      <c r="E39" s="101">
        <f>COUNTIF(Report_04!$J:$J,E35)</f>
        <v>0</v>
      </c>
      <c r="F39" s="101">
        <f>COUNTIF(Report_04!$J:$J,F35)</f>
        <v>0</v>
      </c>
      <c r="G39" s="101">
        <f>COUNTIF(Report_04!$J:$J,G35)</f>
        <v>0</v>
      </c>
      <c r="H39" s="132">
        <f t="shared" si="1"/>
        <v>0</v>
      </c>
    </row>
    <row r="40" spans="1:8">
      <c r="A40" s="126" t="s">
        <v>34</v>
      </c>
      <c r="B40" s="101">
        <f>COUNTIF(Report_05!$J:$J,B35)</f>
        <v>0</v>
      </c>
      <c r="C40" s="101">
        <f>COUNTIF(Report_05!$J:$J,C35)</f>
        <v>0</v>
      </c>
      <c r="D40" s="101">
        <f>COUNTIF(Report_05!$J:$J,D35)</f>
        <v>2</v>
      </c>
      <c r="E40" s="101">
        <f>COUNTIF(Report_05!$J:$J,E35)</f>
        <v>0</v>
      </c>
      <c r="F40" s="101">
        <f>COUNTIF(Report_05!$J:$J,F35)</f>
        <v>0</v>
      </c>
      <c r="G40" s="101">
        <f>COUNTIF(Report_05!$J:$J,G35)</f>
        <v>0</v>
      </c>
      <c r="H40" s="132">
        <f t="shared" si="1"/>
        <v>2</v>
      </c>
    </row>
    <row r="41" spans="1:8">
      <c r="A41" s="128" t="s">
        <v>69</v>
      </c>
      <c r="B41" s="129">
        <f t="shared" ref="B41:G41" si="2">SUM(B36:B40)</f>
        <v>0</v>
      </c>
      <c r="C41" s="129">
        <f t="shared" si="2"/>
        <v>0</v>
      </c>
      <c r="D41" s="129">
        <f t="shared" si="2"/>
        <v>2</v>
      </c>
      <c r="E41" s="129">
        <f t="shared" si="2"/>
        <v>0</v>
      </c>
      <c r="F41" s="129">
        <f t="shared" si="2"/>
        <v>0</v>
      </c>
      <c r="G41" s="129">
        <f t="shared" si="2"/>
        <v>0</v>
      </c>
      <c r="H41" s="132">
        <f>SUM(B41:G41)</f>
        <v>2</v>
      </c>
    </row>
    <row r="42" spans="1:8">
      <c r="A42" s="128"/>
      <c r="B42" s="130">
        <f>B41/$H$41</f>
        <v>0</v>
      </c>
      <c r="C42" s="130">
        <f t="shared" ref="C42:G42" si="3">C41/$H$41</f>
        <v>0</v>
      </c>
      <c r="D42" s="130">
        <f t="shared" si="3"/>
        <v>1</v>
      </c>
      <c r="E42" s="130">
        <f t="shared" si="3"/>
        <v>0</v>
      </c>
      <c r="F42" s="130">
        <f t="shared" si="3"/>
        <v>0</v>
      </c>
      <c r="G42" s="130">
        <f t="shared" si="3"/>
        <v>0</v>
      </c>
      <c r="H42" s="130"/>
    </row>
  </sheetData>
  <mergeCells count="11">
    <mergeCell ref="B5:C5"/>
    <mergeCell ref="E5:G5"/>
    <mergeCell ref="B6:C6"/>
    <mergeCell ref="E6:G6"/>
    <mergeCell ref="B7:C7"/>
    <mergeCell ref="E7:G7"/>
    <mergeCell ref="B8:C8"/>
    <mergeCell ref="E8:G8"/>
    <mergeCell ref="B10:C10"/>
    <mergeCell ref="E10:G10"/>
    <mergeCell ref="A11:B1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E7FF0-878B-48BD-94E3-6477F9E7641C}">
  <sheetPr>
    <tabColor rgb="FF00B050"/>
  </sheetPr>
  <dimension ref="A1:H25"/>
  <sheetViews>
    <sheetView workbookViewId="0">
      <selection activeCell="I13" sqref="I13"/>
    </sheetView>
  </sheetViews>
  <sheetFormatPr defaultRowHeight="14.25"/>
  <cols>
    <col min="1" max="1" width="13.5703125" customWidth="1"/>
  </cols>
  <sheetData>
    <row r="1" spans="1:8">
      <c r="A1" s="127" t="s">
        <v>75</v>
      </c>
      <c r="B1" s="138" t="s">
        <v>63</v>
      </c>
      <c r="C1" s="138" t="s">
        <v>64</v>
      </c>
      <c r="D1" s="138" t="s">
        <v>78</v>
      </c>
      <c r="E1" s="138" t="s">
        <v>79</v>
      </c>
      <c r="F1" s="138" t="s">
        <v>67</v>
      </c>
      <c r="G1" s="138" t="s">
        <v>80</v>
      </c>
      <c r="H1" t="s">
        <v>81</v>
      </c>
    </row>
    <row r="2" spans="1:8">
      <c r="A2" s="126" t="s">
        <v>26</v>
      </c>
      <c r="B2" s="101">
        <f>Report_01!E7</f>
        <v>34</v>
      </c>
      <c r="C2" s="101">
        <f>Report_01!E8</f>
        <v>0</v>
      </c>
      <c r="D2" s="101">
        <f>Report_01!E9</f>
        <v>0</v>
      </c>
      <c r="E2" s="101">
        <f>Report_01!E10</f>
        <v>0</v>
      </c>
      <c r="F2" s="101">
        <f>Report_01!E11</f>
        <v>0</v>
      </c>
      <c r="G2" s="101">
        <f>Report_01!E12</f>
        <v>0</v>
      </c>
      <c r="H2" s="132">
        <f>SUM(B2:G2)</f>
        <v>34</v>
      </c>
    </row>
    <row r="3" spans="1:8">
      <c r="A3" s="126" t="s">
        <v>28</v>
      </c>
      <c r="B3" s="101">
        <f>Report_02!E7</f>
        <v>30</v>
      </c>
      <c r="C3" s="101">
        <f>Report_02!E8</f>
        <v>0</v>
      </c>
      <c r="D3" s="101">
        <f>Report_02!E9</f>
        <v>0</v>
      </c>
      <c r="E3" s="101">
        <f>Report_02!E10</f>
        <v>0</v>
      </c>
      <c r="F3" s="101">
        <f>Report_02!E11</f>
        <v>0</v>
      </c>
      <c r="G3" s="101">
        <f>Report_02!E12</f>
        <v>0</v>
      </c>
      <c r="H3" s="132">
        <f t="shared" ref="H3:H6" si="0">SUM(B3:G3)</f>
        <v>30</v>
      </c>
    </row>
    <row r="4" spans="1:8">
      <c r="A4" s="126" t="s">
        <v>30</v>
      </c>
      <c r="B4" s="101">
        <f>Report_03!E7</f>
        <v>28</v>
      </c>
      <c r="C4" s="101">
        <f>Report_03!E8</f>
        <v>0</v>
      </c>
      <c r="D4" s="101">
        <f>Report_03!E9</f>
        <v>0</v>
      </c>
      <c r="E4" s="101">
        <f>Report_03!E10</f>
        <v>0</v>
      </c>
      <c r="F4" s="101">
        <f>Report_03!E11</f>
        <v>0</v>
      </c>
      <c r="G4" s="101">
        <f>Report_03!E12</f>
        <v>0</v>
      </c>
      <c r="H4" s="132">
        <f t="shared" si="0"/>
        <v>28</v>
      </c>
    </row>
    <row r="5" spans="1:8">
      <c r="A5" s="126" t="s">
        <v>32</v>
      </c>
      <c r="B5" s="101">
        <f>Report_04!E7</f>
        <v>18</v>
      </c>
      <c r="C5" s="101">
        <f>Report_04!E8</f>
        <v>0</v>
      </c>
      <c r="D5" s="101">
        <f>Report_04!E9</f>
        <v>0</v>
      </c>
      <c r="E5" s="101">
        <f>Report_04!E10</f>
        <v>0</v>
      </c>
      <c r="F5" s="101">
        <f>Report_04!E11</f>
        <v>0</v>
      </c>
      <c r="G5" s="101">
        <f>Report_04!E12</f>
        <v>0</v>
      </c>
      <c r="H5" s="132">
        <f t="shared" si="0"/>
        <v>18</v>
      </c>
    </row>
    <row r="6" spans="1:8">
      <c r="A6" s="126" t="s">
        <v>34</v>
      </c>
      <c r="B6" s="101">
        <f>Report_05!E7</f>
        <v>29</v>
      </c>
      <c r="C6" s="101">
        <f>Report_05!E8</f>
        <v>0</v>
      </c>
      <c r="D6" s="101">
        <f>Report_05!E9</f>
        <v>2</v>
      </c>
      <c r="E6" s="101">
        <f>Report_05!E10</f>
        <v>0</v>
      </c>
      <c r="F6" s="101">
        <f>Report_05!E11</f>
        <v>0</v>
      </c>
      <c r="G6" s="101">
        <f>Report_05!E12</f>
        <v>0</v>
      </c>
      <c r="H6" s="132">
        <f t="shared" si="0"/>
        <v>31</v>
      </c>
    </row>
    <row r="7" spans="1:8">
      <c r="A7" s="128" t="s">
        <v>69</v>
      </c>
      <c r="B7" s="129">
        <f t="shared" ref="B7:G7" si="1">SUM(B2:B6)</f>
        <v>139</v>
      </c>
      <c r="C7" s="129">
        <f t="shared" si="1"/>
        <v>0</v>
      </c>
      <c r="D7" s="129">
        <f t="shared" si="1"/>
        <v>2</v>
      </c>
      <c r="E7" s="129">
        <f t="shared" si="1"/>
        <v>0</v>
      </c>
      <c r="F7" s="129">
        <f t="shared" si="1"/>
        <v>0</v>
      </c>
      <c r="G7" s="129">
        <f t="shared" si="1"/>
        <v>0</v>
      </c>
      <c r="H7" s="132">
        <f>SUM(B7:G7)</f>
        <v>141</v>
      </c>
    </row>
    <row r="8" spans="1:8">
      <c r="A8" s="128"/>
      <c r="B8" s="130">
        <f>B7/$H$7</f>
        <v>0.98581560283687941</v>
      </c>
      <c r="C8" s="130">
        <f t="shared" ref="C8:G8" si="2">C7/$H$7</f>
        <v>0</v>
      </c>
      <c r="D8" s="130">
        <f t="shared" si="2"/>
        <v>1.4184397163120567E-2</v>
      </c>
      <c r="E8" s="130">
        <f t="shared" si="2"/>
        <v>0</v>
      </c>
      <c r="F8" s="130">
        <f t="shared" si="2"/>
        <v>0</v>
      </c>
      <c r="G8" s="130">
        <f t="shared" si="2"/>
        <v>0</v>
      </c>
      <c r="H8" s="130"/>
    </row>
    <row r="20" spans="1:1">
      <c r="A20" s="138" t="s">
        <v>63</v>
      </c>
    </row>
    <row r="21" spans="1:1">
      <c r="A21" s="138" t="s">
        <v>64</v>
      </c>
    </row>
    <row r="22" spans="1:1">
      <c r="A22" s="138" t="s">
        <v>78</v>
      </c>
    </row>
    <row r="23" spans="1:1">
      <c r="A23" s="138" t="s">
        <v>79</v>
      </c>
    </row>
    <row r="24" spans="1:1">
      <c r="A24" s="138" t="s">
        <v>67</v>
      </c>
    </row>
    <row r="25" spans="1:1">
      <c r="A25" s="138"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theme="5" tint="0.39997558519241921"/>
  </sheetPr>
  <dimension ref="A1:N63"/>
  <sheetViews>
    <sheetView tabSelected="1" topLeftCell="A33" zoomScale="70" zoomScaleNormal="70" workbookViewId="0">
      <selection activeCell="D35" sqref="D35"/>
    </sheetView>
  </sheetViews>
  <sheetFormatPr defaultColWidth="17.28515625" defaultRowHeight="12" customHeight="1" outlineLevelRow="1"/>
  <cols>
    <col min="1" max="1" width="17.28515625" style="92"/>
    <col min="2" max="2" width="21.85546875" style="92" customWidth="1"/>
    <col min="3" max="3" width="41.28515625" style="92" customWidth="1"/>
    <col min="4" max="4" width="38.5703125" style="92" customWidth="1"/>
    <col min="5" max="5" width="17.85546875" style="92" customWidth="1"/>
    <col min="6" max="6" width="34.85546875" style="92" customWidth="1"/>
    <col min="7" max="9" width="17.28515625" style="92"/>
    <col min="10" max="10" width="17.28515625" style="92" customWidth="1"/>
    <col min="11" max="16384" width="17.28515625" style="92"/>
  </cols>
  <sheetData>
    <row r="1" spans="1:5" ht="12" customHeight="1">
      <c r="A1" s="91" t="s">
        <v>82</v>
      </c>
      <c r="B1" s="91" t="str">
        <f>Cover!E11</f>
        <v>DỰ ÁN TRIỂN KHAI BẢN QUYỀN PHẦN MỀM HỆ THỐNG AML MỚI</v>
      </c>
    </row>
    <row r="2" spans="1:5" ht="12" customHeight="1">
      <c r="A2" s="91" t="s">
        <v>83</v>
      </c>
      <c r="B2" s="91" t="s">
        <v>84</v>
      </c>
    </row>
    <row r="3" spans="1:5" ht="12" customHeight="1">
      <c r="A3" s="98"/>
      <c r="B3" s="99"/>
      <c r="C3" s="99"/>
      <c r="D3" s="99"/>
      <c r="E3" s="99"/>
    </row>
    <row r="4" spans="1:5" ht="12" customHeight="1">
      <c r="A4" s="100" t="s">
        <v>85</v>
      </c>
    </row>
    <row r="5" spans="1:5" ht="12" customHeight="1">
      <c r="A5" s="136"/>
      <c r="B5" s="136" t="s">
        <v>86</v>
      </c>
      <c r="C5" s="136" t="s">
        <v>87</v>
      </c>
      <c r="D5" s="136" t="s">
        <v>88</v>
      </c>
      <c r="E5" s="136" t="s">
        <v>68</v>
      </c>
    </row>
    <row r="6" spans="1:5" ht="12" customHeight="1">
      <c r="A6" s="137"/>
      <c r="B6" s="137">
        <f>SUM(B7:B11)</f>
        <v>14</v>
      </c>
      <c r="C6" s="137">
        <f>SUM(C7:C11)</f>
        <v>20</v>
      </c>
      <c r="D6" s="137">
        <f>SUM(D7:D11)</f>
        <v>0</v>
      </c>
      <c r="E6" s="137">
        <f t="shared" ref="E6" si="0">SUM(B6:D6)</f>
        <v>34</v>
      </c>
    </row>
    <row r="7" spans="1:5" ht="12" customHeight="1">
      <c r="A7" s="138" t="s">
        <v>63</v>
      </c>
      <c r="B7" s="139">
        <f>COUNTIFS($H:$H,B$5,$K:$K,$A7)</f>
        <v>14</v>
      </c>
      <c r="C7" s="139">
        <f t="shared" ref="C7:D7" si="1">COUNTIFS($H:$H,C$5,$K:$K,$A7)</f>
        <v>20</v>
      </c>
      <c r="D7" s="139">
        <f t="shared" si="1"/>
        <v>0</v>
      </c>
      <c r="E7" s="139">
        <f>SUM(B7:D7)</f>
        <v>34</v>
      </c>
    </row>
    <row r="8" spans="1:5" ht="12" customHeight="1">
      <c r="A8" s="138" t="s">
        <v>64</v>
      </c>
      <c r="B8" s="139">
        <f t="shared" ref="B8:D12" si="2">COUNTIFS($H:$H,B$5,$K:$K,$A8)</f>
        <v>0</v>
      </c>
      <c r="C8" s="139">
        <f t="shared" si="2"/>
        <v>0</v>
      </c>
      <c r="D8" s="139">
        <f t="shared" si="2"/>
        <v>0</v>
      </c>
      <c r="E8" s="139">
        <f t="shared" ref="E8:E12" si="3">SUM(B8:D8)</f>
        <v>0</v>
      </c>
    </row>
    <row r="9" spans="1:5" ht="12" customHeight="1">
      <c r="A9" s="138" t="s">
        <v>78</v>
      </c>
      <c r="B9" s="139">
        <f t="shared" si="2"/>
        <v>0</v>
      </c>
      <c r="C9" s="139">
        <f t="shared" si="2"/>
        <v>0</v>
      </c>
      <c r="D9" s="139">
        <f t="shared" si="2"/>
        <v>0</v>
      </c>
      <c r="E9" s="139">
        <f t="shared" si="3"/>
        <v>0</v>
      </c>
    </row>
    <row r="10" spans="1:5" ht="12" customHeight="1">
      <c r="A10" s="138" t="s">
        <v>79</v>
      </c>
      <c r="B10" s="139">
        <f t="shared" si="2"/>
        <v>0</v>
      </c>
      <c r="C10" s="139">
        <f t="shared" si="2"/>
        <v>0</v>
      </c>
      <c r="D10" s="139">
        <f t="shared" si="2"/>
        <v>0</v>
      </c>
      <c r="E10" s="139">
        <f t="shared" si="3"/>
        <v>0</v>
      </c>
    </row>
    <row r="11" spans="1:5" ht="12" customHeight="1">
      <c r="A11" s="138" t="s">
        <v>67</v>
      </c>
      <c r="B11" s="139">
        <f t="shared" si="2"/>
        <v>0</v>
      </c>
      <c r="C11" s="139">
        <f t="shared" si="2"/>
        <v>0</v>
      </c>
      <c r="D11" s="139">
        <f t="shared" si="2"/>
        <v>0</v>
      </c>
      <c r="E11" s="139">
        <f t="shared" si="3"/>
        <v>0</v>
      </c>
    </row>
    <row r="12" spans="1:5" ht="12" customHeight="1">
      <c r="A12" s="138" t="s">
        <v>80</v>
      </c>
      <c r="B12" s="139">
        <f t="shared" si="2"/>
        <v>0</v>
      </c>
      <c r="C12" s="139">
        <f t="shared" si="2"/>
        <v>0</v>
      </c>
      <c r="D12" s="139">
        <f>COUNTIFS($H:$H,D$5,$K:$K,$A12)</f>
        <v>0</v>
      </c>
      <c r="E12" s="139">
        <f t="shared" si="3"/>
        <v>0</v>
      </c>
    </row>
    <row r="13" spans="1:5" ht="12" customHeight="1">
      <c r="A13" s="135"/>
      <c r="B13" s="99"/>
      <c r="C13" s="99"/>
      <c r="D13" s="99"/>
      <c r="E13" s="99"/>
    </row>
    <row r="14" spans="1:5" ht="12" customHeight="1">
      <c r="A14" s="100" t="s">
        <v>89</v>
      </c>
    </row>
    <row r="15" spans="1:5" ht="12" customHeight="1">
      <c r="A15" s="136"/>
      <c r="B15" s="136" t="s">
        <v>86</v>
      </c>
      <c r="C15" s="136" t="s">
        <v>87</v>
      </c>
      <c r="D15" s="136" t="s">
        <v>88</v>
      </c>
      <c r="E15" s="136" t="s">
        <v>68</v>
      </c>
    </row>
    <row r="16" spans="1:5" ht="12" customHeight="1">
      <c r="A16" s="137"/>
      <c r="B16" s="137">
        <f>SUM(B17:B21)</f>
        <v>14</v>
      </c>
      <c r="C16" s="137">
        <f>SUM(C17:C21)</f>
        <v>20</v>
      </c>
      <c r="D16" s="137">
        <f>SUM(D17:D21)</f>
        <v>0</v>
      </c>
      <c r="E16" s="137">
        <f t="shared" ref="E16" si="4">SUM(B16:D16)</f>
        <v>34</v>
      </c>
    </row>
    <row r="17" spans="1:14" ht="12" customHeight="1">
      <c r="A17" s="138" t="s">
        <v>63</v>
      </c>
      <c r="B17" s="139">
        <f>COUNTIFS($H:$H,B$15,$L:$L,$A17)</f>
        <v>0</v>
      </c>
      <c r="C17" s="139">
        <f t="shared" ref="C17:D17" si="5">COUNTIFS($H:$H,C$15,$L:$L,$A17)</f>
        <v>0</v>
      </c>
      <c r="D17" s="139">
        <f t="shared" si="5"/>
        <v>0</v>
      </c>
      <c r="E17" s="139">
        <f>SUM(B17:D17)</f>
        <v>0</v>
      </c>
    </row>
    <row r="18" spans="1:14" ht="12" customHeight="1">
      <c r="A18" s="138" t="s">
        <v>64</v>
      </c>
      <c r="B18" s="139">
        <f t="shared" ref="B18:D22" si="6">COUNTIFS($H:$H,B$15,$L:$L,$A18)</f>
        <v>0</v>
      </c>
      <c r="C18" s="139">
        <f t="shared" si="6"/>
        <v>0</v>
      </c>
      <c r="D18" s="139">
        <f t="shared" si="6"/>
        <v>0</v>
      </c>
      <c r="E18" s="139">
        <f t="shared" ref="E18:E22" si="7">SUM(B18:D18)</f>
        <v>0</v>
      </c>
    </row>
    <row r="19" spans="1:14" ht="12" customHeight="1">
      <c r="A19" s="138" t="s">
        <v>78</v>
      </c>
      <c r="B19" s="139">
        <f t="shared" si="6"/>
        <v>0</v>
      </c>
      <c r="C19" s="139">
        <f t="shared" si="6"/>
        <v>0</v>
      </c>
      <c r="D19" s="139">
        <f t="shared" si="6"/>
        <v>0</v>
      </c>
      <c r="E19" s="139">
        <f t="shared" si="7"/>
        <v>0</v>
      </c>
    </row>
    <row r="20" spans="1:14" ht="12" customHeight="1">
      <c r="A20" s="138" t="s">
        <v>79</v>
      </c>
      <c r="B20" s="139">
        <f t="shared" si="6"/>
        <v>0</v>
      </c>
      <c r="C20" s="139">
        <f t="shared" si="6"/>
        <v>0</v>
      </c>
      <c r="D20" s="139">
        <f t="shared" si="6"/>
        <v>0</v>
      </c>
      <c r="E20" s="139">
        <f t="shared" si="7"/>
        <v>0</v>
      </c>
    </row>
    <row r="21" spans="1:14" ht="12" customHeight="1">
      <c r="A21" s="138" t="s">
        <v>67</v>
      </c>
      <c r="B21" s="139">
        <f t="shared" si="6"/>
        <v>14</v>
      </c>
      <c r="C21" s="139">
        <f t="shared" si="6"/>
        <v>20</v>
      </c>
      <c r="D21" s="139">
        <f t="shared" si="6"/>
        <v>0</v>
      </c>
      <c r="E21" s="139">
        <f t="shared" si="7"/>
        <v>34</v>
      </c>
    </row>
    <row r="22" spans="1:14" ht="12" customHeight="1">
      <c r="A22" s="138" t="s">
        <v>80</v>
      </c>
      <c r="B22" s="139">
        <f t="shared" si="6"/>
        <v>0</v>
      </c>
      <c r="C22" s="139">
        <f t="shared" si="6"/>
        <v>0</v>
      </c>
      <c r="D22" s="139">
        <f t="shared" si="6"/>
        <v>0</v>
      </c>
      <c r="E22" s="139">
        <f t="shared" si="7"/>
        <v>0</v>
      </c>
    </row>
    <row r="23" spans="1:14" ht="12" customHeight="1">
      <c r="A23" s="135"/>
      <c r="B23" s="99"/>
      <c r="C23" s="99"/>
      <c r="D23" s="99"/>
      <c r="E23" s="99"/>
    </row>
    <row r="25" spans="1:14" ht="12" customHeight="1">
      <c r="A25" s="93" t="s">
        <v>90</v>
      </c>
      <c r="B25" s="93" t="s">
        <v>91</v>
      </c>
      <c r="C25" s="93" t="s">
        <v>92</v>
      </c>
      <c r="D25" s="93" t="s">
        <v>93</v>
      </c>
      <c r="E25" s="93" t="s">
        <v>94</v>
      </c>
      <c r="F25" s="93" t="s">
        <v>95</v>
      </c>
      <c r="G25" s="93" t="s">
        <v>56</v>
      </c>
      <c r="H25" s="94" t="s">
        <v>96</v>
      </c>
      <c r="I25" s="94" t="s">
        <v>97</v>
      </c>
      <c r="J25" s="133" t="s">
        <v>98</v>
      </c>
      <c r="K25" s="133" t="s">
        <v>99</v>
      </c>
      <c r="L25" s="133" t="s">
        <v>100</v>
      </c>
      <c r="M25" s="93" t="s">
        <v>101</v>
      </c>
      <c r="N25" s="93" t="s">
        <v>102</v>
      </c>
    </row>
    <row r="26" spans="1:14" ht="28.5">
      <c r="A26" s="95" t="s">
        <v>103</v>
      </c>
      <c r="B26" s="95" t="s">
        <v>104</v>
      </c>
      <c r="C26" s="96"/>
      <c r="D26" s="96"/>
      <c r="E26" s="96"/>
      <c r="F26" s="96"/>
      <c r="G26" s="96"/>
      <c r="H26" s="96"/>
      <c r="I26" s="96"/>
      <c r="J26" s="96"/>
      <c r="K26" s="96"/>
      <c r="L26" s="96"/>
      <c r="M26" s="96"/>
      <c r="N26" s="96"/>
    </row>
    <row r="27" spans="1:14" ht="136.5" outlineLevel="1">
      <c r="A27" s="77" t="s">
        <v>105</v>
      </c>
      <c r="B27" s="76" t="s">
        <v>106</v>
      </c>
      <c r="C27" s="76"/>
      <c r="D27" s="76" t="s">
        <v>107</v>
      </c>
      <c r="E27" s="76"/>
      <c r="F27" s="76" t="s">
        <v>108</v>
      </c>
      <c r="G27" s="77" t="s">
        <v>57</v>
      </c>
      <c r="H27" s="77" t="s">
        <v>87</v>
      </c>
      <c r="I27" s="77" t="s">
        <v>109</v>
      </c>
      <c r="J27" s="77" t="s">
        <v>67</v>
      </c>
      <c r="K27" s="77" t="s">
        <v>63</v>
      </c>
      <c r="L27" s="77" t="s">
        <v>67</v>
      </c>
      <c r="M27" s="77"/>
      <c r="N27" s="76"/>
    </row>
    <row r="28" spans="1:14" ht="60.75" outlineLevel="1">
      <c r="A28" s="77" t="s">
        <v>110</v>
      </c>
      <c r="B28" s="76" t="s">
        <v>111</v>
      </c>
      <c r="C28" s="76"/>
      <c r="D28" s="76" t="s">
        <v>112</v>
      </c>
      <c r="E28" s="76"/>
      <c r="F28" s="76" t="s">
        <v>113</v>
      </c>
      <c r="G28" s="77" t="s">
        <v>57</v>
      </c>
      <c r="H28" s="77" t="s">
        <v>87</v>
      </c>
      <c r="I28" s="77" t="s">
        <v>109</v>
      </c>
      <c r="J28" s="77" t="s">
        <v>67</v>
      </c>
      <c r="K28" s="77" t="s">
        <v>63</v>
      </c>
      <c r="L28" s="77" t="s">
        <v>67</v>
      </c>
      <c r="M28" s="77"/>
      <c r="N28" s="76"/>
    </row>
    <row r="29" spans="1:14" ht="60.75" outlineLevel="1">
      <c r="A29" s="77" t="s">
        <v>114</v>
      </c>
      <c r="B29" s="76" t="s">
        <v>115</v>
      </c>
      <c r="C29" s="76"/>
      <c r="D29" s="76" t="s">
        <v>116</v>
      </c>
      <c r="E29" s="76"/>
      <c r="F29" s="76" t="s">
        <v>113</v>
      </c>
      <c r="G29" s="77" t="s">
        <v>57</v>
      </c>
      <c r="H29" s="77" t="s">
        <v>87</v>
      </c>
      <c r="I29" s="77" t="s">
        <v>109</v>
      </c>
      <c r="J29" s="77" t="s">
        <v>67</v>
      </c>
      <c r="K29" s="77" t="s">
        <v>63</v>
      </c>
      <c r="L29" s="77" t="s">
        <v>67</v>
      </c>
      <c r="M29" s="77"/>
      <c r="N29" s="76"/>
    </row>
    <row r="30" spans="1:14" ht="60.75" outlineLevel="1">
      <c r="A30" s="77" t="s">
        <v>117</v>
      </c>
      <c r="B30" s="76" t="s">
        <v>118</v>
      </c>
      <c r="C30" s="76"/>
      <c r="D30" s="76" t="s">
        <v>119</v>
      </c>
      <c r="E30" s="76"/>
      <c r="F30" s="76" t="s">
        <v>120</v>
      </c>
      <c r="G30" s="77" t="s">
        <v>57</v>
      </c>
      <c r="H30" s="77" t="s">
        <v>87</v>
      </c>
      <c r="I30" s="77" t="s">
        <v>109</v>
      </c>
      <c r="J30" s="77" t="s">
        <v>67</v>
      </c>
      <c r="K30" s="77" t="s">
        <v>63</v>
      </c>
      <c r="L30" s="77" t="s">
        <v>67</v>
      </c>
      <c r="M30" s="77"/>
      <c r="N30" s="76"/>
    </row>
    <row r="31" spans="1:14" ht="60.75" outlineLevel="1">
      <c r="A31" s="77" t="s">
        <v>121</v>
      </c>
      <c r="B31" s="76" t="s">
        <v>122</v>
      </c>
      <c r="C31" s="76"/>
      <c r="D31" s="76" t="s">
        <v>123</v>
      </c>
      <c r="E31" s="76"/>
      <c r="F31" s="76" t="s">
        <v>124</v>
      </c>
      <c r="G31" s="77" t="s">
        <v>57</v>
      </c>
      <c r="H31" s="77" t="s">
        <v>87</v>
      </c>
      <c r="I31" s="77" t="s">
        <v>109</v>
      </c>
      <c r="J31" s="77" t="s">
        <v>67</v>
      </c>
      <c r="K31" s="77" t="s">
        <v>63</v>
      </c>
      <c r="L31" s="77" t="s">
        <v>67</v>
      </c>
      <c r="M31" s="77"/>
      <c r="N31" s="76"/>
    </row>
    <row r="32" spans="1:14" ht="136.5" outlineLevel="1">
      <c r="A32" s="77" t="s">
        <v>125</v>
      </c>
      <c r="B32" s="76" t="s">
        <v>126</v>
      </c>
      <c r="C32" s="76"/>
      <c r="D32" s="76" t="s">
        <v>127</v>
      </c>
      <c r="E32" s="76"/>
      <c r="F32" s="76" t="s">
        <v>128</v>
      </c>
      <c r="G32" s="77" t="s">
        <v>57</v>
      </c>
      <c r="H32" s="77" t="s">
        <v>87</v>
      </c>
      <c r="I32" s="77" t="s">
        <v>109</v>
      </c>
      <c r="J32" s="77" t="s">
        <v>67</v>
      </c>
      <c r="K32" s="77" t="s">
        <v>63</v>
      </c>
      <c r="L32" s="77" t="s">
        <v>67</v>
      </c>
      <c r="M32" s="77"/>
      <c r="N32" s="76"/>
    </row>
    <row r="33" spans="1:14" ht="136.5" outlineLevel="1">
      <c r="A33" s="77" t="s">
        <v>129</v>
      </c>
      <c r="B33" s="76" t="s">
        <v>130</v>
      </c>
      <c r="C33" s="76"/>
      <c r="D33" s="76" t="s">
        <v>131</v>
      </c>
      <c r="E33" s="76"/>
      <c r="F33" s="76" t="s">
        <v>132</v>
      </c>
      <c r="G33" s="77" t="s">
        <v>57</v>
      </c>
      <c r="H33" s="77" t="s">
        <v>87</v>
      </c>
      <c r="I33" s="77" t="s">
        <v>109</v>
      </c>
      <c r="J33" s="77" t="s">
        <v>67</v>
      </c>
      <c r="K33" s="77" t="s">
        <v>63</v>
      </c>
      <c r="L33" s="77" t="s">
        <v>67</v>
      </c>
      <c r="M33" s="77"/>
      <c r="N33" s="76"/>
    </row>
    <row r="34" spans="1:14" ht="50.25" customHeight="1">
      <c r="A34" s="95" t="s">
        <v>133</v>
      </c>
      <c r="B34" s="95" t="s">
        <v>134</v>
      </c>
      <c r="C34" s="96"/>
      <c r="D34" s="96"/>
      <c r="E34" s="96"/>
      <c r="F34" s="96"/>
      <c r="G34" s="96"/>
      <c r="H34" s="96"/>
      <c r="I34" s="96"/>
      <c r="J34" s="96"/>
      <c r="K34" s="96"/>
      <c r="L34" s="96"/>
      <c r="M34" s="96"/>
      <c r="N34" s="96"/>
    </row>
    <row r="35" spans="1:14" ht="143.25" customHeight="1" outlineLevel="1">
      <c r="A35" s="77" t="s">
        <v>135</v>
      </c>
      <c r="B35" s="76" t="s">
        <v>136</v>
      </c>
      <c r="C35" s="76" t="s">
        <v>137</v>
      </c>
      <c r="D35" s="76" t="s">
        <v>138</v>
      </c>
      <c r="E35" s="76" t="s">
        <v>139</v>
      </c>
      <c r="F35" s="76" t="s">
        <v>140</v>
      </c>
      <c r="G35" s="77" t="s">
        <v>57</v>
      </c>
      <c r="H35" s="77" t="s">
        <v>86</v>
      </c>
      <c r="I35" s="77" t="s">
        <v>109</v>
      </c>
      <c r="J35" s="77" t="s">
        <v>67</v>
      </c>
      <c r="K35" s="77" t="s">
        <v>63</v>
      </c>
      <c r="L35" s="77" t="s">
        <v>67</v>
      </c>
      <c r="M35" s="77"/>
      <c r="N35" s="76"/>
    </row>
    <row r="36" spans="1:14" ht="136.5" outlineLevel="1">
      <c r="A36" s="77" t="s">
        <v>141</v>
      </c>
      <c r="B36" s="76" t="s">
        <v>142</v>
      </c>
      <c r="C36" s="76" t="s">
        <v>137</v>
      </c>
      <c r="D36" s="76" t="s">
        <v>138</v>
      </c>
      <c r="E36" s="76"/>
      <c r="F36" s="76" t="s">
        <v>143</v>
      </c>
      <c r="G36" s="77" t="s">
        <v>57</v>
      </c>
      <c r="H36" s="77" t="s">
        <v>87</v>
      </c>
      <c r="I36" s="77" t="s">
        <v>109</v>
      </c>
      <c r="J36" s="77" t="s">
        <v>67</v>
      </c>
      <c r="K36" s="77" t="s">
        <v>63</v>
      </c>
      <c r="L36" s="77" t="s">
        <v>67</v>
      </c>
      <c r="M36" s="77"/>
      <c r="N36" s="76"/>
    </row>
    <row r="37" spans="1:14" ht="136.5" outlineLevel="1">
      <c r="A37" s="77" t="s">
        <v>144</v>
      </c>
      <c r="B37" s="76" t="s">
        <v>145</v>
      </c>
      <c r="C37" s="76" t="s">
        <v>137</v>
      </c>
      <c r="D37" s="76" t="s">
        <v>138</v>
      </c>
      <c r="E37" s="76"/>
      <c r="F37" s="76" t="s">
        <v>146</v>
      </c>
      <c r="G37" s="77" t="s">
        <v>57</v>
      </c>
      <c r="H37" s="77" t="s">
        <v>87</v>
      </c>
      <c r="I37" s="77" t="s">
        <v>109</v>
      </c>
      <c r="J37" s="77" t="s">
        <v>67</v>
      </c>
      <c r="K37" s="77" t="s">
        <v>63</v>
      </c>
      <c r="L37" s="77" t="s">
        <v>67</v>
      </c>
      <c r="M37" s="77"/>
      <c r="N37" s="76"/>
    </row>
    <row r="38" spans="1:14" ht="136.5" outlineLevel="1">
      <c r="A38" s="77" t="s">
        <v>147</v>
      </c>
      <c r="B38" s="76" t="s">
        <v>148</v>
      </c>
      <c r="C38" s="76" t="s">
        <v>137</v>
      </c>
      <c r="D38" s="76" t="s">
        <v>138</v>
      </c>
      <c r="E38" s="76"/>
      <c r="F38" s="76" t="s">
        <v>149</v>
      </c>
      <c r="G38" s="77" t="s">
        <v>57</v>
      </c>
      <c r="H38" s="77" t="s">
        <v>87</v>
      </c>
      <c r="I38" s="77" t="s">
        <v>109</v>
      </c>
      <c r="J38" s="77" t="s">
        <v>67</v>
      </c>
      <c r="K38" s="77" t="s">
        <v>63</v>
      </c>
      <c r="L38" s="77" t="s">
        <v>67</v>
      </c>
      <c r="M38" s="77"/>
      <c r="N38" s="76"/>
    </row>
    <row r="39" spans="1:14" ht="136.5" outlineLevel="1">
      <c r="A39" s="77" t="s">
        <v>150</v>
      </c>
      <c r="B39" s="76" t="s">
        <v>151</v>
      </c>
      <c r="C39" s="76" t="s">
        <v>137</v>
      </c>
      <c r="D39" s="76" t="s">
        <v>138</v>
      </c>
      <c r="E39" s="76"/>
      <c r="F39" s="76" t="s">
        <v>152</v>
      </c>
      <c r="G39" s="77" t="s">
        <v>57</v>
      </c>
      <c r="H39" s="77" t="s">
        <v>87</v>
      </c>
      <c r="I39" s="77" t="s">
        <v>109</v>
      </c>
      <c r="J39" s="77" t="s">
        <v>67</v>
      </c>
      <c r="K39" s="77" t="s">
        <v>63</v>
      </c>
      <c r="L39" s="77" t="s">
        <v>67</v>
      </c>
      <c r="M39" s="77"/>
      <c r="N39" s="76"/>
    </row>
    <row r="40" spans="1:14" ht="136.5" outlineLevel="1">
      <c r="A40" s="77" t="s">
        <v>153</v>
      </c>
      <c r="B40" s="76" t="s">
        <v>154</v>
      </c>
      <c r="C40" s="76" t="s">
        <v>137</v>
      </c>
      <c r="D40" s="76" t="s">
        <v>138</v>
      </c>
      <c r="E40" s="76"/>
      <c r="F40" s="76" t="s">
        <v>155</v>
      </c>
      <c r="G40" s="77" t="s">
        <v>57</v>
      </c>
      <c r="H40" s="77" t="s">
        <v>87</v>
      </c>
      <c r="I40" s="77" t="s">
        <v>109</v>
      </c>
      <c r="J40" s="77" t="s">
        <v>67</v>
      </c>
      <c r="K40" s="77" t="s">
        <v>63</v>
      </c>
      <c r="L40" s="77" t="s">
        <v>67</v>
      </c>
      <c r="M40" s="77"/>
      <c r="N40" s="76"/>
    </row>
    <row r="41" spans="1:14" ht="136.5" outlineLevel="1">
      <c r="A41" s="77" t="s">
        <v>156</v>
      </c>
      <c r="B41" s="76" t="s">
        <v>157</v>
      </c>
      <c r="C41" s="76" t="s">
        <v>137</v>
      </c>
      <c r="D41" s="76" t="s">
        <v>138</v>
      </c>
      <c r="E41" s="76"/>
      <c r="F41" s="76" t="s">
        <v>158</v>
      </c>
      <c r="G41" s="77" t="s">
        <v>57</v>
      </c>
      <c r="H41" s="77" t="s">
        <v>87</v>
      </c>
      <c r="I41" s="77" t="s">
        <v>109</v>
      </c>
      <c r="J41" s="77" t="s">
        <v>67</v>
      </c>
      <c r="K41" s="77" t="s">
        <v>63</v>
      </c>
      <c r="L41" s="77" t="s">
        <v>67</v>
      </c>
      <c r="M41" s="77"/>
      <c r="N41" s="76"/>
    </row>
    <row r="42" spans="1:14" ht="136.5" outlineLevel="1">
      <c r="A42" s="77" t="s">
        <v>159</v>
      </c>
      <c r="B42" s="76" t="s">
        <v>160</v>
      </c>
      <c r="C42" s="76" t="s">
        <v>137</v>
      </c>
      <c r="D42" s="76" t="s">
        <v>138</v>
      </c>
      <c r="E42" s="76"/>
      <c r="F42" s="76" t="s">
        <v>161</v>
      </c>
      <c r="G42" s="77" t="s">
        <v>57</v>
      </c>
      <c r="H42" s="77" t="s">
        <v>87</v>
      </c>
      <c r="I42" s="77" t="s">
        <v>109</v>
      </c>
      <c r="J42" s="77" t="s">
        <v>67</v>
      </c>
      <c r="K42" s="77" t="s">
        <v>63</v>
      </c>
      <c r="L42" s="77" t="s">
        <v>67</v>
      </c>
      <c r="M42" s="77"/>
      <c r="N42" s="76"/>
    </row>
    <row r="43" spans="1:14" ht="136.5" outlineLevel="1">
      <c r="A43" s="77" t="s">
        <v>162</v>
      </c>
      <c r="B43" s="76" t="s">
        <v>163</v>
      </c>
      <c r="C43" s="76" t="s">
        <v>137</v>
      </c>
      <c r="D43" s="76" t="s">
        <v>138</v>
      </c>
      <c r="E43" s="76"/>
      <c r="F43" s="76" t="s">
        <v>164</v>
      </c>
      <c r="G43" s="77" t="s">
        <v>57</v>
      </c>
      <c r="H43" s="77" t="s">
        <v>87</v>
      </c>
      <c r="I43" s="77" t="s">
        <v>109</v>
      </c>
      <c r="J43" s="77" t="s">
        <v>67</v>
      </c>
      <c r="K43" s="77" t="s">
        <v>63</v>
      </c>
      <c r="L43" s="77" t="s">
        <v>67</v>
      </c>
      <c r="M43" s="77"/>
      <c r="N43" s="76"/>
    </row>
    <row r="44" spans="1:14" ht="136.5" outlineLevel="1">
      <c r="A44" s="77" t="s">
        <v>165</v>
      </c>
      <c r="B44" s="76" t="s">
        <v>166</v>
      </c>
      <c r="C44" s="76" t="s">
        <v>137</v>
      </c>
      <c r="D44" s="76" t="s">
        <v>138</v>
      </c>
      <c r="E44" s="76"/>
      <c r="F44" s="76" t="s">
        <v>167</v>
      </c>
      <c r="G44" s="77" t="s">
        <v>57</v>
      </c>
      <c r="H44" s="77" t="s">
        <v>87</v>
      </c>
      <c r="I44" s="77" t="s">
        <v>109</v>
      </c>
      <c r="J44" s="77" t="s">
        <v>67</v>
      </c>
      <c r="K44" s="77" t="s">
        <v>63</v>
      </c>
      <c r="L44" s="77" t="s">
        <v>67</v>
      </c>
      <c r="M44" s="77"/>
      <c r="N44" s="76"/>
    </row>
    <row r="45" spans="1:14" ht="136.5" outlineLevel="1">
      <c r="A45" s="77" t="s">
        <v>168</v>
      </c>
      <c r="B45" s="76" t="s">
        <v>169</v>
      </c>
      <c r="C45" s="76" t="s">
        <v>137</v>
      </c>
      <c r="D45" s="76" t="s">
        <v>138</v>
      </c>
      <c r="E45" s="76"/>
      <c r="F45" s="76" t="s">
        <v>170</v>
      </c>
      <c r="G45" s="77" t="s">
        <v>57</v>
      </c>
      <c r="H45" s="77" t="s">
        <v>87</v>
      </c>
      <c r="I45" s="77" t="s">
        <v>109</v>
      </c>
      <c r="J45" s="77" t="s">
        <v>67</v>
      </c>
      <c r="K45" s="77" t="s">
        <v>63</v>
      </c>
      <c r="L45" s="77" t="s">
        <v>67</v>
      </c>
      <c r="M45" s="77"/>
      <c r="N45" s="76"/>
    </row>
    <row r="46" spans="1:14" ht="136.5" outlineLevel="1">
      <c r="A46" s="77" t="s">
        <v>171</v>
      </c>
      <c r="B46" s="76" t="s">
        <v>172</v>
      </c>
      <c r="C46" s="76" t="s">
        <v>137</v>
      </c>
      <c r="D46" s="76" t="s">
        <v>138</v>
      </c>
      <c r="E46" s="76"/>
      <c r="F46" s="76" t="s">
        <v>173</v>
      </c>
      <c r="G46" s="77" t="s">
        <v>57</v>
      </c>
      <c r="H46" s="77" t="s">
        <v>87</v>
      </c>
      <c r="I46" s="77" t="s">
        <v>109</v>
      </c>
      <c r="J46" s="77" t="s">
        <v>67</v>
      </c>
      <c r="K46" s="77" t="s">
        <v>63</v>
      </c>
      <c r="L46" s="77" t="s">
        <v>67</v>
      </c>
      <c r="M46" s="77"/>
      <c r="N46" s="76"/>
    </row>
    <row r="47" spans="1:14" ht="136.5" outlineLevel="1">
      <c r="A47" s="77" t="s">
        <v>174</v>
      </c>
      <c r="B47" s="76" t="s">
        <v>175</v>
      </c>
      <c r="C47" s="76" t="s">
        <v>137</v>
      </c>
      <c r="D47" s="76" t="s">
        <v>138</v>
      </c>
      <c r="E47" s="76"/>
      <c r="F47" s="76" t="s">
        <v>176</v>
      </c>
      <c r="G47" s="77" t="s">
        <v>57</v>
      </c>
      <c r="H47" s="77" t="s">
        <v>87</v>
      </c>
      <c r="I47" s="77" t="s">
        <v>109</v>
      </c>
      <c r="J47" s="77" t="s">
        <v>67</v>
      </c>
      <c r="K47" s="77" t="s">
        <v>63</v>
      </c>
      <c r="L47" s="77" t="s">
        <v>67</v>
      </c>
      <c r="M47" s="77"/>
      <c r="N47" s="76"/>
    </row>
    <row r="48" spans="1:14" ht="136.5" outlineLevel="1">
      <c r="A48" s="77" t="s">
        <v>177</v>
      </c>
      <c r="B48" s="76" t="s">
        <v>178</v>
      </c>
      <c r="C48" s="76" t="s">
        <v>137</v>
      </c>
      <c r="D48" s="76" t="s">
        <v>138</v>
      </c>
      <c r="E48" s="76"/>
      <c r="F48" s="76" t="s">
        <v>179</v>
      </c>
      <c r="G48" s="77" t="s">
        <v>57</v>
      </c>
      <c r="H48" s="77" t="s">
        <v>87</v>
      </c>
      <c r="I48" s="77" t="s">
        <v>109</v>
      </c>
      <c r="J48" s="77" t="s">
        <v>67</v>
      </c>
      <c r="K48" s="77" t="s">
        <v>63</v>
      </c>
      <c r="L48" s="77" t="s">
        <v>67</v>
      </c>
      <c r="M48" s="77"/>
      <c r="N48" s="76"/>
    </row>
    <row r="49" spans="1:14" ht="28.5">
      <c r="A49" s="95" t="s">
        <v>180</v>
      </c>
      <c r="B49" s="95" t="s">
        <v>181</v>
      </c>
      <c r="C49" s="96"/>
      <c r="D49" s="96"/>
      <c r="E49" s="96"/>
      <c r="F49" s="96"/>
      <c r="G49" s="96"/>
      <c r="H49" s="96"/>
      <c r="I49" s="96"/>
      <c r="J49" s="96"/>
      <c r="K49" s="96"/>
      <c r="L49" s="96"/>
      <c r="M49" s="96"/>
      <c r="N49" s="96"/>
    </row>
    <row r="50" spans="1:14" ht="90.75" outlineLevel="1">
      <c r="A50" s="77" t="s">
        <v>182</v>
      </c>
      <c r="B50" s="76" t="s">
        <v>183</v>
      </c>
      <c r="C50" s="76"/>
      <c r="D50" s="76" t="s">
        <v>184</v>
      </c>
      <c r="E50" s="76"/>
      <c r="F50" s="76" t="s">
        <v>185</v>
      </c>
      <c r="G50" s="77" t="s">
        <v>57</v>
      </c>
      <c r="H50" s="77" t="s">
        <v>86</v>
      </c>
      <c r="I50" s="77" t="s">
        <v>109</v>
      </c>
      <c r="J50" s="77" t="s">
        <v>67</v>
      </c>
      <c r="K50" s="77" t="s">
        <v>63</v>
      </c>
      <c r="L50" s="77" t="s">
        <v>67</v>
      </c>
      <c r="M50" s="77"/>
      <c r="N50" s="76"/>
    </row>
    <row r="51" spans="1:14" ht="90.75" outlineLevel="1">
      <c r="A51" s="77" t="s">
        <v>186</v>
      </c>
      <c r="B51" s="76" t="s">
        <v>187</v>
      </c>
      <c r="C51" s="76"/>
      <c r="D51" s="76" t="s">
        <v>188</v>
      </c>
      <c r="E51" s="76"/>
      <c r="F51" s="76" t="s">
        <v>189</v>
      </c>
      <c r="G51" s="77" t="s">
        <v>57</v>
      </c>
      <c r="H51" s="77" t="s">
        <v>86</v>
      </c>
      <c r="I51" s="77" t="s">
        <v>109</v>
      </c>
      <c r="J51" s="77" t="s">
        <v>67</v>
      </c>
      <c r="K51" s="77" t="s">
        <v>63</v>
      </c>
      <c r="L51" s="77" t="s">
        <v>67</v>
      </c>
      <c r="M51" s="77"/>
      <c r="N51" s="76" t="s">
        <v>190</v>
      </c>
    </row>
    <row r="52" spans="1:14" ht="28.5">
      <c r="A52" s="95" t="s">
        <v>191</v>
      </c>
      <c r="B52" s="95" t="s">
        <v>192</v>
      </c>
      <c r="C52" s="96"/>
      <c r="D52" s="96"/>
      <c r="E52" s="96"/>
      <c r="F52" s="96"/>
      <c r="G52" s="96"/>
      <c r="H52" s="96"/>
      <c r="I52" s="96"/>
      <c r="J52" s="96"/>
      <c r="K52" s="96"/>
      <c r="L52" s="96"/>
      <c r="M52" s="96"/>
      <c r="N52" s="96"/>
    </row>
    <row r="53" spans="1:14" ht="75.75">
      <c r="A53" s="77" t="s">
        <v>193</v>
      </c>
      <c r="B53" s="76" t="s">
        <v>194</v>
      </c>
      <c r="C53" s="76"/>
      <c r="D53" s="76" t="s">
        <v>195</v>
      </c>
      <c r="E53" s="76"/>
      <c r="F53" s="97" t="s">
        <v>196</v>
      </c>
      <c r="G53" s="77" t="s">
        <v>57</v>
      </c>
      <c r="H53" s="77" t="s">
        <v>86</v>
      </c>
      <c r="I53" s="77" t="s">
        <v>109</v>
      </c>
      <c r="J53" s="77" t="s">
        <v>67</v>
      </c>
      <c r="K53" s="77" t="s">
        <v>63</v>
      </c>
      <c r="L53" s="77" t="s">
        <v>67</v>
      </c>
      <c r="M53" s="77"/>
      <c r="N53" s="76"/>
    </row>
    <row r="54" spans="1:14" ht="75.75">
      <c r="A54" s="77" t="s">
        <v>197</v>
      </c>
      <c r="B54" s="76" t="s">
        <v>198</v>
      </c>
      <c r="C54" s="76"/>
      <c r="D54" s="76" t="s">
        <v>199</v>
      </c>
      <c r="E54" s="76"/>
      <c r="F54" s="76" t="s">
        <v>196</v>
      </c>
      <c r="G54" s="77" t="s">
        <v>57</v>
      </c>
      <c r="H54" s="77" t="s">
        <v>86</v>
      </c>
      <c r="I54" s="77" t="s">
        <v>109</v>
      </c>
      <c r="J54" s="77" t="s">
        <v>67</v>
      </c>
      <c r="K54" s="77" t="s">
        <v>63</v>
      </c>
      <c r="L54" s="77" t="s">
        <v>67</v>
      </c>
      <c r="M54" s="77"/>
      <c r="N54" s="76"/>
    </row>
    <row r="55" spans="1:14" ht="75.75">
      <c r="A55" s="77" t="s">
        <v>200</v>
      </c>
      <c r="B55" s="76" t="s">
        <v>201</v>
      </c>
      <c r="C55" s="76"/>
      <c r="D55" s="76" t="s">
        <v>202</v>
      </c>
      <c r="E55" s="76"/>
      <c r="F55" s="76" t="s">
        <v>203</v>
      </c>
      <c r="G55" s="77" t="s">
        <v>57</v>
      </c>
      <c r="H55" s="77" t="s">
        <v>86</v>
      </c>
      <c r="I55" s="77" t="s">
        <v>109</v>
      </c>
      <c r="J55" s="77" t="s">
        <v>67</v>
      </c>
      <c r="K55" s="77" t="s">
        <v>63</v>
      </c>
      <c r="L55" s="77" t="s">
        <v>67</v>
      </c>
      <c r="M55" s="77"/>
      <c r="N55" s="76" t="s">
        <v>204</v>
      </c>
    </row>
    <row r="56" spans="1:14" ht="75.75">
      <c r="A56" s="77" t="s">
        <v>205</v>
      </c>
      <c r="B56" s="76" t="s">
        <v>206</v>
      </c>
      <c r="C56" s="76" t="s">
        <v>207</v>
      </c>
      <c r="D56" s="76" t="s">
        <v>208</v>
      </c>
      <c r="E56" s="76"/>
      <c r="F56" s="76" t="s">
        <v>209</v>
      </c>
      <c r="G56" s="77" t="s">
        <v>57</v>
      </c>
      <c r="H56" s="77" t="s">
        <v>86</v>
      </c>
      <c r="I56" s="77" t="s">
        <v>109</v>
      </c>
      <c r="J56" s="77" t="s">
        <v>67</v>
      </c>
      <c r="K56" s="77" t="s">
        <v>63</v>
      </c>
      <c r="L56" s="77" t="s">
        <v>67</v>
      </c>
      <c r="M56" s="77"/>
      <c r="N56" s="76"/>
    </row>
    <row r="57" spans="1:14" ht="75.75">
      <c r="A57" s="77" t="s">
        <v>210</v>
      </c>
      <c r="B57" s="76" t="s">
        <v>211</v>
      </c>
      <c r="C57" s="76" t="s">
        <v>212</v>
      </c>
      <c r="D57" s="76" t="s">
        <v>213</v>
      </c>
      <c r="E57" s="76"/>
      <c r="F57" s="76" t="s">
        <v>214</v>
      </c>
      <c r="G57" s="77" t="s">
        <v>57</v>
      </c>
      <c r="H57" s="77" t="s">
        <v>86</v>
      </c>
      <c r="I57" s="77" t="s">
        <v>109</v>
      </c>
      <c r="J57" s="77" t="s">
        <v>67</v>
      </c>
      <c r="K57" s="77" t="s">
        <v>63</v>
      </c>
      <c r="L57" s="77" t="s">
        <v>67</v>
      </c>
      <c r="M57" s="77"/>
      <c r="N57" s="76"/>
    </row>
    <row r="58" spans="1:14" ht="75.75">
      <c r="A58" s="77" t="s">
        <v>215</v>
      </c>
      <c r="B58" s="76" t="s">
        <v>216</v>
      </c>
      <c r="C58" s="76"/>
      <c r="D58" s="76" t="s">
        <v>213</v>
      </c>
      <c r="E58" s="76"/>
      <c r="F58" s="76" t="s">
        <v>217</v>
      </c>
      <c r="G58" s="77" t="s">
        <v>57</v>
      </c>
      <c r="H58" s="77" t="s">
        <v>86</v>
      </c>
      <c r="I58" s="77" t="s">
        <v>109</v>
      </c>
      <c r="J58" s="77" t="s">
        <v>67</v>
      </c>
      <c r="K58" s="77" t="s">
        <v>63</v>
      </c>
      <c r="L58" s="77" t="s">
        <v>67</v>
      </c>
      <c r="M58" s="77"/>
      <c r="N58" s="76"/>
    </row>
    <row r="59" spans="1:14" ht="75.75">
      <c r="A59" s="77" t="s">
        <v>218</v>
      </c>
      <c r="B59" s="76" t="s">
        <v>219</v>
      </c>
      <c r="C59" s="76"/>
      <c r="D59" s="76" t="s">
        <v>213</v>
      </c>
      <c r="E59" s="76"/>
      <c r="F59" s="76" t="s">
        <v>217</v>
      </c>
      <c r="G59" s="77" t="s">
        <v>57</v>
      </c>
      <c r="H59" s="77" t="s">
        <v>86</v>
      </c>
      <c r="I59" s="77" t="s">
        <v>109</v>
      </c>
      <c r="J59" s="77" t="s">
        <v>67</v>
      </c>
      <c r="K59" s="77" t="s">
        <v>63</v>
      </c>
      <c r="L59" s="77" t="s">
        <v>67</v>
      </c>
      <c r="M59" s="77"/>
      <c r="N59" s="76"/>
    </row>
    <row r="60" spans="1:14" ht="75.75">
      <c r="A60" s="77" t="s">
        <v>220</v>
      </c>
      <c r="B60" s="76" t="s">
        <v>221</v>
      </c>
      <c r="C60" s="76"/>
      <c r="D60" s="76" t="s">
        <v>213</v>
      </c>
      <c r="E60" s="76"/>
      <c r="F60" s="76" t="s">
        <v>217</v>
      </c>
      <c r="G60" s="77" t="s">
        <v>57</v>
      </c>
      <c r="H60" s="77" t="s">
        <v>86</v>
      </c>
      <c r="I60" s="77" t="s">
        <v>109</v>
      </c>
      <c r="J60" s="77" t="s">
        <v>67</v>
      </c>
      <c r="K60" s="77" t="s">
        <v>63</v>
      </c>
      <c r="L60" s="77" t="s">
        <v>67</v>
      </c>
      <c r="M60" s="77"/>
      <c r="N60" s="76"/>
    </row>
    <row r="61" spans="1:14" ht="75.75">
      <c r="A61" s="77" t="s">
        <v>222</v>
      </c>
      <c r="B61" s="76" t="s">
        <v>223</v>
      </c>
      <c r="C61" s="76"/>
      <c r="D61" s="76" t="s">
        <v>213</v>
      </c>
      <c r="E61" s="76"/>
      <c r="F61" s="76" t="s">
        <v>217</v>
      </c>
      <c r="G61" s="77" t="s">
        <v>57</v>
      </c>
      <c r="H61" s="77" t="s">
        <v>86</v>
      </c>
      <c r="I61" s="77" t="s">
        <v>109</v>
      </c>
      <c r="J61" s="77" t="s">
        <v>67</v>
      </c>
      <c r="K61" s="77" t="s">
        <v>63</v>
      </c>
      <c r="L61" s="77" t="s">
        <v>67</v>
      </c>
      <c r="M61" s="77"/>
      <c r="N61" s="76"/>
    </row>
    <row r="62" spans="1:14" ht="75.75">
      <c r="A62" s="77" t="s">
        <v>224</v>
      </c>
      <c r="B62" s="76" t="s">
        <v>225</v>
      </c>
      <c r="C62" s="76"/>
      <c r="D62" s="76" t="s">
        <v>213</v>
      </c>
      <c r="E62" s="76"/>
      <c r="F62" s="76" t="s">
        <v>217</v>
      </c>
      <c r="G62" s="77" t="s">
        <v>57</v>
      </c>
      <c r="H62" s="77" t="s">
        <v>86</v>
      </c>
      <c r="I62" s="77" t="s">
        <v>109</v>
      </c>
      <c r="J62" s="77" t="s">
        <v>67</v>
      </c>
      <c r="K62" s="77" t="s">
        <v>63</v>
      </c>
      <c r="L62" s="77" t="s">
        <v>67</v>
      </c>
      <c r="M62" s="77"/>
      <c r="N62" s="76"/>
    </row>
    <row r="63" spans="1:14" ht="75.75">
      <c r="A63" s="77" t="s">
        <v>226</v>
      </c>
      <c r="B63" s="76" t="s">
        <v>227</v>
      </c>
      <c r="C63" s="76"/>
      <c r="D63" s="76" t="s">
        <v>213</v>
      </c>
      <c r="E63" s="76"/>
      <c r="F63" s="76" t="s">
        <v>217</v>
      </c>
      <c r="G63" s="77" t="s">
        <v>57</v>
      </c>
      <c r="H63" s="77" t="s">
        <v>86</v>
      </c>
      <c r="I63" s="77" t="s">
        <v>109</v>
      </c>
      <c r="J63" s="77" t="s">
        <v>67</v>
      </c>
      <c r="K63" s="77" t="s">
        <v>63</v>
      </c>
      <c r="L63" s="77" t="s">
        <v>67</v>
      </c>
      <c r="M63" s="77"/>
      <c r="N63" s="76"/>
    </row>
  </sheetData>
  <autoFilter ref="A25:N63" xr:uid="{00000000-0001-0000-0400-000000000000}">
    <filterColumn colId="10">
      <filters>
        <filter val="Failed"/>
      </filters>
    </filterColumn>
  </autoFilter>
  <dataValidations count="1">
    <dataValidation type="list" allowBlank="1" showInputMessage="1" showErrorMessage="1" sqref="J50:J51 J35:J48 J27:J33 J53:J63" xr:uid="{84A7B1FC-DBA7-48F5-B31E-1EC7B66F0FB3}">
      <formula1>"Passed, Failed, Pending, Accepted, Untested, Canceled"</formula1>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E4D28CA7-D0CE-44B8-9766-BDAE72818F33}">
          <x14:formula1>
            <xm:f>Report!$A$20:$A$25</xm:f>
          </x14:formula1>
          <xm:sqref>K1:L1048576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5" tint="0.39997558519241921"/>
  </sheetPr>
  <dimension ref="A1:O58"/>
  <sheetViews>
    <sheetView topLeftCell="A15" zoomScale="70" zoomScaleNormal="70" workbookViewId="0">
      <selection activeCell="B17" sqref="B17:D22"/>
    </sheetView>
  </sheetViews>
  <sheetFormatPr defaultColWidth="8.7109375" defaultRowHeight="22.5" customHeight="1" outlineLevelRow="1"/>
  <cols>
    <col min="1" max="1" width="17.140625" customWidth="1"/>
    <col min="2" max="2" width="40.5703125" customWidth="1"/>
    <col min="3" max="3" width="14.5703125" customWidth="1"/>
    <col min="4" max="4" width="45" customWidth="1"/>
    <col min="5" max="5" width="32.5703125" customWidth="1"/>
    <col min="6" max="6" width="57.42578125" customWidth="1"/>
    <col min="7" max="7" width="18" customWidth="1"/>
    <col min="8" max="8" width="8.28515625" customWidth="1"/>
    <col min="9" max="10" width="18.5703125" customWidth="1"/>
    <col min="11" max="11" width="16.140625" customWidth="1"/>
    <col min="12" max="12" width="16.7109375" customWidth="1"/>
    <col min="13" max="13" width="7" customWidth="1"/>
    <col min="14" max="14" width="6.42578125" customWidth="1"/>
  </cols>
  <sheetData>
    <row r="1" spans="1:15" ht="22.5" customHeight="1">
      <c r="A1" s="68" t="s">
        <v>82</v>
      </c>
      <c r="B1" s="68" t="str">
        <f>Cover!E11</f>
        <v>DỰ ÁN TRIỂN KHAI BẢN QUYỀN PHẦN MỀM HỆ THỐNG AML MỚI</v>
      </c>
    </row>
    <row r="2" spans="1:15" ht="22.5" customHeight="1">
      <c r="A2" s="68" t="s">
        <v>83</v>
      </c>
      <c r="B2" s="68" t="s">
        <v>84</v>
      </c>
    </row>
    <row r="4" spans="1:15" ht="22.5" customHeight="1">
      <c r="A4" s="100" t="s">
        <v>85</v>
      </c>
      <c r="B4" s="92"/>
      <c r="C4" s="92"/>
      <c r="D4" s="92"/>
      <c r="E4" s="92"/>
      <c r="F4" s="92"/>
      <c r="G4" s="92"/>
      <c r="H4" s="92"/>
      <c r="I4" s="92"/>
      <c r="J4" s="92"/>
      <c r="K4" s="92"/>
      <c r="L4" s="92"/>
      <c r="M4" s="92"/>
      <c r="N4" s="92"/>
      <c r="O4" s="92"/>
    </row>
    <row r="5" spans="1:15" ht="22.5" customHeight="1">
      <c r="A5" s="136"/>
      <c r="B5" s="136" t="s">
        <v>86</v>
      </c>
      <c r="C5" s="136" t="s">
        <v>87</v>
      </c>
      <c r="D5" s="136" t="s">
        <v>88</v>
      </c>
      <c r="E5" s="136" t="s">
        <v>68</v>
      </c>
    </row>
    <row r="6" spans="1:15" ht="22.5" customHeight="1">
      <c r="A6" s="137"/>
      <c r="B6" s="137">
        <f>SUM(B7:B11)</f>
        <v>16</v>
      </c>
      <c r="C6" s="137">
        <f>SUM(C7:C11)</f>
        <v>14</v>
      </c>
      <c r="D6" s="137">
        <f>SUM(D7:D11)</f>
        <v>0</v>
      </c>
      <c r="E6" s="137">
        <f t="shared" ref="E6" si="0">SUM(B6:D6)</f>
        <v>30</v>
      </c>
    </row>
    <row r="7" spans="1:15" ht="22.5" customHeight="1">
      <c r="A7" s="138" t="s">
        <v>63</v>
      </c>
      <c r="B7" s="139">
        <f>COUNTIFS($H:$H,B$5,$K:$K,$A7)</f>
        <v>16</v>
      </c>
      <c r="C7" s="139">
        <f t="shared" ref="C7:D12" si="1">COUNTIFS($H:$H,C$5,$K:$K,$A7)</f>
        <v>14</v>
      </c>
      <c r="D7" s="139">
        <f t="shared" si="1"/>
        <v>0</v>
      </c>
      <c r="E7" s="139">
        <f>SUM(B7:D7)</f>
        <v>30</v>
      </c>
    </row>
    <row r="8" spans="1:15" ht="22.5" customHeight="1">
      <c r="A8" s="138" t="s">
        <v>64</v>
      </c>
      <c r="B8" s="139">
        <f t="shared" ref="B8:B12" si="2">COUNTIFS($H:$H,B$5,$K:$K,$A8)</f>
        <v>0</v>
      </c>
      <c r="C8" s="139">
        <f t="shared" si="1"/>
        <v>0</v>
      </c>
      <c r="D8" s="139">
        <f t="shared" si="1"/>
        <v>0</v>
      </c>
      <c r="E8" s="139">
        <f t="shared" ref="E8:E12" si="3">SUM(B8:D8)</f>
        <v>0</v>
      </c>
    </row>
    <row r="9" spans="1:15" ht="22.5" customHeight="1">
      <c r="A9" s="138" t="s">
        <v>78</v>
      </c>
      <c r="B9" s="139">
        <f t="shared" si="2"/>
        <v>0</v>
      </c>
      <c r="C9" s="139">
        <f t="shared" si="1"/>
        <v>0</v>
      </c>
      <c r="D9" s="139">
        <f t="shared" si="1"/>
        <v>0</v>
      </c>
      <c r="E9" s="139">
        <f t="shared" si="3"/>
        <v>0</v>
      </c>
    </row>
    <row r="10" spans="1:15" ht="22.5" customHeight="1">
      <c r="A10" s="138" t="s">
        <v>79</v>
      </c>
      <c r="B10" s="139">
        <f t="shared" si="2"/>
        <v>0</v>
      </c>
      <c r="C10" s="139">
        <f t="shared" si="1"/>
        <v>0</v>
      </c>
      <c r="D10" s="139">
        <f t="shared" si="1"/>
        <v>0</v>
      </c>
      <c r="E10" s="139">
        <f t="shared" si="3"/>
        <v>0</v>
      </c>
    </row>
    <row r="11" spans="1:15" ht="22.5" customHeight="1">
      <c r="A11" s="138" t="s">
        <v>67</v>
      </c>
      <c r="B11" s="139">
        <f t="shared" si="2"/>
        <v>0</v>
      </c>
      <c r="C11" s="139">
        <f t="shared" si="1"/>
        <v>0</v>
      </c>
      <c r="D11" s="139">
        <f t="shared" si="1"/>
        <v>0</v>
      </c>
      <c r="E11" s="139">
        <f t="shared" si="3"/>
        <v>0</v>
      </c>
    </row>
    <row r="12" spans="1:15" ht="22.5" customHeight="1">
      <c r="A12" s="138" t="s">
        <v>80</v>
      </c>
      <c r="B12" s="139">
        <f t="shared" si="2"/>
        <v>0</v>
      </c>
      <c r="C12" s="139">
        <f t="shared" si="1"/>
        <v>0</v>
      </c>
      <c r="D12" s="139">
        <f t="shared" si="1"/>
        <v>0</v>
      </c>
      <c r="E12" s="139">
        <f t="shared" si="3"/>
        <v>0</v>
      </c>
    </row>
    <row r="13" spans="1:15" ht="22.5" customHeight="1">
      <c r="A13" s="135"/>
      <c r="B13" s="99"/>
      <c r="C13" s="99"/>
      <c r="D13" s="99"/>
      <c r="E13" s="99"/>
    </row>
    <row r="14" spans="1:15" ht="22.5" customHeight="1">
      <c r="A14" s="100" t="s">
        <v>89</v>
      </c>
      <c r="B14" s="92"/>
      <c r="C14" s="92"/>
      <c r="D14" s="92"/>
      <c r="E14" s="92"/>
    </row>
    <row r="15" spans="1:15" ht="22.5" customHeight="1">
      <c r="A15" s="136"/>
      <c r="B15" s="136" t="s">
        <v>86</v>
      </c>
      <c r="C15" s="136" t="s">
        <v>87</v>
      </c>
      <c r="D15" s="136" t="s">
        <v>88</v>
      </c>
      <c r="E15" s="136" t="s">
        <v>68</v>
      </c>
    </row>
    <row r="16" spans="1:15" ht="22.5" customHeight="1">
      <c r="A16" s="137"/>
      <c r="B16" s="137">
        <f>SUM(B17:B21)</f>
        <v>16</v>
      </c>
      <c r="C16" s="137">
        <f>SUM(C17:C21)</f>
        <v>14</v>
      </c>
      <c r="D16" s="137">
        <f>SUM(D17:D21)</f>
        <v>0</v>
      </c>
      <c r="E16" s="137">
        <f t="shared" ref="E16" si="4">SUM(B16:D16)</f>
        <v>30</v>
      </c>
    </row>
    <row r="17" spans="1:14" ht="22.5" customHeight="1">
      <c r="A17" s="138" t="s">
        <v>63</v>
      </c>
      <c r="B17" s="139">
        <f>COUNTIFS($H:$H,B$15,$L:$L,$A17)</f>
        <v>0</v>
      </c>
      <c r="C17" s="139">
        <f t="shared" ref="C17:D22" si="5">COUNTIFS($H:$H,C$15,$L:$L,$A17)</f>
        <v>0</v>
      </c>
      <c r="D17" s="139">
        <f t="shared" si="5"/>
        <v>0</v>
      </c>
      <c r="E17" s="139">
        <f>SUM(B17:D17)</f>
        <v>0</v>
      </c>
    </row>
    <row r="18" spans="1:14" ht="22.5" customHeight="1">
      <c r="A18" s="138" t="s">
        <v>64</v>
      </c>
      <c r="B18" s="139">
        <f t="shared" ref="B18:B22" si="6">COUNTIFS($H:$H,B$15,$L:$L,$A18)</f>
        <v>0</v>
      </c>
      <c r="C18" s="139">
        <f t="shared" si="5"/>
        <v>0</v>
      </c>
      <c r="D18" s="139">
        <f t="shared" si="5"/>
        <v>0</v>
      </c>
      <c r="E18" s="139">
        <f t="shared" ref="E18:E21" si="7">SUM(B18:D18)</f>
        <v>0</v>
      </c>
    </row>
    <row r="19" spans="1:14" ht="22.5" customHeight="1">
      <c r="A19" s="138" t="s">
        <v>78</v>
      </c>
      <c r="B19" s="139">
        <f t="shared" si="6"/>
        <v>0</v>
      </c>
      <c r="C19" s="139">
        <f t="shared" si="5"/>
        <v>0</v>
      </c>
      <c r="D19" s="139">
        <f t="shared" si="5"/>
        <v>0</v>
      </c>
      <c r="E19" s="139">
        <f t="shared" si="7"/>
        <v>0</v>
      </c>
    </row>
    <row r="20" spans="1:14" ht="22.5" customHeight="1">
      <c r="A20" s="138" t="s">
        <v>79</v>
      </c>
      <c r="B20" s="139">
        <f t="shared" si="6"/>
        <v>0</v>
      </c>
      <c r="C20" s="139">
        <f t="shared" si="5"/>
        <v>0</v>
      </c>
      <c r="D20" s="139">
        <f t="shared" si="5"/>
        <v>0</v>
      </c>
      <c r="E20" s="139">
        <f t="shared" si="7"/>
        <v>0</v>
      </c>
    </row>
    <row r="21" spans="1:14" ht="22.5" customHeight="1">
      <c r="A21" s="138" t="s">
        <v>67</v>
      </c>
      <c r="B21" s="139">
        <f t="shared" si="6"/>
        <v>16</v>
      </c>
      <c r="C21" s="139">
        <f t="shared" si="5"/>
        <v>14</v>
      </c>
      <c r="D21" s="139">
        <f t="shared" si="5"/>
        <v>0</v>
      </c>
      <c r="E21" s="139">
        <f t="shared" si="7"/>
        <v>30</v>
      </c>
    </row>
    <row r="22" spans="1:14" ht="22.5" customHeight="1">
      <c r="A22" s="138" t="s">
        <v>80</v>
      </c>
      <c r="B22" s="139">
        <f t="shared" si="6"/>
        <v>0</v>
      </c>
      <c r="C22" s="139">
        <f t="shared" si="5"/>
        <v>0</v>
      </c>
      <c r="D22" s="139">
        <f t="shared" si="5"/>
        <v>0</v>
      </c>
      <c r="E22" s="139"/>
    </row>
    <row r="24" spans="1:14" ht="22.5" customHeight="1">
      <c r="A24" s="69" t="s">
        <v>90</v>
      </c>
      <c r="B24" s="69" t="s">
        <v>91</v>
      </c>
      <c r="C24" s="69" t="s">
        <v>92</v>
      </c>
      <c r="D24" s="69" t="s">
        <v>93</v>
      </c>
      <c r="E24" s="69" t="s">
        <v>94</v>
      </c>
      <c r="F24" s="69" t="s">
        <v>95</v>
      </c>
      <c r="G24" s="69" t="s">
        <v>56</v>
      </c>
      <c r="H24" s="72" t="s">
        <v>96</v>
      </c>
      <c r="I24" s="72" t="s">
        <v>97</v>
      </c>
      <c r="J24" s="134" t="s">
        <v>228</v>
      </c>
      <c r="K24" s="134" t="s">
        <v>229</v>
      </c>
      <c r="L24" s="134" t="s">
        <v>230</v>
      </c>
      <c r="M24" s="69" t="s">
        <v>101</v>
      </c>
      <c r="N24" s="69" t="s">
        <v>102</v>
      </c>
    </row>
    <row r="25" spans="1:14" ht="22.5" customHeight="1">
      <c r="A25" s="73" t="s">
        <v>231</v>
      </c>
      <c r="B25" s="73" t="s">
        <v>104</v>
      </c>
      <c r="C25" s="74"/>
      <c r="D25" s="74"/>
      <c r="E25" s="74"/>
      <c r="F25" s="74"/>
      <c r="G25" s="74"/>
      <c r="H25" s="74"/>
      <c r="I25" s="74"/>
      <c r="J25" s="74"/>
      <c r="K25" s="74"/>
      <c r="L25" s="74"/>
      <c r="M25" s="74"/>
      <c r="N25" s="74"/>
    </row>
    <row r="26" spans="1:14" ht="22.5" customHeight="1" outlineLevel="1">
      <c r="A26" s="75" t="s">
        <v>232</v>
      </c>
      <c r="B26" s="76" t="s">
        <v>106</v>
      </c>
      <c r="C26" s="76"/>
      <c r="D26" s="76" t="s">
        <v>233</v>
      </c>
      <c r="E26" s="76"/>
      <c r="F26" s="76" t="s">
        <v>234</v>
      </c>
      <c r="G26" s="77" t="s">
        <v>57</v>
      </c>
      <c r="H26" s="77" t="s">
        <v>87</v>
      </c>
      <c r="I26" s="77" t="s">
        <v>109</v>
      </c>
      <c r="J26" s="77" t="s">
        <v>67</v>
      </c>
      <c r="K26" s="77" t="s">
        <v>63</v>
      </c>
      <c r="L26" s="77" t="s">
        <v>67</v>
      </c>
      <c r="M26" s="77"/>
      <c r="N26" s="76"/>
    </row>
    <row r="27" spans="1:14" ht="22.5" customHeight="1" outlineLevel="1">
      <c r="A27" s="75" t="s">
        <v>235</v>
      </c>
      <c r="B27" s="76" t="s">
        <v>111</v>
      </c>
      <c r="C27" s="76"/>
      <c r="D27" s="76" t="s">
        <v>236</v>
      </c>
      <c r="E27" s="76"/>
      <c r="F27" s="76" t="s">
        <v>113</v>
      </c>
      <c r="G27" s="77" t="s">
        <v>57</v>
      </c>
      <c r="H27" s="77" t="s">
        <v>87</v>
      </c>
      <c r="I27" s="77" t="s">
        <v>109</v>
      </c>
      <c r="J27" s="77" t="s">
        <v>67</v>
      </c>
      <c r="K27" s="77" t="s">
        <v>63</v>
      </c>
      <c r="L27" s="77" t="s">
        <v>67</v>
      </c>
      <c r="M27" s="77"/>
      <c r="N27" s="76"/>
    </row>
    <row r="28" spans="1:14" ht="22.5" customHeight="1" outlineLevel="1">
      <c r="A28" s="75" t="s">
        <v>237</v>
      </c>
      <c r="B28" s="76" t="s">
        <v>115</v>
      </c>
      <c r="C28" s="76"/>
      <c r="D28" s="76" t="s">
        <v>238</v>
      </c>
      <c r="E28" s="76"/>
      <c r="F28" s="76" t="s">
        <v>113</v>
      </c>
      <c r="G28" s="77" t="s">
        <v>57</v>
      </c>
      <c r="H28" s="77" t="s">
        <v>87</v>
      </c>
      <c r="I28" s="77" t="s">
        <v>109</v>
      </c>
      <c r="J28" s="77" t="s">
        <v>67</v>
      </c>
      <c r="K28" s="77" t="s">
        <v>63</v>
      </c>
      <c r="L28" s="77" t="s">
        <v>67</v>
      </c>
      <c r="M28" s="77"/>
      <c r="N28" s="76"/>
    </row>
    <row r="29" spans="1:14" ht="22.5" customHeight="1" outlineLevel="1">
      <c r="A29" s="75" t="s">
        <v>239</v>
      </c>
      <c r="B29" s="76" t="s">
        <v>118</v>
      </c>
      <c r="C29" s="76"/>
      <c r="D29" s="76" t="s">
        <v>240</v>
      </c>
      <c r="E29" s="76"/>
      <c r="F29" s="76" t="s">
        <v>120</v>
      </c>
      <c r="G29" s="77" t="s">
        <v>57</v>
      </c>
      <c r="H29" s="77" t="s">
        <v>87</v>
      </c>
      <c r="I29" s="77" t="s">
        <v>109</v>
      </c>
      <c r="J29" s="77" t="s">
        <v>67</v>
      </c>
      <c r="K29" s="77" t="s">
        <v>63</v>
      </c>
      <c r="L29" s="77" t="s">
        <v>67</v>
      </c>
      <c r="M29" s="77"/>
      <c r="N29" s="76"/>
    </row>
    <row r="30" spans="1:14" ht="22.5" customHeight="1" outlineLevel="1">
      <c r="A30" s="75" t="s">
        <v>241</v>
      </c>
      <c r="B30" s="76" t="s">
        <v>126</v>
      </c>
      <c r="C30" s="76"/>
      <c r="D30" s="76" t="s">
        <v>242</v>
      </c>
      <c r="E30" s="76"/>
      <c r="F30" s="76" t="s">
        <v>128</v>
      </c>
      <c r="G30" s="77" t="s">
        <v>57</v>
      </c>
      <c r="H30" s="77" t="s">
        <v>87</v>
      </c>
      <c r="I30" s="77" t="s">
        <v>109</v>
      </c>
      <c r="J30" s="77" t="s">
        <v>67</v>
      </c>
      <c r="K30" s="77" t="s">
        <v>63</v>
      </c>
      <c r="L30" s="77" t="s">
        <v>67</v>
      </c>
      <c r="M30" s="77"/>
      <c r="N30" s="76"/>
    </row>
    <row r="31" spans="1:14" ht="22.5" customHeight="1" outlineLevel="1">
      <c r="A31" s="75" t="s">
        <v>243</v>
      </c>
      <c r="B31" s="76" t="s">
        <v>130</v>
      </c>
      <c r="C31" s="76"/>
      <c r="D31" s="76" t="s">
        <v>244</v>
      </c>
      <c r="E31" s="76"/>
      <c r="F31" s="76" t="s">
        <v>132</v>
      </c>
      <c r="G31" s="77" t="s">
        <v>57</v>
      </c>
      <c r="H31" s="77" t="s">
        <v>87</v>
      </c>
      <c r="I31" s="77" t="s">
        <v>109</v>
      </c>
      <c r="J31" s="77" t="s">
        <v>67</v>
      </c>
      <c r="K31" s="77" t="s">
        <v>63</v>
      </c>
      <c r="L31" s="77" t="s">
        <v>67</v>
      </c>
      <c r="M31" s="77"/>
      <c r="N31" s="76"/>
    </row>
    <row r="32" spans="1:14" ht="22.5" customHeight="1">
      <c r="A32" s="73" t="s">
        <v>245</v>
      </c>
      <c r="B32" s="73" t="s">
        <v>134</v>
      </c>
      <c r="C32" s="74"/>
      <c r="D32" s="74"/>
      <c r="E32" s="74"/>
      <c r="F32" s="74"/>
      <c r="G32" s="74"/>
      <c r="H32" s="74"/>
      <c r="I32" s="74"/>
      <c r="J32" s="74"/>
      <c r="K32" s="74"/>
      <c r="L32" s="74"/>
      <c r="M32" s="74"/>
      <c r="N32" s="74" t="s">
        <v>246</v>
      </c>
    </row>
    <row r="33" spans="1:14" ht="22.5" customHeight="1" outlineLevel="1">
      <c r="A33" s="75" t="s">
        <v>247</v>
      </c>
      <c r="B33" s="76" t="s">
        <v>136</v>
      </c>
      <c r="C33" s="76" t="s">
        <v>248</v>
      </c>
      <c r="D33" s="76" t="s">
        <v>249</v>
      </c>
      <c r="E33" s="76" t="s">
        <v>250</v>
      </c>
      <c r="F33" s="76" t="s">
        <v>251</v>
      </c>
      <c r="G33" s="77" t="s">
        <v>57</v>
      </c>
      <c r="H33" s="77" t="s">
        <v>86</v>
      </c>
      <c r="I33" s="77" t="s">
        <v>109</v>
      </c>
      <c r="J33" s="77" t="s">
        <v>67</v>
      </c>
      <c r="K33" s="77" t="s">
        <v>63</v>
      </c>
      <c r="L33" s="77" t="s">
        <v>67</v>
      </c>
      <c r="M33" s="77"/>
      <c r="N33" s="76"/>
    </row>
    <row r="34" spans="1:14" ht="22.5" customHeight="1" outlineLevel="1">
      <c r="A34" s="75" t="s">
        <v>252</v>
      </c>
      <c r="B34" s="76" t="s">
        <v>253</v>
      </c>
      <c r="C34" s="76" t="s">
        <v>248</v>
      </c>
      <c r="D34" s="76" t="s">
        <v>249</v>
      </c>
      <c r="E34" s="76"/>
      <c r="F34" s="76" t="s">
        <v>254</v>
      </c>
      <c r="G34" s="77" t="s">
        <v>57</v>
      </c>
      <c r="H34" s="77" t="s">
        <v>87</v>
      </c>
      <c r="I34" s="77" t="s">
        <v>109</v>
      </c>
      <c r="J34" s="77" t="s">
        <v>67</v>
      </c>
      <c r="K34" s="77" t="s">
        <v>63</v>
      </c>
      <c r="L34" s="77" t="s">
        <v>67</v>
      </c>
      <c r="M34" s="77"/>
      <c r="N34" s="76"/>
    </row>
    <row r="35" spans="1:14" ht="22.5" customHeight="1" outlineLevel="1">
      <c r="A35" s="75" t="s">
        <v>255</v>
      </c>
      <c r="B35" s="76" t="s">
        <v>256</v>
      </c>
      <c r="C35" s="76" t="s">
        <v>248</v>
      </c>
      <c r="D35" s="76" t="s">
        <v>249</v>
      </c>
      <c r="E35" s="76"/>
      <c r="F35" s="76" t="s">
        <v>257</v>
      </c>
      <c r="G35" s="77" t="s">
        <v>57</v>
      </c>
      <c r="H35" s="77" t="s">
        <v>87</v>
      </c>
      <c r="I35" s="77" t="s">
        <v>109</v>
      </c>
      <c r="J35" s="77" t="s">
        <v>67</v>
      </c>
      <c r="K35" s="77" t="s">
        <v>63</v>
      </c>
      <c r="L35" s="77" t="s">
        <v>67</v>
      </c>
      <c r="M35" s="77"/>
      <c r="N35" s="76"/>
    </row>
    <row r="36" spans="1:14" ht="22.5" customHeight="1" outlineLevel="1">
      <c r="A36" s="75" t="s">
        <v>258</v>
      </c>
      <c r="B36" s="76" t="s">
        <v>259</v>
      </c>
      <c r="C36" s="76" t="s">
        <v>248</v>
      </c>
      <c r="D36" s="76" t="s">
        <v>249</v>
      </c>
      <c r="E36" s="76"/>
      <c r="F36" s="76" t="s">
        <v>260</v>
      </c>
      <c r="G36" s="77" t="s">
        <v>57</v>
      </c>
      <c r="H36" s="77" t="s">
        <v>87</v>
      </c>
      <c r="I36" s="77" t="s">
        <v>109</v>
      </c>
      <c r="J36" s="77" t="s">
        <v>67</v>
      </c>
      <c r="K36" s="77" t="s">
        <v>63</v>
      </c>
      <c r="L36" s="77" t="s">
        <v>67</v>
      </c>
      <c r="M36" s="77"/>
      <c r="N36" s="76"/>
    </row>
    <row r="37" spans="1:14" ht="22.5" customHeight="1" outlineLevel="1">
      <c r="A37" s="75" t="s">
        <v>261</v>
      </c>
      <c r="B37" s="76" t="s">
        <v>262</v>
      </c>
      <c r="C37" s="76" t="s">
        <v>248</v>
      </c>
      <c r="D37" s="76" t="s">
        <v>249</v>
      </c>
      <c r="E37" s="76"/>
      <c r="F37" s="76" t="s">
        <v>263</v>
      </c>
      <c r="G37" s="77" t="s">
        <v>57</v>
      </c>
      <c r="H37" s="77" t="s">
        <v>87</v>
      </c>
      <c r="I37" s="77" t="s">
        <v>109</v>
      </c>
      <c r="J37" s="77" t="s">
        <v>67</v>
      </c>
      <c r="K37" s="77" t="s">
        <v>63</v>
      </c>
      <c r="L37" s="77" t="s">
        <v>67</v>
      </c>
      <c r="M37" s="77"/>
      <c r="N37" s="76"/>
    </row>
    <row r="38" spans="1:14" ht="22.5" customHeight="1" outlineLevel="1">
      <c r="A38" s="75" t="s">
        <v>264</v>
      </c>
      <c r="B38" s="76" t="s">
        <v>265</v>
      </c>
      <c r="C38" s="76" t="s">
        <v>248</v>
      </c>
      <c r="D38" s="78" t="s">
        <v>249</v>
      </c>
      <c r="E38" s="76"/>
      <c r="F38" s="76" t="s">
        <v>266</v>
      </c>
      <c r="G38" s="77" t="s">
        <v>57</v>
      </c>
      <c r="H38" s="77" t="s">
        <v>87</v>
      </c>
      <c r="I38" s="77" t="s">
        <v>109</v>
      </c>
      <c r="J38" s="77" t="s">
        <v>67</v>
      </c>
      <c r="K38" s="77" t="s">
        <v>63</v>
      </c>
      <c r="L38" s="77" t="s">
        <v>67</v>
      </c>
      <c r="M38" s="77"/>
      <c r="N38" s="76"/>
    </row>
    <row r="39" spans="1:14" ht="22.5" customHeight="1" outlineLevel="1">
      <c r="A39" s="75" t="s">
        <v>267</v>
      </c>
      <c r="B39" s="76" t="s">
        <v>268</v>
      </c>
      <c r="C39" s="79" t="s">
        <v>248</v>
      </c>
      <c r="D39" s="76" t="s">
        <v>249</v>
      </c>
      <c r="E39" s="80"/>
      <c r="F39" s="76" t="s">
        <v>269</v>
      </c>
      <c r="G39" s="77" t="s">
        <v>57</v>
      </c>
      <c r="H39" s="77" t="s">
        <v>87</v>
      </c>
      <c r="I39" s="77" t="s">
        <v>109</v>
      </c>
      <c r="J39" s="77" t="s">
        <v>67</v>
      </c>
      <c r="K39" s="77" t="s">
        <v>63</v>
      </c>
      <c r="L39" s="77" t="s">
        <v>67</v>
      </c>
      <c r="M39" s="77"/>
      <c r="N39" s="76"/>
    </row>
    <row r="40" spans="1:14" ht="22.5" customHeight="1" outlineLevel="1">
      <c r="A40" s="75" t="s">
        <v>270</v>
      </c>
      <c r="B40" s="76" t="s">
        <v>271</v>
      </c>
      <c r="C40" s="79" t="s">
        <v>248</v>
      </c>
      <c r="D40" s="76" t="s">
        <v>249</v>
      </c>
      <c r="E40" s="80"/>
      <c r="F40" s="76" t="s">
        <v>272</v>
      </c>
      <c r="G40" s="77" t="s">
        <v>57</v>
      </c>
      <c r="H40" s="77" t="s">
        <v>87</v>
      </c>
      <c r="I40" s="77" t="s">
        <v>109</v>
      </c>
      <c r="J40" s="77" t="s">
        <v>67</v>
      </c>
      <c r="K40" s="77" t="s">
        <v>63</v>
      </c>
      <c r="L40" s="77" t="s">
        <v>67</v>
      </c>
      <c r="M40" s="77"/>
      <c r="N40" s="76"/>
    </row>
    <row r="41" spans="1:14" ht="22.5" customHeight="1" outlineLevel="1">
      <c r="A41" s="75" t="s">
        <v>273</v>
      </c>
      <c r="B41" s="76" t="s">
        <v>274</v>
      </c>
      <c r="C41" s="79" t="s">
        <v>248</v>
      </c>
      <c r="D41" s="76" t="s">
        <v>249</v>
      </c>
      <c r="E41" s="80"/>
      <c r="F41" s="76" t="s">
        <v>275</v>
      </c>
      <c r="G41" s="77" t="s">
        <v>57</v>
      </c>
      <c r="H41" s="77" t="s">
        <v>87</v>
      </c>
      <c r="I41" s="77" t="s">
        <v>109</v>
      </c>
      <c r="J41" s="77" t="s">
        <v>67</v>
      </c>
      <c r="K41" s="77" t="s">
        <v>63</v>
      </c>
      <c r="L41" s="77" t="s">
        <v>67</v>
      </c>
      <c r="M41" s="77"/>
      <c r="N41" s="76"/>
    </row>
    <row r="42" spans="1:14" ht="22.5" customHeight="1" outlineLevel="1">
      <c r="A42" s="73" t="s">
        <v>276</v>
      </c>
      <c r="B42" s="73" t="s">
        <v>181</v>
      </c>
      <c r="C42" s="74"/>
      <c r="D42" s="81"/>
      <c r="E42" s="74"/>
      <c r="F42" s="74"/>
      <c r="G42" s="74"/>
      <c r="H42" s="74"/>
      <c r="I42" s="74"/>
      <c r="J42" s="74"/>
      <c r="K42" s="74"/>
      <c r="L42" s="74"/>
      <c r="M42" s="74"/>
      <c r="N42" s="74"/>
    </row>
    <row r="43" spans="1:14" ht="22.5" customHeight="1" outlineLevel="1">
      <c r="A43" s="75" t="s">
        <v>277</v>
      </c>
      <c r="B43" s="76" t="s">
        <v>183</v>
      </c>
      <c r="C43" s="76"/>
      <c r="D43" s="76" t="s">
        <v>278</v>
      </c>
      <c r="E43" s="76"/>
      <c r="F43" s="76" t="s">
        <v>185</v>
      </c>
      <c r="G43" s="77" t="s">
        <v>57</v>
      </c>
      <c r="H43" s="77" t="s">
        <v>86</v>
      </c>
      <c r="I43" s="77" t="s">
        <v>109</v>
      </c>
      <c r="J43" s="77" t="s">
        <v>67</v>
      </c>
      <c r="K43" s="77" t="s">
        <v>63</v>
      </c>
      <c r="L43" s="77" t="s">
        <v>67</v>
      </c>
      <c r="M43" s="77"/>
      <c r="N43" s="76"/>
    </row>
    <row r="44" spans="1:14" ht="22.5" customHeight="1">
      <c r="A44" s="75" t="s">
        <v>279</v>
      </c>
      <c r="B44" s="76" t="s">
        <v>187</v>
      </c>
      <c r="C44" s="76"/>
      <c r="D44" s="76" t="s">
        <v>280</v>
      </c>
      <c r="E44" s="76"/>
      <c r="F44" s="76" t="s">
        <v>189</v>
      </c>
      <c r="G44" s="77" t="s">
        <v>57</v>
      </c>
      <c r="H44" s="77" t="s">
        <v>86</v>
      </c>
      <c r="I44" s="77" t="s">
        <v>109</v>
      </c>
      <c r="J44" s="77" t="s">
        <v>67</v>
      </c>
      <c r="K44" s="77" t="s">
        <v>63</v>
      </c>
      <c r="L44" s="77" t="s">
        <v>67</v>
      </c>
      <c r="M44" s="77"/>
      <c r="N44" s="76" t="s">
        <v>190</v>
      </c>
    </row>
    <row r="45" spans="1:14" ht="22.5" customHeight="1">
      <c r="A45" s="73" t="s">
        <v>281</v>
      </c>
      <c r="B45" s="73" t="s">
        <v>282</v>
      </c>
      <c r="C45" s="74"/>
      <c r="D45" s="74"/>
      <c r="E45" s="74"/>
      <c r="F45" s="74"/>
      <c r="G45" s="74"/>
      <c r="H45" s="74"/>
      <c r="I45" s="74"/>
      <c r="J45" s="74"/>
      <c r="K45" s="74"/>
      <c r="L45" s="74"/>
      <c r="M45" s="74"/>
      <c r="N45" s="74"/>
    </row>
    <row r="46" spans="1:14" ht="22.5" customHeight="1">
      <c r="A46" s="75" t="s">
        <v>283</v>
      </c>
      <c r="B46" s="76" t="s">
        <v>194</v>
      </c>
      <c r="C46" s="76"/>
      <c r="D46" s="76" t="s">
        <v>284</v>
      </c>
      <c r="E46" s="76"/>
      <c r="F46" s="76" t="s">
        <v>196</v>
      </c>
      <c r="G46" s="77" t="s">
        <v>57</v>
      </c>
      <c r="H46" s="77" t="s">
        <v>86</v>
      </c>
      <c r="I46" s="77" t="s">
        <v>109</v>
      </c>
      <c r="J46" s="77" t="s">
        <v>67</v>
      </c>
      <c r="K46" s="77" t="s">
        <v>63</v>
      </c>
      <c r="L46" s="77" t="s">
        <v>67</v>
      </c>
      <c r="M46" s="77"/>
      <c r="N46" s="76"/>
    </row>
    <row r="47" spans="1:14" ht="22.5" customHeight="1">
      <c r="A47" s="75" t="s">
        <v>285</v>
      </c>
      <c r="B47" s="76" t="s">
        <v>198</v>
      </c>
      <c r="C47" s="76"/>
      <c r="D47" s="76" t="s">
        <v>286</v>
      </c>
      <c r="E47" s="76"/>
      <c r="F47" s="97" t="s">
        <v>196</v>
      </c>
      <c r="G47" s="77" t="s">
        <v>57</v>
      </c>
      <c r="H47" s="77" t="s">
        <v>86</v>
      </c>
      <c r="I47" s="77" t="s">
        <v>109</v>
      </c>
      <c r="J47" s="77" t="s">
        <v>67</v>
      </c>
      <c r="K47" s="77" t="s">
        <v>63</v>
      </c>
      <c r="L47" s="77" t="s">
        <v>67</v>
      </c>
      <c r="M47" s="77"/>
      <c r="N47" s="76"/>
    </row>
    <row r="48" spans="1:14" ht="22.5" customHeight="1">
      <c r="A48" s="75" t="s">
        <v>287</v>
      </c>
      <c r="B48" s="76" t="s">
        <v>201</v>
      </c>
      <c r="C48" s="76"/>
      <c r="D48" s="76" t="s">
        <v>288</v>
      </c>
      <c r="E48" s="76"/>
      <c r="F48" s="76" t="s">
        <v>289</v>
      </c>
      <c r="G48" s="77" t="s">
        <v>57</v>
      </c>
      <c r="H48" s="77" t="s">
        <v>86</v>
      </c>
      <c r="I48" s="77" t="s">
        <v>109</v>
      </c>
      <c r="J48" s="77" t="s">
        <v>67</v>
      </c>
      <c r="K48" s="77" t="s">
        <v>63</v>
      </c>
      <c r="L48" s="77" t="s">
        <v>67</v>
      </c>
      <c r="M48" s="77"/>
      <c r="N48" s="76"/>
    </row>
    <row r="49" spans="1:14" ht="22.5" customHeight="1">
      <c r="A49" s="75" t="s">
        <v>290</v>
      </c>
      <c r="B49" s="76" t="s">
        <v>291</v>
      </c>
      <c r="C49" s="76" t="s">
        <v>292</v>
      </c>
      <c r="D49" s="76" t="s">
        <v>293</v>
      </c>
      <c r="E49" s="76" t="s">
        <v>294</v>
      </c>
      <c r="F49" s="76" t="s">
        <v>295</v>
      </c>
      <c r="G49" s="77" t="s">
        <v>57</v>
      </c>
      <c r="H49" s="77" t="s">
        <v>86</v>
      </c>
      <c r="I49" s="77" t="s">
        <v>109</v>
      </c>
      <c r="J49" s="77" t="s">
        <v>67</v>
      </c>
      <c r="K49" s="77" t="s">
        <v>63</v>
      </c>
      <c r="L49" s="77" t="s">
        <v>67</v>
      </c>
      <c r="M49" s="77"/>
      <c r="N49" s="76"/>
    </row>
    <row r="50" spans="1:14" ht="22.5" customHeight="1">
      <c r="A50" s="75" t="s">
        <v>296</v>
      </c>
      <c r="B50" s="76" t="s">
        <v>297</v>
      </c>
      <c r="C50" s="76" t="s">
        <v>298</v>
      </c>
      <c r="D50" s="76" t="s">
        <v>299</v>
      </c>
      <c r="E50" s="76" t="s">
        <v>300</v>
      </c>
      <c r="F50" s="76" t="s">
        <v>301</v>
      </c>
      <c r="G50" s="77" t="s">
        <v>57</v>
      </c>
      <c r="H50" s="77" t="s">
        <v>86</v>
      </c>
      <c r="I50" s="77" t="s">
        <v>109</v>
      </c>
      <c r="J50" s="77" t="s">
        <v>67</v>
      </c>
      <c r="K50" s="77" t="s">
        <v>63</v>
      </c>
      <c r="L50" s="77" t="s">
        <v>67</v>
      </c>
      <c r="M50" s="77"/>
      <c r="N50" s="76"/>
    </row>
    <row r="51" spans="1:14" ht="22.5" customHeight="1">
      <c r="A51" s="75" t="s">
        <v>302</v>
      </c>
      <c r="B51" s="76" t="s">
        <v>303</v>
      </c>
      <c r="C51" s="76" t="s">
        <v>304</v>
      </c>
      <c r="D51" s="76" t="s">
        <v>299</v>
      </c>
      <c r="E51" s="76" t="s">
        <v>305</v>
      </c>
      <c r="F51" s="76" t="s">
        <v>306</v>
      </c>
      <c r="G51" s="77" t="s">
        <v>57</v>
      </c>
      <c r="H51" s="77" t="s">
        <v>86</v>
      </c>
      <c r="I51" s="77" t="s">
        <v>109</v>
      </c>
      <c r="J51" s="77" t="s">
        <v>67</v>
      </c>
      <c r="K51" s="77" t="s">
        <v>63</v>
      </c>
      <c r="L51" s="77" t="s">
        <v>67</v>
      </c>
      <c r="M51" s="77"/>
      <c r="N51" s="76"/>
    </row>
    <row r="52" spans="1:14" ht="22.5" customHeight="1">
      <c r="A52" s="75" t="s">
        <v>307</v>
      </c>
      <c r="B52" s="76" t="s">
        <v>308</v>
      </c>
      <c r="C52" s="76" t="s">
        <v>309</v>
      </c>
      <c r="D52" s="76" t="s">
        <v>310</v>
      </c>
      <c r="E52" s="76" t="s">
        <v>311</v>
      </c>
      <c r="F52" s="76" t="s">
        <v>312</v>
      </c>
      <c r="G52" s="77" t="s">
        <v>57</v>
      </c>
      <c r="H52" s="77" t="s">
        <v>86</v>
      </c>
      <c r="I52" s="77" t="s">
        <v>109</v>
      </c>
      <c r="J52" s="77" t="s">
        <v>67</v>
      </c>
      <c r="K52" s="77" t="s">
        <v>63</v>
      </c>
      <c r="L52" s="77" t="s">
        <v>67</v>
      </c>
      <c r="M52" s="77"/>
      <c r="N52" s="76"/>
    </row>
    <row r="53" spans="1:14" ht="22.5" customHeight="1">
      <c r="A53" s="75" t="s">
        <v>313</v>
      </c>
      <c r="B53" s="76" t="s">
        <v>314</v>
      </c>
      <c r="C53" s="76" t="s">
        <v>315</v>
      </c>
      <c r="D53" s="76" t="s">
        <v>310</v>
      </c>
      <c r="E53" s="76"/>
      <c r="F53" s="76" t="s">
        <v>316</v>
      </c>
      <c r="G53" s="77" t="s">
        <v>57</v>
      </c>
      <c r="H53" s="77" t="s">
        <v>86</v>
      </c>
      <c r="I53" s="77" t="s">
        <v>109</v>
      </c>
      <c r="J53" s="77" t="s">
        <v>67</v>
      </c>
      <c r="K53" s="77" t="s">
        <v>63</v>
      </c>
      <c r="L53" s="77" t="s">
        <v>67</v>
      </c>
      <c r="M53" s="77"/>
      <c r="N53" s="76"/>
    </row>
    <row r="54" spans="1:14" ht="22.5" customHeight="1">
      <c r="A54" s="75" t="s">
        <v>317</v>
      </c>
      <c r="B54" s="76" t="s">
        <v>216</v>
      </c>
      <c r="C54" s="76"/>
      <c r="D54" s="76" t="s">
        <v>318</v>
      </c>
      <c r="E54" s="76"/>
      <c r="F54" s="76" t="s">
        <v>217</v>
      </c>
      <c r="G54" s="77" t="s">
        <v>57</v>
      </c>
      <c r="H54" s="77" t="s">
        <v>86</v>
      </c>
      <c r="I54" s="77" t="s">
        <v>109</v>
      </c>
      <c r="J54" s="77" t="s">
        <v>67</v>
      </c>
      <c r="K54" s="77" t="s">
        <v>63</v>
      </c>
      <c r="L54" s="77" t="s">
        <v>67</v>
      </c>
      <c r="M54" s="77"/>
      <c r="N54" s="76"/>
    </row>
    <row r="55" spans="1:14" ht="22.5" customHeight="1">
      <c r="A55" s="75" t="s">
        <v>319</v>
      </c>
      <c r="B55" s="76" t="s">
        <v>219</v>
      </c>
      <c r="C55" s="76"/>
      <c r="D55" s="76" t="s">
        <v>318</v>
      </c>
      <c r="E55" s="76"/>
      <c r="F55" s="76" t="s">
        <v>217</v>
      </c>
      <c r="G55" s="77" t="s">
        <v>57</v>
      </c>
      <c r="H55" s="77" t="s">
        <v>86</v>
      </c>
      <c r="I55" s="77" t="s">
        <v>109</v>
      </c>
      <c r="J55" s="77" t="s">
        <v>67</v>
      </c>
      <c r="K55" s="77" t="s">
        <v>63</v>
      </c>
      <c r="L55" s="77" t="s">
        <v>67</v>
      </c>
      <c r="M55" s="77"/>
      <c r="N55" s="76"/>
    </row>
    <row r="56" spans="1:14" ht="22.5" customHeight="1">
      <c r="A56" s="75" t="s">
        <v>320</v>
      </c>
      <c r="B56" s="76" t="s">
        <v>221</v>
      </c>
      <c r="C56" s="76"/>
      <c r="D56" s="76" t="s">
        <v>318</v>
      </c>
      <c r="E56" s="76"/>
      <c r="F56" s="76" t="s">
        <v>217</v>
      </c>
      <c r="G56" s="77" t="s">
        <v>57</v>
      </c>
      <c r="H56" s="77" t="s">
        <v>86</v>
      </c>
      <c r="I56" s="77" t="s">
        <v>109</v>
      </c>
      <c r="J56" s="77" t="s">
        <v>67</v>
      </c>
      <c r="K56" s="77" t="s">
        <v>63</v>
      </c>
      <c r="L56" s="77" t="s">
        <v>67</v>
      </c>
      <c r="M56" s="77"/>
      <c r="N56" s="76"/>
    </row>
    <row r="57" spans="1:14" ht="22.5" customHeight="1">
      <c r="A57" s="75" t="s">
        <v>321</v>
      </c>
      <c r="B57" s="76" t="s">
        <v>223</v>
      </c>
      <c r="C57" s="76"/>
      <c r="D57" s="76" t="s">
        <v>318</v>
      </c>
      <c r="E57" s="76"/>
      <c r="F57" s="76" t="s">
        <v>217</v>
      </c>
      <c r="G57" s="77" t="s">
        <v>57</v>
      </c>
      <c r="H57" s="77" t="s">
        <v>86</v>
      </c>
      <c r="I57" s="77" t="s">
        <v>109</v>
      </c>
      <c r="J57" s="77" t="s">
        <v>67</v>
      </c>
      <c r="K57" s="77" t="s">
        <v>63</v>
      </c>
      <c r="L57" s="77" t="s">
        <v>67</v>
      </c>
      <c r="M57" s="77"/>
      <c r="N57" s="76"/>
    </row>
    <row r="58" spans="1:14" ht="22.5" customHeight="1">
      <c r="A58" s="75" t="s">
        <v>322</v>
      </c>
      <c r="B58" s="76" t="s">
        <v>225</v>
      </c>
      <c r="C58" s="76"/>
      <c r="D58" s="76" t="s">
        <v>318</v>
      </c>
      <c r="E58" s="76"/>
      <c r="F58" s="76" t="s">
        <v>217</v>
      </c>
      <c r="G58" s="77" t="s">
        <v>57</v>
      </c>
      <c r="H58" s="77" t="s">
        <v>86</v>
      </c>
      <c r="I58" s="77" t="s">
        <v>109</v>
      </c>
      <c r="J58" s="77" t="s">
        <v>67</v>
      </c>
      <c r="K58" s="77" t="s">
        <v>63</v>
      </c>
      <c r="L58" s="77" t="s">
        <v>67</v>
      </c>
      <c r="M58" s="77"/>
      <c r="N58" s="76"/>
    </row>
  </sheetData>
  <autoFilter ref="A24:N58" xr:uid="{00000000-0001-0000-0500-000000000000}">
    <filterColumn colId="10">
      <filters blank="1">
        <filter val="Failed"/>
      </filters>
    </filterColumn>
  </autoFilter>
  <dataValidations count="1">
    <dataValidation allowBlank="1" showInputMessage="1" showErrorMessage="1" sqref="J24" xr:uid="{13872AAA-A822-43E7-B0AB-B54938D745A0}"/>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52873834-CC05-47F7-ADDB-251E59205D55}">
          <x14:formula1>
            <xm:f>Report!$A$20:$A$25</xm:f>
          </x14:formula1>
          <xm:sqref>M4 K1:L1048576 I24 J1:J23 J25:J58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sheetPr>
  <dimension ref="A1:M56"/>
  <sheetViews>
    <sheetView topLeftCell="A2" zoomScale="55" zoomScaleNormal="55" workbookViewId="0">
      <selection activeCell="A50" sqref="A50"/>
    </sheetView>
  </sheetViews>
  <sheetFormatPr defaultColWidth="8.7109375" defaultRowHeight="23.25" customHeight="1" outlineLevelRow="1"/>
  <cols>
    <col min="1" max="1" width="17.140625" customWidth="1"/>
    <col min="2" max="5" width="43" customWidth="1"/>
    <col min="6" max="6" width="57.42578125" customWidth="1"/>
    <col min="7" max="7" width="18" customWidth="1"/>
    <col min="8" max="8" width="8.28515625" customWidth="1"/>
    <col min="9" max="9" width="18.5703125" customWidth="1"/>
    <col min="10" max="10" width="16.140625" customWidth="1"/>
    <col min="11" max="11" width="16.7109375" customWidth="1"/>
    <col min="12" max="12" width="7" customWidth="1"/>
    <col min="13" max="13" width="6.42578125" customWidth="1"/>
  </cols>
  <sheetData>
    <row r="1" spans="1:5" ht="23.25" customHeight="1">
      <c r="A1" s="68" t="s">
        <v>82</v>
      </c>
      <c r="B1" s="68" t="str">
        <f>Cover!E11</f>
        <v>DỰ ÁN TRIỂN KHAI BẢN QUYỀN PHẦN MỀM HỆ THỐNG AML MỚI</v>
      </c>
    </row>
    <row r="2" spans="1:5" ht="23.25" customHeight="1">
      <c r="A2" s="68" t="s">
        <v>83</v>
      </c>
      <c r="B2" s="68" t="s">
        <v>84</v>
      </c>
    </row>
    <row r="4" spans="1:5" ht="23.25" customHeight="1">
      <c r="A4" s="100" t="s">
        <v>85</v>
      </c>
      <c r="B4" s="92"/>
      <c r="C4" s="92"/>
      <c r="D4" s="92"/>
      <c r="E4" s="92"/>
    </row>
    <row r="5" spans="1:5" ht="23.25" customHeight="1">
      <c r="A5" s="136"/>
      <c r="B5" s="136" t="s">
        <v>86</v>
      </c>
      <c r="C5" s="136" t="s">
        <v>87</v>
      </c>
      <c r="D5" s="136" t="s">
        <v>88</v>
      </c>
      <c r="E5" s="136" t="s">
        <v>68</v>
      </c>
    </row>
    <row r="6" spans="1:5" ht="23.25" customHeight="1">
      <c r="A6" s="137"/>
      <c r="B6" s="137">
        <f>SUM(B7:B11)</f>
        <v>13</v>
      </c>
      <c r="C6" s="137">
        <f>SUM(C7:C11)</f>
        <v>15</v>
      </c>
      <c r="D6" s="137">
        <f>SUM(D7:D11)</f>
        <v>0</v>
      </c>
      <c r="E6" s="137">
        <f t="shared" ref="E6" si="0">SUM(B6:D6)</f>
        <v>28</v>
      </c>
    </row>
    <row r="7" spans="1:5" ht="23.25" customHeight="1">
      <c r="A7" s="138" t="s">
        <v>63</v>
      </c>
      <c r="B7" s="139">
        <f>COUNTIFS($J:$J,$A7,$H:$H,B$5)</f>
        <v>13</v>
      </c>
      <c r="C7" s="139">
        <f t="shared" ref="C7:D12" si="1">COUNTIFS($J:$J,$A7,$H:$H,C$5)</f>
        <v>15</v>
      </c>
      <c r="D7" s="139">
        <f t="shared" si="1"/>
        <v>0</v>
      </c>
      <c r="E7" s="139">
        <f>SUM(B7:D7)</f>
        <v>28</v>
      </c>
    </row>
    <row r="8" spans="1:5" ht="23.25" customHeight="1">
      <c r="A8" s="138" t="s">
        <v>64</v>
      </c>
      <c r="B8" s="139">
        <f t="shared" ref="B8:B12" si="2">COUNTIFS($J:$J,$A8,$H:$H,B$5)</f>
        <v>0</v>
      </c>
      <c r="C8" s="139">
        <f t="shared" si="1"/>
        <v>0</v>
      </c>
      <c r="D8" s="139">
        <f t="shared" si="1"/>
        <v>0</v>
      </c>
      <c r="E8" s="139">
        <f t="shared" ref="E8:E12" si="3">SUM(B8:D8)</f>
        <v>0</v>
      </c>
    </row>
    <row r="9" spans="1:5" ht="23.25" customHeight="1">
      <c r="A9" s="138" t="s">
        <v>78</v>
      </c>
      <c r="B9" s="139">
        <f t="shared" si="2"/>
        <v>0</v>
      </c>
      <c r="C9" s="139">
        <f t="shared" si="1"/>
        <v>0</v>
      </c>
      <c r="D9" s="139">
        <f t="shared" si="1"/>
        <v>0</v>
      </c>
      <c r="E9" s="139">
        <f t="shared" si="3"/>
        <v>0</v>
      </c>
    </row>
    <row r="10" spans="1:5" ht="23.25" customHeight="1">
      <c r="A10" s="138" t="s">
        <v>79</v>
      </c>
      <c r="B10" s="139">
        <f t="shared" si="2"/>
        <v>0</v>
      </c>
      <c r="C10" s="139">
        <f t="shared" si="1"/>
        <v>0</v>
      </c>
      <c r="D10" s="139">
        <f t="shared" si="1"/>
        <v>0</v>
      </c>
      <c r="E10" s="139">
        <f t="shared" si="3"/>
        <v>0</v>
      </c>
    </row>
    <row r="11" spans="1:5" ht="23.25" customHeight="1">
      <c r="A11" s="138" t="s">
        <v>67</v>
      </c>
      <c r="B11" s="139">
        <f t="shared" si="2"/>
        <v>0</v>
      </c>
      <c r="C11" s="139">
        <f t="shared" si="1"/>
        <v>0</v>
      </c>
      <c r="D11" s="139">
        <f t="shared" si="1"/>
        <v>0</v>
      </c>
      <c r="E11" s="139">
        <f t="shared" si="3"/>
        <v>0</v>
      </c>
    </row>
    <row r="12" spans="1:5" ht="23.25" customHeight="1">
      <c r="A12" s="138" t="s">
        <v>80</v>
      </c>
      <c r="B12" s="139">
        <f t="shared" si="2"/>
        <v>0</v>
      </c>
      <c r="C12" s="139">
        <f t="shared" si="1"/>
        <v>0</v>
      </c>
      <c r="D12" s="139">
        <f t="shared" si="1"/>
        <v>0</v>
      </c>
      <c r="E12" s="139">
        <f t="shared" si="3"/>
        <v>0</v>
      </c>
    </row>
    <row r="13" spans="1:5" ht="23.25" customHeight="1">
      <c r="A13" s="135"/>
      <c r="B13" s="99"/>
      <c r="C13" s="99"/>
      <c r="D13" s="99"/>
      <c r="E13" s="99"/>
    </row>
    <row r="14" spans="1:5" ht="23.25" customHeight="1">
      <c r="A14" s="100" t="s">
        <v>89</v>
      </c>
      <c r="B14" s="92"/>
      <c r="C14" s="92"/>
      <c r="D14" s="92"/>
      <c r="E14" s="92"/>
    </row>
    <row r="15" spans="1:5" ht="23.25" customHeight="1">
      <c r="A15" s="136"/>
      <c r="B15" s="136" t="s">
        <v>86</v>
      </c>
      <c r="C15" s="136" t="s">
        <v>87</v>
      </c>
      <c r="D15" s="136" t="s">
        <v>88</v>
      </c>
      <c r="E15" s="136" t="s">
        <v>68</v>
      </c>
    </row>
    <row r="16" spans="1:5" ht="23.25" customHeight="1">
      <c r="A16" s="137"/>
      <c r="B16" s="137">
        <f>SUM(B17:B21)</f>
        <v>13</v>
      </c>
      <c r="C16" s="137">
        <f>SUM(C17:C21)</f>
        <v>15</v>
      </c>
      <c r="D16" s="137">
        <f>SUM(D17:D21)</f>
        <v>0</v>
      </c>
      <c r="E16" s="137">
        <f t="shared" ref="E16" si="4">SUM(B16:D16)</f>
        <v>28</v>
      </c>
    </row>
    <row r="17" spans="1:13" ht="23.25" customHeight="1">
      <c r="A17" s="138" t="s">
        <v>63</v>
      </c>
      <c r="B17" s="139">
        <f>COUNTIFS($K:$K,$A17,$H:$H,B$15)</f>
        <v>0</v>
      </c>
      <c r="C17" s="139">
        <f t="shared" ref="C17:D17" si="5">COUNTIFS($K:$K,$A17,$H:$H,C$15)</f>
        <v>0</v>
      </c>
      <c r="D17" s="139">
        <f t="shared" si="5"/>
        <v>0</v>
      </c>
      <c r="E17" s="139">
        <f>SUM(B17:D17)</f>
        <v>0</v>
      </c>
    </row>
    <row r="18" spans="1:13" ht="23.25" customHeight="1">
      <c r="A18" s="138" t="s">
        <v>64</v>
      </c>
      <c r="B18" s="139">
        <f t="shared" ref="B18:D22" si="6">COUNTIFS($K:$K,$A18,$H:$H,B$15)</f>
        <v>0</v>
      </c>
      <c r="C18" s="139">
        <f t="shared" si="6"/>
        <v>0</v>
      </c>
      <c r="D18" s="139">
        <f t="shared" si="6"/>
        <v>0</v>
      </c>
      <c r="E18" s="139">
        <f t="shared" ref="E18:E22" si="7">SUM(B18:D18)</f>
        <v>0</v>
      </c>
    </row>
    <row r="19" spans="1:13" ht="23.25" customHeight="1">
      <c r="A19" s="138" t="s">
        <v>78</v>
      </c>
      <c r="B19" s="139">
        <f t="shared" si="6"/>
        <v>0</v>
      </c>
      <c r="C19" s="139">
        <f t="shared" si="6"/>
        <v>0</v>
      </c>
      <c r="D19" s="139">
        <f t="shared" si="6"/>
        <v>0</v>
      </c>
      <c r="E19" s="139">
        <f t="shared" si="7"/>
        <v>0</v>
      </c>
    </row>
    <row r="20" spans="1:13" ht="23.25" customHeight="1">
      <c r="A20" s="138" t="s">
        <v>79</v>
      </c>
      <c r="B20" s="139">
        <f t="shared" si="6"/>
        <v>0</v>
      </c>
      <c r="C20" s="139">
        <f t="shared" si="6"/>
        <v>0</v>
      </c>
      <c r="D20" s="139">
        <f t="shared" si="6"/>
        <v>0</v>
      </c>
      <c r="E20" s="139">
        <f t="shared" si="7"/>
        <v>0</v>
      </c>
    </row>
    <row r="21" spans="1:13" ht="23.25" customHeight="1">
      <c r="A21" s="138" t="s">
        <v>67</v>
      </c>
      <c r="B21" s="139">
        <f t="shared" si="6"/>
        <v>13</v>
      </c>
      <c r="C21" s="139">
        <f t="shared" si="6"/>
        <v>15</v>
      </c>
      <c r="D21" s="139">
        <f t="shared" si="6"/>
        <v>0</v>
      </c>
      <c r="E21" s="139">
        <f t="shared" si="7"/>
        <v>28</v>
      </c>
    </row>
    <row r="22" spans="1:13" ht="23.25" customHeight="1">
      <c r="A22" s="138" t="s">
        <v>80</v>
      </c>
      <c r="B22" s="139">
        <f t="shared" si="6"/>
        <v>0</v>
      </c>
      <c r="C22" s="139">
        <f t="shared" si="6"/>
        <v>0</v>
      </c>
      <c r="D22" s="139">
        <f t="shared" si="6"/>
        <v>0</v>
      </c>
      <c r="E22" s="139">
        <f t="shared" si="7"/>
        <v>0</v>
      </c>
    </row>
    <row r="24" spans="1:13" ht="23.25" customHeight="1">
      <c r="A24" s="69" t="s">
        <v>90</v>
      </c>
      <c r="B24" s="69" t="s">
        <v>91</v>
      </c>
      <c r="C24" s="69" t="s">
        <v>92</v>
      </c>
      <c r="D24" s="69" t="s">
        <v>93</v>
      </c>
      <c r="E24" s="69" t="s">
        <v>94</v>
      </c>
      <c r="F24" s="69" t="s">
        <v>95</v>
      </c>
      <c r="G24" s="69" t="s">
        <v>56</v>
      </c>
      <c r="H24" s="72" t="s">
        <v>96</v>
      </c>
      <c r="I24" s="72" t="s">
        <v>97</v>
      </c>
      <c r="J24" s="134" t="s">
        <v>229</v>
      </c>
      <c r="K24" s="134" t="s">
        <v>230</v>
      </c>
      <c r="L24" s="69" t="s">
        <v>101</v>
      </c>
      <c r="M24" s="69" t="s">
        <v>102</v>
      </c>
    </row>
    <row r="25" spans="1:13" ht="23.25" customHeight="1">
      <c r="A25" s="73" t="s">
        <v>323</v>
      </c>
      <c r="B25" s="73" t="s">
        <v>104</v>
      </c>
      <c r="C25" s="74"/>
      <c r="D25" s="74"/>
      <c r="E25" s="74"/>
      <c r="F25" s="74"/>
      <c r="G25" s="74"/>
      <c r="H25" s="74"/>
      <c r="I25" s="74"/>
      <c r="J25" s="74"/>
      <c r="K25" s="74"/>
      <c r="L25" s="74"/>
      <c r="M25" s="74"/>
    </row>
    <row r="26" spans="1:13" ht="23.25" customHeight="1" outlineLevel="1">
      <c r="A26" s="75" t="s">
        <v>324</v>
      </c>
      <c r="B26" s="76" t="s">
        <v>106</v>
      </c>
      <c r="C26" s="76"/>
      <c r="D26" s="76" t="s">
        <v>325</v>
      </c>
      <c r="E26" s="76"/>
      <c r="F26" s="76" t="s">
        <v>326</v>
      </c>
      <c r="G26" s="77" t="s">
        <v>57</v>
      </c>
      <c r="H26" s="77" t="s">
        <v>87</v>
      </c>
      <c r="I26" s="77" t="s">
        <v>109</v>
      </c>
      <c r="J26" s="77" t="s">
        <v>63</v>
      </c>
      <c r="K26" s="77" t="s">
        <v>67</v>
      </c>
      <c r="L26" s="77"/>
      <c r="M26" s="76"/>
    </row>
    <row r="27" spans="1:13" ht="23.25" customHeight="1" outlineLevel="1">
      <c r="A27" s="75" t="s">
        <v>327</v>
      </c>
      <c r="B27" s="76" t="s">
        <v>111</v>
      </c>
      <c r="C27" s="76"/>
      <c r="D27" s="76" t="s">
        <v>328</v>
      </c>
      <c r="E27" s="76"/>
      <c r="F27" s="76" t="s">
        <v>113</v>
      </c>
      <c r="G27" s="77" t="s">
        <v>57</v>
      </c>
      <c r="H27" s="77" t="s">
        <v>87</v>
      </c>
      <c r="I27" s="77" t="s">
        <v>109</v>
      </c>
      <c r="J27" s="77" t="s">
        <v>63</v>
      </c>
      <c r="K27" s="77" t="s">
        <v>67</v>
      </c>
      <c r="L27" s="77"/>
      <c r="M27" s="76"/>
    </row>
    <row r="28" spans="1:13" ht="23.25" customHeight="1" outlineLevel="1">
      <c r="A28" s="75" t="s">
        <v>329</v>
      </c>
      <c r="B28" s="76" t="s">
        <v>115</v>
      </c>
      <c r="C28" s="76"/>
      <c r="D28" s="76" t="s">
        <v>330</v>
      </c>
      <c r="E28" s="76"/>
      <c r="F28" s="76" t="s">
        <v>113</v>
      </c>
      <c r="G28" s="77" t="s">
        <v>57</v>
      </c>
      <c r="H28" s="77" t="s">
        <v>87</v>
      </c>
      <c r="I28" s="77" t="s">
        <v>109</v>
      </c>
      <c r="J28" s="77" t="s">
        <v>63</v>
      </c>
      <c r="K28" s="77" t="s">
        <v>67</v>
      </c>
      <c r="L28" s="77"/>
      <c r="M28" s="76"/>
    </row>
    <row r="29" spans="1:13" ht="23.25" customHeight="1" outlineLevel="1">
      <c r="A29" s="75" t="s">
        <v>331</v>
      </c>
      <c r="B29" s="76" t="s">
        <v>332</v>
      </c>
      <c r="C29" s="76"/>
      <c r="D29" s="76" t="s">
        <v>333</v>
      </c>
      <c r="E29" s="76"/>
      <c r="F29" s="76" t="s">
        <v>334</v>
      </c>
      <c r="G29" s="77" t="s">
        <v>57</v>
      </c>
      <c r="H29" s="77" t="s">
        <v>87</v>
      </c>
      <c r="I29" s="77" t="s">
        <v>109</v>
      </c>
      <c r="J29" s="77" t="s">
        <v>63</v>
      </c>
      <c r="K29" s="77" t="s">
        <v>67</v>
      </c>
      <c r="L29" s="77"/>
      <c r="M29" s="76"/>
    </row>
    <row r="30" spans="1:13" ht="23.25" customHeight="1" outlineLevel="1">
      <c r="A30" s="75" t="s">
        <v>335</v>
      </c>
      <c r="B30" s="76" t="s">
        <v>126</v>
      </c>
      <c r="C30" s="76"/>
      <c r="D30" s="76" t="s">
        <v>336</v>
      </c>
      <c r="E30" s="76"/>
      <c r="F30" s="76" t="s">
        <v>128</v>
      </c>
      <c r="G30" s="77" t="s">
        <v>57</v>
      </c>
      <c r="H30" s="77" t="s">
        <v>87</v>
      </c>
      <c r="I30" s="77" t="s">
        <v>109</v>
      </c>
      <c r="J30" s="77" t="s">
        <v>63</v>
      </c>
      <c r="K30" s="77" t="s">
        <v>67</v>
      </c>
      <c r="L30" s="77"/>
      <c r="M30" s="76"/>
    </row>
    <row r="31" spans="1:13" ht="23.25" customHeight="1" outlineLevel="1">
      <c r="A31" s="75" t="s">
        <v>337</v>
      </c>
      <c r="B31" s="76" t="s">
        <v>130</v>
      </c>
      <c r="C31" s="76"/>
      <c r="D31" s="76" t="s">
        <v>338</v>
      </c>
      <c r="E31" s="76"/>
      <c r="F31" s="76" t="s">
        <v>132</v>
      </c>
      <c r="G31" s="77" t="s">
        <v>57</v>
      </c>
      <c r="H31" s="77" t="s">
        <v>87</v>
      </c>
      <c r="I31" s="77" t="s">
        <v>109</v>
      </c>
      <c r="J31" s="77" t="s">
        <v>63</v>
      </c>
      <c r="K31" s="77" t="s">
        <v>67</v>
      </c>
      <c r="L31" s="77"/>
      <c r="M31" s="76"/>
    </row>
    <row r="32" spans="1:13" ht="23.25" customHeight="1">
      <c r="A32" s="73" t="s">
        <v>339</v>
      </c>
      <c r="B32" s="73" t="s">
        <v>134</v>
      </c>
      <c r="C32" s="74"/>
      <c r="D32" s="74"/>
      <c r="E32" s="74"/>
      <c r="F32" s="74"/>
      <c r="G32" s="74"/>
      <c r="H32" s="74"/>
      <c r="I32" s="74"/>
      <c r="J32" s="74"/>
      <c r="K32" s="74"/>
      <c r="L32" s="74"/>
      <c r="M32" s="74"/>
    </row>
    <row r="33" spans="1:13" ht="23.25" customHeight="1" outlineLevel="1">
      <c r="A33" s="75" t="s">
        <v>340</v>
      </c>
      <c r="B33" s="76" t="s">
        <v>136</v>
      </c>
      <c r="C33" s="76" t="s">
        <v>341</v>
      </c>
      <c r="D33" s="76" t="s">
        <v>342</v>
      </c>
      <c r="E33" s="76"/>
      <c r="F33" s="76" t="s">
        <v>343</v>
      </c>
      <c r="G33" s="77" t="s">
        <v>57</v>
      </c>
      <c r="H33" s="77" t="s">
        <v>86</v>
      </c>
      <c r="I33" s="77" t="s">
        <v>109</v>
      </c>
      <c r="J33" s="77" t="s">
        <v>63</v>
      </c>
      <c r="K33" s="77" t="s">
        <v>67</v>
      </c>
      <c r="L33" s="77"/>
      <c r="M33" s="76"/>
    </row>
    <row r="34" spans="1:13" ht="23.25" customHeight="1" outlineLevel="1">
      <c r="A34" s="75" t="s">
        <v>344</v>
      </c>
      <c r="B34" s="76" t="s">
        <v>345</v>
      </c>
      <c r="C34" s="76" t="s">
        <v>341</v>
      </c>
      <c r="D34" s="76" t="s">
        <v>342</v>
      </c>
      <c r="E34" s="76"/>
      <c r="F34" s="76" t="s">
        <v>346</v>
      </c>
      <c r="G34" s="77" t="s">
        <v>57</v>
      </c>
      <c r="H34" s="77" t="s">
        <v>87</v>
      </c>
      <c r="I34" s="77" t="s">
        <v>109</v>
      </c>
      <c r="J34" s="77" t="s">
        <v>63</v>
      </c>
      <c r="K34" s="77" t="s">
        <v>67</v>
      </c>
      <c r="L34" s="77"/>
      <c r="M34" s="76"/>
    </row>
    <row r="35" spans="1:13" ht="23.25" customHeight="1" outlineLevel="1">
      <c r="A35" s="75" t="s">
        <v>347</v>
      </c>
      <c r="B35" s="76" t="s">
        <v>348</v>
      </c>
      <c r="C35" s="76" t="s">
        <v>341</v>
      </c>
      <c r="D35" s="76" t="s">
        <v>342</v>
      </c>
      <c r="E35" s="76"/>
      <c r="F35" s="76" t="s">
        <v>349</v>
      </c>
      <c r="G35" s="77" t="s">
        <v>57</v>
      </c>
      <c r="H35" s="77" t="s">
        <v>87</v>
      </c>
      <c r="I35" s="77" t="s">
        <v>109</v>
      </c>
      <c r="J35" s="77" t="s">
        <v>63</v>
      </c>
      <c r="K35" s="77" t="s">
        <v>67</v>
      </c>
      <c r="L35" s="77"/>
      <c r="M35" s="76"/>
    </row>
    <row r="36" spans="1:13" ht="23.25" customHeight="1" outlineLevel="1">
      <c r="A36" s="75" t="s">
        <v>350</v>
      </c>
      <c r="B36" s="76" t="s">
        <v>351</v>
      </c>
      <c r="C36" s="76" t="s">
        <v>341</v>
      </c>
      <c r="D36" s="76" t="s">
        <v>342</v>
      </c>
      <c r="E36" s="76"/>
      <c r="F36" s="76" t="s">
        <v>352</v>
      </c>
      <c r="G36" s="77" t="s">
        <v>57</v>
      </c>
      <c r="H36" s="77" t="s">
        <v>87</v>
      </c>
      <c r="I36" s="77" t="s">
        <v>109</v>
      </c>
      <c r="J36" s="77" t="s">
        <v>63</v>
      </c>
      <c r="K36" s="77" t="s">
        <v>67</v>
      </c>
      <c r="L36" s="77"/>
      <c r="M36" s="76"/>
    </row>
    <row r="37" spans="1:13" ht="23.25" customHeight="1" outlineLevel="1">
      <c r="A37" s="75" t="s">
        <v>353</v>
      </c>
      <c r="B37" s="76" t="s">
        <v>354</v>
      </c>
      <c r="C37" s="76" t="s">
        <v>341</v>
      </c>
      <c r="D37" s="76" t="s">
        <v>342</v>
      </c>
      <c r="E37" s="76"/>
      <c r="F37" s="76" t="s">
        <v>355</v>
      </c>
      <c r="G37" s="77" t="s">
        <v>57</v>
      </c>
      <c r="H37" s="77" t="s">
        <v>87</v>
      </c>
      <c r="I37" s="77" t="s">
        <v>109</v>
      </c>
      <c r="J37" s="77" t="s">
        <v>63</v>
      </c>
      <c r="K37" s="77" t="s">
        <v>67</v>
      </c>
      <c r="L37" s="77"/>
      <c r="M37" s="76"/>
    </row>
    <row r="38" spans="1:13" ht="23.25" customHeight="1" outlineLevel="1">
      <c r="A38" s="82" t="s">
        <v>356</v>
      </c>
      <c r="B38" s="78" t="s">
        <v>357</v>
      </c>
      <c r="C38" s="83" t="s">
        <v>341</v>
      </c>
      <c r="D38" s="78" t="s">
        <v>342</v>
      </c>
      <c r="E38" s="84"/>
      <c r="F38" s="78" t="s">
        <v>358</v>
      </c>
      <c r="G38" s="85" t="s">
        <v>57</v>
      </c>
      <c r="H38" s="85" t="s">
        <v>87</v>
      </c>
      <c r="I38" s="85" t="s">
        <v>109</v>
      </c>
      <c r="J38" s="77" t="s">
        <v>63</v>
      </c>
      <c r="K38" s="77" t="s">
        <v>67</v>
      </c>
      <c r="L38" s="85"/>
      <c r="M38" s="76"/>
    </row>
    <row r="39" spans="1:13" ht="23.25" customHeight="1" outlineLevel="1">
      <c r="A39" s="75" t="s">
        <v>359</v>
      </c>
      <c r="B39" s="76" t="s">
        <v>360</v>
      </c>
      <c r="C39" s="76" t="s">
        <v>341</v>
      </c>
      <c r="D39" s="76" t="s">
        <v>342</v>
      </c>
      <c r="E39" s="76"/>
      <c r="F39" s="76" t="s">
        <v>361</v>
      </c>
      <c r="G39" s="77" t="s">
        <v>57</v>
      </c>
      <c r="H39" s="77" t="s">
        <v>87</v>
      </c>
      <c r="I39" s="77" t="s">
        <v>109</v>
      </c>
      <c r="J39" s="77" t="s">
        <v>63</v>
      </c>
      <c r="K39" s="77" t="s">
        <v>67</v>
      </c>
      <c r="L39" s="77"/>
      <c r="M39" s="80"/>
    </row>
    <row r="40" spans="1:13" ht="23.25" customHeight="1" outlineLevel="1">
      <c r="A40" s="86" t="s">
        <v>362</v>
      </c>
      <c r="B40" s="87" t="s">
        <v>363</v>
      </c>
      <c r="C40" s="88" t="s">
        <v>341</v>
      </c>
      <c r="D40" s="87" t="s">
        <v>342</v>
      </c>
      <c r="E40" s="89"/>
      <c r="F40" s="87" t="s">
        <v>364</v>
      </c>
      <c r="G40" s="90" t="s">
        <v>57</v>
      </c>
      <c r="H40" s="90" t="s">
        <v>87</v>
      </c>
      <c r="I40" s="90" t="s">
        <v>109</v>
      </c>
      <c r="J40" s="77" t="s">
        <v>63</v>
      </c>
      <c r="K40" s="77" t="s">
        <v>67</v>
      </c>
      <c r="L40" s="90"/>
      <c r="M40" s="76"/>
    </row>
    <row r="41" spans="1:13" ht="23.25" customHeight="1" outlineLevel="1">
      <c r="A41" s="75" t="s">
        <v>365</v>
      </c>
      <c r="B41" s="76" t="s">
        <v>366</v>
      </c>
      <c r="C41" s="76" t="s">
        <v>341</v>
      </c>
      <c r="D41" s="76" t="s">
        <v>342</v>
      </c>
      <c r="E41" s="76"/>
      <c r="F41" s="76" t="s">
        <v>367</v>
      </c>
      <c r="G41" s="77" t="s">
        <v>57</v>
      </c>
      <c r="H41" s="77" t="s">
        <v>87</v>
      </c>
      <c r="I41" s="77" t="s">
        <v>109</v>
      </c>
      <c r="J41" s="77" t="s">
        <v>63</v>
      </c>
      <c r="K41" s="77" t="s">
        <v>67</v>
      </c>
      <c r="L41" s="77"/>
      <c r="M41" s="80"/>
    </row>
    <row r="42" spans="1:13" ht="23.25" customHeight="1" outlineLevel="1">
      <c r="A42" s="86" t="s">
        <v>368</v>
      </c>
      <c r="B42" s="87" t="s">
        <v>369</v>
      </c>
      <c r="C42" s="88" t="s">
        <v>341</v>
      </c>
      <c r="D42" s="87" t="s">
        <v>342</v>
      </c>
      <c r="E42" s="89"/>
      <c r="F42" s="87" t="s">
        <v>370</v>
      </c>
      <c r="G42" s="90" t="s">
        <v>57</v>
      </c>
      <c r="H42" s="90" t="s">
        <v>87</v>
      </c>
      <c r="I42" s="90" t="s">
        <v>109</v>
      </c>
      <c r="J42" s="77" t="s">
        <v>63</v>
      </c>
      <c r="K42" s="77" t="s">
        <v>67</v>
      </c>
      <c r="L42" s="90"/>
      <c r="M42" s="76"/>
    </row>
    <row r="43" spans="1:13" ht="23.25" customHeight="1" outlineLevel="1">
      <c r="A43" s="73" t="s">
        <v>371</v>
      </c>
      <c r="B43" s="73" t="s">
        <v>181</v>
      </c>
      <c r="C43" s="74"/>
      <c r="D43" s="81"/>
      <c r="E43" s="74"/>
      <c r="F43" s="74"/>
      <c r="G43" s="74"/>
      <c r="H43" s="74"/>
      <c r="I43" s="74"/>
      <c r="J43" s="74"/>
      <c r="K43" s="74"/>
      <c r="L43" s="74"/>
      <c r="M43" s="74"/>
    </row>
    <row r="44" spans="1:13" ht="23.25" customHeight="1" outlineLevel="1">
      <c r="A44" s="75" t="s">
        <v>372</v>
      </c>
      <c r="B44" s="76" t="s">
        <v>183</v>
      </c>
      <c r="C44" s="76"/>
      <c r="D44" s="76" t="s">
        <v>373</v>
      </c>
      <c r="E44" s="76"/>
      <c r="F44" s="76" t="s">
        <v>185</v>
      </c>
      <c r="G44" s="77" t="s">
        <v>57</v>
      </c>
      <c r="H44" s="77" t="s">
        <v>86</v>
      </c>
      <c r="I44" s="77" t="s">
        <v>109</v>
      </c>
      <c r="J44" s="77" t="s">
        <v>63</v>
      </c>
      <c r="K44" s="77" t="s">
        <v>67</v>
      </c>
      <c r="L44" s="77"/>
      <c r="M44" s="76"/>
    </row>
    <row r="45" spans="1:13" ht="23.25" customHeight="1">
      <c r="A45" s="75" t="s">
        <v>374</v>
      </c>
      <c r="B45" s="76" t="s">
        <v>187</v>
      </c>
      <c r="C45" s="76"/>
      <c r="D45" s="76" t="s">
        <v>375</v>
      </c>
      <c r="E45" s="76"/>
      <c r="F45" s="76" t="s">
        <v>189</v>
      </c>
      <c r="G45" s="77" t="s">
        <v>57</v>
      </c>
      <c r="H45" s="77" t="s">
        <v>86</v>
      </c>
      <c r="I45" s="77" t="s">
        <v>109</v>
      </c>
      <c r="J45" s="77" t="s">
        <v>63</v>
      </c>
      <c r="K45" s="77" t="s">
        <v>67</v>
      </c>
      <c r="L45" s="77"/>
      <c r="M45" s="76"/>
    </row>
    <row r="46" spans="1:13" ht="23.25" customHeight="1">
      <c r="A46" s="73" t="s">
        <v>376</v>
      </c>
      <c r="B46" s="73" t="s">
        <v>282</v>
      </c>
      <c r="C46" s="74"/>
      <c r="D46" s="74"/>
      <c r="E46" s="74"/>
      <c r="F46" s="74"/>
      <c r="G46" s="74"/>
      <c r="H46" s="74"/>
      <c r="I46" s="74"/>
      <c r="J46" s="74"/>
      <c r="K46" s="74"/>
      <c r="L46" s="74"/>
      <c r="M46" s="74"/>
    </row>
    <row r="47" spans="1:13" ht="23.25" customHeight="1">
      <c r="A47" s="75" t="s">
        <v>377</v>
      </c>
      <c r="B47" s="76" t="s">
        <v>194</v>
      </c>
      <c r="C47" s="76"/>
      <c r="D47" s="76" t="s">
        <v>378</v>
      </c>
      <c r="E47" s="76"/>
      <c r="F47" s="76" t="s">
        <v>196</v>
      </c>
      <c r="G47" s="77" t="s">
        <v>57</v>
      </c>
      <c r="H47" s="77" t="s">
        <v>86</v>
      </c>
      <c r="I47" s="77" t="s">
        <v>109</v>
      </c>
      <c r="J47" s="77" t="s">
        <v>63</v>
      </c>
      <c r="K47" s="77" t="s">
        <v>67</v>
      </c>
      <c r="L47" s="77"/>
      <c r="M47" s="76"/>
    </row>
    <row r="48" spans="1:13" ht="23.25" customHeight="1">
      <c r="A48" s="75" t="s">
        <v>379</v>
      </c>
      <c r="B48" s="76" t="s">
        <v>198</v>
      </c>
      <c r="C48" s="76"/>
      <c r="D48" s="76" t="s">
        <v>380</v>
      </c>
      <c r="E48" s="76"/>
      <c r="F48" s="76" t="s">
        <v>196</v>
      </c>
      <c r="G48" s="77" t="s">
        <v>57</v>
      </c>
      <c r="H48" s="77" t="s">
        <v>86</v>
      </c>
      <c r="I48" s="77" t="s">
        <v>109</v>
      </c>
      <c r="J48" s="77" t="s">
        <v>63</v>
      </c>
      <c r="K48" s="77" t="s">
        <v>67</v>
      </c>
      <c r="L48" s="77"/>
      <c r="M48" s="76"/>
    </row>
    <row r="49" spans="1:13" ht="23.25" customHeight="1">
      <c r="A49" s="75" t="s">
        <v>381</v>
      </c>
      <c r="B49" s="76" t="s">
        <v>201</v>
      </c>
      <c r="C49" s="76"/>
      <c r="D49" s="76" t="s">
        <v>382</v>
      </c>
      <c r="E49" s="76"/>
      <c r="F49" s="76" t="s">
        <v>383</v>
      </c>
      <c r="G49" s="77" t="s">
        <v>57</v>
      </c>
      <c r="H49" s="77" t="s">
        <v>86</v>
      </c>
      <c r="I49" s="77" t="s">
        <v>109</v>
      </c>
      <c r="J49" s="77" t="s">
        <v>63</v>
      </c>
      <c r="K49" s="77" t="s">
        <v>67</v>
      </c>
      <c r="L49" s="77"/>
      <c r="M49" s="76"/>
    </row>
    <row r="50" spans="1:13" ht="23.25" customHeight="1">
      <c r="A50" s="75" t="s">
        <v>384</v>
      </c>
      <c r="B50" s="76" t="s">
        <v>385</v>
      </c>
      <c r="C50" s="76" t="s">
        <v>386</v>
      </c>
      <c r="D50" s="76" t="s">
        <v>387</v>
      </c>
      <c r="E50" s="76" t="s">
        <v>388</v>
      </c>
      <c r="F50" s="76" t="s">
        <v>389</v>
      </c>
      <c r="G50" s="77" t="s">
        <v>57</v>
      </c>
      <c r="H50" s="77" t="s">
        <v>86</v>
      </c>
      <c r="I50" s="77" t="s">
        <v>109</v>
      </c>
      <c r="J50" s="77" t="s">
        <v>63</v>
      </c>
      <c r="K50" s="77" t="s">
        <v>67</v>
      </c>
      <c r="L50" s="77"/>
      <c r="M50" s="76"/>
    </row>
    <row r="51" spans="1:13" ht="23.25" customHeight="1">
      <c r="A51" s="75" t="s">
        <v>390</v>
      </c>
      <c r="B51" s="76" t="s">
        <v>391</v>
      </c>
      <c r="C51" s="76"/>
      <c r="D51" s="76" t="s">
        <v>392</v>
      </c>
      <c r="E51" s="76"/>
      <c r="F51" s="76" t="s">
        <v>393</v>
      </c>
      <c r="G51" s="77" t="s">
        <v>57</v>
      </c>
      <c r="H51" s="77" t="s">
        <v>86</v>
      </c>
      <c r="I51" s="77" t="s">
        <v>109</v>
      </c>
      <c r="J51" s="77" t="s">
        <v>63</v>
      </c>
      <c r="K51" s="77" t="s">
        <v>67</v>
      </c>
      <c r="L51" s="77"/>
      <c r="M51" s="76"/>
    </row>
    <row r="52" spans="1:13" ht="23.25" customHeight="1">
      <c r="A52" s="75" t="s">
        <v>394</v>
      </c>
      <c r="B52" s="76" t="s">
        <v>395</v>
      </c>
      <c r="C52" s="76"/>
      <c r="D52" s="76" t="s">
        <v>396</v>
      </c>
      <c r="E52" s="76"/>
      <c r="F52" s="76" t="s">
        <v>397</v>
      </c>
      <c r="G52" s="77" t="s">
        <v>57</v>
      </c>
      <c r="H52" s="77" t="s">
        <v>86</v>
      </c>
      <c r="I52" s="77" t="s">
        <v>109</v>
      </c>
      <c r="J52" s="77" t="s">
        <v>63</v>
      </c>
      <c r="K52" s="77" t="s">
        <v>67</v>
      </c>
      <c r="L52" s="77"/>
      <c r="M52" s="76"/>
    </row>
    <row r="53" spans="1:13" ht="23.25" customHeight="1">
      <c r="A53" s="75" t="s">
        <v>398</v>
      </c>
      <c r="B53" s="76" t="s">
        <v>399</v>
      </c>
      <c r="C53" s="76"/>
      <c r="D53" s="76" t="s">
        <v>396</v>
      </c>
      <c r="E53" s="76"/>
      <c r="F53" s="76" t="s">
        <v>397</v>
      </c>
      <c r="G53" s="77" t="s">
        <v>57</v>
      </c>
      <c r="H53" s="77" t="s">
        <v>86</v>
      </c>
      <c r="I53" s="77" t="s">
        <v>109</v>
      </c>
      <c r="J53" s="77" t="s">
        <v>63</v>
      </c>
      <c r="K53" s="77" t="s">
        <v>67</v>
      </c>
      <c r="L53" s="77"/>
      <c r="M53" s="76"/>
    </row>
    <row r="54" spans="1:13" ht="23.25" customHeight="1">
      <c r="A54" s="75" t="s">
        <v>400</v>
      </c>
      <c r="B54" s="76" t="s">
        <v>401</v>
      </c>
      <c r="C54" s="76"/>
      <c r="D54" s="76" t="s">
        <v>396</v>
      </c>
      <c r="E54" s="76"/>
      <c r="F54" s="76" t="s">
        <v>397</v>
      </c>
      <c r="G54" s="77" t="s">
        <v>57</v>
      </c>
      <c r="H54" s="77" t="s">
        <v>86</v>
      </c>
      <c r="I54" s="77" t="s">
        <v>109</v>
      </c>
      <c r="J54" s="77" t="s">
        <v>63</v>
      </c>
      <c r="K54" s="77" t="s">
        <v>67</v>
      </c>
      <c r="L54" s="77"/>
      <c r="M54" s="76"/>
    </row>
    <row r="55" spans="1:13" ht="23.25" customHeight="1">
      <c r="A55" s="75" t="s">
        <v>402</v>
      </c>
      <c r="B55" s="76" t="s">
        <v>403</v>
      </c>
      <c r="C55" s="76"/>
      <c r="D55" s="76" t="s">
        <v>396</v>
      </c>
      <c r="E55" s="76"/>
      <c r="F55" s="76" t="s">
        <v>397</v>
      </c>
      <c r="G55" s="77" t="s">
        <v>57</v>
      </c>
      <c r="H55" s="77" t="s">
        <v>86</v>
      </c>
      <c r="I55" s="77" t="s">
        <v>109</v>
      </c>
      <c r="J55" s="77" t="s">
        <v>63</v>
      </c>
      <c r="K55" s="77" t="s">
        <v>67</v>
      </c>
      <c r="L55" s="77"/>
      <c r="M55" s="76"/>
    </row>
    <row r="56" spans="1:13" ht="23.25" customHeight="1">
      <c r="A56" s="75" t="s">
        <v>404</v>
      </c>
      <c r="B56" s="76" t="s">
        <v>405</v>
      </c>
      <c r="C56" s="76"/>
      <c r="D56" s="76" t="s">
        <v>396</v>
      </c>
      <c r="E56" s="76"/>
      <c r="F56" s="76" t="s">
        <v>397</v>
      </c>
      <c r="G56" s="77" t="s">
        <v>57</v>
      </c>
      <c r="H56" s="77" t="s">
        <v>86</v>
      </c>
      <c r="I56" s="77" t="s">
        <v>109</v>
      </c>
      <c r="J56" s="77" t="s">
        <v>63</v>
      </c>
      <c r="K56" s="77" t="s">
        <v>67</v>
      </c>
      <c r="L56" s="77"/>
      <c r="M56" s="76"/>
    </row>
  </sheetData>
  <autoFilter ref="A24:N56" xr:uid="{65C45EB3-7C57-4557-B4EE-366A68166238}"/>
  <dataValidations count="1">
    <dataValidation allowBlank="1" showInputMessage="1" showErrorMessage="1" sqref="J1:J25 J32 J43 J46 J57:J1048576" xr:uid="{053099E9-4FE7-4503-8A07-4399279E72A8}"/>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3948C477-DDA9-4388-9DB5-81E4EEA43FA9}">
          <x14:formula1>
            <xm:f>Report!$A$20:$A$25</xm:f>
          </x14:formula1>
          <xm:sqref>J26:K31 J33:K42 J44:K45 J47:K56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M46"/>
  <sheetViews>
    <sheetView zoomScale="55" zoomScaleNormal="55" workbookViewId="0">
      <selection activeCell="E32" sqref="E32"/>
    </sheetView>
  </sheetViews>
  <sheetFormatPr defaultColWidth="8.7109375" defaultRowHeight="19.5" customHeight="1" outlineLevelRow="1"/>
  <cols>
    <col min="1" max="1" width="17.140625" customWidth="1"/>
    <col min="2" max="2" width="40.5703125" customWidth="1"/>
    <col min="3" max="3" width="14.5703125" customWidth="1"/>
    <col min="4" max="4" width="45" customWidth="1"/>
    <col min="5" max="5" width="32.5703125" customWidth="1"/>
    <col min="6" max="6" width="57.42578125" customWidth="1"/>
    <col min="7" max="7" width="18" customWidth="1"/>
    <col min="8" max="8" width="8.28515625" customWidth="1"/>
    <col min="9" max="9" width="18.5703125" customWidth="1"/>
    <col min="10" max="10" width="16.140625" customWidth="1"/>
    <col min="11" max="11" width="16.7109375" customWidth="1"/>
    <col min="12" max="12" width="7" customWidth="1"/>
    <col min="13" max="13" width="38" customWidth="1"/>
  </cols>
  <sheetData>
    <row r="1" spans="1:5" ht="19.5" customHeight="1">
      <c r="A1" s="68" t="s">
        <v>82</v>
      </c>
      <c r="B1" s="68" t="str">
        <f>Cover!E11</f>
        <v>DỰ ÁN TRIỂN KHAI BẢN QUYỀN PHẦN MỀM HỆ THỐNG AML MỚI</v>
      </c>
    </row>
    <row r="2" spans="1:5" ht="19.5" customHeight="1">
      <c r="A2" s="68" t="s">
        <v>83</v>
      </c>
      <c r="B2" s="68" t="s">
        <v>84</v>
      </c>
    </row>
    <row r="4" spans="1:5" ht="19.5" customHeight="1">
      <c r="A4" s="100" t="s">
        <v>85</v>
      </c>
      <c r="B4" s="92"/>
      <c r="C4" s="92"/>
      <c r="D4" s="92"/>
      <c r="E4" s="92"/>
    </row>
    <row r="5" spans="1:5" ht="19.5" customHeight="1">
      <c r="A5" s="136"/>
      <c r="B5" s="136" t="s">
        <v>86</v>
      </c>
      <c r="C5" s="136" t="s">
        <v>87</v>
      </c>
      <c r="D5" s="136" t="s">
        <v>88</v>
      </c>
      <c r="E5" s="136" t="s">
        <v>68</v>
      </c>
    </row>
    <row r="6" spans="1:5" ht="19.5" customHeight="1">
      <c r="A6" s="137"/>
      <c r="B6" s="137">
        <f>SUM(B7:B11)</f>
        <v>8</v>
      </c>
      <c r="C6" s="137">
        <f>SUM(C7:C11)</f>
        <v>10</v>
      </c>
      <c r="D6" s="137">
        <f>SUM(D7:D11)</f>
        <v>0</v>
      </c>
      <c r="E6" s="137">
        <f t="shared" ref="E6" si="0">SUM(B6:D6)</f>
        <v>18</v>
      </c>
    </row>
    <row r="7" spans="1:5" ht="19.5" customHeight="1">
      <c r="A7" s="138" t="s">
        <v>63</v>
      </c>
      <c r="B7" s="139">
        <f>COUNTIFS($J:$J,$A7,$H:$H,B$5)</f>
        <v>8</v>
      </c>
      <c r="C7" s="139">
        <f t="shared" ref="C7:D12" si="1">COUNTIFS($J:$J,$A7,$H:$H,C$5)</f>
        <v>10</v>
      </c>
      <c r="D7" s="139">
        <f t="shared" si="1"/>
        <v>0</v>
      </c>
      <c r="E7" s="139">
        <f>SUM(B7:D7)</f>
        <v>18</v>
      </c>
    </row>
    <row r="8" spans="1:5" ht="19.5" customHeight="1">
      <c r="A8" s="138" t="s">
        <v>64</v>
      </c>
      <c r="B8" s="139">
        <f t="shared" ref="B8:B12" si="2">COUNTIFS($J:$J,$A8,$H:$H,B$5)</f>
        <v>0</v>
      </c>
      <c r="C8" s="139">
        <f t="shared" si="1"/>
        <v>0</v>
      </c>
      <c r="D8" s="139">
        <f t="shared" si="1"/>
        <v>0</v>
      </c>
      <c r="E8" s="139">
        <f t="shared" ref="E8:E12" si="3">SUM(B8:D8)</f>
        <v>0</v>
      </c>
    </row>
    <row r="9" spans="1:5" ht="19.5" customHeight="1">
      <c r="A9" s="138" t="s">
        <v>78</v>
      </c>
      <c r="B9" s="139">
        <f t="shared" si="2"/>
        <v>0</v>
      </c>
      <c r="C9" s="139">
        <f t="shared" si="1"/>
        <v>0</v>
      </c>
      <c r="D9" s="139">
        <f t="shared" si="1"/>
        <v>0</v>
      </c>
      <c r="E9" s="139">
        <f t="shared" si="3"/>
        <v>0</v>
      </c>
    </row>
    <row r="10" spans="1:5" ht="19.5" customHeight="1">
      <c r="A10" s="138" t="s">
        <v>79</v>
      </c>
      <c r="B10" s="139">
        <f t="shared" si="2"/>
        <v>0</v>
      </c>
      <c r="C10" s="139">
        <f t="shared" si="1"/>
        <v>0</v>
      </c>
      <c r="D10" s="139">
        <f t="shared" si="1"/>
        <v>0</v>
      </c>
      <c r="E10" s="139">
        <f t="shared" si="3"/>
        <v>0</v>
      </c>
    </row>
    <row r="11" spans="1:5" ht="19.5" customHeight="1">
      <c r="A11" s="138" t="s">
        <v>67</v>
      </c>
      <c r="B11" s="139">
        <f t="shared" si="2"/>
        <v>0</v>
      </c>
      <c r="C11" s="139">
        <f t="shared" si="1"/>
        <v>0</v>
      </c>
      <c r="D11" s="139">
        <f t="shared" si="1"/>
        <v>0</v>
      </c>
      <c r="E11" s="139">
        <f t="shared" si="3"/>
        <v>0</v>
      </c>
    </row>
    <row r="12" spans="1:5" ht="19.5" customHeight="1">
      <c r="A12" s="138" t="s">
        <v>80</v>
      </c>
      <c r="B12" s="139">
        <f t="shared" si="2"/>
        <v>0</v>
      </c>
      <c r="C12" s="139">
        <f t="shared" si="1"/>
        <v>0</v>
      </c>
      <c r="D12" s="139">
        <f t="shared" si="1"/>
        <v>0</v>
      </c>
      <c r="E12" s="139">
        <f t="shared" si="3"/>
        <v>0</v>
      </c>
    </row>
    <row r="13" spans="1:5" ht="19.5" customHeight="1">
      <c r="A13" s="135"/>
      <c r="B13" s="99"/>
      <c r="C13" s="99"/>
      <c r="D13" s="99"/>
      <c r="E13" s="99"/>
    </row>
    <row r="14" spans="1:5" ht="19.5" customHeight="1">
      <c r="A14" s="100" t="s">
        <v>89</v>
      </c>
      <c r="B14" s="92"/>
      <c r="C14" s="92"/>
      <c r="D14" s="92"/>
      <c r="E14" s="92"/>
    </row>
    <row r="15" spans="1:5" ht="19.5" customHeight="1">
      <c r="A15" s="136"/>
      <c r="B15" s="136" t="s">
        <v>86</v>
      </c>
      <c r="C15" s="136" t="s">
        <v>87</v>
      </c>
      <c r="D15" s="136" t="s">
        <v>88</v>
      </c>
      <c r="E15" s="136" t="s">
        <v>68</v>
      </c>
    </row>
    <row r="16" spans="1:5" ht="19.5" customHeight="1">
      <c r="A16" s="137"/>
      <c r="B16" s="137">
        <f>SUM(B17:B21)</f>
        <v>8</v>
      </c>
      <c r="C16" s="137">
        <f>SUM(C17:C21)</f>
        <v>10</v>
      </c>
      <c r="D16" s="137">
        <f>SUM(D17:D21)</f>
        <v>0</v>
      </c>
      <c r="E16" s="137">
        <f t="shared" ref="E16" si="4">SUM(B16:D16)</f>
        <v>18</v>
      </c>
    </row>
    <row r="17" spans="1:13" ht="19.5" customHeight="1">
      <c r="A17" s="138" t="s">
        <v>63</v>
      </c>
      <c r="B17" s="139">
        <f>COUNTIFS($K:$K,$A17,$H:$H,B$15)</f>
        <v>0</v>
      </c>
      <c r="C17" s="139">
        <f t="shared" ref="C17:D22" si="5">COUNTIFS($K:$K,$A17,$H:$H,C$15)</f>
        <v>0</v>
      </c>
      <c r="D17" s="139">
        <f t="shared" si="5"/>
        <v>0</v>
      </c>
      <c r="E17" s="139">
        <f>SUM(B17:D17)</f>
        <v>0</v>
      </c>
    </row>
    <row r="18" spans="1:13" ht="19.5" customHeight="1">
      <c r="A18" s="138" t="s">
        <v>64</v>
      </c>
      <c r="B18" s="139">
        <f t="shared" ref="B18:B22" si="6">COUNTIFS($K:$K,$A18,$H:$H,B$15)</f>
        <v>0</v>
      </c>
      <c r="C18" s="139">
        <f t="shared" si="5"/>
        <v>0</v>
      </c>
      <c r="D18" s="139">
        <f t="shared" si="5"/>
        <v>0</v>
      </c>
      <c r="E18" s="139">
        <f t="shared" ref="E18:E22" si="7">SUM(B18:D18)</f>
        <v>0</v>
      </c>
    </row>
    <row r="19" spans="1:13" ht="19.5" customHeight="1">
      <c r="A19" s="138" t="s">
        <v>78</v>
      </c>
      <c r="B19" s="139">
        <f t="shared" si="6"/>
        <v>0</v>
      </c>
      <c r="C19" s="139">
        <f t="shared" si="5"/>
        <v>0</v>
      </c>
      <c r="D19" s="139">
        <f>COUNTIFS($K:$K,$A19,$H:$H,D$15)</f>
        <v>0</v>
      </c>
      <c r="E19" s="139">
        <f>SUM(B19:D19)</f>
        <v>0</v>
      </c>
    </row>
    <row r="20" spans="1:13" ht="19.5" customHeight="1">
      <c r="A20" s="138" t="s">
        <v>79</v>
      </c>
      <c r="B20" s="139">
        <f t="shared" si="6"/>
        <v>0</v>
      </c>
      <c r="C20" s="139">
        <f t="shared" si="5"/>
        <v>0</v>
      </c>
      <c r="D20" s="139">
        <f t="shared" si="5"/>
        <v>0</v>
      </c>
      <c r="E20" s="139">
        <f t="shared" si="7"/>
        <v>0</v>
      </c>
    </row>
    <row r="21" spans="1:13" ht="19.5" customHeight="1">
      <c r="A21" s="138" t="s">
        <v>67</v>
      </c>
      <c r="B21" s="139">
        <f t="shared" si="6"/>
        <v>8</v>
      </c>
      <c r="C21" s="139">
        <f t="shared" si="5"/>
        <v>10</v>
      </c>
      <c r="D21" s="139">
        <f t="shared" si="5"/>
        <v>0</v>
      </c>
      <c r="E21" s="139">
        <f t="shared" si="7"/>
        <v>18</v>
      </c>
    </row>
    <row r="22" spans="1:13" ht="19.5" customHeight="1">
      <c r="A22" s="138" t="s">
        <v>80</v>
      </c>
      <c r="B22" s="139">
        <f t="shared" si="6"/>
        <v>0</v>
      </c>
      <c r="C22" s="139">
        <f t="shared" si="5"/>
        <v>0</v>
      </c>
      <c r="D22" s="139">
        <f t="shared" si="5"/>
        <v>0</v>
      </c>
      <c r="E22" s="139">
        <f t="shared" si="7"/>
        <v>0</v>
      </c>
    </row>
    <row r="24" spans="1:13" ht="19.5" customHeight="1">
      <c r="A24" s="69" t="s">
        <v>90</v>
      </c>
      <c r="B24" s="69" t="s">
        <v>91</v>
      </c>
      <c r="C24" s="69" t="s">
        <v>92</v>
      </c>
      <c r="D24" s="69" t="s">
        <v>93</v>
      </c>
      <c r="E24" s="69" t="s">
        <v>94</v>
      </c>
      <c r="F24" s="69" t="s">
        <v>95</v>
      </c>
      <c r="G24" s="69" t="s">
        <v>56</v>
      </c>
      <c r="H24" s="72" t="s">
        <v>96</v>
      </c>
      <c r="I24" s="72" t="s">
        <v>97</v>
      </c>
      <c r="J24" s="134" t="s">
        <v>229</v>
      </c>
      <c r="K24" s="134" t="s">
        <v>230</v>
      </c>
      <c r="L24" s="69" t="s">
        <v>101</v>
      </c>
      <c r="M24" s="69" t="s">
        <v>102</v>
      </c>
    </row>
    <row r="25" spans="1:13" ht="19.5" customHeight="1">
      <c r="A25" s="73" t="s">
        <v>406</v>
      </c>
      <c r="B25" s="73" t="s">
        <v>104</v>
      </c>
      <c r="C25" s="74"/>
      <c r="D25" s="74"/>
      <c r="E25" s="74"/>
      <c r="F25" s="74"/>
      <c r="G25" s="74"/>
      <c r="H25" s="74"/>
      <c r="I25" s="74"/>
      <c r="J25" s="74"/>
      <c r="K25" s="74"/>
      <c r="L25" s="74"/>
      <c r="M25" s="74"/>
    </row>
    <row r="26" spans="1:13" ht="19.5" customHeight="1" outlineLevel="1">
      <c r="A26" s="75" t="s">
        <v>407</v>
      </c>
      <c r="B26" s="76" t="s">
        <v>106</v>
      </c>
      <c r="C26" s="76"/>
      <c r="D26" s="76" t="s">
        <v>408</v>
      </c>
      <c r="E26" s="76"/>
      <c r="F26" s="76" t="s">
        <v>409</v>
      </c>
      <c r="G26" s="77" t="s">
        <v>57</v>
      </c>
      <c r="H26" s="77" t="s">
        <v>87</v>
      </c>
      <c r="I26" s="77" t="s">
        <v>109</v>
      </c>
      <c r="J26" s="77" t="s">
        <v>63</v>
      </c>
      <c r="K26" s="77" t="s">
        <v>67</v>
      </c>
      <c r="L26" s="77"/>
      <c r="M26" s="76"/>
    </row>
    <row r="27" spans="1:13" ht="19.5" customHeight="1" outlineLevel="1">
      <c r="A27" s="75" t="s">
        <v>410</v>
      </c>
      <c r="B27" s="76" t="s">
        <v>411</v>
      </c>
      <c r="C27" s="76"/>
      <c r="D27" s="76" t="s">
        <v>412</v>
      </c>
      <c r="E27" s="76"/>
      <c r="F27" s="76" t="s">
        <v>113</v>
      </c>
      <c r="G27" s="77" t="s">
        <v>57</v>
      </c>
      <c r="H27" s="77" t="s">
        <v>87</v>
      </c>
      <c r="I27" s="77" t="s">
        <v>109</v>
      </c>
      <c r="J27" s="77" t="s">
        <v>63</v>
      </c>
      <c r="K27" s="77" t="s">
        <v>67</v>
      </c>
      <c r="L27" s="77"/>
      <c r="M27" s="76" t="s">
        <v>413</v>
      </c>
    </row>
    <row r="28" spans="1:13" ht="19.5" customHeight="1" outlineLevel="1">
      <c r="A28" s="75" t="s">
        <v>414</v>
      </c>
      <c r="B28" s="76" t="s">
        <v>126</v>
      </c>
      <c r="C28" s="76"/>
      <c r="D28" s="76" t="s">
        <v>415</v>
      </c>
      <c r="E28" s="76"/>
      <c r="F28" s="76" t="s">
        <v>128</v>
      </c>
      <c r="G28" s="77" t="s">
        <v>57</v>
      </c>
      <c r="H28" s="77" t="s">
        <v>87</v>
      </c>
      <c r="I28" s="77" t="s">
        <v>109</v>
      </c>
      <c r="J28" s="77" t="s">
        <v>63</v>
      </c>
      <c r="K28" s="77" t="s">
        <v>67</v>
      </c>
      <c r="L28" s="77"/>
      <c r="M28" s="76" t="s">
        <v>416</v>
      </c>
    </row>
    <row r="29" spans="1:13" ht="19.5" customHeight="1" outlineLevel="1">
      <c r="A29" s="75" t="s">
        <v>417</v>
      </c>
      <c r="B29" s="76" t="s">
        <v>130</v>
      </c>
      <c r="C29" s="76"/>
      <c r="D29" s="76" t="s">
        <v>418</v>
      </c>
      <c r="E29" s="76"/>
      <c r="F29" s="76" t="s">
        <v>132</v>
      </c>
      <c r="G29" s="77" t="s">
        <v>57</v>
      </c>
      <c r="H29" s="77" t="s">
        <v>87</v>
      </c>
      <c r="I29" s="77" t="s">
        <v>109</v>
      </c>
      <c r="J29" s="77" t="s">
        <v>63</v>
      </c>
      <c r="K29" s="77" t="s">
        <v>67</v>
      </c>
      <c r="L29" s="77"/>
      <c r="M29" s="76"/>
    </row>
    <row r="30" spans="1:13" ht="19.5" customHeight="1">
      <c r="A30" s="73" t="s">
        <v>419</v>
      </c>
      <c r="B30" s="73" t="s">
        <v>134</v>
      </c>
      <c r="C30" s="74"/>
      <c r="D30" s="74"/>
      <c r="E30" s="74"/>
      <c r="F30" s="74"/>
      <c r="G30" s="74"/>
      <c r="H30" s="74"/>
      <c r="I30" s="74"/>
      <c r="J30" s="74"/>
      <c r="K30" s="74"/>
      <c r="L30" s="74"/>
      <c r="M30" s="74"/>
    </row>
    <row r="31" spans="1:13" ht="409.6" outlineLevel="1">
      <c r="A31" s="75" t="s">
        <v>420</v>
      </c>
      <c r="B31" s="76" t="s">
        <v>136</v>
      </c>
      <c r="C31" s="76"/>
      <c r="D31" s="76" t="s">
        <v>421</v>
      </c>
      <c r="E31" s="76" t="s">
        <v>422</v>
      </c>
      <c r="F31" s="76" t="s">
        <v>423</v>
      </c>
      <c r="G31" s="77" t="s">
        <v>57</v>
      </c>
      <c r="H31" s="77" t="s">
        <v>86</v>
      </c>
      <c r="I31" s="77" t="s">
        <v>109</v>
      </c>
      <c r="J31" s="77" t="s">
        <v>63</v>
      </c>
      <c r="K31" s="77" t="s">
        <v>67</v>
      </c>
      <c r="L31" s="77"/>
      <c r="M31" s="76"/>
    </row>
    <row r="32" spans="1:13" ht="19.5" customHeight="1" outlineLevel="1">
      <c r="A32" s="75" t="s">
        <v>424</v>
      </c>
      <c r="B32" s="76" t="s">
        <v>425</v>
      </c>
      <c r="C32" s="76"/>
      <c r="D32" s="76" t="s">
        <v>421</v>
      </c>
      <c r="E32" s="76"/>
      <c r="F32" s="76" t="s">
        <v>426</v>
      </c>
      <c r="G32" s="77" t="s">
        <v>57</v>
      </c>
      <c r="H32" s="77" t="s">
        <v>87</v>
      </c>
      <c r="I32" s="77" t="s">
        <v>109</v>
      </c>
      <c r="J32" s="77" t="s">
        <v>63</v>
      </c>
      <c r="K32" s="77" t="s">
        <v>67</v>
      </c>
      <c r="L32" s="77"/>
      <c r="M32" s="76"/>
    </row>
    <row r="33" spans="1:13" ht="19.5" customHeight="1" outlineLevel="1">
      <c r="A33" s="75" t="s">
        <v>427</v>
      </c>
      <c r="B33" s="76" t="s">
        <v>428</v>
      </c>
      <c r="C33" s="76"/>
      <c r="D33" s="76" t="s">
        <v>421</v>
      </c>
      <c r="E33" s="76"/>
      <c r="F33" s="76" t="s">
        <v>429</v>
      </c>
      <c r="G33" s="77" t="s">
        <v>57</v>
      </c>
      <c r="H33" s="77" t="s">
        <v>87</v>
      </c>
      <c r="I33" s="77" t="s">
        <v>109</v>
      </c>
      <c r="J33" s="77" t="s">
        <v>63</v>
      </c>
      <c r="K33" s="77" t="s">
        <v>67</v>
      </c>
      <c r="L33" s="77"/>
      <c r="M33" s="76"/>
    </row>
    <row r="34" spans="1:13" ht="19.5" customHeight="1" outlineLevel="1">
      <c r="A34" s="75" t="s">
        <v>430</v>
      </c>
      <c r="B34" s="76" t="s">
        <v>431</v>
      </c>
      <c r="C34" s="76"/>
      <c r="D34" s="76" t="s">
        <v>421</v>
      </c>
      <c r="E34" s="76"/>
      <c r="F34" s="76" t="s">
        <v>432</v>
      </c>
      <c r="G34" s="77" t="s">
        <v>57</v>
      </c>
      <c r="H34" s="77" t="s">
        <v>87</v>
      </c>
      <c r="I34" s="77" t="s">
        <v>109</v>
      </c>
      <c r="J34" s="77" t="s">
        <v>63</v>
      </c>
      <c r="K34" s="77" t="s">
        <v>67</v>
      </c>
      <c r="L34" s="77"/>
      <c r="M34" s="76"/>
    </row>
    <row r="35" spans="1:13" ht="19.5" customHeight="1" outlineLevel="1">
      <c r="A35" s="75" t="s">
        <v>433</v>
      </c>
      <c r="B35" s="76" t="s">
        <v>434</v>
      </c>
      <c r="C35" s="76"/>
      <c r="D35" s="76" t="s">
        <v>421</v>
      </c>
      <c r="E35" s="76"/>
      <c r="F35" s="76" t="s">
        <v>435</v>
      </c>
      <c r="G35" s="77" t="s">
        <v>57</v>
      </c>
      <c r="H35" s="77" t="s">
        <v>87</v>
      </c>
      <c r="I35" s="77" t="s">
        <v>109</v>
      </c>
      <c r="J35" s="77" t="s">
        <v>63</v>
      </c>
      <c r="K35" s="77" t="s">
        <v>67</v>
      </c>
      <c r="L35" s="77"/>
      <c r="M35" s="76"/>
    </row>
    <row r="36" spans="1:13" ht="19.5" customHeight="1" outlineLevel="1">
      <c r="A36" s="75" t="s">
        <v>436</v>
      </c>
      <c r="B36" s="76" t="s">
        <v>437</v>
      </c>
      <c r="C36" s="76"/>
      <c r="D36" s="76" t="s">
        <v>421</v>
      </c>
      <c r="E36" s="76"/>
      <c r="F36" s="76" t="s">
        <v>438</v>
      </c>
      <c r="G36" s="77" t="s">
        <v>57</v>
      </c>
      <c r="H36" s="77" t="s">
        <v>87</v>
      </c>
      <c r="I36" s="77" t="s">
        <v>109</v>
      </c>
      <c r="J36" s="77" t="s">
        <v>63</v>
      </c>
      <c r="K36" s="77" t="s">
        <v>67</v>
      </c>
      <c r="L36" s="77"/>
      <c r="M36" s="76"/>
    </row>
    <row r="37" spans="1:13" ht="19.5" customHeight="1" outlineLevel="1">
      <c r="A37" s="75" t="s">
        <v>439</v>
      </c>
      <c r="B37" s="76" t="s">
        <v>440</v>
      </c>
      <c r="C37" s="76"/>
      <c r="D37" s="78" t="s">
        <v>421</v>
      </c>
      <c r="E37" s="76"/>
      <c r="F37" s="76" t="s">
        <v>441</v>
      </c>
      <c r="G37" s="77" t="s">
        <v>57</v>
      </c>
      <c r="H37" s="77" t="s">
        <v>87</v>
      </c>
      <c r="I37" s="77" t="s">
        <v>109</v>
      </c>
      <c r="J37" s="77" t="s">
        <v>63</v>
      </c>
      <c r="K37" s="77" t="s">
        <v>67</v>
      </c>
      <c r="L37" s="77"/>
      <c r="M37" s="76"/>
    </row>
    <row r="38" spans="1:13" ht="19.5" customHeight="1" outlineLevel="1">
      <c r="A38" s="73" t="s">
        <v>442</v>
      </c>
      <c r="B38" s="73" t="s">
        <v>181</v>
      </c>
      <c r="C38" s="74"/>
      <c r="D38" s="81"/>
      <c r="E38" s="74"/>
      <c r="F38" s="74"/>
      <c r="G38" s="74"/>
      <c r="H38" s="74"/>
      <c r="I38" s="74"/>
      <c r="J38" s="74"/>
      <c r="K38" s="74"/>
      <c r="L38" s="74"/>
      <c r="M38" s="74"/>
    </row>
    <row r="39" spans="1:13" ht="19.5" customHeight="1" outlineLevel="1">
      <c r="A39" s="75" t="s">
        <v>443</v>
      </c>
      <c r="B39" s="76" t="s">
        <v>183</v>
      </c>
      <c r="C39" s="76"/>
      <c r="D39" s="76" t="s">
        <v>444</v>
      </c>
      <c r="E39" s="76"/>
      <c r="F39" s="76" t="s">
        <v>185</v>
      </c>
      <c r="G39" s="77" t="s">
        <v>57</v>
      </c>
      <c r="H39" s="77" t="s">
        <v>86</v>
      </c>
      <c r="I39" s="77" t="s">
        <v>109</v>
      </c>
      <c r="J39" s="77" t="s">
        <v>63</v>
      </c>
      <c r="K39" s="77" t="s">
        <v>67</v>
      </c>
      <c r="L39" s="77"/>
      <c r="M39" s="76" t="s">
        <v>445</v>
      </c>
    </row>
    <row r="40" spans="1:13" ht="19.5" customHeight="1">
      <c r="A40" s="75" t="s">
        <v>446</v>
      </c>
      <c r="B40" s="76" t="s">
        <v>187</v>
      </c>
      <c r="C40" s="76"/>
      <c r="D40" s="76" t="s">
        <v>447</v>
      </c>
      <c r="E40" s="76"/>
      <c r="F40" s="76" t="s">
        <v>189</v>
      </c>
      <c r="G40" s="77" t="s">
        <v>57</v>
      </c>
      <c r="H40" s="77" t="s">
        <v>86</v>
      </c>
      <c r="I40" s="77" t="s">
        <v>109</v>
      </c>
      <c r="J40" s="77" t="s">
        <v>63</v>
      </c>
      <c r="K40" s="77" t="s">
        <v>67</v>
      </c>
      <c r="L40" s="77"/>
      <c r="M40" s="76" t="s">
        <v>448</v>
      </c>
    </row>
    <row r="41" spans="1:13" ht="19.5" customHeight="1">
      <c r="A41" s="73" t="s">
        <v>449</v>
      </c>
      <c r="B41" s="73" t="s">
        <v>192</v>
      </c>
      <c r="C41" s="74"/>
      <c r="D41" s="74"/>
      <c r="E41" s="74"/>
      <c r="F41" s="74"/>
      <c r="G41" s="74"/>
      <c r="H41" s="74"/>
      <c r="I41" s="74"/>
      <c r="J41" s="74"/>
      <c r="K41" s="74"/>
      <c r="L41" s="74"/>
      <c r="M41" s="74"/>
    </row>
    <row r="42" spans="1:13" ht="75.75">
      <c r="A42" s="75" t="s">
        <v>450</v>
      </c>
      <c r="B42" s="76" t="s">
        <v>451</v>
      </c>
      <c r="C42" s="76"/>
      <c r="D42" s="76" t="s">
        <v>452</v>
      </c>
      <c r="E42" s="76"/>
      <c r="F42" s="76" t="s">
        <v>196</v>
      </c>
      <c r="G42" s="77" t="s">
        <v>57</v>
      </c>
      <c r="H42" s="77" t="s">
        <v>86</v>
      </c>
      <c r="I42" s="77" t="s">
        <v>109</v>
      </c>
      <c r="J42" s="77" t="s">
        <v>63</v>
      </c>
      <c r="K42" s="77" t="s">
        <v>67</v>
      </c>
      <c r="L42" s="77"/>
      <c r="M42" s="76"/>
    </row>
    <row r="43" spans="1:13" ht="75.75">
      <c r="A43" s="75" t="s">
        <v>453</v>
      </c>
      <c r="B43" s="76" t="s">
        <v>454</v>
      </c>
      <c r="C43" s="76"/>
      <c r="D43" s="76" t="s">
        <v>455</v>
      </c>
      <c r="E43" s="76"/>
      <c r="F43" s="76" t="s">
        <v>456</v>
      </c>
      <c r="G43" s="77" t="s">
        <v>57</v>
      </c>
      <c r="H43" s="77" t="s">
        <v>86</v>
      </c>
      <c r="I43" s="77" t="s">
        <v>109</v>
      </c>
      <c r="J43" s="77" t="s">
        <v>63</v>
      </c>
      <c r="K43" s="77" t="s">
        <v>67</v>
      </c>
      <c r="L43" s="77"/>
      <c r="M43" s="76"/>
    </row>
    <row r="44" spans="1:13" ht="409.6">
      <c r="A44" s="75" t="s">
        <v>457</v>
      </c>
      <c r="B44" s="76" t="s">
        <v>458</v>
      </c>
      <c r="C44" s="76"/>
      <c r="D44" s="76" t="s">
        <v>459</v>
      </c>
      <c r="E44" s="76" t="s">
        <v>422</v>
      </c>
      <c r="F44" s="76" t="s">
        <v>460</v>
      </c>
      <c r="G44" s="77" t="s">
        <v>57</v>
      </c>
      <c r="H44" s="77" t="s">
        <v>86</v>
      </c>
      <c r="I44" s="77" t="s">
        <v>109</v>
      </c>
      <c r="J44" s="77" t="s">
        <v>63</v>
      </c>
      <c r="K44" s="77" t="s">
        <v>67</v>
      </c>
      <c r="L44" s="77"/>
      <c r="M44" s="76" t="s">
        <v>461</v>
      </c>
    </row>
    <row r="45" spans="1:13" ht="409.6">
      <c r="A45" s="75" t="s">
        <v>462</v>
      </c>
      <c r="B45" s="76" t="s">
        <v>463</v>
      </c>
      <c r="C45" s="76"/>
      <c r="D45" s="76" t="s">
        <v>464</v>
      </c>
      <c r="E45" s="76" t="s">
        <v>422</v>
      </c>
      <c r="F45" s="76" t="s">
        <v>465</v>
      </c>
      <c r="G45" s="77" t="s">
        <v>57</v>
      </c>
      <c r="H45" s="77" t="s">
        <v>86</v>
      </c>
      <c r="I45" s="77" t="s">
        <v>109</v>
      </c>
      <c r="J45" s="77" t="s">
        <v>63</v>
      </c>
      <c r="K45" s="77" t="s">
        <v>67</v>
      </c>
      <c r="L45" s="77"/>
      <c r="M45" s="76" t="s">
        <v>461</v>
      </c>
    </row>
    <row r="46" spans="1:13" ht="409.6">
      <c r="A46" s="75" t="s">
        <v>466</v>
      </c>
      <c r="B46" s="76" t="s">
        <v>467</v>
      </c>
      <c r="C46" s="76"/>
      <c r="D46" s="76" t="s">
        <v>459</v>
      </c>
      <c r="E46" s="76" t="s">
        <v>422</v>
      </c>
      <c r="F46" s="76" t="s">
        <v>468</v>
      </c>
      <c r="G46" s="77" t="s">
        <v>57</v>
      </c>
      <c r="H46" s="77" t="s">
        <v>86</v>
      </c>
      <c r="I46" s="77" t="s">
        <v>109</v>
      </c>
      <c r="J46" s="77" t="s">
        <v>63</v>
      </c>
      <c r="K46" s="77" t="s">
        <v>67</v>
      </c>
      <c r="L46" s="77"/>
      <c r="M46" s="76" t="s">
        <v>461</v>
      </c>
    </row>
  </sheetData>
  <autoFilter ref="A24:N46" xr:uid="{68ADE047-58DF-409B-BEB0-5B10F4A0D175}"/>
  <dataValidations count="1">
    <dataValidation allowBlank="1" showInputMessage="1" showErrorMessage="1" sqref="J38 J1:J25 J30 J47:J1048576" xr:uid="{F0DA3586-9DEC-44E2-8D37-1317E095AB1F}"/>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76F651DE-4139-4EF7-B187-B006E7A480E0}">
          <x14:formula1>
            <xm:f>Report!$A$20:$A$25</xm:f>
          </x14:formula1>
          <xm:sqref>J31:K37 J26:K29 J39:K40 J42:K46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39997558519241921"/>
  </sheetPr>
  <dimension ref="A1:M61"/>
  <sheetViews>
    <sheetView topLeftCell="A57" zoomScale="55" zoomScaleNormal="55" workbookViewId="0">
      <selection activeCell="J60" sqref="J60:J61"/>
    </sheetView>
  </sheetViews>
  <sheetFormatPr defaultColWidth="8.7109375" defaultRowHeight="22.5" customHeight="1" outlineLevelRow="1"/>
  <cols>
    <col min="1" max="1" width="17.140625" customWidth="1"/>
    <col min="2" max="2" width="40.5703125" customWidth="1"/>
    <col min="3" max="3" width="24.5703125" customWidth="1"/>
    <col min="4" max="4" width="45" customWidth="1"/>
    <col min="5" max="5" width="32.5703125" customWidth="1"/>
    <col min="6" max="6" width="57.42578125" customWidth="1"/>
    <col min="7" max="7" width="18" customWidth="1"/>
    <col min="8" max="8" width="8.28515625" customWidth="1"/>
    <col min="9" max="9" width="18.5703125" customWidth="1"/>
    <col min="10" max="10" width="16.140625" customWidth="1"/>
    <col min="11" max="11" width="16.7109375" customWidth="1"/>
    <col min="12" max="12" width="7" customWidth="1"/>
    <col min="13" max="13" width="16.5703125" customWidth="1"/>
  </cols>
  <sheetData>
    <row r="1" spans="1:5" ht="22.5" customHeight="1">
      <c r="A1" s="68" t="s">
        <v>82</v>
      </c>
      <c r="B1" s="68" t="str">
        <f>Cover!E11</f>
        <v>DỰ ÁN TRIỂN KHAI BẢN QUYỀN PHẦN MỀM HỆ THỐNG AML MỚI</v>
      </c>
    </row>
    <row r="2" spans="1:5" ht="22.5" customHeight="1">
      <c r="A2" s="68" t="s">
        <v>83</v>
      </c>
      <c r="B2" s="68" t="s">
        <v>84</v>
      </c>
    </row>
    <row r="4" spans="1:5" ht="22.5" customHeight="1">
      <c r="A4" s="100" t="s">
        <v>85</v>
      </c>
      <c r="B4" s="92"/>
      <c r="C4" s="92"/>
      <c r="D4" s="92"/>
      <c r="E4" s="92"/>
    </row>
    <row r="5" spans="1:5" ht="22.5" customHeight="1">
      <c r="A5" s="136"/>
      <c r="B5" s="136" t="s">
        <v>86</v>
      </c>
      <c r="C5" s="136" t="s">
        <v>87</v>
      </c>
      <c r="D5" s="136" t="s">
        <v>88</v>
      </c>
      <c r="E5" s="136" t="s">
        <v>68</v>
      </c>
    </row>
    <row r="6" spans="1:5" ht="22.5" customHeight="1">
      <c r="A6" s="137"/>
      <c r="B6" s="137">
        <f>SUM(B7:B11)</f>
        <v>15</v>
      </c>
      <c r="C6" s="137">
        <f>SUM(C7:C11)</f>
        <v>16</v>
      </c>
      <c r="D6" s="137">
        <f>SUM(D7:D11)</f>
        <v>0</v>
      </c>
      <c r="E6" s="137">
        <f t="shared" ref="E6" si="0">SUM(B6:D6)</f>
        <v>31</v>
      </c>
    </row>
    <row r="7" spans="1:5" ht="22.5" customHeight="1">
      <c r="A7" s="138" t="s">
        <v>63</v>
      </c>
      <c r="B7" s="139">
        <f>COUNTIFS($J:$J,$A7,$H:$H,B$5)</f>
        <v>13</v>
      </c>
      <c r="C7" s="139">
        <f>COUNTIFS($J:$J,$A7,$H:$H,C$5)</f>
        <v>16</v>
      </c>
      <c r="D7" s="139">
        <f>COUNTIFS($J:$J,$A7,$H:$H,D$5)</f>
        <v>0</v>
      </c>
      <c r="E7" s="139">
        <f>SUM(B7:D7)</f>
        <v>29</v>
      </c>
    </row>
    <row r="8" spans="1:5" ht="22.5" customHeight="1">
      <c r="A8" s="138" t="s">
        <v>64</v>
      </c>
      <c r="B8" s="139">
        <f>COUNTIFS($J:$J,$A8,$H:$H,B$5)</f>
        <v>0</v>
      </c>
      <c r="C8" s="139">
        <f>COUNTIFS($J:$J,$A8,$H:$H,C$5)</f>
        <v>0</v>
      </c>
      <c r="D8" s="139">
        <f>COUNTIFS($J:$J,$A8,$H:$H,D$5)</f>
        <v>0</v>
      </c>
      <c r="E8" s="139">
        <f t="shared" ref="E8:E12" si="1">SUM(B8:D8)</f>
        <v>0</v>
      </c>
    </row>
    <row r="9" spans="1:5" ht="22.5" customHeight="1">
      <c r="A9" s="138" t="s">
        <v>78</v>
      </c>
      <c r="B9" s="139">
        <f>COUNTIFS($J:$J,$A9,$H:$H,B$5)</f>
        <v>2</v>
      </c>
      <c r="C9" s="139">
        <f>COUNTIFS($J:$J,$A9,$H:$H,C$5)</f>
        <v>0</v>
      </c>
      <c r="D9" s="139">
        <f>COUNTIFS($J:$J,$A9,$H:$H,D$5)</f>
        <v>0</v>
      </c>
      <c r="E9" s="139">
        <f t="shared" si="1"/>
        <v>2</v>
      </c>
    </row>
    <row r="10" spans="1:5" ht="22.5" customHeight="1">
      <c r="A10" s="138" t="s">
        <v>79</v>
      </c>
      <c r="B10" s="139">
        <f>COUNTIFS($J:$J,$A10,$H:$H,B$5)</f>
        <v>0</v>
      </c>
      <c r="C10" s="139">
        <f>COUNTIFS($J:$J,$A10,$H:$H,C$5)</f>
        <v>0</v>
      </c>
      <c r="D10" s="139">
        <f>COUNTIFS($J:$J,$A10,$H:$H,D$5)</f>
        <v>0</v>
      </c>
      <c r="E10" s="139">
        <f t="shared" si="1"/>
        <v>0</v>
      </c>
    </row>
    <row r="11" spans="1:5" ht="22.5" customHeight="1">
      <c r="A11" s="138" t="s">
        <v>67</v>
      </c>
      <c r="B11" s="139">
        <f>COUNTIFS($J:$J,$A11,$H:$H,B$5)</f>
        <v>0</v>
      </c>
      <c r="C11" s="139">
        <f>COUNTIFS($J:$J,$A11,$H:$H,C$5)</f>
        <v>0</v>
      </c>
      <c r="D11" s="139">
        <f>COUNTIFS($J:$J,$A11,$H:$H,D$5)</f>
        <v>0</v>
      </c>
      <c r="E11" s="139">
        <f t="shared" si="1"/>
        <v>0</v>
      </c>
    </row>
    <row r="12" spans="1:5" ht="22.5" customHeight="1">
      <c r="A12" s="138" t="s">
        <v>80</v>
      </c>
      <c r="B12" s="139">
        <f>COUNTIFS($J:$J,$A12,$H:$H,B$5)</f>
        <v>0</v>
      </c>
      <c r="C12" s="139">
        <f>COUNTIFS($J:$J,$A12,$H:$H,C$5)</f>
        <v>0</v>
      </c>
      <c r="D12" s="139">
        <f>COUNTIFS($J:$J,$A12,$H:$H,D$5)</f>
        <v>0</v>
      </c>
      <c r="E12" s="139">
        <f t="shared" si="1"/>
        <v>0</v>
      </c>
    </row>
    <row r="13" spans="1:5" ht="22.5" customHeight="1">
      <c r="A13" s="135"/>
      <c r="B13" s="99"/>
      <c r="C13" s="99"/>
      <c r="D13" s="99"/>
      <c r="E13" s="99"/>
    </row>
    <row r="14" spans="1:5" ht="22.5" customHeight="1">
      <c r="A14" s="100" t="s">
        <v>89</v>
      </c>
      <c r="B14" s="92"/>
      <c r="C14" s="92"/>
      <c r="D14" s="92"/>
      <c r="E14" s="92"/>
    </row>
    <row r="15" spans="1:5" ht="22.5" customHeight="1">
      <c r="A15" s="136"/>
      <c r="B15" s="136" t="s">
        <v>86</v>
      </c>
      <c r="C15" s="136" t="s">
        <v>87</v>
      </c>
      <c r="D15" s="136" t="s">
        <v>88</v>
      </c>
      <c r="E15" s="136" t="s">
        <v>68</v>
      </c>
    </row>
    <row r="16" spans="1:5" ht="22.5" customHeight="1">
      <c r="A16" s="137"/>
      <c r="B16" s="137">
        <f>SUM(B17:B21)</f>
        <v>15</v>
      </c>
      <c r="C16" s="137">
        <f>SUM(C17:C21)</f>
        <v>16</v>
      </c>
      <c r="D16" s="137">
        <f>SUM(D17:D21)</f>
        <v>0</v>
      </c>
      <c r="E16" s="137">
        <f t="shared" ref="E16" si="2">SUM(B16:D16)</f>
        <v>31</v>
      </c>
    </row>
    <row r="17" spans="1:13" ht="22.5" customHeight="1">
      <c r="A17" s="138" t="s">
        <v>63</v>
      </c>
      <c r="B17" s="139">
        <f>COUNTIFS($K:$K,$A17,$H:$H,B$15)</f>
        <v>0</v>
      </c>
      <c r="C17" s="139">
        <f>COUNTIFS($K:$K,$A17,$H:$H,C$15)</f>
        <v>0</v>
      </c>
      <c r="D17" s="139">
        <f>COUNTIFS($K:$K,$A17,$H:$H,D$15)</f>
        <v>0</v>
      </c>
      <c r="E17" s="139">
        <f>SUM(B17:D17)</f>
        <v>0</v>
      </c>
    </row>
    <row r="18" spans="1:13" ht="22.5" customHeight="1">
      <c r="A18" s="138" t="s">
        <v>64</v>
      </c>
      <c r="B18" s="139">
        <f>COUNTIFS($K:$K,$A18,$H:$H,B$15)</f>
        <v>0</v>
      </c>
      <c r="C18" s="139">
        <f>COUNTIFS($K:$K,$A18,$H:$H,C$15)</f>
        <v>0</v>
      </c>
      <c r="D18" s="139">
        <f>COUNTIFS($K:$K,$A18,$H:$H,D$15)</f>
        <v>0</v>
      </c>
      <c r="E18" s="139">
        <f t="shared" ref="E18:E22" si="3">SUM(B18:D18)</f>
        <v>0</v>
      </c>
    </row>
    <row r="19" spans="1:13" ht="22.5" customHeight="1">
      <c r="A19" s="138" t="s">
        <v>78</v>
      </c>
      <c r="B19" s="139">
        <f>COUNTIFS($K:$K,$A19,$H:$H,B$15)</f>
        <v>0</v>
      </c>
      <c r="C19" s="139">
        <f>COUNTIFS($K:$K,$A19,$H:$H,C$15)</f>
        <v>0</v>
      </c>
      <c r="D19" s="139">
        <f>COUNTIFS($K:$K,$A19,$H:$H,D$15)</f>
        <v>0</v>
      </c>
      <c r="E19" s="139">
        <f t="shared" si="3"/>
        <v>0</v>
      </c>
    </row>
    <row r="20" spans="1:13" ht="22.5" customHeight="1">
      <c r="A20" s="138" t="s">
        <v>79</v>
      </c>
      <c r="B20" s="139">
        <f>COUNTIFS($K:$K,$A20,$H:$H,B$15)</f>
        <v>0</v>
      </c>
      <c r="C20" s="139">
        <f>COUNTIFS($K:$K,$A20,$H:$H,C$15)</f>
        <v>0</v>
      </c>
      <c r="D20" s="139">
        <f>COUNTIFS($K:$K,$A20,$H:$H,D$15)</f>
        <v>0</v>
      </c>
      <c r="E20" s="139">
        <f t="shared" si="3"/>
        <v>0</v>
      </c>
    </row>
    <row r="21" spans="1:13" ht="22.5" customHeight="1">
      <c r="A21" s="138" t="s">
        <v>67</v>
      </c>
      <c r="B21" s="139">
        <f>COUNTIFS($K:$K,$A21,$H:$H,B$15)</f>
        <v>15</v>
      </c>
      <c r="C21" s="139">
        <f>COUNTIFS($K:$K,$A21,$H:$H,C$15)</f>
        <v>16</v>
      </c>
      <c r="D21" s="139">
        <f>COUNTIFS($K:$K,$A21,$H:$H,D$15)</f>
        <v>0</v>
      </c>
      <c r="E21" s="139">
        <f t="shared" si="3"/>
        <v>31</v>
      </c>
    </row>
    <row r="22" spans="1:13" ht="22.5" customHeight="1">
      <c r="A22" s="138" t="s">
        <v>80</v>
      </c>
      <c r="B22" s="139">
        <f>COUNTIFS($K:$K,$A22,$H:$H,B$15)</f>
        <v>0</v>
      </c>
      <c r="C22" s="139">
        <f>COUNTIFS($K:$K,$A22,$H:$H,C$15)</f>
        <v>0</v>
      </c>
      <c r="D22" s="139">
        <f>COUNTIFS($K:$K,$A22,$H:$H,D$15)</f>
        <v>0</v>
      </c>
      <c r="E22" s="139">
        <f t="shared" si="3"/>
        <v>0</v>
      </c>
    </row>
    <row r="23" spans="1:13" ht="22.5" customHeight="1">
      <c r="A23" s="68"/>
      <c r="B23" s="71"/>
      <c r="C23" s="71"/>
      <c r="D23" s="71"/>
      <c r="E23" s="71"/>
    </row>
    <row r="24" spans="1:13" ht="22.5" customHeight="1">
      <c r="A24" s="68"/>
      <c r="B24" s="71"/>
      <c r="C24" s="71"/>
      <c r="D24" s="71"/>
      <c r="E24" s="71"/>
    </row>
    <row r="26" spans="1:13" ht="22.5" customHeight="1">
      <c r="A26" s="69" t="s">
        <v>90</v>
      </c>
      <c r="B26" s="69" t="s">
        <v>91</v>
      </c>
      <c r="C26" s="69" t="s">
        <v>92</v>
      </c>
      <c r="D26" s="69" t="s">
        <v>93</v>
      </c>
      <c r="E26" s="69" t="s">
        <v>94</v>
      </c>
      <c r="F26" s="69" t="s">
        <v>95</v>
      </c>
      <c r="G26" s="69" t="s">
        <v>56</v>
      </c>
      <c r="H26" s="72" t="s">
        <v>96</v>
      </c>
      <c r="I26" s="72" t="s">
        <v>97</v>
      </c>
      <c r="J26" s="134" t="s">
        <v>229</v>
      </c>
      <c r="K26" s="134" t="s">
        <v>230</v>
      </c>
      <c r="L26" s="69" t="s">
        <v>101</v>
      </c>
      <c r="M26" s="69" t="s">
        <v>102</v>
      </c>
    </row>
    <row r="27" spans="1:13" ht="22.5" customHeight="1">
      <c r="A27" s="73" t="s">
        <v>469</v>
      </c>
      <c r="B27" s="73" t="s">
        <v>104</v>
      </c>
      <c r="C27" s="74"/>
      <c r="D27" s="74"/>
      <c r="E27" s="74"/>
      <c r="F27" s="74"/>
      <c r="G27" s="74"/>
      <c r="H27" s="74"/>
      <c r="I27" s="74"/>
      <c r="J27" s="74"/>
      <c r="K27" s="74"/>
      <c r="L27" s="74"/>
      <c r="M27" s="74"/>
    </row>
    <row r="28" spans="1:13" ht="106.5" outlineLevel="1">
      <c r="A28" s="75" t="s">
        <v>470</v>
      </c>
      <c r="B28" s="76" t="s">
        <v>106</v>
      </c>
      <c r="C28" s="76"/>
      <c r="D28" s="76" t="s">
        <v>471</v>
      </c>
      <c r="E28" s="76"/>
      <c r="F28" s="76" t="s">
        <v>234</v>
      </c>
      <c r="G28" s="77" t="s">
        <v>57</v>
      </c>
      <c r="H28" s="77" t="s">
        <v>87</v>
      </c>
      <c r="I28" s="77" t="s">
        <v>109</v>
      </c>
      <c r="J28" s="77" t="s">
        <v>63</v>
      </c>
      <c r="K28" s="77" t="s">
        <v>67</v>
      </c>
      <c r="L28" s="77"/>
      <c r="M28" s="76"/>
    </row>
    <row r="29" spans="1:13" ht="60.75" outlineLevel="1">
      <c r="A29" s="75" t="s">
        <v>472</v>
      </c>
      <c r="B29" s="76" t="s">
        <v>111</v>
      </c>
      <c r="C29" s="76"/>
      <c r="D29" s="76" t="s">
        <v>473</v>
      </c>
      <c r="E29" s="76"/>
      <c r="F29" s="76" t="s">
        <v>113</v>
      </c>
      <c r="G29" s="77" t="s">
        <v>57</v>
      </c>
      <c r="H29" s="77" t="s">
        <v>87</v>
      </c>
      <c r="I29" s="77" t="s">
        <v>109</v>
      </c>
      <c r="J29" s="77" t="s">
        <v>63</v>
      </c>
      <c r="K29" s="77" t="s">
        <v>67</v>
      </c>
      <c r="L29" s="77"/>
      <c r="M29" s="76"/>
    </row>
    <row r="30" spans="1:13" ht="60.75" outlineLevel="1">
      <c r="A30" s="75" t="s">
        <v>474</v>
      </c>
      <c r="B30" s="76" t="s">
        <v>115</v>
      </c>
      <c r="C30" s="76"/>
      <c r="D30" s="76" t="s">
        <v>475</v>
      </c>
      <c r="E30" s="76"/>
      <c r="F30" s="76" t="s">
        <v>113</v>
      </c>
      <c r="G30" s="77" t="s">
        <v>57</v>
      </c>
      <c r="H30" s="77" t="s">
        <v>87</v>
      </c>
      <c r="I30" s="77" t="s">
        <v>109</v>
      </c>
      <c r="J30" s="77" t="s">
        <v>63</v>
      </c>
      <c r="K30" s="77" t="s">
        <v>67</v>
      </c>
      <c r="L30" s="77"/>
      <c r="M30" s="76"/>
    </row>
    <row r="31" spans="1:13" ht="60.75" outlineLevel="1">
      <c r="A31" s="75" t="s">
        <v>476</v>
      </c>
      <c r="B31" s="76" t="s">
        <v>118</v>
      </c>
      <c r="C31" s="76"/>
      <c r="D31" s="76" t="s">
        <v>477</v>
      </c>
      <c r="E31" s="76"/>
      <c r="F31" s="76" t="s">
        <v>120</v>
      </c>
      <c r="G31" s="77" t="s">
        <v>57</v>
      </c>
      <c r="H31" s="77" t="s">
        <v>87</v>
      </c>
      <c r="I31" s="77" t="s">
        <v>109</v>
      </c>
      <c r="J31" s="77" t="s">
        <v>63</v>
      </c>
      <c r="K31" s="77" t="s">
        <v>67</v>
      </c>
      <c r="L31" s="77"/>
      <c r="M31" s="76"/>
    </row>
    <row r="32" spans="1:13" ht="121.5" outlineLevel="1">
      <c r="A32" s="75" t="s">
        <v>478</v>
      </c>
      <c r="B32" s="76" t="s">
        <v>126</v>
      </c>
      <c r="C32" s="76"/>
      <c r="D32" s="76" t="s">
        <v>479</v>
      </c>
      <c r="E32" s="76"/>
      <c r="F32" s="76" t="s">
        <v>128</v>
      </c>
      <c r="G32" s="77" t="s">
        <v>57</v>
      </c>
      <c r="H32" s="77" t="s">
        <v>87</v>
      </c>
      <c r="I32" s="77" t="s">
        <v>109</v>
      </c>
      <c r="J32" s="77" t="s">
        <v>63</v>
      </c>
      <c r="K32" s="77" t="s">
        <v>67</v>
      </c>
      <c r="L32" s="77"/>
      <c r="M32" s="76"/>
    </row>
    <row r="33" spans="1:13" ht="121.5" outlineLevel="1">
      <c r="A33" s="75" t="s">
        <v>480</v>
      </c>
      <c r="B33" s="76" t="s">
        <v>130</v>
      </c>
      <c r="C33" s="76"/>
      <c r="D33" s="76" t="s">
        <v>481</v>
      </c>
      <c r="E33" s="76"/>
      <c r="F33" s="76" t="s">
        <v>132</v>
      </c>
      <c r="G33" s="77" t="s">
        <v>57</v>
      </c>
      <c r="H33" s="77" t="s">
        <v>87</v>
      </c>
      <c r="I33" s="77" t="s">
        <v>109</v>
      </c>
      <c r="J33" s="77" t="s">
        <v>63</v>
      </c>
      <c r="K33" s="77" t="s">
        <v>67</v>
      </c>
      <c r="L33" s="77"/>
      <c r="M33" s="76"/>
    </row>
    <row r="34" spans="1:13" ht="15">
      <c r="A34" s="73" t="s">
        <v>482</v>
      </c>
      <c r="B34" s="73" t="s">
        <v>134</v>
      </c>
      <c r="C34" s="74"/>
      <c r="D34" s="74"/>
      <c r="E34" s="74"/>
      <c r="F34" s="74"/>
      <c r="G34" s="74"/>
      <c r="H34" s="74"/>
      <c r="I34" s="74"/>
      <c r="J34" s="74"/>
      <c r="K34" s="74"/>
      <c r="L34" s="74"/>
      <c r="M34" s="74"/>
    </row>
    <row r="35" spans="1:13" ht="81.75" customHeight="1" outlineLevel="1">
      <c r="A35" s="75" t="s">
        <v>483</v>
      </c>
      <c r="B35" s="76" t="s">
        <v>136</v>
      </c>
      <c r="C35" s="76" t="s">
        <v>484</v>
      </c>
      <c r="D35" s="76" t="s">
        <v>485</v>
      </c>
      <c r="E35" s="76" t="s">
        <v>486</v>
      </c>
      <c r="F35" s="76" t="s">
        <v>487</v>
      </c>
      <c r="G35" s="77" t="s">
        <v>57</v>
      </c>
      <c r="H35" s="77" t="s">
        <v>86</v>
      </c>
      <c r="I35" s="77" t="s">
        <v>109</v>
      </c>
      <c r="J35" s="77" t="s">
        <v>63</v>
      </c>
      <c r="K35" s="77" t="s">
        <v>67</v>
      </c>
      <c r="L35" s="77"/>
      <c r="M35" s="76"/>
    </row>
    <row r="36" spans="1:13" ht="90.75" outlineLevel="1">
      <c r="A36" s="75" t="s">
        <v>488</v>
      </c>
      <c r="B36" s="76" t="s">
        <v>489</v>
      </c>
      <c r="C36" s="76"/>
      <c r="D36" s="76" t="s">
        <v>485</v>
      </c>
      <c r="E36" s="76"/>
      <c r="F36" s="76" t="s">
        <v>490</v>
      </c>
      <c r="G36" s="77" t="s">
        <v>57</v>
      </c>
      <c r="H36" s="77" t="s">
        <v>87</v>
      </c>
      <c r="I36" s="77" t="s">
        <v>109</v>
      </c>
      <c r="J36" s="77" t="s">
        <v>63</v>
      </c>
      <c r="K36" s="77" t="s">
        <v>67</v>
      </c>
      <c r="L36" s="77"/>
      <c r="M36" s="76"/>
    </row>
    <row r="37" spans="1:13" ht="90.75" outlineLevel="1">
      <c r="A37" s="75" t="s">
        <v>491</v>
      </c>
      <c r="B37" s="76" t="s">
        <v>142</v>
      </c>
      <c r="C37" s="76"/>
      <c r="D37" s="76" t="s">
        <v>485</v>
      </c>
      <c r="E37" s="76"/>
      <c r="F37" s="76" t="s">
        <v>143</v>
      </c>
      <c r="G37" s="77" t="s">
        <v>57</v>
      </c>
      <c r="H37" s="77" t="s">
        <v>87</v>
      </c>
      <c r="I37" s="77" t="s">
        <v>109</v>
      </c>
      <c r="J37" s="77" t="s">
        <v>63</v>
      </c>
      <c r="K37" s="77" t="s">
        <v>67</v>
      </c>
      <c r="L37" s="77"/>
      <c r="M37" s="76"/>
    </row>
    <row r="38" spans="1:13" ht="90.75" outlineLevel="1">
      <c r="A38" s="75" t="s">
        <v>492</v>
      </c>
      <c r="B38" s="76" t="s">
        <v>145</v>
      </c>
      <c r="C38" s="76"/>
      <c r="D38" s="76" t="s">
        <v>485</v>
      </c>
      <c r="E38" s="76"/>
      <c r="F38" s="76" t="s">
        <v>146</v>
      </c>
      <c r="G38" s="77" t="s">
        <v>57</v>
      </c>
      <c r="H38" s="77" t="s">
        <v>87</v>
      </c>
      <c r="I38" s="77" t="s">
        <v>109</v>
      </c>
      <c r="J38" s="77" t="s">
        <v>63</v>
      </c>
      <c r="K38" s="77" t="s">
        <v>67</v>
      </c>
      <c r="L38" s="77"/>
      <c r="M38" s="76"/>
    </row>
    <row r="39" spans="1:13" ht="90.75" outlineLevel="1">
      <c r="A39" s="75" t="s">
        <v>493</v>
      </c>
      <c r="B39" s="76" t="s">
        <v>148</v>
      </c>
      <c r="C39" s="76"/>
      <c r="D39" s="76" t="s">
        <v>485</v>
      </c>
      <c r="E39" s="76"/>
      <c r="F39" s="76" t="s">
        <v>149</v>
      </c>
      <c r="G39" s="77" t="s">
        <v>57</v>
      </c>
      <c r="H39" s="77" t="s">
        <v>87</v>
      </c>
      <c r="I39" s="77" t="s">
        <v>109</v>
      </c>
      <c r="J39" s="77" t="s">
        <v>63</v>
      </c>
      <c r="K39" s="77" t="s">
        <v>67</v>
      </c>
      <c r="L39" s="77"/>
      <c r="M39" s="76"/>
    </row>
    <row r="40" spans="1:13" ht="90.75" outlineLevel="1">
      <c r="A40" s="75" t="s">
        <v>494</v>
      </c>
      <c r="B40" s="76" t="s">
        <v>166</v>
      </c>
      <c r="C40" s="76"/>
      <c r="D40" s="76" t="s">
        <v>485</v>
      </c>
      <c r="E40" s="76"/>
      <c r="F40" s="76" t="s">
        <v>167</v>
      </c>
      <c r="G40" s="77" t="s">
        <v>57</v>
      </c>
      <c r="H40" s="77" t="s">
        <v>87</v>
      </c>
      <c r="I40" s="77" t="s">
        <v>109</v>
      </c>
      <c r="J40" s="77" t="s">
        <v>63</v>
      </c>
      <c r="K40" s="77" t="s">
        <v>67</v>
      </c>
      <c r="L40" s="77"/>
      <c r="M40" s="76"/>
    </row>
    <row r="41" spans="1:13" ht="90.75" outlineLevel="1">
      <c r="A41" s="75" t="s">
        <v>495</v>
      </c>
      <c r="B41" s="76" t="s">
        <v>496</v>
      </c>
      <c r="C41" s="76"/>
      <c r="D41" s="76" t="s">
        <v>485</v>
      </c>
      <c r="E41" s="76"/>
      <c r="F41" s="76" t="s">
        <v>497</v>
      </c>
      <c r="G41" s="77" t="s">
        <v>57</v>
      </c>
      <c r="H41" s="77" t="s">
        <v>87</v>
      </c>
      <c r="I41" s="77" t="s">
        <v>109</v>
      </c>
      <c r="J41" s="77" t="s">
        <v>63</v>
      </c>
      <c r="K41" s="77" t="s">
        <v>67</v>
      </c>
      <c r="L41" s="77"/>
      <c r="M41" s="76"/>
    </row>
    <row r="42" spans="1:13" ht="90.75" outlineLevel="1">
      <c r="A42" s="75" t="s">
        <v>498</v>
      </c>
      <c r="B42" s="76" t="s">
        <v>499</v>
      </c>
      <c r="C42" s="76"/>
      <c r="D42" s="76" t="s">
        <v>485</v>
      </c>
      <c r="E42" s="76"/>
      <c r="F42" s="76" t="s">
        <v>500</v>
      </c>
      <c r="G42" s="77" t="s">
        <v>57</v>
      </c>
      <c r="H42" s="77" t="s">
        <v>87</v>
      </c>
      <c r="I42" s="77" t="s">
        <v>109</v>
      </c>
      <c r="J42" s="77" t="s">
        <v>63</v>
      </c>
      <c r="K42" s="77" t="s">
        <v>67</v>
      </c>
      <c r="L42" s="77"/>
      <c r="M42" s="76"/>
    </row>
    <row r="43" spans="1:13" ht="90.75" outlineLevel="1">
      <c r="A43" s="75" t="s">
        <v>501</v>
      </c>
      <c r="B43" s="76" t="s">
        <v>502</v>
      </c>
      <c r="C43" s="76"/>
      <c r="D43" s="76" t="s">
        <v>485</v>
      </c>
      <c r="E43" s="76"/>
      <c r="F43" s="76" t="s">
        <v>503</v>
      </c>
      <c r="G43" s="77" t="s">
        <v>57</v>
      </c>
      <c r="H43" s="77" t="s">
        <v>86</v>
      </c>
      <c r="I43" s="77" t="s">
        <v>109</v>
      </c>
      <c r="J43" s="77" t="s">
        <v>63</v>
      </c>
      <c r="K43" s="77" t="s">
        <v>67</v>
      </c>
      <c r="L43" s="77"/>
      <c r="M43" s="76" t="s">
        <v>504</v>
      </c>
    </row>
    <row r="44" spans="1:13" ht="90.75" outlineLevel="1">
      <c r="A44" s="75" t="s">
        <v>505</v>
      </c>
      <c r="B44" s="76" t="s">
        <v>506</v>
      </c>
      <c r="C44" s="76"/>
      <c r="D44" s="76" t="s">
        <v>485</v>
      </c>
      <c r="E44" s="76"/>
      <c r="F44" s="76" t="s">
        <v>507</v>
      </c>
      <c r="G44" s="77" t="s">
        <v>57</v>
      </c>
      <c r="H44" s="77" t="s">
        <v>87</v>
      </c>
      <c r="I44" s="77" t="s">
        <v>109</v>
      </c>
      <c r="J44" s="77" t="s">
        <v>63</v>
      </c>
      <c r="K44" s="77" t="s">
        <v>67</v>
      </c>
      <c r="L44" s="77"/>
      <c r="M44" s="76"/>
    </row>
    <row r="45" spans="1:13" ht="90.75" outlineLevel="1">
      <c r="A45" s="75" t="s">
        <v>508</v>
      </c>
      <c r="B45" s="76" t="s">
        <v>509</v>
      </c>
      <c r="C45" s="76"/>
      <c r="D45" s="76" t="s">
        <v>485</v>
      </c>
      <c r="E45" s="76"/>
      <c r="F45" s="76" t="s">
        <v>510</v>
      </c>
      <c r="G45" s="77" t="s">
        <v>57</v>
      </c>
      <c r="H45" s="77" t="s">
        <v>87</v>
      </c>
      <c r="I45" s="77" t="s">
        <v>109</v>
      </c>
      <c r="J45" s="77" t="s">
        <v>63</v>
      </c>
      <c r="K45" s="77" t="s">
        <v>67</v>
      </c>
      <c r="L45" s="77"/>
      <c r="M45" s="76"/>
    </row>
    <row r="46" spans="1:13" ht="90.75" outlineLevel="1">
      <c r="A46" s="75" t="s">
        <v>508</v>
      </c>
      <c r="B46" s="76" t="s">
        <v>511</v>
      </c>
      <c r="C46" s="76"/>
      <c r="D46" s="76" t="s">
        <v>485</v>
      </c>
      <c r="E46" s="76"/>
      <c r="F46" s="76" t="s">
        <v>512</v>
      </c>
      <c r="G46" s="77" t="s">
        <v>57</v>
      </c>
      <c r="H46" s="77" t="s">
        <v>87</v>
      </c>
      <c r="I46" s="77" t="s">
        <v>109</v>
      </c>
      <c r="J46" s="77" t="s">
        <v>63</v>
      </c>
      <c r="K46" s="77" t="s">
        <v>67</v>
      </c>
      <c r="L46" s="77"/>
      <c r="M46" s="76"/>
    </row>
    <row r="47" spans="1:13" ht="28.5" outlineLevel="1">
      <c r="A47" s="73" t="s">
        <v>513</v>
      </c>
      <c r="B47" s="73" t="s">
        <v>181</v>
      </c>
      <c r="C47" s="74"/>
      <c r="D47" s="74"/>
      <c r="E47" s="74"/>
      <c r="F47" s="74"/>
      <c r="G47" s="74"/>
      <c r="H47" s="74"/>
      <c r="I47" s="74"/>
      <c r="J47" s="74"/>
      <c r="K47" s="74"/>
      <c r="L47" s="74"/>
      <c r="M47" s="74"/>
    </row>
    <row r="48" spans="1:13" ht="90.75" outlineLevel="1">
      <c r="A48" s="75" t="s">
        <v>514</v>
      </c>
      <c r="B48" s="76" t="s">
        <v>183</v>
      </c>
      <c r="C48" s="76"/>
      <c r="D48" s="76" t="s">
        <v>515</v>
      </c>
      <c r="E48" s="76"/>
      <c r="F48" s="76" t="s">
        <v>185</v>
      </c>
      <c r="G48" s="77" t="s">
        <v>57</v>
      </c>
      <c r="H48" s="77" t="s">
        <v>86</v>
      </c>
      <c r="I48" s="77" t="s">
        <v>109</v>
      </c>
      <c r="J48" s="77" t="s">
        <v>63</v>
      </c>
      <c r="K48" s="77" t="s">
        <v>67</v>
      </c>
      <c r="L48" s="77"/>
      <c r="M48" s="76"/>
    </row>
    <row r="49" spans="1:13" ht="90.75">
      <c r="A49" s="75" t="s">
        <v>516</v>
      </c>
      <c r="B49" s="76" t="s">
        <v>187</v>
      </c>
      <c r="C49" s="76"/>
      <c r="D49" s="76" t="s">
        <v>517</v>
      </c>
      <c r="E49" s="76"/>
      <c r="F49" s="76" t="s">
        <v>189</v>
      </c>
      <c r="G49" s="77" t="s">
        <v>57</v>
      </c>
      <c r="H49" s="77" t="s">
        <v>86</v>
      </c>
      <c r="I49" s="77" t="s">
        <v>109</v>
      </c>
      <c r="J49" s="77" t="s">
        <v>63</v>
      </c>
      <c r="K49" s="77" t="s">
        <v>67</v>
      </c>
      <c r="L49" s="77"/>
      <c r="M49" s="76"/>
    </row>
    <row r="50" spans="1:13" ht="28.5">
      <c r="A50" s="73" t="s">
        <v>518</v>
      </c>
      <c r="B50" s="73" t="s">
        <v>192</v>
      </c>
      <c r="C50" s="74"/>
      <c r="D50" s="74"/>
      <c r="E50" s="74"/>
      <c r="F50" s="74"/>
      <c r="G50" s="74"/>
      <c r="H50" s="74"/>
      <c r="I50" s="74"/>
      <c r="J50" s="74"/>
      <c r="K50" s="74"/>
      <c r="L50" s="74"/>
      <c r="M50" s="74"/>
    </row>
    <row r="51" spans="1:13" ht="75.75">
      <c r="A51" s="75" t="s">
        <v>519</v>
      </c>
      <c r="B51" s="76" t="s">
        <v>194</v>
      </c>
      <c r="C51" s="76"/>
      <c r="D51" s="76" t="s">
        <v>520</v>
      </c>
      <c r="E51" s="76"/>
      <c r="F51" s="76" t="s">
        <v>196</v>
      </c>
      <c r="G51" s="77" t="s">
        <v>57</v>
      </c>
      <c r="H51" s="77" t="s">
        <v>86</v>
      </c>
      <c r="I51" s="77" t="s">
        <v>109</v>
      </c>
      <c r="J51" s="77" t="s">
        <v>63</v>
      </c>
      <c r="K51" s="77" t="s">
        <v>67</v>
      </c>
      <c r="L51" s="77"/>
      <c r="M51" s="76"/>
    </row>
    <row r="52" spans="1:13" ht="75.75">
      <c r="A52" s="75" t="s">
        <v>521</v>
      </c>
      <c r="B52" s="76" t="s">
        <v>198</v>
      </c>
      <c r="C52" s="76"/>
      <c r="D52" s="76" t="s">
        <v>522</v>
      </c>
      <c r="E52" s="76"/>
      <c r="F52" s="76" t="s">
        <v>196</v>
      </c>
      <c r="G52" s="77" t="s">
        <v>57</v>
      </c>
      <c r="H52" s="77" t="s">
        <v>86</v>
      </c>
      <c r="I52" s="77" t="s">
        <v>109</v>
      </c>
      <c r="J52" s="77" t="s">
        <v>63</v>
      </c>
      <c r="K52" s="77" t="s">
        <v>67</v>
      </c>
      <c r="L52" s="77"/>
      <c r="M52" s="76"/>
    </row>
    <row r="53" spans="1:13" ht="105" customHeight="1">
      <c r="A53" s="75" t="s">
        <v>523</v>
      </c>
      <c r="B53" s="76" t="s">
        <v>524</v>
      </c>
      <c r="C53" s="76" t="s">
        <v>525</v>
      </c>
      <c r="D53" s="76" t="s">
        <v>526</v>
      </c>
      <c r="E53" s="76" t="s">
        <v>486</v>
      </c>
      <c r="F53" s="76" t="s">
        <v>527</v>
      </c>
      <c r="G53" s="77" t="s">
        <v>57</v>
      </c>
      <c r="H53" s="77" t="s">
        <v>86</v>
      </c>
      <c r="I53" s="77" t="s">
        <v>109</v>
      </c>
      <c r="J53" s="77" t="s">
        <v>63</v>
      </c>
      <c r="K53" s="77" t="s">
        <v>67</v>
      </c>
      <c r="L53" s="77"/>
      <c r="M53" s="76"/>
    </row>
    <row r="54" spans="1:13" ht="90.75">
      <c r="A54" s="75" t="s">
        <v>528</v>
      </c>
      <c r="B54" s="76" t="s">
        <v>529</v>
      </c>
      <c r="C54" s="76" t="s">
        <v>530</v>
      </c>
      <c r="D54" s="76" t="s">
        <v>531</v>
      </c>
      <c r="E54" s="76"/>
      <c r="F54" s="76" t="s">
        <v>532</v>
      </c>
      <c r="G54" s="77" t="s">
        <v>57</v>
      </c>
      <c r="H54" s="77" t="s">
        <v>86</v>
      </c>
      <c r="I54" s="77" t="s">
        <v>109</v>
      </c>
      <c r="J54" s="77" t="s">
        <v>63</v>
      </c>
      <c r="K54" s="77" t="s">
        <v>67</v>
      </c>
      <c r="L54" s="77"/>
      <c r="M54" s="76"/>
    </row>
    <row r="55" spans="1:13" ht="90.75">
      <c r="A55" s="75" t="s">
        <v>533</v>
      </c>
      <c r="B55" s="76" t="s">
        <v>534</v>
      </c>
      <c r="C55" s="76" t="s">
        <v>535</v>
      </c>
      <c r="D55" s="76" t="s">
        <v>531</v>
      </c>
      <c r="E55" s="76"/>
      <c r="F55" s="76" t="s">
        <v>536</v>
      </c>
      <c r="G55" s="77" t="s">
        <v>57</v>
      </c>
      <c r="H55" s="77" t="s">
        <v>86</v>
      </c>
      <c r="I55" s="77" t="s">
        <v>109</v>
      </c>
      <c r="J55" s="77" t="s">
        <v>63</v>
      </c>
      <c r="K55" s="77" t="s">
        <v>67</v>
      </c>
      <c r="L55" s="77"/>
      <c r="M55" s="76"/>
    </row>
    <row r="56" spans="1:13" ht="90.75">
      <c r="A56" s="75" t="s">
        <v>537</v>
      </c>
      <c r="B56" s="76" t="s">
        <v>538</v>
      </c>
      <c r="C56" s="76" t="s">
        <v>535</v>
      </c>
      <c r="D56" s="76" t="s">
        <v>531</v>
      </c>
      <c r="E56" s="76"/>
      <c r="F56" s="76" t="s">
        <v>539</v>
      </c>
      <c r="G56" s="77" t="s">
        <v>57</v>
      </c>
      <c r="H56" s="77" t="s">
        <v>86</v>
      </c>
      <c r="I56" s="77" t="s">
        <v>109</v>
      </c>
      <c r="J56" s="77" t="s">
        <v>63</v>
      </c>
      <c r="K56" s="77" t="s">
        <v>67</v>
      </c>
      <c r="L56" s="77"/>
      <c r="M56" s="76"/>
    </row>
    <row r="57" spans="1:13" ht="71.25" customHeight="1">
      <c r="A57" s="75" t="s">
        <v>540</v>
      </c>
      <c r="B57" s="76" t="s">
        <v>541</v>
      </c>
      <c r="C57" s="76"/>
      <c r="D57" s="76" t="s">
        <v>542</v>
      </c>
      <c r="E57" s="76" t="s">
        <v>543</v>
      </c>
      <c r="F57" s="76" t="s">
        <v>217</v>
      </c>
      <c r="G57" s="77" t="s">
        <v>57</v>
      </c>
      <c r="H57" s="77" t="s">
        <v>86</v>
      </c>
      <c r="I57" s="77" t="s">
        <v>109</v>
      </c>
      <c r="J57" s="77" t="s">
        <v>63</v>
      </c>
      <c r="K57" s="77" t="s">
        <v>67</v>
      </c>
      <c r="L57" s="77"/>
      <c r="M57" s="76" t="s">
        <v>544</v>
      </c>
    </row>
    <row r="58" spans="1:13" ht="96" customHeight="1">
      <c r="A58" s="75" t="s">
        <v>545</v>
      </c>
      <c r="B58" s="76" t="s">
        <v>546</v>
      </c>
      <c r="C58" s="76"/>
      <c r="D58" s="76" t="s">
        <v>542</v>
      </c>
      <c r="E58" s="76" t="s">
        <v>543</v>
      </c>
      <c r="F58" s="76" t="s">
        <v>217</v>
      </c>
      <c r="G58" s="77" t="s">
        <v>57</v>
      </c>
      <c r="H58" s="77" t="s">
        <v>86</v>
      </c>
      <c r="I58" s="77" t="s">
        <v>109</v>
      </c>
      <c r="J58" s="77" t="s">
        <v>63</v>
      </c>
      <c r="K58" s="77" t="s">
        <v>67</v>
      </c>
      <c r="L58" s="77"/>
      <c r="M58" s="76" t="s">
        <v>544</v>
      </c>
    </row>
    <row r="59" spans="1:13" ht="96" customHeight="1">
      <c r="A59" s="75" t="s">
        <v>547</v>
      </c>
      <c r="B59" s="76" t="s">
        <v>548</v>
      </c>
      <c r="C59" s="76"/>
      <c r="D59" s="76" t="s">
        <v>542</v>
      </c>
      <c r="E59" s="76" t="s">
        <v>543</v>
      </c>
      <c r="F59" s="76" t="s">
        <v>217</v>
      </c>
      <c r="G59" s="77" t="s">
        <v>57</v>
      </c>
      <c r="H59" s="77" t="s">
        <v>86</v>
      </c>
      <c r="I59" s="77" t="s">
        <v>109</v>
      </c>
      <c r="J59" s="77" t="s">
        <v>63</v>
      </c>
      <c r="K59" s="77" t="s">
        <v>67</v>
      </c>
      <c r="L59" s="77"/>
      <c r="M59" s="76" t="s">
        <v>544</v>
      </c>
    </row>
    <row r="60" spans="1:13" ht="96" customHeight="1">
      <c r="A60" s="75" t="s">
        <v>549</v>
      </c>
      <c r="B60" s="76" t="s">
        <v>550</v>
      </c>
      <c r="C60" s="76"/>
      <c r="D60" s="76" t="s">
        <v>542</v>
      </c>
      <c r="E60" s="76" t="s">
        <v>543</v>
      </c>
      <c r="F60" s="76" t="s">
        <v>217</v>
      </c>
      <c r="G60" s="77" t="s">
        <v>57</v>
      </c>
      <c r="H60" s="77" t="s">
        <v>86</v>
      </c>
      <c r="I60" s="77" t="s">
        <v>109</v>
      </c>
      <c r="J60" s="77" t="s">
        <v>78</v>
      </c>
      <c r="K60" s="77" t="s">
        <v>67</v>
      </c>
      <c r="L60" s="77"/>
      <c r="M60" s="76"/>
    </row>
    <row r="61" spans="1:13" ht="96" customHeight="1">
      <c r="A61" s="75" t="s">
        <v>551</v>
      </c>
      <c r="B61" s="76" t="s">
        <v>552</v>
      </c>
      <c r="C61" s="76"/>
      <c r="D61" s="76" t="s">
        <v>542</v>
      </c>
      <c r="E61" s="76" t="s">
        <v>543</v>
      </c>
      <c r="F61" s="76" t="s">
        <v>217</v>
      </c>
      <c r="G61" s="77" t="s">
        <v>57</v>
      </c>
      <c r="H61" s="77" t="s">
        <v>86</v>
      </c>
      <c r="I61" s="77" t="s">
        <v>109</v>
      </c>
      <c r="J61" s="77" t="s">
        <v>78</v>
      </c>
      <c r="K61" s="77" t="s">
        <v>67</v>
      </c>
      <c r="L61" s="77"/>
      <c r="M61" s="76"/>
    </row>
  </sheetData>
  <autoFilter ref="A26:N26" xr:uid="{C2371551-2258-47DE-8C4A-FBAB180D9D54}"/>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AF8CA15B-08C9-48C9-A794-3DF26CBD0F80}">
          <x14:formula1>
            <xm:f>Report!$A$20:$A$25</xm:f>
          </x14:formula1>
          <xm:sqref>J35:K46 J48:K49 J28:K33 J51:K61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N35"/>
  <sheetViews>
    <sheetView zoomScaleNormal="100" workbookViewId="0">
      <selection activeCell="C16" sqref="C16"/>
    </sheetView>
  </sheetViews>
  <sheetFormatPr defaultColWidth="8.7109375" defaultRowHeight="14.25" outlineLevelRow="1"/>
  <cols>
    <col min="1" max="1" width="17.140625" customWidth="1"/>
    <col min="2" max="2" width="40.5703125" customWidth="1"/>
    <col min="3" max="3" width="25" customWidth="1"/>
    <col min="4" max="4" width="45" customWidth="1"/>
    <col min="5" max="5" width="32.5703125" customWidth="1"/>
    <col min="6" max="6" width="57.42578125" customWidth="1"/>
    <col min="7" max="7" width="18" customWidth="1"/>
    <col min="8" max="8" width="8.28515625" customWidth="1"/>
    <col min="9" max="9" width="18.5703125" customWidth="1"/>
    <col min="10" max="10" width="16.140625" customWidth="1"/>
    <col min="11" max="11" width="16.7109375" customWidth="1"/>
    <col min="12" max="12" width="7" customWidth="1"/>
    <col min="13" max="13" width="6.42578125" customWidth="1"/>
    <col min="14" max="14" width="8" customWidth="1"/>
  </cols>
  <sheetData>
    <row r="1" spans="1:14" ht="18" customHeight="1">
      <c r="A1" s="68" t="s">
        <v>82</v>
      </c>
      <c r="B1" s="68" t="str">
        <f>Cover!E11</f>
        <v>DỰ ÁN TRIỂN KHAI BẢN QUYỀN PHẦN MỀM HỆ THỐNG AML MỚI</v>
      </c>
    </row>
    <row r="2" spans="1:14" ht="18" customHeight="1">
      <c r="A2" s="68" t="s">
        <v>83</v>
      </c>
      <c r="B2" s="68" t="s">
        <v>84</v>
      </c>
    </row>
    <row r="4" spans="1:14" ht="18" customHeight="1">
      <c r="A4" s="69"/>
      <c r="B4" s="69" t="s">
        <v>86</v>
      </c>
      <c r="C4" s="69" t="s">
        <v>87</v>
      </c>
      <c r="D4" s="69" t="s">
        <v>88</v>
      </c>
      <c r="E4" s="69" t="s">
        <v>68</v>
      </c>
    </row>
    <row r="5" spans="1:14" ht="18" customHeight="1">
      <c r="A5" s="70"/>
      <c r="B5" s="70">
        <f>SUM(B6:B10)</f>
        <v>0</v>
      </c>
      <c r="C5" s="70">
        <f>SUM(C6:C10)</f>
        <v>0</v>
      </c>
      <c r="D5" s="70">
        <f>SUM(D6:D10)</f>
        <v>0</v>
      </c>
      <c r="E5" s="70">
        <f t="shared" ref="E5:E10" si="0">SUM(B5:D5)</f>
        <v>0</v>
      </c>
    </row>
    <row r="6" spans="1:14" ht="18" customHeight="1">
      <c r="A6" s="68" t="s">
        <v>63</v>
      </c>
      <c r="B6" s="71">
        <f>COUNTIFS($J:$J,$A$6,$H:$H,B$4)</f>
        <v>0</v>
      </c>
      <c r="C6" s="71">
        <f>COUNTIFS($J:$J,$A$6,$H:$H,C$4)</f>
        <v>0</v>
      </c>
      <c r="D6" s="71">
        <f>COUNTIFS($J:$J,$A$6,$H:$H,D$4)</f>
        <v>0</v>
      </c>
      <c r="E6" s="71">
        <f t="shared" si="0"/>
        <v>0</v>
      </c>
    </row>
    <row r="7" spans="1:14" ht="18" customHeight="1">
      <c r="A7" s="68" t="s">
        <v>64</v>
      </c>
      <c r="B7" s="71">
        <f>COUNTIFS($J:$J,$A$7,$H:$H,B$4)</f>
        <v>0</v>
      </c>
      <c r="C7" s="71">
        <f>COUNTIFS($J:$J,$A$7,$H:$H,C$4)</f>
        <v>0</v>
      </c>
      <c r="D7" s="71">
        <f>COUNTIFS($J:$J,$A$7,$H:$H,D$4)</f>
        <v>0</v>
      </c>
      <c r="E7" s="71">
        <f t="shared" si="0"/>
        <v>0</v>
      </c>
    </row>
    <row r="8" spans="1:14" ht="18" customHeight="1">
      <c r="A8" s="68" t="s">
        <v>67</v>
      </c>
      <c r="B8" s="71">
        <f>COUNTIFS($J:$J,$A$8,$H:$H,B$4)</f>
        <v>0</v>
      </c>
      <c r="C8" s="71">
        <f>COUNTIFS($J:$J,$A$8,$H:$H,C$4)</f>
        <v>0</v>
      </c>
      <c r="D8" s="71">
        <f>COUNTIFS($J:$J,$A$8,$H:$H,D$4)</f>
        <v>0</v>
      </c>
      <c r="E8" s="71">
        <f t="shared" si="0"/>
        <v>0</v>
      </c>
    </row>
    <row r="9" spans="1:14" ht="18" customHeight="1">
      <c r="A9" s="68" t="s">
        <v>65</v>
      </c>
      <c r="B9" s="71">
        <f>COUNTIFS($J:$J,$A$9,$H:$H,B$4)</f>
        <v>0</v>
      </c>
      <c r="C9" s="71">
        <f>COUNTIFS($J:$J,$A$9,$H:$H,C$4)</f>
        <v>0</v>
      </c>
      <c r="D9" s="71">
        <f>COUNTIFS($J:$J,$A$9,$H:$H,D$4)</f>
        <v>0</v>
      </c>
      <c r="E9" s="71">
        <f t="shared" si="0"/>
        <v>0</v>
      </c>
    </row>
    <row r="10" spans="1:14" ht="18" customHeight="1">
      <c r="A10" s="68" t="s">
        <v>79</v>
      </c>
      <c r="B10" s="71">
        <f>COUNTIFS($J:$J,$A$10,$H:$H,B$4)</f>
        <v>0</v>
      </c>
      <c r="C10" s="71">
        <f>COUNTIFS($J:$J,$A$10,$H:$H,C$4)</f>
        <v>0</v>
      </c>
      <c r="D10" s="71">
        <f>COUNTIFS($J:$J,$A$10,$H:$H,D$4)</f>
        <v>0</v>
      </c>
      <c r="E10" s="71">
        <f t="shared" si="0"/>
        <v>0</v>
      </c>
    </row>
    <row r="12" spans="1:14" ht="28.5" customHeight="1">
      <c r="A12" s="69" t="s">
        <v>90</v>
      </c>
      <c r="B12" s="69" t="s">
        <v>91</v>
      </c>
      <c r="C12" s="69" t="s">
        <v>92</v>
      </c>
      <c r="D12" s="69" t="s">
        <v>93</v>
      </c>
      <c r="E12" s="69" t="s">
        <v>94</v>
      </c>
      <c r="F12" s="69" t="s">
        <v>95</v>
      </c>
      <c r="G12" s="69" t="s">
        <v>56</v>
      </c>
      <c r="H12" s="72" t="s">
        <v>96</v>
      </c>
      <c r="I12" s="72" t="s">
        <v>97</v>
      </c>
      <c r="J12" s="72" t="s">
        <v>98</v>
      </c>
      <c r="K12" s="72" t="s">
        <v>99</v>
      </c>
      <c r="L12" s="69" t="s">
        <v>101</v>
      </c>
      <c r="M12" s="69" t="s">
        <v>102</v>
      </c>
      <c r="N12" s="69"/>
    </row>
    <row r="13" spans="1:14" ht="24.75" customHeight="1">
      <c r="A13" s="73"/>
      <c r="B13" s="73"/>
      <c r="C13" s="74"/>
      <c r="D13" s="74"/>
      <c r="E13" s="74"/>
      <c r="F13" s="74"/>
      <c r="G13" s="74"/>
      <c r="H13" s="74"/>
      <c r="I13" s="74"/>
      <c r="J13" s="74"/>
      <c r="K13" s="74"/>
      <c r="L13" s="74"/>
      <c r="M13" s="74"/>
    </row>
    <row r="14" spans="1:14" ht="84.75" customHeight="1" outlineLevel="1">
      <c r="A14" s="75"/>
      <c r="B14" s="76"/>
      <c r="C14" s="76"/>
      <c r="D14" s="76"/>
      <c r="E14" s="76"/>
      <c r="F14" s="76"/>
      <c r="G14" s="77"/>
      <c r="H14" s="77"/>
      <c r="I14" s="77"/>
      <c r="J14" s="77"/>
      <c r="K14" s="77"/>
      <c r="L14" s="77"/>
      <c r="M14" s="76"/>
    </row>
    <row r="15" spans="1:14" ht="48.75" customHeight="1" outlineLevel="1">
      <c r="A15" s="75"/>
      <c r="B15" s="76"/>
      <c r="C15" s="76"/>
      <c r="D15" s="76"/>
      <c r="E15" s="76"/>
      <c r="F15" s="76"/>
      <c r="G15" s="77"/>
      <c r="H15" s="77"/>
      <c r="I15" s="77"/>
      <c r="J15" s="77"/>
      <c r="K15" s="77"/>
      <c r="L15" s="77"/>
      <c r="M15" s="76"/>
    </row>
    <row r="16" spans="1:14" ht="36.75" customHeight="1" outlineLevel="1">
      <c r="A16" s="75"/>
      <c r="B16" s="76"/>
      <c r="C16" s="76"/>
      <c r="D16" s="76"/>
      <c r="E16" s="76"/>
      <c r="F16" s="76"/>
      <c r="G16" s="77"/>
      <c r="H16" s="77"/>
      <c r="I16" s="77"/>
      <c r="J16" s="77"/>
      <c r="K16" s="77"/>
      <c r="L16" s="77"/>
      <c r="M16" s="76"/>
    </row>
    <row r="17" spans="1:13" ht="84.75" customHeight="1" outlineLevel="1">
      <c r="A17" s="75"/>
      <c r="B17" s="76"/>
      <c r="C17" s="76"/>
      <c r="D17" s="76"/>
      <c r="E17" s="76"/>
      <c r="F17" s="76"/>
      <c r="G17" s="77"/>
      <c r="H17" s="77"/>
      <c r="I17" s="77"/>
      <c r="J17" s="77"/>
      <c r="K17" s="77"/>
      <c r="L17" s="77"/>
      <c r="M17" s="76"/>
    </row>
    <row r="18" spans="1:13" ht="264" customHeight="1">
      <c r="A18" s="75"/>
      <c r="B18" s="76"/>
      <c r="C18" s="76"/>
      <c r="D18" s="76"/>
      <c r="E18" s="76"/>
      <c r="F18" s="76"/>
      <c r="G18" s="77"/>
      <c r="H18" s="77"/>
      <c r="I18" s="77"/>
      <c r="J18" s="77"/>
      <c r="K18" s="77"/>
      <c r="L18" s="77"/>
      <c r="M18" s="76"/>
    </row>
    <row r="19" spans="1:13" ht="24.75" customHeight="1" outlineLevel="1">
      <c r="A19" s="73"/>
      <c r="B19" s="73"/>
      <c r="C19" s="74"/>
      <c r="D19" s="74"/>
      <c r="E19" s="74"/>
      <c r="F19" s="74"/>
      <c r="G19" s="74"/>
      <c r="H19" s="74"/>
      <c r="I19" s="74"/>
      <c r="J19" s="74"/>
      <c r="K19" s="74"/>
      <c r="L19" s="74"/>
      <c r="M19" s="74"/>
    </row>
    <row r="20" spans="1:13" ht="60.75" customHeight="1" outlineLevel="1">
      <c r="A20" s="75"/>
      <c r="B20" s="76"/>
      <c r="C20" s="76"/>
      <c r="D20" s="76"/>
      <c r="E20" s="76"/>
      <c r="F20" s="76"/>
      <c r="G20" s="77"/>
      <c r="H20" s="77"/>
      <c r="I20" s="77"/>
      <c r="J20" s="77"/>
      <c r="K20" s="77"/>
      <c r="L20" s="77"/>
      <c r="M20" s="76"/>
    </row>
    <row r="21" spans="1:13" ht="48.75" customHeight="1" outlineLevel="1">
      <c r="A21" s="75"/>
      <c r="B21" s="76"/>
      <c r="C21" s="76"/>
      <c r="D21" s="76"/>
      <c r="E21" s="76"/>
      <c r="F21" s="76"/>
      <c r="G21" s="77"/>
      <c r="H21" s="77"/>
      <c r="I21" s="77"/>
      <c r="J21" s="77"/>
      <c r="K21" s="77"/>
      <c r="L21" s="77"/>
      <c r="M21" s="76"/>
    </row>
    <row r="22" spans="1:13" ht="36.75" customHeight="1" outlineLevel="1">
      <c r="A22" s="75"/>
      <c r="B22" s="76"/>
      <c r="C22" s="76"/>
      <c r="D22" s="76"/>
      <c r="E22" s="76"/>
      <c r="F22" s="76"/>
      <c r="G22" s="77"/>
      <c r="H22" s="77"/>
      <c r="I22" s="77"/>
      <c r="J22" s="77"/>
      <c r="K22" s="77"/>
      <c r="L22" s="77"/>
      <c r="M22" s="76"/>
    </row>
    <row r="23" spans="1:13" ht="24.75" customHeight="1" outlineLevel="1">
      <c r="A23" s="75"/>
      <c r="B23" s="76"/>
      <c r="C23" s="76"/>
      <c r="D23" s="76"/>
      <c r="E23" s="76"/>
      <c r="F23" s="76"/>
      <c r="G23" s="77"/>
      <c r="H23" s="77"/>
      <c r="I23" s="77"/>
      <c r="J23" s="77"/>
      <c r="K23" s="77"/>
      <c r="L23" s="77"/>
      <c r="M23" s="76"/>
    </row>
    <row r="24" spans="1:13" ht="24.75" customHeight="1" outlineLevel="1">
      <c r="A24" s="73"/>
      <c r="B24" s="73"/>
      <c r="C24" s="74"/>
      <c r="D24" s="74"/>
      <c r="E24" s="74"/>
      <c r="F24" s="74"/>
      <c r="G24" s="74"/>
      <c r="H24" s="74"/>
      <c r="I24" s="74"/>
      <c r="J24" s="74"/>
      <c r="K24" s="74"/>
      <c r="L24" s="74"/>
      <c r="M24" s="74"/>
    </row>
    <row r="25" spans="1:13" ht="24.75" customHeight="1" outlineLevel="1">
      <c r="A25" s="75"/>
      <c r="B25" s="76"/>
      <c r="C25" s="76"/>
      <c r="D25" s="76"/>
      <c r="E25" s="76"/>
      <c r="F25" s="76"/>
      <c r="G25" s="77"/>
      <c r="H25" s="77"/>
      <c r="I25" s="77"/>
      <c r="J25" s="77"/>
      <c r="K25" s="77"/>
      <c r="L25" s="77"/>
      <c r="M25" s="76"/>
    </row>
    <row r="26" spans="1:13" ht="36.75" customHeight="1">
      <c r="A26" s="75"/>
      <c r="B26" s="76"/>
      <c r="C26" s="76"/>
      <c r="D26" s="76"/>
      <c r="E26" s="76"/>
      <c r="F26" s="76"/>
      <c r="G26" s="77"/>
      <c r="H26" s="77"/>
      <c r="I26" s="77"/>
      <c r="J26" s="77"/>
      <c r="K26" s="77"/>
      <c r="L26" s="77"/>
      <c r="M26" s="76"/>
    </row>
    <row r="27" spans="1:13" ht="14.25" customHeight="1" outlineLevel="1">
      <c r="A27" s="75"/>
      <c r="B27" s="76"/>
      <c r="C27" s="76"/>
      <c r="D27" s="76"/>
      <c r="E27" s="76"/>
      <c r="F27" s="76"/>
      <c r="G27" s="77"/>
      <c r="H27" s="77"/>
      <c r="I27" s="77"/>
      <c r="J27" s="77"/>
      <c r="K27" s="77"/>
      <c r="L27" s="77"/>
      <c r="M27" s="76"/>
    </row>
    <row r="28" spans="1:13" ht="14.25" customHeight="1" outlineLevel="1">
      <c r="A28" s="75"/>
      <c r="B28" s="76"/>
      <c r="C28" s="76"/>
      <c r="D28" s="76"/>
      <c r="E28" s="76"/>
      <c r="F28" s="76"/>
      <c r="G28" s="77"/>
      <c r="H28" s="77"/>
      <c r="I28" s="77"/>
      <c r="J28" s="77"/>
      <c r="K28" s="77"/>
      <c r="L28" s="77"/>
      <c r="M28" s="76"/>
    </row>
    <row r="30" spans="1:13" ht="14.25" customHeight="1">
      <c r="A30" s="73"/>
      <c r="B30" s="73"/>
      <c r="C30" s="74"/>
      <c r="D30" s="74"/>
      <c r="E30" s="74"/>
      <c r="F30" s="74"/>
      <c r="G30" s="74"/>
      <c r="H30" s="74"/>
      <c r="I30" s="74"/>
      <c r="J30" s="74"/>
      <c r="K30" s="74"/>
      <c r="L30" s="74"/>
      <c r="M30" s="74"/>
    </row>
    <row r="31" spans="1:13" ht="14.25" customHeight="1">
      <c r="A31" s="75"/>
      <c r="B31" s="76"/>
      <c r="C31" s="76"/>
      <c r="D31" s="76"/>
      <c r="E31" s="76"/>
      <c r="F31" s="76"/>
      <c r="G31" s="77"/>
      <c r="H31" s="77"/>
      <c r="I31" s="77"/>
      <c r="J31" s="77"/>
      <c r="K31" s="77"/>
      <c r="L31" s="77"/>
      <c r="M31" s="76"/>
    </row>
    <row r="32" spans="1:13" ht="14.25" customHeight="1">
      <c r="A32" s="75"/>
      <c r="B32" s="76"/>
      <c r="C32" s="76"/>
      <c r="D32" s="76"/>
      <c r="E32" s="76"/>
      <c r="F32" s="76"/>
      <c r="G32" s="77"/>
      <c r="H32" s="77"/>
      <c r="I32" s="77"/>
      <c r="J32" s="77"/>
      <c r="K32" s="77"/>
      <c r="L32" s="77"/>
      <c r="M32" s="76"/>
    </row>
    <row r="33" spans="1:13" ht="14.25" customHeight="1">
      <c r="A33" s="75"/>
      <c r="B33" s="76"/>
      <c r="C33" s="76"/>
      <c r="D33" s="76"/>
      <c r="E33" s="76"/>
      <c r="F33" s="76"/>
      <c r="G33" s="77"/>
      <c r="H33" s="77"/>
      <c r="I33" s="77"/>
      <c r="J33" s="77"/>
      <c r="K33" s="77"/>
      <c r="L33" s="77"/>
      <c r="M33" s="76"/>
    </row>
    <row r="34" spans="1:13" ht="14.25" customHeight="1">
      <c r="A34" s="75"/>
      <c r="B34" s="76"/>
      <c r="C34" s="76"/>
      <c r="D34" s="76"/>
      <c r="E34" s="76"/>
      <c r="F34" s="76"/>
      <c r="G34" s="77"/>
      <c r="H34" s="77"/>
      <c r="I34" s="77"/>
      <c r="J34" s="77"/>
      <c r="K34" s="77"/>
      <c r="L34" s="77"/>
      <c r="M34" s="76"/>
    </row>
    <row r="35" spans="1:13" ht="14.25" customHeight="1">
      <c r="A35" s="75"/>
      <c r="B35" s="76"/>
      <c r="C35" s="76"/>
      <c r="D35" s="76"/>
      <c r="E35" s="76"/>
      <c r="F35" s="76"/>
      <c r="G35" s="77"/>
      <c r="H35" s="77"/>
      <c r="I35" s="77"/>
      <c r="J35" s="77"/>
      <c r="K35" s="77"/>
      <c r="L35" s="77"/>
      <c r="M35" s="7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
  <cp:revision>0</cp:revision>
  <dcterms:created xsi:type="dcterms:W3CDTF">2015-06-05T18:17:20Z</dcterms:created>
  <dcterms:modified xsi:type="dcterms:W3CDTF">2026-10-05T09:56:34Z</dcterms:modified>
  <cp:category/>
  <cp:contentStatus/>
</cp:coreProperties>
</file>