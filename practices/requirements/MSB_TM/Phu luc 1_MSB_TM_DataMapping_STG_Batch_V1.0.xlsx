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D:\FIS\MSB_AML\BRD_DR_GAP\BRD\TM\DR\"/>
    </mc:Choice>
  </mc:AlternateContent>
  <xr:revisionPtr revIDLastSave="0" documentId="8_{5019D3A3-4EB3-47EF-A3AD-20E0C3EF3ED7}" xr6:coauthVersionLast="47" xr6:coauthVersionMax="47" xr10:uidLastSave="{00000000-0000-0000-0000-000000000000}"/>
  <bookViews>
    <workbookView xWindow="0" yWindow="0" windowWidth="21600" windowHeight="9570" tabRatio="881" firstSheet="3" activeTab="3" xr2:uid="{00000000-000D-0000-FFFF-FFFF00000000}"/>
  </bookViews>
  <sheets>
    <sheet name="0. Huong dan" sheetId="1" r:id="rId1"/>
    <sheet name="1. Cơ chế Load" sheetId="2" r:id="rId2"/>
    <sheet name="★ Action Tracker (MSB)" sheetId="4" r:id="rId3"/>
    <sheet name="★ BDF STG-FSDM" sheetId="5" r:id="rId4"/>
    <sheet name="STG_PARTY_MASTER" sheetId="6" r:id="rId5"/>
    <sheet name="STG_ADDRESS_MASTER" sheetId="7" r:id="rId6"/>
    <sheet name="STG_PARTY_ADDRESS_MAP" sheetId="8" r:id="rId7"/>
    <sheet name="STG_PARTY_PHONE_MAP" sheetId="9" r:id="rId8"/>
    <sheet name="STG_PARTY_EMAIL_MAP" sheetId="10" r:id="rId9"/>
    <sheet name="STG_CUSTOMER_IDENTIFCTN_DOC" sheetId="11" r:id="rId10"/>
    <sheet name="STG_PARTY_PARTY_RELATIONSHIP" sheetId="12" r:id="rId11"/>
    <sheet name="STG_PARTY_ROLE_MAP" sheetId="13" r:id="rId12"/>
    <sheet name="STG_CORRESPONDENT_PROD_SERVED" sheetId="14" r:id="rId13"/>
    <sheet name="STG_CASA" sheetId="15" r:id="rId14"/>
    <sheet name="STG_PARTY_ACCOUNT_ROLE_MAP" sheetId="16" r:id="rId15"/>
    <sheet name="STG_CASA_TXNS" sheetId="17" r:id="rId16"/>
    <sheet name="STG_TXN_ALT_CCY_VALUES" sheetId="18" r:id="rId17"/>
    <sheet name="STG_FRONT_OFFICE_TXN_PARTY" sheetId="19" r:id="rId18"/>
    <sheet name="STG_PARTY_MSB_DETAILS" sheetId="20" r:id="rId19"/>
    <sheet name="STG_PARTY_MSB_LOGIN" sheetId="21" r:id="rId20"/>
    <sheet name="STG_PARTY_TYPE_MASTER" sheetId="22" r:id="rId21"/>
    <sheet name="STG_COUNTRY_MASTER" sheetId="23"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8" l="1"/>
  <c r="M5" i="8"/>
</calcChain>
</file>

<file path=xl/sharedStrings.xml><?xml version="1.0" encoding="utf-8"?>
<sst xmlns="http://schemas.openxmlformats.org/spreadsheetml/2006/main" count="2425" uniqueCount="945">
  <si>
    <t>MSB – AML/TM · DATA MAPPING BATCH – MAPPING CHI TIẾT THEO BẢNG STAGING (OFSAA CSA)</t>
  </si>
  <si>
    <t>MỤC ĐÍCH: mỗi bảng STG = 1 sheet để dev viết job ETL. Cột STG (CSA Column/Datatype/PK/Null/Codeset) lấy từ DDL thực tế; khung cột NGUỒN (tô cam) để MSB điền logic đổ nguồn → STG.</t>
  </si>
  <si>
    <t>QUY ƯỚC MÀU:</t>
  </si>
  <si>
    <t xml:space="preserve">   • Vàng nhạt = cột PK / bắt buộc (NOT NULL).</t>
  </si>
  <si>
    <t xml:space="preserve">   • Cam nhạt  = nhóm cột NGUỒN (Hệ thống/Bảng/Trường nguồn · Logic transform · Default) – phạm vi MSB/dev điền.</t>
  </si>
  <si>
    <t>PHẠM VI PIC: cột STG = FIS (tạo/sửa cột, viết job). Cột nguồn/logic/codeset = MSB (xác nhận &amp; cung cấp nguồn).</t>
  </si>
  <si>
    <t>NGUYÊN TẮC: logic chưa đủ rõ để dev đổ dữ liệu → gắn 'Cần hỏi MSB=Y'</t>
  </si>
  <si>
    <t>DANH SÁCH SHEET (bấm để nhảy):</t>
  </si>
  <si>
    <t>#</t>
  </si>
  <si>
    <t>Bảng STG</t>
  </si>
  <si>
    <t>Khối nguồn (MSB)</t>
  </si>
  <si>
    <t>Mô tả</t>
  </si>
  <si>
    <t>1. Cơ chế Load</t>
  </si>
  <si>
    <t>Cơ chế nạp Init/Daily + trường kỹ thuật (FIC_MIS_DATE/N_LOAD_RUN_ID/V_GAAP_CODE)</t>
  </si>
  <si>
    <t>★ Action Tracker (MSB)</t>
  </si>
  <si>
    <t>Danh sách mục cần làm rõ / bổ sung (gom theo ưu tiên/PIC)</t>
  </si>
  <si>
    <t>★ BDF STG-FSDM</t>
  </si>
  <si>
    <t>Cột STG map có được OOB BDF kéo lên FSDM/BD không (gap coverage)</t>
  </si>
  <si>
    <t>STG_PARTY_MASTER</t>
  </si>
  <si>
    <t>Customer</t>
  </si>
  <si>
    <t>KH – thông tin định danh/nhân khẩu/tổ chức</t>
  </si>
  <si>
    <t>STG_ADDRESS_MASTER</t>
  </si>
  <si>
    <t>Nội dung địa chỉ (mô hình OFSAA – thay STG_PARTY_ADDRESS)</t>
  </si>
  <si>
    <t>STG_PARTY_ADDRESS_MAP</t>
  </si>
  <si>
    <t>Liên kết KH–địa chỉ + mục đích địa chỉ</t>
  </si>
  <si>
    <t>STG_PARTY_PHONE_MAP</t>
  </si>
  <si>
    <t>Số điện thoại / fax của KH</t>
  </si>
  <si>
    <t>STG_PARTY_EMAIL_MAP</t>
  </si>
  <si>
    <t>Email của KH</t>
  </si>
  <si>
    <t>STG_CUSTOMER_IDENTIFCTN_DOC</t>
  </si>
  <si>
    <t>Giấy tờ định danh KH</t>
  </si>
  <si>
    <t>STG_PARTY_PARTY_RELATIONSHIP</t>
  </si>
  <si>
    <t>Quan hệ KH – bên liên quan (đại diện/CSHHL)</t>
  </si>
  <si>
    <t>STG_PARTY_ROLE_MAP</t>
  </si>
  <si>
    <t>Vai trò/trạng thái KH</t>
  </si>
  <si>
    <t>STG_CORRESPONDENT_PROD_SERVED</t>
  </si>
  <si>
    <t>Sản phẩm/dịch vụ KH đang dùng</t>
  </si>
  <si>
    <t>STG_CASA</t>
  </si>
  <si>
    <t>AC_TKTT</t>
  </si>
  <si>
    <t>Tài khoản thanh toán (CASA)</t>
  </si>
  <si>
    <t>STG_PARTY_ACCOUNT_ROLE_MAP</t>
  </si>
  <si>
    <t>Vai trò chủ thể trên TK</t>
  </si>
  <si>
    <t>STG_CASA_TXNS</t>
  </si>
  <si>
    <t>Txns-Casa</t>
  </si>
  <si>
    <t>Giao dịch trên TKTT</t>
  </si>
  <si>
    <t>STG_TXN_ALT_CCY_VALUES</t>
  </si>
  <si>
    <t>Giá trị GD theo tiền tệ khác</t>
  </si>
  <si>
    <t>STG_FRONT_OFFICE_TXN_PARTY</t>
  </si>
  <si>
    <t>Bên đối ứng của giao dịch</t>
  </si>
  <si>
    <t>STG_PARTY_MSB_DETAILS  (MỚI)</t>
  </si>
  <si>
    <t>★ BẢNG CUSTOM MSB tạo mới — Bảng chi tiết KH bổ sung (MSB) – các cờ/quốc tịch OFSAA không có cột · datatype tham chiếu DL_SPEC (citizenship VARCHAR2(20), country VARCHAR2(3), flag CHAR(1))</t>
  </si>
  <si>
    <t>STG_PARTY_MSB_LOGIN  (MỚI)</t>
  </si>
  <si>
    <t>★ BẢNG CUSTOM MSB tạo mới — Bảng phiên đăng nhập IB/MB (MSB) – phục vụ AML-08/09 · DDL chuẩn hoá theo DL_SPEC STG_SRC_NET_TXNS</t>
  </si>
  <si>
    <t>STG_PARTY_TYPE_MASTER  (danh mục)</t>
  </si>
  <si>
    <t>Bảng danh mục OFSAA — Bảng danh mục loại KH (IND/ORG) – FIS init insert; OOB INNER JOIN với PARTY_MASTER để suy CustomerType (thiếu/không khớp → KH bị rớt)</t>
  </si>
  <si>
    <t>STG_COUNTRY_MASTER  (danh mục)</t>
  </si>
  <si>
    <t>Bảng danh mục OFSAA — Bảng danh mục quốc gia OFSAA – bổ sung nạp điểm rủi ro quốc gia (từ KYC)</t>
  </si>
  <si>
    <t>1. CƠ CHẾ LOAD DỮ LIỆU (Init / Daily) &amp; TRƯỜNG KỸ THUẬT</t>
  </si>
  <si>
    <t>Mục</t>
  </si>
  <si>
    <t>Ghi chú / PIC</t>
  </si>
  <si>
    <t>Init (go-live)</t>
  </si>
  <si>
    <t>Nạp TOÀN BỘ dữ liệu hiện có 1 lần khi go-live. Mỗi thực thể (KH/TK/GD) nạp đầy đủ các bảng chi tiết liên quan.</t>
  </si>
  <si>
    <t>FIC_MIS_DATE = ngày dữ liệu go-live.</t>
  </si>
  <si>
    <t>Daily (hàng ngày)</t>
  </si>
  <si>
    <t>Nạp DELTA: KH/TK mới + bản ghi CẬP NHẬT trong ngày; giao dịch phát sinh trong ngày. Mỗi thực thể nạp đầy đủ các bảng chi tiết.</t>
  </si>
  <si>
    <t>FIC_MIS_DATE = ngày dữ liệu nguồn (ngày làm việc).</t>
  </si>
  <si>
    <t>FIC_MIS_DATE</t>
  </si>
  <si>
    <t>Ngày đổ dữ liệu (business date). Là 1 phần khóa chính mọi bảng STG; OOB join KDD_PRCSNG_BATCH_CONTROL.DATA_DUMP_DT = FIC_MIS_DATE.</t>
  </si>
  <si>
    <t>⚑ MSB cấp trường 'ngày dữ liệu nguồn' để set FIC_MIS_DATE.</t>
  </si>
  <si>
    <t>N_LOAD_RUN_ID</t>
  </si>
  <si>
    <t>ID lần chạy batch trong ngày. Gán mặc định = 1.</t>
  </si>
  <si>
    <t>FIS xử lý.</t>
  </si>
  <si>
    <t>V_GAAP_CODE</t>
  </si>
  <si>
    <t>Chuẩn kế toán. Gán mặc định = 'VNGAAP'.</t>
  </si>
  <si>
    <t>V_DATA_ORIGIN / SRC_SYS_CD</t>
  </si>
  <si>
    <t>Mã hệ thống nguồn, phải khớp KDD_PRCSNG_BATCH_SRC.SRC_ORIGIN (hoặc 'ALL'); sai → bản ghi bị loại. Gán 'MSB'.</t>
  </si>
  <si>
    <t>⚑ Đăng ký mã nguồn ('MSB').</t>
  </si>
  <si>
    <t>⚑ Cần MSB</t>
  </si>
  <si>
    <t>Dấu hiệu nhận biết KH/TK/GD MỚI vs CẬP NHẬT (để chạy Daily delta) + trường ngày dữ liệu nguồn.</t>
  </si>
  <si>
    <t>Ưu tiên Cao.</t>
  </si>
  <si>
    <t>★ ACTION TRACKER – MỤC CẦN LÀM RÕ / BỔ SUNG (làm việc với MSB)</t>
  </si>
  <si>
    <t>Tổng 14 mục · Ưu tiên Cao=7, TB=6, Thấp=1. Gom mọi điểm cần MSB làm rõ/cung cấp từ ★ Correction, cột bắt buộc FSDM, bảng mới/danh mục. Cập nhật cột Trạng thái khi xử lý xong.</t>
  </si>
  <si>
    <t>Mã</t>
  </si>
  <si>
    <t>Phạm vi / Bảng</t>
  </si>
  <si>
    <t>Nội dung cần MSB làm rõ / cung cấp</t>
  </si>
  <si>
    <t>Ưu tiên</t>
  </si>
  <si>
    <t>PIC</t>
  </si>
  <si>
    <t>Trạng thái</t>
  </si>
  <si>
    <t>Sheet tham chiếu</t>
  </si>
  <si>
    <t>AT-01</t>
  </si>
  <si>
    <t>STG_PARTY_PHONE_MAP / EMAIL</t>
  </si>
  <si>
    <t>Quy tắc UNPIVOT số ĐT (mobile/fax) &amp; email; sinh V_PHONE_ID; codeset V_PHONE_PURPOSE_TYPE_CD / V_EMAIL_PURPOSE_TYPE_CD; link V_PARTY_ID=CIF.</t>
  </si>
  <si>
    <t>Cao</t>
  </si>
  <si>
    <t>MSB + FIS</t>
  </si>
  <si>
    <t>Mở</t>
  </si>
  <si>
    <t>AT-02</t>
  </si>
  <si>
    <t>Tất cả bảng</t>
  </si>
  <si>
    <t>Cung cấp trường 'ngày dữ liệu' cho FIC_MIS_DATE + dấu hiệu bản ghi MỚI/CẬP NHẬT (chạy Daily delta); đăng ký V_DATA_ORIGIN khớp KDD_PRCSNG_BATCH_SRC.</t>
  </si>
  <si>
    <t>AT-03</t>
  </si>
  <si>
    <t>STG_CASA (ACCT)</t>
  </si>
  <si>
    <t>Cấp nguồn + map codeset: V_MANTAS_ACCT_HOLDR_TYPE (loại chủ TK); V_OWNERSHIP_TYPE đã map – bắt buộc insert ACCT.</t>
  </si>
  <si>
    <t>MSB</t>
  </si>
  <si>
    <t>AT-04</t>
  </si>
  <si>
    <t>Cấp nguồn V_MANTAS_TXN_ASSET_CLASS_CD (mã lớp tài sản GD) – bắt buộc để load FO_TRXN.</t>
  </si>
  <si>
    <t>AT-05</t>
  </si>
  <si>
    <t>STG_PARTY_MSB_DETAILS</t>
  </si>
  <si>
    <t>Cấp nguồn/logic: Cờ FDI, Cờ chưa phân loại RR, 3 cờ vượt ngưỡng (định nghĩa ngưỡng CTQT/TM/TTTN), Cờ có SP TK/TP/CCTG, Quốc tịch 3-5.</t>
  </si>
  <si>
    <t>AT-06</t>
  </si>
  <si>
    <t>STG_PARTY_MSB_LOGIN</t>
  </si>
  <si>
    <t>Cấp nguồn phiên đăng nhập IB/MB: Mã phiên, CIF, thời điểm, kênh, IP, quốc gia IP (GeoIP), trạng thái – phục vụ AML-08/09.</t>
  </si>
  <si>
    <t>AT-07</t>
  </si>
  <si>
    <t>Doc / Relationship / Phone / Email</t>
  </si>
  <si>
    <t>Cấp nguồn V_DOCUMENT_NAME, V_RELATIONSHIP_DESC; sinh N_SEQUENCE_NUMBER; PK link V_PARTY_ID/V_CUST_REF_CODE.</t>
  </si>
  <si>
    <t>TB</t>
  </si>
  <si>
    <t>AT-08</t>
  </si>
  <si>
    <t>STG_COUNTRY_MASTER</t>
  </si>
  <si>
    <t>Cấp bảng điểm rủi ro quốc gia (từ KYC) → N_COUNTRY_RISK_FACTOR.</t>
  </si>
  <si>
    <t>FIS</t>
  </si>
  <si>
    <t>AT-09</t>
  </si>
  <si>
    <t>Toàn khối</t>
  </si>
  <si>
    <t>Thống nhất danh mục codeset: loại KH (IND/ORG), giới tính, tình trạng HN, loại TK, kênh GD (OOTB), loại giấy tờ, quan hệ, mục đích địa chỉ, vai trò TK, loại SĐT, tiền tệ ISO.</t>
  </si>
  <si>
    <t>(các sheet có cột CodeSet)</t>
  </si>
  <si>
    <t>AT-10</t>
  </si>
  <si>
    <t>Country</t>
  </si>
  <si>
    <t>Xác nhận nguồn quốc gia/quốc tịch đã ISO2 hay cần transform + bảng map mã quốc gia→ISO2.</t>
  </si>
  <si>
    <t>AT-11</t>
  </si>
  <si>
    <t>Xác nhận rule 8 loại sản phẩm KH đang dùng (N0001-N0007) + nguồn doanh số CTQT/CTNN (DSMMYY) &amp; TTTM (MASTER_ALL).</t>
  </si>
  <si>
    <t>AT-12</t>
  </si>
  <si>
    <t>Xác nhận nguồn cờ GD ví điện tử (kênh/đối ứng ví) &amp; cờ cross-border (Receiver_Bank≠VN).</t>
  </si>
  <si>
    <t>AT-13</t>
  </si>
  <si>
    <t>Nhiều bảng</t>
  </si>
  <si>
    <t>V_BUSINESS_DOMAIN='A', V_DATA_JURISDICTION='All' – FIS gán default (MSB xác nhận).</t>
  </si>
  <si>
    <t>Thấp</t>
  </si>
  <si>
    <t>(sheet bảng chi tiết)</t>
  </si>
  <si>
    <t>★ BDF – CỘT MSB MAP NHƯNG OOB CHƯA KÉO LÊN FSDM (đã ẩn cột đã kéo lên)</t>
  </si>
  <si>
    <t>Phương pháp: parse OOB BDF (datamaps + queries) lấy tập cột STG được đọc lên FSDM. Bảng dưới chỉ liệt kê cột MSB MAP nhưng OOB CHƯA đọc lên.  Xử lý: xác nhận staging-only hay cần custom datamap.</t>
  </si>
  <si>
    <t>Tổng cột MAP nhưng CHƯA kéo lên FSDM: 12  (các cột đã kéo lên đã được ẩn).</t>
  </si>
  <si>
    <t>Cột STG (map)</t>
  </si>
  <si>
    <t>Trường nghiệp vụ (MSB)</t>
  </si>
  <si>
    <t>Nguồn</t>
  </si>
  <si>
    <t>Ghi chú</t>
  </si>
  <si>
    <t>N_EOP_BAL</t>
  </si>
  <si>
    <t>Số dư tài khoản cuối ngày</t>
  </si>
  <si>
    <t>Kịch bản</t>
  </si>
  <si>
    <t>OOB CHƯA kéo lên – xác nhận staging-only hay cần custom datamap.</t>
  </si>
  <si>
    <t>V_PAYMENT_SETTL_SYSTEM_CODE</t>
  </si>
  <si>
    <t>Hệ thống thanh toán</t>
  </si>
  <si>
    <t>Thông tin giao dịch</t>
  </si>
  <si>
    <t>V_ACCT_PARTY_ROLE</t>
  </si>
  <si>
    <t>Thông tin Tài khoản</t>
  </si>
  <si>
    <t>V_ADDRESS_OFF_FAX_NO</t>
  </si>
  <si>
    <t>Số fax</t>
  </si>
  <si>
    <t>Thông tin Khách hàng</t>
  </si>
  <si>
    <t>V_BENEFICIAL_OWNER_CATEGORY</t>
  </si>
  <si>
    <t>Danh mục CSH hưởng lợi (CSHHL)</t>
  </si>
  <si>
    <t>V_DOMICILE_COUNTRY</t>
  </si>
  <si>
    <t>Quốc gia cư trú</t>
  </si>
  <si>
    <t>V_EDUCATION</t>
  </si>
  <si>
    <t>Trình độ văn hóa</t>
  </si>
  <si>
    <t>Thông tin Khách hàng + STR</t>
  </si>
  <si>
    <t>V_PARTY_FULL_NAME</t>
  </si>
  <si>
    <t>Tên tiếng nước ngoài (nếu có)</t>
  </si>
  <si>
    <t>STR</t>
  </si>
  <si>
    <t>V_PARTY_TAX_ID</t>
  </si>
  <si>
    <t>Mã số giấy tờ pháp lý; Mã số doanh nghiệp/Mã số thuế</t>
  </si>
  <si>
    <t>V_RESIDENCY_STATUS_INDICATOR</t>
  </si>
  <si>
    <t>Tình trạng cư trú của Khách hàng</t>
  </si>
  <si>
    <t>STG_PARTY_MASTER  ·  Khối nguồn: Customer  ·  KH – thông tin định danh/nhân khẩu/tổ chức</t>
  </si>
  <si>
    <t>PK: V_PARTY_ID, FIC_MIS_DATE</t>
  </si>
  <si>
    <t>STT</t>
  </si>
  <si>
    <t>PK</t>
  </si>
  <si>
    <t>CSA Column</t>
  </si>
  <si>
    <t>Datatype (DDL)</t>
  </si>
  <si>
    <t>Null</t>
  </si>
  <si>
    <t>Mô tả nghiệp vụ (MSB)</t>
  </si>
  <si>
    <t>Mô tả cột (Oracle DL_SPEC)</t>
  </si>
  <si>
    <t>CodeSet / LOV</t>
  </si>
  <si>
    <t>Hệ thống nguồn</t>
  </si>
  <si>
    <t>Bảng nguồn</t>
  </si>
  <si>
    <t>Trường nguồn</t>
  </si>
  <si>
    <t>Logic transform (nguồn→STG)</t>
  </si>
  <si>
    <t>Default</t>
  </si>
  <si>
    <t>Kéo lên FSDM? (BDF)</t>
  </si>
  <si>
    <t>Bảng đích FSDM</t>
  </si>
  <si>
    <t>Ghi chú / Correction</t>
  </si>
  <si>
    <t>Cần hỏi MSB</t>
  </si>
  <si>
    <t>DATE</t>
  </si>
  <si>
    <t>No</t>
  </si>
  <si>
    <t>(bổ sung bắt buộc OFSAA)</t>
  </si>
  <si>
    <t>This column stores the date as on which the snapshot of source data extracted for processing.</t>
  </si>
  <si>
    <t>Y (khóa)</t>
  </si>
  <si>
    <t>CUST, CUST_ID_DOC, EXTRL_ORG_STG, ISSUER, PARTY_ID_DOC</t>
  </si>
  <si>
    <t>⚠ Bắt buộc để load STG – cần bổ sung nguồn/quy tắc sinh</t>
  </si>
  <si>
    <t>Y</t>
  </si>
  <si>
    <t>V_DATA_JURISDICTION</t>
  </si>
  <si>
    <t>VARCHAR2(5)</t>
  </si>
  <si>
    <t>Yes</t>
  </si>
  <si>
    <t>(bổ sung – bắt buộc load FSDM)</t>
  </si>
  <si>
    <t>Cột OOB yêu cầu (requirement=M) để lên FSDM</t>
  </si>
  <si>
    <t>The unique identifier of the mantas classification associated with the record. This can be a jurisdiction which represents geographical or legal entity monitoring on data restrictions.</t>
  </si>
  <si>
    <t>Gán mặc định = 'All' (→ JRSDCN_CD).</t>
  </si>
  <si>
    <t>CUST, EXTRL_ORG_STG</t>
  </si>
  <si>
    <t>⚠ BẮT BUỘC để load FSDM (feed Customer:JRSDCN_CD). MSB chưa map – cần bổ sung nguồn/logic. Gán mặc định = 'All' (→ JRSDCN_CD).</t>
  </si>
  <si>
    <t>V_BUSINESS_DOMAIN</t>
  </si>
  <si>
    <t>VARCHAR2(65)</t>
  </si>
  <si>
    <t>The unique identifier of the business domain. (such as Institutional or Retail Brokerage). This is used to control access to data across distinct business operations.</t>
  </si>
  <si>
    <t>Gán mặc định = 'A' (→ BUS_DMN_LIST_TX).</t>
  </si>
  <si>
    <t>CUST</t>
  </si>
  <si>
    <t>⚠ BẮT BUỘC để load FSDM (feed Customer:BUS_DMN_LIST_TX). MSB chưa map – cần bổ sung nguồn/logic. Gán mặc định = 'A' (→ BUS_DMN_LIST_TX).</t>
  </si>
  <si>
    <t>V_PARTY_ID</t>
  </si>
  <si>
    <t>VARCHAR2(50)</t>
  </si>
  <si>
    <t>Mã khách hàng (CIF)</t>
  </si>
  <si>
    <t>Mã định danh duy nhất của KH (CIF)</t>
  </si>
  <si>
    <t>This attribute stores the unique identifier for the party. Party is defined as an entity or a person who takes part or is involved in an agreement, lawsuit, or transaction.</t>
  </si>
  <si>
    <t>CUST, CUST_ID_DOC, CUST_SUPPLEMENTAL_ATTR, EXTRL_ORG_STG, INSURANCE_TRXN, ISSUER, PARTY_ID_DOC</t>
  </si>
  <si>
    <t>Khóa chính. Map chiều giám sát KH.</t>
  </si>
  <si>
    <t>V_PARTY_NAME</t>
  </si>
  <si>
    <t>VARCHAR2(255)</t>
  </si>
  <si>
    <t>Tên khách hàng; Họ và tên; Họ và tên (người được ủy quyền); Tên đầy đủ của tổ chức</t>
  </si>
  <si>
    <t>KHCN: họ tên; KHTC: tên tổ chức (Tên giao dịch đầy đủ - Tiếng Việt)</t>
  </si>
  <si>
    <t>This column stores entity name for Organization or first name for Individual.</t>
  </si>
  <si>
    <t>CUST, EXTRL_ORG_STG, ISSUER</t>
  </si>
  <si>
    <t>[STR] Bắt buộc.</t>
  </si>
  <si>
    <t>V_DISPLAY_NM</t>
  </si>
  <si>
    <t>Tên viết tắt; Tên viết tắt (nếu có)</t>
  </si>
  <si>
    <t>Tên viết tắt của khách hàng tổ chức</t>
  </si>
  <si>
    <t>This column will store full name of customer which is used for display purpose.</t>
  </si>
  <si>
    <t>[STR] Yêu cầu nghiệp vụ</t>
  </si>
  <si>
    <t>V_PARTY_TYPE</t>
  </si>
  <si>
    <t>VARCHAR2(40)</t>
  </si>
  <si>
    <t>Loại khách hàng (CN/TC)</t>
  </si>
  <si>
    <t>Phân loại cá nhân (IND)/tổ chức (ORG)</t>
  </si>
  <si>
    <t>The unique code to identify the party type as Individual, Banks, Corporate - Small, Corporate - Medium, State Government, Sovereign etc.</t>
  </si>
  <si>
    <t>CodeSet PartyType</t>
  </si>
  <si>
    <t>CUST, CUST_ID_DOC, PARTY_ID_DOC</t>
  </si>
  <si>
    <t>Tách ngưỡng KHCN/KHTC.</t>
  </si>
  <si>
    <t>D_DATE_OF_BIRTH</t>
  </si>
  <si>
    <t>Ngày sinh; Ngày, tháng, năm sinh; Độ tuổi</t>
  </si>
  <si>
    <t>Ngày sinh KHCN</t>
  </si>
  <si>
    <t>The Date of birth of the Applicant/Co-Applicant. Date of birth refers to the day, month, and year when person was born.</t>
  </si>
  <si>
    <t>[STR] Dẫn xuất nhóm tuổi cho STR.</t>
  </si>
  <si>
    <t>V_GENDER</t>
  </si>
  <si>
    <t>VARCHAR2(1)</t>
  </si>
  <si>
    <t>Giới tính</t>
  </si>
  <si>
    <t>Giới tính KHCN</t>
  </si>
  <si>
    <t>The state of an individual, Reference dimensional table dim_gender.v_d_cust_gender.</t>
  </si>
  <si>
    <t>CodeSet Giới tính</t>
  </si>
  <si>
    <t>[STR] Nam/Nữ/Khác.</t>
  </si>
  <si>
    <t>V_NATIONALITY_COUNTRY</t>
  </si>
  <si>
    <t>VARCHAR2(60)</t>
  </si>
  <si>
    <t>Quốc tịch 1; Quốc tịch</t>
  </si>
  <si>
    <t>Quốc tịch KHCN; nhận biết KH nước ngoài</t>
  </si>
  <si>
    <t>The nationality country code of the customer. Nationality is the status of belonging to a particular nation by origin, birth, or naturalization.</t>
  </si>
  <si>
    <t>CodeSet Quốc gia (ISO2)</t>
  </si>
  <si>
    <t>[STR] AML-11/13 nhận biết CN nước ngoài.</t>
  </si>
  <si>
    <t>Nước cư trú/đăng ký</t>
  </si>
  <si>
    <t>Captures the domicile country code of the party. Currently this attribute is only consumed by ALM application.</t>
  </si>
  <si>
    <t>CodeSet Quốc gia</t>
  </si>
  <si>
    <t>N</t>
  </si>
  <si>
    <t>Hỗ trợ AML-11.  ⚠ Cột map nhưng OOB BDF CHƯA kéo lên FSDM (xác nhận: staging-only hay cần custom datamap).</t>
  </si>
  <si>
    <t>V_PROFESSION</t>
  </si>
  <si>
    <t>VARCHAR2(120)</t>
  </si>
  <si>
    <t>Nghề nghiệp</t>
  </si>
  <si>
    <t>Nghề nghiệp KHCN</t>
  </si>
  <si>
    <t>This stores the profession of the party.</t>
  </si>
  <si>
    <t>CodeSet Nghề nghiệp</t>
  </si>
  <si>
    <t>[STR] ↻ Remap: Stg_Party_Master.v_occupation → STG_PARTY_MASTER.V_PROFESSION. Droplist; Khác -&gt; nhập tay.</t>
  </si>
  <si>
    <t>V_ORG_CONSTITUENT_TYPE</t>
  </si>
  <si>
    <t>VARCHAR2(100)</t>
  </si>
  <si>
    <t>Loại hình tổ chức</t>
  </si>
  <si>
    <t>Loại hình KHTC</t>
  </si>
  <si>
    <t>"This column identifies how the business is legally constituted in its country of incorporation. Eg. Some of the legal organizational structures in the US are Sole Proprietorship, General Partnership, Limited Partnership, Limited Liability Partnership, Corporation (C Corp), Corporation (S Corp).
"_x000D_</t>
  </si>
  <si>
    <t>CodeSet Loại hình TC</t>
  </si>
  <si>
    <t>[STR]</t>
  </si>
  <si>
    <t>V_INDUSTRY_CODE</t>
  </si>
  <si>
    <t>VARCHAR2(30)</t>
  </si>
  <si>
    <t>Ngành nghề kinh doanh; Ngành nghề kinh doanh chính</t>
  </si>
  <si>
    <t>Ngành nghề KD chính (TC)
Ngành nghề/Sản phẩm/Dịch vụ mà khách hàng hoạt động kinh doanh</t>
  </si>
  <si>
    <t>This stores industry code of a reporting Financial Institution. Industry is defined as a classification that refers to a group of companies that are related in terms of their primary business activities. In modern economies, there are dozens of different industry classifications, which are typically grouped into larger categories called sectors. This column stores the unique reference to the industry type to which customer belongs to, for example finance, manufacturing, telecom, Information technology etc.</t>
  </si>
  <si>
    <t>CodeSet Ngành nghề</t>
  </si>
  <si>
    <t>[STR] Trường hợp có nhiều ngành nghề thì hiển thị ntn?</t>
  </si>
  <si>
    <t>D_INCORPORATION_DATE</t>
  </si>
  <si>
    <t>Ngày thành lập (TC); Giấy phép thành lập số</t>
  </si>
  <si>
    <t>Ngày thành lập KHTC</t>
  </si>
  <si>
    <t>The date on which the customer company or corporate was formed.</t>
  </si>
  <si>
    <t>[STR] AML-12: thành lập &lt;=12 tháng.</t>
  </si>
  <si>
    <t>Mã số giấy tờ pháp lý (số giấy phép thành lập, mã số doanh nghiệp hoặc mã số thuế)</t>
  </si>
  <si>
    <t>This column stores the Party's tax identification number._x000D_</t>
  </si>
  <si>
    <t>[STR] STR phần tổ chức.  ⚠ Cột map nhưng OOB BDF CHƯA kéo lên FSDM (xác nhận: staging-only hay cần custom datamap).</t>
  </si>
  <si>
    <t>V_BUSS_SEGMENT</t>
  </si>
  <si>
    <t>Phân khúc khách hàng</t>
  </si>
  <si>
    <t>SSE/MSME/SME, CIB, AFF/MAFF/HKD, MC...</t>
  </si>
  <si>
    <t>The business segment of the party. Business segment is a subsection of a company's overall operations that is more commonly seen within larger, diversified companies.</t>
  </si>
  <si>
    <t>CodeSet Phân khúc</t>
  </si>
  <si>
    <t>AML-05/12/13. MSB cấp dấu hiệu phân khúc.</t>
  </si>
  <si>
    <t>N_KYC_RISK</t>
  </si>
  <si>
    <t>NUMBER(5,0)</t>
  </si>
  <si>
    <t>Điểm rủi ro hiệu quả (KYC)</t>
  </si>
  <si>
    <t>Điểm RR thang 10 chuyển từ KYC</t>
  </si>
  <si>
    <t>This column stores the Know Your Customer (KYC) risk associated to the customer as determined by an internal or external KYC risk assessment solution using various customer specific factors such as geography, customer type, and others. The KYC risk score in this column ranges from 0 to 10, where 0 indicates the customer is least risky, posing minimal or no risk to the financial institution, whereas 10 indicates the customer is most risky and may pose a higher risk to the financial institution in transactional activity.</t>
  </si>
  <si>
    <t>CUST_SUPPLEMENTAL_ATTR</t>
  </si>
  <si>
    <t>AML-02. Custom luồng KYC-&gt;TM (ngưỡng 7).</t>
  </si>
  <si>
    <t>D_START_DATE</t>
  </si>
  <si>
    <t>Ngày bắt đầu quan hệ (Ngày mở CIF)</t>
  </si>
  <si>
    <t>Customer since / start date</t>
  </si>
  <si>
    <t>The date when the party started the relationship with the financial institution. This may be taken from the opening date of the first account opened by the party.</t>
  </si>
  <si>
    <t>Phân loại KH mới (đối chiếu ngày mở TK) - AML-05.</t>
  </si>
  <si>
    <t>V_DATA_ORIGIN</t>
  </si>
  <si>
    <t>VARCHAR2(20)</t>
  </si>
  <si>
    <t>Phương thức KYC</t>
  </si>
  <si>
    <t>Phương thức KYC (theo online hay offline)</t>
  </si>
  <si>
    <t>This column stores the source system from where data is extracted. Data can be sourced from multiple sources, this column will stores the source code from where the data is extracted for this extraction date.</t>
  </si>
  <si>
    <t>V_INCORPORATION_COUNTRY_CD</t>
  </si>
  <si>
    <t>Quốc gia thành lập (TC)</t>
  </si>
  <si>
    <t>Incorporation country</t>
  </si>
  <si>
    <t>This column stores the country code of incorporation or legal registration of the Party. For branches, agencies, representative offices, subsidiaries it refers to the country where such entity is formally or legally registered or licensed.</t>
  </si>
  <si>
    <t>TC nước ngoài/FDI - AML-11.</t>
  </si>
  <si>
    <t>V_CITIZENSHIP_TYPE</t>
  </si>
  <si>
    <t>Loại quốc tịch</t>
  </si>
  <si>
    <t>Citizenship type</t>
  </si>
  <si>
    <t>This column captures the type of citizenship of the customer. Ex Birth Citizenship, Naturalized Citizenship etc</t>
  </si>
  <si>
    <t>CodeSet</t>
  </si>
  <si>
    <t>CN nước ngoài - AML-11/13.</t>
  </si>
  <si>
    <t>Beneficial owner category</t>
  </si>
  <si>
    <t>This_column_stores_the_beneficial_owner_category._List_of_values_can_be_Grantor_Trust,_Central_Bank_Issue,_Individual,_Complex_Trust,_Taxexempt_Organization,_Corporation,_Estate,_Private_Foundation,_Disregarded_Entity,_Government,_Partnership,_International_Organization_x000D_
and_Simple_Trust._x000D_</t>
  </si>
  <si>
    <t>STR (chủ sở hữu hưởng lợi).  ⚠ Cột map nhưng OOB BDF CHƯA kéo lên FSDM (xác nhận: staging-only hay cần custom datamap).</t>
  </si>
  <si>
    <t>V_EMP_COMPANY</t>
  </si>
  <si>
    <t>Nơi làm việc</t>
  </si>
  <si>
    <t>Employing company</t>
  </si>
  <si>
    <t>The employing company name where the party is working.</t>
  </si>
  <si>
    <t>STR (cá nhân).</t>
  </si>
  <si>
    <t>V_OCCUPATION_STATUS</t>
  </si>
  <si>
    <t>Tình trạng nghề nghiệp</t>
  </si>
  <si>
    <t>Occupation status</t>
  </si>
  <si>
    <t>The occupation status of the customer (for example, student, employed, or retired). Applicable to Individuals only.</t>
  </si>
  <si>
    <t>Education is the highest certificate/ course/degree that an individual has secured.</t>
  </si>
  <si>
    <t>[STR]  ⚠ Cột map nhưng OOB BDF CHƯA kéo lên FSDM (xác nhận: staging-only hay cần custom datamap).</t>
  </si>
  <si>
    <t>Cư trú/Không cư trú (Corporate Residency Status)</t>
  </si>
  <si>
    <t>• Y = Cư trú
• N = Không cư trú</t>
  </si>
  <si>
    <t>Stg_Party_Master.V_CITIZENSHIP_TYPE → STG_PARTY_MASTER.V_RESIDENCY_STATUS_INDICATOR.   ⚠ Cột map nhưng OOB BDF CHƯA kéo lên FSDM (xác nhận: staging-only hay cần custom datamap).</t>
  </si>
  <si>
    <t>Số fax của KH</t>
  </si>
  <si>
    <t>The fax code of the party where the party's office is located.</t>
  </si>
  <si>
    <t>⚠ Cột map nhưng OOB BDF CHƯA kéo lên FSDM (xác nhận: staging-only hay cần custom datamap).</t>
  </si>
  <si>
    <t>V_WEBSITE</t>
  </si>
  <si>
    <t>Website tổ chức; Địa chỉ trang thông tin điện tử của doanh nghiệp (tổ chức)</t>
  </si>
  <si>
    <t>Địa chỉ website của tổ chức</t>
  </si>
  <si>
    <t>The website of the customer. Website is a location connected to the Internet that maintains one or more web pages.</t>
  </si>
  <si>
    <t>V_BRANCH_CODE</t>
  </si>
  <si>
    <t>Chi nhánh quản lý khách hàng</t>
  </si>
  <si>
    <t>The code of the branch to which the account is attached. Branch is engaging in banking activities such as accepting deposits or making loans at facilities away from a bank's home office.</t>
  </si>
  <si>
    <t>V_JOB_TITLE</t>
  </si>
  <si>
    <t>Chức vụ/vị trí việc làm</t>
  </si>
  <si>
    <t>Cá nhân thực hiện GD (chủ thể)</t>
  </si>
  <si>
    <t>This column stores the Job of the party that is discharging in the organization. Some of the example of job titles are Investment Planner, Client Service Manager, Collections Manager etc. the job title is also related and based on the position held by the party in the organization.</t>
  </si>
  <si>
    <t>[STR] Chức vụ/vị trí việc làm.</t>
  </si>
  <si>
    <t>Tổ chức thực hiện GD (chủ thể)</t>
  </si>
  <si>
    <t>This column stores the full name for the party or customer for reporting purposes</t>
  </si>
  <si>
    <t>[STR] Tên tiếng nước ngoài (KHTC).  ⚠ Cột map nhưng OOB BDF CHƯA kéo lên FSDM (xác nhận: staging-only hay cần custom datamap).</t>
  </si>
  <si>
    <t>V_PARTY_ALIAS</t>
  </si>
  <si>
    <t>Tên tiếng nước ngoài</t>
  </si>
  <si>
    <t>Tên tiếng nước ngoài/tên khác của KHTC</t>
  </si>
  <si>
    <t>The alias name for this party. It is a name by which the party is called within his known set of people.</t>
  </si>
  <si>
    <t>CUST, ISSUER</t>
  </si>
  <si>
    <t>V_SECONDARY_CITIZENSHIP</t>
  </si>
  <si>
    <t>Quốc tịch 2</t>
  </si>
  <si>
    <t>Quốc tịch phụ KHCN (ISO2)</t>
  </si>
  <si>
    <t>The secondary citizenship of the customer. Secondary citizenship arise in the case of dual citizenship. Dual citizenship is the status of an individual who is a citizen of two or more nations.</t>
  </si>
  <si>
    <t>F_SAR_STR_FLAG</t>
  </si>
  <si>
    <t>CHAR(1)</t>
  </si>
  <si>
    <t>Tình trạng STR</t>
  </si>
  <si>
    <t>KH đã bị lập STR/SAR</t>
  </si>
  <si>
    <t>Flag indicating if a Suspicious Activity Report or Suspicious Transaction Report has been filed for the customer. List of values are Y and N.</t>
  </si>
  <si>
    <t>Y/N</t>
  </si>
  <si>
    <t>STG_ADDRESS_MASTER  ·  Khối nguồn: Customer  ·  Nội dung địa chỉ (mô hình OFSAA – thay STG_PARTY_ADDRESS)</t>
  </si>
  <si>
    <t>PK: FIC_MIS_DATE, V_ADDRESS_ID   |   Cấu trúc: mỗi địa chỉ = 1 bản ghi (V_ADDRESS_ID); 1 KH có thể nhiều địa chỉ (thường trú/hiện tại/trụ sở) – phân biệt loại ở STG_PARTY_ADDRESS_MAP.V_ADDRESS_PURPOSE_TYPE_CD.</t>
  </si>
  <si>
    <t>CNDTR_ADDR, CUST_ADDR, EXTRL_ORG_STG</t>
  </si>
  <si>
    <t>V_ADDRESS_ID</t>
  </si>
  <si>
    <t>This column stores the business key of address identifier</t>
  </si>
  <si>
    <t>Sinh mã địa chỉ (PK) để liên kết STG_PARTY_ADDRESS_MAP</t>
  </si>
  <si>
    <t>⚠ Bắt buộc để load STG. Sinh mã địa chỉ (PK) để liên kết STG_PARTY_ADDRESS_MAP</t>
  </si>
  <si>
    <t>V_ADDRESS_LINE1</t>
  </si>
  <si>
    <t>Địa chỉ; Quốc gia (địa chỉ); Mục đích địa chỉ (Loại địa chỉ); Địa chỉ đăng ký thường trú  (+1 trường)</t>
  </si>
  <si>
    <t>Số nhà, đường/phố</t>
  </si>
  <si>
    <t>This column stores the first line of the address component of this address.</t>
  </si>
  <si>
    <t>[STR] ↻ Remap: Stg_Party_Address.v_address_line1 → STG_ADDRESS_MASTER.V_ADDRESS_LINE1. Theo v_address_purpose_type_ind.</t>
  </si>
  <si>
    <t>V_ADDRESS_LINE2</t>
  </si>
  <si>
    <t>Phường/Xã</t>
  </si>
  <si>
    <t>This column stores the second line of the address component of this address.</t>
  </si>
  <si>
    <t>[STR] ↻ Remap: Stg_Party_Address.v_address_line2 → STG_ADDRESS_MASTER.V_ADDRESS_LINE2.</t>
  </si>
  <si>
    <t>V_CITY</t>
  </si>
  <si>
    <t>Tỉnh/Thành phố</t>
  </si>
  <si>
    <t>Name of the City associated with the address.</t>
  </si>
  <si>
    <t>[STR] ↻ Remap: Stg_Party_Address.v_city → STG_ADDRESS_MASTER.V_CITY.</t>
  </si>
  <si>
    <t>V_COUNTRY_CODE</t>
  </si>
  <si>
    <t>Quốc gia</t>
  </si>
  <si>
    <t>This column stores the country code associated with the account. There are several popular country codes as part of ISO 3166 standard published by the International Organization for Standardization. ISO 3166 defines codes for the names of countries, dependent territories, special areas of geographical interest and their principal subdivisions.</t>
  </si>
  <si>
    <t>[STR] ↻ Remap: Stg_Party_Address.v_iso_country_code → STG_ADDRESS_MASTER.V_COUNTRY_CODE. CodeSet quốc gia.</t>
  </si>
  <si>
    <t>(mã hệ thống nguồn)</t>
  </si>
  <si>
    <t>Mã hệ thống nguồn (batch origin)</t>
  </si>
  <si>
    <t>Gán mặc định = 'MSB'</t>
  </si>
  <si>
    <t>CNDTR_ADDR, CUST_ADDR</t>
  </si>
  <si>
    <t>Khớp KDD_PRCSNG_BATCH_SRC.SRC_ORIGIN.</t>
  </si>
  <si>
    <t>STG_PARTY_ADDRESS_MAP  ·  Khối nguồn: Customer  ·  Liên kết KH–địa chỉ + mục đích địa chỉ</t>
  </si>
  <si>
    <t>PK: FIC_MIS_DATE, V_ADDRESS_ID, V_ADDRESS_PURPOSE_TYPE_CD, V_PARTY_ID   |   Cấu trúc: liên kết KH (V_PARTY_ID) ↔ địa chỉ (V_ADDRESS_ID) + mục đích; mỗi (KH, địa chỉ, mục đích) = 1 bản ghi.</t>
  </si>
  <si>
    <t>CUST_ADDR, EXTRL_ORG_STG</t>
  </si>
  <si>
    <t>⚠ Bắt buộc để load STG. = V_ADDRESS_ID ở STG_ADDRESS_MASTER (liên kết)</t>
  </si>
  <si>
    <t>V_ADDRESS_PURPOSE_TYPE_CD</t>
  </si>
  <si>
    <t>This column stores the purpose, or usage, of this address relative to this party. List of values:- M-Mailing, B-Business, L-Legal, A-Alternate, O-Other, P-Primary, D-Duplicate, H-Home, X-Post Office Box and V-Delivery</t>
  </si>
  <si>
    <t>⚠ Bắt buộc để load STG. = CIF (V_PARTY_ID ở STG_PARTY_MASTER)</t>
  </si>
  <si>
    <t>N_SEQUENCE_NUMBER</t>
  </si>
  <si>
    <t>The sequence number corresponding to this party address. This is to identify different addresses of the same party.</t>
  </si>
  <si>
    <t>STT bản ghi trong 1 KH (phone/email/địa chỉ) → *_SEQ_NB.</t>
  </si>
  <si>
    <t>⚠ BẮT BUỘC để load FSDM (feed CustomerAddress:ADDR_SEQ_NB). MSB chưa map – cần bổ sung nguồn/logic. STT bản ghi trong 1 KH (phone/email/địa chỉ) → *_SEQ_NB.</t>
  </si>
  <si>
    <t>STG_PARTY_PHONE_MAP  ·  Khối nguồn: Customer  ·  Số điện thoại / fax của KH</t>
  </si>
  <si>
    <t>PK: FIC_MIS_DATE, V_PARTY_ID, V_PHONE_ID, V_PHONE_PURPOSE_TYPE_CD   |   Cấu trúc: mỗi số điện thoại = 1 bản ghi gắn 1 KH (V_PARTY_ID=CIF) + loại số (V_PHONE_PURPOSE_TYPE_CD); V_PHONE_NUMBER lưu 1 số/bản ghi. UNPIVOT các số ĐT nguồn thành nhiều bản ghi theo party.</t>
  </si>
  <si>
    <t>This attribute stores the extraction date.</t>
  </si>
  <si>
    <t>CUST_PHON, EXTRL_ORG_PHON</t>
  </si>
  <si>
    <t>This column stores the business key of party identifier.</t>
  </si>
  <si>
    <t>V_PHONE_ID</t>
  </si>
  <si>
    <t>This column stores the business key of Phone identifier.</t>
  </si>
  <si>
    <t>—</t>
  </si>
  <si>
    <t>V_PHONE_PURPOSE_TYPE_CD</t>
  </si>
  <si>
    <t>This column stores the purpose, or usage, of this phone number relative to this party. Indicative values are H-Home, B-Business, M-Mobile, P-Pager, F-Fax and O-Other.</t>
  </si>
  <si>
    <t>Sequence number corresponding to this party phone. This is to identify different phones of the same party.</t>
  </si>
  <si>
    <t>⚠ BẮT BUỘC để load FSDM (feed CustomerPhone:PHON_SEQ_NB). MSB chưa map – cần bổ sung nguồn/logic. STT bản ghi trong 1 KH (phone/email/địa chỉ) → *_SEQ_NB.</t>
  </si>
  <si>
    <t>V_PHONE_NUMBER</t>
  </si>
  <si>
    <t>VARCHAR2(25)</t>
  </si>
  <si>
    <t>Số điện thoại; Số điện thoại liên lạc</t>
  </si>
  <si>
    <t>Số ĐT liên lạc của KH</t>
  </si>
  <si>
    <t>This column stores the Phone Number.</t>
  </si>
  <si>
    <t>Loại số điện thoại</t>
  </si>
  <si>
    <t>Loại SĐT (Mobile/Business/Fax)</t>
  </si>
  <si>
    <t>M/B/Fax</t>
  </si>
  <si>
    <t>PK phone – phân biệt loại số.</t>
  </si>
  <si>
    <t>★ NOTE:</t>
  </si>
  <si>
    <t>UNPIVOT số ĐT (mobile/fax) → mỗi số 1 dòng; sinh V_PHONE_ID; 'Loại SĐT' → V_PHONE_PURPOSE_TYPE_CD (codeset M/B/fax); V_PARTY_ID=CIF.</t>
  </si>
  <si>
    <t>STG_PARTY_EMAIL_MAP  ·  Khối nguồn: Customer  ·  Email của KH</t>
  </si>
  <si>
    <t>PK: FIC_MIS_DATE, V_EMAIL_ID, V_EMAIL_PURPOSE_TYPE_CD, V_PARTY_ID   |   Cấu trúc: mỗi email = 1 bản ghi gắn 1 KH (V_PARTY_ID=CIF).</t>
  </si>
  <si>
    <t>CUST_EMAIL_ADDR</t>
  </si>
  <si>
    <t>V_EMAIL_PURPOSE_TYPE_CD</t>
  </si>
  <si>
    <t>This column stores the purpose, or usage, of this email relative to this party (for example, PRSNL-Personal Email or BUSS-Business Address, PRIM-Primary).</t>
  </si>
  <si>
    <t>The sequence number corresponding to this party email address. This is to identify different email addresses of the same party.</t>
  </si>
  <si>
    <t>⚠ BẮT BUỘC để load FSDM (feed CustomerEmailAddress:EMAIL_SEQ_NB). MSB chưa map – cần bổ sung nguồn/logic. STT bản ghi trong 1 KH (phone/email/địa chỉ) → *_SEQ_NB.</t>
  </si>
  <si>
    <t>V_EMAIL_ID</t>
  </si>
  <si>
    <t>Email; Thư điện tử (email)</t>
  </si>
  <si>
    <t>This column stores the business key of Email identifier.</t>
  </si>
  <si>
    <t>STG_CUSTOMER_IDENTIFCTN_DOC  ·  Khối nguồn: Customer  ·  Giấy tờ định danh KH</t>
  </si>
  <si>
    <t>PK: V_CUST_REF_CODE, V_DOC_TYPE_CODE, FIC_MIS_DATE, V_DOCUMENT_ID   |   Cấu trúc: mỗi giấy tờ = 1 bản ghi gắn 1 KH (V_CUST_REF_CODE=CIF) + loại giấy tờ (V_DOC_TYPE_CODE).</t>
  </si>
  <si>
    <t>V_CUST_REF_CODE</t>
  </si>
  <si>
    <t>A unique code to identify customers of the financial entity. A person or entity is designated as customer upon holding a product offered by the financial institution. Dim_Customer is the equivalent dimension table for this column.</t>
  </si>
  <si>
    <t>CUST_ID_DOC, PARTY_ID_DOC</t>
  </si>
  <si>
    <t>V_DOCUMENT_ID</t>
  </si>
  <si>
    <t>This column stores the unique identifier of the identification document.</t>
  </si>
  <si>
    <t>CUST_ID_DOC</t>
  </si>
  <si>
    <t>V_DOCUMENT_NAME</t>
  </si>
  <si>
    <t>This column stores the name of the received document._x000D_</t>
  </si>
  <si>
    <t>Tên/diễn giải giấy tờ → DOC_NM.</t>
  </si>
  <si>
    <t>⚠ BẮT BUỘC để load FSDM (feed CustomerIdentificationDocument:DOC_NM). MSB chưa map – cần bổ sung nguồn/logic. Tên/diễn giải giấy tờ → DOC_NM.</t>
  </si>
  <si>
    <t>⚠ BẮT BUỘC để load FSDM (feed CustomerIdentificationDocument:JRSDCN_CD). MSB chưa map – cần bổ sung nguồn/logic. Gán mặc định = 'All' (→ JRSDCN_CD).</t>
  </si>
  <si>
    <t>V_DOC_TYPE_CODE</t>
  </si>
  <si>
    <t>Loại giấy tờ định danh; Thông tin định danh cá nhân; Thị thực nhập cảnh; Số thị thực  (+2 trường)</t>
  </si>
  <si>
    <t>CMND/CCCD/Hộ chiếu/Định danh CN...</t>
  </si>
  <si>
    <t>This column stores the code of the type of the document submitted. List of valid values are ART- Registered article(s) of incorporation , BC- Certificate of Birth , BL- Business License , BR- Report of Birth Abroad , BS- Bank Statement , CC- Cancelled Check , CIC- Certificate of Citizenship , CID- Citizen Identification Card , CO- Court Order for Name Change/Gender Change/Adoption/Divorce , DPS- Domestic Passport , EMP- Employment Authorization Card , FPS- Foreign Passport with Appropriate Immigration Documents(s) , IDV- IDV , LS- Legal Structure Document(s) , MC- Marriage Certificate , MD- Mortgage Documents , MIL- Military Identification Card , NewsSearch- News Search , NTR- Certificate of Naturalization , PA- Partnership Agreement , PC- Paycheck Stub with Name/Address , PIV- Personal Identity Verification Card , PRES- Permanent Resident Alien Card , QualiFile- QualiFile , RTD- Unexpired Refugee Travel Document, SS- Social Security Card , TI- Trust Instruments , TRES- Temporary Resident Identification Card , UB- Utility Bill (Address) , USTD- U.S. Tribal or Bureau of Indian Affairs Identification Card , VR- Vehicle Registration Card/Title , VRC- Voter's Registration Card , WatchList- WatchList , Firm-specified- Other values as specified by the client_x000D_</t>
  </si>
  <si>
    <t>CodeSet Loại định danh</t>
  </si>
  <si>
    <t>[STR] Droplist.</t>
  </si>
  <si>
    <t>V_DOC_REF_NO</t>
  </si>
  <si>
    <t>Số giấy tờ; Số; Số thẻ</t>
  </si>
  <si>
    <t>Số CMND/CCCD/Hộ chiếu</t>
  </si>
  <si>
    <t>The party submits financial and identity documents to the financial institution as part of the Know Your Customer Verification or Covenants which is periodic basis. The document reference number uniquely identifies the document submitted by the party.</t>
  </si>
  <si>
    <t>D_DOC_ISSUE_DATE</t>
  </si>
  <si>
    <t>Ngày cấp</t>
  </si>
  <si>
    <t>Ngày cấp giấy tờ</t>
  </si>
  <si>
    <t>Issuing date of the document received from customer.</t>
  </si>
  <si>
    <t>D_DOC_EXPIRY_DATE</t>
  </si>
  <si>
    <t>Ngày hết hạn</t>
  </si>
  <si>
    <t>Ngày hết hạn giấy tờ</t>
  </si>
  <si>
    <t>Expiry date of the document received from customer.</t>
  </si>
  <si>
    <t>V_DOC_ISSUED_BY</t>
  </si>
  <si>
    <t>Cơ quan/Nơi cấp; Cơ quan có thẩm quyền cấp; Nơi cấp</t>
  </si>
  <si>
    <t>Cơ quan có thẩm quyền cấp/Nơi cấp giấy tờ</t>
  </si>
  <si>
    <t>Issuing authority of the document received from customer.</t>
  </si>
  <si>
    <t>V_ISO_COUNTRY_CODE</t>
  </si>
  <si>
    <t>VARCHAR2(3)</t>
  </si>
  <si>
    <t>Quốc gia cấp</t>
  </si>
  <si>
    <t>Country component of the address associated with the location.</t>
  </si>
  <si>
    <t>[STR] Quốc gia cấp giấy tờ/giấy phép (CodeSet quốc gia).</t>
  </si>
  <si>
    <t>STG_PARTY_PARTY_RELATIONSHIP  ·  Khối nguồn: Customer  ·  Quan hệ KH – bên liên quan (đại diện/CSHHL)</t>
  </si>
  <si>
    <t>PK: V_PARTY_ID, FIC_MIS_DATE, V_RELATED_PARTY_ID, V_RELATIONSHIP_TYPE_CODE</t>
  </si>
  <si>
    <t>CUST_CUST, PARTY_PARTY_RLSHP</t>
  </si>
  <si>
    <t>CUST_CUST, EXTRL_ORG_STG, PARTY_ID_DOC, PARTY_PARTY_RLSHP</t>
  </si>
  <si>
    <t>V_RELATIONSHIP_DESC</t>
  </si>
  <si>
    <t>Description of the Related Customer to the Primary Customer. (For example, for individual customers: spouse, parent, sibling, etc.; or for legal entities: CEO, CFO, VP, etc.)</t>
  </si>
  <si>
    <t>Diễn giải quan hệ → RLSHP_DESC.</t>
  </si>
  <si>
    <t>⚠ BẮT BUỘC để load FSDM (feed CustomerToCustomerRelationship:RLSHP_DESC). MSB chưa map – cần bổ sung nguồn/logic. Diễn giải quan hệ → RLSHP_DESC.</t>
  </si>
  <si>
    <t>V_RELATED_PARTY_ID</t>
  </si>
  <si>
    <t>Mã bên liên quan</t>
  </si>
  <si>
    <t>Người đại diện PL / CSHHL</t>
  </si>
  <si>
    <t>The related party identifier. Related party is the party who is related in any relationship like spouse, parent etc to the primary customer or the account holder.</t>
  </si>
  <si>
    <t>V_RELATIONSHIP_TYPE_CODE</t>
  </si>
  <si>
    <t>Loại quan hệ; Quan hệ với chủ tài khoản</t>
  </si>
  <si>
    <t>Đại diện PL / Ủy quyền / CSHHL</t>
  </si>
  <si>
    <t>This column stores the code of the party relationship between the party and the related party. The relationship type can be an affiliate, joint venture, Related Party, Significant Invested Party, common brand name, promoters, Non-Operative Financial Holdi .For example in FDIC relationship type can be OC-Official Custodian, BEN-Beneficiary, BHR-Bond Holder, MOR-Mortgagor.</t>
  </si>
  <si>
    <t>CodeSet Quan hệ</t>
  </si>
  <si>
    <t>EXTRL_ORG_STG, PARTY_ID_DOC, PARTY_PARTY_RLSHP</t>
  </si>
  <si>
    <t>D_RELATIONSHIP_EFF_DATE</t>
  </si>
  <si>
    <t>Hiệu lực quan hệ (từ/đến)</t>
  </si>
  <si>
    <t>Eff/Exp date của quan hệ</t>
  </si>
  <si>
    <t>Date the relationship between Primary Customer and Related Customer became effective.</t>
  </si>
  <si>
    <t>Chỉ lấy quan hệ còn hiệu lực.</t>
  </si>
  <si>
    <t>STG_PARTY_ROLE_MAP  ·  Khối nguồn: Customer  ·  Vai trò/trạng thái KH</t>
  </si>
  <si>
    <t>PK: V_PARTY_ID, V_PARTY_ROLE, FIC_MIS_DATE</t>
  </si>
  <si>
    <t>CUST, CUST_CUST, EXTRL_ORG_PHON, EXTRL_ORG_STG, ISSUER, PARTY_ID_DOC, PARTY_PARTY_RLSHP</t>
  </si>
  <si>
    <t>V_PARTY_ROLE</t>
  </si>
  <si>
    <t>The role that the party plays with respect to the account. The various party roles are Guarantor, Nominee, Customer, Beneficiary, Contact, Customer's Legal Advisor, Power of attorney or in case of documentary credits the counterparty can play the following roles, as advising bank, confirming bank, issuing bank. 
A guarantor stands guarantee or assures to pay the debt on behalf of the borrower, should the borrower default on the obligation to the lender. A guarantor acts as a co-signor, in which the guarantor could pledge their own assets or agree to service the loan to its full term in the even of default by the borrower.
Borrower: Borrower is defined as a party who has subscribed to the asset products of the financial institution. Asset products include: All types of loans, overdrafts, credit card, lease etc.
A nominee is a person who upon the demise of the account holder, can claim the proceeds of the account or the safe deposit locker without the financial institution insisting on a succession certificate.
A beneficiary is any person who gains an advantage and/or profits from something. In the financial world, a beneficiary typically refers to someone who is eligible to receive distributions from a trust, will or life insurance policy. Beneficiaries are either named specifically in these documents or have met the stipulations that make them eligible for whatever distribution is specified.
A Contact refers to the party who acts as a contact of an institutional customer.
Legal advisors are lawyers who are employed by the government, large companies and other organisations to provide legal advice and services to the organisation and its employees.
An advising bank (also known as a notifying bank) advises a beneficiary (exporter) that a letter of credit (L/C) opened by an issuing bank for an applicant (importer) is available. Advising Bank's responsibility is to authenticate the letter of credit issued by the issuer to avoid fraud.
Confirming bank means the bank that adds its confirmation to a credit upon the issuing bank's authorization or request." As can be seen on the above definitions confirming bank adds its undertaking to the letter of credit in addition to that of the issuing bank.
An issuing bank is a bank that offers card association branded payment cards directly to consumers. The name is derived from its practice of issuing payment to the acquiring bank on behalf of its customer (the purchaser in the transaction).</t>
  </si>
  <si>
    <t>Gán mặc định = 'CUSTOMER'</t>
  </si>
  <si>
    <t>CUST, CUST_CUST, EXTRL_ORG_PHON, EXTRL_ORG_STG, PARTY_ID_DOC, PARTY_PARTY_RLSHP</t>
  </si>
  <si>
    <t>V_PARTY_STATUS</t>
  </si>
  <si>
    <t>Trạng thái khách hàng</t>
  </si>
  <si>
    <t>Trạng thái KH (active/đóng)</t>
  </si>
  <si>
    <t>The current status of this party. Values could be Active, Inactive, Pending, Not a Customer etc.</t>
  </si>
  <si>
    <t>CodeSet Trạng thái</t>
  </si>
  <si>
    <t>STG_CORRESPONDENT_PROD_SERVED  ·  Khối nguồn: Customer  ·  Sản phẩm/dịch vụ KH đang dùng</t>
  </si>
  <si>
    <t>PK: FIC_MIS_DATE, V_CORR_FIN_INST_ID, V_PROD_CODE</t>
  </si>
  <si>
    <t>V_CORR_FIN_INST_ID</t>
  </si>
  <si>
    <t>Identifier for the Correspondent Bank who is a customer of the financial institution. This Id is unique across the enterprise.</t>
  </si>
  <si>
    <t>CUST_PRODUCT</t>
  </si>
  <si>
    <t>⚠ Bắt buộc để load STG. = CIF (V_CUST_REF_CODE / V_PARTY_ID ở STG_PARTY_MASTER)</t>
  </si>
  <si>
    <t>V_PROD_CODE</t>
  </si>
  <si>
    <t>Loại sản phẩm, dịch vụ mà khách hàng đang sử dụng</t>
  </si>
  <si>
    <t>This column stores the unique code of the product as defined by the financial institution. Products are sold to the customers and are identified at the granularity. Example: 3 Year Fixed Rate mortgage, Super Saver Savings Account etc. Dim_Product is the equivalent dimension table for this column.</t>
  </si>
  <si>
    <t>Logic xác định loại sản phẩm KH đang sử dụng theo thứ tự kiểm tra:
1.N0003 – TKTT (Tài khoản thanh toán): DMTYP=6 và tồn tại TK với DMSTAT ≠ '2','4'
2.N0005 – TKTK (Tài khoản tiết kiệm): tồn tại TK tiết kiệm có số dư TMCBAL &gt; 0
3.N0007 – TKV (Tài khoản vay): tồn tại TK vay với LNSTAT = blank (Normal)
4.N0004 – THẺ: Thẻ tín dụng (CARD_BLK_CODE not in 'AR','AL','AA') hoặc Thẻ ghi nợ
5.N0002 – CTTN (Chuyển tiền trong nước): từ file doanh số DSMMYY
6.N0001 – CTNN (Chuyển tiền nước ngoài): từ file doanh số DSMMYY, đối chiếu GL "TKGL_DU_CTNN"
7.N0006 – TTTM (Tài trợ thương mại): bảng MASTER_ALL, STATUS='LIV'
8.Mặc định nếu không thuộc trường hợp nào → N0003</t>
  </si>
  <si>
    <t>STG_CASA  ·  Khối nguồn: AC_TKTT  ·  Tài khoản thanh toán (CASA)</t>
  </si>
  <si>
    <t>PK: V_ACCOUNT_NUMBER, FIC_MIS_DATE, N_LOAD_RUN_ID, V_GAAP_CODE</t>
  </si>
  <si>
    <t>ACCT, ACCT_BAL_POSN_SMRY</t>
  </si>
  <si>
    <t>NUMBER(10,0)</t>
  </si>
  <si>
    <t>This column stores the load run identifier. Load run identifier enables user to load multiple versions intraday or post back-dated adjustment entries to the table.
This column stores the Load run identifier of the equivalent record in product processor that needs to be adjusted. Default value of '-1' indicates that the latest load run is being adjusted.</t>
  </si>
  <si>
    <t>Gán mặc định = 1</t>
  </si>
  <si>
    <t>VARCHAR2(6)</t>
  </si>
  <si>
    <t>Unique identifier of Generally Accepted Accounting Principles (GAAP). GAAP are the rules to which accountants adhere when preparing financial statements to ensure minimum level of consistency. The Generally Accepted Accounting Principles exist to ensure that accountants are using the same or almost the same standards so that comparison of financial statements between or within a company is easy and accurate. They also promote transparency in accounting. However, GAAP provides broad guidelines, there is room for companies to follow an approach within a guideline. Dim_Gaap is the equivalent dimension table for this column.</t>
  </si>
  <si>
    <t>Gán mặc định = 'VNGAAP'</t>
  </si>
  <si>
    <t>V_MANTAS_ACCT_HOLDR_TYPE</t>
  </si>
  <si>
    <t>This column stores Mantas defined internal or external customer type that uses this account. This will be used for identifying Mantas defined customer types relevant to financial crime compliance based on set of rules. Expected values are 
CR - Retail Customer
CI - Institutional Customer
IA - Investment Advisor
CO - Correspondent Financial Institution
EE - Employee or Family Member
FP - Firm Trading
FO - Firm Owned, Non-Trading
FA - Firm Administrative
FE - Firm Error or Suspense
DC - Clearing Organization
IS - Issuer or Writer.</t>
  </si>
  <si>
    <t>Mã loại chủ TK (domain CR|CI|IA|CO|EE|FP|FO|FA|FE|DC|IS). Derive từ loại KH/party category. BẮT BUỘC insert ACCT.</t>
  </si>
  <si>
    <t>ACCT</t>
  </si>
  <si>
    <t>⚠ BẮT BUỘC để load FSDM (feed Account:MANTAS_ACCT_HOLDR_TYPE_CD). MSB chưa map – cần bổ sung nguồn/logic. Mã loại chủ TK (domain CR|CI|IA|CO|EE|FP|FO|FA|FE|DC|IS). Derive từ loại KH/party category. BẮT BUỘC insert ACCT.</t>
  </si>
  <si>
    <t>This column stores the mantas classification associated with this record. This can be a jurisdiction which represents geographical or legal entity monitoring on data restrictions. List of valid values can be AMEA, INDV, CORP etc.</t>
  </si>
  <si>
    <t>⚠ BẮT BUỘC để load FSDM (feed Account:JRSDCN_CD). MSB chưa map – cần bổ sung nguồn/logic. Gán mặc định = 'All' (→ JRSDCN_CD).</t>
  </si>
  <si>
    <t>This column stores the mantas business domain. (such as Institutional or Retail Brokerage). This is used to control access to data across distinct business operations.</t>
  </si>
  <si>
    <t>⚠ BẮT BUỘC để load FSDM (feed Account:BUS_DMN_LIST_TX). MSB chưa map – cần bổ sung nguồn/logic. Gán mặc định = 'A' (→ BUS_DMN_LIST_TX).</t>
  </si>
  <si>
    <t>V_ACCOUNT_NUMBER</t>
  </si>
  <si>
    <t>Số tài khoản thanh toán; Danh sách các số tài khoản; Số tài khoản</t>
  </si>
  <si>
    <t>Số TKTT của KH</t>
  </si>
  <si>
    <t>This column stores the unique identifier of the account / contract held by the customer. Account number is defined as numbers, letters or alphanumeric code assigned to every significant customer, supplier and lender for ease of reference in a financial institution's accounting records.</t>
  </si>
  <si>
    <t>Mã KH sở hữu (CIF)</t>
  </si>
  <si>
    <t>CIF chủ tài khoản</t>
  </si>
  <si>
    <t>Liên kết KH–TK.</t>
  </si>
  <si>
    <t>V_ACCOUNT_TYPE_CODE</t>
  </si>
  <si>
    <t>Loại tài khoản</t>
  </si>
  <si>
    <t>Mã loại TK (TKTT/DICA/chuyên dùng)</t>
  </si>
  <si>
    <t>This Column Stores the Account Type Code that is classified as per the banking source system for their internal operational purpose.</t>
  </si>
  <si>
    <t>CodeSet Loại TK</t>
  </si>
  <si>
    <t>V_ACCT_DISPLAY_NAME</t>
  </si>
  <si>
    <t>Tên tài khoản</t>
  </si>
  <si>
    <t>Tên của TKTT</t>
  </si>
  <si>
    <t>This column stores the account name which should be displayed in the account. This is often the name of the primary customer on the account.</t>
  </si>
  <si>
    <t>V_CCY_CODE</t>
  </si>
  <si>
    <t>Loại tiền tài khoản; Loại tiền</t>
  </si>
  <si>
    <t>Loại tiền của TK</t>
  </si>
  <si>
    <t>Unique identifier of the currency code in which the account is represented. ISO currency codes is a standard published by the International Organization for Standardization 4217, which delineates currency designators and country codes (alpha and numeric). This column will capture the standardized currency code. Dim_Currency is the equivalent dimension table for this column.</t>
  </si>
  <si>
    <t>CodeSet Tiền tệ</t>
  </si>
  <si>
    <t>[STR] AML-06 chỉ lấy VND.</t>
  </si>
  <si>
    <t>D_ACCT_OPEN_DATE</t>
  </si>
  <si>
    <t>Ngày mở tài khoản</t>
  </si>
  <si>
    <t>Ngày mở TK</t>
  </si>
  <si>
    <t>Date on which the account was opened in the financial institution. This is the system date on which the financial institution opens the account. It may or may not be equal to effective date.</t>
  </si>
  <si>
    <t>[STR] AML-03/04/05 tuổi TK.</t>
  </si>
  <si>
    <t>V_ACCT_STATUS_CODE</t>
  </si>
  <si>
    <t>Trạng thái tài khoản; Tình trạng tài khoản</t>
  </si>
  <si>
    <t>Còn HĐ/Không HĐ/Phong tỏa/Đóng</t>
  </si>
  <si>
    <t>This column stores the unique code of the status of the account. List of values can be Active, Inactive, in-foreclosure, Re-negotiated, Dispute, Frozen, Past Due, Closed etc. Dim_Acct_Status is the equivalent dimension table for this column.</t>
  </si>
  <si>
    <t>CodeSet 
A: Active
D: Dormant(extended inactivity)
I: Inactive
C: Closed
X: Purge
U: Undocumented</t>
  </si>
  <si>
    <t>[STR] AML-06 không HĐ 6 tháng.</t>
  </si>
  <si>
    <t>D_ACCT_STATUS_DATE</t>
  </si>
  <si>
    <t>Ngày cập nhật trạng thái</t>
  </si>
  <si>
    <t>Ngày đổi trạng thái TK</t>
  </si>
  <si>
    <t>This column stores the date on which the current account status became effective.</t>
  </si>
  <si>
    <t>Hỗ trợ AML-06.</t>
  </si>
  <si>
    <t>D_LAST_ACTIVITY_DATE</t>
  </si>
  <si>
    <t>Ngày hoạt động gần nhất</t>
  </si>
  <si>
    <t>Ngày phát sinh hoạt động gần nhất trên TK</t>
  </si>
  <si>
    <t>Date on which the last activity happens on an account. Activity on an account can be referred to anything like withdrawal from an account, deposit in account etc. The Activity date is generally for customer initiated transaction and not for system initiated transaction like interest liquidation, debiting charges etc.</t>
  </si>
  <si>
    <t>V_ACCOUNT_PURPOSE</t>
  </si>
  <si>
    <t>Mục đích tài khoản</t>
  </si>
  <si>
    <t>Mục đích/sử dụng của TK</t>
  </si>
  <si>
    <t>This column stores the purpose or special use of this account.</t>
  </si>
  <si>
    <t>CodeSet Mục đích TK</t>
  </si>
  <si>
    <t>Hỗ trợ nhận biết TK chuyên dùng/DICA.</t>
  </si>
  <si>
    <t>V_OWNERSHIP_TYPE</t>
  </si>
  <si>
    <t>VARCHAR2(15)</t>
  </si>
  <si>
    <t>Hình thức sở hữu TK</t>
  </si>
  <si>
    <t>Sole/Joint...</t>
  </si>
  <si>
    <t>This column stores the type of ownership of the account. List of values are IND - Individual, JOINT - Joint Tenant/Community Property, TRUST - Trust, CUST - Custodian, CORP - Corporate, FIRM - Firm Owned and OTHER - Other.</t>
  </si>
  <si>
    <t>Chi nhánh quản lý; Ngân hàng mở tài khoản</t>
  </si>
  <si>
    <t>Đơn vị quản lý TK</t>
  </si>
  <si>
    <t>A branch, banking center or financial center is a retail location where a financial institution offers a wide array of face-to-face and automated services to its customers. This column stores the unique branch code assigned by the financial institution. A branch may specialize to offer certain type of products to customers. Branch needs approval from the regulators.</t>
  </si>
  <si>
    <t>CodeSet Đơn vị</t>
  </si>
  <si>
    <t>NUMBER(22,3)</t>
  </si>
  <si>
    <t>Số dư tài khoản Thanh toán cuối ngày giao dịch</t>
  </si>
  <si>
    <t>This stores end of period balance which includes accrued interest. All the calculations such as interest, prepayment amounts etc. are based on this amount. This is used in all the calculations performed by cash flow engine.</t>
  </si>
  <si>
    <t>↻ Remap: Stg_Account_Alt_Ccy_Values.n_acct_net_worth_rcy → STG_CASA.N_EOP_BAL.   ⚠ Cột map nhưng OOB BDF CHƯA kéo lên FSDM (xác nhận: staging-only hay cần custom datamap).</t>
  </si>
  <si>
    <t>F_ESCROW_ACCOUNT_FLAG</t>
  </si>
  <si>
    <t>Cờ TK chuyên dùng (T24)</t>
  </si>
  <si>
    <t>TK chuyên dùng/escrow</t>
  </si>
  <si>
    <t>This attribute stores the flag which states if account is escrow account or not. An escrow account can be used in the sale of a house, for example. If there are conditions to the sale, such as the passing of an inspection, the buyer and seller may agree to use escrow. In this case, the buyer of the property will deposit the payment amount for the house in an escrow account held by a third party. This assures the seller - in the process of allowing the house to be inspected - that the buyer is capable of making payment. Once all of the conditions to the sale are satisfied, the escrow transfers the payment to the seller, and title is transferred to the buyer._x000D_</t>
  </si>
  <si>
    <t>Hoặc dùng codeset trong V_ACCOUNT_PURPOSE.</t>
  </si>
  <si>
    <t>Cờ tài khoản DICA</t>
  </si>
  <si>
    <t>TK DICA</t>
  </si>
  <si>
    <t>codeset (thêm 'DICA')</t>
  </si>
  <si>
    <t>DICA = giá trị codeset của V_ACCOUNT_PURPOSE (đã map ở 'Mục đích tài khoản').</t>
  </si>
  <si>
    <t>STG_PARTY_ACCOUNT_ROLE_MAP  ·  Khối nguồn: AC_TKTT  ·  Vai trò chủ thể trên TK</t>
  </si>
  <si>
    <t>PK: V_ACCOUNT_NUMBER, V_PARTY_ID, V_ACCT_PARTY_ROLE, FIC_MIS_DATE, D_ROLE_EFFECTIVE_DATE</t>
  </si>
  <si>
    <t>CUST_ACCT</t>
  </si>
  <si>
    <t>Số tài khoản thanh toán</t>
  </si>
  <si>
    <t>Số TKTT của KH trong bảng vai trò (role map)</t>
  </si>
  <si>
    <t>This column stores the unique identifier of the account or contract held by the customer. Account number is defined as numbers, letters or alphanumeric code assigned to every significant customer, supplier and lender for ease of reference in a financial institutions accounting records.</t>
  </si>
  <si>
    <t>Mã KH theo vai trò</t>
  </si>
  <si>
    <t>CIF chủ thể gắn với TK</t>
  </si>
  <si>
    <t>1 TK ↔ NHIỀU CIF (đồng sở hữu/ủy quyền).</t>
  </si>
  <si>
    <t>Chủ TK / Đồng chủ SH / Người ủy quyền / Bên thứ 3 / Người ký</t>
  </si>
  <si>
    <t>The role that this party plays with respect to the account. List of values can be Customer, Guarantor, Nominee, Beneficiary, Contact, Customer's Legal Advisor, Power of attorney etc.</t>
  </si>
  <si>
    <t>CodeSet Vai trò TK</t>
  </si>
  <si>
    <t>Phân biệt chủ chính, đồng sở hữu, người được ủy quyền.</t>
  </si>
  <si>
    <t>D_ROLE_EFFECTIVE_DATE</t>
  </si>
  <si>
    <t>Hiệu lực vai trò (từ)</t>
  </si>
  <si>
    <t>Ngày vai trò có hiệu lực</t>
  </si>
  <si>
    <t>The effective date from when the party role was associated with this account</t>
  </si>
  <si>
    <t>Chỉ lấy vai trò còn hiệu lực trong kỳ giám sát.</t>
  </si>
  <si>
    <t>V_ACCT_PARTY_OPERATN_ROLE_CD</t>
  </si>
  <si>
    <t>Loại hình sở hữu tài khoản</t>
  </si>
  <si>
    <t>Loại hình sở hữu của khách hàng đối với tài khoản (VD chính chủ - SOW, đồng sở hữu…)</t>
  </si>
  <si>
    <t>This column is unique ID for each role information. It should be unique id for the combination of F_AUTHORITY_TO_TRADE_IND, 
F_AUTH_TO_WITHDRAW_FUNDS_IND,F_POWER_OF_ATTORNEY_IND,F_OWNERSHIP_IND,F_GUARDIANSHIP_IND. The list of Values for this column is TRDNG (Trading),WDRWL (Withdrawal),POA (Power of Attorney),OWNER (Owner),GRDN (Guardian),JTOWN (Joint Owner),OBLIG (Obligatory).</t>
  </si>
  <si>
    <t>Cột này lưu trữ mã định danh duy nhất cho mỗi vai trò. 
Các giá trị bao gồm:
TRDNG - Thương mại
WDRWL - Rút tiền
POA - Ủy quyền
OWNER - Sở hữu
GRDN - Bảo hộ
JTOWN - Sở hữu chung
OBLIG - Bắt buộc</t>
  </si>
  <si>
    <t>★ NOTE</t>
  </si>
  <si>
    <t>Vai trò chủ thể dùng V_ACCT_PARTY_OPERATN_ROLE_CD  làm mã vai trò tới CUST_ACCT.CUST_ACCT_ROLE_CD</t>
  </si>
  <si>
    <t>STG_CASA_TXNS  ·  Khối nguồn: Txns-Casa  ·  Giao dịch trên TKTT</t>
  </si>
  <si>
    <t>PK: V_TXN_REF_NO, FIC_MIS_DATE</t>
  </si>
  <si>
    <t>BACK_OFFICE_TRXN, CURRENCY_TRXN, FO_TRXN_STAGE</t>
  </si>
  <si>
    <t>V_MANTAS_TXN_ASSET_CLASS_CD</t>
  </si>
  <si>
    <t>This column stores the mantas transaction asset class code. Expected values are FUNDS- Transaction transfers funds, SECURITIES- Transaction transfers securities, COMMODITIES- Transaction transfers tangible good or asset that can be deposited and PROPERTY- Transaction transfers property._x000D_</t>
  </si>
  <si>
    <t>Mã lớp tài sản GD (codeset) → MANTAS_TRXN_ASSET_CLASS_CD.</t>
  </si>
  <si>
    <t>BACK_OFFICE_TRXN, FO_TRXN_STAGE</t>
  </si>
  <si>
    <t>⚠ BẮT BUỘC để load FSDM (feed BackOfficeTransaction:MANTAS_TRXN_ASSET_CLASS_CD, FrontOfficeTransaction:MANTAS_TRXN_ASSET_CLASS_CD). MSB chưa map – cần bổ sung nguồn/logic. Mã lớp tài sản GD (codeset) → MANTAS_TRXN_ASSET_CLASS_CD.</t>
  </si>
  <si>
    <t>V_TXN_REF_NO</t>
  </si>
  <si>
    <t>Mã giao dịch</t>
  </si>
  <si>
    <t>Mã định danh GD</t>
  </si>
  <si>
    <t>This column stores the unique transaction reference number.</t>
  </si>
  <si>
    <t>Khóa chính (cùng fic_mis_date).</t>
  </si>
  <si>
    <t>Số tài khoản phát sinh</t>
  </si>
  <si>
    <t>TKTT phát sinh GD</t>
  </si>
  <si>
    <t>The unique identifier of the account / contract held by the customer.</t>
  </si>
  <si>
    <t>BACK_OFFICE_TRXN, CURRENCY_TRXN</t>
  </si>
  <si>
    <t>TK chủ thể GD.</t>
  </si>
  <si>
    <t>F_DRCR_INDICATOR</t>
  </si>
  <si>
    <t>Chiều giao dịch (Nợ/Có)</t>
  </si>
  <si>
    <t>Ghi Nợ (D) / ghi Có (C)</t>
  </si>
  <si>
    <t>The indicator to identify whether this anticipatory profile represents C-Credits to the account or D-Debits from this account. List of values are C,D.</t>
  </si>
  <si>
    <t>D/C</t>
  </si>
  <si>
    <t>Tính tổng theo chiều; xác định dòng tiền VÀO/RA.</t>
  </si>
  <si>
    <t>N_TXN_AMT</t>
  </si>
  <si>
    <t>Số tiền nguyên tệ</t>
  </si>
  <si>
    <t>Giá trị GD theo tiền gốc</t>
  </si>
  <si>
    <t>This column stores the transaction amount expressed in the transaction currency</t>
  </si>
  <si>
    <t>Hiển thị/ngưỡng.</t>
  </si>
  <si>
    <t>V_TXN_CCY_CODE</t>
  </si>
  <si>
    <t>Loại tiền giao dịch</t>
  </si>
  <si>
    <t>Mã tiền tệ GD</t>
  </si>
  <si>
    <t>This column stores the unique transaction currency code.</t>
  </si>
  <si>
    <t>ISO currency code</t>
  </si>
  <si>
    <t>D_TXN_VALUE_DATE</t>
  </si>
  <si>
    <t>Ngày giao dịch</t>
  </si>
  <si>
    <t>Ngày giá trị GD</t>
  </si>
  <si>
    <t>The date on which the transaction happened.</t>
  </si>
  <si>
    <t>Xác định kỳ giám sát.</t>
  </si>
  <si>
    <t>D_EXECUTION_TIME</t>
  </si>
  <si>
    <t>TIMESTAMP(6) WITH TIME ZONE</t>
  </si>
  <si>
    <t>Giờ phát sinh giao dịch</t>
  </si>
  <si>
    <t>Thời điểm thực hiện GD</t>
  </si>
  <si>
    <t>The time on Execution Date at which this transaction was conducted and is applicable for cash transactions and electronic fund transfer. the time along with time zone information.</t>
  </si>
  <si>
    <t>Phân tích tốc độ luân chuyển (AML-05/14).</t>
  </si>
  <si>
    <t>V_MANTAS_TXN_PROD_TYPE_CD</t>
  </si>
  <si>
    <t>Loại sản phẩm/loại GD</t>
  </si>
  <si>
    <t>Phân loại GD (CK, tiền mặt, SWIFT, lãi/phí...)</t>
  </si>
  <si>
    <t>The unique mantas financial product code associated with the transaction.
Expected values AUTO-BILL-PAY= Automatic Bill Payment, DEBIT-CARD= Debit Card, SVC=Stored Value Card, CASH-EQ-CASHIER-CHECK=Cashier"s Check, CASH-EQ-CERT-CHECK=Certified Check, CASH-EQ-MONEY-ORDER=Money Order, CASH-EQ-TRAVELERS-CHECK=Traveler"s Check, CASH-EQ-OTHER=Other Cash Equivalent Product, CASH-LETTER=Cash Letter, CHECK=Personal or Business Check, CHECK-ACH = Check via Automated Clearing House, CREDIT-CARD=Credit Card, CURRENCY=Currency, EFT-ACH=Electronic Funds Transfer via Automated Clearing House, EFT-TREASURY=Electronic Funds Transfer via Treasury, 
EFT-FEDWIRE=Electronic Funds Transfer via Fedwire, EFT-SWIFT=Electronic Funds Transfer via SWIFT, EFT-OTHER=Electronic Funds Transfer via Other Mechanism, EST=Electronic Security Transfer, PAPER-OTHER=Other Paper Products, PAYROLL-DEDUCTION=Payroll Deduction, PHYS=Physical DeliveryorReceipt of Securities</t>
  </si>
  <si>
    <t>CodeSet Loại GD</t>
  </si>
  <si>
    <t>EFT-SWIFT, tiền mặt...; cơ sở loại trừ lãi/phí.</t>
  </si>
  <si>
    <t>V_MANTAS_TXN_PURPOSE_CD</t>
  </si>
  <si>
    <t>Mục đích giao dịch</t>
  </si>
  <si>
    <t>Mã mục đích GD</t>
  </si>
  <si>
    <t>The mantas purpose code of this transaction.</t>
  </si>
  <si>
    <t>CodeSet Mục đích</t>
  </si>
  <si>
    <t>V_MANTAS_TXN_CHANNEL_CD</t>
  </si>
  <si>
    <t>Kênh giao dịch</t>
  </si>
  <si>
    <t>Kênh thực hiện (IB/MB/Quầy/ATM)</t>
  </si>
  <si>
    <t>The mantas code of the channel used to initiate this transaction.</t>
  </si>
  <si>
    <t>CodeSet
Tham chiếu các OOTB codesets cho kênh giao dịch sau. (MSB thực hiện mapping theo dữ liệu thực tế của bank để lấy code tương ứng)
ATM: Conducted via an automated teller machine 
BRANCH-TELLER : Conducted via a branch teller 
DEBIT-TERMINAL : Conducted via a debit terminal 
ON-LINE : Conducted via the internet 
RETAIL-OUTLET : Conducted via a retail outlet 
MAIL : Mail 
TELEPHONE : Conducted via a telephone 
INTERNAL- SYSTEM : Conducted via a system of the Firm 
OTHER- ANONYMOUS : Conducted via another anonymous channel 
OTHER-NON- ANONYMOUS : Conducted via another non-anonymous channel 
MOBILE-PDA : Conducted through mobile phone or PDA device. 
RDC-MOBILE : Check via RDC Mobile 
RDC-PC : Check via RDC PC 
RDC-TERMINAL : Check via RDC Terminal 
RDC-MERCHANT : Check via RDC Merchant Capture 
RDC-LOCK-BOX : Check via RDC Lock Box Image Cash Letter 
RDC-REDEPOSITS : Check via RDC Re-deposits 
RDC-KLIK : Check via RDC KLIK Lockbox 
RDC-CLIENT : Check via RDC Client Cash Letter 
RDC-VENDOR : Check via RDC Vendor Cash Letter 
RDC-OTHER : Check via RDC Other 
INTERNAL- SYSTEM : Conducted via a system of the firm.</t>
  </si>
  <si>
    <t>AML-08/09 nhận biết IB/MB.</t>
  </si>
  <si>
    <t>Nguồn/Kênh dữ liệu</t>
  </si>
  <si>
    <t>Hệ thống nguồn của GD</t>
  </si>
  <si>
    <t>Mã hệ thống nguồn (batch origin) – gán 'MSB'.</t>
  </si>
  <si>
    <t>F_CROSS_BORDER_TXN_FLAG</t>
  </si>
  <si>
    <t>Cờ giao dịch quốc tế</t>
  </si>
  <si>
    <t>GD quốc tế (Y/N)</t>
  </si>
  <si>
    <t>This column indicates if this transaction passed through multiple countries._x000D_</t>
  </si>
  <si>
    <t>FO_TRXN_STAGE</t>
  </si>
  <si>
    <t>Receiver_Bank&lt;&gt;VN -&gt; Y. AML-10/11/12/13.</t>
  </si>
  <si>
    <t>V_ORIGNTR_TO_BENFCRY_INSTRCTNS</t>
  </si>
  <si>
    <t>VARCHAR2(500)</t>
  </si>
  <si>
    <t>Nội dung/mục đích chuyển tiền</t>
  </si>
  <si>
    <t>Chỉ dẫn người gửi→người nhận</t>
  </si>
  <si>
    <t>The instructions that the transaction’s originator provides to be conveyed to the beneficiary upon receipt of this transaction.</t>
  </si>
  <si>
    <t>Hiển thị STR; phân tích AML-07/10/11.</t>
  </si>
  <si>
    <t>V_TXN_TELLER_ID</t>
  </si>
  <si>
    <t>Mã cán bộ giao dịch</t>
  </si>
  <si>
    <t>Teller/cán bộ thực hiện</t>
  </si>
  <si>
    <t>The identifier of the teller through which this transaction was initiated. A Teller Transaction in when one goes into the bank and speaks to a person behind there desk and proceed with a transaction. The person behind the desk is known as a Teller.</t>
  </si>
  <si>
    <t>GD tại quầy.</t>
  </si>
  <si>
    <t>Chi nhánh giao dịch</t>
  </si>
  <si>
    <t>Đơn vị phát sinh GD</t>
  </si>
  <si>
    <t>STR: 'Tại ngân hàng' phía chủ thể.</t>
  </si>
  <si>
    <t>D_TXN_POSTING_DATE</t>
  </si>
  <si>
    <t>Ngày hạch toán</t>
  </si>
  <si>
    <t>Posting date</t>
  </si>
  <si>
    <t>The date on which this transaction was posted against the associated account for monetary instruments and checks.</t>
  </si>
  <si>
    <t>V_ON_US_OFF_US_IND</t>
  </si>
  <si>
    <t>Cờ on-us/off-us</t>
  </si>
  <si>
    <t>Xác định giao dịch nội bộ hay giao dịch bên ngoài</t>
  </si>
  <si>
    <t>Indicates if the monetary instrument associated with this transaction is an on-us item (which the financial institution issued) or an off-us item (which another institution issued).</t>
  </si>
  <si>
    <t>On/Off</t>
  </si>
  <si>
    <t>CURRENCY_TRXN, FO_TRXN_STAGE</t>
  </si>
  <si>
    <t>Phan biet GD noi bo/lien NH.</t>
  </si>
  <si>
    <t>Hệ thống tất toán GD (SWIFT/CITAD/IBPS...)</t>
  </si>
  <si>
    <t>This column stores the Payment Settlement system Identifier. A payment and settlement system can be described as a system which consists of a particular group of institutions and a set of instruments and procedures, designed to ensure the circulation of money and speed up interbank and other settlements resulting from the various economic transactions either within a country or between countries._x000D_</t>
  </si>
  <si>
    <t>CodeSet hệ thống TT</t>
  </si>
  <si>
    <t>Nhận biết GD qua SWIFT (quốc tế) vs nội địa.  ⚠ Cột map nhưng OOB BDF CHƯA kéo lên FSDM (xác nhận: staging-only hay cần custom datamap).</t>
  </si>
  <si>
    <t>V_TXN_ORIGIN_COUNTRY_ID</t>
  </si>
  <si>
    <t>Quốc gia nguồn giao dịch</t>
  </si>
  <si>
    <t>Quốc gia phát sinh/nguồn GD</t>
  </si>
  <si>
    <t>This column identifies the country where the transaction originated</t>
  </si>
  <si>
    <t>BACK_OFFICE_TRXN</t>
  </si>
  <si>
    <t>AML-10/11 GD đến/đi nước ngoài.</t>
  </si>
  <si>
    <t>F_PASS_THROUGH_FLAG</t>
  </si>
  <si>
    <t>Cờ trung chuyển (pass-through)</t>
  </si>
  <si>
    <t>GD trung chuyển qua MSB</t>
  </si>
  <si>
    <t>This column indicates whether the originator or beneficiary on this transaction is not the ultimate originator or beneficiary of the funds (for example, a wire transfer with instructions for further credit to a third party).</t>
  </si>
  <si>
    <t>GD chuyển tiếp/đại lý.</t>
  </si>
  <si>
    <t>V_ORIGINAL_TXN_REF_NO</t>
  </si>
  <si>
    <t>Mã giao dịch gốc</t>
  </si>
  <si>
    <t>Ref GD gốc (đảo/điều chỉnh)</t>
  </si>
  <si>
    <t>The original transaction reference number which is being corrected or rebooked.</t>
  </si>
  <si>
    <t>Lần vết GD gốc.</t>
  </si>
  <si>
    <t>F_CANCELING_INDICATOR</t>
  </si>
  <si>
    <t>Trạng thái giao dịch</t>
  </si>
  <si>
    <t>GD hủy/đảo (loại khỏi giám sát)</t>
  </si>
  <si>
    <t>The flag to identify if the transaction cancels another transaction.</t>
  </si>
  <si>
    <t>F_CANCELING_INDICATOR='Y' → GD hủy/đảo; kèm V_CANCELED_PAIRING_TXN_ID/D_REVERSAL_DATE.</t>
  </si>
  <si>
    <t>(derived/custom)</t>
  </si>
  <si>
    <t>Cờ giao dịch ví điện tử</t>
  </si>
  <si>
    <t>GD nạp/rút ví điện tử</t>
  </si>
  <si>
    <t>Derive từ kênh/đối ứng ví, hoặc cột custom F_EWALLET + mã ví.</t>
  </si>
  <si>
    <t>STG_TXN_ALT_CCY_VALUES  ·  Khối nguồn: Txns-Casa  ·  Giá trị GD theo tiền tệ khác</t>
  </si>
  <si>
    <t>PK: FIC_MIS_DATE, V_TXN_REF_NO</t>
  </si>
  <si>
    <t>This column stores the unique transaction reference number._x000D_</t>
  </si>
  <si>
    <t>BACK_OFFICE_TRXN, BRANCH_CTR_TRXN, CURRENCY_TRXN, FO_TRXN_STAGE, INSURANCE_TRXN</t>
  </si>
  <si>
    <t>N_TXN_AMOUNT_RCY</t>
  </si>
  <si>
    <t>Số tiền quy đổi VND</t>
  </si>
  <si>
    <t>Giá trị quy đổi nội tệ</t>
  </si>
  <si>
    <t>This column stores the transaction amount in base currency._x000D__x000D_</t>
  </si>
  <si>
    <t>OOB kéo lên → FO_TRXN.STD_TRXN_AM (số tiền theo tiền báo cáo = VND). Map: Stg_Txn_Alt_Ccy_Values.n_txn_amount_lcy → STG_TXN_ALT_CCY_VALUES.N_TXN_AMOUNT_RCY. Ngưỡng theo VND quy đổi (cần tỷ giá).</t>
  </si>
  <si>
    <t>N_TXN_AMOUNT_FCY</t>
  </si>
  <si>
    <t>NUMBER(30,11)</t>
  </si>
  <si>
    <t>Số tiền (ngoại tệ FCY)</t>
  </si>
  <si>
    <t>Giá trị theo ngoại tệ</t>
  </si>
  <si>
    <t>This column stores the transaction amount in functional currency._x000D__x000D_</t>
  </si>
  <si>
    <t>OOB kéo lên → FO_TRXN.TRXN_FUNC_AM (số tiền theo tiền chức năng/ngoại tệ).</t>
  </si>
  <si>
    <t>STG_FRONT_OFFICE_TXN_PARTY  ·  Khối nguồn: Txns-Casa  ·  Bên đối ứng của giao dịch</t>
  </si>
  <si>
    <t>PK: V_PARTY_ROLE, V_TXN_REF_NO, FIC_MIS_DATE  |   Cấu trúc: mỗi giao dịch (V_TXN_REF_NO) tại 1 ngày dữ liệu (FIC_MIS_DATE) có thể có NHIỀU đối tượng tham gia – mỗi đối tượng = 1 dòng, định danh bởi V_PARTY_ID + V_PARTY_NAME + V_PARTY_ROLE + V_PARTY_ID_TYPE + thông tin chi tiết. ⚠ Với V_PARTY_ROLE = ORG (tài khoản trích nợ) hoặc BENE (tài khoản ghi có) thì V_PARTY_ID PHẢI là một số tài khoản.</t>
  </si>
  <si>
    <t>Identifier of the transaction for which this is one of the involved parties.</t>
  </si>
  <si>
    <t>CURRENCY_TRXN, FO_TRXN_PARTY_STAGE</t>
  </si>
  <si>
    <t>Vai trò bên tham gia</t>
  </si>
  <si>
    <t>Originator/Beneficiary/Sender/Receiver/Intermediary/Correspondent</t>
  </si>
  <si>
    <t>The role that the party plays with respect to the account. The various party roles are Guarantor, Nominee, Customer, Beneficiary, Contact, Customer"s Legal Advisor, Power of attorney or in case of documentary credits the counterparty can play the following roles, as advising bank, confirming bank, issuing bank.</t>
  </si>
  <si>
    <t>Codeset (giá trị dùng): ORG=tài khoản trừ tiền · SEND=ngân hàng chuyển tiền · RCV=ngân hàng nhận tiền · BENE=tài khoản nhận tiền · LOC=địa điểm thực hiện GD tiền mặt · CND=người thực hiện GD tiền mặt.</t>
  </si>
  <si>
    <t>Khóa cùng v_txn_ref_no; định nghĩa bên gửi/nhận.</t>
  </si>
  <si>
    <t>Tên bên đối ứng; Tên ngân hàng đối ứng</t>
  </si>
  <si>
    <t>Tên cá nhân/tổ chức đối ứng</t>
  </si>
  <si>
    <t>The name of this party exactly as it appears on this transaction.</t>
  </si>
  <si>
    <t>STR F246/F260. AML-07/09/10 đếm đối tác.</t>
  </si>
  <si>
    <t>Định danh/Số TK đối ứng; SWIFT BIC ngân hàng đối ứng</t>
  </si>
  <si>
    <t>Số TK (chuyển khoản) hoặc mã định danh</t>
  </si>
  <si>
    <t>FO_TRXN_PARTY_STAGE</t>
  </si>
  <si>
    <t>STR F248/F262 (số TK) &amp; F247/F261 (CMND/CCCD khi nộp/rút TM).</t>
  </si>
  <si>
    <t>V_PARTY_ID_TYPE</t>
  </si>
  <si>
    <t>Loại định danh đối ứng</t>
  </si>
  <si>
    <t>Loại mã định danh (TK/CMND/BIC)</t>
  </si>
  <si>
    <t>Identifier of the type of Party Identifier provided for this party.</t>
  </si>
  <si>
    <t>CodeSet
IA- Tài khoản nội bộ
XA- Tài khoản vãng lai
BIC- Mã Swift của TCTC</t>
  </si>
  <si>
    <t>Phân biệt số TK / giấy tờ / SWIFT BIC.</t>
  </si>
  <si>
    <t>V_PARTY_ID_ISSUER</t>
  </si>
  <si>
    <t>Tổ chức cấp định danh đối ứng</t>
  </si>
  <si>
    <t>Issuer của mã định danh</t>
  </si>
  <si>
    <t>The organization or jurisdiction that issued the Party Identifier.</t>
  </si>
  <si>
    <t>Quốc gia đối ứng; Quốc gia ngân hàng đối ứng</t>
  </si>
  <si>
    <t>Quốc gia của bên đối ứng</t>
  </si>
  <si>
    <t>The Country component of the address associated with the location.</t>
  </si>
  <si>
    <t>AML-10/11 tổ chức/cá nhân nước ngoài.</t>
  </si>
  <si>
    <t>V_ADDRESS_LINE_1</t>
  </si>
  <si>
    <t>Địa chỉ đối ứng</t>
  </si>
  <si>
    <t>Địa chỉ bên đối ứng</t>
  </si>
  <si>
    <t>The address line 1 for the Location.</t>
  </si>
  <si>
    <t>F_INTERNAL_ACCOUNT_FLAG</t>
  </si>
  <si>
    <t>Cờ tài khoản nội bộ</t>
  </si>
  <si>
    <t>Đối ứng là TK nội bộ MSB</t>
  </si>
  <si>
    <t>This column indicates if the account involved in this transaction is an internal account of the financial institution.</t>
  </si>
  <si>
    <t>AML-09.</t>
  </si>
  <si>
    <t>STG_PARTY_MSB_DETAILS  ·  ★ BẢNG CUSTOM MSB (TẠO MỚI)  ·  Khối: Customer  ·  Bảng chi tiết KH bổ sung (MSB) – các cờ/quốc tịch OFSAA không có cột · datatype tham chiếu DL_SPEC (citizenship VARCHAR2(20), country VARCHAR2(3), flag CHAR(1))</t>
  </si>
  <si>
    <t>PK đề xuất: V_PARTY_ID, FIC_MIS_DATE   |   DDL đề xuất – cần FIS tạo bảng + custom datamap load lên FSDM</t>
  </si>
  <si>
    <t>Khóa – link STG_PARTY_MASTER.V_PARTY_ID</t>
  </si>
  <si>
    <t>Custom datamap (mới)</t>
  </si>
  <si>
    <t>(tùy thiết kế BD)</t>
  </si>
  <si>
    <t>PK. = CIF.</t>
  </si>
  <si>
    <t>(kỹ thuật)</t>
  </si>
  <si>
    <t>Ngày MIS kỳ load</t>
  </si>
  <si>
    <t>PK. = batch date.</t>
  </si>
  <si>
    <t>V_CITIZENSHIP_3</t>
  </si>
  <si>
    <t>Quốc tịch 3</t>
  </si>
  <si>
    <t>Quốc tịch thứ 3 KHCN (ISO2)</t>
  </si>
  <si>
    <t>V_CITIZENSHIP_4</t>
  </si>
  <si>
    <t>Quốc tịch 4</t>
  </si>
  <si>
    <t>Quốc tịch thứ 4 KHCN (ISO2)</t>
  </si>
  <si>
    <t>V_CITIZENSHIP_5</t>
  </si>
  <si>
    <t>Quốc tịch 5</t>
  </si>
  <si>
    <t>Quốc tịch thứ 5 KHCN (ISO2)</t>
  </si>
  <si>
    <t>F_FDI_FLAG</t>
  </si>
  <si>
    <t>Cờ tổ chức FDI</t>
  </si>
  <si>
    <t>TC có vốn đầu tư nước ngoài</t>
  </si>
  <si>
    <t>MSB cấp dấu hiệu. AML-11.</t>
  </si>
  <si>
    <t>F_INTL_REMIT_THRESHOLD_FLAG</t>
  </si>
  <si>
    <t>Cờ vượt ngưỡng CTQT</t>
  </si>
  <si>
    <t>Doanh số GD chuyển tiền quốc tế 3 tháng vượt ngưỡng</t>
  </si>
  <si>
    <t>MSB cung cấp nguồn/logic. Ngưỡng theo quy định MSB.</t>
  </si>
  <si>
    <t>F_TRADE_FIN_THRESHOLD_FLAG</t>
  </si>
  <si>
    <t>Cờ vượt ngưỡng TM</t>
  </si>
  <si>
    <t>Doanh số GD tài trợ thương mại 3 tháng vượt ngưỡng</t>
  </si>
  <si>
    <t>MSB cấp/tính.</t>
  </si>
  <si>
    <t>F_DOM_PAYMENT_THRESHOLD_FLAG</t>
  </si>
  <si>
    <t>Cờ vượt ngưỡng TTTN</t>
  </si>
  <si>
    <t>Doanh số GD thanh toán trong nước 3 tháng vượt ngưỡng</t>
  </si>
  <si>
    <t>MSB cấp/tính. (xác nhận nghĩa TTTN).</t>
  </si>
  <si>
    <t>F_HAS_DEPOSIT_PROD_FLAG</t>
  </si>
  <si>
    <t>Cờ KH có SP TK/TP/CCTG</t>
  </si>
  <si>
    <t>KH có tiết kiệm/trái phiếu/CCTG</t>
  </si>
  <si>
    <t>Có thể derive từ STG_TD_CONTRACTS; MSB xác nhận.</t>
  </si>
  <si>
    <t>Nguồn dữ liệu</t>
  </si>
  <si>
    <t>Gán mặc định 'MSB'</t>
  </si>
  <si>
    <t>Gán mặc định 'MSB'.</t>
  </si>
  <si>
    <t>Ghi chú: bảng cần tạo mới theo yêu cầu nghiệp vụ của MSB (OFSAA không có cột tương ứng). FIS: tạo DDL + viết custom datamap STG→FSDM. MSB: cung cấp nguồn &amp; logic.</t>
  </si>
  <si>
    <t>STG_PARTY_MSB_LOGIN  ·  ★ BẢNG CUSTOM MSB (TẠO MỚI)  ·  Khối: Txns-Casa  ·  Bảng phiên đăng nhập IB/MB (MSB) – phục vụ AML-08/09 · DDL chuẩn hoá theo DL_SPEC STG_SRC_NET_TXNS</t>
  </si>
  <si>
    <t>PK đề xuất: V_SESSION_ID, FIC_MIS_DATE   |   DDL đề xuất – cần FIS tạo bảng + custom datamap load lên FSDM</t>
  </si>
  <si>
    <t>V_SESSION_ID</t>
  </si>
  <si>
    <t>Mã phiên đăng nhập</t>
  </si>
  <si>
    <t>Định danh phiên/lần đăng nhập IB/MB</t>
  </si>
  <si>
    <t>PK. Chuẩn OFSAA: V_SESSION_ID / V_INTERNET_SESSION_ID (DL_SPEC STG_SRC_NET_TXNS).</t>
  </si>
  <si>
    <t>Mã KH của phiên</t>
  </si>
  <si>
    <t>CIF thực hiện đăng nhập</t>
  </si>
  <si>
    <t>Link STG_PARTY_MASTER. AML-09.</t>
  </si>
  <si>
    <t>D_SESSION_START_TIME</t>
  </si>
  <si>
    <t>Thời điểm đăng nhập</t>
  </si>
  <si>
    <t>Ngày giờ bắt đầu phiên</t>
  </si>
  <si>
    <t>Chuẩn DL_SPEC STG_SRC_NET_TXNS.D_SESSION_START_TIME. AML-08 đếm số lần đăng nhập.</t>
  </si>
  <si>
    <t>D_SESSION_END_TIME</t>
  </si>
  <si>
    <t>Thời điểm kết thúc phiên</t>
  </si>
  <si>
    <t>Ngày giờ kết thúc phiên</t>
  </si>
  <si>
    <t>Chuẩn DL_SPEC STG_SRC_NET_TXNS.D_SESSION_END_TIME (optional).</t>
  </si>
  <si>
    <t>N_SESSION_DURATION</t>
  </si>
  <si>
    <t>NUMBER(3)</t>
  </si>
  <si>
    <t>Thời lượng phiên</t>
  </si>
  <si>
    <t>Số phút/giây phiên</t>
  </si>
  <si>
    <t>Chuẩn DL_SPEC STG_SRC_NET_TXNS.N_SESSION_DURATION (optional).</t>
  </si>
  <si>
    <t>V_LOGIN_CHANNEL_CD</t>
  </si>
  <si>
    <t>Kênh đăng nhập</t>
  </si>
  <si>
    <t>IB hoặc MB</t>
  </si>
  <si>
    <t>CodeSet Kênh</t>
  </si>
  <si>
    <t>Chỉ lấy phiên IB/MB.</t>
  </si>
  <si>
    <t>V_IP_ADDRESS</t>
  </si>
  <si>
    <t>Địa chỉ IP đăng nhập</t>
  </si>
  <si>
    <t>IP của phiên đăng nhập IB/MB</t>
  </si>
  <si>
    <t>Chuẩn DL_SPEC STG_SRC_NET_TXNS.V_IP_ADDRESS VARCHAR2(40). AML-08.</t>
  </si>
  <si>
    <t>V_IP_COUNTRY_CD</t>
  </si>
  <si>
    <t>Quốc gia của IP đăng nhập</t>
  </si>
  <si>
    <t>Quốc gia tương ứng IP (GeoIP)</t>
  </si>
  <si>
    <t>IP nước ngoài (AML-08).</t>
  </si>
  <si>
    <t>V_LOGIN_STATUS</t>
  </si>
  <si>
    <t>Trạng thái đăng nhập</t>
  </si>
  <si>
    <t>Thành công/thất bại</t>
  </si>
  <si>
    <t>SUCCESS/FAIL</t>
  </si>
  <si>
    <t>(OFSAA không có cột status – trường custom MSB).</t>
  </si>
  <si>
    <t>STG_PARTY_TYPE_MASTER  ·  BẢNG DANH MỤC OFSAA (bổ sung nạp)  ·  Khối: Customer  ·  Bảng danh mục loại KH (IND/ORG) – FIS init insert; OOB INNER JOIN với PARTY_MASTER để suy CustomerType (thiếu/không khớp → KH bị rớt)</t>
  </si>
  <si>
    <t>PK: V_PARTY_TYPE_CODE, FIC_MIS_DATE   |   Bảng danh mục OFSAA sẵn có (không phải tạo mới) – Bảng danh mục loại KH (IND/ORG) – FIS init insert; OOB INNER JOIN với PARTY_MASTER để suy CustomerType (thiếu/không khớp → KH bị rớt)</t>
  </si>
  <si>
    <t>V_PARTY_TYPE_CODE</t>
  </si>
  <si>
    <t>Mã loại KH</t>
  </si>
  <si>
    <t>Khóa danh mục – khớp STG_PARTY_MASTER.V_PARTY_TYPE</t>
  </si>
  <si>
    <t>This attribute stores the unique code for the party Type</t>
  </si>
  <si>
    <t>IND | ORG</t>
  </si>
  <si>
    <t>(danh mục)</t>
  </si>
  <si>
    <t>PK. Init insert 2 bản ghi: IND, ORG.</t>
  </si>
  <si>
    <t>Ngày MIS</t>
  </si>
  <si>
    <t>PK.</t>
  </si>
  <si>
    <t>V_PARTY_TYPE_DESC</t>
  </si>
  <si>
    <t>Diễn giải loại KH</t>
  </si>
  <si>
    <t>IND=Cá nhân · ORG=Tổ chức</t>
  </si>
  <si>
    <t>Party type classifies the party as individual, corporate, sovereign, multi-lateral bank.</t>
  </si>
  <si>
    <t>V_PARTY_CATEGORY</t>
  </si>
  <si>
    <t>Nhóm loại KH</t>
  </si>
  <si>
    <t>OOB derive CUST_TYPE_CD: 'I'→IND, 'C'→ORG</t>
  </si>
  <si>
    <t>This column indicates the party category. Party category identifies if the party is a natural person or a corporate entity. List of Values P = Natural Person, C = Corporate.</t>
  </si>
  <si>
    <t>I | C</t>
  </si>
  <si>
    <t>STG_COUNTRY_MASTER  ·  BẢNG DANH MỤC OFSAA (bổ sung nạp)  ·  Khối: Txns-Casa  ·  Bảng danh mục quốc gia OFSAA – bổ sung nạp điểm rủi ro quốc gia (từ KYC)</t>
  </si>
  <si>
    <t>PK: V_COUNTRY_ID, FIC_MIS_DATE   |   Bảng danh mục OFSAA sẵn có (không phải tạo mới) – Bảng danh mục quốc gia OFSAA – bổ sung nạp điểm rủi ro quốc gia (từ KYC)</t>
  </si>
  <si>
    <t>V_COUNTRY_ID</t>
  </si>
  <si>
    <t>Mã quốc gia</t>
  </si>
  <si>
    <t>Khóa danh mục quốc gia</t>
  </si>
  <si>
    <t>V_ISO_COUNTRY_CD</t>
  </si>
  <si>
    <t>Mã ISO quốc gia</t>
  </si>
  <si>
    <t>ISO2/ISO3</t>
  </si>
  <si>
    <t>This Column stores the ISO country code. _x000D_</t>
  </si>
  <si>
    <t>Liên kết quốc gia GD/địa chỉ.</t>
  </si>
  <si>
    <t>V_COUNTRY_NAME</t>
  </si>
  <si>
    <t>Tên quốc gia</t>
  </si>
  <si>
    <t>Name of the country_x000D_</t>
  </si>
  <si>
    <t>N_COUNTRY_RISK_FACTOR</t>
  </si>
  <si>
    <t>NUMBER(11,6)</t>
  </si>
  <si>
    <t>Điểm rủi ro quốc gia</t>
  </si>
  <si>
    <t>Điểm RR quốc gia chuyển từ KYC</t>
  </si>
  <si>
    <t>This column stores  the risk factor of the country.</t>
  </si>
  <si>
    <t>Scenario tra theo quốc gia GD/đối ứng.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</si>
</sst>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3"/>
      <color rgb="FF1F3864"/>
      <name val="Arial"/>
    </font>
    <font>
      <sz val="10"/>
      <name val="Arial"/>
    </font>
    <font>
      <b/>
      <sz val="10"/>
      <name val="Arial"/>
    </font>
    <font>
      <b/>
      <sz val="10"/>
      <color rgb="FFFFFFFF"/>
      <name val="Arial"/>
    </font>
    <font>
      <u/>
      <sz val="10"/>
      <color rgb="FF0563C1"/>
      <name val="Arial"/>
    </font>
    <font>
      <b/>
      <u/>
      <sz val="10"/>
      <color rgb="FF7030A0"/>
      <name val="Arial"/>
    </font>
    <font>
      <b/>
      <u/>
      <sz val="10"/>
      <color rgb="FF1F4E79"/>
      <name val="Arial"/>
    </font>
    <font>
      <b/>
      <sz val="10"/>
      <color rgb="FFC00000"/>
      <name val="Arial"/>
    </font>
    <font>
      <i/>
      <sz val="9"/>
      <name val="Arial"/>
    </font>
    <font>
      <i/>
      <sz val="9"/>
      <color rgb="FFC00000"/>
      <name val="Arial"/>
    </font>
    <font>
      <b/>
      <sz val="13"/>
      <color rgb="FF7030A0"/>
      <name val="Arial"/>
    </font>
    <font>
      <i/>
      <sz val="9"/>
      <color rgb="FF7030A0"/>
      <name val="Arial"/>
    </font>
    <font>
      <b/>
      <sz val="13"/>
      <color rgb="FF1F4E79"/>
      <name val="Arial"/>
    </font>
    <font>
      <i/>
      <sz val="9"/>
      <color rgb="FF1F4E79"/>
      <name val="Arial"/>
    </font>
  </fonts>
  <fills count="11">
    <fill>
      <patternFill patternType="none"/>
    </fill>
    <fill>
      <patternFill patternType="gray125"/>
    </fill>
    <fill>
      <patternFill patternType="solid">
        <fgColor rgb="FF1F4E79"/>
      </patternFill>
    </fill>
    <fill>
      <patternFill patternType="solid">
        <fgColor rgb="FFFADBD8"/>
      </patternFill>
    </fill>
    <fill>
      <patternFill patternType="solid">
        <fgColor rgb="FFFFF2CC"/>
      </patternFill>
    </fill>
    <fill>
      <patternFill patternType="solid">
        <fgColor rgb="FFE2EFDA"/>
      </patternFill>
    </fill>
    <fill>
      <patternFill patternType="solid">
        <fgColor rgb="FFC55A11"/>
      </patternFill>
    </fill>
    <fill>
      <patternFill patternType="solid">
        <fgColor rgb="FFFCE4D6"/>
      </patternFill>
    </fill>
    <fill>
      <patternFill patternType="solid">
        <fgColor rgb="FFD5F5E3"/>
      </patternFill>
    </fill>
    <fill>
      <patternFill patternType="solid">
        <fgColor rgb="FFE4D7F0"/>
      </patternFill>
    </fill>
    <fill>
      <patternFill patternType="solid">
        <fgColor rgb="FFDDEBF7"/>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medium">
        <color rgb="FF843C0C"/>
      </left>
      <right style="thin">
        <color rgb="FFBFBFBF"/>
      </right>
      <top style="medium">
        <color rgb="FF843C0C"/>
      </top>
      <bottom style="medium">
        <color rgb="FF843C0C"/>
      </bottom>
      <diagonal/>
    </border>
    <border>
      <left style="thin">
        <color rgb="FFBFBFBF"/>
      </left>
      <right style="thin">
        <color rgb="FFBFBFBF"/>
      </right>
      <top style="medium">
        <color rgb="FF843C0C"/>
      </top>
      <bottom style="medium">
        <color rgb="FF843C0C"/>
      </bottom>
      <diagonal/>
    </border>
    <border>
      <left style="thin">
        <color rgb="FFBFBFBF"/>
      </left>
      <right style="medium">
        <color rgb="FF843C0C"/>
      </right>
      <top style="medium">
        <color rgb="FF843C0C"/>
      </top>
      <bottom style="medium">
        <color rgb="FF843C0C"/>
      </bottom>
      <diagonal/>
    </border>
  </borders>
  <cellStyleXfs count="1">
    <xf numFmtId="0" fontId="0" fillId="0" borderId="0"/>
  </cellStyleXfs>
  <cellXfs count="37">
    <xf numFmtId="0" fontId="0" fillId="0" borderId="0" xfId="0"/>
    <xf numFmtId="0" fontId="1" fillId="0" borderId="0" xfId="0" applyFont="1"/>
    <xf numFmtId="0" fontId="2" fillId="0" borderId="0" xfId="0" applyFont="1"/>
    <xf numFmtId="0" fontId="4" fillId="2" borderId="1" xfId="0" applyFont="1" applyFill="1" applyBorder="1"/>
    <xf numFmtId="0" fontId="2" fillId="0" borderId="1" xfId="0" applyFont="1" applyBorder="1" applyAlignment="1">
      <alignment vertical="top" wrapText="1"/>
    </xf>
    <xf numFmtId="0" fontId="5" fillId="0" borderId="1" xfId="0" applyFont="1" applyBorder="1" applyAlignment="1">
      <alignment vertical="top" wrapText="1"/>
    </xf>
    <xf numFmtId="0" fontId="0" fillId="0" borderId="1" xfId="0"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4" fillId="2" borderId="1" xfId="0" applyFont="1" applyFill="1" applyBorder="1" applyAlignment="1">
      <alignment horizontal="center" vertical="center"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2" fillId="3" borderId="1" xfId="0" applyFont="1" applyFill="1" applyBorder="1" applyAlignment="1">
      <alignment vertical="top" wrapText="1"/>
    </xf>
    <xf numFmtId="0" fontId="8" fillId="0" borderId="1" xfId="0" applyFont="1" applyBorder="1" applyAlignment="1">
      <alignment vertical="top" wrapText="1"/>
    </xf>
    <xf numFmtId="0" fontId="9" fillId="0" borderId="0" xfId="0" applyFont="1"/>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8" fillId="0" borderId="0" xfId="0" applyFont="1"/>
    <xf numFmtId="0" fontId="10" fillId="0" borderId="0" xfId="0" applyFont="1"/>
    <xf numFmtId="0" fontId="4" fillId="6" borderId="2"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2" fillId="7" borderId="1" xfId="0" applyFont="1" applyFill="1" applyBorder="1" applyAlignment="1">
      <alignment vertical="top" wrapText="1"/>
    </xf>
    <xf numFmtId="0" fontId="2" fillId="8" borderId="1" xfId="0" applyFont="1" applyFill="1" applyBorder="1" applyAlignment="1">
      <alignment vertical="top" wrapText="1"/>
    </xf>
    <xf numFmtId="0" fontId="11" fillId="0" borderId="0" xfId="0" applyFont="1"/>
    <xf numFmtId="0" fontId="12" fillId="0" borderId="0" xfId="0" applyFont="1"/>
    <xf numFmtId="0" fontId="2" fillId="9" borderId="1" xfId="0" applyFont="1" applyFill="1" applyBorder="1" applyAlignment="1">
      <alignment vertical="top" wrapText="1"/>
    </xf>
    <xf numFmtId="0" fontId="13" fillId="0" borderId="0" xfId="0" applyFont="1"/>
    <xf numFmtId="0" fontId="14" fillId="0" borderId="0" xfId="0" applyFont="1"/>
    <xf numFmtId="0" fontId="2" fillId="10" borderId="1" xfId="0" applyFont="1" applyFill="1" applyBorder="1" applyAlignment="1">
      <alignment vertical="top" wrapText="1"/>
    </xf>
    <xf numFmtId="0" fontId="2" fillId="0" borderId="1" xfId="0" applyFont="1" applyBorder="1" applyAlignment="1">
      <alignment vertical="center" wrapText="1"/>
    </xf>
    <xf numFmtId="0" fontId="5" fillId="0" borderId="1" xfId="0" applyFont="1" applyBorder="1" applyAlignment="1">
      <alignment vertical="center" wrapText="1"/>
    </xf>
    <xf numFmtId="0" fontId="0" fillId="0" borderId="0" xfId="0" applyAlignment="1">
      <alignment vertical="center"/>
    </xf>
    <xf numFmtId="0" fontId="2" fillId="0" borderId="0" xfId="0" applyFont="1" applyAlignment="1">
      <alignment vertical="top" wrapText="1"/>
    </xf>
    <xf numFmtId="0" fontId="2" fillId="0" borderId="0" xfId="0" quotePrefix="1" applyFont="1" applyAlignment="1">
      <alignment vertical="top" wrapText="1"/>
    </xf>
    <xf numFmtId="0" fontId="0" fillId="0" borderId="0" xfId="0" applyAlignment="1"/>
    <xf numFmtId="0" fontId="12" fillId="0" borderId="0" xfId="0" applyFont="1" applyAlignment="1"/>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
  <sheetViews>
    <sheetView showGridLines="0" workbookViewId="0">
      <selection activeCell="A11" sqref="A11"/>
    </sheetView>
  </sheetViews>
  <sheetFormatPr defaultRowHeight="14.25"/>
  <cols>
    <col min="1" max="1" width="5" customWidth="1"/>
    <col min="2" max="2" width="39.5703125" customWidth="1"/>
    <col min="3" max="3" width="24" customWidth="1"/>
    <col min="4" max="4" width="74" customWidth="1"/>
  </cols>
  <sheetData>
    <row r="1" spans="1:4" ht="16.899999999999999">
      <c r="A1" s="1" t="s">
        <v>0</v>
      </c>
    </row>
    <row r="2" spans="1:4">
      <c r="A2" s="2"/>
    </row>
    <row r="3" spans="1:4">
      <c r="A3" s="2" t="s">
        <v>1</v>
      </c>
    </row>
    <row r="4" spans="1:4">
      <c r="A4" s="2"/>
    </row>
    <row r="5" spans="1:4">
      <c r="A5" s="2" t="s">
        <v>2</v>
      </c>
    </row>
    <row r="6" spans="1:4">
      <c r="A6" s="2" t="s">
        <v>3</v>
      </c>
    </row>
    <row r="7" spans="1:4">
      <c r="A7" s="2" t="s">
        <v>4</v>
      </c>
    </row>
    <row r="8" spans="1:4">
      <c r="A8" s="2"/>
    </row>
    <row r="9" spans="1:4">
      <c r="A9" s="2" t="s">
        <v>5</v>
      </c>
    </row>
    <row r="10" spans="1:4">
      <c r="A10" s="2" t="s">
        <v>6</v>
      </c>
    </row>
    <row r="11" spans="1:4">
      <c r="A11" s="2"/>
    </row>
    <row r="12" spans="1:4">
      <c r="A12" s="2" t="s">
        <v>7</v>
      </c>
    </row>
    <row r="13" spans="1:4">
      <c r="A13" s="3" t="s">
        <v>8</v>
      </c>
      <c r="B13" s="3" t="s">
        <v>9</v>
      </c>
      <c r="C13" s="3" t="s">
        <v>10</v>
      </c>
      <c r="D13" s="3" t="s">
        <v>11</v>
      </c>
    </row>
    <row r="14" spans="1:4" ht="25.5">
      <c r="A14" s="30">
        <v>1</v>
      </c>
      <c r="B14" s="31" t="s">
        <v>12</v>
      </c>
      <c r="C14" s="6"/>
      <c r="D14" s="4" t="s">
        <v>13</v>
      </c>
    </row>
    <row r="15" spans="1:4">
      <c r="A15" s="4">
        <v>2</v>
      </c>
      <c r="B15" s="5" t="s">
        <v>14</v>
      </c>
      <c r="C15" s="6"/>
      <c r="D15" s="4" t="s">
        <v>15</v>
      </c>
    </row>
    <row r="16" spans="1:4">
      <c r="A16" s="4">
        <v>3</v>
      </c>
      <c r="B16" s="5" t="s">
        <v>16</v>
      </c>
      <c r="C16" s="6"/>
      <c r="D16" s="4" t="s">
        <v>17</v>
      </c>
    </row>
    <row r="17" spans="1:4">
      <c r="A17" s="4">
        <v>4</v>
      </c>
      <c r="B17" s="5" t="s">
        <v>18</v>
      </c>
      <c r="C17" s="4" t="s">
        <v>19</v>
      </c>
      <c r="D17" s="4" t="s">
        <v>20</v>
      </c>
    </row>
    <row r="18" spans="1:4">
      <c r="A18" s="4">
        <v>5</v>
      </c>
      <c r="B18" s="5" t="s">
        <v>21</v>
      </c>
      <c r="C18" s="4" t="s">
        <v>19</v>
      </c>
      <c r="D18" s="4" t="s">
        <v>22</v>
      </c>
    </row>
    <row r="19" spans="1:4">
      <c r="A19" s="4">
        <v>6</v>
      </c>
      <c r="B19" s="5" t="s">
        <v>23</v>
      </c>
      <c r="C19" s="4" t="s">
        <v>19</v>
      </c>
      <c r="D19" s="4" t="s">
        <v>24</v>
      </c>
    </row>
    <row r="20" spans="1:4">
      <c r="A20" s="4">
        <v>7</v>
      </c>
      <c r="B20" s="5" t="s">
        <v>25</v>
      </c>
      <c r="C20" s="4" t="s">
        <v>19</v>
      </c>
      <c r="D20" s="4" t="s">
        <v>26</v>
      </c>
    </row>
    <row r="21" spans="1:4">
      <c r="A21" s="4">
        <v>8</v>
      </c>
      <c r="B21" s="5" t="s">
        <v>27</v>
      </c>
      <c r="C21" s="4" t="s">
        <v>19</v>
      </c>
      <c r="D21" s="4" t="s">
        <v>28</v>
      </c>
    </row>
    <row r="22" spans="1:4" s="32" customFormat="1">
      <c r="A22" s="4">
        <v>9</v>
      </c>
      <c r="B22" s="31" t="s">
        <v>29</v>
      </c>
      <c r="C22" s="30" t="s">
        <v>19</v>
      </c>
      <c r="D22" s="30" t="s">
        <v>30</v>
      </c>
    </row>
    <row r="23" spans="1:4" s="32" customFormat="1">
      <c r="A23" s="30">
        <v>10</v>
      </c>
      <c r="B23" s="31" t="s">
        <v>31</v>
      </c>
      <c r="C23" s="30" t="s">
        <v>19</v>
      </c>
      <c r="D23" s="30" t="s">
        <v>32</v>
      </c>
    </row>
    <row r="24" spans="1:4">
      <c r="A24" s="30">
        <v>11</v>
      </c>
      <c r="B24" s="5" t="s">
        <v>33</v>
      </c>
      <c r="C24" s="4" t="s">
        <v>19</v>
      </c>
      <c r="D24" s="4" t="s">
        <v>34</v>
      </c>
    </row>
    <row r="25" spans="1:4">
      <c r="A25" s="4">
        <v>12</v>
      </c>
      <c r="B25" s="5" t="s">
        <v>35</v>
      </c>
      <c r="C25" s="4" t="s">
        <v>19</v>
      </c>
      <c r="D25" s="4" t="s">
        <v>36</v>
      </c>
    </row>
    <row r="26" spans="1:4">
      <c r="A26" s="4">
        <v>13</v>
      </c>
      <c r="B26" s="5" t="s">
        <v>37</v>
      </c>
      <c r="C26" s="4" t="s">
        <v>38</v>
      </c>
      <c r="D26" s="4" t="s">
        <v>39</v>
      </c>
    </row>
    <row r="27" spans="1:4">
      <c r="A27" s="4">
        <v>14</v>
      </c>
      <c r="B27" s="5" t="s">
        <v>40</v>
      </c>
      <c r="C27" s="4" t="s">
        <v>38</v>
      </c>
      <c r="D27" s="4" t="s">
        <v>41</v>
      </c>
    </row>
    <row r="28" spans="1:4">
      <c r="A28" s="4">
        <v>15</v>
      </c>
      <c r="B28" s="5" t="s">
        <v>42</v>
      </c>
      <c r="C28" s="4" t="s">
        <v>43</v>
      </c>
      <c r="D28" s="4" t="s">
        <v>44</v>
      </c>
    </row>
    <row r="29" spans="1:4">
      <c r="A29" s="4">
        <v>16</v>
      </c>
      <c r="B29" s="5" t="s">
        <v>45</v>
      </c>
      <c r="C29" s="4" t="s">
        <v>43</v>
      </c>
      <c r="D29" s="4" t="s">
        <v>46</v>
      </c>
    </row>
    <row r="30" spans="1:4">
      <c r="A30" s="4">
        <v>17</v>
      </c>
      <c r="B30" s="5" t="s">
        <v>47</v>
      </c>
      <c r="C30" s="4" t="s">
        <v>43</v>
      </c>
      <c r="D30" s="4" t="s">
        <v>48</v>
      </c>
    </row>
    <row r="31" spans="1:4" ht="38.25">
      <c r="A31" s="4">
        <v>18</v>
      </c>
      <c r="B31" s="7" t="s">
        <v>49</v>
      </c>
      <c r="C31" s="4" t="s">
        <v>19</v>
      </c>
      <c r="D31" s="4" t="s">
        <v>50</v>
      </c>
    </row>
    <row r="32" spans="1:4" ht="25.5">
      <c r="A32" s="4">
        <v>19</v>
      </c>
      <c r="B32" s="7" t="s">
        <v>51</v>
      </c>
      <c r="C32" s="4" t="s">
        <v>43</v>
      </c>
      <c r="D32" s="4" t="s">
        <v>52</v>
      </c>
    </row>
    <row r="33" spans="1:4" ht="38.25">
      <c r="A33" s="4">
        <v>20</v>
      </c>
      <c r="B33" s="8" t="s">
        <v>53</v>
      </c>
      <c r="C33" s="4" t="s">
        <v>19</v>
      </c>
      <c r="D33" s="4" t="s">
        <v>54</v>
      </c>
    </row>
    <row r="34" spans="1:4" ht="25.5">
      <c r="A34" s="4">
        <v>21</v>
      </c>
      <c r="B34" s="8" t="s">
        <v>55</v>
      </c>
      <c r="C34" s="4" t="s">
        <v>43</v>
      </c>
      <c r="D34" s="4" t="s">
        <v>56</v>
      </c>
    </row>
  </sheetData>
  <hyperlinks>
    <hyperlink ref="B14" location="'0. Huong dan'!A1" display="1. Cơ chế Load" xr:uid="{00000000-0004-0000-0000-000000000000}"/>
    <hyperlink ref="B15" location="'★ Action Tracker (MSB)'!A1" display="★ Action Tracker (MSB)" xr:uid="{00000000-0004-0000-0000-000001000000}"/>
    <hyperlink ref="B16" location="'★ BDF STG-FSDM'!A1" display="★ BDF STG-FSDM" xr:uid="{00000000-0004-0000-0000-000003000000}"/>
    <hyperlink ref="B17" location="'STG_PARTY_MASTER'!A1" display="STG_PARTY_MASTER" xr:uid="{00000000-0004-0000-0000-000004000000}"/>
    <hyperlink ref="B18" location="'STG_ADDRESS_MASTER'!A1" display="STG_ADDRESS_MASTER" xr:uid="{00000000-0004-0000-0000-000005000000}"/>
    <hyperlink ref="B19" location="'STG_PARTY_ADDRESS_MAP'!A1" display="STG_PARTY_ADDRESS_MAP" xr:uid="{00000000-0004-0000-0000-000006000000}"/>
    <hyperlink ref="B20" location="'STG_PARTY_PHONE_MAP'!A1" display="STG_PARTY_PHONE_MAP" xr:uid="{00000000-0004-0000-0000-000007000000}"/>
    <hyperlink ref="B21" location="'STG_PARTY_EMAIL_MAP'!A1" display="STG_PARTY_EMAIL_MAP" xr:uid="{00000000-0004-0000-0000-000008000000}"/>
    <hyperlink ref="B22" location="'STG_CUSTOMER_IDENTIFCTN_DOC'!A1" display="STG_CUSTOMER_IDENTIFCTN_DOC" xr:uid="{00000000-0004-0000-0000-000009000000}"/>
    <hyperlink ref="B23" location="'STG_PARTY_PARTY_RELATIONSHIP'!A1" display="STG_PARTY_PARTY_RELATIONSHIP" xr:uid="{00000000-0004-0000-0000-00000A000000}"/>
    <hyperlink ref="B24" location="'STG_PARTY_ROLE_MAP'!A1" display="STG_PARTY_ROLE_MAP" xr:uid="{00000000-0004-0000-0000-00000B000000}"/>
    <hyperlink ref="B25" location="'STG_CORRESPONDENT_PROD_SERVED'!A1" display="STG_CORRESPONDENT_PROD_SERVED" xr:uid="{00000000-0004-0000-0000-00000C000000}"/>
    <hyperlink ref="B26" location="'STG_CASA'!A1" display="STG_CASA" xr:uid="{00000000-0004-0000-0000-00000D000000}"/>
    <hyperlink ref="B27" location="'STG_PARTY_ACCOUNT_ROLE_MAP'!A1" display="STG_PARTY_ACCOUNT_ROLE_MAP" xr:uid="{00000000-0004-0000-0000-00000E000000}"/>
    <hyperlink ref="B28" location="'STG_CASA_TXNS'!A1" display="STG_CASA_TXNS" xr:uid="{00000000-0004-0000-0000-00000F000000}"/>
    <hyperlink ref="B29" location="'STG_TXN_ALT_CCY_VALUES'!A1" display="STG_TXN_ALT_CCY_VALUES" xr:uid="{00000000-0004-0000-0000-000010000000}"/>
    <hyperlink ref="B30" location="'STG_FRONT_OFFICE_TXN_PARTY'!A1" display="STG_FRONT_OFFICE_TXN_PARTY" xr:uid="{00000000-0004-0000-0000-000011000000}"/>
    <hyperlink ref="B31" location="'STG_PARTY_MSB_DETAILS'!A1" display="STG_PARTY_MSB_DETAILS  (MỚI)" xr:uid="{00000000-0004-0000-0000-000012000000}"/>
    <hyperlink ref="B32" location="'STG_PARTY_MSB_LOGIN'!A1" display="STG_PARTY_MSB_LOGIN  (MỚI)" xr:uid="{00000000-0004-0000-0000-000013000000}"/>
    <hyperlink ref="B33" location="'STG_PARTY_TYPE_MASTER'!A1" display="STG_PARTY_TYPE_MASTER  (danh mục)" xr:uid="{00000000-0004-0000-0000-000014000000}"/>
    <hyperlink ref="B34" location="'STG_COUNTRY_MASTER'!A1" display="STG_COUNTRY_MASTER  (danh mục)" xr:uid="{00000000-0004-0000-0000-000015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
  <sheetViews>
    <sheetView showGridLines="0" workbookViewId="0">
      <selection activeCell="A2" sqref="A2"/>
    </sheetView>
  </sheetViews>
  <sheetFormatPr defaultRowHeight="14.25"/>
  <cols>
    <col min="1" max="1" width="22" customWidth="1"/>
    <col min="2" max="2" width="86" customWidth="1"/>
    <col min="3" max="3" width="40" customWidth="1"/>
  </cols>
  <sheetData>
    <row r="1" spans="1:3" ht="16.899999999999999">
      <c r="A1" s="1" t="s">
        <v>57</v>
      </c>
    </row>
    <row r="3" spans="1:3">
      <c r="A3" s="9" t="s">
        <v>58</v>
      </c>
      <c r="B3" s="9" t="s">
        <v>11</v>
      </c>
      <c r="C3" s="9" t="s">
        <v>59</v>
      </c>
    </row>
    <row r="4" spans="1:3" ht="25.5">
      <c r="A4" s="10" t="s">
        <v>60</v>
      </c>
      <c r="B4" s="4" t="s">
        <v>61</v>
      </c>
      <c r="C4" s="4" t="s">
        <v>62</v>
      </c>
    </row>
    <row r="5" spans="1:3" ht="25.5">
      <c r="A5" s="10" t="s">
        <v>63</v>
      </c>
      <c r="B5" s="4" t="s">
        <v>64</v>
      </c>
      <c r="C5" s="4" t="s">
        <v>65</v>
      </c>
    </row>
    <row r="6" spans="1:3" ht="25.5">
      <c r="A6" s="10" t="s">
        <v>66</v>
      </c>
      <c r="B6" s="4" t="s">
        <v>67</v>
      </c>
      <c r="C6" s="4" t="s">
        <v>68</v>
      </c>
    </row>
    <row r="7" spans="1:3">
      <c r="A7" s="10" t="s">
        <v>69</v>
      </c>
      <c r="B7" s="4" t="s">
        <v>70</v>
      </c>
      <c r="C7" s="4" t="s">
        <v>71</v>
      </c>
    </row>
    <row r="8" spans="1:3">
      <c r="A8" s="10" t="s">
        <v>72</v>
      </c>
      <c r="B8" s="4" t="s">
        <v>73</v>
      </c>
      <c r="C8" s="4" t="s">
        <v>71</v>
      </c>
    </row>
    <row r="9" spans="1:3" ht="26.25">
      <c r="A9" s="10" t="s">
        <v>74</v>
      </c>
      <c r="B9" s="4" t="s">
        <v>75</v>
      </c>
      <c r="C9" s="4" t="s">
        <v>76</v>
      </c>
    </row>
    <row r="10" spans="1:3">
      <c r="A10" s="11" t="s">
        <v>77</v>
      </c>
      <c r="B10" s="12" t="s">
        <v>78</v>
      </c>
      <c r="C10" s="12" t="s">
        <v>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7"/>
  <sheetViews>
    <sheetView showGridLines="0" workbookViewId="0">
      <pane ySplit="4" topLeftCell="A10" activePane="bottomLeft" state="frozen"/>
      <selection pane="bottomLeft" activeCell="E13" sqref="E13"/>
    </sheetView>
  </sheetViews>
  <sheetFormatPr defaultRowHeight="14.25"/>
  <cols>
    <col min="1" max="1" width="9" customWidth="1"/>
    <col min="2" max="2" width="34.7109375" customWidth="1"/>
    <col min="3" max="3" width="66" customWidth="1"/>
    <col min="4" max="4" width="9" customWidth="1"/>
    <col min="5" max="5" width="14" customWidth="1"/>
    <col min="6" max="6" width="12" customWidth="1"/>
    <col min="7" max="7" width="24" customWidth="1"/>
  </cols>
  <sheetData>
    <row r="1" spans="1:7" ht="16.899999999999999">
      <c r="A1" s="1" t="s">
        <v>80</v>
      </c>
    </row>
    <row r="2" spans="1:7">
      <c r="A2" s="14" t="s">
        <v>81</v>
      </c>
    </row>
    <row r="4" spans="1:7">
      <c r="A4" s="9" t="s">
        <v>82</v>
      </c>
      <c r="B4" s="9" t="s">
        <v>83</v>
      </c>
      <c r="C4" s="9" t="s">
        <v>84</v>
      </c>
      <c r="D4" s="9" t="s">
        <v>85</v>
      </c>
      <c r="E4" s="9" t="s">
        <v>86</v>
      </c>
      <c r="F4" s="9" t="s">
        <v>87</v>
      </c>
      <c r="G4" s="9" t="s">
        <v>88</v>
      </c>
    </row>
    <row r="5" spans="1:7" ht="38.25">
      <c r="A5" s="12" t="s">
        <v>89</v>
      </c>
      <c r="B5" s="4" t="s">
        <v>90</v>
      </c>
      <c r="C5" s="4" t="s">
        <v>91</v>
      </c>
      <c r="D5" s="13" t="s">
        <v>92</v>
      </c>
      <c r="E5" s="4" t="s">
        <v>93</v>
      </c>
      <c r="F5" s="4" t="s">
        <v>94</v>
      </c>
      <c r="G5" s="5" t="s">
        <v>25</v>
      </c>
    </row>
    <row r="6" spans="1:7" ht="38.25">
      <c r="A6" s="12" t="s">
        <v>95</v>
      </c>
      <c r="B6" s="4" t="s">
        <v>96</v>
      </c>
      <c r="C6" s="4" t="s">
        <v>97</v>
      </c>
      <c r="D6" s="13" t="s">
        <v>92</v>
      </c>
      <c r="E6" s="4" t="s">
        <v>93</v>
      </c>
      <c r="F6" s="4" t="s">
        <v>94</v>
      </c>
      <c r="G6" s="5" t="s">
        <v>12</v>
      </c>
    </row>
    <row r="7" spans="1:7" ht="25.5">
      <c r="A7" s="12" t="s">
        <v>98</v>
      </c>
      <c r="B7" s="4" t="s">
        <v>99</v>
      </c>
      <c r="C7" s="4" t="s">
        <v>100</v>
      </c>
      <c r="D7" s="13" t="s">
        <v>92</v>
      </c>
      <c r="E7" s="4" t="s">
        <v>101</v>
      </c>
      <c r="F7" s="4" t="s">
        <v>94</v>
      </c>
      <c r="G7" s="5" t="s">
        <v>37</v>
      </c>
    </row>
    <row r="8" spans="1:7" ht="25.5">
      <c r="A8" s="12" t="s">
        <v>102</v>
      </c>
      <c r="B8" s="4" t="s">
        <v>42</v>
      </c>
      <c r="C8" s="4" t="s">
        <v>103</v>
      </c>
      <c r="D8" s="13" t="s">
        <v>92</v>
      </c>
      <c r="E8" s="4" t="s">
        <v>101</v>
      </c>
      <c r="F8" s="4" t="s">
        <v>94</v>
      </c>
      <c r="G8" s="5" t="s">
        <v>42</v>
      </c>
    </row>
    <row r="9" spans="1:7" ht="25.5">
      <c r="A9" s="12" t="s">
        <v>104</v>
      </c>
      <c r="B9" s="4" t="s">
        <v>105</v>
      </c>
      <c r="C9" s="4" t="s">
        <v>106</v>
      </c>
      <c r="D9" s="13" t="s">
        <v>92</v>
      </c>
      <c r="E9" s="4" t="s">
        <v>101</v>
      </c>
      <c r="F9" s="4" t="s">
        <v>94</v>
      </c>
      <c r="G9" s="5" t="s">
        <v>105</v>
      </c>
    </row>
    <row r="10" spans="1:7" ht="25.5">
      <c r="A10" s="12" t="s">
        <v>107</v>
      </c>
      <c r="B10" s="4" t="s">
        <v>108</v>
      </c>
      <c r="C10" s="4" t="s">
        <v>109</v>
      </c>
      <c r="D10" s="13" t="s">
        <v>92</v>
      </c>
      <c r="E10" s="4" t="s">
        <v>101</v>
      </c>
      <c r="F10" s="4" t="s">
        <v>94</v>
      </c>
      <c r="G10" s="5" t="s">
        <v>108</v>
      </c>
    </row>
    <row r="11" spans="1:7" ht="25.5">
      <c r="A11" s="15" t="s">
        <v>110</v>
      </c>
      <c r="B11" s="4" t="s">
        <v>111</v>
      </c>
      <c r="C11" s="4" t="s">
        <v>112</v>
      </c>
      <c r="D11" s="4" t="s">
        <v>113</v>
      </c>
      <c r="E11" s="4" t="s">
        <v>93</v>
      </c>
      <c r="F11" s="4" t="s">
        <v>94</v>
      </c>
      <c r="G11" s="5" t="s">
        <v>29</v>
      </c>
    </row>
    <row r="12" spans="1:7">
      <c r="A12" s="15" t="s">
        <v>114</v>
      </c>
      <c r="B12" s="4" t="s">
        <v>115</v>
      </c>
      <c r="C12" s="4" t="s">
        <v>116</v>
      </c>
      <c r="D12" s="4" t="s">
        <v>113</v>
      </c>
      <c r="E12" s="4" t="s">
        <v>117</v>
      </c>
      <c r="F12" s="4" t="s">
        <v>94</v>
      </c>
      <c r="G12" s="5" t="s">
        <v>115</v>
      </c>
    </row>
    <row r="13" spans="1:7" ht="38.25">
      <c r="A13" s="15" t="s">
        <v>118</v>
      </c>
      <c r="B13" s="4" t="s">
        <v>119</v>
      </c>
      <c r="C13" s="4" t="s">
        <v>120</v>
      </c>
      <c r="D13" s="4" t="s">
        <v>113</v>
      </c>
      <c r="E13" s="4" t="s">
        <v>101</v>
      </c>
      <c r="F13" s="4" t="s">
        <v>94</v>
      </c>
      <c r="G13" s="4" t="s">
        <v>121</v>
      </c>
    </row>
    <row r="14" spans="1:7" ht="25.5">
      <c r="A14" s="15" t="s">
        <v>122</v>
      </c>
      <c r="B14" s="4" t="s">
        <v>123</v>
      </c>
      <c r="C14" s="4" t="s">
        <v>124</v>
      </c>
      <c r="D14" s="4" t="s">
        <v>113</v>
      </c>
      <c r="E14" s="4" t="s">
        <v>101</v>
      </c>
      <c r="F14" s="4" t="s">
        <v>94</v>
      </c>
      <c r="G14" s="5" t="s">
        <v>18</v>
      </c>
    </row>
    <row r="15" spans="1:7" ht="25.5">
      <c r="A15" s="15" t="s">
        <v>125</v>
      </c>
      <c r="B15" s="4" t="s">
        <v>35</v>
      </c>
      <c r="C15" s="4" t="s">
        <v>126</v>
      </c>
      <c r="D15" s="4" t="s">
        <v>113</v>
      </c>
      <c r="E15" s="4" t="s">
        <v>101</v>
      </c>
      <c r="F15" s="4" t="s">
        <v>94</v>
      </c>
      <c r="G15" s="5" t="s">
        <v>35</v>
      </c>
    </row>
    <row r="16" spans="1:7" ht="25.5">
      <c r="A16" s="15" t="s">
        <v>127</v>
      </c>
      <c r="B16" s="4" t="s">
        <v>42</v>
      </c>
      <c r="C16" s="4" t="s">
        <v>128</v>
      </c>
      <c r="D16" s="4" t="s">
        <v>113</v>
      </c>
      <c r="E16" s="4" t="s">
        <v>101</v>
      </c>
      <c r="F16" s="4" t="s">
        <v>94</v>
      </c>
      <c r="G16" s="5" t="s">
        <v>42</v>
      </c>
    </row>
    <row r="17" spans="1:7" ht="25.5">
      <c r="A17" s="16" t="s">
        <v>129</v>
      </c>
      <c r="B17" s="4" t="s">
        <v>130</v>
      </c>
      <c r="C17" s="4" t="s">
        <v>131</v>
      </c>
      <c r="D17" s="4" t="s">
        <v>132</v>
      </c>
      <c r="E17" s="4" t="s">
        <v>117</v>
      </c>
      <c r="F17" s="4" t="s">
        <v>94</v>
      </c>
      <c r="G17" s="4" t="s">
        <v>133</v>
      </c>
    </row>
  </sheetData>
  <hyperlinks>
    <hyperlink ref="G5" location="'STG_PARTY_PHONE_MAP'!A1" display="STG_PARTY_PHONE_MAP" xr:uid="{00000000-0004-0000-0300-000000000000}"/>
    <hyperlink ref="G7" location="'STG_CASA'!A1" display="STG_CASA" xr:uid="{00000000-0004-0000-0300-000002000000}"/>
    <hyperlink ref="G8" location="'STG_CASA_TXNS'!A1" display="STG_CASA_TXNS" xr:uid="{00000000-0004-0000-0300-000003000000}"/>
    <hyperlink ref="G9" location="'STG_PARTY_MSB_DETAILS'!A1" display="STG_PARTY_MSB_DETAILS" xr:uid="{00000000-0004-0000-0300-000004000000}"/>
    <hyperlink ref="G10" location="'STG_PARTY_MSB_LOGIN'!A1" display="STG_PARTY_MSB_LOGIN" xr:uid="{00000000-0004-0000-0300-000005000000}"/>
    <hyperlink ref="G11" location="'STG_CUSTOMER_IDENTIFCTN_DOC'!A1" display="STG_CUSTOMER_IDENTIFCTN_DOC" xr:uid="{00000000-0004-0000-0300-000006000000}"/>
    <hyperlink ref="G12" location="'STG_COUNTRY_MASTER'!A1" display="STG_COUNTRY_MASTER" xr:uid="{00000000-0004-0000-0300-000007000000}"/>
    <hyperlink ref="G14" location="'STG_PARTY_MASTER'!A1" display="STG_PARTY_MASTER" xr:uid="{00000000-0004-0000-0300-000008000000}"/>
    <hyperlink ref="G15" location="'STG_CORRESPONDENT_PROD_SERVED'!A1" display="STG_CORRESPONDENT_PROD_SERVED" xr:uid="{00000000-0004-0000-0300-000009000000}"/>
    <hyperlink ref="G16" location="'STG_CASA_TXNS'!A1" display="STG_CASA_TXNS" xr:uid="{00000000-0004-0000-0300-00000A000000}"/>
    <hyperlink ref="G6" location="'1. Cơ chế Load'!A1" display="1. Cơ chế Load" xr:uid="{57DBE1EE-9240-4017-87EC-C3968379632C}"/>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
  <sheetViews>
    <sheetView showGridLines="0" tabSelected="1" topLeftCell="C1" zoomScale="85" zoomScaleNormal="85" workbookViewId="0">
      <pane ySplit="4" topLeftCell="A5" activePane="bottomLeft" state="frozen"/>
      <selection pane="bottomLeft" activeCell="A3" sqref="A3"/>
    </sheetView>
  </sheetViews>
  <sheetFormatPr defaultRowHeight="14.25"/>
  <cols>
    <col min="1" max="1" width="33.7109375" customWidth="1"/>
    <col min="2" max="2" width="39.140625" customWidth="1"/>
    <col min="3" max="3" width="40" customWidth="1"/>
    <col min="4" max="4" width="34" customWidth="1"/>
    <col min="5" max="5" width="48" customWidth="1"/>
  </cols>
  <sheetData>
    <row r="1" spans="1:5" ht="16.899999999999999">
      <c r="A1" s="1" t="s">
        <v>134</v>
      </c>
    </row>
    <row r="2" spans="1:5">
      <c r="A2" s="14" t="s">
        <v>135</v>
      </c>
    </row>
    <row r="3" spans="1:5">
      <c r="A3" s="17" t="s">
        <v>136</v>
      </c>
    </row>
    <row r="4" spans="1:5">
      <c r="A4" s="9" t="s">
        <v>9</v>
      </c>
      <c r="B4" s="9" t="s">
        <v>137</v>
      </c>
      <c r="C4" s="9" t="s">
        <v>138</v>
      </c>
      <c r="D4" s="9" t="s">
        <v>139</v>
      </c>
      <c r="E4" s="9" t="s">
        <v>140</v>
      </c>
    </row>
    <row r="5" spans="1:5" ht="25.5">
      <c r="A5" s="5" t="s">
        <v>37</v>
      </c>
      <c r="B5" s="12" t="s">
        <v>141</v>
      </c>
      <c r="C5" s="4" t="s">
        <v>142</v>
      </c>
      <c r="D5" s="4" t="s">
        <v>143</v>
      </c>
      <c r="E5" s="4" t="s">
        <v>144</v>
      </c>
    </row>
    <row r="6" spans="1:5" ht="25.5">
      <c r="A6" s="5" t="s">
        <v>42</v>
      </c>
      <c r="B6" s="12" t="s">
        <v>145</v>
      </c>
      <c r="C6" s="4" t="s">
        <v>146</v>
      </c>
      <c r="D6" s="4" t="s">
        <v>147</v>
      </c>
      <c r="E6" s="4" t="s">
        <v>144</v>
      </c>
    </row>
    <row r="7" spans="1:5" ht="25.5">
      <c r="A7" s="5" t="s">
        <v>40</v>
      </c>
      <c r="B7" s="12" t="s">
        <v>148</v>
      </c>
      <c r="C7" s="4" t="s">
        <v>41</v>
      </c>
      <c r="D7" s="4" t="s">
        <v>149</v>
      </c>
      <c r="E7" s="4" t="s">
        <v>144</v>
      </c>
    </row>
    <row r="8" spans="1:5" ht="25.5">
      <c r="A8" s="5" t="s">
        <v>18</v>
      </c>
      <c r="B8" s="12" t="s">
        <v>150</v>
      </c>
      <c r="C8" s="4" t="s">
        <v>151</v>
      </c>
      <c r="D8" s="4" t="s">
        <v>152</v>
      </c>
      <c r="E8" s="4" t="s">
        <v>144</v>
      </c>
    </row>
    <row r="9" spans="1:5" ht="25.5">
      <c r="A9" s="5" t="s">
        <v>18</v>
      </c>
      <c r="B9" s="12" t="s">
        <v>153</v>
      </c>
      <c r="C9" s="4" t="s">
        <v>154</v>
      </c>
      <c r="D9" s="4" t="s">
        <v>152</v>
      </c>
      <c r="E9" s="4" t="s">
        <v>144</v>
      </c>
    </row>
    <row r="10" spans="1:5" ht="25.5">
      <c r="A10" s="5" t="s">
        <v>18</v>
      </c>
      <c r="B10" s="12" t="s">
        <v>155</v>
      </c>
      <c r="C10" s="4" t="s">
        <v>156</v>
      </c>
      <c r="D10" s="4" t="s">
        <v>152</v>
      </c>
      <c r="E10" s="4" t="s">
        <v>144</v>
      </c>
    </row>
    <row r="11" spans="1:5" ht="25.5">
      <c r="A11" s="5" t="s">
        <v>18</v>
      </c>
      <c r="B11" s="12" t="s">
        <v>157</v>
      </c>
      <c r="C11" s="4" t="s">
        <v>158</v>
      </c>
      <c r="D11" s="4" t="s">
        <v>159</v>
      </c>
      <c r="E11" s="4" t="s">
        <v>144</v>
      </c>
    </row>
    <row r="12" spans="1:5" ht="25.5">
      <c r="A12" s="5" t="s">
        <v>18</v>
      </c>
      <c r="B12" s="12" t="s">
        <v>160</v>
      </c>
      <c r="C12" s="4" t="s">
        <v>161</v>
      </c>
      <c r="D12" s="4" t="s">
        <v>162</v>
      </c>
      <c r="E12" s="4" t="s">
        <v>144</v>
      </c>
    </row>
    <row r="13" spans="1:5" ht="25.5">
      <c r="A13" s="5" t="s">
        <v>18</v>
      </c>
      <c r="B13" s="12" t="s">
        <v>163</v>
      </c>
      <c r="C13" s="4" t="s">
        <v>164</v>
      </c>
      <c r="D13" s="4" t="s">
        <v>159</v>
      </c>
      <c r="E13" s="4" t="s">
        <v>144</v>
      </c>
    </row>
    <row r="14" spans="1:5" ht="25.5">
      <c r="A14" s="5" t="s">
        <v>18</v>
      </c>
      <c r="B14" s="12" t="s">
        <v>165</v>
      </c>
      <c r="C14" s="4" t="s">
        <v>166</v>
      </c>
      <c r="D14" s="4" t="s">
        <v>152</v>
      </c>
      <c r="E14" s="4" t="s">
        <v>144</v>
      </c>
    </row>
  </sheetData>
  <hyperlinks>
    <hyperlink ref="A5" location="'STG_CASA'!A1" display="STG_CASA" xr:uid="{00000000-0004-0000-0400-000000000000}"/>
    <hyperlink ref="A6" location="'STG_CASA_TXNS'!A1" display="STG_CASA_TXNS" xr:uid="{00000000-0004-0000-0400-000001000000}"/>
    <hyperlink ref="A7" location="'STG_PARTY_ACCOUNT_ROLE_MAP'!A1" display="STG_PARTY_ACCOUNT_ROLE_MAP" xr:uid="{00000000-0004-0000-0400-000004000000}"/>
    <hyperlink ref="A8" location="'STG_PARTY_MASTER'!A1" display="STG_PARTY_MASTER" xr:uid="{00000000-0004-0000-0400-000005000000}"/>
    <hyperlink ref="A9" location="'STG_PARTY_MASTER'!A1" display="STG_PARTY_MASTER" xr:uid="{00000000-0004-0000-0400-000006000000}"/>
    <hyperlink ref="A10" location="'STG_PARTY_MASTER'!A1" display="STG_PARTY_MASTER" xr:uid="{00000000-0004-0000-0400-000007000000}"/>
    <hyperlink ref="A11" location="'STG_PARTY_MASTER'!A1" display="STG_PARTY_MASTER" xr:uid="{00000000-0004-0000-0400-000008000000}"/>
    <hyperlink ref="A12" location="'STG_PARTY_MASTER'!A1" display="STG_PARTY_MASTER" xr:uid="{00000000-0004-0000-0400-000009000000}"/>
    <hyperlink ref="A13" location="'STG_PARTY_MASTER'!A1" display="STG_PARTY_MASTER" xr:uid="{00000000-0004-0000-0400-00000A000000}"/>
    <hyperlink ref="A14" location="'STG_PARTY_MASTER'!A1" display="STG_PARTY_MASTER" xr:uid="{00000000-0004-0000-0400-00000B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38"/>
  <sheetViews>
    <sheetView showGridLines="0" zoomScale="70" zoomScaleNormal="70" workbookViewId="0">
      <pane ySplit="3" topLeftCell="A28" activePane="bottomLeft" state="frozen"/>
      <selection pane="bottomLeft" activeCell="G41" sqref="G41"/>
    </sheetView>
  </sheetViews>
  <sheetFormatPr defaultRowHeight="14.25"/>
  <cols>
    <col min="1" max="2" width="5" customWidth="1"/>
    <col min="3" max="3" width="30" customWidth="1"/>
    <col min="4" max="4" width="16" customWidth="1"/>
    <col min="5" max="5" width="6" customWidth="1"/>
    <col min="6" max="6" width="30" customWidth="1"/>
    <col min="7" max="7" width="32" customWidth="1"/>
    <col min="8" max="8" width="40" customWidth="1"/>
    <col min="9" max="9" width="20" customWidth="1"/>
    <col min="10" max="11" width="15" customWidth="1"/>
    <col min="12" max="12" width="16" customWidth="1"/>
    <col min="13" max="13" width="28" customWidth="1"/>
    <col min="14" max="14" width="16" customWidth="1"/>
    <col min="15" max="15" width="13" customWidth="1"/>
    <col min="16" max="16" width="16" customWidth="1"/>
    <col min="17" max="17" width="42" customWidth="1"/>
    <col min="18" max="18" width="8" customWidth="1"/>
  </cols>
  <sheetData>
    <row r="1" spans="1:18" ht="20.100000000000001" customHeight="1">
      <c r="A1" s="1" t="s">
        <v>167</v>
      </c>
    </row>
    <row r="2" spans="1:18">
      <c r="A2" s="18" t="s">
        <v>168</v>
      </c>
    </row>
    <row r="3" spans="1:18" ht="26.25">
      <c r="A3" s="9" t="s">
        <v>169</v>
      </c>
      <c r="B3" s="9" t="s">
        <v>170</v>
      </c>
      <c r="C3" s="9" t="s">
        <v>171</v>
      </c>
      <c r="D3" s="9" t="s">
        <v>172</v>
      </c>
      <c r="E3" s="9" t="s">
        <v>173</v>
      </c>
      <c r="F3" s="9" t="s">
        <v>138</v>
      </c>
      <c r="G3" s="9" t="s">
        <v>174</v>
      </c>
      <c r="H3" s="9" t="s">
        <v>175</v>
      </c>
      <c r="I3" s="9" t="s">
        <v>176</v>
      </c>
      <c r="J3" s="19" t="s">
        <v>177</v>
      </c>
      <c r="K3" s="20" t="s">
        <v>178</v>
      </c>
      <c r="L3" s="20" t="s">
        <v>179</v>
      </c>
      <c r="M3" s="20" t="s">
        <v>180</v>
      </c>
      <c r="N3" s="21" t="s">
        <v>181</v>
      </c>
      <c r="O3" s="9" t="s">
        <v>182</v>
      </c>
      <c r="P3" s="9" t="s">
        <v>183</v>
      </c>
      <c r="Q3" s="9" t="s">
        <v>184</v>
      </c>
      <c r="R3" s="9" t="s">
        <v>185</v>
      </c>
    </row>
    <row r="4" spans="1:18" ht="63.75">
      <c r="A4" s="4">
        <v>1</v>
      </c>
      <c r="B4" s="15" t="s">
        <v>170</v>
      </c>
      <c r="C4" s="15" t="s">
        <v>66</v>
      </c>
      <c r="D4" s="15" t="s">
        <v>186</v>
      </c>
      <c r="E4" s="15" t="s">
        <v>187</v>
      </c>
      <c r="F4" s="4"/>
      <c r="G4" s="4" t="s">
        <v>188</v>
      </c>
      <c r="H4" s="4" t="s">
        <v>189</v>
      </c>
      <c r="I4" s="4"/>
      <c r="J4" s="22"/>
      <c r="K4" s="22"/>
      <c r="L4" s="22"/>
      <c r="M4" s="22"/>
      <c r="N4" s="22"/>
      <c r="O4" s="4" t="s">
        <v>190</v>
      </c>
      <c r="P4" s="4" t="s">
        <v>191</v>
      </c>
      <c r="Q4" s="16" t="s">
        <v>192</v>
      </c>
      <c r="R4" s="4" t="s">
        <v>193</v>
      </c>
    </row>
    <row r="5" spans="1:18" ht="51">
      <c r="A5" s="4">
        <v>2</v>
      </c>
      <c r="B5" s="4"/>
      <c r="C5" s="22" t="s">
        <v>194</v>
      </c>
      <c r="D5" s="4" t="s">
        <v>195</v>
      </c>
      <c r="E5" s="4" t="s">
        <v>196</v>
      </c>
      <c r="F5" s="22" t="s">
        <v>197</v>
      </c>
      <c r="G5" s="4" t="s">
        <v>198</v>
      </c>
      <c r="H5" s="4" t="s">
        <v>199</v>
      </c>
      <c r="I5" s="4"/>
      <c r="J5" s="22"/>
      <c r="K5" s="22"/>
      <c r="L5" s="22"/>
      <c r="M5" s="22"/>
      <c r="N5" s="22" t="s">
        <v>200</v>
      </c>
      <c r="O5" s="4" t="s">
        <v>193</v>
      </c>
      <c r="P5" s="4" t="s">
        <v>201</v>
      </c>
      <c r="Q5" s="22" t="s">
        <v>202</v>
      </c>
      <c r="R5" s="4" t="s">
        <v>193</v>
      </c>
    </row>
    <row r="6" spans="1:18" ht="51">
      <c r="A6" s="4">
        <v>3</v>
      </c>
      <c r="B6" s="4"/>
      <c r="C6" s="22" t="s">
        <v>203</v>
      </c>
      <c r="D6" s="4" t="s">
        <v>204</v>
      </c>
      <c r="E6" s="4" t="s">
        <v>196</v>
      </c>
      <c r="F6" s="22" t="s">
        <v>197</v>
      </c>
      <c r="G6" s="4" t="s">
        <v>198</v>
      </c>
      <c r="H6" s="4" t="s">
        <v>205</v>
      </c>
      <c r="I6" s="4"/>
      <c r="J6" s="22"/>
      <c r="K6" s="22"/>
      <c r="L6" s="22"/>
      <c r="M6" s="22"/>
      <c r="N6" s="22" t="s">
        <v>206</v>
      </c>
      <c r="O6" s="4" t="s">
        <v>193</v>
      </c>
      <c r="P6" s="4" t="s">
        <v>207</v>
      </c>
      <c r="Q6" s="22" t="s">
        <v>208</v>
      </c>
      <c r="R6" s="4" t="s">
        <v>193</v>
      </c>
    </row>
    <row r="7" spans="1:18" ht="114.75">
      <c r="A7" s="4">
        <v>4</v>
      </c>
      <c r="B7" s="15" t="s">
        <v>170</v>
      </c>
      <c r="C7" s="15" t="s">
        <v>209</v>
      </c>
      <c r="D7" s="15" t="s">
        <v>210</v>
      </c>
      <c r="E7" s="15" t="s">
        <v>187</v>
      </c>
      <c r="F7" s="4" t="s">
        <v>211</v>
      </c>
      <c r="G7" s="4" t="s">
        <v>212</v>
      </c>
      <c r="H7" s="4" t="s">
        <v>213</v>
      </c>
      <c r="I7" s="4"/>
      <c r="J7" s="22"/>
      <c r="K7" s="22"/>
      <c r="L7" s="22"/>
      <c r="M7" s="22"/>
      <c r="N7" s="22"/>
      <c r="O7" s="23" t="s">
        <v>193</v>
      </c>
      <c r="P7" s="4" t="s">
        <v>214</v>
      </c>
      <c r="Q7" s="4" t="s">
        <v>215</v>
      </c>
      <c r="R7" s="4"/>
    </row>
    <row r="8" spans="1:18" ht="38.25">
      <c r="A8" s="4">
        <v>5</v>
      </c>
      <c r="B8" s="4"/>
      <c r="C8" s="4" t="s">
        <v>216</v>
      </c>
      <c r="D8" s="4" t="s">
        <v>217</v>
      </c>
      <c r="E8" s="4" t="s">
        <v>187</v>
      </c>
      <c r="F8" s="4" t="s">
        <v>218</v>
      </c>
      <c r="G8" s="4" t="s">
        <v>219</v>
      </c>
      <c r="H8" s="4" t="s">
        <v>220</v>
      </c>
      <c r="I8" s="4"/>
      <c r="J8" s="22"/>
      <c r="K8" s="22"/>
      <c r="L8" s="22"/>
      <c r="M8" s="22"/>
      <c r="N8" s="22"/>
      <c r="O8" s="23" t="s">
        <v>193</v>
      </c>
      <c r="P8" s="4" t="s">
        <v>221</v>
      </c>
      <c r="Q8" s="4" t="s">
        <v>222</v>
      </c>
      <c r="R8" s="4"/>
    </row>
    <row r="9" spans="1:18" ht="25.5">
      <c r="A9" s="4">
        <v>6</v>
      </c>
      <c r="B9" s="4"/>
      <c r="C9" s="4" t="s">
        <v>223</v>
      </c>
      <c r="D9" s="4" t="s">
        <v>217</v>
      </c>
      <c r="E9" s="4" t="s">
        <v>196</v>
      </c>
      <c r="F9" s="4" t="s">
        <v>224</v>
      </c>
      <c r="G9" s="4" t="s">
        <v>225</v>
      </c>
      <c r="H9" s="4" t="s">
        <v>226</v>
      </c>
      <c r="I9" s="4"/>
      <c r="J9" s="22"/>
      <c r="K9" s="22"/>
      <c r="L9" s="22"/>
      <c r="M9" s="22"/>
      <c r="N9" s="22"/>
      <c r="O9" s="23" t="s">
        <v>193</v>
      </c>
      <c r="P9" s="4" t="s">
        <v>207</v>
      </c>
      <c r="Q9" s="4" t="s">
        <v>227</v>
      </c>
      <c r="R9" s="4"/>
    </row>
    <row r="10" spans="1:18" ht="38.25">
      <c r="A10" s="4">
        <v>7</v>
      </c>
      <c r="B10" s="4"/>
      <c r="C10" s="4" t="s">
        <v>228</v>
      </c>
      <c r="D10" s="4" t="s">
        <v>229</v>
      </c>
      <c r="E10" s="4" t="s">
        <v>196</v>
      </c>
      <c r="F10" s="4" t="s">
        <v>230</v>
      </c>
      <c r="G10" s="4" t="s">
        <v>231</v>
      </c>
      <c r="H10" s="4" t="s">
        <v>232</v>
      </c>
      <c r="I10" s="4" t="s">
        <v>233</v>
      </c>
      <c r="J10" s="22"/>
      <c r="K10" s="22"/>
      <c r="L10" s="22"/>
      <c r="M10" s="22"/>
      <c r="N10" s="22"/>
      <c r="O10" s="23" t="s">
        <v>193</v>
      </c>
      <c r="P10" s="4" t="s">
        <v>234</v>
      </c>
      <c r="Q10" s="4" t="s">
        <v>235</v>
      </c>
      <c r="R10" s="4"/>
    </row>
    <row r="11" spans="1:18" ht="38.25">
      <c r="A11" s="4">
        <v>8</v>
      </c>
      <c r="B11" s="4"/>
      <c r="C11" s="4" t="s">
        <v>236</v>
      </c>
      <c r="D11" s="4" t="s">
        <v>186</v>
      </c>
      <c r="E11" s="4" t="s">
        <v>196</v>
      </c>
      <c r="F11" s="4" t="s">
        <v>237</v>
      </c>
      <c r="G11" s="4" t="s">
        <v>238</v>
      </c>
      <c r="H11" s="4" t="s">
        <v>239</v>
      </c>
      <c r="I11" s="4"/>
      <c r="J11" s="22"/>
      <c r="K11" s="22"/>
      <c r="L11" s="22"/>
      <c r="M11" s="22"/>
      <c r="N11" s="22"/>
      <c r="O11" s="23" t="s">
        <v>193</v>
      </c>
      <c r="P11" s="4" t="s">
        <v>201</v>
      </c>
      <c r="Q11" s="4" t="s">
        <v>240</v>
      </c>
      <c r="R11" s="4"/>
    </row>
    <row r="12" spans="1:18" ht="38.25">
      <c r="A12" s="4">
        <v>9</v>
      </c>
      <c r="B12" s="4"/>
      <c r="C12" s="4" t="s">
        <v>241</v>
      </c>
      <c r="D12" s="4" t="s">
        <v>242</v>
      </c>
      <c r="E12" s="4" t="s">
        <v>196</v>
      </c>
      <c r="F12" s="4" t="s">
        <v>243</v>
      </c>
      <c r="G12" s="4" t="s">
        <v>244</v>
      </c>
      <c r="H12" s="4" t="s">
        <v>245</v>
      </c>
      <c r="I12" s="4" t="s">
        <v>246</v>
      </c>
      <c r="J12" s="22"/>
      <c r="K12" s="22"/>
      <c r="L12" s="22"/>
      <c r="M12" s="22"/>
      <c r="N12" s="22"/>
      <c r="O12" s="23" t="s">
        <v>193</v>
      </c>
      <c r="P12" s="4" t="s">
        <v>207</v>
      </c>
      <c r="Q12" s="4" t="s">
        <v>247</v>
      </c>
      <c r="R12" s="4"/>
    </row>
    <row r="13" spans="1:18" ht="51">
      <c r="A13" s="4">
        <v>10</v>
      </c>
      <c r="B13" s="4"/>
      <c r="C13" s="4" t="s">
        <v>248</v>
      </c>
      <c r="D13" s="4" t="s">
        <v>249</v>
      </c>
      <c r="E13" s="4" t="s">
        <v>196</v>
      </c>
      <c r="F13" s="4" t="s">
        <v>250</v>
      </c>
      <c r="G13" s="4" t="s">
        <v>251</v>
      </c>
      <c r="H13" s="4" t="s">
        <v>252</v>
      </c>
      <c r="I13" s="4" t="s">
        <v>253</v>
      </c>
      <c r="J13" s="22"/>
      <c r="K13" s="22"/>
      <c r="L13" s="22"/>
      <c r="M13" s="22"/>
      <c r="N13" s="22"/>
      <c r="O13" s="23" t="s">
        <v>193</v>
      </c>
      <c r="P13" s="4" t="s">
        <v>207</v>
      </c>
      <c r="Q13" s="4" t="s">
        <v>254</v>
      </c>
      <c r="R13" s="4"/>
    </row>
    <row r="14" spans="1:18" ht="38.25">
      <c r="A14" s="4">
        <v>11</v>
      </c>
      <c r="B14" s="4"/>
      <c r="C14" s="4" t="s">
        <v>155</v>
      </c>
      <c r="D14" s="4" t="s">
        <v>249</v>
      </c>
      <c r="E14" s="4" t="s">
        <v>196</v>
      </c>
      <c r="F14" s="4" t="s">
        <v>156</v>
      </c>
      <c r="G14" s="4" t="s">
        <v>255</v>
      </c>
      <c r="H14" s="4" t="s">
        <v>256</v>
      </c>
      <c r="I14" s="4" t="s">
        <v>257</v>
      </c>
      <c r="J14" s="22"/>
      <c r="K14" s="22"/>
      <c r="L14" s="22"/>
      <c r="M14" s="22"/>
      <c r="N14" s="22"/>
      <c r="O14" s="12" t="s">
        <v>258</v>
      </c>
      <c r="P14" s="4"/>
      <c r="Q14" s="4" t="s">
        <v>259</v>
      </c>
      <c r="R14" s="4" t="s">
        <v>193</v>
      </c>
    </row>
    <row r="15" spans="1:18" ht="38.25">
      <c r="A15" s="4">
        <v>12</v>
      </c>
      <c r="B15" s="4"/>
      <c r="C15" s="4" t="s">
        <v>260</v>
      </c>
      <c r="D15" s="4" t="s">
        <v>261</v>
      </c>
      <c r="E15" s="4" t="s">
        <v>196</v>
      </c>
      <c r="F15" s="4" t="s">
        <v>262</v>
      </c>
      <c r="G15" s="4" t="s">
        <v>263</v>
      </c>
      <c r="H15" s="4" t="s">
        <v>264</v>
      </c>
      <c r="I15" s="4" t="s">
        <v>265</v>
      </c>
      <c r="J15" s="22"/>
      <c r="K15" s="22"/>
      <c r="L15" s="22"/>
      <c r="M15" s="22"/>
      <c r="N15" s="22"/>
      <c r="O15" s="23" t="s">
        <v>193</v>
      </c>
      <c r="P15" s="4" t="s">
        <v>207</v>
      </c>
      <c r="Q15" s="4" t="s">
        <v>266</v>
      </c>
      <c r="R15" s="4"/>
    </row>
    <row r="16" spans="1:18" ht="102">
      <c r="A16" s="4">
        <v>13</v>
      </c>
      <c r="B16" s="4"/>
      <c r="C16" s="4" t="s">
        <v>267</v>
      </c>
      <c r="D16" s="4" t="s">
        <v>268</v>
      </c>
      <c r="E16" s="4" t="s">
        <v>196</v>
      </c>
      <c r="F16" s="4" t="s">
        <v>269</v>
      </c>
      <c r="G16" s="4" t="s">
        <v>270</v>
      </c>
      <c r="H16" s="4" t="s">
        <v>271</v>
      </c>
      <c r="I16" s="4" t="s">
        <v>272</v>
      </c>
      <c r="J16" s="22"/>
      <c r="K16" s="22"/>
      <c r="L16" s="22"/>
      <c r="M16" s="22"/>
      <c r="N16" s="22"/>
      <c r="O16" s="23" t="s">
        <v>193</v>
      </c>
      <c r="P16" s="4" t="s">
        <v>207</v>
      </c>
      <c r="Q16" s="4" t="s">
        <v>273</v>
      </c>
      <c r="R16" s="4"/>
    </row>
    <row r="17" spans="1:18" ht="153">
      <c r="A17" s="4">
        <v>14</v>
      </c>
      <c r="B17" s="4"/>
      <c r="C17" s="4" t="s">
        <v>274</v>
      </c>
      <c r="D17" s="4" t="s">
        <v>275</v>
      </c>
      <c r="E17" s="4" t="s">
        <v>196</v>
      </c>
      <c r="F17" s="4" t="s">
        <v>276</v>
      </c>
      <c r="G17" s="4" t="s">
        <v>277</v>
      </c>
      <c r="H17" s="4" t="s">
        <v>278</v>
      </c>
      <c r="I17" s="4" t="s">
        <v>279</v>
      </c>
      <c r="J17" s="22"/>
      <c r="K17" s="22"/>
      <c r="L17" s="22"/>
      <c r="M17" s="22"/>
      <c r="N17" s="22"/>
      <c r="O17" s="23" t="s">
        <v>193</v>
      </c>
      <c r="P17" s="4" t="s">
        <v>207</v>
      </c>
      <c r="Q17" s="4" t="s">
        <v>280</v>
      </c>
      <c r="R17" s="4"/>
    </row>
    <row r="18" spans="1:18" ht="38.25">
      <c r="A18" s="4">
        <v>15</v>
      </c>
      <c r="B18" s="4"/>
      <c r="C18" s="4" t="s">
        <v>281</v>
      </c>
      <c r="D18" s="4" t="s">
        <v>186</v>
      </c>
      <c r="E18" s="4" t="s">
        <v>196</v>
      </c>
      <c r="F18" s="4" t="s">
        <v>282</v>
      </c>
      <c r="G18" s="4" t="s">
        <v>283</v>
      </c>
      <c r="H18" s="4" t="s">
        <v>284</v>
      </c>
      <c r="I18" s="4"/>
      <c r="J18" s="22"/>
      <c r="K18" s="22"/>
      <c r="L18" s="22"/>
      <c r="M18" s="22"/>
      <c r="N18" s="22"/>
      <c r="O18" s="23" t="s">
        <v>193</v>
      </c>
      <c r="P18" s="4" t="s">
        <v>201</v>
      </c>
      <c r="Q18" s="4" t="s">
        <v>285</v>
      </c>
      <c r="R18" s="4"/>
    </row>
    <row r="19" spans="1:18" ht="38.25">
      <c r="A19" s="4">
        <v>16</v>
      </c>
      <c r="B19" s="4"/>
      <c r="C19" s="4" t="s">
        <v>163</v>
      </c>
      <c r="D19" s="4" t="s">
        <v>275</v>
      </c>
      <c r="E19" s="4" t="s">
        <v>196</v>
      </c>
      <c r="F19" s="4" t="s">
        <v>164</v>
      </c>
      <c r="G19" s="4" t="s">
        <v>286</v>
      </c>
      <c r="H19" s="4" t="s">
        <v>287</v>
      </c>
      <c r="I19" s="4"/>
      <c r="J19" s="22"/>
      <c r="K19" s="22"/>
      <c r="L19" s="22"/>
      <c r="M19" s="22"/>
      <c r="N19" s="22"/>
      <c r="O19" s="12" t="s">
        <v>258</v>
      </c>
      <c r="P19" s="4"/>
      <c r="Q19" s="4" t="s">
        <v>288</v>
      </c>
      <c r="R19" s="4" t="s">
        <v>193</v>
      </c>
    </row>
    <row r="20" spans="1:18" ht="51">
      <c r="A20" s="4">
        <v>17</v>
      </c>
      <c r="B20" s="4"/>
      <c r="C20" s="4" t="s">
        <v>289</v>
      </c>
      <c r="D20" s="4" t="s">
        <v>249</v>
      </c>
      <c r="E20" s="4" t="s">
        <v>196</v>
      </c>
      <c r="F20" s="4" t="s">
        <v>290</v>
      </c>
      <c r="G20" s="4" t="s">
        <v>291</v>
      </c>
      <c r="H20" s="4" t="s">
        <v>292</v>
      </c>
      <c r="I20" s="4" t="s">
        <v>293</v>
      </c>
      <c r="J20" s="22"/>
      <c r="K20" s="22"/>
      <c r="L20" s="22"/>
      <c r="M20" s="22"/>
      <c r="N20" s="22"/>
      <c r="O20" s="23" t="s">
        <v>193</v>
      </c>
      <c r="P20" s="4" t="s">
        <v>207</v>
      </c>
      <c r="Q20" s="4" t="s">
        <v>294</v>
      </c>
      <c r="R20" s="4"/>
    </row>
    <row r="21" spans="1:18" ht="153">
      <c r="A21" s="4">
        <v>18</v>
      </c>
      <c r="B21" s="4"/>
      <c r="C21" s="4" t="s">
        <v>295</v>
      </c>
      <c r="D21" s="4" t="s">
        <v>296</v>
      </c>
      <c r="E21" s="4" t="s">
        <v>196</v>
      </c>
      <c r="F21" s="4" t="s">
        <v>297</v>
      </c>
      <c r="G21" s="4" t="s">
        <v>298</v>
      </c>
      <c r="H21" s="4" t="s">
        <v>299</v>
      </c>
      <c r="I21" s="4"/>
      <c r="J21" s="22"/>
      <c r="K21" s="22"/>
      <c r="L21" s="22"/>
      <c r="M21" s="22"/>
      <c r="N21" s="22"/>
      <c r="O21" s="23" t="s">
        <v>193</v>
      </c>
      <c r="P21" s="4" t="s">
        <v>300</v>
      </c>
      <c r="Q21" s="4" t="s">
        <v>301</v>
      </c>
      <c r="R21" s="4"/>
    </row>
    <row r="22" spans="1:18" ht="51">
      <c r="A22" s="4">
        <v>19</v>
      </c>
      <c r="B22" s="4"/>
      <c r="C22" s="4" t="s">
        <v>302</v>
      </c>
      <c r="D22" s="4" t="s">
        <v>186</v>
      </c>
      <c r="E22" s="4" t="s">
        <v>196</v>
      </c>
      <c r="F22" s="4" t="s">
        <v>303</v>
      </c>
      <c r="G22" s="4" t="s">
        <v>304</v>
      </c>
      <c r="H22" s="4" t="s">
        <v>305</v>
      </c>
      <c r="I22" s="4"/>
      <c r="J22" s="22"/>
      <c r="K22" s="22"/>
      <c r="L22" s="22"/>
      <c r="M22" s="22"/>
      <c r="N22" s="22"/>
      <c r="O22" s="23" t="s">
        <v>193</v>
      </c>
      <c r="P22" s="4" t="s">
        <v>207</v>
      </c>
      <c r="Q22" s="4" t="s">
        <v>306</v>
      </c>
      <c r="R22" s="4"/>
    </row>
    <row r="23" spans="1:18" ht="63.75">
      <c r="A23" s="4">
        <v>20</v>
      </c>
      <c r="B23" s="4"/>
      <c r="C23" s="4" t="s">
        <v>307</v>
      </c>
      <c r="D23" s="4" t="s">
        <v>308</v>
      </c>
      <c r="E23" s="4" t="s">
        <v>196</v>
      </c>
      <c r="F23" s="4" t="s">
        <v>309</v>
      </c>
      <c r="G23" s="4" t="s">
        <v>310</v>
      </c>
      <c r="H23" s="4" t="s">
        <v>311</v>
      </c>
      <c r="I23" s="4"/>
      <c r="J23" s="22"/>
      <c r="K23" s="22"/>
      <c r="L23" s="22"/>
      <c r="M23" s="22"/>
      <c r="N23" s="22"/>
      <c r="O23" s="23" t="s">
        <v>193</v>
      </c>
      <c r="P23" s="4" t="s">
        <v>221</v>
      </c>
      <c r="Q23" s="4"/>
      <c r="R23" s="4"/>
    </row>
    <row r="24" spans="1:18" ht="76.5">
      <c r="A24" s="4">
        <v>21</v>
      </c>
      <c r="B24" s="4"/>
      <c r="C24" s="4" t="s">
        <v>312</v>
      </c>
      <c r="D24" s="4" t="s">
        <v>308</v>
      </c>
      <c r="E24" s="4" t="s">
        <v>196</v>
      </c>
      <c r="F24" s="4" t="s">
        <v>313</v>
      </c>
      <c r="G24" s="4" t="s">
        <v>314</v>
      </c>
      <c r="H24" s="4" t="s">
        <v>315</v>
      </c>
      <c r="I24" s="4" t="s">
        <v>257</v>
      </c>
      <c r="J24" s="22"/>
      <c r="K24" s="22"/>
      <c r="L24" s="22"/>
      <c r="M24" s="22"/>
      <c r="N24" s="22"/>
      <c r="O24" s="23" t="s">
        <v>193</v>
      </c>
      <c r="P24" s="4" t="s">
        <v>207</v>
      </c>
      <c r="Q24" s="4" t="s">
        <v>316</v>
      </c>
      <c r="R24" s="4"/>
    </row>
    <row r="25" spans="1:18" ht="38.25">
      <c r="A25" s="4">
        <v>22</v>
      </c>
      <c r="B25" s="4"/>
      <c r="C25" s="4" t="s">
        <v>317</v>
      </c>
      <c r="D25" s="4" t="s">
        <v>308</v>
      </c>
      <c r="E25" s="4" t="s">
        <v>196</v>
      </c>
      <c r="F25" s="4" t="s">
        <v>318</v>
      </c>
      <c r="G25" s="4" t="s">
        <v>319</v>
      </c>
      <c r="H25" s="4" t="s">
        <v>320</v>
      </c>
      <c r="I25" s="4" t="s">
        <v>321</v>
      </c>
      <c r="J25" s="22"/>
      <c r="K25" s="22"/>
      <c r="L25" s="22"/>
      <c r="M25" s="22"/>
      <c r="N25" s="22"/>
      <c r="O25" s="23" t="s">
        <v>193</v>
      </c>
      <c r="P25" s="4" t="s">
        <v>207</v>
      </c>
      <c r="Q25" s="4" t="s">
        <v>322</v>
      </c>
      <c r="R25" s="4"/>
    </row>
    <row r="26" spans="1:18" ht="102">
      <c r="A26" s="4">
        <v>23</v>
      </c>
      <c r="B26" s="4"/>
      <c r="C26" s="4" t="s">
        <v>153</v>
      </c>
      <c r="D26" s="4" t="s">
        <v>210</v>
      </c>
      <c r="E26" s="4" t="s">
        <v>196</v>
      </c>
      <c r="F26" s="4" t="s">
        <v>154</v>
      </c>
      <c r="G26" s="4" t="s">
        <v>323</v>
      </c>
      <c r="H26" s="4" t="s">
        <v>324</v>
      </c>
      <c r="I26" s="4" t="s">
        <v>321</v>
      </c>
      <c r="J26" s="22"/>
      <c r="K26" s="22"/>
      <c r="L26" s="22"/>
      <c r="M26" s="22"/>
      <c r="N26" s="22"/>
      <c r="O26" s="12" t="s">
        <v>258</v>
      </c>
      <c r="P26" s="4"/>
      <c r="Q26" s="4" t="s">
        <v>325</v>
      </c>
      <c r="R26" s="4" t="s">
        <v>193</v>
      </c>
    </row>
    <row r="27" spans="1:18" ht="25.5">
      <c r="A27" s="4">
        <v>24</v>
      </c>
      <c r="B27" s="4"/>
      <c r="C27" s="4" t="s">
        <v>326</v>
      </c>
      <c r="D27" s="4" t="s">
        <v>217</v>
      </c>
      <c r="E27" s="4" t="s">
        <v>196</v>
      </c>
      <c r="F27" s="4" t="s">
        <v>327</v>
      </c>
      <c r="G27" s="4" t="s">
        <v>328</v>
      </c>
      <c r="H27" s="4" t="s">
        <v>329</v>
      </c>
      <c r="I27" s="4"/>
      <c r="J27" s="22"/>
      <c r="K27" s="22"/>
      <c r="L27" s="22"/>
      <c r="M27" s="22"/>
      <c r="N27" s="22"/>
      <c r="O27" s="23" t="s">
        <v>193</v>
      </c>
      <c r="P27" s="4" t="s">
        <v>207</v>
      </c>
      <c r="Q27" s="4" t="s">
        <v>330</v>
      </c>
      <c r="R27" s="4"/>
    </row>
    <row r="28" spans="1:18" ht="38.25">
      <c r="A28" s="4">
        <v>25</v>
      </c>
      <c r="B28" s="4"/>
      <c r="C28" s="4" t="s">
        <v>331</v>
      </c>
      <c r="D28" s="4" t="s">
        <v>308</v>
      </c>
      <c r="E28" s="4" t="s">
        <v>196</v>
      </c>
      <c r="F28" s="4" t="s">
        <v>332</v>
      </c>
      <c r="G28" s="4" t="s">
        <v>333</v>
      </c>
      <c r="H28" s="4" t="s">
        <v>334</v>
      </c>
      <c r="I28" s="4" t="s">
        <v>321</v>
      </c>
      <c r="J28" s="22"/>
      <c r="K28" s="22"/>
      <c r="L28" s="22"/>
      <c r="M28" s="22"/>
      <c r="N28" s="22"/>
      <c r="O28" s="23" t="s">
        <v>193</v>
      </c>
      <c r="P28" s="4" t="s">
        <v>207</v>
      </c>
      <c r="Q28" s="4"/>
      <c r="R28" s="4"/>
    </row>
    <row r="29" spans="1:18" ht="38.25">
      <c r="A29" s="4">
        <v>26</v>
      </c>
      <c r="B29" s="4"/>
      <c r="C29" s="4" t="s">
        <v>157</v>
      </c>
      <c r="D29" s="4" t="s">
        <v>261</v>
      </c>
      <c r="E29" s="4" t="s">
        <v>196</v>
      </c>
      <c r="F29" s="4" t="s">
        <v>158</v>
      </c>
      <c r="G29" s="4"/>
      <c r="H29" s="4" t="s">
        <v>335</v>
      </c>
      <c r="I29" s="4"/>
      <c r="J29" s="22"/>
      <c r="K29" s="22"/>
      <c r="L29" s="22"/>
      <c r="M29" s="22"/>
      <c r="N29" s="22"/>
      <c r="O29" s="12" t="s">
        <v>258</v>
      </c>
      <c r="P29" s="4"/>
      <c r="Q29" s="4" t="s">
        <v>336</v>
      </c>
      <c r="R29" s="4" t="s">
        <v>193</v>
      </c>
    </row>
    <row r="30" spans="1:18" ht="63.75">
      <c r="A30" s="4">
        <v>27</v>
      </c>
      <c r="B30" s="4"/>
      <c r="C30" s="4" t="s">
        <v>165</v>
      </c>
      <c r="D30" s="4" t="s">
        <v>242</v>
      </c>
      <c r="E30" s="4" t="s">
        <v>196</v>
      </c>
      <c r="F30" s="4" t="s">
        <v>166</v>
      </c>
      <c r="G30" s="4" t="s">
        <v>337</v>
      </c>
      <c r="H30" s="4"/>
      <c r="I30" s="4" t="s">
        <v>338</v>
      </c>
      <c r="J30" s="22"/>
      <c r="K30" s="22"/>
      <c r="L30" s="22"/>
      <c r="M30" s="22"/>
      <c r="N30" s="22"/>
      <c r="O30" s="12" t="s">
        <v>258</v>
      </c>
      <c r="P30" s="4"/>
      <c r="Q30" s="4" t="s">
        <v>339</v>
      </c>
      <c r="R30" s="4" t="s">
        <v>193</v>
      </c>
    </row>
    <row r="31" spans="1:18" ht="38.25">
      <c r="A31" s="4">
        <v>28</v>
      </c>
      <c r="B31" s="4"/>
      <c r="C31" s="4" t="s">
        <v>150</v>
      </c>
      <c r="D31" s="4" t="s">
        <v>308</v>
      </c>
      <c r="E31" s="4" t="s">
        <v>196</v>
      </c>
      <c r="F31" s="4" t="s">
        <v>151</v>
      </c>
      <c r="G31" s="4" t="s">
        <v>340</v>
      </c>
      <c r="H31" s="4" t="s">
        <v>341</v>
      </c>
      <c r="I31" s="4"/>
      <c r="J31" s="22"/>
      <c r="K31" s="22"/>
      <c r="L31" s="22"/>
      <c r="M31" s="22"/>
      <c r="N31" s="22"/>
      <c r="O31" s="12" t="s">
        <v>258</v>
      </c>
      <c r="P31" s="4"/>
      <c r="Q31" s="4" t="s">
        <v>342</v>
      </c>
      <c r="R31" s="4" t="s">
        <v>193</v>
      </c>
    </row>
    <row r="32" spans="1:18" ht="38.25">
      <c r="A32" s="4">
        <v>29</v>
      </c>
      <c r="B32" s="4"/>
      <c r="C32" s="4" t="s">
        <v>343</v>
      </c>
      <c r="D32" s="4" t="s">
        <v>217</v>
      </c>
      <c r="E32" s="4" t="s">
        <v>196</v>
      </c>
      <c r="F32" s="4" t="s">
        <v>344</v>
      </c>
      <c r="G32" s="4" t="s">
        <v>345</v>
      </c>
      <c r="H32" s="4" t="s">
        <v>346</v>
      </c>
      <c r="I32" s="4"/>
      <c r="J32" s="22"/>
      <c r="K32" s="22"/>
      <c r="L32" s="22"/>
      <c r="M32" s="22"/>
      <c r="N32" s="22"/>
      <c r="O32" s="23" t="s">
        <v>193</v>
      </c>
      <c r="P32" s="4" t="s">
        <v>207</v>
      </c>
      <c r="Q32" s="4" t="s">
        <v>273</v>
      </c>
      <c r="R32" s="4"/>
    </row>
    <row r="33" spans="1:18" ht="63.75">
      <c r="A33" s="4">
        <v>30</v>
      </c>
      <c r="B33" s="4"/>
      <c r="C33" s="4" t="s">
        <v>347</v>
      </c>
      <c r="D33" s="4" t="s">
        <v>308</v>
      </c>
      <c r="E33" s="4" t="s">
        <v>196</v>
      </c>
      <c r="F33" s="4" t="s">
        <v>348</v>
      </c>
      <c r="G33" s="4"/>
      <c r="H33" s="4" t="s">
        <v>349</v>
      </c>
      <c r="I33" s="4"/>
      <c r="J33" s="22"/>
      <c r="K33" s="22"/>
      <c r="L33" s="22"/>
      <c r="M33" s="22"/>
      <c r="N33" s="22"/>
      <c r="O33" s="23" t="s">
        <v>193</v>
      </c>
      <c r="P33" s="4" t="s">
        <v>207</v>
      </c>
      <c r="Q33" s="4"/>
      <c r="R33" s="4"/>
    </row>
    <row r="34" spans="1:18" ht="76.5">
      <c r="A34" s="4">
        <v>31</v>
      </c>
      <c r="B34" s="4"/>
      <c r="C34" s="4" t="s">
        <v>350</v>
      </c>
      <c r="D34" s="4" t="s">
        <v>217</v>
      </c>
      <c r="E34" s="4" t="s">
        <v>196</v>
      </c>
      <c r="F34" s="4" t="s">
        <v>351</v>
      </c>
      <c r="G34" s="4" t="s">
        <v>352</v>
      </c>
      <c r="H34" s="4" t="s">
        <v>353</v>
      </c>
      <c r="I34" s="4"/>
      <c r="J34" s="22"/>
      <c r="K34" s="22"/>
      <c r="L34" s="22"/>
      <c r="M34" s="22"/>
      <c r="N34" s="22"/>
      <c r="O34" s="23" t="s">
        <v>193</v>
      </c>
      <c r="P34" s="4" t="s">
        <v>207</v>
      </c>
      <c r="Q34" s="4" t="s">
        <v>354</v>
      </c>
      <c r="R34" s="4"/>
    </row>
    <row r="35" spans="1:18" ht="38.25">
      <c r="A35" s="4">
        <v>32</v>
      </c>
      <c r="B35" s="4"/>
      <c r="C35" s="4" t="s">
        <v>160</v>
      </c>
      <c r="D35" s="4" t="s">
        <v>217</v>
      </c>
      <c r="E35" s="4" t="s">
        <v>196</v>
      </c>
      <c r="F35" s="4" t="s">
        <v>161</v>
      </c>
      <c r="G35" s="4" t="s">
        <v>355</v>
      </c>
      <c r="H35" s="4" t="s">
        <v>356</v>
      </c>
      <c r="I35" s="4"/>
      <c r="J35" s="22"/>
      <c r="K35" s="22"/>
      <c r="L35" s="22"/>
      <c r="M35" s="22"/>
      <c r="N35" s="22"/>
      <c r="O35" s="12" t="s">
        <v>258</v>
      </c>
      <c r="P35" s="4"/>
      <c r="Q35" s="4" t="s">
        <v>357</v>
      </c>
      <c r="R35" s="4" t="s">
        <v>193</v>
      </c>
    </row>
    <row r="36" spans="1:18" ht="38.25">
      <c r="A36" s="4">
        <v>33</v>
      </c>
      <c r="B36" s="4"/>
      <c r="C36" s="4" t="s">
        <v>358</v>
      </c>
      <c r="D36" s="4" t="s">
        <v>268</v>
      </c>
      <c r="E36" s="4" t="s">
        <v>196</v>
      </c>
      <c r="F36" s="4" t="s">
        <v>359</v>
      </c>
      <c r="G36" s="4" t="s">
        <v>360</v>
      </c>
      <c r="H36" s="4" t="s">
        <v>361</v>
      </c>
      <c r="I36" s="4"/>
      <c r="J36" s="4"/>
      <c r="K36" s="4"/>
      <c r="L36" s="4"/>
      <c r="M36" s="4"/>
      <c r="N36" s="4"/>
      <c r="O36" s="4" t="s">
        <v>193</v>
      </c>
      <c r="P36" s="4" t="s">
        <v>362</v>
      </c>
      <c r="Q36" s="4"/>
      <c r="R36" s="4"/>
    </row>
    <row r="37" spans="1:18" ht="63.75">
      <c r="A37" s="4">
        <v>34</v>
      </c>
      <c r="B37" s="4"/>
      <c r="C37" s="4" t="s">
        <v>363</v>
      </c>
      <c r="D37" s="4" t="s">
        <v>308</v>
      </c>
      <c r="E37" s="4" t="s">
        <v>196</v>
      </c>
      <c r="F37" s="4" t="s">
        <v>364</v>
      </c>
      <c r="G37" s="4" t="s">
        <v>365</v>
      </c>
      <c r="H37" s="4" t="s">
        <v>366</v>
      </c>
      <c r="I37" s="4" t="s">
        <v>253</v>
      </c>
      <c r="J37" s="4"/>
      <c r="K37" s="4"/>
      <c r="L37" s="4"/>
      <c r="M37" s="4"/>
      <c r="N37" s="4"/>
      <c r="O37" s="4" t="s">
        <v>258</v>
      </c>
      <c r="P37" s="4"/>
      <c r="Q37" s="4"/>
      <c r="R37" s="4"/>
    </row>
    <row r="38" spans="1:18" ht="38.25">
      <c r="A38" s="4">
        <v>35</v>
      </c>
      <c r="B38" s="4"/>
      <c r="C38" s="4" t="s">
        <v>367</v>
      </c>
      <c r="D38" s="4" t="s">
        <v>368</v>
      </c>
      <c r="E38" s="4" t="s">
        <v>196</v>
      </c>
      <c r="F38" s="4" t="s">
        <v>369</v>
      </c>
      <c r="G38" s="4" t="s">
        <v>370</v>
      </c>
      <c r="H38" s="4" t="s">
        <v>371</v>
      </c>
      <c r="I38" s="4" t="s">
        <v>372</v>
      </c>
      <c r="J38" s="4"/>
      <c r="K38" s="4"/>
      <c r="L38" s="4"/>
      <c r="M38" s="4"/>
      <c r="N38" s="4"/>
      <c r="O38" s="4" t="s">
        <v>258</v>
      </c>
      <c r="P38" s="4"/>
      <c r="Q38" s="4"/>
      <c r="R38"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0"/>
  <sheetViews>
    <sheetView showGridLines="0" zoomScale="85" zoomScaleNormal="85" workbookViewId="0">
      <pane ySplit="3" topLeftCell="A4" activePane="bottomLeft" state="frozen"/>
      <selection pane="bottomLeft" activeCell="C14" sqref="C14"/>
    </sheetView>
  </sheetViews>
  <sheetFormatPr defaultRowHeight="14.25"/>
  <cols>
    <col min="1" max="2" width="5" customWidth="1"/>
    <col min="3" max="3" width="30" customWidth="1"/>
    <col min="4" max="4" width="16" customWidth="1"/>
    <col min="5" max="5" width="6" customWidth="1"/>
    <col min="6" max="6" width="30" customWidth="1"/>
    <col min="7" max="7" width="32" customWidth="1"/>
    <col min="8" max="8" width="40" customWidth="1"/>
    <col min="9" max="9" width="20" customWidth="1"/>
    <col min="10" max="11" width="15" customWidth="1"/>
    <col min="12" max="12" width="16" customWidth="1"/>
    <col min="13" max="13" width="28" customWidth="1"/>
    <col min="14" max="14" width="16" customWidth="1"/>
    <col min="15" max="15" width="13" customWidth="1"/>
    <col min="16" max="16" width="16" customWidth="1"/>
    <col min="17" max="17" width="42" customWidth="1"/>
    <col min="18" max="18" width="8" customWidth="1"/>
  </cols>
  <sheetData>
    <row r="1" spans="1:18" ht="20.100000000000001" customHeight="1">
      <c r="A1" s="1" t="s">
        <v>373</v>
      </c>
    </row>
    <row r="2" spans="1:18">
      <c r="A2" s="18" t="s">
        <v>374</v>
      </c>
    </row>
    <row r="3" spans="1:18" ht="26.25">
      <c r="A3" s="9" t="s">
        <v>169</v>
      </c>
      <c r="B3" s="9" t="s">
        <v>170</v>
      </c>
      <c r="C3" s="9" t="s">
        <v>171</v>
      </c>
      <c r="D3" s="9" t="s">
        <v>172</v>
      </c>
      <c r="E3" s="9" t="s">
        <v>173</v>
      </c>
      <c r="F3" s="9" t="s">
        <v>138</v>
      </c>
      <c r="G3" s="9" t="s">
        <v>174</v>
      </c>
      <c r="H3" s="9" t="s">
        <v>175</v>
      </c>
      <c r="I3" s="9" t="s">
        <v>176</v>
      </c>
      <c r="J3" s="19" t="s">
        <v>177</v>
      </c>
      <c r="K3" s="20" t="s">
        <v>178</v>
      </c>
      <c r="L3" s="20" t="s">
        <v>179</v>
      </c>
      <c r="M3" s="20" t="s">
        <v>180</v>
      </c>
      <c r="N3" s="21" t="s">
        <v>181</v>
      </c>
      <c r="O3" s="9" t="s">
        <v>182</v>
      </c>
      <c r="P3" s="9" t="s">
        <v>183</v>
      </c>
      <c r="Q3" s="9" t="s">
        <v>184</v>
      </c>
      <c r="R3" s="9" t="s">
        <v>185</v>
      </c>
    </row>
    <row r="4" spans="1:18" ht="51">
      <c r="A4" s="4">
        <v>1</v>
      </c>
      <c r="B4" s="15" t="s">
        <v>170</v>
      </c>
      <c r="C4" s="15" t="s">
        <v>66</v>
      </c>
      <c r="D4" s="15" t="s">
        <v>186</v>
      </c>
      <c r="E4" s="15" t="s">
        <v>187</v>
      </c>
      <c r="F4" s="4"/>
      <c r="G4" s="4" t="s">
        <v>188</v>
      </c>
      <c r="H4" s="4" t="s">
        <v>189</v>
      </c>
      <c r="I4" s="4"/>
      <c r="J4" s="22"/>
      <c r="K4" s="22"/>
      <c r="L4" s="22"/>
      <c r="M4" s="22"/>
      <c r="N4" s="22"/>
      <c r="O4" s="4" t="s">
        <v>190</v>
      </c>
      <c r="P4" s="4" t="s">
        <v>375</v>
      </c>
      <c r="Q4" s="16" t="s">
        <v>192</v>
      </c>
      <c r="R4" s="4" t="s">
        <v>193</v>
      </c>
    </row>
    <row r="5" spans="1:18" ht="51">
      <c r="A5" s="4">
        <v>2</v>
      </c>
      <c r="B5" s="15" t="s">
        <v>170</v>
      </c>
      <c r="C5" s="15" t="s">
        <v>376</v>
      </c>
      <c r="D5" s="15" t="s">
        <v>308</v>
      </c>
      <c r="E5" s="15" t="s">
        <v>187</v>
      </c>
      <c r="F5" s="4"/>
      <c r="G5" s="4" t="s">
        <v>188</v>
      </c>
      <c r="H5" s="4" t="s">
        <v>377</v>
      </c>
      <c r="I5" s="4"/>
      <c r="J5" s="22"/>
      <c r="K5" s="22"/>
      <c r="L5" s="22"/>
      <c r="M5" s="22" t="s">
        <v>378</v>
      </c>
      <c r="N5" s="22"/>
      <c r="O5" s="4" t="s">
        <v>190</v>
      </c>
      <c r="P5" s="4" t="s">
        <v>375</v>
      </c>
      <c r="Q5" s="16" t="s">
        <v>379</v>
      </c>
      <c r="R5" s="4" t="s">
        <v>193</v>
      </c>
    </row>
    <row r="6" spans="1:18" ht="51">
      <c r="A6" s="4">
        <v>3</v>
      </c>
      <c r="B6" s="4"/>
      <c r="C6" s="4" t="s">
        <v>380</v>
      </c>
      <c r="D6" s="4" t="s">
        <v>217</v>
      </c>
      <c r="E6" s="4" t="s">
        <v>196</v>
      </c>
      <c r="F6" s="4" t="s">
        <v>381</v>
      </c>
      <c r="G6" s="4" t="s">
        <v>382</v>
      </c>
      <c r="H6" s="4" t="s">
        <v>383</v>
      </c>
      <c r="I6" s="4" t="s">
        <v>257</v>
      </c>
      <c r="J6" s="22"/>
      <c r="K6" s="22"/>
      <c r="L6" s="22"/>
      <c r="M6" s="22"/>
      <c r="N6" s="22"/>
      <c r="O6" s="23" t="s">
        <v>193</v>
      </c>
      <c r="P6" s="4" t="s">
        <v>375</v>
      </c>
      <c r="Q6" s="4" t="s">
        <v>384</v>
      </c>
      <c r="R6" s="4"/>
    </row>
    <row r="7" spans="1:18" ht="51">
      <c r="A7" s="4">
        <v>4</v>
      </c>
      <c r="B7" s="4"/>
      <c r="C7" s="4" t="s">
        <v>385</v>
      </c>
      <c r="D7" s="4" t="s">
        <v>217</v>
      </c>
      <c r="E7" s="4" t="s">
        <v>196</v>
      </c>
      <c r="F7" s="4" t="s">
        <v>386</v>
      </c>
      <c r="G7" s="4" t="s">
        <v>386</v>
      </c>
      <c r="H7" s="4" t="s">
        <v>387</v>
      </c>
      <c r="I7" s="4"/>
      <c r="J7" s="22"/>
      <c r="K7" s="22"/>
      <c r="L7" s="22"/>
      <c r="M7" s="22"/>
      <c r="N7" s="22"/>
      <c r="O7" s="23" t="s">
        <v>193</v>
      </c>
      <c r="P7" s="4" t="s">
        <v>375</v>
      </c>
      <c r="Q7" s="4" t="s">
        <v>388</v>
      </c>
      <c r="R7" s="4"/>
    </row>
    <row r="8" spans="1:18" ht="51">
      <c r="A8" s="4">
        <v>5</v>
      </c>
      <c r="B8" s="4"/>
      <c r="C8" s="4" t="s">
        <v>389</v>
      </c>
      <c r="D8" s="4" t="s">
        <v>217</v>
      </c>
      <c r="E8" s="4" t="s">
        <v>196</v>
      </c>
      <c r="F8" s="4" t="s">
        <v>390</v>
      </c>
      <c r="G8" s="4" t="s">
        <v>390</v>
      </c>
      <c r="H8" s="4" t="s">
        <v>391</v>
      </c>
      <c r="I8" s="4"/>
      <c r="J8" s="22"/>
      <c r="K8" s="22"/>
      <c r="L8" s="22"/>
      <c r="M8" s="22"/>
      <c r="N8" s="22"/>
      <c r="O8" s="23" t="s">
        <v>193</v>
      </c>
      <c r="P8" s="4" t="s">
        <v>375</v>
      </c>
      <c r="Q8" s="4" t="s">
        <v>392</v>
      </c>
      <c r="R8" s="4"/>
    </row>
    <row r="9" spans="1:18" ht="102">
      <c r="A9" s="4">
        <v>6</v>
      </c>
      <c r="B9" s="4"/>
      <c r="C9" s="4" t="s">
        <v>393</v>
      </c>
      <c r="D9" s="4" t="s">
        <v>308</v>
      </c>
      <c r="E9" s="4" t="s">
        <v>196</v>
      </c>
      <c r="F9" s="4" t="s">
        <v>394</v>
      </c>
      <c r="G9" s="4" t="s">
        <v>352</v>
      </c>
      <c r="H9" s="4" t="s">
        <v>395</v>
      </c>
      <c r="I9" s="4"/>
      <c r="J9" s="22"/>
      <c r="K9" s="22"/>
      <c r="L9" s="22"/>
      <c r="M9" s="22"/>
      <c r="N9" s="22"/>
      <c r="O9" s="23" t="s">
        <v>193</v>
      </c>
      <c r="P9" s="4" t="s">
        <v>375</v>
      </c>
      <c r="Q9" s="4" t="s">
        <v>396</v>
      </c>
      <c r="R9" s="4"/>
    </row>
    <row r="10" spans="1:18" ht="63.75">
      <c r="A10" s="4">
        <v>7</v>
      </c>
      <c r="B10" s="4"/>
      <c r="C10" s="4" t="s">
        <v>307</v>
      </c>
      <c r="D10" s="4" t="s">
        <v>308</v>
      </c>
      <c r="E10" s="4" t="s">
        <v>196</v>
      </c>
      <c r="F10" s="4" t="s">
        <v>397</v>
      </c>
      <c r="G10" s="4" t="s">
        <v>398</v>
      </c>
      <c r="H10" s="4" t="s">
        <v>311</v>
      </c>
      <c r="I10" s="4"/>
      <c r="J10" s="22"/>
      <c r="K10" s="22"/>
      <c r="L10" s="22"/>
      <c r="M10" s="22" t="s">
        <v>399</v>
      </c>
      <c r="N10" s="22" t="s">
        <v>101</v>
      </c>
      <c r="O10" s="23" t="s">
        <v>193</v>
      </c>
      <c r="P10" s="4" t="s">
        <v>400</v>
      </c>
      <c r="Q10" s="4" t="s">
        <v>401</v>
      </c>
      <c r="R10" s="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
  <sheetViews>
    <sheetView showGridLines="0" topLeftCell="D1" workbookViewId="0">
      <pane ySplit="3" topLeftCell="A4" activePane="bottomLeft" state="frozen"/>
      <selection pane="bottomLeft"/>
    </sheetView>
  </sheetViews>
  <sheetFormatPr defaultRowHeight="14.25"/>
  <cols>
    <col min="1" max="2" width="5" customWidth="1"/>
    <col min="3" max="3" width="30" customWidth="1"/>
    <col min="4" max="4" width="16" customWidth="1"/>
    <col min="5" max="5" width="6" customWidth="1"/>
    <col min="6" max="6" width="30" customWidth="1"/>
    <col min="7" max="7" width="32" customWidth="1"/>
    <col min="8" max="8" width="40" customWidth="1"/>
    <col min="9" max="9" width="20" customWidth="1"/>
    <col min="10" max="11" width="15" customWidth="1"/>
    <col min="12" max="12" width="16" customWidth="1"/>
    <col min="13" max="13" width="28" customWidth="1"/>
    <col min="14" max="14" width="16" customWidth="1"/>
    <col min="15" max="15" width="13" customWidth="1"/>
    <col min="16" max="16" width="16" customWidth="1"/>
    <col min="17" max="17" width="42" customWidth="1"/>
    <col min="18" max="18" width="8" customWidth="1"/>
  </cols>
  <sheetData>
    <row r="1" spans="1:18" ht="20.100000000000001" customHeight="1">
      <c r="A1" s="1" t="s">
        <v>402</v>
      </c>
    </row>
    <row r="2" spans="1:18">
      <c r="A2" s="18" t="s">
        <v>403</v>
      </c>
    </row>
    <row r="3" spans="1:18" ht="26.25">
      <c r="A3" s="9" t="s">
        <v>169</v>
      </c>
      <c r="B3" s="9" t="s">
        <v>170</v>
      </c>
      <c r="C3" s="9" t="s">
        <v>171</v>
      </c>
      <c r="D3" s="9" t="s">
        <v>172</v>
      </c>
      <c r="E3" s="9" t="s">
        <v>173</v>
      </c>
      <c r="F3" s="9" t="s">
        <v>138</v>
      </c>
      <c r="G3" s="9" t="s">
        <v>174</v>
      </c>
      <c r="H3" s="9" t="s">
        <v>175</v>
      </c>
      <c r="I3" s="9" t="s">
        <v>176</v>
      </c>
      <c r="J3" s="19" t="s">
        <v>177</v>
      </c>
      <c r="K3" s="20" t="s">
        <v>178</v>
      </c>
      <c r="L3" s="20" t="s">
        <v>179</v>
      </c>
      <c r="M3" s="20" t="s">
        <v>180</v>
      </c>
      <c r="N3" s="21" t="s">
        <v>181</v>
      </c>
      <c r="O3" s="9" t="s">
        <v>182</v>
      </c>
      <c r="P3" s="9" t="s">
        <v>183</v>
      </c>
      <c r="Q3" s="9" t="s">
        <v>184</v>
      </c>
      <c r="R3" s="9" t="s">
        <v>185</v>
      </c>
    </row>
    <row r="4" spans="1:18" ht="38.25">
      <c r="A4" s="4">
        <v>1</v>
      </c>
      <c r="B4" s="15" t="s">
        <v>170</v>
      </c>
      <c r="C4" s="15" t="s">
        <v>66</v>
      </c>
      <c r="D4" s="15" t="s">
        <v>186</v>
      </c>
      <c r="E4" s="15" t="s">
        <v>187</v>
      </c>
      <c r="F4" s="4"/>
      <c r="G4" s="4" t="s">
        <v>188</v>
      </c>
      <c r="H4" s="4" t="s">
        <v>189</v>
      </c>
      <c r="I4" s="4"/>
      <c r="J4" s="22"/>
      <c r="K4" s="22"/>
      <c r="L4" s="22"/>
      <c r="M4" s="22"/>
      <c r="N4" s="22"/>
      <c r="O4" s="4" t="s">
        <v>190</v>
      </c>
      <c r="P4" s="4" t="s">
        <v>404</v>
      </c>
      <c r="Q4" s="16" t="s">
        <v>192</v>
      </c>
      <c r="R4" s="4" t="s">
        <v>193</v>
      </c>
    </row>
    <row r="5" spans="1:18" ht="38.25">
      <c r="A5" s="4">
        <v>2</v>
      </c>
      <c r="B5" s="15" t="s">
        <v>170</v>
      </c>
      <c r="C5" s="15" t="s">
        <v>376</v>
      </c>
      <c r="D5" s="15" t="s">
        <v>308</v>
      </c>
      <c r="E5" s="15" t="s">
        <v>187</v>
      </c>
      <c r="F5" s="4"/>
      <c r="G5" s="4" t="s">
        <v>188</v>
      </c>
      <c r="H5" s="4" t="s">
        <v>377</v>
      </c>
      <c r="I5" s="4"/>
      <c r="J5" s="22"/>
      <c r="K5" s="22"/>
      <c r="L5" s="22"/>
      <c r="M5" s="22" t="e">
        <f ca="1">V_ADDRESS_ID ở STG_ADDRESS_MASTER (liên kết)</f>
        <v>#NAME?</v>
      </c>
      <c r="N5" s="22"/>
      <c r="O5" s="4" t="s">
        <v>190</v>
      </c>
      <c r="P5" s="4" t="s">
        <v>404</v>
      </c>
      <c r="Q5" s="16" t="s">
        <v>405</v>
      </c>
      <c r="R5" s="4" t="s">
        <v>193</v>
      </c>
    </row>
    <row r="6" spans="1:18" ht="63.75">
      <c r="A6" s="4">
        <v>3</v>
      </c>
      <c r="B6" s="15" t="s">
        <v>170</v>
      </c>
      <c r="C6" s="15" t="s">
        <v>406</v>
      </c>
      <c r="D6" s="15" t="s">
        <v>308</v>
      </c>
      <c r="E6" s="15" t="s">
        <v>187</v>
      </c>
      <c r="F6" s="4"/>
      <c r="G6" s="4" t="s">
        <v>188</v>
      </c>
      <c r="H6" s="4" t="s">
        <v>407</v>
      </c>
      <c r="I6" s="4"/>
      <c r="J6" s="22"/>
      <c r="K6" s="22"/>
      <c r="L6" s="22"/>
      <c r="M6" s="22"/>
      <c r="N6" s="22"/>
      <c r="O6" s="4" t="s">
        <v>190</v>
      </c>
      <c r="P6" s="4" t="s">
        <v>404</v>
      </c>
      <c r="Q6" s="16" t="s">
        <v>192</v>
      </c>
      <c r="R6" s="4" t="s">
        <v>193</v>
      </c>
    </row>
    <row r="7" spans="1:18" ht="51">
      <c r="A7" s="4">
        <v>4</v>
      </c>
      <c r="B7" s="15" t="s">
        <v>170</v>
      </c>
      <c r="C7" s="15" t="s">
        <v>209</v>
      </c>
      <c r="D7" s="15" t="s">
        <v>210</v>
      </c>
      <c r="E7" s="15" t="s">
        <v>187</v>
      </c>
      <c r="F7" s="4"/>
      <c r="G7" s="4" t="s">
        <v>188</v>
      </c>
      <c r="H7" s="4" t="s">
        <v>213</v>
      </c>
      <c r="I7" s="4"/>
      <c r="J7" s="22"/>
      <c r="K7" s="22"/>
      <c r="L7" s="22"/>
      <c r="M7" s="22" t="e">
        <f ca="1">CIF (V_PARTY_ID ở STG_PARTY_MASTER)</f>
        <v>#NAME?</v>
      </c>
      <c r="N7" s="22"/>
      <c r="O7" s="4" t="s">
        <v>190</v>
      </c>
      <c r="P7" s="4" t="s">
        <v>404</v>
      </c>
      <c r="Q7" s="16" t="s">
        <v>408</v>
      </c>
      <c r="R7" s="4" t="s">
        <v>193</v>
      </c>
    </row>
    <row r="8" spans="1:18" ht="63.75">
      <c r="A8" s="4">
        <v>5</v>
      </c>
      <c r="B8" s="4"/>
      <c r="C8" s="22" t="s">
        <v>409</v>
      </c>
      <c r="D8" s="4" t="s">
        <v>296</v>
      </c>
      <c r="E8" s="4" t="s">
        <v>196</v>
      </c>
      <c r="F8" s="22" t="s">
        <v>197</v>
      </c>
      <c r="G8" s="4" t="s">
        <v>198</v>
      </c>
      <c r="H8" s="4" t="s">
        <v>410</v>
      </c>
      <c r="I8" s="4"/>
      <c r="J8" s="22"/>
      <c r="K8" s="22"/>
      <c r="L8" s="22"/>
      <c r="M8" s="22"/>
      <c r="N8" s="22" t="s">
        <v>411</v>
      </c>
      <c r="O8" s="4" t="s">
        <v>193</v>
      </c>
      <c r="P8" s="4" t="s">
        <v>404</v>
      </c>
      <c r="Q8" s="22" t="s">
        <v>412</v>
      </c>
      <c r="R8" s="4" t="s">
        <v>193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13"/>
  <sheetViews>
    <sheetView showGridLines="0" workbookViewId="0">
      <pane ySplit="3" topLeftCell="A4" activePane="bottomLeft" state="frozen"/>
      <selection pane="bottomLeft" activeCell="H16" sqref="H16"/>
    </sheetView>
  </sheetViews>
  <sheetFormatPr defaultRowHeight="14.25"/>
  <cols>
    <col min="1" max="2" width="5" customWidth="1"/>
    <col min="3" max="3" width="30" customWidth="1"/>
    <col min="4" max="4" width="16" customWidth="1"/>
    <col min="5" max="5" width="6" customWidth="1"/>
    <col min="6" max="6" width="30" customWidth="1"/>
    <col min="7" max="7" width="32" customWidth="1"/>
    <col min="8" max="8" width="40" customWidth="1"/>
    <col min="9" max="9" width="20" customWidth="1"/>
    <col min="10" max="11" width="15" customWidth="1"/>
    <col min="12" max="12" width="16" customWidth="1"/>
    <col min="13" max="13" width="28" customWidth="1"/>
    <col min="14" max="14" width="16" customWidth="1"/>
    <col min="15" max="15" width="13" customWidth="1"/>
    <col min="16" max="16" width="16" customWidth="1"/>
    <col min="17" max="17" width="42" customWidth="1"/>
    <col min="18" max="18" width="8" customWidth="1"/>
  </cols>
  <sheetData>
    <row r="1" spans="1:18" ht="20.100000000000001" customHeight="1">
      <c r="A1" s="1" t="s">
        <v>413</v>
      </c>
    </row>
    <row r="2" spans="1:18">
      <c r="A2" s="18" t="s">
        <v>414</v>
      </c>
    </row>
    <row r="3" spans="1:18" ht="26.25">
      <c r="A3" s="9" t="s">
        <v>169</v>
      </c>
      <c r="B3" s="9" t="s">
        <v>170</v>
      </c>
      <c r="C3" s="9" t="s">
        <v>171</v>
      </c>
      <c r="D3" s="9" t="s">
        <v>172</v>
      </c>
      <c r="E3" s="9" t="s">
        <v>173</v>
      </c>
      <c r="F3" s="9" t="s">
        <v>138</v>
      </c>
      <c r="G3" s="9" t="s">
        <v>174</v>
      </c>
      <c r="H3" s="9" t="s">
        <v>175</v>
      </c>
      <c r="I3" s="9" t="s">
        <v>176</v>
      </c>
      <c r="J3" s="19" t="s">
        <v>177</v>
      </c>
      <c r="K3" s="20" t="s">
        <v>178</v>
      </c>
      <c r="L3" s="20" t="s">
        <v>179</v>
      </c>
      <c r="M3" s="20" t="s">
        <v>180</v>
      </c>
      <c r="N3" s="21" t="s">
        <v>181</v>
      </c>
      <c r="O3" s="9" t="s">
        <v>182</v>
      </c>
      <c r="P3" s="9" t="s">
        <v>183</v>
      </c>
      <c r="Q3" s="9" t="s">
        <v>184</v>
      </c>
      <c r="R3" s="9" t="s">
        <v>185</v>
      </c>
    </row>
    <row r="4" spans="1:18" ht="38.25">
      <c r="A4" s="4">
        <v>1</v>
      </c>
      <c r="B4" s="15" t="s">
        <v>170</v>
      </c>
      <c r="C4" s="15" t="s">
        <v>66</v>
      </c>
      <c r="D4" s="15" t="s">
        <v>186</v>
      </c>
      <c r="E4" s="15" t="s">
        <v>187</v>
      </c>
      <c r="F4" s="4"/>
      <c r="G4" s="4" t="s">
        <v>188</v>
      </c>
      <c r="H4" s="4" t="s">
        <v>415</v>
      </c>
      <c r="I4" s="4"/>
      <c r="J4" s="22"/>
      <c r="K4" s="22"/>
      <c r="L4" s="22"/>
      <c r="M4" s="22"/>
      <c r="N4" s="22"/>
      <c r="O4" s="4" t="s">
        <v>190</v>
      </c>
      <c r="P4" s="4" t="s">
        <v>416</v>
      </c>
      <c r="Q4" s="16" t="s">
        <v>192</v>
      </c>
      <c r="R4" s="4" t="s">
        <v>193</v>
      </c>
    </row>
    <row r="5" spans="1:18" ht="38.25">
      <c r="A5" s="4">
        <v>2</v>
      </c>
      <c r="B5" s="15" t="s">
        <v>170</v>
      </c>
      <c r="C5" s="15" t="s">
        <v>209</v>
      </c>
      <c r="D5" s="15" t="s">
        <v>210</v>
      </c>
      <c r="E5" s="15" t="s">
        <v>187</v>
      </c>
      <c r="F5" s="4"/>
      <c r="G5" s="4" t="s">
        <v>188</v>
      </c>
      <c r="H5" s="4" t="s">
        <v>417</v>
      </c>
      <c r="I5" s="4"/>
      <c r="J5" s="22"/>
      <c r="K5" s="22"/>
      <c r="L5" s="22"/>
      <c r="M5" s="22"/>
      <c r="N5" s="22"/>
      <c r="O5" s="4" t="s">
        <v>190</v>
      </c>
      <c r="P5" s="4" t="s">
        <v>416</v>
      </c>
      <c r="Q5" s="16" t="s">
        <v>192</v>
      </c>
      <c r="R5" s="4" t="s">
        <v>193</v>
      </c>
    </row>
    <row r="6" spans="1:18" ht="25.5">
      <c r="A6" s="4">
        <v>3</v>
      </c>
      <c r="B6" s="15" t="s">
        <v>170</v>
      </c>
      <c r="C6" s="15" t="s">
        <v>418</v>
      </c>
      <c r="D6" s="15" t="s">
        <v>308</v>
      </c>
      <c r="E6" s="15" t="s">
        <v>187</v>
      </c>
      <c r="F6" s="4"/>
      <c r="G6" s="4" t="s">
        <v>188</v>
      </c>
      <c r="H6" s="4" t="s">
        <v>419</v>
      </c>
      <c r="I6" s="4"/>
      <c r="J6" s="22"/>
      <c r="K6" s="22"/>
      <c r="L6" s="22"/>
      <c r="M6" s="22"/>
      <c r="N6" s="22"/>
      <c r="O6" s="4" t="s">
        <v>420</v>
      </c>
      <c r="P6" s="4"/>
      <c r="Q6" s="16" t="s">
        <v>192</v>
      </c>
      <c r="R6" s="4" t="s">
        <v>193</v>
      </c>
    </row>
    <row r="7" spans="1:18" ht="51">
      <c r="A7" s="4">
        <v>4</v>
      </c>
      <c r="B7" s="15" t="s">
        <v>170</v>
      </c>
      <c r="C7" s="15" t="s">
        <v>421</v>
      </c>
      <c r="D7" s="15" t="s">
        <v>308</v>
      </c>
      <c r="E7" s="15" t="s">
        <v>187</v>
      </c>
      <c r="F7" s="4"/>
      <c r="G7" s="4" t="s">
        <v>188</v>
      </c>
      <c r="H7" s="4" t="s">
        <v>422</v>
      </c>
      <c r="I7" s="4"/>
      <c r="J7" s="22"/>
      <c r="K7" s="22"/>
      <c r="L7" s="22"/>
      <c r="M7" s="22"/>
      <c r="N7" s="22"/>
      <c r="O7" s="4" t="s">
        <v>190</v>
      </c>
      <c r="P7" s="4" t="s">
        <v>416</v>
      </c>
      <c r="Q7" s="16" t="s">
        <v>192</v>
      </c>
      <c r="R7" s="4" t="s">
        <v>193</v>
      </c>
    </row>
    <row r="8" spans="1:18" ht="63.75">
      <c r="A8" s="4">
        <v>5</v>
      </c>
      <c r="B8" s="4"/>
      <c r="C8" s="22" t="s">
        <v>409</v>
      </c>
      <c r="D8" s="4" t="s">
        <v>296</v>
      </c>
      <c r="E8" s="4" t="s">
        <v>196</v>
      </c>
      <c r="F8" s="22" t="s">
        <v>197</v>
      </c>
      <c r="G8" s="4" t="s">
        <v>198</v>
      </c>
      <c r="H8" s="4" t="s">
        <v>423</v>
      </c>
      <c r="I8" s="4"/>
      <c r="J8" s="22"/>
      <c r="K8" s="22"/>
      <c r="L8" s="22"/>
      <c r="M8" s="22"/>
      <c r="N8" s="22" t="s">
        <v>411</v>
      </c>
      <c r="O8" s="4" t="s">
        <v>193</v>
      </c>
      <c r="P8" s="4" t="s">
        <v>416</v>
      </c>
      <c r="Q8" s="22" t="s">
        <v>424</v>
      </c>
      <c r="R8" s="4" t="s">
        <v>193</v>
      </c>
    </row>
    <row r="9" spans="1:18" ht="38.25">
      <c r="A9" s="4">
        <v>6</v>
      </c>
      <c r="B9" s="4"/>
      <c r="C9" s="4" t="s">
        <v>425</v>
      </c>
      <c r="D9" s="4" t="s">
        <v>426</v>
      </c>
      <c r="E9" s="4" t="s">
        <v>196</v>
      </c>
      <c r="F9" s="4" t="s">
        <v>427</v>
      </c>
      <c r="G9" s="4" t="s">
        <v>428</v>
      </c>
      <c r="H9" s="4" t="s">
        <v>429</v>
      </c>
      <c r="I9" s="4"/>
      <c r="J9" s="22"/>
      <c r="K9" s="22"/>
      <c r="L9" s="22"/>
      <c r="M9" s="22"/>
      <c r="N9" s="22"/>
      <c r="O9" s="23" t="s">
        <v>193</v>
      </c>
      <c r="P9" s="4" t="s">
        <v>416</v>
      </c>
      <c r="Q9" s="4" t="s">
        <v>273</v>
      </c>
      <c r="R9" s="4"/>
    </row>
    <row r="10" spans="1:18" ht="51">
      <c r="A10" s="4">
        <v>7</v>
      </c>
      <c r="B10" s="4" t="s">
        <v>170</v>
      </c>
      <c r="C10" s="4" t="s">
        <v>421</v>
      </c>
      <c r="D10" s="4" t="s">
        <v>308</v>
      </c>
      <c r="E10" s="4" t="s">
        <v>187</v>
      </c>
      <c r="F10" s="4" t="s">
        <v>430</v>
      </c>
      <c r="G10" s="4" t="s">
        <v>431</v>
      </c>
      <c r="H10" s="4" t="s">
        <v>422</v>
      </c>
      <c r="I10" s="4" t="s">
        <v>432</v>
      </c>
      <c r="J10" s="22"/>
      <c r="K10" s="22"/>
      <c r="L10" s="22"/>
      <c r="M10" s="22"/>
      <c r="N10" s="22"/>
      <c r="O10" s="4" t="s">
        <v>193</v>
      </c>
      <c r="P10" s="4" t="s">
        <v>416</v>
      </c>
      <c r="Q10" s="16" t="s">
        <v>433</v>
      </c>
      <c r="R10" s="4"/>
    </row>
    <row r="12" spans="1:18">
      <c r="A12" s="17" t="s">
        <v>434</v>
      </c>
    </row>
    <row r="13" spans="1:18">
      <c r="A13" s="33" t="s">
        <v>435</v>
      </c>
      <c r="B13" s="35"/>
      <c r="C13" s="35"/>
      <c r="D13" s="35"/>
      <c r="E13" s="35"/>
      <c r="F13" s="35"/>
      <c r="G13" s="35"/>
      <c r="H13" s="35"/>
      <c r="I13" s="35"/>
      <c r="J13" s="35"/>
      <c r="K13" s="35"/>
      <c r="L13" s="35"/>
      <c r="M13" s="35"/>
      <c r="N13" s="35"/>
      <c r="O13" s="35"/>
      <c r="P13" s="35"/>
      <c r="Q13" s="35"/>
      <c r="R13" s="35"/>
    </row>
  </sheetData>
  <mergeCells count="1">
    <mergeCell ref="A13:R1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8"/>
  <sheetViews>
    <sheetView showGridLines="0" workbookViewId="0">
      <pane ySplit="3" topLeftCell="A4" activePane="bottomLeft" state="frozen"/>
      <selection pane="bottomLeft"/>
    </sheetView>
  </sheetViews>
  <sheetFormatPr defaultRowHeight="14.25"/>
  <cols>
    <col min="1" max="2" width="5" customWidth="1"/>
    <col min="3" max="3" width="30" customWidth="1"/>
    <col min="4" max="4" width="16" customWidth="1"/>
    <col min="5" max="5" width="6" customWidth="1"/>
    <col min="6" max="6" width="30" customWidth="1"/>
    <col min="7" max="7" width="32" customWidth="1"/>
    <col min="8" max="8" width="40" customWidth="1"/>
    <col min="9" max="9" width="20" customWidth="1"/>
    <col min="10" max="11" width="15" customWidth="1"/>
    <col min="12" max="12" width="16" customWidth="1"/>
    <col min="13" max="13" width="28" customWidth="1"/>
    <col min="14" max="14" width="16" customWidth="1"/>
    <col min="15" max="15" width="13" customWidth="1"/>
    <col min="16" max="16" width="16" customWidth="1"/>
    <col min="17" max="17" width="42" customWidth="1"/>
    <col min="18" max="18" width="8" customWidth="1"/>
  </cols>
  <sheetData>
    <row r="1" spans="1:18" ht="20.100000000000001" customHeight="1">
      <c r="A1" s="1" t="s">
        <v>436</v>
      </c>
    </row>
    <row r="2" spans="1:18">
      <c r="A2" s="18" t="s">
        <v>437</v>
      </c>
    </row>
    <row r="3" spans="1:18" ht="26.25">
      <c r="A3" s="9" t="s">
        <v>169</v>
      </c>
      <c r="B3" s="9" t="s">
        <v>170</v>
      </c>
      <c r="C3" s="9" t="s">
        <v>171</v>
      </c>
      <c r="D3" s="9" t="s">
        <v>172</v>
      </c>
      <c r="E3" s="9" t="s">
        <v>173</v>
      </c>
      <c r="F3" s="9" t="s">
        <v>138</v>
      </c>
      <c r="G3" s="9" t="s">
        <v>174</v>
      </c>
      <c r="H3" s="9" t="s">
        <v>175</v>
      </c>
      <c r="I3" s="9" t="s">
        <v>176</v>
      </c>
      <c r="J3" s="19" t="s">
        <v>177</v>
      </c>
      <c r="K3" s="20" t="s">
        <v>178</v>
      </c>
      <c r="L3" s="20" t="s">
        <v>179</v>
      </c>
      <c r="M3" s="20" t="s">
        <v>180</v>
      </c>
      <c r="N3" s="21" t="s">
        <v>181</v>
      </c>
      <c r="O3" s="9" t="s">
        <v>182</v>
      </c>
      <c r="P3" s="9" t="s">
        <v>183</v>
      </c>
      <c r="Q3" s="9" t="s">
        <v>184</v>
      </c>
      <c r="R3" s="9" t="s">
        <v>185</v>
      </c>
    </row>
    <row r="4" spans="1:18" ht="25.5">
      <c r="A4" s="4">
        <v>1</v>
      </c>
      <c r="B4" s="15" t="s">
        <v>170</v>
      </c>
      <c r="C4" s="15" t="s">
        <v>66</v>
      </c>
      <c r="D4" s="15" t="s">
        <v>186</v>
      </c>
      <c r="E4" s="15" t="s">
        <v>187</v>
      </c>
      <c r="F4" s="4"/>
      <c r="G4" s="4" t="s">
        <v>188</v>
      </c>
      <c r="H4" s="4" t="s">
        <v>415</v>
      </c>
      <c r="I4" s="4"/>
      <c r="J4" s="22"/>
      <c r="K4" s="22"/>
      <c r="L4" s="22"/>
      <c r="M4" s="22"/>
      <c r="N4" s="22"/>
      <c r="O4" s="4" t="s">
        <v>190</v>
      </c>
      <c r="P4" s="4" t="s">
        <v>438</v>
      </c>
      <c r="Q4" s="16" t="s">
        <v>192</v>
      </c>
      <c r="R4" s="4" t="s">
        <v>193</v>
      </c>
    </row>
    <row r="5" spans="1:18" ht="51">
      <c r="A5" s="4">
        <v>2</v>
      </c>
      <c r="B5" s="15" t="s">
        <v>170</v>
      </c>
      <c r="C5" s="15" t="s">
        <v>439</v>
      </c>
      <c r="D5" s="15" t="s">
        <v>308</v>
      </c>
      <c r="E5" s="15" t="s">
        <v>187</v>
      </c>
      <c r="F5" s="4"/>
      <c r="G5" s="4" t="s">
        <v>188</v>
      </c>
      <c r="H5" s="4" t="s">
        <v>440</v>
      </c>
      <c r="I5" s="4"/>
      <c r="J5" s="22"/>
      <c r="K5" s="22"/>
      <c r="L5" s="22"/>
      <c r="M5" s="22"/>
      <c r="N5" s="22"/>
      <c r="O5" s="4" t="s">
        <v>190</v>
      </c>
      <c r="P5" s="4" t="s">
        <v>438</v>
      </c>
      <c r="Q5" s="16" t="s">
        <v>192</v>
      </c>
      <c r="R5" s="4" t="s">
        <v>193</v>
      </c>
    </row>
    <row r="6" spans="1:18" ht="25.5">
      <c r="A6" s="4">
        <v>3</v>
      </c>
      <c r="B6" s="15" t="s">
        <v>170</v>
      </c>
      <c r="C6" s="15" t="s">
        <v>209</v>
      </c>
      <c r="D6" s="15" t="s">
        <v>210</v>
      </c>
      <c r="E6" s="15" t="s">
        <v>187</v>
      </c>
      <c r="F6" s="4"/>
      <c r="G6" s="4" t="s">
        <v>188</v>
      </c>
      <c r="H6" s="4" t="s">
        <v>417</v>
      </c>
      <c r="I6" s="4"/>
      <c r="J6" s="22"/>
      <c r="K6" s="22"/>
      <c r="L6" s="22"/>
      <c r="M6" s="22"/>
      <c r="N6" s="22"/>
      <c r="O6" s="4" t="s">
        <v>190</v>
      </c>
      <c r="P6" s="4" t="s">
        <v>438</v>
      </c>
      <c r="Q6" s="16" t="s">
        <v>192</v>
      </c>
      <c r="R6" s="4" t="s">
        <v>193</v>
      </c>
    </row>
    <row r="7" spans="1:18" ht="63.75">
      <c r="A7" s="4">
        <v>4</v>
      </c>
      <c r="B7" s="4"/>
      <c r="C7" s="22" t="s">
        <v>409</v>
      </c>
      <c r="D7" s="4" t="s">
        <v>296</v>
      </c>
      <c r="E7" s="4" t="s">
        <v>196</v>
      </c>
      <c r="F7" s="22" t="s">
        <v>197</v>
      </c>
      <c r="G7" s="4" t="s">
        <v>198</v>
      </c>
      <c r="H7" s="4" t="s">
        <v>441</v>
      </c>
      <c r="I7" s="4"/>
      <c r="J7" s="22"/>
      <c r="K7" s="22"/>
      <c r="L7" s="22"/>
      <c r="M7" s="22"/>
      <c r="N7" s="22" t="s">
        <v>411</v>
      </c>
      <c r="O7" s="4" t="s">
        <v>193</v>
      </c>
      <c r="P7" s="4" t="s">
        <v>438</v>
      </c>
      <c r="Q7" s="22" t="s">
        <v>442</v>
      </c>
      <c r="R7" s="4" t="s">
        <v>193</v>
      </c>
    </row>
    <row r="8" spans="1:18" ht="25.5">
      <c r="A8" s="4">
        <v>5</v>
      </c>
      <c r="B8" s="15" t="s">
        <v>170</v>
      </c>
      <c r="C8" s="15" t="s">
        <v>443</v>
      </c>
      <c r="D8" s="15" t="s">
        <v>217</v>
      </c>
      <c r="E8" s="15" t="s">
        <v>187</v>
      </c>
      <c r="F8" s="4" t="s">
        <v>444</v>
      </c>
      <c r="G8" s="4" t="s">
        <v>28</v>
      </c>
      <c r="H8" s="4" t="s">
        <v>445</v>
      </c>
      <c r="I8" s="4"/>
      <c r="J8" s="22"/>
      <c r="K8" s="22"/>
      <c r="L8" s="22"/>
      <c r="M8" s="22"/>
      <c r="N8" s="22"/>
      <c r="O8" s="23" t="s">
        <v>193</v>
      </c>
      <c r="P8" s="4" t="s">
        <v>438</v>
      </c>
      <c r="Q8" s="4" t="s">
        <v>273</v>
      </c>
      <c r="R8" s="4"/>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15"/>
  <sheetViews>
    <sheetView showGridLines="0" workbookViewId="0">
      <pane ySplit="3" topLeftCell="A13" activePane="bottomLeft" state="frozen"/>
      <selection pane="bottomLeft"/>
    </sheetView>
  </sheetViews>
  <sheetFormatPr defaultRowHeight="14.25"/>
  <cols>
    <col min="1" max="2" width="5" customWidth="1"/>
    <col min="3" max="3" width="30" customWidth="1"/>
    <col min="4" max="4" width="16" customWidth="1"/>
    <col min="5" max="5" width="6" customWidth="1"/>
    <col min="6" max="6" width="30" customWidth="1"/>
    <col min="7" max="7" width="32" customWidth="1"/>
    <col min="8" max="8" width="40" customWidth="1"/>
    <col min="9" max="9" width="20" customWidth="1"/>
    <col min="10" max="11" width="15" customWidth="1"/>
    <col min="12" max="12" width="16" customWidth="1"/>
    <col min="13" max="13" width="28" customWidth="1"/>
    <col min="14" max="14" width="16" customWidth="1"/>
    <col min="15" max="15" width="13" customWidth="1"/>
    <col min="16" max="16" width="16" customWidth="1"/>
    <col min="17" max="17" width="42" customWidth="1"/>
    <col min="18" max="18" width="8" customWidth="1"/>
  </cols>
  <sheetData>
    <row r="1" spans="1:18" ht="20.100000000000001" customHeight="1">
      <c r="A1" s="1" t="s">
        <v>446</v>
      </c>
    </row>
    <row r="2" spans="1:18">
      <c r="A2" s="18" t="s">
        <v>447</v>
      </c>
    </row>
    <row r="3" spans="1:18" ht="26.25">
      <c r="A3" s="9" t="s">
        <v>169</v>
      </c>
      <c r="B3" s="9" t="s">
        <v>170</v>
      </c>
      <c r="C3" s="9" t="s">
        <v>171</v>
      </c>
      <c r="D3" s="9" t="s">
        <v>172</v>
      </c>
      <c r="E3" s="9" t="s">
        <v>173</v>
      </c>
      <c r="F3" s="9" t="s">
        <v>138</v>
      </c>
      <c r="G3" s="9" t="s">
        <v>174</v>
      </c>
      <c r="H3" s="9" t="s">
        <v>175</v>
      </c>
      <c r="I3" s="9" t="s">
        <v>176</v>
      </c>
      <c r="J3" s="19" t="s">
        <v>177</v>
      </c>
      <c r="K3" s="20" t="s">
        <v>178</v>
      </c>
      <c r="L3" s="20" t="s">
        <v>179</v>
      </c>
      <c r="M3" s="20" t="s">
        <v>180</v>
      </c>
      <c r="N3" s="21" t="s">
        <v>181</v>
      </c>
      <c r="O3" s="9" t="s">
        <v>182</v>
      </c>
      <c r="P3" s="9" t="s">
        <v>183</v>
      </c>
      <c r="Q3" s="9" t="s">
        <v>184</v>
      </c>
      <c r="R3" s="9" t="s">
        <v>185</v>
      </c>
    </row>
    <row r="4" spans="1:18" ht="63.75">
      <c r="A4" s="4">
        <v>1</v>
      </c>
      <c r="B4" s="15" t="s">
        <v>170</v>
      </c>
      <c r="C4" s="15" t="s">
        <v>448</v>
      </c>
      <c r="D4" s="15" t="s">
        <v>210</v>
      </c>
      <c r="E4" s="15" t="s">
        <v>187</v>
      </c>
      <c r="F4" s="4"/>
      <c r="G4" s="4" t="s">
        <v>188</v>
      </c>
      <c r="H4" s="4" t="s">
        <v>449</v>
      </c>
      <c r="I4" s="4"/>
      <c r="J4" s="22"/>
      <c r="K4" s="22"/>
      <c r="L4" s="22"/>
      <c r="M4" s="22"/>
      <c r="N4" s="22"/>
      <c r="O4" s="4" t="s">
        <v>190</v>
      </c>
      <c r="P4" s="4" t="s">
        <v>450</v>
      </c>
      <c r="Q4" s="16" t="s">
        <v>192</v>
      </c>
      <c r="R4" s="4" t="s">
        <v>193</v>
      </c>
    </row>
    <row r="5" spans="1:18" ht="38.25">
      <c r="A5" s="4">
        <v>2</v>
      </c>
      <c r="B5" s="15" t="s">
        <v>170</v>
      </c>
      <c r="C5" s="15" t="s">
        <v>66</v>
      </c>
      <c r="D5" s="15" t="s">
        <v>186</v>
      </c>
      <c r="E5" s="15" t="s">
        <v>187</v>
      </c>
      <c r="F5" s="4"/>
      <c r="G5" s="4" t="s">
        <v>188</v>
      </c>
      <c r="H5" s="4" t="s">
        <v>189</v>
      </c>
      <c r="I5" s="4"/>
      <c r="J5" s="22"/>
      <c r="K5" s="22"/>
      <c r="L5" s="22"/>
      <c r="M5" s="22"/>
      <c r="N5" s="22"/>
      <c r="O5" s="4" t="s">
        <v>190</v>
      </c>
      <c r="P5" s="4" t="s">
        <v>450</v>
      </c>
      <c r="Q5" s="16" t="s">
        <v>192</v>
      </c>
      <c r="R5" s="4" t="s">
        <v>193</v>
      </c>
    </row>
    <row r="6" spans="1:18" ht="25.5">
      <c r="A6" s="4">
        <v>3</v>
      </c>
      <c r="B6" s="15" t="s">
        <v>170</v>
      </c>
      <c r="C6" s="15" t="s">
        <v>451</v>
      </c>
      <c r="D6" s="15" t="s">
        <v>308</v>
      </c>
      <c r="E6" s="15" t="s">
        <v>187</v>
      </c>
      <c r="F6" s="4"/>
      <c r="G6" s="4" t="s">
        <v>188</v>
      </c>
      <c r="H6" s="4" t="s">
        <v>452</v>
      </c>
      <c r="I6" s="4"/>
      <c r="J6" s="22"/>
      <c r="K6" s="22"/>
      <c r="L6" s="22"/>
      <c r="M6" s="22"/>
      <c r="N6" s="22"/>
      <c r="O6" s="4" t="s">
        <v>190</v>
      </c>
      <c r="P6" s="4" t="s">
        <v>453</v>
      </c>
      <c r="Q6" s="16" t="s">
        <v>192</v>
      </c>
      <c r="R6" s="4" t="s">
        <v>193</v>
      </c>
    </row>
    <row r="7" spans="1:18" ht="51">
      <c r="A7" s="4">
        <v>4</v>
      </c>
      <c r="B7" s="4"/>
      <c r="C7" s="22" t="s">
        <v>454</v>
      </c>
      <c r="D7" s="4" t="s">
        <v>217</v>
      </c>
      <c r="E7" s="4" t="s">
        <v>196</v>
      </c>
      <c r="F7" s="22" t="s">
        <v>197</v>
      </c>
      <c r="G7" s="4" t="s">
        <v>198</v>
      </c>
      <c r="H7" s="4" t="s">
        <v>455</v>
      </c>
      <c r="I7" s="4"/>
      <c r="J7" s="22"/>
      <c r="K7" s="22"/>
      <c r="L7" s="22"/>
      <c r="M7" s="22"/>
      <c r="N7" s="22" t="s">
        <v>456</v>
      </c>
      <c r="O7" s="4" t="s">
        <v>193</v>
      </c>
      <c r="P7" s="4" t="s">
        <v>450</v>
      </c>
      <c r="Q7" s="22" t="s">
        <v>457</v>
      </c>
      <c r="R7" s="4" t="s">
        <v>193</v>
      </c>
    </row>
    <row r="8" spans="1:18" ht="51">
      <c r="A8" s="4">
        <v>5</v>
      </c>
      <c r="B8" s="4"/>
      <c r="C8" s="22" t="s">
        <v>194</v>
      </c>
      <c r="D8" s="4" t="s">
        <v>195</v>
      </c>
      <c r="E8" s="4" t="s">
        <v>196</v>
      </c>
      <c r="F8" s="22" t="s">
        <v>197</v>
      </c>
      <c r="G8" s="4" t="s">
        <v>198</v>
      </c>
      <c r="H8" s="4" t="s">
        <v>199</v>
      </c>
      <c r="I8" s="4"/>
      <c r="J8" s="22"/>
      <c r="K8" s="22"/>
      <c r="L8" s="22"/>
      <c r="M8" s="22"/>
      <c r="N8" s="22" t="s">
        <v>200</v>
      </c>
      <c r="O8" s="4" t="s">
        <v>193</v>
      </c>
      <c r="P8" s="4" t="s">
        <v>450</v>
      </c>
      <c r="Q8" s="22" t="s">
        <v>458</v>
      </c>
      <c r="R8" s="4" t="s">
        <v>193</v>
      </c>
    </row>
    <row r="9" spans="1:18" ht="369.75">
      <c r="A9" s="4">
        <v>6</v>
      </c>
      <c r="B9" s="15" t="s">
        <v>170</v>
      </c>
      <c r="C9" s="15" t="s">
        <v>459</v>
      </c>
      <c r="D9" s="15" t="s">
        <v>210</v>
      </c>
      <c r="E9" s="15" t="s">
        <v>187</v>
      </c>
      <c r="F9" s="4" t="s">
        <v>460</v>
      </c>
      <c r="G9" s="4" t="s">
        <v>461</v>
      </c>
      <c r="H9" s="4" t="s">
        <v>462</v>
      </c>
      <c r="I9" s="4" t="s">
        <v>463</v>
      </c>
      <c r="J9" s="22"/>
      <c r="K9" s="22"/>
      <c r="L9" s="22"/>
      <c r="M9" s="22"/>
      <c r="N9" s="22"/>
      <c r="O9" s="23" t="s">
        <v>193</v>
      </c>
      <c r="P9" s="4" t="s">
        <v>450</v>
      </c>
      <c r="Q9" s="4" t="s">
        <v>464</v>
      </c>
      <c r="R9" s="4"/>
    </row>
    <row r="10" spans="1:18" ht="76.5">
      <c r="A10" s="4">
        <v>7</v>
      </c>
      <c r="B10" s="4"/>
      <c r="C10" s="4" t="s">
        <v>465</v>
      </c>
      <c r="D10" s="4" t="s">
        <v>308</v>
      </c>
      <c r="E10" s="4" t="s">
        <v>196</v>
      </c>
      <c r="F10" s="4" t="s">
        <v>466</v>
      </c>
      <c r="G10" s="4" t="s">
        <v>467</v>
      </c>
      <c r="H10" s="4" t="s">
        <v>468</v>
      </c>
      <c r="I10" s="4"/>
      <c r="J10" s="22"/>
      <c r="K10" s="22"/>
      <c r="L10" s="22"/>
      <c r="M10" s="22"/>
      <c r="N10" s="22"/>
      <c r="O10" s="23" t="s">
        <v>193</v>
      </c>
      <c r="P10" s="4" t="s">
        <v>450</v>
      </c>
      <c r="Q10" s="4" t="s">
        <v>273</v>
      </c>
      <c r="R10" s="4"/>
    </row>
    <row r="11" spans="1:18" ht="25.5">
      <c r="A11" s="4">
        <v>8</v>
      </c>
      <c r="B11" s="4"/>
      <c r="C11" s="4" t="s">
        <v>469</v>
      </c>
      <c r="D11" s="4" t="s">
        <v>186</v>
      </c>
      <c r="E11" s="4" t="s">
        <v>196</v>
      </c>
      <c r="F11" s="4" t="s">
        <v>470</v>
      </c>
      <c r="G11" s="4" t="s">
        <v>471</v>
      </c>
      <c r="H11" s="4" t="s">
        <v>472</v>
      </c>
      <c r="I11" s="4"/>
      <c r="J11" s="22"/>
      <c r="K11" s="22"/>
      <c r="L11" s="22"/>
      <c r="M11" s="22"/>
      <c r="N11" s="22"/>
      <c r="O11" s="23" t="s">
        <v>193</v>
      </c>
      <c r="P11" s="4" t="s">
        <v>450</v>
      </c>
      <c r="Q11" s="4" t="s">
        <v>273</v>
      </c>
      <c r="R11" s="4"/>
    </row>
    <row r="12" spans="1:18" ht="25.5">
      <c r="A12" s="4">
        <v>9</v>
      </c>
      <c r="B12" s="4"/>
      <c r="C12" s="4" t="s">
        <v>473</v>
      </c>
      <c r="D12" s="4" t="s">
        <v>186</v>
      </c>
      <c r="E12" s="4" t="s">
        <v>196</v>
      </c>
      <c r="F12" s="4" t="s">
        <v>474</v>
      </c>
      <c r="G12" s="4" t="s">
        <v>475</v>
      </c>
      <c r="H12" s="4" t="s">
        <v>476</v>
      </c>
      <c r="I12" s="4"/>
      <c r="J12" s="22"/>
      <c r="K12" s="22"/>
      <c r="L12" s="22"/>
      <c r="M12" s="22"/>
      <c r="N12" s="22"/>
      <c r="O12" s="23" t="s">
        <v>193</v>
      </c>
      <c r="P12" s="4" t="s">
        <v>450</v>
      </c>
      <c r="Q12" s="4" t="s">
        <v>273</v>
      </c>
      <c r="R12" s="4"/>
    </row>
    <row r="13" spans="1:18" ht="25.5">
      <c r="A13" s="4">
        <v>10</v>
      </c>
      <c r="B13" s="4"/>
      <c r="C13" s="4" t="s">
        <v>477</v>
      </c>
      <c r="D13" s="4" t="s">
        <v>249</v>
      </c>
      <c r="E13" s="4" t="s">
        <v>196</v>
      </c>
      <c r="F13" s="4" t="s">
        <v>478</v>
      </c>
      <c r="G13" s="4" t="s">
        <v>479</v>
      </c>
      <c r="H13" s="4" t="s">
        <v>480</v>
      </c>
      <c r="I13" s="4"/>
      <c r="J13" s="22"/>
      <c r="K13" s="22"/>
      <c r="L13" s="22"/>
      <c r="M13" s="22"/>
      <c r="N13" s="22"/>
      <c r="O13" s="23" t="s">
        <v>193</v>
      </c>
      <c r="P13" s="4" t="s">
        <v>450</v>
      </c>
      <c r="Q13" s="4" t="s">
        <v>273</v>
      </c>
      <c r="R13" s="4"/>
    </row>
    <row r="14" spans="1:18" ht="25.5">
      <c r="A14" s="4">
        <v>11</v>
      </c>
      <c r="B14" s="4"/>
      <c r="C14" s="4" t="s">
        <v>481</v>
      </c>
      <c r="D14" s="4" t="s">
        <v>482</v>
      </c>
      <c r="E14" s="4" t="s">
        <v>196</v>
      </c>
      <c r="F14" s="4" t="s">
        <v>483</v>
      </c>
      <c r="G14" s="4" t="s">
        <v>355</v>
      </c>
      <c r="H14" s="4" t="s">
        <v>484</v>
      </c>
      <c r="I14" s="4"/>
      <c r="J14" s="22"/>
      <c r="K14" s="22"/>
      <c r="L14" s="22"/>
      <c r="M14" s="22"/>
      <c r="N14" s="22"/>
      <c r="O14" s="23" t="s">
        <v>193</v>
      </c>
      <c r="P14" s="4" t="s">
        <v>453</v>
      </c>
      <c r="Q14" s="4" t="s">
        <v>485</v>
      </c>
      <c r="R14" s="4"/>
    </row>
    <row r="15" spans="1:18" ht="63.75">
      <c r="A15" s="4">
        <v>12</v>
      </c>
      <c r="B15" s="4"/>
      <c r="C15" s="4" t="s">
        <v>307</v>
      </c>
      <c r="D15" s="4" t="s">
        <v>308</v>
      </c>
      <c r="E15" s="4" t="s">
        <v>196</v>
      </c>
      <c r="F15" s="4" t="s">
        <v>397</v>
      </c>
      <c r="G15" s="4" t="s">
        <v>398</v>
      </c>
      <c r="H15" s="4" t="s">
        <v>311</v>
      </c>
      <c r="I15" s="4"/>
      <c r="J15" s="22"/>
      <c r="K15" s="22"/>
      <c r="L15" s="22"/>
      <c r="M15" s="22" t="s">
        <v>399</v>
      </c>
      <c r="N15" s="22" t="s">
        <v>101</v>
      </c>
      <c r="O15" s="23" t="s">
        <v>193</v>
      </c>
      <c r="P15" s="4" t="s">
        <v>450</v>
      </c>
      <c r="Q15" s="4" t="s">
        <v>401</v>
      </c>
      <c r="R15" s="4"/>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10"/>
  <sheetViews>
    <sheetView showGridLines="0" workbookViewId="0">
      <pane ySplit="3" topLeftCell="A8" activePane="bottomLeft" state="frozen"/>
      <selection pane="bottomLeft"/>
    </sheetView>
  </sheetViews>
  <sheetFormatPr defaultRowHeight="14.25"/>
  <cols>
    <col min="1" max="2" width="5" customWidth="1"/>
    <col min="3" max="3" width="30" customWidth="1"/>
    <col min="4" max="4" width="16" customWidth="1"/>
    <col min="5" max="5" width="6" customWidth="1"/>
    <col min="6" max="6" width="30" customWidth="1"/>
    <col min="7" max="7" width="32" customWidth="1"/>
    <col min="8" max="8" width="40" customWidth="1"/>
    <col min="9" max="9" width="20" customWidth="1"/>
    <col min="10" max="11" width="15" customWidth="1"/>
    <col min="12" max="12" width="16" customWidth="1"/>
    <col min="13" max="13" width="28" customWidth="1"/>
    <col min="14" max="14" width="16" customWidth="1"/>
    <col min="15" max="15" width="13" customWidth="1"/>
    <col min="16" max="16" width="16" customWidth="1"/>
    <col min="17" max="17" width="42" customWidth="1"/>
    <col min="18" max="18" width="8" customWidth="1"/>
  </cols>
  <sheetData>
    <row r="1" spans="1:18" ht="20.100000000000001" customHeight="1">
      <c r="A1" s="1" t="s">
        <v>486</v>
      </c>
    </row>
    <row r="2" spans="1:18">
      <c r="A2" s="18" t="s">
        <v>487</v>
      </c>
    </row>
    <row r="3" spans="1:18" ht="26.25">
      <c r="A3" s="9" t="s">
        <v>169</v>
      </c>
      <c r="B3" s="9" t="s">
        <v>170</v>
      </c>
      <c r="C3" s="9" t="s">
        <v>171</v>
      </c>
      <c r="D3" s="9" t="s">
        <v>172</v>
      </c>
      <c r="E3" s="9" t="s">
        <v>173</v>
      </c>
      <c r="F3" s="9" t="s">
        <v>138</v>
      </c>
      <c r="G3" s="9" t="s">
        <v>174</v>
      </c>
      <c r="H3" s="9" t="s">
        <v>175</v>
      </c>
      <c r="I3" s="9" t="s">
        <v>176</v>
      </c>
      <c r="J3" s="19" t="s">
        <v>177</v>
      </c>
      <c r="K3" s="20" t="s">
        <v>178</v>
      </c>
      <c r="L3" s="20" t="s">
        <v>179</v>
      </c>
      <c r="M3" s="20" t="s">
        <v>180</v>
      </c>
      <c r="N3" s="21" t="s">
        <v>181</v>
      </c>
      <c r="O3" s="9" t="s">
        <v>182</v>
      </c>
      <c r="P3" s="9" t="s">
        <v>183</v>
      </c>
      <c r="Q3" s="9" t="s">
        <v>184</v>
      </c>
      <c r="R3" s="9" t="s">
        <v>185</v>
      </c>
    </row>
    <row r="4" spans="1:18" ht="51">
      <c r="A4" s="4">
        <v>1</v>
      </c>
      <c r="B4" s="15" t="s">
        <v>170</v>
      </c>
      <c r="C4" s="15" t="s">
        <v>209</v>
      </c>
      <c r="D4" s="15" t="s">
        <v>210</v>
      </c>
      <c r="E4" s="15" t="s">
        <v>187</v>
      </c>
      <c r="F4" s="4"/>
      <c r="G4" s="4" t="s">
        <v>188</v>
      </c>
      <c r="H4" s="4" t="s">
        <v>213</v>
      </c>
      <c r="I4" s="4"/>
      <c r="J4" s="22"/>
      <c r="K4" s="22"/>
      <c r="L4" s="22"/>
      <c r="M4" s="22"/>
      <c r="N4" s="22"/>
      <c r="O4" s="4" t="s">
        <v>190</v>
      </c>
      <c r="P4" s="4" t="s">
        <v>488</v>
      </c>
      <c r="Q4" s="16" t="s">
        <v>192</v>
      </c>
      <c r="R4" s="4" t="s">
        <v>193</v>
      </c>
    </row>
    <row r="5" spans="1:18" ht="76.5">
      <c r="A5" s="4">
        <v>2</v>
      </c>
      <c r="B5" s="15" t="s">
        <v>170</v>
      </c>
      <c r="C5" s="15" t="s">
        <v>66</v>
      </c>
      <c r="D5" s="15" t="s">
        <v>186</v>
      </c>
      <c r="E5" s="15" t="s">
        <v>187</v>
      </c>
      <c r="F5" s="4"/>
      <c r="G5" s="4" t="s">
        <v>188</v>
      </c>
      <c r="H5" s="4" t="s">
        <v>189</v>
      </c>
      <c r="I5" s="4"/>
      <c r="J5" s="22"/>
      <c r="K5" s="22"/>
      <c r="L5" s="22"/>
      <c r="M5" s="22"/>
      <c r="N5" s="22"/>
      <c r="O5" s="4" t="s">
        <v>190</v>
      </c>
      <c r="P5" s="4" t="s">
        <v>489</v>
      </c>
      <c r="Q5" s="16" t="s">
        <v>192</v>
      </c>
      <c r="R5" s="4" t="s">
        <v>193</v>
      </c>
    </row>
    <row r="6" spans="1:18" ht="51">
      <c r="A6" s="4">
        <v>3</v>
      </c>
      <c r="B6" s="4"/>
      <c r="C6" s="22" t="s">
        <v>490</v>
      </c>
      <c r="D6" s="4" t="s">
        <v>217</v>
      </c>
      <c r="E6" s="4" t="s">
        <v>196</v>
      </c>
      <c r="F6" s="22" t="s">
        <v>197</v>
      </c>
      <c r="G6" s="4" t="s">
        <v>198</v>
      </c>
      <c r="H6" s="4" t="s">
        <v>491</v>
      </c>
      <c r="I6" s="4"/>
      <c r="J6" s="22"/>
      <c r="K6" s="22"/>
      <c r="L6" s="22"/>
      <c r="M6" s="22"/>
      <c r="N6" s="22" t="s">
        <v>492</v>
      </c>
      <c r="O6" s="4" t="s">
        <v>193</v>
      </c>
      <c r="P6" s="4" t="s">
        <v>488</v>
      </c>
      <c r="Q6" s="22" t="s">
        <v>493</v>
      </c>
      <c r="R6" s="4" t="s">
        <v>193</v>
      </c>
    </row>
    <row r="7" spans="1:18" ht="76.5">
      <c r="A7" s="4">
        <v>4</v>
      </c>
      <c r="B7" s="15" t="s">
        <v>170</v>
      </c>
      <c r="C7" s="15" t="s">
        <v>494</v>
      </c>
      <c r="D7" s="15" t="s">
        <v>210</v>
      </c>
      <c r="E7" s="15" t="s">
        <v>187</v>
      </c>
      <c r="F7" s="4" t="s">
        <v>495</v>
      </c>
      <c r="G7" s="4" t="s">
        <v>496</v>
      </c>
      <c r="H7" s="4" t="s">
        <v>497</v>
      </c>
      <c r="I7" s="4"/>
      <c r="J7" s="22"/>
      <c r="K7" s="22"/>
      <c r="L7" s="22"/>
      <c r="M7" s="22"/>
      <c r="N7" s="22"/>
      <c r="O7" s="23" t="s">
        <v>193</v>
      </c>
      <c r="P7" s="4" t="s">
        <v>489</v>
      </c>
      <c r="Q7" s="4"/>
      <c r="R7" s="4"/>
    </row>
    <row r="8" spans="1:18" ht="114.75">
      <c r="A8" s="4">
        <v>5</v>
      </c>
      <c r="B8" s="15" t="s">
        <v>170</v>
      </c>
      <c r="C8" s="15" t="s">
        <v>498</v>
      </c>
      <c r="D8" s="15" t="s">
        <v>308</v>
      </c>
      <c r="E8" s="15" t="s">
        <v>187</v>
      </c>
      <c r="F8" s="4" t="s">
        <v>499</v>
      </c>
      <c r="G8" s="4" t="s">
        <v>500</v>
      </c>
      <c r="H8" s="4" t="s">
        <v>501</v>
      </c>
      <c r="I8" s="4" t="s">
        <v>502</v>
      </c>
      <c r="J8" s="22"/>
      <c r="K8" s="22"/>
      <c r="L8" s="22"/>
      <c r="M8" s="22"/>
      <c r="N8" s="22"/>
      <c r="O8" s="23" t="s">
        <v>193</v>
      </c>
      <c r="P8" s="4" t="s">
        <v>503</v>
      </c>
      <c r="Q8" s="4" t="s">
        <v>273</v>
      </c>
      <c r="R8" s="4"/>
    </row>
    <row r="9" spans="1:18" ht="38.25">
      <c r="A9" s="4">
        <v>6</v>
      </c>
      <c r="B9" s="4"/>
      <c r="C9" s="4" t="s">
        <v>504</v>
      </c>
      <c r="D9" s="4" t="s">
        <v>186</v>
      </c>
      <c r="E9" s="4" t="s">
        <v>187</v>
      </c>
      <c r="F9" s="4" t="s">
        <v>505</v>
      </c>
      <c r="G9" s="4" t="s">
        <v>506</v>
      </c>
      <c r="H9" s="4" t="s">
        <v>507</v>
      </c>
      <c r="I9" s="4"/>
      <c r="J9" s="22"/>
      <c r="K9" s="22"/>
      <c r="L9" s="22"/>
      <c r="M9" s="22"/>
      <c r="N9" s="22"/>
      <c r="O9" s="23" t="s">
        <v>193</v>
      </c>
      <c r="P9" s="4" t="s">
        <v>488</v>
      </c>
      <c r="Q9" s="4" t="s">
        <v>508</v>
      </c>
      <c r="R9" s="4"/>
    </row>
    <row r="10" spans="1:18" ht="63.75">
      <c r="A10" s="4">
        <v>7</v>
      </c>
      <c r="B10" s="4"/>
      <c r="C10" s="4" t="s">
        <v>307</v>
      </c>
      <c r="D10" s="4" t="s">
        <v>308</v>
      </c>
      <c r="E10" s="4" t="s">
        <v>196</v>
      </c>
      <c r="F10" s="4" t="s">
        <v>397</v>
      </c>
      <c r="G10" s="4" t="s">
        <v>398</v>
      </c>
      <c r="H10" s="4" t="s">
        <v>311</v>
      </c>
      <c r="I10" s="4"/>
      <c r="J10" s="22"/>
      <c r="K10" s="22"/>
      <c r="L10" s="22"/>
      <c r="M10" s="22" t="s">
        <v>399</v>
      </c>
      <c r="N10" s="22" t="s">
        <v>101</v>
      </c>
      <c r="O10" s="23" t="s">
        <v>193</v>
      </c>
      <c r="P10" s="4" t="s">
        <v>488</v>
      </c>
      <c r="Q10" s="4" t="s">
        <v>401</v>
      </c>
      <c r="R10" s="4"/>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8"/>
  <sheetViews>
    <sheetView showGridLines="0" workbookViewId="0">
      <pane ySplit="3" topLeftCell="A4" activePane="bottomLeft" state="frozen"/>
      <selection pane="bottomLeft"/>
    </sheetView>
  </sheetViews>
  <sheetFormatPr defaultRowHeight="14.25"/>
  <cols>
    <col min="1" max="2" width="5" customWidth="1"/>
    <col min="3" max="3" width="30" customWidth="1"/>
    <col min="4" max="4" width="16" customWidth="1"/>
    <col min="5" max="5" width="6" customWidth="1"/>
    <col min="6" max="6" width="30" customWidth="1"/>
    <col min="7" max="7" width="32" customWidth="1"/>
    <col min="8" max="8" width="40" customWidth="1"/>
    <col min="9" max="9" width="20" customWidth="1"/>
    <col min="10" max="11" width="15" customWidth="1"/>
    <col min="12" max="12" width="16" customWidth="1"/>
    <col min="13" max="13" width="28" customWidth="1"/>
    <col min="14" max="14" width="16" customWidth="1"/>
    <col min="15" max="15" width="13" customWidth="1"/>
    <col min="16" max="16" width="16" customWidth="1"/>
    <col min="17" max="17" width="42" customWidth="1"/>
    <col min="18" max="18" width="8" customWidth="1"/>
  </cols>
  <sheetData>
    <row r="1" spans="1:18" ht="20.100000000000001" customHeight="1">
      <c r="A1" s="1" t="s">
        <v>509</v>
      </c>
    </row>
    <row r="2" spans="1:18">
      <c r="A2" s="18" t="s">
        <v>510</v>
      </c>
    </row>
    <row r="3" spans="1:18" ht="26.25">
      <c r="A3" s="9" t="s">
        <v>169</v>
      </c>
      <c r="B3" s="9" t="s">
        <v>170</v>
      </c>
      <c r="C3" s="9" t="s">
        <v>171</v>
      </c>
      <c r="D3" s="9" t="s">
        <v>172</v>
      </c>
      <c r="E3" s="9" t="s">
        <v>173</v>
      </c>
      <c r="F3" s="9" t="s">
        <v>138</v>
      </c>
      <c r="G3" s="9" t="s">
        <v>174</v>
      </c>
      <c r="H3" s="9" t="s">
        <v>175</v>
      </c>
      <c r="I3" s="9" t="s">
        <v>176</v>
      </c>
      <c r="J3" s="19" t="s">
        <v>177</v>
      </c>
      <c r="K3" s="20" t="s">
        <v>178</v>
      </c>
      <c r="L3" s="20" t="s">
        <v>179</v>
      </c>
      <c r="M3" s="20" t="s">
        <v>180</v>
      </c>
      <c r="N3" s="21" t="s">
        <v>181</v>
      </c>
      <c r="O3" s="9" t="s">
        <v>182</v>
      </c>
      <c r="P3" s="9" t="s">
        <v>183</v>
      </c>
      <c r="Q3" s="9" t="s">
        <v>184</v>
      </c>
      <c r="R3" s="9" t="s">
        <v>185</v>
      </c>
    </row>
    <row r="4" spans="1:18" ht="114.75">
      <c r="A4" s="4">
        <v>1</v>
      </c>
      <c r="B4" s="15" t="s">
        <v>170</v>
      </c>
      <c r="C4" s="15" t="s">
        <v>209</v>
      </c>
      <c r="D4" s="15" t="s">
        <v>210</v>
      </c>
      <c r="E4" s="15" t="s">
        <v>187</v>
      </c>
      <c r="F4" s="4"/>
      <c r="G4" s="4" t="s">
        <v>188</v>
      </c>
      <c r="H4" s="4" t="s">
        <v>213</v>
      </c>
      <c r="I4" s="4"/>
      <c r="J4" s="22"/>
      <c r="K4" s="22"/>
      <c r="L4" s="22"/>
      <c r="M4" s="22"/>
      <c r="N4" s="22"/>
      <c r="O4" s="4" t="s">
        <v>190</v>
      </c>
      <c r="P4" s="4" t="s">
        <v>511</v>
      </c>
      <c r="Q4" s="16" t="s">
        <v>192</v>
      </c>
      <c r="R4" s="4" t="s">
        <v>193</v>
      </c>
    </row>
    <row r="5" spans="1:18" ht="409.5">
      <c r="A5" s="4">
        <v>2</v>
      </c>
      <c r="B5" s="15" t="s">
        <v>170</v>
      </c>
      <c r="C5" s="15" t="s">
        <v>512</v>
      </c>
      <c r="D5" s="15" t="s">
        <v>275</v>
      </c>
      <c r="E5" s="15" t="s">
        <v>187</v>
      </c>
      <c r="F5" s="4"/>
      <c r="G5" s="4" t="s">
        <v>188</v>
      </c>
      <c r="H5" s="4" t="s">
        <v>513</v>
      </c>
      <c r="I5" s="4"/>
      <c r="J5" s="22"/>
      <c r="K5" s="22"/>
      <c r="L5" s="22"/>
      <c r="M5" s="22" t="s">
        <v>514</v>
      </c>
      <c r="N5" s="22" t="s">
        <v>514</v>
      </c>
      <c r="O5" s="4" t="s">
        <v>190</v>
      </c>
      <c r="P5" s="4" t="s">
        <v>511</v>
      </c>
      <c r="Q5" s="16" t="s">
        <v>192</v>
      </c>
      <c r="R5" s="4" t="s">
        <v>193</v>
      </c>
    </row>
    <row r="6" spans="1:18" ht="114.75">
      <c r="A6" s="4">
        <v>3</v>
      </c>
      <c r="B6" s="15" t="s">
        <v>170</v>
      </c>
      <c r="C6" s="15" t="s">
        <v>66</v>
      </c>
      <c r="D6" s="15" t="s">
        <v>186</v>
      </c>
      <c r="E6" s="15" t="s">
        <v>187</v>
      </c>
      <c r="F6" s="4"/>
      <c r="G6" s="4" t="s">
        <v>188</v>
      </c>
      <c r="H6" s="4" t="s">
        <v>189</v>
      </c>
      <c r="I6" s="4"/>
      <c r="J6" s="22"/>
      <c r="K6" s="22"/>
      <c r="L6" s="22"/>
      <c r="M6" s="22"/>
      <c r="N6" s="22"/>
      <c r="O6" s="4" t="s">
        <v>190</v>
      </c>
      <c r="P6" s="4" t="s">
        <v>515</v>
      </c>
      <c r="Q6" s="16" t="s">
        <v>192</v>
      </c>
      <c r="R6" s="4" t="s">
        <v>193</v>
      </c>
    </row>
    <row r="7" spans="1:18" ht="25.5">
      <c r="A7" s="4">
        <v>4</v>
      </c>
      <c r="B7" s="4"/>
      <c r="C7" s="4" t="s">
        <v>516</v>
      </c>
      <c r="D7" s="4" t="s">
        <v>308</v>
      </c>
      <c r="E7" s="4" t="s">
        <v>196</v>
      </c>
      <c r="F7" s="4" t="s">
        <v>517</v>
      </c>
      <c r="G7" s="4" t="s">
        <v>518</v>
      </c>
      <c r="H7" s="4" t="s">
        <v>519</v>
      </c>
      <c r="I7" s="4" t="s">
        <v>520</v>
      </c>
      <c r="J7" s="22"/>
      <c r="K7" s="22"/>
      <c r="L7" s="22"/>
      <c r="M7" s="22"/>
      <c r="N7" s="22"/>
      <c r="O7" s="23" t="s">
        <v>193</v>
      </c>
      <c r="P7" s="4" t="s">
        <v>207</v>
      </c>
      <c r="Q7" s="4"/>
      <c r="R7" s="4"/>
    </row>
    <row r="8" spans="1:18" ht="63.75">
      <c r="A8" s="4">
        <v>5</v>
      </c>
      <c r="B8" s="4"/>
      <c r="C8" s="4" t="s">
        <v>307</v>
      </c>
      <c r="D8" s="4" t="s">
        <v>308</v>
      </c>
      <c r="E8" s="4" t="s">
        <v>196</v>
      </c>
      <c r="F8" s="4" t="s">
        <v>397</v>
      </c>
      <c r="G8" s="4" t="s">
        <v>398</v>
      </c>
      <c r="H8" s="4" t="s">
        <v>311</v>
      </c>
      <c r="I8" s="4"/>
      <c r="J8" s="22"/>
      <c r="K8" s="22"/>
      <c r="L8" s="22"/>
      <c r="M8" s="22" t="s">
        <v>399</v>
      </c>
      <c r="N8" s="22" t="s">
        <v>101</v>
      </c>
      <c r="O8" s="12" t="s">
        <v>258</v>
      </c>
      <c r="P8" s="4"/>
      <c r="Q8" s="4" t="s">
        <v>401</v>
      </c>
      <c r="R8" s="4"/>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7"/>
  <sheetViews>
    <sheetView showGridLines="0" workbookViewId="0">
      <pane ySplit="3" topLeftCell="A7" activePane="bottomLeft" state="frozen"/>
      <selection pane="bottomLeft"/>
    </sheetView>
  </sheetViews>
  <sheetFormatPr defaultRowHeight="14.25"/>
  <cols>
    <col min="1" max="2" width="5" customWidth="1"/>
    <col min="3" max="3" width="30" customWidth="1"/>
    <col min="4" max="4" width="16" customWidth="1"/>
    <col min="5" max="5" width="6" customWidth="1"/>
    <col min="6" max="6" width="30" customWidth="1"/>
    <col min="7" max="7" width="32" customWidth="1"/>
    <col min="8" max="8" width="40" customWidth="1"/>
    <col min="9" max="9" width="20" customWidth="1"/>
    <col min="10" max="11" width="15" customWidth="1"/>
    <col min="12" max="12" width="16" customWidth="1"/>
    <col min="13" max="13" width="28" customWidth="1"/>
    <col min="14" max="14" width="16" customWidth="1"/>
    <col min="15" max="15" width="13" customWidth="1"/>
    <col min="16" max="16" width="16" customWidth="1"/>
    <col min="17" max="17" width="42" customWidth="1"/>
    <col min="18" max="18" width="8" customWidth="1"/>
  </cols>
  <sheetData>
    <row r="1" spans="1:18" ht="20.100000000000001" customHeight="1">
      <c r="A1" s="1" t="s">
        <v>521</v>
      </c>
    </row>
    <row r="2" spans="1:18">
      <c r="A2" s="18" t="s">
        <v>522</v>
      </c>
    </row>
    <row r="3" spans="1:18" ht="26.25">
      <c r="A3" s="9" t="s">
        <v>169</v>
      </c>
      <c r="B3" s="9" t="s">
        <v>170</v>
      </c>
      <c r="C3" s="9" t="s">
        <v>171</v>
      </c>
      <c r="D3" s="9" t="s">
        <v>172</v>
      </c>
      <c r="E3" s="9" t="s">
        <v>173</v>
      </c>
      <c r="F3" s="9" t="s">
        <v>138</v>
      </c>
      <c r="G3" s="9" t="s">
        <v>174</v>
      </c>
      <c r="H3" s="9" t="s">
        <v>175</v>
      </c>
      <c r="I3" s="9" t="s">
        <v>176</v>
      </c>
      <c r="J3" s="19" t="s">
        <v>177</v>
      </c>
      <c r="K3" s="20" t="s">
        <v>178</v>
      </c>
      <c r="L3" s="20" t="s">
        <v>179</v>
      </c>
      <c r="M3" s="20" t="s">
        <v>180</v>
      </c>
      <c r="N3" s="21" t="s">
        <v>181</v>
      </c>
      <c r="O3" s="9" t="s">
        <v>182</v>
      </c>
      <c r="P3" s="9" t="s">
        <v>183</v>
      </c>
      <c r="Q3" s="9" t="s">
        <v>184</v>
      </c>
      <c r="R3" s="9" t="s">
        <v>185</v>
      </c>
    </row>
    <row r="4" spans="1:18" ht="38.25">
      <c r="A4" s="4">
        <v>1</v>
      </c>
      <c r="B4" s="15" t="s">
        <v>170</v>
      </c>
      <c r="C4" s="15" t="s">
        <v>66</v>
      </c>
      <c r="D4" s="15" t="s">
        <v>186</v>
      </c>
      <c r="E4" s="15" t="s">
        <v>187</v>
      </c>
      <c r="F4" s="4"/>
      <c r="G4" s="4" t="s">
        <v>188</v>
      </c>
      <c r="H4" s="4" t="s">
        <v>189</v>
      </c>
      <c r="I4" s="4"/>
      <c r="J4" s="22"/>
      <c r="K4" s="22"/>
      <c r="L4" s="22"/>
      <c r="M4" s="22"/>
      <c r="N4" s="22"/>
      <c r="O4" s="4" t="s">
        <v>420</v>
      </c>
      <c r="P4" s="4"/>
      <c r="Q4" s="16" t="s">
        <v>192</v>
      </c>
      <c r="R4" s="4" t="s">
        <v>193</v>
      </c>
    </row>
    <row r="5" spans="1:18" ht="38.25">
      <c r="A5" s="4">
        <v>2</v>
      </c>
      <c r="B5" s="15" t="s">
        <v>170</v>
      </c>
      <c r="C5" s="15" t="s">
        <v>523</v>
      </c>
      <c r="D5" s="15" t="s">
        <v>210</v>
      </c>
      <c r="E5" s="15" t="s">
        <v>187</v>
      </c>
      <c r="F5" s="4"/>
      <c r="G5" s="4" t="s">
        <v>188</v>
      </c>
      <c r="H5" s="4" t="s">
        <v>524</v>
      </c>
      <c r="I5" s="4"/>
      <c r="J5" s="22"/>
      <c r="K5" s="22"/>
      <c r="L5" s="22"/>
      <c r="M5" s="22"/>
      <c r="N5" s="22"/>
      <c r="O5" s="4" t="s">
        <v>190</v>
      </c>
      <c r="P5" s="4" t="s">
        <v>525</v>
      </c>
      <c r="Q5" s="16" t="s">
        <v>526</v>
      </c>
      <c r="R5" s="4" t="s">
        <v>193</v>
      </c>
    </row>
    <row r="6" spans="1:18" ht="409.5">
      <c r="A6" s="4">
        <v>3</v>
      </c>
      <c r="B6" s="15" t="s">
        <v>170</v>
      </c>
      <c r="C6" s="15" t="s">
        <v>527</v>
      </c>
      <c r="D6" s="15" t="s">
        <v>308</v>
      </c>
      <c r="E6" s="15" t="s">
        <v>187</v>
      </c>
      <c r="F6" s="4" t="s">
        <v>528</v>
      </c>
      <c r="G6" s="4"/>
      <c r="H6" s="4" t="s">
        <v>529</v>
      </c>
      <c r="I6" s="4" t="s">
        <v>530</v>
      </c>
      <c r="J6" s="22"/>
      <c r="K6" s="22"/>
      <c r="L6" s="22"/>
      <c r="M6" s="22"/>
      <c r="N6" s="22"/>
      <c r="O6" s="23" t="s">
        <v>193</v>
      </c>
      <c r="P6" s="4" t="s">
        <v>525</v>
      </c>
      <c r="Q6" s="4"/>
      <c r="R6" s="4"/>
    </row>
    <row r="7" spans="1:18" ht="63.75">
      <c r="A7" s="4">
        <v>4</v>
      </c>
      <c r="B7" s="4"/>
      <c r="C7" s="4" t="s">
        <v>307</v>
      </c>
      <c r="D7" s="4" t="s">
        <v>308</v>
      </c>
      <c r="E7" s="4" t="s">
        <v>196</v>
      </c>
      <c r="F7" s="4" t="s">
        <v>397</v>
      </c>
      <c r="G7" s="4" t="s">
        <v>398</v>
      </c>
      <c r="H7" s="4" t="s">
        <v>311</v>
      </c>
      <c r="I7" s="4"/>
      <c r="J7" s="22"/>
      <c r="K7" s="22"/>
      <c r="L7" s="22"/>
      <c r="M7" s="22" t="s">
        <v>399</v>
      </c>
      <c r="N7" s="22" t="s">
        <v>101</v>
      </c>
      <c r="O7" s="23" t="s">
        <v>193</v>
      </c>
      <c r="P7" s="4" t="s">
        <v>525</v>
      </c>
      <c r="Q7" s="4" t="s">
        <v>401</v>
      </c>
      <c r="R7" s="4"/>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25"/>
  <sheetViews>
    <sheetView showGridLines="0" workbookViewId="0">
      <pane ySplit="3" topLeftCell="A22" activePane="bottomLeft" state="frozen"/>
      <selection pane="bottomLeft" activeCell="C24" sqref="C24:F25"/>
    </sheetView>
  </sheetViews>
  <sheetFormatPr defaultRowHeight="14.25"/>
  <cols>
    <col min="1" max="2" width="5" customWidth="1"/>
    <col min="3" max="3" width="30" customWidth="1"/>
    <col min="4" max="4" width="16" customWidth="1"/>
    <col min="5" max="5" width="6" customWidth="1"/>
    <col min="6" max="6" width="30" customWidth="1"/>
    <col min="7" max="7" width="32" customWidth="1"/>
    <col min="8" max="8" width="40" customWidth="1"/>
    <col min="9" max="9" width="20" customWidth="1"/>
    <col min="10" max="11" width="15" customWidth="1"/>
    <col min="12" max="12" width="16" customWidth="1"/>
    <col min="13" max="13" width="28" customWidth="1"/>
    <col min="14" max="14" width="16" customWidth="1"/>
    <col min="15" max="15" width="13" customWidth="1"/>
    <col min="16" max="16" width="16" customWidth="1"/>
    <col min="17" max="17" width="42" customWidth="1"/>
    <col min="18" max="18" width="8" customWidth="1"/>
  </cols>
  <sheetData>
    <row r="1" spans="1:18" ht="20.100000000000001" customHeight="1">
      <c r="A1" s="1" t="s">
        <v>531</v>
      </c>
    </row>
    <row r="2" spans="1:18">
      <c r="A2" s="18" t="s">
        <v>532</v>
      </c>
    </row>
    <row r="3" spans="1:18" ht="26.25">
      <c r="A3" s="9" t="s">
        <v>169</v>
      </c>
      <c r="B3" s="9" t="s">
        <v>170</v>
      </c>
      <c r="C3" s="9" t="s">
        <v>171</v>
      </c>
      <c r="D3" s="9" t="s">
        <v>172</v>
      </c>
      <c r="E3" s="9" t="s">
        <v>173</v>
      </c>
      <c r="F3" s="9" t="s">
        <v>138</v>
      </c>
      <c r="G3" s="9" t="s">
        <v>174</v>
      </c>
      <c r="H3" s="9" t="s">
        <v>175</v>
      </c>
      <c r="I3" s="9" t="s">
        <v>176</v>
      </c>
      <c r="J3" s="19" t="s">
        <v>177</v>
      </c>
      <c r="K3" s="20" t="s">
        <v>178</v>
      </c>
      <c r="L3" s="20" t="s">
        <v>179</v>
      </c>
      <c r="M3" s="20" t="s">
        <v>180</v>
      </c>
      <c r="N3" s="21" t="s">
        <v>181</v>
      </c>
      <c r="O3" s="9" t="s">
        <v>182</v>
      </c>
      <c r="P3" s="9" t="s">
        <v>183</v>
      </c>
      <c r="Q3" s="9" t="s">
        <v>184</v>
      </c>
      <c r="R3" s="9" t="s">
        <v>185</v>
      </c>
    </row>
    <row r="4" spans="1:18" ht="38.25">
      <c r="A4" s="4">
        <v>1</v>
      </c>
      <c r="B4" s="15" t="s">
        <v>170</v>
      </c>
      <c r="C4" s="15" t="s">
        <v>66</v>
      </c>
      <c r="D4" s="15" t="s">
        <v>186</v>
      </c>
      <c r="E4" s="15" t="s">
        <v>187</v>
      </c>
      <c r="F4" s="4"/>
      <c r="G4" s="4" t="s">
        <v>188</v>
      </c>
      <c r="H4" s="4" t="s">
        <v>189</v>
      </c>
      <c r="I4" s="4"/>
      <c r="J4" s="22"/>
      <c r="K4" s="22"/>
      <c r="L4" s="22"/>
      <c r="M4" s="22"/>
      <c r="N4" s="22"/>
      <c r="O4" s="4" t="s">
        <v>190</v>
      </c>
      <c r="P4" s="4" t="s">
        <v>533</v>
      </c>
      <c r="Q4" s="16" t="s">
        <v>192</v>
      </c>
      <c r="R4" s="4" t="s">
        <v>193</v>
      </c>
    </row>
    <row r="5" spans="1:18" ht="127.5">
      <c r="A5" s="4">
        <v>2</v>
      </c>
      <c r="B5" s="15" t="s">
        <v>170</v>
      </c>
      <c r="C5" s="15" t="s">
        <v>69</v>
      </c>
      <c r="D5" s="15" t="s">
        <v>534</v>
      </c>
      <c r="E5" s="15" t="s">
        <v>187</v>
      </c>
      <c r="F5" s="4"/>
      <c r="G5" s="4" t="s">
        <v>188</v>
      </c>
      <c r="H5" s="4" t="s">
        <v>535</v>
      </c>
      <c r="I5" s="4"/>
      <c r="J5" s="22"/>
      <c r="K5" s="22"/>
      <c r="L5" s="22"/>
      <c r="M5" s="22" t="s">
        <v>536</v>
      </c>
      <c r="N5" s="22" t="s">
        <v>536</v>
      </c>
      <c r="O5" s="4" t="s">
        <v>420</v>
      </c>
      <c r="P5" s="4"/>
      <c r="Q5" s="16" t="s">
        <v>192</v>
      </c>
      <c r="R5" s="4" t="s">
        <v>193</v>
      </c>
    </row>
    <row r="6" spans="1:18" ht="191.25">
      <c r="A6" s="4">
        <v>3</v>
      </c>
      <c r="B6" s="15" t="s">
        <v>170</v>
      </c>
      <c r="C6" s="15" t="s">
        <v>72</v>
      </c>
      <c r="D6" s="15" t="s">
        <v>537</v>
      </c>
      <c r="E6" s="15" t="s">
        <v>187</v>
      </c>
      <c r="F6" s="4"/>
      <c r="G6" s="4" t="s">
        <v>188</v>
      </c>
      <c r="H6" s="4" t="s">
        <v>538</v>
      </c>
      <c r="I6" s="4"/>
      <c r="J6" s="22"/>
      <c r="K6" s="22"/>
      <c r="L6" s="22"/>
      <c r="M6" s="22" t="s">
        <v>539</v>
      </c>
      <c r="N6" s="22" t="s">
        <v>539</v>
      </c>
      <c r="O6" s="4" t="s">
        <v>420</v>
      </c>
      <c r="P6" s="4"/>
      <c r="Q6" s="16" t="s">
        <v>192</v>
      </c>
      <c r="R6" s="4" t="s">
        <v>193</v>
      </c>
    </row>
    <row r="7" spans="1:18" ht="216.75">
      <c r="A7" s="4">
        <v>4</v>
      </c>
      <c r="B7" s="4"/>
      <c r="C7" s="22" t="s">
        <v>540</v>
      </c>
      <c r="D7" s="4" t="s">
        <v>308</v>
      </c>
      <c r="E7" s="4" t="s">
        <v>196</v>
      </c>
      <c r="F7" s="22" t="s">
        <v>197</v>
      </c>
      <c r="G7" s="4" t="s">
        <v>198</v>
      </c>
      <c r="H7" s="4" t="s">
        <v>541</v>
      </c>
      <c r="I7" s="4"/>
      <c r="J7" s="22"/>
      <c r="K7" s="22"/>
      <c r="L7" s="22"/>
      <c r="M7" s="22"/>
      <c r="N7" s="22" t="s">
        <v>542</v>
      </c>
      <c r="O7" s="4" t="s">
        <v>193</v>
      </c>
      <c r="P7" s="4" t="s">
        <v>543</v>
      </c>
      <c r="Q7" s="22" t="s">
        <v>544</v>
      </c>
      <c r="R7" s="4" t="s">
        <v>193</v>
      </c>
    </row>
    <row r="8" spans="1:18" ht="63.75">
      <c r="A8" s="4">
        <v>5</v>
      </c>
      <c r="B8" s="4"/>
      <c r="C8" s="22" t="s">
        <v>194</v>
      </c>
      <c r="D8" s="4" t="s">
        <v>195</v>
      </c>
      <c r="E8" s="4" t="s">
        <v>196</v>
      </c>
      <c r="F8" s="22" t="s">
        <v>197</v>
      </c>
      <c r="G8" s="4" t="s">
        <v>198</v>
      </c>
      <c r="H8" s="4" t="s">
        <v>545</v>
      </c>
      <c r="I8" s="4"/>
      <c r="J8" s="22"/>
      <c r="K8" s="22"/>
      <c r="L8" s="22"/>
      <c r="M8" s="22"/>
      <c r="N8" s="22" t="s">
        <v>200</v>
      </c>
      <c r="O8" s="4" t="s">
        <v>193</v>
      </c>
      <c r="P8" s="4" t="s">
        <v>543</v>
      </c>
      <c r="Q8" s="22" t="s">
        <v>546</v>
      </c>
      <c r="R8" s="4" t="s">
        <v>193</v>
      </c>
    </row>
    <row r="9" spans="1:18" ht="51">
      <c r="A9" s="4">
        <v>6</v>
      </c>
      <c r="B9" s="4"/>
      <c r="C9" s="22" t="s">
        <v>203</v>
      </c>
      <c r="D9" s="4" t="s">
        <v>204</v>
      </c>
      <c r="E9" s="4" t="s">
        <v>196</v>
      </c>
      <c r="F9" s="22" t="s">
        <v>197</v>
      </c>
      <c r="G9" s="4" t="s">
        <v>198</v>
      </c>
      <c r="H9" s="4" t="s">
        <v>547</v>
      </c>
      <c r="I9" s="4"/>
      <c r="J9" s="22"/>
      <c r="K9" s="22"/>
      <c r="L9" s="22"/>
      <c r="M9" s="22"/>
      <c r="N9" s="22" t="s">
        <v>206</v>
      </c>
      <c r="O9" s="4" t="s">
        <v>193</v>
      </c>
      <c r="P9" s="4" t="s">
        <v>543</v>
      </c>
      <c r="Q9" s="22" t="s">
        <v>548</v>
      </c>
      <c r="R9" s="4" t="s">
        <v>193</v>
      </c>
    </row>
    <row r="10" spans="1:18" ht="89.25">
      <c r="A10" s="4">
        <v>7</v>
      </c>
      <c r="B10" s="15" t="s">
        <v>170</v>
      </c>
      <c r="C10" s="15" t="s">
        <v>549</v>
      </c>
      <c r="D10" s="15" t="s">
        <v>210</v>
      </c>
      <c r="E10" s="15" t="s">
        <v>187</v>
      </c>
      <c r="F10" s="4" t="s">
        <v>550</v>
      </c>
      <c r="G10" s="4" t="s">
        <v>551</v>
      </c>
      <c r="H10" s="4" t="s">
        <v>552</v>
      </c>
      <c r="I10" s="4"/>
      <c r="J10" s="22"/>
      <c r="K10" s="22"/>
      <c r="L10" s="22"/>
      <c r="M10" s="22"/>
      <c r="N10" s="22"/>
      <c r="O10" s="23" t="s">
        <v>193</v>
      </c>
      <c r="P10" s="4" t="s">
        <v>533</v>
      </c>
      <c r="Q10" s="4" t="s">
        <v>273</v>
      </c>
      <c r="R10" s="4"/>
    </row>
    <row r="11" spans="1:18" ht="63.75">
      <c r="A11" s="4">
        <v>8</v>
      </c>
      <c r="B11" s="4"/>
      <c r="C11" s="4" t="s">
        <v>448</v>
      </c>
      <c r="D11" s="4" t="s">
        <v>210</v>
      </c>
      <c r="E11" s="4" t="s">
        <v>196</v>
      </c>
      <c r="F11" s="4" t="s">
        <v>553</v>
      </c>
      <c r="G11" s="4" t="s">
        <v>554</v>
      </c>
      <c r="H11" s="4" t="s">
        <v>449</v>
      </c>
      <c r="I11" s="4"/>
      <c r="J11" s="22"/>
      <c r="K11" s="22"/>
      <c r="L11" s="22"/>
      <c r="M11" s="22"/>
      <c r="N11" s="22"/>
      <c r="O11" s="23" t="s">
        <v>193</v>
      </c>
      <c r="P11" s="4" t="s">
        <v>543</v>
      </c>
      <c r="Q11" s="4" t="s">
        <v>555</v>
      </c>
      <c r="R11" s="4"/>
    </row>
    <row r="12" spans="1:18" ht="38.25">
      <c r="A12" s="4">
        <v>9</v>
      </c>
      <c r="B12" s="4"/>
      <c r="C12" s="4" t="s">
        <v>556</v>
      </c>
      <c r="D12" s="4" t="s">
        <v>308</v>
      </c>
      <c r="E12" s="4" t="s">
        <v>196</v>
      </c>
      <c r="F12" s="4" t="s">
        <v>557</v>
      </c>
      <c r="G12" s="4" t="s">
        <v>558</v>
      </c>
      <c r="H12" s="4" t="s">
        <v>559</v>
      </c>
      <c r="I12" s="4" t="s">
        <v>560</v>
      </c>
      <c r="J12" s="22"/>
      <c r="K12" s="22"/>
      <c r="L12" s="22"/>
      <c r="M12" s="22"/>
      <c r="N12" s="22"/>
      <c r="O12" s="23" t="s">
        <v>193</v>
      </c>
      <c r="P12" s="4" t="s">
        <v>543</v>
      </c>
      <c r="Q12" s="4" t="s">
        <v>273</v>
      </c>
      <c r="R12" s="4"/>
    </row>
    <row r="13" spans="1:18" ht="51">
      <c r="A13" s="4">
        <v>10</v>
      </c>
      <c r="B13" s="4"/>
      <c r="C13" s="4" t="s">
        <v>561</v>
      </c>
      <c r="D13" s="4" t="s">
        <v>217</v>
      </c>
      <c r="E13" s="4" t="s">
        <v>196</v>
      </c>
      <c r="F13" s="4" t="s">
        <v>562</v>
      </c>
      <c r="G13" s="4" t="s">
        <v>563</v>
      </c>
      <c r="H13" s="4" t="s">
        <v>564</v>
      </c>
      <c r="I13" s="4"/>
      <c r="J13" s="22"/>
      <c r="K13" s="22"/>
      <c r="L13" s="22"/>
      <c r="M13" s="22"/>
      <c r="N13" s="22"/>
      <c r="O13" s="23" t="s">
        <v>193</v>
      </c>
      <c r="P13" s="4" t="s">
        <v>543</v>
      </c>
      <c r="Q13" s="4"/>
      <c r="R13" s="4"/>
    </row>
    <row r="14" spans="1:18" ht="114.75">
      <c r="A14" s="4">
        <v>11</v>
      </c>
      <c r="B14" s="4"/>
      <c r="C14" s="4" t="s">
        <v>565</v>
      </c>
      <c r="D14" s="4" t="s">
        <v>482</v>
      </c>
      <c r="E14" s="4" t="s">
        <v>196</v>
      </c>
      <c r="F14" s="4" t="s">
        <v>566</v>
      </c>
      <c r="G14" s="4" t="s">
        <v>567</v>
      </c>
      <c r="H14" s="4" t="s">
        <v>568</v>
      </c>
      <c r="I14" s="4" t="s">
        <v>569</v>
      </c>
      <c r="J14" s="22"/>
      <c r="K14" s="22"/>
      <c r="L14" s="22"/>
      <c r="M14" s="22"/>
      <c r="N14" s="22"/>
      <c r="O14" s="23" t="s">
        <v>193</v>
      </c>
      <c r="P14" s="4" t="s">
        <v>533</v>
      </c>
      <c r="Q14" s="4" t="s">
        <v>570</v>
      </c>
      <c r="R14" s="4"/>
    </row>
    <row r="15" spans="1:18" ht="63.75">
      <c r="A15" s="4">
        <v>12</v>
      </c>
      <c r="B15" s="4"/>
      <c r="C15" s="4" t="s">
        <v>571</v>
      </c>
      <c r="D15" s="4" t="s">
        <v>186</v>
      </c>
      <c r="E15" s="4" t="s">
        <v>196</v>
      </c>
      <c r="F15" s="4" t="s">
        <v>572</v>
      </c>
      <c r="G15" s="4" t="s">
        <v>573</v>
      </c>
      <c r="H15" s="4" t="s">
        <v>574</v>
      </c>
      <c r="I15" s="4"/>
      <c r="J15" s="22"/>
      <c r="K15" s="22"/>
      <c r="L15" s="22"/>
      <c r="M15" s="22"/>
      <c r="N15" s="22"/>
      <c r="O15" s="23" t="s">
        <v>193</v>
      </c>
      <c r="P15" s="4" t="s">
        <v>543</v>
      </c>
      <c r="Q15" s="4" t="s">
        <v>575</v>
      </c>
      <c r="R15" s="4"/>
    </row>
    <row r="16" spans="1:18" ht="102">
      <c r="A16" s="4">
        <v>13</v>
      </c>
      <c r="B16" s="4"/>
      <c r="C16" s="4" t="s">
        <v>576</v>
      </c>
      <c r="D16" s="4" t="s">
        <v>308</v>
      </c>
      <c r="E16" s="4" t="s">
        <v>196</v>
      </c>
      <c r="F16" s="4" t="s">
        <v>577</v>
      </c>
      <c r="G16" s="4" t="s">
        <v>578</v>
      </c>
      <c r="H16" s="4" t="s">
        <v>579</v>
      </c>
      <c r="I16" s="4" t="s">
        <v>580</v>
      </c>
      <c r="J16" s="22"/>
      <c r="K16" s="22"/>
      <c r="L16" s="22"/>
      <c r="M16" s="22"/>
      <c r="N16" s="22"/>
      <c r="O16" s="23" t="s">
        <v>193</v>
      </c>
      <c r="P16" s="4" t="s">
        <v>543</v>
      </c>
      <c r="Q16" s="4" t="s">
        <v>581</v>
      </c>
      <c r="R16" s="4"/>
    </row>
    <row r="17" spans="1:18" ht="25.5">
      <c r="A17" s="4">
        <v>14</v>
      </c>
      <c r="B17" s="4"/>
      <c r="C17" s="4" t="s">
        <v>582</v>
      </c>
      <c r="D17" s="4" t="s">
        <v>186</v>
      </c>
      <c r="E17" s="4" t="s">
        <v>196</v>
      </c>
      <c r="F17" s="4" t="s">
        <v>583</v>
      </c>
      <c r="G17" s="4" t="s">
        <v>584</v>
      </c>
      <c r="H17" s="4" t="s">
        <v>585</v>
      </c>
      <c r="I17" s="4"/>
      <c r="J17" s="22"/>
      <c r="K17" s="22"/>
      <c r="L17" s="22"/>
      <c r="M17" s="22"/>
      <c r="N17" s="22"/>
      <c r="O17" s="23" t="s">
        <v>193</v>
      </c>
      <c r="P17" s="4" t="s">
        <v>543</v>
      </c>
      <c r="Q17" s="4" t="s">
        <v>586</v>
      </c>
      <c r="R17" s="4"/>
    </row>
    <row r="18" spans="1:18" ht="89.25">
      <c r="A18" s="4">
        <v>15</v>
      </c>
      <c r="B18" s="4"/>
      <c r="C18" s="4" t="s">
        <v>587</v>
      </c>
      <c r="D18" s="4" t="s">
        <v>186</v>
      </c>
      <c r="E18" s="4" t="s">
        <v>196</v>
      </c>
      <c r="F18" s="4" t="s">
        <v>588</v>
      </c>
      <c r="G18" s="4" t="s">
        <v>589</v>
      </c>
      <c r="H18" s="4" t="s">
        <v>590</v>
      </c>
      <c r="I18" s="4"/>
      <c r="J18" s="22"/>
      <c r="K18" s="22"/>
      <c r="L18" s="22"/>
      <c r="M18" s="22"/>
      <c r="N18" s="22"/>
      <c r="O18" s="23" t="s">
        <v>193</v>
      </c>
      <c r="P18" s="4" t="s">
        <v>543</v>
      </c>
      <c r="Q18" s="4"/>
      <c r="R18" s="4"/>
    </row>
    <row r="19" spans="1:18" ht="25.5">
      <c r="A19" s="4">
        <v>16</v>
      </c>
      <c r="B19" s="4"/>
      <c r="C19" s="4" t="s">
        <v>591</v>
      </c>
      <c r="D19" s="4" t="s">
        <v>308</v>
      </c>
      <c r="E19" s="4" t="s">
        <v>196</v>
      </c>
      <c r="F19" s="4" t="s">
        <v>592</v>
      </c>
      <c r="G19" s="4" t="s">
        <v>593</v>
      </c>
      <c r="H19" s="4" t="s">
        <v>594</v>
      </c>
      <c r="I19" s="4" t="s">
        <v>595</v>
      </c>
      <c r="J19" s="22"/>
      <c r="K19" s="22"/>
      <c r="L19" s="22"/>
      <c r="M19" s="22"/>
      <c r="N19" s="22"/>
      <c r="O19" s="23" t="s">
        <v>193</v>
      </c>
      <c r="P19" s="4" t="s">
        <v>543</v>
      </c>
      <c r="Q19" s="4" t="s">
        <v>596</v>
      </c>
      <c r="R19" s="4"/>
    </row>
    <row r="20" spans="1:18" ht="76.5">
      <c r="A20" s="4">
        <v>17</v>
      </c>
      <c r="B20" s="4"/>
      <c r="C20" s="4" t="s">
        <v>597</v>
      </c>
      <c r="D20" s="4" t="s">
        <v>598</v>
      </c>
      <c r="E20" s="4" t="s">
        <v>196</v>
      </c>
      <c r="F20" s="4" t="s">
        <v>599</v>
      </c>
      <c r="G20" s="4" t="s">
        <v>600</v>
      </c>
      <c r="H20" s="4" t="s">
        <v>601</v>
      </c>
      <c r="I20" s="4" t="s">
        <v>321</v>
      </c>
      <c r="J20" s="22"/>
      <c r="K20" s="22"/>
      <c r="L20" s="22"/>
      <c r="M20" s="22"/>
      <c r="N20" s="22"/>
      <c r="O20" s="23" t="s">
        <v>193</v>
      </c>
      <c r="P20" s="4" t="s">
        <v>543</v>
      </c>
      <c r="Q20" s="4"/>
      <c r="R20" s="4"/>
    </row>
    <row r="21" spans="1:18" ht="102">
      <c r="A21" s="4">
        <v>18</v>
      </c>
      <c r="B21" s="4"/>
      <c r="C21" s="4" t="s">
        <v>347</v>
      </c>
      <c r="D21" s="4" t="s">
        <v>308</v>
      </c>
      <c r="E21" s="4" t="s">
        <v>196</v>
      </c>
      <c r="F21" s="4" t="s">
        <v>602</v>
      </c>
      <c r="G21" s="4" t="s">
        <v>603</v>
      </c>
      <c r="H21" s="4" t="s">
        <v>604</v>
      </c>
      <c r="I21" s="4" t="s">
        <v>605</v>
      </c>
      <c r="J21" s="22"/>
      <c r="K21" s="22"/>
      <c r="L21" s="22"/>
      <c r="M21" s="22"/>
      <c r="N21" s="22"/>
      <c r="O21" s="23" t="s">
        <v>193</v>
      </c>
      <c r="P21" s="4" t="s">
        <v>543</v>
      </c>
      <c r="Q21" s="4" t="s">
        <v>273</v>
      </c>
      <c r="R21" s="4"/>
    </row>
    <row r="22" spans="1:18" ht="63.75">
      <c r="A22" s="4">
        <v>19</v>
      </c>
      <c r="B22" s="4"/>
      <c r="C22" s="4" t="s">
        <v>141</v>
      </c>
      <c r="D22" s="4" t="s">
        <v>606</v>
      </c>
      <c r="E22" s="4" t="s">
        <v>187</v>
      </c>
      <c r="F22" s="4" t="s">
        <v>142</v>
      </c>
      <c r="G22" s="4" t="s">
        <v>607</v>
      </c>
      <c r="H22" s="4" t="s">
        <v>608</v>
      </c>
      <c r="I22" s="4"/>
      <c r="J22" s="22"/>
      <c r="K22" s="22"/>
      <c r="L22" s="22"/>
      <c r="M22" s="22"/>
      <c r="N22" s="22"/>
      <c r="O22" s="12" t="s">
        <v>258</v>
      </c>
      <c r="P22" s="4"/>
      <c r="Q22" s="4" t="s">
        <v>609</v>
      </c>
      <c r="R22" s="4" t="s">
        <v>193</v>
      </c>
    </row>
    <row r="23" spans="1:18" ht="63.75">
      <c r="A23" s="4">
        <v>20</v>
      </c>
      <c r="B23" s="4"/>
      <c r="C23" s="4" t="s">
        <v>307</v>
      </c>
      <c r="D23" s="4" t="s">
        <v>308</v>
      </c>
      <c r="E23" s="4" t="s">
        <v>196</v>
      </c>
      <c r="F23" s="4" t="s">
        <v>397</v>
      </c>
      <c r="G23" s="4" t="s">
        <v>398</v>
      </c>
      <c r="H23" s="4" t="s">
        <v>311</v>
      </c>
      <c r="I23" s="4"/>
      <c r="J23" s="22"/>
      <c r="K23" s="22"/>
      <c r="L23" s="22"/>
      <c r="M23" s="22" t="s">
        <v>399</v>
      </c>
      <c r="N23" s="22" t="s">
        <v>101</v>
      </c>
      <c r="O23" s="23" t="s">
        <v>193</v>
      </c>
      <c r="P23" s="4" t="s">
        <v>533</v>
      </c>
      <c r="Q23" s="4" t="s">
        <v>401</v>
      </c>
      <c r="R23" s="4"/>
    </row>
    <row r="24" spans="1:18" ht="191.25">
      <c r="A24" s="4">
        <v>21</v>
      </c>
      <c r="B24" s="4"/>
      <c r="C24" s="4" t="s">
        <v>610</v>
      </c>
      <c r="D24" s="4" t="s">
        <v>368</v>
      </c>
      <c r="E24" s="4" t="s">
        <v>196</v>
      </c>
      <c r="F24" s="4" t="s">
        <v>611</v>
      </c>
      <c r="G24" s="4" t="s">
        <v>612</v>
      </c>
      <c r="H24" s="4" t="s">
        <v>613</v>
      </c>
      <c r="I24" s="4" t="s">
        <v>372</v>
      </c>
      <c r="J24" s="22"/>
      <c r="K24" s="22"/>
      <c r="L24" s="22"/>
      <c r="M24" s="22"/>
      <c r="N24" s="22"/>
      <c r="O24" s="4" t="s">
        <v>258</v>
      </c>
      <c r="P24" s="4"/>
      <c r="Q24" s="16" t="s">
        <v>614</v>
      </c>
      <c r="R24" s="4"/>
    </row>
    <row r="25" spans="1:18" ht="38.25">
      <c r="A25" s="4">
        <v>22</v>
      </c>
      <c r="B25" s="4"/>
      <c r="C25" s="4" t="s">
        <v>591</v>
      </c>
      <c r="D25" s="4" t="s">
        <v>308</v>
      </c>
      <c r="E25" s="4" t="s">
        <v>196</v>
      </c>
      <c r="F25" s="4" t="s">
        <v>615</v>
      </c>
      <c r="G25" s="4" t="s">
        <v>616</v>
      </c>
      <c r="H25" s="4" t="s">
        <v>594</v>
      </c>
      <c r="I25" s="4" t="s">
        <v>617</v>
      </c>
      <c r="J25" s="22"/>
      <c r="K25" s="22"/>
      <c r="L25" s="22"/>
      <c r="M25" s="22"/>
      <c r="N25" s="22"/>
      <c r="O25" s="4" t="s">
        <v>193</v>
      </c>
      <c r="P25" s="4" t="s">
        <v>543</v>
      </c>
      <c r="Q25" s="16" t="s">
        <v>618</v>
      </c>
      <c r="R25" s="4"/>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R13"/>
  <sheetViews>
    <sheetView showGridLines="0" workbookViewId="0">
      <pane ySplit="3" topLeftCell="A4" activePane="bottomLeft" state="frozen"/>
      <selection pane="bottomLeft" activeCell="Q8" sqref="Q8"/>
    </sheetView>
  </sheetViews>
  <sheetFormatPr defaultRowHeight="14.25"/>
  <cols>
    <col min="1" max="2" width="5" customWidth="1"/>
    <col min="3" max="3" width="30" customWidth="1"/>
    <col min="4" max="4" width="16" customWidth="1"/>
    <col min="5" max="5" width="6" customWidth="1"/>
    <col min="6" max="6" width="30" customWidth="1"/>
    <col min="7" max="7" width="32" customWidth="1"/>
    <col min="8" max="8" width="40" customWidth="1"/>
    <col min="9" max="9" width="20" customWidth="1"/>
    <col min="10" max="11" width="15" customWidth="1"/>
    <col min="12" max="12" width="16" customWidth="1"/>
    <col min="13" max="13" width="28" customWidth="1"/>
    <col min="14" max="14" width="16" customWidth="1"/>
    <col min="15" max="15" width="13" customWidth="1"/>
    <col min="16" max="16" width="16" customWidth="1"/>
    <col min="17" max="17" width="42" customWidth="1"/>
    <col min="18" max="18" width="8" customWidth="1"/>
  </cols>
  <sheetData>
    <row r="1" spans="1:18" ht="20.100000000000001" customHeight="1">
      <c r="A1" s="1" t="s">
        <v>619</v>
      </c>
    </row>
    <row r="2" spans="1:18">
      <c r="A2" s="18" t="s">
        <v>620</v>
      </c>
    </row>
    <row r="3" spans="1:18" ht="26.25">
      <c r="A3" s="9" t="s">
        <v>169</v>
      </c>
      <c r="B3" s="9" t="s">
        <v>170</v>
      </c>
      <c r="C3" s="9" t="s">
        <v>171</v>
      </c>
      <c r="D3" s="9" t="s">
        <v>172</v>
      </c>
      <c r="E3" s="9" t="s">
        <v>173</v>
      </c>
      <c r="F3" s="9" t="s">
        <v>138</v>
      </c>
      <c r="G3" s="9" t="s">
        <v>174</v>
      </c>
      <c r="H3" s="9" t="s">
        <v>175</v>
      </c>
      <c r="I3" s="9" t="s">
        <v>176</v>
      </c>
      <c r="J3" s="19" t="s">
        <v>177</v>
      </c>
      <c r="K3" s="20" t="s">
        <v>178</v>
      </c>
      <c r="L3" s="20" t="s">
        <v>179</v>
      </c>
      <c r="M3" s="20" t="s">
        <v>180</v>
      </c>
      <c r="N3" s="21" t="s">
        <v>181</v>
      </c>
      <c r="O3" s="9" t="s">
        <v>182</v>
      </c>
      <c r="P3" s="9" t="s">
        <v>183</v>
      </c>
      <c r="Q3" s="9" t="s">
        <v>184</v>
      </c>
      <c r="R3" s="9" t="s">
        <v>185</v>
      </c>
    </row>
    <row r="4" spans="1:18" ht="38.25">
      <c r="A4" s="4">
        <v>1</v>
      </c>
      <c r="B4" s="15" t="s">
        <v>170</v>
      </c>
      <c r="C4" s="15" t="s">
        <v>66</v>
      </c>
      <c r="D4" s="15" t="s">
        <v>186</v>
      </c>
      <c r="E4" s="15" t="s">
        <v>187</v>
      </c>
      <c r="F4" s="4"/>
      <c r="G4" s="4" t="s">
        <v>188</v>
      </c>
      <c r="H4" s="4" t="s">
        <v>189</v>
      </c>
      <c r="I4" s="4"/>
      <c r="J4" s="22"/>
      <c r="K4" s="22"/>
      <c r="L4" s="22"/>
      <c r="M4" s="22"/>
      <c r="N4" s="22"/>
      <c r="O4" s="4" t="s">
        <v>190</v>
      </c>
      <c r="P4" s="4" t="s">
        <v>621</v>
      </c>
      <c r="Q4" s="16" t="s">
        <v>192</v>
      </c>
      <c r="R4" s="4" t="s">
        <v>193</v>
      </c>
    </row>
    <row r="5" spans="1:18" ht="89.25">
      <c r="A5" s="4">
        <v>2</v>
      </c>
      <c r="B5" s="15" t="s">
        <v>170</v>
      </c>
      <c r="C5" s="15" t="s">
        <v>549</v>
      </c>
      <c r="D5" s="15" t="s">
        <v>210</v>
      </c>
      <c r="E5" s="15" t="s">
        <v>187</v>
      </c>
      <c r="F5" s="4" t="s">
        <v>622</v>
      </c>
      <c r="G5" s="4" t="s">
        <v>623</v>
      </c>
      <c r="H5" s="4" t="s">
        <v>624</v>
      </c>
      <c r="I5" s="4"/>
      <c r="J5" s="22"/>
      <c r="K5" s="22"/>
      <c r="L5" s="22"/>
      <c r="M5" s="22"/>
      <c r="N5" s="22"/>
      <c r="O5" s="23" t="s">
        <v>193</v>
      </c>
      <c r="P5" s="4" t="s">
        <v>621</v>
      </c>
      <c r="Q5" s="4"/>
      <c r="R5" s="4"/>
    </row>
    <row r="6" spans="1:18" ht="51">
      <c r="A6" s="4">
        <v>3</v>
      </c>
      <c r="B6" s="15" t="s">
        <v>170</v>
      </c>
      <c r="C6" s="15" t="s">
        <v>209</v>
      </c>
      <c r="D6" s="15" t="s">
        <v>210</v>
      </c>
      <c r="E6" s="15" t="s">
        <v>187</v>
      </c>
      <c r="F6" s="4" t="s">
        <v>625</v>
      </c>
      <c r="G6" s="4" t="s">
        <v>626</v>
      </c>
      <c r="H6" s="4" t="s">
        <v>213</v>
      </c>
      <c r="I6" s="4"/>
      <c r="J6" s="22"/>
      <c r="K6" s="22"/>
      <c r="L6" s="22"/>
      <c r="M6" s="22"/>
      <c r="N6" s="22"/>
      <c r="O6" s="23" t="s">
        <v>193</v>
      </c>
      <c r="P6" s="4" t="s">
        <v>621</v>
      </c>
      <c r="Q6" s="4" t="s">
        <v>627</v>
      </c>
      <c r="R6" s="4"/>
    </row>
    <row r="7" spans="1:18" ht="63.75">
      <c r="A7" s="4">
        <v>4</v>
      </c>
      <c r="B7" s="15" t="s">
        <v>170</v>
      </c>
      <c r="C7" s="15" t="s">
        <v>148</v>
      </c>
      <c r="D7" s="15" t="s">
        <v>275</v>
      </c>
      <c r="E7" s="15" t="s">
        <v>187</v>
      </c>
      <c r="F7" s="4" t="s">
        <v>41</v>
      </c>
      <c r="G7" s="4" t="s">
        <v>628</v>
      </c>
      <c r="H7" s="4" t="s">
        <v>629</v>
      </c>
      <c r="I7" s="4" t="s">
        <v>630</v>
      </c>
      <c r="J7" s="22"/>
      <c r="K7" s="22"/>
      <c r="L7" s="22"/>
      <c r="M7" s="22"/>
      <c r="N7" s="22"/>
      <c r="O7" s="12" t="s">
        <v>258</v>
      </c>
      <c r="P7" s="4"/>
      <c r="Q7" s="4" t="s">
        <v>631</v>
      </c>
      <c r="R7" s="4" t="s">
        <v>193</v>
      </c>
    </row>
    <row r="8" spans="1:18" ht="25.5">
      <c r="A8" s="4">
        <v>5</v>
      </c>
      <c r="B8" s="15" t="s">
        <v>170</v>
      </c>
      <c r="C8" s="15" t="s">
        <v>632</v>
      </c>
      <c r="D8" s="15" t="s">
        <v>186</v>
      </c>
      <c r="E8" s="15" t="s">
        <v>187</v>
      </c>
      <c r="F8" s="4" t="s">
        <v>633</v>
      </c>
      <c r="G8" s="4" t="s">
        <v>634</v>
      </c>
      <c r="H8" s="4" t="s">
        <v>635</v>
      </c>
      <c r="I8" s="4"/>
      <c r="J8" s="22"/>
      <c r="K8" s="22"/>
      <c r="L8" s="22"/>
      <c r="M8" s="22"/>
      <c r="N8" s="22"/>
      <c r="O8" s="23" t="s">
        <v>193</v>
      </c>
      <c r="P8" s="4" t="s">
        <v>621</v>
      </c>
      <c r="Q8" s="4" t="s">
        <v>636</v>
      </c>
      <c r="R8" s="4"/>
    </row>
    <row r="9" spans="1:18" ht="153">
      <c r="A9" s="4">
        <v>6</v>
      </c>
      <c r="B9" s="4"/>
      <c r="C9" s="4" t="s">
        <v>637</v>
      </c>
      <c r="D9" s="4" t="s">
        <v>195</v>
      </c>
      <c r="E9" s="4" t="s">
        <v>187</v>
      </c>
      <c r="F9" s="4" t="s">
        <v>638</v>
      </c>
      <c r="G9" s="4" t="s">
        <v>639</v>
      </c>
      <c r="H9" s="4" t="s">
        <v>640</v>
      </c>
      <c r="I9" s="4" t="s">
        <v>641</v>
      </c>
      <c r="J9" s="22"/>
      <c r="K9" s="22"/>
      <c r="L9" s="22"/>
      <c r="M9" s="22"/>
      <c r="N9" s="22"/>
      <c r="O9" s="23" t="s">
        <v>193</v>
      </c>
      <c r="P9" s="4" t="s">
        <v>621</v>
      </c>
      <c r="Q9" s="4"/>
      <c r="R9" s="4"/>
    </row>
    <row r="10" spans="1:18" ht="63.75">
      <c r="A10" s="4">
        <v>7</v>
      </c>
      <c r="B10" s="4"/>
      <c r="C10" s="4" t="s">
        <v>307</v>
      </c>
      <c r="D10" s="4" t="s">
        <v>308</v>
      </c>
      <c r="E10" s="4" t="s">
        <v>196</v>
      </c>
      <c r="F10" s="4" t="s">
        <v>397</v>
      </c>
      <c r="G10" s="4" t="s">
        <v>398</v>
      </c>
      <c r="H10" s="4" t="s">
        <v>311</v>
      </c>
      <c r="I10" s="4"/>
      <c r="J10" s="22"/>
      <c r="K10" s="22"/>
      <c r="L10" s="22"/>
      <c r="M10" s="22" t="s">
        <v>399</v>
      </c>
      <c r="N10" s="22" t="s">
        <v>101</v>
      </c>
      <c r="O10" s="23" t="s">
        <v>193</v>
      </c>
      <c r="P10" s="4" t="s">
        <v>621</v>
      </c>
      <c r="Q10" s="4" t="s">
        <v>401</v>
      </c>
      <c r="R10" s="4"/>
    </row>
    <row r="12" spans="1:18">
      <c r="A12" s="17" t="s">
        <v>642</v>
      </c>
    </row>
    <row r="13" spans="1:18">
      <c r="A13" s="33" t="s">
        <v>643</v>
      </c>
      <c r="B13" s="35"/>
      <c r="C13" s="35"/>
      <c r="D13" s="35"/>
      <c r="E13" s="35"/>
      <c r="F13" s="35"/>
      <c r="G13" s="35"/>
      <c r="H13" s="35"/>
      <c r="I13" s="35"/>
      <c r="J13" s="35"/>
      <c r="K13" s="35"/>
      <c r="L13" s="35"/>
      <c r="M13" s="35"/>
      <c r="N13" s="35"/>
      <c r="O13" s="35"/>
      <c r="P13" s="35"/>
      <c r="Q13" s="35"/>
      <c r="R13" s="35"/>
    </row>
  </sheetData>
  <mergeCells count="1">
    <mergeCell ref="A13:R13"/>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28"/>
  <sheetViews>
    <sheetView showGridLines="0" workbookViewId="0">
      <pane ySplit="3" topLeftCell="A19" activePane="bottomLeft" state="frozen"/>
      <selection pane="bottomLeft" activeCell="C23" sqref="C23"/>
    </sheetView>
  </sheetViews>
  <sheetFormatPr defaultRowHeight="14.25"/>
  <cols>
    <col min="1" max="2" width="5" customWidth="1"/>
    <col min="3" max="3" width="30" customWidth="1"/>
    <col min="4" max="4" width="16" customWidth="1"/>
    <col min="5" max="5" width="6" customWidth="1"/>
    <col min="6" max="6" width="30" customWidth="1"/>
    <col min="7" max="7" width="32" customWidth="1"/>
    <col min="8" max="8" width="40" customWidth="1"/>
    <col min="9" max="9" width="20" customWidth="1"/>
    <col min="10" max="11" width="15" customWidth="1"/>
    <col min="12" max="12" width="16" customWidth="1"/>
    <col min="13" max="13" width="28" customWidth="1"/>
    <col min="14" max="14" width="16" customWidth="1"/>
    <col min="15" max="15" width="13" customWidth="1"/>
    <col min="16" max="16" width="16" customWidth="1"/>
    <col min="17" max="17" width="42" customWidth="1"/>
    <col min="18" max="18" width="8" customWidth="1"/>
  </cols>
  <sheetData>
    <row r="1" spans="1:18" ht="20.100000000000001" customHeight="1">
      <c r="A1" s="1" t="s">
        <v>644</v>
      </c>
    </row>
    <row r="2" spans="1:18">
      <c r="A2" s="18" t="s">
        <v>645</v>
      </c>
    </row>
    <row r="3" spans="1:18" ht="26.25">
      <c r="A3" s="9" t="s">
        <v>169</v>
      </c>
      <c r="B3" s="9" t="s">
        <v>170</v>
      </c>
      <c r="C3" s="9" t="s">
        <v>171</v>
      </c>
      <c r="D3" s="9" t="s">
        <v>172</v>
      </c>
      <c r="E3" s="9" t="s">
        <v>173</v>
      </c>
      <c r="F3" s="9" t="s">
        <v>138</v>
      </c>
      <c r="G3" s="9" t="s">
        <v>174</v>
      </c>
      <c r="H3" s="9" t="s">
        <v>175</v>
      </c>
      <c r="I3" s="9" t="s">
        <v>176</v>
      </c>
      <c r="J3" s="19" t="s">
        <v>177</v>
      </c>
      <c r="K3" s="20" t="s">
        <v>178</v>
      </c>
      <c r="L3" s="20" t="s">
        <v>179</v>
      </c>
      <c r="M3" s="20" t="s">
        <v>180</v>
      </c>
      <c r="N3" s="21" t="s">
        <v>181</v>
      </c>
      <c r="O3" s="9" t="s">
        <v>182</v>
      </c>
      <c r="P3" s="9" t="s">
        <v>183</v>
      </c>
      <c r="Q3" s="9" t="s">
        <v>184</v>
      </c>
      <c r="R3" s="9" t="s">
        <v>185</v>
      </c>
    </row>
    <row r="4" spans="1:18" ht="76.5">
      <c r="A4" s="4">
        <v>1</v>
      </c>
      <c r="B4" s="15" t="s">
        <v>170</v>
      </c>
      <c r="C4" s="15" t="s">
        <v>66</v>
      </c>
      <c r="D4" s="15" t="s">
        <v>186</v>
      </c>
      <c r="E4" s="15" t="s">
        <v>187</v>
      </c>
      <c r="F4" s="4"/>
      <c r="G4" s="4" t="s">
        <v>188</v>
      </c>
      <c r="H4" s="4" t="s">
        <v>189</v>
      </c>
      <c r="I4" s="4"/>
      <c r="J4" s="22"/>
      <c r="K4" s="22"/>
      <c r="L4" s="22"/>
      <c r="M4" s="22"/>
      <c r="N4" s="22"/>
      <c r="O4" s="4" t="s">
        <v>190</v>
      </c>
      <c r="P4" s="4" t="s">
        <v>646</v>
      </c>
      <c r="Q4" s="16" t="s">
        <v>192</v>
      </c>
      <c r="R4" s="4" t="s">
        <v>193</v>
      </c>
    </row>
    <row r="5" spans="1:18" ht="89.25">
      <c r="A5" s="4">
        <v>2</v>
      </c>
      <c r="B5" s="4"/>
      <c r="C5" s="22" t="s">
        <v>647</v>
      </c>
      <c r="D5" s="4" t="s">
        <v>308</v>
      </c>
      <c r="E5" s="4" t="s">
        <v>196</v>
      </c>
      <c r="F5" s="22" t="s">
        <v>197</v>
      </c>
      <c r="G5" s="4" t="s">
        <v>198</v>
      </c>
      <c r="H5" s="4" t="s">
        <v>648</v>
      </c>
      <c r="I5" s="4"/>
      <c r="J5" s="22"/>
      <c r="K5" s="22"/>
      <c r="L5" s="22"/>
      <c r="M5" s="22"/>
      <c r="N5" s="22" t="s">
        <v>649</v>
      </c>
      <c r="O5" s="4" t="s">
        <v>193</v>
      </c>
      <c r="P5" s="4" t="s">
        <v>650</v>
      </c>
      <c r="Q5" s="22" t="s">
        <v>651</v>
      </c>
      <c r="R5" s="4" t="s">
        <v>193</v>
      </c>
    </row>
    <row r="6" spans="1:18" ht="76.5">
      <c r="A6" s="4">
        <v>3</v>
      </c>
      <c r="B6" s="15" t="s">
        <v>170</v>
      </c>
      <c r="C6" s="15" t="s">
        <v>652</v>
      </c>
      <c r="D6" s="15" t="s">
        <v>210</v>
      </c>
      <c r="E6" s="15" t="s">
        <v>187</v>
      </c>
      <c r="F6" s="4" t="s">
        <v>653</v>
      </c>
      <c r="G6" s="4" t="s">
        <v>654</v>
      </c>
      <c r="H6" s="4" t="s">
        <v>655</v>
      </c>
      <c r="I6" s="4"/>
      <c r="J6" s="22"/>
      <c r="K6" s="22"/>
      <c r="L6" s="22"/>
      <c r="M6" s="22"/>
      <c r="N6" s="22"/>
      <c r="O6" s="23" t="s">
        <v>193</v>
      </c>
      <c r="P6" s="4" t="s">
        <v>646</v>
      </c>
      <c r="Q6" s="4" t="s">
        <v>656</v>
      </c>
      <c r="R6" s="4"/>
    </row>
    <row r="7" spans="1:18" ht="51">
      <c r="A7" s="4">
        <v>4</v>
      </c>
      <c r="B7" s="4"/>
      <c r="C7" s="4" t="s">
        <v>549</v>
      </c>
      <c r="D7" s="4" t="s">
        <v>210</v>
      </c>
      <c r="E7" s="4" t="s">
        <v>196</v>
      </c>
      <c r="F7" s="4" t="s">
        <v>657</v>
      </c>
      <c r="G7" s="4" t="s">
        <v>658</v>
      </c>
      <c r="H7" s="4" t="s">
        <v>659</v>
      </c>
      <c r="I7" s="4"/>
      <c r="J7" s="22"/>
      <c r="K7" s="22"/>
      <c r="L7" s="22"/>
      <c r="M7" s="22"/>
      <c r="N7" s="22"/>
      <c r="O7" s="23" t="s">
        <v>193</v>
      </c>
      <c r="P7" s="4" t="s">
        <v>660</v>
      </c>
      <c r="Q7" s="4" t="s">
        <v>661</v>
      </c>
      <c r="R7" s="4"/>
    </row>
    <row r="8" spans="1:18" ht="51">
      <c r="A8" s="4">
        <v>5</v>
      </c>
      <c r="B8" s="4"/>
      <c r="C8" s="4" t="s">
        <v>662</v>
      </c>
      <c r="D8" s="4" t="s">
        <v>368</v>
      </c>
      <c r="E8" s="4" t="s">
        <v>196</v>
      </c>
      <c r="F8" s="4" t="s">
        <v>663</v>
      </c>
      <c r="G8" s="4" t="s">
        <v>664</v>
      </c>
      <c r="H8" s="4" t="s">
        <v>665</v>
      </c>
      <c r="I8" s="4" t="s">
        <v>666</v>
      </c>
      <c r="J8" s="22"/>
      <c r="K8" s="22"/>
      <c r="L8" s="22"/>
      <c r="M8" s="22"/>
      <c r="N8" s="22"/>
      <c r="O8" s="23" t="s">
        <v>193</v>
      </c>
      <c r="P8" s="4" t="s">
        <v>660</v>
      </c>
      <c r="Q8" s="4" t="s">
        <v>667</v>
      </c>
      <c r="R8" s="4"/>
    </row>
    <row r="9" spans="1:18" ht="51">
      <c r="A9" s="4">
        <v>6</v>
      </c>
      <c r="B9" s="4"/>
      <c r="C9" s="4" t="s">
        <v>668</v>
      </c>
      <c r="D9" s="4" t="s">
        <v>606</v>
      </c>
      <c r="E9" s="4" t="s">
        <v>196</v>
      </c>
      <c r="F9" s="4" t="s">
        <v>669</v>
      </c>
      <c r="G9" s="4" t="s">
        <v>670</v>
      </c>
      <c r="H9" s="4" t="s">
        <v>671</v>
      </c>
      <c r="I9" s="4"/>
      <c r="J9" s="22"/>
      <c r="K9" s="22"/>
      <c r="L9" s="22"/>
      <c r="M9" s="22"/>
      <c r="N9" s="22"/>
      <c r="O9" s="23" t="s">
        <v>193</v>
      </c>
      <c r="P9" s="4" t="s">
        <v>660</v>
      </c>
      <c r="Q9" s="4" t="s">
        <v>672</v>
      </c>
      <c r="R9" s="4"/>
    </row>
    <row r="10" spans="1:18" ht="51">
      <c r="A10" s="4">
        <v>7</v>
      </c>
      <c r="B10" s="4"/>
      <c r="C10" s="4" t="s">
        <v>673</v>
      </c>
      <c r="D10" s="4" t="s">
        <v>482</v>
      </c>
      <c r="E10" s="4" t="s">
        <v>196</v>
      </c>
      <c r="F10" s="4" t="s">
        <v>674</v>
      </c>
      <c r="G10" s="4" t="s">
        <v>675</v>
      </c>
      <c r="H10" s="4" t="s">
        <v>676</v>
      </c>
      <c r="I10" s="4" t="s">
        <v>677</v>
      </c>
      <c r="J10" s="22"/>
      <c r="K10" s="22"/>
      <c r="L10" s="22"/>
      <c r="M10" s="22"/>
      <c r="N10" s="22"/>
      <c r="O10" s="23" t="s">
        <v>193</v>
      </c>
      <c r="P10" s="4" t="s">
        <v>660</v>
      </c>
      <c r="Q10" s="4"/>
      <c r="R10" s="4"/>
    </row>
    <row r="11" spans="1:18" ht="76.5">
      <c r="A11" s="4">
        <v>8</v>
      </c>
      <c r="B11" s="4"/>
      <c r="C11" s="4" t="s">
        <v>678</v>
      </c>
      <c r="D11" s="4" t="s">
        <v>186</v>
      </c>
      <c r="E11" s="4" t="s">
        <v>196</v>
      </c>
      <c r="F11" s="4" t="s">
        <v>679</v>
      </c>
      <c r="G11" s="4" t="s">
        <v>680</v>
      </c>
      <c r="H11" s="4" t="s">
        <v>681</v>
      </c>
      <c r="I11" s="4"/>
      <c r="J11" s="22"/>
      <c r="K11" s="22"/>
      <c r="L11" s="22"/>
      <c r="M11" s="22"/>
      <c r="N11" s="22"/>
      <c r="O11" s="23" t="s">
        <v>193</v>
      </c>
      <c r="P11" s="4" t="s">
        <v>646</v>
      </c>
      <c r="Q11" s="4" t="s">
        <v>682</v>
      </c>
      <c r="R11" s="4"/>
    </row>
    <row r="12" spans="1:18" ht="51">
      <c r="A12" s="4">
        <v>9</v>
      </c>
      <c r="B12" s="4"/>
      <c r="C12" s="4" t="s">
        <v>683</v>
      </c>
      <c r="D12" s="4" t="s">
        <v>684</v>
      </c>
      <c r="E12" s="4" t="s">
        <v>196</v>
      </c>
      <c r="F12" s="4" t="s">
        <v>685</v>
      </c>
      <c r="G12" s="4" t="s">
        <v>686</v>
      </c>
      <c r="H12" s="4" t="s">
        <v>687</v>
      </c>
      <c r="I12" s="4"/>
      <c r="J12" s="22"/>
      <c r="K12" s="22"/>
      <c r="L12" s="22"/>
      <c r="M12" s="22"/>
      <c r="N12" s="22"/>
      <c r="O12" s="23" t="s">
        <v>193</v>
      </c>
      <c r="P12" s="4" t="s">
        <v>650</v>
      </c>
      <c r="Q12" s="4" t="s">
        <v>688</v>
      </c>
      <c r="R12" s="4"/>
    </row>
    <row r="13" spans="1:18" ht="331.5">
      <c r="A13" s="4">
        <v>10</v>
      </c>
      <c r="B13" s="4"/>
      <c r="C13" s="4" t="s">
        <v>689</v>
      </c>
      <c r="D13" s="4" t="s">
        <v>275</v>
      </c>
      <c r="E13" s="4" t="s">
        <v>196</v>
      </c>
      <c r="F13" s="4" t="s">
        <v>690</v>
      </c>
      <c r="G13" s="4" t="s">
        <v>691</v>
      </c>
      <c r="H13" s="4" t="s">
        <v>692</v>
      </c>
      <c r="I13" s="4" t="s">
        <v>693</v>
      </c>
      <c r="J13" s="22"/>
      <c r="K13" s="22"/>
      <c r="L13" s="22"/>
      <c r="M13" s="22"/>
      <c r="N13" s="22"/>
      <c r="O13" s="23" t="s">
        <v>193</v>
      </c>
      <c r="P13" s="4" t="s">
        <v>650</v>
      </c>
      <c r="Q13" s="4" t="s">
        <v>694</v>
      </c>
      <c r="R13" s="4"/>
    </row>
    <row r="14" spans="1:18" ht="51">
      <c r="A14" s="4">
        <v>11</v>
      </c>
      <c r="B14" s="4"/>
      <c r="C14" s="4" t="s">
        <v>695</v>
      </c>
      <c r="D14" s="4" t="s">
        <v>308</v>
      </c>
      <c r="E14" s="4" t="s">
        <v>196</v>
      </c>
      <c r="F14" s="4" t="s">
        <v>696</v>
      </c>
      <c r="G14" s="4" t="s">
        <v>697</v>
      </c>
      <c r="H14" s="4" t="s">
        <v>698</v>
      </c>
      <c r="I14" s="4" t="s">
        <v>699</v>
      </c>
      <c r="J14" s="22"/>
      <c r="K14" s="22"/>
      <c r="L14" s="22"/>
      <c r="M14" s="22"/>
      <c r="N14" s="22"/>
      <c r="O14" s="23" t="s">
        <v>193</v>
      </c>
      <c r="P14" s="4" t="s">
        <v>650</v>
      </c>
      <c r="Q14" s="4"/>
      <c r="R14" s="4"/>
    </row>
    <row r="15" spans="1:18" ht="409.5">
      <c r="A15" s="4">
        <v>12</v>
      </c>
      <c r="B15" s="4"/>
      <c r="C15" s="4" t="s">
        <v>700</v>
      </c>
      <c r="D15" s="4" t="s">
        <v>308</v>
      </c>
      <c r="E15" s="4" t="s">
        <v>196</v>
      </c>
      <c r="F15" s="4" t="s">
        <v>701</v>
      </c>
      <c r="G15" s="4" t="s">
        <v>702</v>
      </c>
      <c r="H15" s="4" t="s">
        <v>703</v>
      </c>
      <c r="I15" s="4" t="s">
        <v>704</v>
      </c>
      <c r="J15" s="22"/>
      <c r="K15" s="22"/>
      <c r="L15" s="22"/>
      <c r="M15" s="22"/>
      <c r="N15" s="22"/>
      <c r="O15" s="23" t="s">
        <v>193</v>
      </c>
      <c r="P15" s="4" t="s">
        <v>650</v>
      </c>
      <c r="Q15" s="4" t="s">
        <v>705</v>
      </c>
      <c r="R15" s="4"/>
    </row>
    <row r="16" spans="1:18" ht="76.5">
      <c r="A16" s="4">
        <v>13</v>
      </c>
      <c r="B16" s="4"/>
      <c r="C16" s="4" t="s">
        <v>307</v>
      </c>
      <c r="D16" s="4" t="s">
        <v>308</v>
      </c>
      <c r="E16" s="4" t="s">
        <v>196</v>
      </c>
      <c r="F16" s="4" t="s">
        <v>706</v>
      </c>
      <c r="G16" s="4" t="s">
        <v>707</v>
      </c>
      <c r="H16" s="4" t="s">
        <v>311</v>
      </c>
      <c r="I16" s="4" t="s">
        <v>321</v>
      </c>
      <c r="J16" s="22"/>
      <c r="K16" s="22"/>
      <c r="L16" s="22"/>
      <c r="M16" s="22" t="s">
        <v>399</v>
      </c>
      <c r="N16" s="22" t="s">
        <v>101</v>
      </c>
      <c r="O16" s="23" t="s">
        <v>193</v>
      </c>
      <c r="P16" s="4" t="s">
        <v>646</v>
      </c>
      <c r="Q16" s="4" t="s">
        <v>708</v>
      </c>
      <c r="R16" s="4"/>
    </row>
    <row r="17" spans="1:18" ht="25.5">
      <c r="A17" s="4">
        <v>14</v>
      </c>
      <c r="B17" s="4"/>
      <c r="C17" s="4" t="s">
        <v>709</v>
      </c>
      <c r="D17" s="4" t="s">
        <v>368</v>
      </c>
      <c r="E17" s="4" t="s">
        <v>196</v>
      </c>
      <c r="F17" s="4" t="s">
        <v>710</v>
      </c>
      <c r="G17" s="4" t="s">
        <v>711</v>
      </c>
      <c r="H17" s="4" t="s">
        <v>712</v>
      </c>
      <c r="I17" s="4" t="s">
        <v>372</v>
      </c>
      <c r="J17" s="22"/>
      <c r="K17" s="22"/>
      <c r="L17" s="22"/>
      <c r="M17" s="22"/>
      <c r="N17" s="22"/>
      <c r="O17" s="23" t="s">
        <v>193</v>
      </c>
      <c r="P17" s="4" t="s">
        <v>713</v>
      </c>
      <c r="Q17" s="4" t="s">
        <v>714</v>
      </c>
      <c r="R17" s="4"/>
    </row>
    <row r="18" spans="1:18" ht="38.25">
      <c r="A18" s="4">
        <v>15</v>
      </c>
      <c r="B18" s="4"/>
      <c r="C18" s="4" t="s">
        <v>715</v>
      </c>
      <c r="D18" s="4" t="s">
        <v>716</v>
      </c>
      <c r="E18" s="4" t="s">
        <v>196</v>
      </c>
      <c r="F18" s="4" t="s">
        <v>717</v>
      </c>
      <c r="G18" s="4" t="s">
        <v>718</v>
      </c>
      <c r="H18" s="4" t="s">
        <v>719</v>
      </c>
      <c r="I18" s="4"/>
      <c r="J18" s="22"/>
      <c r="K18" s="22"/>
      <c r="L18" s="22"/>
      <c r="M18" s="22"/>
      <c r="N18" s="22"/>
      <c r="O18" s="23" t="s">
        <v>193</v>
      </c>
      <c r="P18" s="4" t="s">
        <v>713</v>
      </c>
      <c r="Q18" s="4" t="s">
        <v>720</v>
      </c>
      <c r="R18" s="4"/>
    </row>
    <row r="19" spans="1:18" ht="76.5">
      <c r="A19" s="4">
        <v>16</v>
      </c>
      <c r="B19" s="4"/>
      <c r="C19" s="4" t="s">
        <v>721</v>
      </c>
      <c r="D19" s="4" t="s">
        <v>308</v>
      </c>
      <c r="E19" s="4" t="s">
        <v>196</v>
      </c>
      <c r="F19" s="4" t="s">
        <v>722</v>
      </c>
      <c r="G19" s="4" t="s">
        <v>723</v>
      </c>
      <c r="H19" s="4" t="s">
        <v>724</v>
      </c>
      <c r="I19" s="4"/>
      <c r="J19" s="22"/>
      <c r="K19" s="22"/>
      <c r="L19" s="22"/>
      <c r="M19" s="22"/>
      <c r="N19" s="22"/>
      <c r="O19" s="23" t="s">
        <v>193</v>
      </c>
      <c r="P19" s="4" t="s">
        <v>646</v>
      </c>
      <c r="Q19" s="4" t="s">
        <v>725</v>
      </c>
      <c r="R19" s="4"/>
    </row>
    <row r="20" spans="1:18" ht="76.5">
      <c r="A20" s="4">
        <v>17</v>
      </c>
      <c r="B20" s="4"/>
      <c r="C20" s="4" t="s">
        <v>347</v>
      </c>
      <c r="D20" s="4" t="s">
        <v>308</v>
      </c>
      <c r="E20" s="4" t="s">
        <v>196</v>
      </c>
      <c r="F20" s="4" t="s">
        <v>726</v>
      </c>
      <c r="G20" s="4" t="s">
        <v>727</v>
      </c>
      <c r="H20" s="4" t="s">
        <v>349</v>
      </c>
      <c r="I20" s="4" t="s">
        <v>605</v>
      </c>
      <c r="J20" s="22"/>
      <c r="K20" s="22"/>
      <c r="L20" s="22"/>
      <c r="M20" s="22"/>
      <c r="N20" s="22"/>
      <c r="O20" s="23" t="s">
        <v>193</v>
      </c>
      <c r="P20" s="4" t="s">
        <v>646</v>
      </c>
      <c r="Q20" s="4" t="s">
        <v>728</v>
      </c>
      <c r="R20" s="4"/>
    </row>
    <row r="21" spans="1:18" ht="51">
      <c r="A21" s="4">
        <v>18</v>
      </c>
      <c r="B21" s="4"/>
      <c r="C21" s="4" t="s">
        <v>729</v>
      </c>
      <c r="D21" s="4" t="s">
        <v>186</v>
      </c>
      <c r="E21" s="4" t="s">
        <v>196</v>
      </c>
      <c r="F21" s="4" t="s">
        <v>730</v>
      </c>
      <c r="G21" s="4" t="s">
        <v>731</v>
      </c>
      <c r="H21" s="4" t="s">
        <v>732</v>
      </c>
      <c r="I21" s="4"/>
      <c r="J21" s="22"/>
      <c r="K21" s="22"/>
      <c r="L21" s="22"/>
      <c r="M21" s="22"/>
      <c r="N21" s="22"/>
      <c r="O21" s="23" t="s">
        <v>193</v>
      </c>
      <c r="P21" s="4" t="s">
        <v>650</v>
      </c>
      <c r="Q21" s="4"/>
      <c r="R21" s="4"/>
    </row>
    <row r="22" spans="1:18" ht="51">
      <c r="A22" s="4">
        <v>19</v>
      </c>
      <c r="B22" s="4"/>
      <c r="C22" s="4" t="s">
        <v>733</v>
      </c>
      <c r="D22" s="4" t="s">
        <v>242</v>
      </c>
      <c r="E22" s="4" t="s">
        <v>196</v>
      </c>
      <c r="F22" s="4" t="s">
        <v>734</v>
      </c>
      <c r="G22" s="4" t="s">
        <v>735</v>
      </c>
      <c r="H22" s="4" t="s">
        <v>736</v>
      </c>
      <c r="I22" s="4" t="s">
        <v>737</v>
      </c>
      <c r="J22" s="22"/>
      <c r="K22" s="22"/>
      <c r="L22" s="22"/>
      <c r="M22" s="22"/>
      <c r="N22" s="22"/>
      <c r="O22" s="23" t="s">
        <v>193</v>
      </c>
      <c r="P22" s="4" t="s">
        <v>738</v>
      </c>
      <c r="Q22" s="4" t="s">
        <v>739</v>
      </c>
      <c r="R22" s="4"/>
    </row>
    <row r="23" spans="1:18" ht="114.75">
      <c r="A23" s="4">
        <v>20</v>
      </c>
      <c r="B23" s="4"/>
      <c r="C23" s="4" t="s">
        <v>145</v>
      </c>
      <c r="D23" s="4" t="s">
        <v>210</v>
      </c>
      <c r="E23" s="4" t="s">
        <v>196</v>
      </c>
      <c r="F23" s="4" t="s">
        <v>146</v>
      </c>
      <c r="G23" s="4" t="s">
        <v>740</v>
      </c>
      <c r="H23" s="4" t="s">
        <v>741</v>
      </c>
      <c r="I23" s="4" t="s">
        <v>742</v>
      </c>
      <c r="J23" s="22"/>
      <c r="K23" s="22"/>
      <c r="L23" s="22"/>
      <c r="M23" s="22"/>
      <c r="N23" s="22"/>
      <c r="O23" s="12" t="s">
        <v>258</v>
      </c>
      <c r="P23" s="4"/>
      <c r="Q23" s="4" t="s">
        <v>743</v>
      </c>
      <c r="R23" s="4" t="s">
        <v>193</v>
      </c>
    </row>
    <row r="24" spans="1:18" ht="25.5">
      <c r="A24" s="4">
        <v>21</v>
      </c>
      <c r="B24" s="4"/>
      <c r="C24" s="4" t="s">
        <v>744</v>
      </c>
      <c r="D24" s="4" t="s">
        <v>308</v>
      </c>
      <c r="E24" s="4" t="s">
        <v>196</v>
      </c>
      <c r="F24" s="4" t="s">
        <v>745</v>
      </c>
      <c r="G24" s="4" t="s">
        <v>746</v>
      </c>
      <c r="H24" s="4" t="s">
        <v>747</v>
      </c>
      <c r="I24" s="4" t="s">
        <v>257</v>
      </c>
      <c r="J24" s="22"/>
      <c r="K24" s="22"/>
      <c r="L24" s="22"/>
      <c r="M24" s="22"/>
      <c r="N24" s="22"/>
      <c r="O24" s="23" t="s">
        <v>193</v>
      </c>
      <c r="P24" s="4" t="s">
        <v>748</v>
      </c>
      <c r="Q24" s="4" t="s">
        <v>749</v>
      </c>
      <c r="R24" s="4"/>
    </row>
    <row r="25" spans="1:18" ht="63.75">
      <c r="A25" s="4">
        <v>22</v>
      </c>
      <c r="B25" s="4"/>
      <c r="C25" s="4" t="s">
        <v>750</v>
      </c>
      <c r="D25" s="4" t="s">
        <v>368</v>
      </c>
      <c r="E25" s="4" t="s">
        <v>196</v>
      </c>
      <c r="F25" s="4" t="s">
        <v>751</v>
      </c>
      <c r="G25" s="4" t="s">
        <v>752</v>
      </c>
      <c r="H25" s="4" t="s">
        <v>753</v>
      </c>
      <c r="I25" s="4" t="s">
        <v>372</v>
      </c>
      <c r="J25" s="22"/>
      <c r="K25" s="22"/>
      <c r="L25" s="22"/>
      <c r="M25" s="22"/>
      <c r="N25" s="22"/>
      <c r="O25" s="23" t="s">
        <v>193</v>
      </c>
      <c r="P25" s="4" t="s">
        <v>713</v>
      </c>
      <c r="Q25" s="4" t="s">
        <v>754</v>
      </c>
      <c r="R25" s="4"/>
    </row>
    <row r="26" spans="1:18" ht="51">
      <c r="A26" s="4">
        <v>23</v>
      </c>
      <c r="B26" s="4"/>
      <c r="C26" s="4" t="s">
        <v>755</v>
      </c>
      <c r="D26" s="4" t="s">
        <v>210</v>
      </c>
      <c r="E26" s="4" t="s">
        <v>196</v>
      </c>
      <c r="F26" s="4" t="s">
        <v>756</v>
      </c>
      <c r="G26" s="4" t="s">
        <v>757</v>
      </c>
      <c r="H26" s="4" t="s">
        <v>758</v>
      </c>
      <c r="I26" s="4"/>
      <c r="J26" s="22"/>
      <c r="K26" s="22"/>
      <c r="L26" s="22"/>
      <c r="M26" s="22"/>
      <c r="N26" s="22"/>
      <c r="O26" s="23" t="s">
        <v>193</v>
      </c>
      <c r="P26" s="4" t="s">
        <v>650</v>
      </c>
      <c r="Q26" s="4" t="s">
        <v>759</v>
      </c>
      <c r="R26" s="4"/>
    </row>
    <row r="27" spans="1:18" ht="51">
      <c r="A27" s="4">
        <v>24</v>
      </c>
      <c r="B27" s="4"/>
      <c r="C27" s="4" t="s">
        <v>760</v>
      </c>
      <c r="D27" s="4" t="s">
        <v>368</v>
      </c>
      <c r="E27" s="4" t="s">
        <v>196</v>
      </c>
      <c r="F27" s="4" t="s">
        <v>761</v>
      </c>
      <c r="G27" s="4" t="s">
        <v>762</v>
      </c>
      <c r="H27" s="4" t="s">
        <v>763</v>
      </c>
      <c r="I27" s="4" t="s">
        <v>372</v>
      </c>
      <c r="J27" s="22"/>
      <c r="K27" s="22"/>
      <c r="L27" s="22"/>
      <c r="M27" s="22"/>
      <c r="N27" s="22"/>
      <c r="O27" s="4" t="s">
        <v>193</v>
      </c>
      <c r="P27" s="4" t="s">
        <v>748</v>
      </c>
      <c r="Q27" s="16" t="s">
        <v>764</v>
      </c>
      <c r="R27" s="4"/>
    </row>
    <row r="28" spans="1:18" ht="25.5">
      <c r="A28" s="4">
        <v>25</v>
      </c>
      <c r="B28" s="4"/>
      <c r="C28" s="4" t="s">
        <v>765</v>
      </c>
      <c r="D28" s="4"/>
      <c r="E28" s="4" t="s">
        <v>196</v>
      </c>
      <c r="F28" s="4" t="s">
        <v>766</v>
      </c>
      <c r="G28" s="4" t="s">
        <v>767</v>
      </c>
      <c r="H28" s="4"/>
      <c r="I28" s="4" t="s">
        <v>372</v>
      </c>
      <c r="J28" s="22"/>
      <c r="K28" s="22"/>
      <c r="L28" s="22"/>
      <c r="M28" s="22"/>
      <c r="N28" s="22"/>
      <c r="O28" s="4"/>
      <c r="P28" s="4"/>
      <c r="Q28" s="16" t="s">
        <v>768</v>
      </c>
      <c r="R28" s="4"/>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10"/>
  <sheetViews>
    <sheetView showGridLines="0" workbookViewId="0">
      <pane ySplit="3" topLeftCell="A5" activePane="bottomLeft" state="frozen"/>
      <selection pane="bottomLeft" activeCell="A9" sqref="A9:R10"/>
    </sheetView>
  </sheetViews>
  <sheetFormatPr defaultRowHeight="14.25"/>
  <cols>
    <col min="1" max="2" width="5" customWidth="1"/>
    <col min="3" max="3" width="30" customWidth="1"/>
    <col min="4" max="4" width="16" customWidth="1"/>
    <col min="5" max="5" width="6" customWidth="1"/>
    <col min="6" max="6" width="30" customWidth="1"/>
    <col min="7" max="7" width="32" customWidth="1"/>
    <col min="8" max="8" width="40" customWidth="1"/>
    <col min="9" max="9" width="20" customWidth="1"/>
    <col min="10" max="11" width="15" customWidth="1"/>
    <col min="12" max="12" width="16" customWidth="1"/>
    <col min="13" max="13" width="28" customWidth="1"/>
    <col min="14" max="14" width="16" customWidth="1"/>
    <col min="15" max="15" width="13" customWidth="1"/>
    <col min="16" max="16" width="16" customWidth="1"/>
    <col min="17" max="17" width="42" customWidth="1"/>
    <col min="18" max="18" width="8" customWidth="1"/>
  </cols>
  <sheetData>
    <row r="1" spans="1:18" ht="20.100000000000001" customHeight="1">
      <c r="A1" s="1" t="s">
        <v>769</v>
      </c>
    </row>
    <row r="2" spans="1:18">
      <c r="A2" s="18" t="s">
        <v>770</v>
      </c>
    </row>
    <row r="3" spans="1:18" ht="26.25">
      <c r="A3" s="9" t="s">
        <v>169</v>
      </c>
      <c r="B3" s="9" t="s">
        <v>170</v>
      </c>
      <c r="C3" s="9" t="s">
        <v>171</v>
      </c>
      <c r="D3" s="9" t="s">
        <v>172</v>
      </c>
      <c r="E3" s="9" t="s">
        <v>173</v>
      </c>
      <c r="F3" s="9" t="s">
        <v>138</v>
      </c>
      <c r="G3" s="9" t="s">
        <v>174</v>
      </c>
      <c r="H3" s="9" t="s">
        <v>175</v>
      </c>
      <c r="I3" s="9" t="s">
        <v>176</v>
      </c>
      <c r="J3" s="19" t="s">
        <v>177</v>
      </c>
      <c r="K3" s="20" t="s">
        <v>178</v>
      </c>
      <c r="L3" s="20" t="s">
        <v>179</v>
      </c>
      <c r="M3" s="20" t="s">
        <v>180</v>
      </c>
      <c r="N3" s="21" t="s">
        <v>181</v>
      </c>
      <c r="O3" s="9" t="s">
        <v>182</v>
      </c>
      <c r="P3" s="9" t="s">
        <v>183</v>
      </c>
      <c r="Q3" s="9" t="s">
        <v>184</v>
      </c>
      <c r="R3" s="9" t="s">
        <v>185</v>
      </c>
    </row>
    <row r="4" spans="1:18" ht="76.5">
      <c r="A4" s="4">
        <v>1</v>
      </c>
      <c r="B4" s="15" t="s">
        <v>170</v>
      </c>
      <c r="C4" s="15" t="s">
        <v>66</v>
      </c>
      <c r="D4" s="15" t="s">
        <v>186</v>
      </c>
      <c r="E4" s="15" t="s">
        <v>187</v>
      </c>
      <c r="F4" s="4"/>
      <c r="G4" s="4" t="s">
        <v>188</v>
      </c>
      <c r="H4" s="4" t="s">
        <v>189</v>
      </c>
      <c r="I4" s="4"/>
      <c r="J4" s="22"/>
      <c r="K4" s="22"/>
      <c r="L4" s="22"/>
      <c r="M4" s="22"/>
      <c r="N4" s="22"/>
      <c r="O4" s="4" t="s">
        <v>190</v>
      </c>
      <c r="P4" s="4" t="s">
        <v>646</v>
      </c>
      <c r="Q4" s="16" t="s">
        <v>192</v>
      </c>
      <c r="R4" s="4" t="s">
        <v>193</v>
      </c>
    </row>
    <row r="5" spans="1:18" ht="127.5">
      <c r="A5" s="4">
        <v>2</v>
      </c>
      <c r="B5" s="15" t="s">
        <v>170</v>
      </c>
      <c r="C5" s="15" t="s">
        <v>652</v>
      </c>
      <c r="D5" s="15" t="s">
        <v>210</v>
      </c>
      <c r="E5" s="15" t="s">
        <v>187</v>
      </c>
      <c r="F5" s="4"/>
      <c r="G5" s="4" t="s">
        <v>188</v>
      </c>
      <c r="H5" s="4" t="s">
        <v>771</v>
      </c>
      <c r="I5" s="4"/>
      <c r="J5" s="22"/>
      <c r="K5" s="22"/>
      <c r="L5" s="22"/>
      <c r="M5" s="22"/>
      <c r="N5" s="22"/>
      <c r="O5" s="4" t="s">
        <v>190</v>
      </c>
      <c r="P5" s="4" t="s">
        <v>772</v>
      </c>
      <c r="Q5" s="16" t="s">
        <v>192</v>
      </c>
      <c r="R5" s="4" t="s">
        <v>193</v>
      </c>
    </row>
    <row r="6" spans="1:18" ht="127.5">
      <c r="A6" s="4">
        <v>3</v>
      </c>
      <c r="B6" s="4"/>
      <c r="C6" s="4" t="s">
        <v>773</v>
      </c>
      <c r="D6" s="4" t="s">
        <v>606</v>
      </c>
      <c r="E6" s="4" t="s">
        <v>196</v>
      </c>
      <c r="F6" s="4" t="s">
        <v>774</v>
      </c>
      <c r="G6" s="4" t="s">
        <v>775</v>
      </c>
      <c r="H6" s="4" t="s">
        <v>776</v>
      </c>
      <c r="I6" s="4"/>
      <c r="J6" s="22"/>
      <c r="K6" s="22"/>
      <c r="L6" s="22"/>
      <c r="M6" s="22"/>
      <c r="N6" s="22"/>
      <c r="O6" s="23" t="s">
        <v>193</v>
      </c>
      <c r="P6" s="4" t="s">
        <v>772</v>
      </c>
      <c r="Q6" s="4" t="s">
        <v>777</v>
      </c>
      <c r="R6" s="4"/>
    </row>
    <row r="7" spans="1:18" ht="51">
      <c r="A7" s="4">
        <v>4</v>
      </c>
      <c r="B7" s="4"/>
      <c r="C7" s="4" t="s">
        <v>778</v>
      </c>
      <c r="D7" s="4" t="s">
        <v>779</v>
      </c>
      <c r="E7" s="4" t="s">
        <v>196</v>
      </c>
      <c r="F7" s="4" t="s">
        <v>780</v>
      </c>
      <c r="G7" s="4" t="s">
        <v>781</v>
      </c>
      <c r="H7" s="4" t="s">
        <v>782</v>
      </c>
      <c r="I7" s="4"/>
      <c r="J7" s="22"/>
      <c r="K7" s="22"/>
      <c r="L7" s="22"/>
      <c r="M7" s="22"/>
      <c r="N7" s="22"/>
      <c r="O7" s="23" t="s">
        <v>193</v>
      </c>
      <c r="P7" s="4" t="s">
        <v>650</v>
      </c>
      <c r="Q7" s="4" t="s">
        <v>783</v>
      </c>
      <c r="R7" s="4"/>
    </row>
    <row r="9" spans="1:18">
      <c r="A9" s="17"/>
    </row>
    <row r="10" spans="1:18">
      <c r="A10" s="34"/>
      <c r="B10" s="35"/>
      <c r="C10" s="35"/>
      <c r="D10" s="35"/>
      <c r="E10" s="35"/>
      <c r="F10" s="35"/>
      <c r="G10" s="35"/>
      <c r="H10" s="35"/>
      <c r="I10" s="35"/>
      <c r="J10" s="35"/>
      <c r="K10" s="35"/>
      <c r="L10" s="35"/>
      <c r="M10" s="35"/>
      <c r="N10" s="35"/>
      <c r="O10" s="35"/>
      <c r="P10" s="35"/>
      <c r="Q10" s="35"/>
      <c r="R10" s="35"/>
    </row>
  </sheetData>
  <mergeCells count="1">
    <mergeCell ref="A10:R10"/>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R14"/>
  <sheetViews>
    <sheetView showGridLines="0" workbookViewId="0">
      <pane ySplit="3" topLeftCell="A11" activePane="bottomLeft" state="frozen"/>
      <selection pane="bottomLeft" activeCell="A16" sqref="A16:XFD17"/>
    </sheetView>
  </sheetViews>
  <sheetFormatPr defaultRowHeight="14.25"/>
  <cols>
    <col min="1" max="2" width="5" customWidth="1"/>
    <col min="3" max="3" width="30" customWidth="1"/>
    <col min="4" max="4" width="16" customWidth="1"/>
    <col min="5" max="5" width="6" customWidth="1"/>
    <col min="6" max="6" width="30" customWidth="1"/>
    <col min="7" max="7" width="32" customWidth="1"/>
    <col min="8" max="8" width="40" customWidth="1"/>
    <col min="9" max="9" width="20" customWidth="1"/>
    <col min="10" max="11" width="15" customWidth="1"/>
    <col min="12" max="12" width="16" customWidth="1"/>
    <col min="13" max="13" width="28" customWidth="1"/>
    <col min="14" max="14" width="16" customWidth="1"/>
    <col min="15" max="15" width="13" customWidth="1"/>
    <col min="16" max="16" width="16" customWidth="1"/>
    <col min="17" max="17" width="42" customWidth="1"/>
    <col min="18" max="18" width="8" customWidth="1"/>
  </cols>
  <sheetData>
    <row r="1" spans="1:18" ht="20.100000000000001" customHeight="1">
      <c r="A1" s="1" t="s">
        <v>784</v>
      </c>
    </row>
    <row r="2" spans="1:18">
      <c r="A2" s="18" t="s">
        <v>785</v>
      </c>
    </row>
    <row r="3" spans="1:18" ht="26.25">
      <c r="A3" s="9" t="s">
        <v>169</v>
      </c>
      <c r="B3" s="9" t="s">
        <v>170</v>
      </c>
      <c r="C3" s="9" t="s">
        <v>171</v>
      </c>
      <c r="D3" s="9" t="s">
        <v>172</v>
      </c>
      <c r="E3" s="9" t="s">
        <v>173</v>
      </c>
      <c r="F3" s="9" t="s">
        <v>138</v>
      </c>
      <c r="G3" s="9" t="s">
        <v>174</v>
      </c>
      <c r="H3" s="9" t="s">
        <v>175</v>
      </c>
      <c r="I3" s="9" t="s">
        <v>176</v>
      </c>
      <c r="J3" s="19" t="s">
        <v>177</v>
      </c>
      <c r="K3" s="20" t="s">
        <v>178</v>
      </c>
      <c r="L3" s="20" t="s">
        <v>179</v>
      </c>
      <c r="M3" s="20" t="s">
        <v>180</v>
      </c>
      <c r="N3" s="21" t="s">
        <v>181</v>
      </c>
      <c r="O3" s="9" t="s">
        <v>182</v>
      </c>
      <c r="P3" s="9" t="s">
        <v>183</v>
      </c>
      <c r="Q3" s="9" t="s">
        <v>184</v>
      </c>
      <c r="R3" s="9" t="s">
        <v>185</v>
      </c>
    </row>
    <row r="4" spans="1:18" ht="51">
      <c r="A4" s="4">
        <v>1</v>
      </c>
      <c r="B4" s="15" t="s">
        <v>170</v>
      </c>
      <c r="C4" s="15" t="s">
        <v>652</v>
      </c>
      <c r="D4" s="15" t="s">
        <v>210</v>
      </c>
      <c r="E4" s="15" t="s">
        <v>187</v>
      </c>
      <c r="F4" s="4"/>
      <c r="G4" s="4" t="s">
        <v>188</v>
      </c>
      <c r="H4" s="4" t="s">
        <v>786</v>
      </c>
      <c r="I4" s="4"/>
      <c r="J4" s="22"/>
      <c r="K4" s="22"/>
      <c r="L4" s="22"/>
      <c r="M4" s="22"/>
      <c r="N4" s="22"/>
      <c r="O4" s="4" t="s">
        <v>190</v>
      </c>
      <c r="P4" s="4" t="s">
        <v>787</v>
      </c>
      <c r="Q4" s="16" t="s">
        <v>192</v>
      </c>
      <c r="R4" s="4" t="s">
        <v>193</v>
      </c>
    </row>
    <row r="5" spans="1:18" ht="38.25">
      <c r="A5" s="4">
        <v>2</v>
      </c>
      <c r="B5" s="15" t="s">
        <v>170</v>
      </c>
      <c r="C5" s="15" t="s">
        <v>66</v>
      </c>
      <c r="D5" s="15" t="s">
        <v>186</v>
      </c>
      <c r="E5" s="15" t="s">
        <v>187</v>
      </c>
      <c r="F5" s="4"/>
      <c r="G5" s="4" t="s">
        <v>188</v>
      </c>
      <c r="H5" s="4" t="s">
        <v>189</v>
      </c>
      <c r="I5" s="4"/>
      <c r="J5" s="22"/>
      <c r="K5" s="22"/>
      <c r="L5" s="22"/>
      <c r="M5" s="22"/>
      <c r="N5" s="22"/>
      <c r="O5" s="4" t="s">
        <v>420</v>
      </c>
      <c r="P5" s="4"/>
      <c r="Q5" s="16" t="s">
        <v>192</v>
      </c>
      <c r="R5" s="4" t="s">
        <v>193</v>
      </c>
    </row>
    <row r="6" spans="1:18" ht="127.5">
      <c r="A6" s="4">
        <v>3</v>
      </c>
      <c r="B6" s="15" t="s">
        <v>170</v>
      </c>
      <c r="C6" s="15" t="s">
        <v>512</v>
      </c>
      <c r="D6" s="15" t="s">
        <v>275</v>
      </c>
      <c r="E6" s="15" t="s">
        <v>187</v>
      </c>
      <c r="F6" s="4" t="s">
        <v>788</v>
      </c>
      <c r="G6" s="4" t="s">
        <v>789</v>
      </c>
      <c r="H6" s="4" t="s">
        <v>790</v>
      </c>
      <c r="I6" s="4" t="s">
        <v>791</v>
      </c>
      <c r="J6" s="22"/>
      <c r="K6" s="22"/>
      <c r="L6" s="22"/>
      <c r="M6" s="22"/>
      <c r="N6" s="22"/>
      <c r="O6" s="23" t="s">
        <v>193</v>
      </c>
      <c r="P6" s="4" t="s">
        <v>787</v>
      </c>
      <c r="Q6" s="4" t="s">
        <v>792</v>
      </c>
      <c r="R6" s="4"/>
    </row>
    <row r="7" spans="1:18" ht="51">
      <c r="A7" s="4">
        <v>4</v>
      </c>
      <c r="B7" s="4"/>
      <c r="C7" s="4" t="s">
        <v>216</v>
      </c>
      <c r="D7" s="4" t="s">
        <v>217</v>
      </c>
      <c r="E7" s="4" t="s">
        <v>196</v>
      </c>
      <c r="F7" s="4" t="s">
        <v>793</v>
      </c>
      <c r="G7" s="4" t="s">
        <v>794</v>
      </c>
      <c r="H7" s="4" t="s">
        <v>795</v>
      </c>
      <c r="I7" s="4"/>
      <c r="J7" s="22"/>
      <c r="K7" s="22"/>
      <c r="L7" s="22"/>
      <c r="M7" s="22"/>
      <c r="N7" s="22"/>
      <c r="O7" s="23" t="s">
        <v>193</v>
      </c>
      <c r="P7" s="4" t="s">
        <v>787</v>
      </c>
      <c r="Q7" s="4" t="s">
        <v>796</v>
      </c>
      <c r="R7" s="4"/>
    </row>
    <row r="8" spans="1:18" ht="51">
      <c r="A8" s="4">
        <v>5</v>
      </c>
      <c r="B8" s="4"/>
      <c r="C8" s="4" t="s">
        <v>209</v>
      </c>
      <c r="D8" s="4" t="s">
        <v>210</v>
      </c>
      <c r="E8" s="4" t="s">
        <v>196</v>
      </c>
      <c r="F8" s="4" t="s">
        <v>797</v>
      </c>
      <c r="G8" s="4" t="s">
        <v>798</v>
      </c>
      <c r="H8" s="4" t="s">
        <v>213</v>
      </c>
      <c r="I8" s="4"/>
      <c r="J8" s="22"/>
      <c r="K8" s="22"/>
      <c r="L8" s="22"/>
      <c r="M8" s="22"/>
      <c r="N8" s="22"/>
      <c r="O8" s="23" t="s">
        <v>193</v>
      </c>
      <c r="P8" s="4" t="s">
        <v>799</v>
      </c>
      <c r="Q8" s="4" t="s">
        <v>800</v>
      </c>
      <c r="R8" s="4"/>
    </row>
    <row r="9" spans="1:18" ht="63.75">
      <c r="A9" s="4">
        <v>6</v>
      </c>
      <c r="B9" s="4"/>
      <c r="C9" s="4" t="s">
        <v>801</v>
      </c>
      <c r="D9" s="4" t="s">
        <v>308</v>
      </c>
      <c r="E9" s="4" t="s">
        <v>196</v>
      </c>
      <c r="F9" s="4" t="s">
        <v>802</v>
      </c>
      <c r="G9" s="4" t="s">
        <v>803</v>
      </c>
      <c r="H9" s="4" t="s">
        <v>804</v>
      </c>
      <c r="I9" s="4" t="s">
        <v>805</v>
      </c>
      <c r="J9" s="22"/>
      <c r="K9" s="22"/>
      <c r="L9" s="22"/>
      <c r="M9" s="22"/>
      <c r="N9" s="22"/>
      <c r="O9" s="23" t="s">
        <v>193</v>
      </c>
      <c r="P9" s="4" t="s">
        <v>799</v>
      </c>
      <c r="Q9" s="4" t="s">
        <v>806</v>
      </c>
      <c r="R9" s="4"/>
    </row>
    <row r="10" spans="1:18" ht="25.5">
      <c r="A10" s="4">
        <v>7</v>
      </c>
      <c r="B10" s="4"/>
      <c r="C10" s="4" t="s">
        <v>807</v>
      </c>
      <c r="D10" s="4" t="s">
        <v>268</v>
      </c>
      <c r="E10" s="4" t="s">
        <v>196</v>
      </c>
      <c r="F10" s="4" t="s">
        <v>808</v>
      </c>
      <c r="G10" s="4" t="s">
        <v>809</v>
      </c>
      <c r="H10" s="4" t="s">
        <v>810</v>
      </c>
      <c r="I10" s="4"/>
      <c r="J10" s="22"/>
      <c r="K10" s="22"/>
      <c r="L10" s="22"/>
      <c r="M10" s="22"/>
      <c r="N10" s="22"/>
      <c r="O10" s="23" t="s">
        <v>193</v>
      </c>
      <c r="P10" s="4" t="s">
        <v>799</v>
      </c>
      <c r="Q10" s="4"/>
      <c r="R10" s="4"/>
    </row>
    <row r="11" spans="1:18" ht="25.5">
      <c r="A11" s="4">
        <v>8</v>
      </c>
      <c r="B11" s="4"/>
      <c r="C11" s="4" t="s">
        <v>481</v>
      </c>
      <c r="D11" s="4" t="s">
        <v>482</v>
      </c>
      <c r="E11" s="4" t="s">
        <v>196</v>
      </c>
      <c r="F11" s="4" t="s">
        <v>811</v>
      </c>
      <c r="G11" s="4" t="s">
        <v>812</v>
      </c>
      <c r="H11" s="4" t="s">
        <v>813</v>
      </c>
      <c r="I11" s="4" t="s">
        <v>257</v>
      </c>
      <c r="J11" s="22"/>
      <c r="K11" s="22"/>
      <c r="L11" s="22"/>
      <c r="M11" s="22"/>
      <c r="N11" s="22"/>
      <c r="O11" s="23" t="s">
        <v>193</v>
      </c>
      <c r="P11" s="4" t="s">
        <v>799</v>
      </c>
      <c r="Q11" s="4" t="s">
        <v>814</v>
      </c>
      <c r="R11" s="4"/>
    </row>
    <row r="12" spans="1:18" ht="25.5">
      <c r="A12" s="4">
        <v>9</v>
      </c>
      <c r="B12" s="4"/>
      <c r="C12" s="4" t="s">
        <v>815</v>
      </c>
      <c r="D12" s="4" t="s">
        <v>217</v>
      </c>
      <c r="E12" s="4" t="s">
        <v>196</v>
      </c>
      <c r="F12" s="4" t="s">
        <v>816</v>
      </c>
      <c r="G12" s="4" t="s">
        <v>817</v>
      </c>
      <c r="H12" s="4" t="s">
        <v>818</v>
      </c>
      <c r="I12" s="4"/>
      <c r="J12" s="22"/>
      <c r="K12" s="22"/>
      <c r="L12" s="22"/>
      <c r="M12" s="22"/>
      <c r="N12" s="22"/>
      <c r="O12" s="23" t="s">
        <v>193</v>
      </c>
      <c r="P12" s="4" t="s">
        <v>799</v>
      </c>
      <c r="Q12" s="4"/>
      <c r="R12" s="4"/>
    </row>
    <row r="13" spans="1:18" ht="38.25">
      <c r="A13" s="4">
        <v>10</v>
      </c>
      <c r="B13" s="4"/>
      <c r="C13" s="4" t="s">
        <v>819</v>
      </c>
      <c r="D13" s="4" t="s">
        <v>368</v>
      </c>
      <c r="E13" s="4" t="s">
        <v>196</v>
      </c>
      <c r="F13" s="4" t="s">
        <v>820</v>
      </c>
      <c r="G13" s="4" t="s">
        <v>821</v>
      </c>
      <c r="H13" s="4" t="s">
        <v>822</v>
      </c>
      <c r="I13" s="4" t="s">
        <v>372</v>
      </c>
      <c r="J13" s="22"/>
      <c r="K13" s="22"/>
      <c r="L13" s="22"/>
      <c r="M13" s="22"/>
      <c r="N13" s="22"/>
      <c r="O13" s="23" t="s">
        <v>193</v>
      </c>
      <c r="P13" s="4" t="s">
        <v>799</v>
      </c>
      <c r="Q13" s="4" t="s">
        <v>823</v>
      </c>
      <c r="R13" s="4"/>
    </row>
    <row r="14" spans="1:18" ht="63.75">
      <c r="A14" s="4">
        <v>11</v>
      </c>
      <c r="B14" s="4"/>
      <c r="C14" s="4" t="s">
        <v>307</v>
      </c>
      <c r="D14" s="4" t="s">
        <v>308</v>
      </c>
      <c r="E14" s="4" t="s">
        <v>196</v>
      </c>
      <c r="F14" s="4" t="s">
        <v>397</v>
      </c>
      <c r="G14" s="4" t="s">
        <v>398</v>
      </c>
      <c r="H14" s="4" t="s">
        <v>311</v>
      </c>
      <c r="I14" s="4"/>
      <c r="J14" s="22"/>
      <c r="K14" s="22"/>
      <c r="L14" s="22"/>
      <c r="M14" s="22" t="s">
        <v>399</v>
      </c>
      <c r="N14" s="22" t="s">
        <v>101</v>
      </c>
      <c r="O14" s="12" t="s">
        <v>258</v>
      </c>
      <c r="P14" s="4"/>
      <c r="Q14" s="4" t="s">
        <v>401</v>
      </c>
      <c r="R14" s="4"/>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R16"/>
  <sheetViews>
    <sheetView showGridLines="0" workbookViewId="0">
      <pane ySplit="3" topLeftCell="A4" activePane="bottomLeft" state="frozen"/>
      <selection pane="bottomLeft" activeCell="F13" sqref="F13"/>
    </sheetView>
  </sheetViews>
  <sheetFormatPr defaultRowHeight="14.25"/>
  <cols>
    <col min="1" max="2" width="5" customWidth="1"/>
    <col min="3" max="3" width="30" customWidth="1"/>
    <col min="4" max="4" width="16" customWidth="1"/>
    <col min="5" max="5" width="6" customWidth="1"/>
    <col min="6" max="6" width="30" customWidth="1"/>
    <col min="7" max="7" width="32" customWidth="1"/>
    <col min="8" max="8" width="40" customWidth="1"/>
    <col min="9" max="9" width="20" customWidth="1"/>
    <col min="10" max="11" width="15" customWidth="1"/>
    <col min="12" max="12" width="16" customWidth="1"/>
    <col min="13" max="13" width="28" customWidth="1"/>
    <col min="14" max="14" width="16" customWidth="1"/>
    <col min="15" max="15" width="13" customWidth="1"/>
    <col min="16" max="16" width="16" customWidth="1"/>
    <col min="17" max="17" width="42" customWidth="1"/>
    <col min="18" max="18" width="8" customWidth="1"/>
  </cols>
  <sheetData>
    <row r="1" spans="1:18" ht="20.100000000000001" customHeight="1">
      <c r="A1" s="24" t="s">
        <v>824</v>
      </c>
    </row>
    <row r="2" spans="1:18">
      <c r="A2" s="25" t="s">
        <v>825</v>
      </c>
    </row>
    <row r="3" spans="1:18" ht="26.25">
      <c r="A3" s="9" t="s">
        <v>169</v>
      </c>
      <c r="B3" s="9" t="s">
        <v>170</v>
      </c>
      <c r="C3" s="9" t="s">
        <v>171</v>
      </c>
      <c r="D3" s="9" t="s">
        <v>172</v>
      </c>
      <c r="E3" s="9" t="s">
        <v>173</v>
      </c>
      <c r="F3" s="9" t="s">
        <v>138</v>
      </c>
      <c r="G3" s="9" t="s">
        <v>174</v>
      </c>
      <c r="H3" s="9" t="s">
        <v>175</v>
      </c>
      <c r="I3" s="9" t="s">
        <v>176</v>
      </c>
      <c r="J3" s="19" t="s">
        <v>177</v>
      </c>
      <c r="K3" s="20" t="s">
        <v>178</v>
      </c>
      <c r="L3" s="20" t="s">
        <v>179</v>
      </c>
      <c r="M3" s="20" t="s">
        <v>180</v>
      </c>
      <c r="N3" s="21" t="s">
        <v>181</v>
      </c>
      <c r="O3" s="9" t="s">
        <v>182</v>
      </c>
      <c r="P3" s="9" t="s">
        <v>183</v>
      </c>
      <c r="Q3" s="9" t="s">
        <v>184</v>
      </c>
      <c r="R3" s="9" t="s">
        <v>185</v>
      </c>
    </row>
    <row r="4" spans="1:18" ht="25.5">
      <c r="A4" s="4">
        <v>1</v>
      </c>
      <c r="B4" s="15" t="s">
        <v>170</v>
      </c>
      <c r="C4" s="15" t="s">
        <v>209</v>
      </c>
      <c r="D4" s="15" t="s">
        <v>210</v>
      </c>
      <c r="E4" s="15" t="s">
        <v>187</v>
      </c>
      <c r="F4" s="4" t="s">
        <v>211</v>
      </c>
      <c r="G4" s="4" t="s">
        <v>826</v>
      </c>
      <c r="H4" s="4"/>
      <c r="I4" s="4"/>
      <c r="J4" s="22"/>
      <c r="K4" s="22"/>
      <c r="L4" s="22"/>
      <c r="M4" s="22"/>
      <c r="N4" s="22"/>
      <c r="O4" s="26" t="s">
        <v>827</v>
      </c>
      <c r="P4" s="4" t="s">
        <v>828</v>
      </c>
      <c r="Q4" s="4" t="s">
        <v>829</v>
      </c>
      <c r="R4" s="4"/>
    </row>
    <row r="5" spans="1:18" ht="25.5">
      <c r="A5" s="4">
        <v>2</v>
      </c>
      <c r="B5" s="15" t="s">
        <v>170</v>
      </c>
      <c r="C5" s="15" t="s">
        <v>66</v>
      </c>
      <c r="D5" s="15" t="s">
        <v>186</v>
      </c>
      <c r="E5" s="15" t="s">
        <v>187</v>
      </c>
      <c r="F5" s="4" t="s">
        <v>830</v>
      </c>
      <c r="G5" s="4" t="s">
        <v>831</v>
      </c>
      <c r="H5" s="4"/>
      <c r="I5" s="4"/>
      <c r="J5" s="22"/>
      <c r="K5" s="22"/>
      <c r="L5" s="22"/>
      <c r="M5" s="22"/>
      <c r="N5" s="22"/>
      <c r="O5" s="26" t="s">
        <v>827</v>
      </c>
      <c r="P5" s="4" t="s">
        <v>828</v>
      </c>
      <c r="Q5" s="4" t="s">
        <v>832</v>
      </c>
      <c r="R5" s="4"/>
    </row>
    <row r="6" spans="1:18" ht="25.5">
      <c r="A6" s="4">
        <v>3</v>
      </c>
      <c r="B6" s="26"/>
      <c r="C6" s="26" t="s">
        <v>833</v>
      </c>
      <c r="D6" s="26" t="s">
        <v>308</v>
      </c>
      <c r="E6" s="26" t="s">
        <v>196</v>
      </c>
      <c r="F6" s="4" t="s">
        <v>834</v>
      </c>
      <c r="G6" s="4" t="s">
        <v>835</v>
      </c>
      <c r="H6" s="4"/>
      <c r="I6" s="4" t="s">
        <v>253</v>
      </c>
      <c r="J6" s="22"/>
      <c r="K6" s="22"/>
      <c r="L6" s="22"/>
      <c r="M6" s="22"/>
      <c r="N6" s="22"/>
      <c r="O6" s="26" t="s">
        <v>827</v>
      </c>
      <c r="P6" s="4" t="s">
        <v>828</v>
      </c>
      <c r="Q6" s="4"/>
      <c r="R6" s="4" t="s">
        <v>193</v>
      </c>
    </row>
    <row r="7" spans="1:18" ht="25.5">
      <c r="A7" s="4">
        <v>4</v>
      </c>
      <c r="B7" s="26"/>
      <c r="C7" s="26" t="s">
        <v>836</v>
      </c>
      <c r="D7" s="26" t="s">
        <v>308</v>
      </c>
      <c r="E7" s="26" t="s">
        <v>196</v>
      </c>
      <c r="F7" s="4" t="s">
        <v>837</v>
      </c>
      <c r="G7" s="4" t="s">
        <v>838</v>
      </c>
      <c r="H7" s="4"/>
      <c r="I7" s="4" t="s">
        <v>253</v>
      </c>
      <c r="J7" s="22"/>
      <c r="K7" s="22"/>
      <c r="L7" s="22"/>
      <c r="M7" s="22"/>
      <c r="N7" s="22"/>
      <c r="O7" s="26" t="s">
        <v>827</v>
      </c>
      <c r="P7" s="4" t="s">
        <v>828</v>
      </c>
      <c r="Q7" s="4"/>
      <c r="R7" s="4" t="s">
        <v>193</v>
      </c>
    </row>
    <row r="8" spans="1:18" ht="25.5">
      <c r="A8" s="4">
        <v>5</v>
      </c>
      <c r="B8" s="26"/>
      <c r="C8" s="26" t="s">
        <v>839</v>
      </c>
      <c r="D8" s="26" t="s">
        <v>308</v>
      </c>
      <c r="E8" s="26" t="s">
        <v>196</v>
      </c>
      <c r="F8" s="4" t="s">
        <v>840</v>
      </c>
      <c r="G8" s="4" t="s">
        <v>841</v>
      </c>
      <c r="H8" s="4"/>
      <c r="I8" s="4" t="s">
        <v>253</v>
      </c>
      <c r="J8" s="22"/>
      <c r="K8" s="22"/>
      <c r="L8" s="22"/>
      <c r="M8" s="22"/>
      <c r="N8" s="22"/>
      <c r="O8" s="26" t="s">
        <v>827</v>
      </c>
      <c r="P8" s="4" t="s">
        <v>828</v>
      </c>
      <c r="Q8" s="4"/>
      <c r="R8" s="4" t="s">
        <v>193</v>
      </c>
    </row>
    <row r="9" spans="1:18" ht="25.5">
      <c r="A9" s="4">
        <v>6</v>
      </c>
      <c r="B9" s="26"/>
      <c r="C9" s="26" t="s">
        <v>842</v>
      </c>
      <c r="D9" s="26" t="s">
        <v>368</v>
      </c>
      <c r="E9" s="26" t="s">
        <v>196</v>
      </c>
      <c r="F9" s="4" t="s">
        <v>843</v>
      </c>
      <c r="G9" s="4" t="s">
        <v>844</v>
      </c>
      <c r="H9" s="4"/>
      <c r="I9" s="4" t="s">
        <v>372</v>
      </c>
      <c r="J9" s="22"/>
      <c r="K9" s="22"/>
      <c r="L9" s="22"/>
      <c r="M9" s="22"/>
      <c r="N9" s="22"/>
      <c r="O9" s="26" t="s">
        <v>827</v>
      </c>
      <c r="P9" s="4" t="s">
        <v>828</v>
      </c>
      <c r="Q9" s="4" t="s">
        <v>845</v>
      </c>
      <c r="R9" s="4" t="s">
        <v>193</v>
      </c>
    </row>
    <row r="10" spans="1:18" ht="25.5">
      <c r="A10" s="4">
        <v>7</v>
      </c>
      <c r="B10" s="26"/>
      <c r="C10" s="26" t="s">
        <v>846</v>
      </c>
      <c r="D10" s="26" t="s">
        <v>368</v>
      </c>
      <c r="E10" s="26" t="s">
        <v>196</v>
      </c>
      <c r="F10" s="4" t="s">
        <v>847</v>
      </c>
      <c r="G10" s="4" t="s">
        <v>848</v>
      </c>
      <c r="H10" s="4"/>
      <c r="I10" s="4" t="s">
        <v>372</v>
      </c>
      <c r="J10" s="22"/>
      <c r="K10" s="22"/>
      <c r="L10" s="22"/>
      <c r="M10" s="22"/>
      <c r="N10" s="22"/>
      <c r="O10" s="26" t="s">
        <v>827</v>
      </c>
      <c r="P10" s="4" t="s">
        <v>828</v>
      </c>
      <c r="Q10" s="4" t="s">
        <v>849</v>
      </c>
      <c r="R10" s="4" t="s">
        <v>193</v>
      </c>
    </row>
    <row r="11" spans="1:18" ht="25.5">
      <c r="A11" s="4">
        <v>8</v>
      </c>
      <c r="B11" s="26"/>
      <c r="C11" s="26" t="s">
        <v>850</v>
      </c>
      <c r="D11" s="26" t="s">
        <v>368</v>
      </c>
      <c r="E11" s="26" t="s">
        <v>196</v>
      </c>
      <c r="F11" s="4" t="s">
        <v>851</v>
      </c>
      <c r="G11" s="4" t="s">
        <v>852</v>
      </c>
      <c r="H11" s="4"/>
      <c r="I11" s="4" t="s">
        <v>372</v>
      </c>
      <c r="J11" s="22"/>
      <c r="K11" s="22"/>
      <c r="L11" s="22"/>
      <c r="M11" s="22"/>
      <c r="N11" s="22"/>
      <c r="O11" s="26" t="s">
        <v>827</v>
      </c>
      <c r="P11" s="4" t="s">
        <v>828</v>
      </c>
      <c r="Q11" s="4" t="s">
        <v>853</v>
      </c>
      <c r="R11" s="4" t="s">
        <v>193</v>
      </c>
    </row>
    <row r="12" spans="1:18" ht="25.5">
      <c r="A12" s="4">
        <v>9</v>
      </c>
      <c r="B12" s="26"/>
      <c r="C12" s="26" t="s">
        <v>854</v>
      </c>
      <c r="D12" s="26" t="s">
        <v>368</v>
      </c>
      <c r="E12" s="26" t="s">
        <v>196</v>
      </c>
      <c r="F12" s="4" t="s">
        <v>855</v>
      </c>
      <c r="G12" s="4" t="s">
        <v>856</v>
      </c>
      <c r="H12" s="4"/>
      <c r="I12" s="4" t="s">
        <v>372</v>
      </c>
      <c r="J12" s="22"/>
      <c r="K12" s="22"/>
      <c r="L12" s="22"/>
      <c r="M12" s="22"/>
      <c r="N12" s="22"/>
      <c r="O12" s="26" t="s">
        <v>827</v>
      </c>
      <c r="P12" s="4" t="s">
        <v>828</v>
      </c>
      <c r="Q12" s="4" t="s">
        <v>857</v>
      </c>
      <c r="R12" s="4" t="s">
        <v>193</v>
      </c>
    </row>
    <row r="13" spans="1:18" ht="25.5">
      <c r="A13" s="4">
        <v>10</v>
      </c>
      <c r="B13" s="26"/>
      <c r="C13" s="26" t="s">
        <v>858</v>
      </c>
      <c r="D13" s="26" t="s">
        <v>368</v>
      </c>
      <c r="E13" s="26" t="s">
        <v>196</v>
      </c>
      <c r="F13" s="4" t="s">
        <v>859</v>
      </c>
      <c r="G13" s="4" t="s">
        <v>860</v>
      </c>
      <c r="H13" s="4"/>
      <c r="I13" s="4" t="s">
        <v>372</v>
      </c>
      <c r="J13" s="22"/>
      <c r="K13" s="22"/>
      <c r="L13" s="22"/>
      <c r="M13" s="22"/>
      <c r="N13" s="22"/>
      <c r="O13" s="26" t="s">
        <v>827</v>
      </c>
      <c r="P13" s="4" t="s">
        <v>828</v>
      </c>
      <c r="Q13" s="4" t="s">
        <v>861</v>
      </c>
      <c r="R13" s="4" t="s">
        <v>193</v>
      </c>
    </row>
    <row r="14" spans="1:18" ht="25.5">
      <c r="A14" s="4">
        <v>11</v>
      </c>
      <c r="B14" s="26"/>
      <c r="C14" s="26" t="s">
        <v>307</v>
      </c>
      <c r="D14" s="26" t="s">
        <v>308</v>
      </c>
      <c r="E14" s="26" t="s">
        <v>196</v>
      </c>
      <c r="F14" s="4" t="s">
        <v>830</v>
      </c>
      <c r="G14" s="4" t="s">
        <v>862</v>
      </c>
      <c r="H14" s="4"/>
      <c r="I14" s="4"/>
      <c r="J14" s="22"/>
      <c r="K14" s="22"/>
      <c r="L14" s="22"/>
      <c r="M14" s="22"/>
      <c r="N14" s="22" t="s">
        <v>863</v>
      </c>
      <c r="O14" s="26" t="s">
        <v>827</v>
      </c>
      <c r="P14" s="4" t="s">
        <v>828</v>
      </c>
      <c r="Q14" s="4" t="s">
        <v>864</v>
      </c>
      <c r="R14" s="4" t="s">
        <v>193</v>
      </c>
    </row>
    <row r="16" spans="1:18">
      <c r="A16" s="36" t="s">
        <v>865</v>
      </c>
      <c r="B16" s="36"/>
      <c r="C16" s="36"/>
      <c r="D16" s="36"/>
      <c r="E16" s="36"/>
      <c r="F16" s="36"/>
      <c r="G16" s="36"/>
      <c r="H16" s="36"/>
      <c r="I16" s="36"/>
      <c r="J16" s="36"/>
      <c r="K16" s="36"/>
      <c r="L16" s="36"/>
      <c r="M16" s="36"/>
      <c r="N16" s="36"/>
      <c r="O16" s="36"/>
      <c r="P16" s="36"/>
      <c r="Q16" s="36"/>
      <c r="R16" s="36"/>
    </row>
  </sheetData>
  <mergeCells count="1">
    <mergeCell ref="A16:R16"/>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R16"/>
  <sheetViews>
    <sheetView showGridLines="0" topLeftCell="J1" workbookViewId="0">
      <pane ySplit="3" topLeftCell="A4" activePane="bottomLeft" state="frozen"/>
      <selection pane="bottomLeft" activeCell="Q12" sqref="Q12"/>
    </sheetView>
  </sheetViews>
  <sheetFormatPr defaultRowHeight="14.25"/>
  <cols>
    <col min="1" max="2" width="5" customWidth="1"/>
    <col min="3" max="3" width="30" customWidth="1"/>
    <col min="4" max="4" width="16" customWidth="1"/>
    <col min="5" max="5" width="6" customWidth="1"/>
    <col min="6" max="6" width="30" customWidth="1"/>
    <col min="7" max="7" width="32" customWidth="1"/>
    <col min="8" max="8" width="40" customWidth="1"/>
    <col min="9" max="9" width="20" customWidth="1"/>
    <col min="10" max="11" width="15" customWidth="1"/>
    <col min="12" max="12" width="16" customWidth="1"/>
    <col min="13" max="13" width="28" customWidth="1"/>
    <col min="14" max="14" width="16" customWidth="1"/>
    <col min="15" max="15" width="13" customWidth="1"/>
    <col min="16" max="16" width="16" customWidth="1"/>
    <col min="17" max="17" width="42" customWidth="1"/>
    <col min="18" max="18" width="8" customWidth="1"/>
  </cols>
  <sheetData>
    <row r="1" spans="1:18" ht="20.100000000000001" customHeight="1">
      <c r="A1" s="24" t="s">
        <v>866</v>
      </c>
    </row>
    <row r="2" spans="1:18">
      <c r="A2" s="25" t="s">
        <v>867</v>
      </c>
    </row>
    <row r="3" spans="1:18" ht="26.25">
      <c r="A3" s="9" t="s">
        <v>169</v>
      </c>
      <c r="B3" s="9" t="s">
        <v>170</v>
      </c>
      <c r="C3" s="9" t="s">
        <v>171</v>
      </c>
      <c r="D3" s="9" t="s">
        <v>172</v>
      </c>
      <c r="E3" s="9" t="s">
        <v>173</v>
      </c>
      <c r="F3" s="9" t="s">
        <v>138</v>
      </c>
      <c r="G3" s="9" t="s">
        <v>174</v>
      </c>
      <c r="H3" s="9" t="s">
        <v>175</v>
      </c>
      <c r="I3" s="9" t="s">
        <v>176</v>
      </c>
      <c r="J3" s="19" t="s">
        <v>177</v>
      </c>
      <c r="K3" s="20" t="s">
        <v>178</v>
      </c>
      <c r="L3" s="20" t="s">
        <v>179</v>
      </c>
      <c r="M3" s="20" t="s">
        <v>180</v>
      </c>
      <c r="N3" s="21" t="s">
        <v>181</v>
      </c>
      <c r="O3" s="9" t="s">
        <v>182</v>
      </c>
      <c r="P3" s="9" t="s">
        <v>183</v>
      </c>
      <c r="Q3" s="9" t="s">
        <v>184</v>
      </c>
      <c r="R3" s="9" t="s">
        <v>185</v>
      </c>
    </row>
    <row r="4" spans="1:18" ht="38.25">
      <c r="A4" s="4">
        <v>1</v>
      </c>
      <c r="B4" s="15" t="s">
        <v>170</v>
      </c>
      <c r="C4" s="15" t="s">
        <v>868</v>
      </c>
      <c r="D4" s="15" t="s">
        <v>210</v>
      </c>
      <c r="E4" s="15" t="s">
        <v>187</v>
      </c>
      <c r="F4" s="4" t="s">
        <v>869</v>
      </c>
      <c r="G4" s="4" t="s">
        <v>870</v>
      </c>
      <c r="H4" s="4"/>
      <c r="I4" s="4"/>
      <c r="J4" s="22"/>
      <c r="K4" s="22"/>
      <c r="L4" s="22"/>
      <c r="M4" s="22"/>
      <c r="N4" s="22"/>
      <c r="O4" s="26" t="s">
        <v>827</v>
      </c>
      <c r="P4" s="4" t="s">
        <v>828</v>
      </c>
      <c r="Q4" s="4" t="s">
        <v>871</v>
      </c>
      <c r="R4" s="4"/>
    </row>
    <row r="5" spans="1:18" ht="25.5">
      <c r="A5" s="4">
        <v>2</v>
      </c>
      <c r="B5" s="15" t="s">
        <v>170</v>
      </c>
      <c r="C5" s="15" t="s">
        <v>66</v>
      </c>
      <c r="D5" s="15" t="s">
        <v>186</v>
      </c>
      <c r="E5" s="15" t="s">
        <v>187</v>
      </c>
      <c r="F5" s="4" t="s">
        <v>830</v>
      </c>
      <c r="G5" s="4" t="s">
        <v>831</v>
      </c>
      <c r="H5" s="4"/>
      <c r="I5" s="4"/>
      <c r="J5" s="22"/>
      <c r="K5" s="22"/>
      <c r="L5" s="22"/>
      <c r="M5" s="22"/>
      <c r="N5" s="22"/>
      <c r="O5" s="26" t="s">
        <v>827</v>
      </c>
      <c r="P5" s="4" t="s">
        <v>828</v>
      </c>
      <c r="Q5" s="4" t="s">
        <v>832</v>
      </c>
      <c r="R5" s="4"/>
    </row>
    <row r="6" spans="1:18" ht="25.5">
      <c r="A6" s="4">
        <v>3</v>
      </c>
      <c r="B6" s="26"/>
      <c r="C6" s="26" t="s">
        <v>209</v>
      </c>
      <c r="D6" s="26" t="s">
        <v>210</v>
      </c>
      <c r="E6" s="26" t="s">
        <v>196</v>
      </c>
      <c r="F6" s="4" t="s">
        <v>872</v>
      </c>
      <c r="G6" s="4" t="s">
        <v>873</v>
      </c>
      <c r="H6" s="4"/>
      <c r="I6" s="4"/>
      <c r="J6" s="22"/>
      <c r="K6" s="22"/>
      <c r="L6" s="22"/>
      <c r="M6" s="22"/>
      <c r="N6" s="22"/>
      <c r="O6" s="26" t="s">
        <v>827</v>
      </c>
      <c r="P6" s="4" t="s">
        <v>828</v>
      </c>
      <c r="Q6" s="4" t="s">
        <v>874</v>
      </c>
      <c r="R6" s="4" t="s">
        <v>193</v>
      </c>
    </row>
    <row r="7" spans="1:18" ht="38.25">
      <c r="A7" s="4">
        <v>4</v>
      </c>
      <c r="B7" s="26"/>
      <c r="C7" s="26" t="s">
        <v>875</v>
      </c>
      <c r="D7" s="26" t="s">
        <v>186</v>
      </c>
      <c r="E7" s="26" t="s">
        <v>196</v>
      </c>
      <c r="F7" s="4" t="s">
        <v>876</v>
      </c>
      <c r="G7" s="4" t="s">
        <v>877</v>
      </c>
      <c r="H7" s="4"/>
      <c r="I7" s="4"/>
      <c r="J7" s="22"/>
      <c r="K7" s="22"/>
      <c r="L7" s="22"/>
      <c r="M7" s="22"/>
      <c r="N7" s="22"/>
      <c r="O7" s="26" t="s">
        <v>827</v>
      </c>
      <c r="P7" s="4" t="s">
        <v>828</v>
      </c>
      <c r="Q7" s="4" t="s">
        <v>878</v>
      </c>
      <c r="R7" s="4" t="s">
        <v>193</v>
      </c>
    </row>
    <row r="8" spans="1:18" ht="38.25">
      <c r="A8" s="4">
        <v>5</v>
      </c>
      <c r="B8" s="26"/>
      <c r="C8" s="26" t="s">
        <v>879</v>
      </c>
      <c r="D8" s="26" t="s">
        <v>186</v>
      </c>
      <c r="E8" s="26" t="s">
        <v>196</v>
      </c>
      <c r="F8" s="4" t="s">
        <v>880</v>
      </c>
      <c r="G8" s="4" t="s">
        <v>881</v>
      </c>
      <c r="H8" s="4"/>
      <c r="I8" s="4"/>
      <c r="J8" s="22"/>
      <c r="K8" s="22"/>
      <c r="L8" s="22"/>
      <c r="M8" s="22"/>
      <c r="N8" s="22"/>
      <c r="O8" s="26" t="s">
        <v>827</v>
      </c>
      <c r="P8" s="4" t="s">
        <v>828</v>
      </c>
      <c r="Q8" s="4" t="s">
        <v>882</v>
      </c>
      <c r="R8" s="4" t="s">
        <v>193</v>
      </c>
    </row>
    <row r="9" spans="1:18" ht="38.25">
      <c r="A9" s="4">
        <v>6</v>
      </c>
      <c r="B9" s="26"/>
      <c r="C9" s="26" t="s">
        <v>883</v>
      </c>
      <c r="D9" s="26" t="s">
        <v>884</v>
      </c>
      <c r="E9" s="26" t="s">
        <v>196</v>
      </c>
      <c r="F9" s="4" t="s">
        <v>885</v>
      </c>
      <c r="G9" s="4" t="s">
        <v>886</v>
      </c>
      <c r="H9" s="4"/>
      <c r="I9" s="4"/>
      <c r="J9" s="22"/>
      <c r="K9" s="22"/>
      <c r="L9" s="22"/>
      <c r="M9" s="22"/>
      <c r="N9" s="22"/>
      <c r="O9" s="26" t="s">
        <v>827</v>
      </c>
      <c r="P9" s="4" t="s">
        <v>828</v>
      </c>
      <c r="Q9" s="4" t="s">
        <v>887</v>
      </c>
      <c r="R9" s="4" t="s">
        <v>193</v>
      </c>
    </row>
    <row r="10" spans="1:18" ht="25.5">
      <c r="A10" s="4">
        <v>7</v>
      </c>
      <c r="B10" s="26"/>
      <c r="C10" s="26" t="s">
        <v>888</v>
      </c>
      <c r="D10" s="26" t="s">
        <v>308</v>
      </c>
      <c r="E10" s="26" t="s">
        <v>196</v>
      </c>
      <c r="F10" s="4" t="s">
        <v>889</v>
      </c>
      <c r="G10" s="4" t="s">
        <v>890</v>
      </c>
      <c r="H10" s="4"/>
      <c r="I10" s="4" t="s">
        <v>891</v>
      </c>
      <c r="J10" s="22"/>
      <c r="K10" s="22"/>
      <c r="L10" s="22"/>
      <c r="M10" s="22"/>
      <c r="N10" s="22"/>
      <c r="O10" s="26" t="s">
        <v>827</v>
      </c>
      <c r="P10" s="4" t="s">
        <v>828</v>
      </c>
      <c r="Q10" s="4" t="s">
        <v>892</v>
      </c>
      <c r="R10" s="4" t="s">
        <v>193</v>
      </c>
    </row>
    <row r="11" spans="1:18" ht="38.25">
      <c r="A11" s="4">
        <v>8</v>
      </c>
      <c r="B11" s="26"/>
      <c r="C11" s="26" t="s">
        <v>893</v>
      </c>
      <c r="D11" s="26" t="s">
        <v>229</v>
      </c>
      <c r="E11" s="26" t="s">
        <v>196</v>
      </c>
      <c r="F11" s="4" t="s">
        <v>894</v>
      </c>
      <c r="G11" s="4" t="s">
        <v>895</v>
      </c>
      <c r="H11" s="4"/>
      <c r="I11" s="4"/>
      <c r="J11" s="22"/>
      <c r="K11" s="22"/>
      <c r="L11" s="22"/>
      <c r="M11" s="22"/>
      <c r="N11" s="22"/>
      <c r="O11" s="26" t="s">
        <v>827</v>
      </c>
      <c r="P11" s="4" t="s">
        <v>828</v>
      </c>
      <c r="Q11" s="4" t="s">
        <v>896</v>
      </c>
      <c r="R11" s="4" t="s">
        <v>193</v>
      </c>
    </row>
    <row r="12" spans="1:18" ht="25.5">
      <c r="A12" s="4">
        <v>9</v>
      </c>
      <c r="B12" s="26"/>
      <c r="C12" s="26" t="s">
        <v>897</v>
      </c>
      <c r="D12" s="26" t="s">
        <v>482</v>
      </c>
      <c r="E12" s="26" t="s">
        <v>196</v>
      </c>
      <c r="F12" s="4" t="s">
        <v>898</v>
      </c>
      <c r="G12" s="4" t="s">
        <v>899</v>
      </c>
      <c r="H12" s="4"/>
      <c r="I12" s="4" t="s">
        <v>253</v>
      </c>
      <c r="J12" s="22"/>
      <c r="K12" s="22"/>
      <c r="L12" s="22"/>
      <c r="M12" s="22"/>
      <c r="N12" s="22"/>
      <c r="O12" s="26" t="s">
        <v>827</v>
      </c>
      <c r="P12" s="4" t="s">
        <v>828</v>
      </c>
      <c r="Q12" s="4" t="s">
        <v>900</v>
      </c>
      <c r="R12" s="4" t="s">
        <v>193</v>
      </c>
    </row>
    <row r="13" spans="1:18" ht="25.5">
      <c r="A13" s="4">
        <v>10</v>
      </c>
      <c r="B13" s="26"/>
      <c r="C13" s="26" t="s">
        <v>901</v>
      </c>
      <c r="D13" s="26" t="s">
        <v>308</v>
      </c>
      <c r="E13" s="26" t="s">
        <v>196</v>
      </c>
      <c r="F13" s="4" t="s">
        <v>902</v>
      </c>
      <c r="G13" s="4" t="s">
        <v>903</v>
      </c>
      <c r="H13" s="4"/>
      <c r="I13" s="4" t="s">
        <v>904</v>
      </c>
      <c r="J13" s="22"/>
      <c r="K13" s="22"/>
      <c r="L13" s="22"/>
      <c r="M13" s="22"/>
      <c r="N13" s="22"/>
      <c r="O13" s="26" t="s">
        <v>827</v>
      </c>
      <c r="P13" s="4" t="s">
        <v>828</v>
      </c>
      <c r="Q13" s="4" t="s">
        <v>905</v>
      </c>
      <c r="R13" s="4" t="s">
        <v>193</v>
      </c>
    </row>
    <row r="14" spans="1:18" ht="25.5">
      <c r="A14" s="4">
        <v>11</v>
      </c>
      <c r="B14" s="26"/>
      <c r="C14" s="26" t="s">
        <v>307</v>
      </c>
      <c r="D14" s="26" t="s">
        <v>308</v>
      </c>
      <c r="E14" s="26" t="s">
        <v>196</v>
      </c>
      <c r="F14" s="4" t="s">
        <v>830</v>
      </c>
      <c r="G14" s="4" t="s">
        <v>862</v>
      </c>
      <c r="H14" s="4"/>
      <c r="I14" s="4"/>
      <c r="J14" s="22"/>
      <c r="K14" s="22"/>
      <c r="L14" s="22"/>
      <c r="M14" s="22"/>
      <c r="N14" s="22" t="s">
        <v>863</v>
      </c>
      <c r="O14" s="26" t="s">
        <v>827</v>
      </c>
      <c r="P14" s="4" t="s">
        <v>828</v>
      </c>
      <c r="Q14" s="4" t="s">
        <v>864</v>
      </c>
      <c r="R14" s="4" t="s">
        <v>193</v>
      </c>
    </row>
    <row r="16" spans="1:18">
      <c r="A16" s="36" t="s">
        <v>865</v>
      </c>
      <c r="B16" s="35"/>
      <c r="C16" s="35"/>
      <c r="D16" s="35"/>
      <c r="E16" s="35"/>
      <c r="F16" s="35"/>
      <c r="G16" s="35"/>
      <c r="H16" s="35"/>
      <c r="I16" s="35"/>
      <c r="J16" s="35"/>
      <c r="K16" s="35"/>
      <c r="L16" s="35"/>
      <c r="M16" s="35"/>
      <c r="N16" s="35"/>
      <c r="O16" s="35"/>
      <c r="P16" s="35"/>
      <c r="Q16" s="35"/>
      <c r="R16" s="35"/>
    </row>
  </sheetData>
  <mergeCells count="1">
    <mergeCell ref="A16:R16"/>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R8"/>
  <sheetViews>
    <sheetView showGridLines="0" workbookViewId="0">
      <pane ySplit="3" topLeftCell="A4" activePane="bottomLeft" state="frozen"/>
      <selection pane="bottomLeft" activeCell="A8" sqref="A8"/>
    </sheetView>
  </sheetViews>
  <sheetFormatPr defaultRowHeight="14.25"/>
  <cols>
    <col min="1" max="2" width="5" customWidth="1"/>
    <col min="3" max="3" width="30" customWidth="1"/>
    <col min="4" max="4" width="16" customWidth="1"/>
    <col min="5" max="5" width="6" customWidth="1"/>
    <col min="6" max="6" width="30" customWidth="1"/>
    <col min="7" max="7" width="32" customWidth="1"/>
    <col min="8" max="8" width="40" customWidth="1"/>
    <col min="9" max="9" width="20" customWidth="1"/>
    <col min="10" max="11" width="15" customWidth="1"/>
    <col min="12" max="12" width="16" customWidth="1"/>
    <col min="13" max="13" width="28" customWidth="1"/>
    <col min="14" max="14" width="16" customWidth="1"/>
    <col min="15" max="15" width="13" customWidth="1"/>
    <col min="16" max="16" width="16" customWidth="1"/>
    <col min="17" max="17" width="42" customWidth="1"/>
    <col min="18" max="18" width="8" customWidth="1"/>
  </cols>
  <sheetData>
    <row r="1" spans="1:18" ht="20.100000000000001" customHeight="1">
      <c r="A1" s="27" t="s">
        <v>906</v>
      </c>
    </row>
    <row r="2" spans="1:18">
      <c r="A2" s="28" t="s">
        <v>907</v>
      </c>
    </row>
    <row r="3" spans="1:18" ht="26.25">
      <c r="A3" s="9" t="s">
        <v>169</v>
      </c>
      <c r="B3" s="9" t="s">
        <v>170</v>
      </c>
      <c r="C3" s="9" t="s">
        <v>171</v>
      </c>
      <c r="D3" s="9" t="s">
        <v>172</v>
      </c>
      <c r="E3" s="9" t="s">
        <v>173</v>
      </c>
      <c r="F3" s="9" t="s">
        <v>138</v>
      </c>
      <c r="G3" s="9" t="s">
        <v>174</v>
      </c>
      <c r="H3" s="9" t="s">
        <v>175</v>
      </c>
      <c r="I3" s="9" t="s">
        <v>176</v>
      </c>
      <c r="J3" s="19" t="s">
        <v>177</v>
      </c>
      <c r="K3" s="20" t="s">
        <v>178</v>
      </c>
      <c r="L3" s="20" t="s">
        <v>179</v>
      </c>
      <c r="M3" s="20" t="s">
        <v>180</v>
      </c>
      <c r="N3" s="21" t="s">
        <v>181</v>
      </c>
      <c r="O3" s="9" t="s">
        <v>182</v>
      </c>
      <c r="P3" s="9" t="s">
        <v>183</v>
      </c>
      <c r="Q3" s="9" t="s">
        <v>184</v>
      </c>
      <c r="R3" s="9" t="s">
        <v>185</v>
      </c>
    </row>
    <row r="4" spans="1:18" ht="38.25">
      <c r="A4" s="4">
        <v>1</v>
      </c>
      <c r="B4" s="15" t="s">
        <v>170</v>
      </c>
      <c r="C4" s="15" t="s">
        <v>908</v>
      </c>
      <c r="D4" s="15" t="s">
        <v>229</v>
      </c>
      <c r="E4" s="15" t="s">
        <v>187</v>
      </c>
      <c r="F4" s="4" t="s">
        <v>909</v>
      </c>
      <c r="G4" s="4" t="s">
        <v>910</v>
      </c>
      <c r="H4" s="4" t="s">
        <v>911</v>
      </c>
      <c r="I4" s="4" t="s">
        <v>912</v>
      </c>
      <c r="J4" s="22"/>
      <c r="K4" s="22"/>
      <c r="L4" s="22"/>
      <c r="M4" s="22"/>
      <c r="N4" s="22"/>
      <c r="O4" s="4" t="s">
        <v>913</v>
      </c>
      <c r="P4" s="4"/>
      <c r="Q4" s="4" t="s">
        <v>914</v>
      </c>
      <c r="R4" s="4"/>
    </row>
    <row r="5" spans="1:18" ht="38.25">
      <c r="A5" s="4">
        <v>2</v>
      </c>
      <c r="B5" s="15" t="s">
        <v>170</v>
      </c>
      <c r="C5" s="15" t="s">
        <v>66</v>
      </c>
      <c r="D5" s="15" t="s">
        <v>186</v>
      </c>
      <c r="E5" s="15" t="s">
        <v>187</v>
      </c>
      <c r="F5" s="4" t="s">
        <v>830</v>
      </c>
      <c r="G5" s="4" t="s">
        <v>915</v>
      </c>
      <c r="H5" s="4" t="s">
        <v>189</v>
      </c>
      <c r="I5" s="4"/>
      <c r="J5" s="22"/>
      <c r="K5" s="22"/>
      <c r="L5" s="22"/>
      <c r="M5" s="22"/>
      <c r="N5" s="22"/>
      <c r="O5" s="4" t="s">
        <v>913</v>
      </c>
      <c r="P5" s="4"/>
      <c r="Q5" s="4" t="s">
        <v>916</v>
      </c>
      <c r="R5" s="4"/>
    </row>
    <row r="6" spans="1:18" ht="25.5">
      <c r="A6" s="4">
        <v>3</v>
      </c>
      <c r="B6" s="29"/>
      <c r="C6" s="29" t="s">
        <v>917</v>
      </c>
      <c r="D6" s="29" t="s">
        <v>217</v>
      </c>
      <c r="E6" s="29" t="s">
        <v>196</v>
      </c>
      <c r="F6" s="4" t="s">
        <v>918</v>
      </c>
      <c r="G6" s="4" t="s">
        <v>919</v>
      </c>
      <c r="H6" s="4" t="s">
        <v>920</v>
      </c>
      <c r="I6" s="4"/>
      <c r="J6" s="22"/>
      <c r="K6" s="22"/>
      <c r="L6" s="22"/>
      <c r="M6" s="22"/>
      <c r="N6" s="22"/>
      <c r="O6" s="4" t="s">
        <v>913</v>
      </c>
      <c r="P6" s="4"/>
      <c r="Q6" s="4"/>
      <c r="R6" s="4"/>
    </row>
    <row r="7" spans="1:18" ht="51">
      <c r="A7" s="4">
        <v>4</v>
      </c>
      <c r="B7" s="29"/>
      <c r="C7" s="29" t="s">
        <v>921</v>
      </c>
      <c r="D7" s="29" t="s">
        <v>242</v>
      </c>
      <c r="E7" s="29" t="s">
        <v>196</v>
      </c>
      <c r="F7" s="4" t="s">
        <v>922</v>
      </c>
      <c r="G7" s="4" t="s">
        <v>923</v>
      </c>
      <c r="H7" s="4" t="s">
        <v>924</v>
      </c>
      <c r="I7" s="4" t="s">
        <v>925</v>
      </c>
      <c r="J7" s="22"/>
      <c r="K7" s="22"/>
      <c r="L7" s="22"/>
      <c r="M7" s="22"/>
      <c r="N7" s="22"/>
      <c r="O7" s="4" t="s">
        <v>913</v>
      </c>
      <c r="P7" s="4"/>
      <c r="Q7" s="4"/>
      <c r="R7" s="4"/>
    </row>
    <row r="8" spans="1:18" ht="63.75">
      <c r="A8" s="4">
        <v>5</v>
      </c>
      <c r="B8" s="29"/>
      <c r="C8" s="29" t="s">
        <v>307</v>
      </c>
      <c r="D8" s="29" t="s">
        <v>308</v>
      </c>
      <c r="E8" s="29" t="s">
        <v>196</v>
      </c>
      <c r="F8" s="4" t="s">
        <v>830</v>
      </c>
      <c r="G8" s="4" t="s">
        <v>862</v>
      </c>
      <c r="H8" s="4" t="s">
        <v>311</v>
      </c>
      <c r="I8" s="4"/>
      <c r="J8" s="22"/>
      <c r="K8" s="22"/>
      <c r="L8" s="22"/>
      <c r="M8" s="22"/>
      <c r="N8" s="22"/>
      <c r="O8" s="4" t="s">
        <v>913</v>
      </c>
      <c r="P8" s="4"/>
      <c r="Q8" s="4" t="s">
        <v>864</v>
      </c>
      <c r="R8" s="4"/>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R8"/>
  <sheetViews>
    <sheetView showGridLines="0" workbookViewId="0">
      <pane ySplit="3" topLeftCell="A4" activePane="bottomLeft" state="frozen"/>
      <selection pane="bottomLeft" activeCell="G8" sqref="G8"/>
    </sheetView>
  </sheetViews>
  <sheetFormatPr defaultRowHeight="14.25"/>
  <cols>
    <col min="1" max="2" width="5" customWidth="1"/>
    <col min="3" max="3" width="30" customWidth="1"/>
    <col min="4" max="4" width="16" customWidth="1"/>
    <col min="5" max="5" width="6" customWidth="1"/>
    <col min="6" max="6" width="30" customWidth="1"/>
    <col min="7" max="7" width="32" customWidth="1"/>
    <col min="8" max="8" width="40" customWidth="1"/>
    <col min="9" max="9" width="20" customWidth="1"/>
    <col min="10" max="11" width="15" customWidth="1"/>
    <col min="12" max="12" width="16" customWidth="1"/>
    <col min="13" max="13" width="28" customWidth="1"/>
    <col min="14" max="14" width="16" customWidth="1"/>
    <col min="15" max="15" width="13" customWidth="1"/>
    <col min="16" max="16" width="16" customWidth="1"/>
    <col min="17" max="17" width="42" customWidth="1"/>
    <col min="18" max="18" width="8" customWidth="1"/>
  </cols>
  <sheetData>
    <row r="1" spans="1:18" ht="20.100000000000001" customHeight="1">
      <c r="A1" s="27" t="s">
        <v>926</v>
      </c>
    </row>
    <row r="2" spans="1:18">
      <c r="A2" s="28" t="s">
        <v>927</v>
      </c>
    </row>
    <row r="3" spans="1:18" ht="26.25">
      <c r="A3" s="9" t="s">
        <v>169</v>
      </c>
      <c r="B3" s="9" t="s">
        <v>170</v>
      </c>
      <c r="C3" s="9" t="s">
        <v>171</v>
      </c>
      <c r="D3" s="9" t="s">
        <v>172</v>
      </c>
      <c r="E3" s="9" t="s">
        <v>173</v>
      </c>
      <c r="F3" s="9" t="s">
        <v>138</v>
      </c>
      <c r="G3" s="9" t="s">
        <v>174</v>
      </c>
      <c r="H3" s="9" t="s">
        <v>175</v>
      </c>
      <c r="I3" s="9" t="s">
        <v>176</v>
      </c>
      <c r="J3" s="19" t="s">
        <v>177</v>
      </c>
      <c r="K3" s="20" t="s">
        <v>178</v>
      </c>
      <c r="L3" s="20" t="s">
        <v>179</v>
      </c>
      <c r="M3" s="20" t="s">
        <v>180</v>
      </c>
      <c r="N3" s="21" t="s">
        <v>181</v>
      </c>
      <c r="O3" s="9" t="s">
        <v>182</v>
      </c>
      <c r="P3" s="9" t="s">
        <v>183</v>
      </c>
      <c r="Q3" s="9" t="s">
        <v>184</v>
      </c>
      <c r="R3" s="9" t="s">
        <v>185</v>
      </c>
    </row>
    <row r="4" spans="1:18" ht="102">
      <c r="A4" s="4">
        <v>1</v>
      </c>
      <c r="B4" s="15" t="s">
        <v>170</v>
      </c>
      <c r="C4" s="15" t="s">
        <v>928</v>
      </c>
      <c r="D4" s="15" t="s">
        <v>308</v>
      </c>
      <c r="E4" s="15" t="s">
        <v>187</v>
      </c>
      <c r="F4" s="4" t="s">
        <v>929</v>
      </c>
      <c r="G4" s="4" t="s">
        <v>930</v>
      </c>
      <c r="H4" s="4" t="s">
        <v>395</v>
      </c>
      <c r="I4" s="4"/>
      <c r="J4" s="22"/>
      <c r="K4" s="22"/>
      <c r="L4" s="22"/>
      <c r="M4" s="22"/>
      <c r="N4" s="22"/>
      <c r="O4" s="4" t="s">
        <v>913</v>
      </c>
      <c r="P4" s="4"/>
      <c r="Q4" s="4" t="s">
        <v>916</v>
      </c>
      <c r="R4" s="4"/>
    </row>
    <row r="5" spans="1:18" ht="38.25">
      <c r="A5" s="4">
        <v>2</v>
      </c>
      <c r="B5" s="15" t="s">
        <v>170</v>
      </c>
      <c r="C5" s="15" t="s">
        <v>66</v>
      </c>
      <c r="D5" s="15" t="s">
        <v>186</v>
      </c>
      <c r="E5" s="15" t="s">
        <v>187</v>
      </c>
      <c r="F5" s="4" t="s">
        <v>830</v>
      </c>
      <c r="G5" s="4" t="s">
        <v>915</v>
      </c>
      <c r="H5" s="4" t="s">
        <v>189</v>
      </c>
      <c r="I5" s="4"/>
      <c r="J5" s="22"/>
      <c r="K5" s="22"/>
      <c r="L5" s="22"/>
      <c r="M5" s="22"/>
      <c r="N5" s="22"/>
      <c r="O5" s="4" t="s">
        <v>913</v>
      </c>
      <c r="P5" s="4"/>
      <c r="Q5" s="4" t="s">
        <v>916</v>
      </c>
      <c r="R5" s="4"/>
    </row>
    <row r="6" spans="1:18">
      <c r="A6" s="4">
        <v>3</v>
      </c>
      <c r="B6" s="29"/>
      <c r="C6" s="29" t="s">
        <v>931</v>
      </c>
      <c r="D6" s="29" t="s">
        <v>482</v>
      </c>
      <c r="E6" s="29" t="s">
        <v>196</v>
      </c>
      <c r="F6" s="4" t="s">
        <v>932</v>
      </c>
      <c r="G6" s="4" t="s">
        <v>933</v>
      </c>
      <c r="H6" s="4" t="s">
        <v>934</v>
      </c>
      <c r="I6" s="4" t="s">
        <v>257</v>
      </c>
      <c r="J6" s="22"/>
      <c r="K6" s="22"/>
      <c r="L6" s="22"/>
      <c r="M6" s="22"/>
      <c r="N6" s="22"/>
      <c r="O6" s="4" t="s">
        <v>913</v>
      </c>
      <c r="P6" s="4"/>
      <c r="Q6" s="4" t="s">
        <v>935</v>
      </c>
      <c r="R6" s="4"/>
    </row>
    <row r="7" spans="1:18">
      <c r="A7" s="4">
        <v>4</v>
      </c>
      <c r="B7" s="29"/>
      <c r="C7" s="29" t="s">
        <v>936</v>
      </c>
      <c r="D7" s="29" t="s">
        <v>217</v>
      </c>
      <c r="E7" s="29" t="s">
        <v>196</v>
      </c>
      <c r="F7" s="4" t="s">
        <v>937</v>
      </c>
      <c r="G7" s="4" t="s">
        <v>937</v>
      </c>
      <c r="H7" s="4" t="s">
        <v>938</v>
      </c>
      <c r="I7" s="4"/>
      <c r="J7" s="22"/>
      <c r="K7" s="22"/>
      <c r="L7" s="22"/>
      <c r="M7" s="22"/>
      <c r="N7" s="22"/>
      <c r="O7" s="4" t="s">
        <v>913</v>
      </c>
      <c r="P7" s="4"/>
      <c r="Q7" s="4"/>
      <c r="R7" s="4"/>
    </row>
    <row r="8" spans="1:18" ht="25.5">
      <c r="A8" s="4">
        <v>5</v>
      </c>
      <c r="B8" s="29"/>
      <c r="C8" s="29" t="s">
        <v>939</v>
      </c>
      <c r="D8" s="29" t="s">
        <v>940</v>
      </c>
      <c r="E8" s="29" t="s">
        <v>196</v>
      </c>
      <c r="F8" s="4" t="s">
        <v>941</v>
      </c>
      <c r="G8" s="4" t="s">
        <v>942</v>
      </c>
      <c r="H8" s="4" t="s">
        <v>943</v>
      </c>
      <c r="I8" s="4"/>
      <c r="J8" s="22"/>
      <c r="K8" s="22"/>
      <c r="L8" s="22"/>
      <c r="M8" s="22"/>
      <c r="N8" s="22"/>
      <c r="O8" s="4" t="s">
        <v>913</v>
      </c>
      <c r="P8" s="4"/>
      <c r="Q8" s="4" t="s">
        <v>944</v>
      </c>
      <c r="R8"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2026-08-05T08:19:02Z</dcterms:created>
  <dcterms:modified xsi:type="dcterms:W3CDTF">2026-09-28T07:40:37Z</dcterms:modified>
  <cp:category/>
  <cp:contentStatus/>
</cp:coreProperties>
</file>